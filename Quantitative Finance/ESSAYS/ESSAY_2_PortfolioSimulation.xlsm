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filterPrivacy="1" codeName="ThisWorkbook" defaultThemeVersion="124226"/>
  <xr:revisionPtr revIDLastSave="0" documentId="13_ncr:1_{55A084C4-9F06-4A75-9487-5BCCE8F8963C}" xr6:coauthVersionLast="40" xr6:coauthVersionMax="40" xr10:uidLastSave="{00000000-0000-0000-0000-000000000000}"/>
  <bookViews>
    <workbookView xWindow="-120" yWindow="-120" windowWidth="21840" windowHeight="13140" tabRatio="888" xr2:uid="{00000000-000D-0000-FFFF-FFFF00000000}"/>
  </bookViews>
  <sheets>
    <sheet name="WELCOME" sheetId="43" r:id="rId1"/>
    <sheet name="MASTER SHEET" sheetId="24" r:id="rId2"/>
    <sheet name="EQUITY Portfolio" sheetId="5" r:id="rId3"/>
    <sheet name="EquityAnalysis" sheetId="12" r:id="rId4"/>
    <sheet name="PF Efficients" sheetId="14" r:id="rId5"/>
    <sheet name="BondPortfolio" sheetId="32" r:id="rId6"/>
    <sheet name="BondAnalysis" sheetId="33" r:id="rId7"/>
    <sheet name="BondComparison" sheetId="34" r:id="rId8"/>
    <sheet name="OptionPortfolio" sheetId="41" r:id="rId9"/>
    <sheet name="OptionAnalysis" sheetId="39" r:id="rId10"/>
    <sheet name="RECAP" sheetId="42" r:id="rId11"/>
    <sheet name="RETURN" sheetId="18" r:id="rId12"/>
    <sheet name="GaussCurveBuild" sheetId="23" r:id="rId13"/>
    <sheet name="EquityDataValues" sheetId="16" r:id="rId14"/>
    <sheet name="EquityFinValues" sheetId="22" r:id="rId15"/>
    <sheet name="BondsDataValue" sheetId="35" r:id="rId16"/>
    <sheet name="EquityDataBloomberg" sheetId="20" r:id="rId17"/>
    <sheet name="EquityFinBloomberg" sheetId="21" r:id="rId18"/>
    <sheet name="BondsDataBloomberg" sheetId="36" r:id="rId19"/>
  </sheets>
  <externalReferences>
    <externalReference r:id="rId20"/>
    <externalReference r:id="rId21"/>
  </externalReferences>
  <definedNames>
    <definedName name="_xlnm._FilterDatabase" localSheetId="3" hidden="1">EquityAnalysis!$F$2:$G$4</definedName>
    <definedName name="ACC">#REF!</definedName>
    <definedName name="ACC_O">'[1]Labels,Validation,Overrides'!$G$12</definedName>
    <definedName name="ADGridNames">[1]AD!$A$1:$JR$1</definedName>
    <definedName name="ADGrids">[1]AD!$A$2:$JR$202</definedName>
    <definedName name="ADJ">'[1]Labels,Validation,Overrides'!$C$5</definedName>
    <definedName name="Adj_Switch">#REF!</definedName>
    <definedName name="BB_SEG_FORMULA_START">[1]segDataCheck!$C$3</definedName>
    <definedName name="BB_SEG_IND_CHECK">OFFSET('[1]Data Check'!$L$23,0,0,MAX(COUNTA('[1]Data Check'!$E$23:$E$167),1),1)</definedName>
    <definedName name="BB_SEG_INDUSTRIES">OFFSET('[1]Data Check'!$E$23,0,0,MAX(COUNTA('[1]Data Check'!$E$23:$E$167),1),1)</definedName>
    <definedName name="BB_SEG_PERIODS">OFFSET([1]Segments!$L$10,0,0,1,NumPds)</definedName>
    <definedName name="BestSegLabels">OFFSET('[1]Labels,Validation,Overrides'!$B$21,0,MATCH(MAX('[1]Labels,Validation,Overrides'!$B$20:$H$20,1),'[1]Labels,Validation,Overrides'!$B$20:$H$20,0)-1,MAX('[1]Labels,Validation,Overrides'!$B$20:$H$20,1),1)</definedName>
    <definedName name="BLPH1" hidden="1">'[2]Template (XFA)'!#REF!</definedName>
    <definedName name="BLPH2" hidden="1">#REF!</definedName>
    <definedName name="BLPH3" hidden="1">#REF!</definedName>
    <definedName name="Bond_Comp_1">BondComparison!$B$2</definedName>
    <definedName name="Bond_Comp_2">BondComparison!$C$2</definedName>
    <definedName name="BondName">BondAnalysis!$B$2</definedName>
    <definedName name="BSDataStart">#REF!</definedName>
    <definedName name="BSFieldStart">#REF!</definedName>
    <definedName name="BSGridNames">[1]BS!$A$1:$AK$1</definedName>
    <definedName name="BSPasteHeaders">#REF!</definedName>
    <definedName name="CFDataStart">#REF!</definedName>
    <definedName name="CFFieldStart">#REF!</definedName>
    <definedName name="CFGridsName">[1]CF!$A$1:$AK$1</definedName>
    <definedName name="CFPasteHeaders">#REF!</definedName>
    <definedName name="Com_Original_Yield">BondComparison!$Y$25</definedName>
    <definedName name="CONS">'[1]Labels,Validation,Overrides'!$I$5</definedName>
    <definedName name="CONS_O">'[1]Labels,Validation,Overrides'!$C$12</definedName>
    <definedName name="CURR">#REF!</definedName>
    <definedName name="CURR_O">'[1]Labels,Validation,Overrides'!$E$12</definedName>
    <definedName name="_xlnm.Database">#REF!</definedName>
    <definedName name="Discount_C">BondAnalysis!$Q$20</definedName>
    <definedName name="Discount_C_Comp">BondComparison!$AF$20</definedName>
    <definedName name="dISCOUNT8c">BondAnalysis!$Q$20</definedName>
    <definedName name="end_date">EquityAnalysis!$G$4</definedName>
    <definedName name="FormatRangeBS">#REF!</definedName>
    <definedName name="FormatRangeCF">#REF!</definedName>
    <definedName name="FormatRangeIS">#REF!</definedName>
    <definedName name="FormatRangeRA">#REF!</definedName>
    <definedName name="HideEmptyFields">#REF!</definedName>
    <definedName name="Indicator">'[1]Labels,Validation,Overrides'!$B$15</definedName>
    <definedName name="Industry_Table_header">IF(SUM('[1]Data Check'!$AL$41:$AL$48)&gt;0,"Additional Data","No Data Available")</definedName>
    <definedName name="ISDataStart">#REF!</definedName>
    <definedName name="ISFieldStart">#REF!</definedName>
    <definedName name="ISGridNames">[1]IS!$A$1:$BU$1</definedName>
    <definedName name="ISPasteHeaders">#REF!</definedName>
    <definedName name="NAME">#REF!</definedName>
    <definedName name="NumPds">#REF!</definedName>
    <definedName name="Original_Yield">BondAnalysis!$J$25</definedName>
    <definedName name="Passed_Addl">'[1]Data Check'!$OT$23:$OX$372</definedName>
    <definedName name="Passed_Segments">'[1]Data Check'!$OM$23:$OQ$73</definedName>
    <definedName name="PER">'[1]Labels,Validation,Overrides'!$F$5</definedName>
    <definedName name="PERD">#REF!</definedName>
    <definedName name="POrder">#REF!</definedName>
    <definedName name="Premium_C">BondAnalysis!$R$20</definedName>
    <definedName name="Premium_C_Comp">BondComparison!$AH$20</definedName>
    <definedName name="RADataStart">#REF!</definedName>
    <definedName name="RAFieldStart">#REF!</definedName>
    <definedName name="RAGridNames">[1]RA!$A$1:$Y$1</definedName>
    <definedName name="RAPasteHeaders">#REF!</definedName>
    <definedName name="RCGridNames">[1]RC!$A$1:$Y$1</definedName>
    <definedName name="SAGridNames">[1]SA!$A$1:$Y$1</definedName>
    <definedName name="Sec_Formula_Indicator">1</definedName>
    <definedName name="SG_Fields_available">OFFSET([1]Custom!$G$7,0,0,COUNTIF([1]Custom!$E$7:$E$21,"&gt;0"),1)</definedName>
    <definedName name="SGGridNames">[1]SG!$A$1:$EG$1</definedName>
    <definedName name="SGGrids">[1]SG!$A$2:$EG$201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'PF Efficients'!$A$5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1</definedName>
    <definedName name="solver_val" localSheetId="4" hidden="1">0</definedName>
    <definedName name="start_date">EquityAnalysis!$G$3</definedName>
    <definedName name="StartPoint">#REF!</definedName>
    <definedName name="Step_Analysis">BondAnalysis!$K$19</definedName>
    <definedName name="Step_Analysis_Comp">BondComparison!$Z$19</definedName>
    <definedName name="str_stock">EquityAnalysis!$G$2</definedName>
    <definedName name="TK">#REF!</definedName>
    <definedName name="TKR">#REF!&amp;" Equity"</definedName>
    <definedName name="x" hidden="1">'[2]Template (XFA)'!#REF!</definedName>
    <definedName name="xx" hidden="1">#REF!</definedName>
    <definedName name="xxxx" hidden="1">#REF!</definedName>
    <definedName name="xxxxx" hidden="1">'[2]Template (XFA)'!#REF!</definedName>
    <definedName name="yy" hidden="1">#REF!</definedName>
    <definedName name="zzz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" i="12" l="1"/>
  <c r="T1" i="12" l="1"/>
  <c r="K2" i="34" l="1"/>
  <c r="E2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19" authorId="0" shapeId="0" xr:uid="{11CE82AD-72B3-4B8A-863A-1F19FA215FEE}">
      <text>
        <r>
          <rPr>
            <sz val="9"/>
            <color indexed="81"/>
            <rFont val="Tahoma"/>
            <family val="2"/>
          </rPr>
          <t>You can modify this cell.</t>
        </r>
      </text>
    </comment>
    <comment ref="Q20" authorId="0" shapeId="0" xr:uid="{7D0B4E6C-8CEA-4C3E-BB41-FD8FBFA42A80}">
      <text>
        <r>
          <rPr>
            <sz val="9"/>
            <color indexed="81"/>
            <rFont val="Tahoma"/>
            <family val="2"/>
          </rPr>
          <t>You can modify this cell.</t>
        </r>
      </text>
    </comment>
    <comment ref="R20" authorId="0" shapeId="0" xr:uid="{6EAE506E-B1AF-4F0F-8C96-3FAD2AB32457}">
      <text>
        <r>
          <rPr>
            <sz val="9"/>
            <color indexed="81"/>
            <rFont val="Tahoma"/>
            <family val="2"/>
          </rPr>
          <t>You can modify this cell.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Z19" authorId="0" shapeId="0" xr:uid="{B9779FCA-123A-4278-B95D-B9392F118EA1}">
      <text>
        <r>
          <rPr>
            <sz val="9"/>
            <color indexed="81"/>
            <rFont val="Tahoma"/>
            <family val="2"/>
          </rPr>
          <t>You can modify this cell.</t>
        </r>
      </text>
    </comment>
    <comment ref="AF20" authorId="0" shapeId="0" xr:uid="{4B61BA44-5B9C-44B0-8C3F-F3F684FEF2C9}">
      <text>
        <r>
          <rPr>
            <sz val="9"/>
            <color indexed="81"/>
            <rFont val="Tahoma"/>
            <family val="2"/>
          </rPr>
          <t>You can modify this cell.</t>
        </r>
      </text>
    </comment>
    <comment ref="AH20" authorId="0" shapeId="0" xr:uid="{7EBDD479-3C1B-4230-AD4E-BDC5767F55E6}">
      <text>
        <r>
          <rPr>
            <sz val="9"/>
            <color indexed="81"/>
            <rFont val="Tahoma"/>
            <family val="2"/>
          </rPr>
          <t>You can modify this cell.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16" authorId="0" shapeId="0" xr:uid="{5C040E28-AC1F-43E7-B14C-9C57EB9C4F07}">
      <text>
        <r>
          <rPr>
            <sz val="9"/>
            <color indexed="81"/>
            <rFont val="Tahoma"/>
            <family val="2"/>
          </rPr>
          <t>You can modify this cell.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4" authorId="0" shapeId="0" xr:uid="{FD6D51F6-7568-41AA-9204-8E090A1B86C9}">
      <text>
        <r>
          <rPr>
            <sz val="9"/>
            <color indexed="81"/>
            <rFont val="Tahoma"/>
            <family val="2"/>
          </rPr>
          <t>You can change this cell (only negative value).</t>
        </r>
      </text>
    </comment>
  </commentList>
</comments>
</file>

<file path=xl/sharedStrings.xml><?xml version="1.0" encoding="utf-8"?>
<sst xmlns="http://schemas.openxmlformats.org/spreadsheetml/2006/main" count="312" uniqueCount="165">
  <si>
    <t>Ticker</t>
  </si>
  <si>
    <t>Name</t>
  </si>
  <si>
    <t xml:space="preserve">Last Price </t>
  </si>
  <si>
    <t>Purchase Price</t>
  </si>
  <si>
    <t>Purchase Date</t>
  </si>
  <si>
    <t>Quantity</t>
  </si>
  <si>
    <t>Unrealized Gains &amp; loses</t>
  </si>
  <si>
    <t>Weight in Portfolio</t>
  </si>
  <si>
    <t>Ecart-type</t>
  </si>
  <si>
    <t>Espérance</t>
  </si>
  <si>
    <t>Date</t>
  </si>
  <si>
    <t>Close</t>
  </si>
  <si>
    <t>Volume</t>
  </si>
  <si>
    <t>Start Date</t>
  </si>
  <si>
    <t>End Date</t>
  </si>
  <si>
    <t>Period</t>
  </si>
  <si>
    <t>RCO FP EQUITY</t>
  </si>
  <si>
    <t>Sales_Rev_Turn</t>
  </si>
  <si>
    <t>Gross_Profit</t>
  </si>
  <si>
    <t>Is_Oper_Inc</t>
  </si>
  <si>
    <t>Net_Income</t>
  </si>
  <si>
    <t>BS_tot_asset</t>
  </si>
  <si>
    <t>bs_tot_liab2</t>
  </si>
  <si>
    <t>total_equity</t>
  </si>
  <si>
    <t>return_on_cap</t>
  </si>
  <si>
    <t>oper_margin</t>
  </si>
  <si>
    <t>tot_debt_to_tot_eqy</t>
  </si>
  <si>
    <t>PE_ratio</t>
  </si>
  <si>
    <t>return_com_eqy</t>
  </si>
  <si>
    <t>Lookup</t>
  </si>
  <si>
    <t>Revenues</t>
  </si>
  <si>
    <t>Gross Profit</t>
  </si>
  <si>
    <t>Net Income</t>
  </si>
  <si>
    <t>ROC</t>
  </si>
  <si>
    <t>ROE</t>
  </si>
  <si>
    <t>Operating Margin</t>
  </si>
  <si>
    <t>D/E</t>
  </si>
  <si>
    <t>PE</t>
  </si>
  <si>
    <t>Growth Analysis</t>
  </si>
  <si>
    <t>Financial Info</t>
  </si>
  <si>
    <t>Equity</t>
  </si>
  <si>
    <t>Operating Income</t>
  </si>
  <si>
    <t>Assets</t>
  </si>
  <si>
    <t>Liabilities</t>
  </si>
  <si>
    <t>Returns</t>
  </si>
  <si>
    <t>Volatility</t>
  </si>
  <si>
    <t>Average Returns</t>
  </si>
  <si>
    <t>Skew</t>
  </si>
  <si>
    <t>Kurtosis</t>
  </si>
  <si>
    <t>Mean</t>
  </si>
  <si>
    <t>Standard Deviation</t>
  </si>
  <si>
    <t>Variable</t>
  </si>
  <si>
    <t>Prob</t>
  </si>
  <si>
    <t>Bond Identifier</t>
  </si>
  <si>
    <t>Purchase Price
(in %)</t>
  </si>
  <si>
    <t>Par Value</t>
  </si>
  <si>
    <t>YTM</t>
  </si>
  <si>
    <t>Maturity Date</t>
  </si>
  <si>
    <t>Nominal Rate (year)</t>
  </si>
  <si>
    <t>Frequency coupon</t>
  </si>
  <si>
    <t>Nominal</t>
  </si>
  <si>
    <t>FV</t>
  </si>
  <si>
    <t>Last coupon date</t>
  </si>
  <si>
    <t>Next coupon date</t>
  </si>
  <si>
    <t>t (nb of days )</t>
  </si>
  <si>
    <t>T</t>
  </si>
  <si>
    <t>Nb of futurs coupons (N)</t>
  </si>
  <si>
    <t>Discount Market Rate (year)</t>
  </si>
  <si>
    <t>Current Price</t>
  </si>
  <si>
    <t>Total Current Value</t>
  </si>
  <si>
    <t>Weight</t>
  </si>
  <si>
    <t>Macaulay Dur.</t>
  </si>
  <si>
    <t>Modified Dur.</t>
  </si>
  <si>
    <t>Convexity</t>
  </si>
  <si>
    <t>Unrealized Gains</t>
  </si>
  <si>
    <t>VOLKSWAGEN INTL FIN NV 4.13% 16/11/2038 EUR</t>
  </si>
  <si>
    <t>16/11/2038</t>
  </si>
  <si>
    <t>GAZPROM (GAZ CAPITAL SA) 2.95% 24/01/2024 EUR</t>
  </si>
  <si>
    <t>24/01/2024</t>
  </si>
  <si>
    <t>ING GROEP NV 2.50% 15/11/2030 EUR</t>
  </si>
  <si>
    <t>15/11/2030</t>
  </si>
  <si>
    <t>KFW 0.13% 07/11/2023 EUR</t>
  </si>
  <si>
    <t>07/11/2023</t>
  </si>
  <si>
    <t>AVIVA PLC 1.88% 13/11/2027 EUR</t>
  </si>
  <si>
    <t>13/11/2027</t>
  </si>
  <si>
    <t>BMW FINANCE NV 1.00% 14/11/2024 EUR</t>
  </si>
  <si>
    <t>14/11/2024</t>
  </si>
  <si>
    <t>BUNDESREPUB. DEUTSCHLAND 0.25% 15/08/2028 EUR</t>
  </si>
  <si>
    <t>15/08/2028</t>
  </si>
  <si>
    <t>REPUBLIC OF TURKEY 5.20% 16/02/2026 EUR</t>
  </si>
  <si>
    <t>16/02/2026</t>
  </si>
  <si>
    <t>FRANCE (GOVT OF) 0.75% 25/11/2028 EUR</t>
  </si>
  <si>
    <t>25/11/2028</t>
  </si>
  <si>
    <t>BUNDESOBLIGATION 0.00% 13/10/2023 EUR</t>
  </si>
  <si>
    <t>13/10/2023</t>
  </si>
  <si>
    <t>t (nb od days )</t>
  </si>
  <si>
    <t>Cash Flow Schedule As Of 2018</t>
  </si>
  <si>
    <t>Market Discount Rate Effect</t>
  </si>
  <si>
    <t>Bonds Trajectories</t>
  </si>
  <si>
    <t>Discount Bond</t>
  </si>
  <si>
    <t>Premium Bond</t>
  </si>
  <si>
    <t>Distribution</t>
  </si>
  <si>
    <t>Amount</t>
  </si>
  <si>
    <t>Market Rate Variation</t>
  </si>
  <si>
    <t>Price Variation</t>
  </si>
  <si>
    <t>Schedule</t>
  </si>
  <si>
    <t>Present Value 
x Weight</t>
  </si>
  <si>
    <t>Payment</t>
  </si>
  <si>
    <t>Present Value</t>
  </si>
  <si>
    <t>Bloomberg Ticker</t>
  </si>
  <si>
    <t>Company</t>
  </si>
  <si>
    <t>Coupon</t>
  </si>
  <si>
    <t>Maturity</t>
  </si>
  <si>
    <t>Bond Yield</t>
  </si>
  <si>
    <t>Frequency</t>
  </si>
  <si>
    <t>Price</t>
  </si>
  <si>
    <t>First Coupon Date</t>
  </si>
  <si>
    <t>Par Amount</t>
  </si>
  <si>
    <t>EQUITY PORTFOLIO</t>
  </si>
  <si>
    <t>BOND PORTFOLIO</t>
  </si>
  <si>
    <t>Step</t>
  </si>
  <si>
    <t>Total value for the line</t>
  </si>
  <si>
    <t>Vega</t>
  </si>
  <si>
    <t>Rho</t>
  </si>
  <si>
    <t>Theta</t>
  </si>
  <si>
    <t>Gamma</t>
  </si>
  <si>
    <t>Delta</t>
  </si>
  <si>
    <t>OptionPricer</t>
  </si>
  <si>
    <t>Option type</t>
  </si>
  <si>
    <t>SD</t>
  </si>
  <si>
    <t>Risk Free rate</t>
  </si>
  <si>
    <t>Risk Free</t>
  </si>
  <si>
    <t>Strike Price</t>
  </si>
  <si>
    <t>Stock price</t>
  </si>
  <si>
    <t>Sensitivity analysis :</t>
  </si>
  <si>
    <t>Identifier</t>
  </si>
  <si>
    <t>Apple Equity 105 Put 19/03/2019</t>
  </si>
  <si>
    <t>UGL</t>
  </si>
  <si>
    <t>Price paid</t>
  </si>
  <si>
    <t>Underlying Asset Volatility (SD)</t>
  </si>
  <si>
    <t>Underlying Asset Price</t>
  </si>
  <si>
    <t>Maturity date</t>
  </si>
  <si>
    <t>Underlying Asset</t>
  </si>
  <si>
    <t>Option type (Call or Put)</t>
  </si>
  <si>
    <t>Position (Long or Short)</t>
  </si>
  <si>
    <t>ASSET CLASS</t>
  </si>
  <si>
    <t>TICKER</t>
  </si>
  <si>
    <t>PURCHASE DATE</t>
  </si>
  <si>
    <t>QUANTITY PURCHASED</t>
  </si>
  <si>
    <t>Year</t>
  </si>
  <si>
    <t>Bond Price 1</t>
  </si>
  <si>
    <t>Bond Price 2</t>
  </si>
  <si>
    <t>OPTION PORTFOLIO</t>
  </si>
  <si>
    <t>TOTAL PORTFOLIO</t>
  </si>
  <si>
    <t>TOTAL VALUE</t>
  </si>
  <si>
    <t>WEIGHT</t>
  </si>
  <si>
    <t>PROFITS / LOSSES)</t>
  </si>
  <si>
    <t>WELCOME</t>
  </si>
  <si>
    <t>CURRENT PORTFOLIO</t>
  </si>
  <si>
    <t>YOUR PORTFOLIO</t>
  </si>
  <si>
    <t>Year 1</t>
  </si>
  <si>
    <t>Year 2</t>
  </si>
  <si>
    <t>Year 1-2</t>
  </si>
  <si>
    <t>Year 2-3</t>
  </si>
  <si>
    <t>Years 3-4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</si>
</sst>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(* #,##0.00_);_(* \(#,##0.00\);_(* &quot;-&quot;??_);_(@_)"/>
    <numFmt numFmtId="164" formatCode="_-* #,##0.00\ _€_-;\-* #,##0.00\ _€_-;_-* &quot;-&quot;??\ _€_-;_-@_-"/>
    <numFmt numFmtId="165" formatCode="mm/dd/yy;@"/>
    <numFmt numFmtId="166" formatCode="#,##0.00\ &quot;€&quot;"/>
    <numFmt numFmtId="167" formatCode="m/d/yy;@"/>
    <numFmt numFmtId="168" formatCode="yyyy\-mm\-dd;@"/>
    <numFmt numFmtId="169" formatCode="#,##0.000000"/>
    <numFmt numFmtId="170" formatCode="#,##0.00_);\(#,##0.00\)_);&quot;-&quot;_);@_)"/>
    <numFmt numFmtId="171" formatCode="#,##0_);\(#,##0\)_);&quot;-&quot;_);@_)"/>
    <numFmt numFmtId="172" formatCode="0.00%_);\(0.00%\)_);&quot;-&quot;;@_)"/>
    <numFmt numFmtId="173" formatCode="0.0000"/>
    <numFmt numFmtId="174" formatCode="0.000"/>
    <numFmt numFmtId="175" formatCode="0.0%"/>
    <numFmt numFmtId="176" formatCode="#,##0.00\ [$€-40C]"/>
    <numFmt numFmtId="177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sz val="8"/>
      <color rgb="FF002E5F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b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30"/>
      <color theme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dotted">
        <color theme="3" tint="0.79998168889431442"/>
      </top>
      <bottom style="dotted">
        <color theme="3" tint="0.79998168889431442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/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52">
    <xf numFmtId="0" fontId="0" fillId="0" borderId="0" xfId="0"/>
    <xf numFmtId="14" fontId="0" fillId="0" borderId="0" xfId="0" applyNumberFormat="1"/>
    <xf numFmtId="165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3" fontId="2" fillId="2" borderId="0" xfId="0" applyNumberFormat="1" applyFont="1" applyFill="1" applyAlignment="1">
      <alignment horizontal="center"/>
    </xf>
    <xf numFmtId="3" fontId="0" fillId="0" borderId="0" xfId="0" applyNumberFormat="1"/>
    <xf numFmtId="0" fontId="1" fillId="0" borderId="0" xfId="3"/>
    <xf numFmtId="0" fontId="1" fillId="0" borderId="2" xfId="3" applyBorder="1"/>
    <xf numFmtId="0" fontId="1" fillId="0" borderId="4" xfId="3" applyBorder="1"/>
    <xf numFmtId="0" fontId="1" fillId="0" borderId="6" xfId="3" applyBorder="1"/>
    <xf numFmtId="0" fontId="0" fillId="0" borderId="0" xfId="0" applyAlignment="1">
      <alignment horizontal="left" vertical="center" wrapText="1"/>
    </xf>
    <xf numFmtId="10" fontId="0" fillId="0" borderId="0" xfId="1" applyNumberFormat="1" applyFont="1"/>
    <xf numFmtId="14" fontId="0" fillId="0" borderId="0" xfId="0" applyNumberFormat="1"/>
    <xf numFmtId="0" fontId="4" fillId="0" borderId="0" xfId="0" applyFont="1"/>
    <xf numFmtId="0" fontId="0" fillId="0" borderId="0" xfId="0" quotePrefix="1"/>
    <xf numFmtId="14" fontId="0" fillId="0" borderId="0" xfId="0" applyNumberFormat="1"/>
    <xf numFmtId="14" fontId="0" fillId="0" borderId="0" xfId="0" applyNumberFormat="1"/>
    <xf numFmtId="167" fontId="2" fillId="2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2" fontId="0" fillId="0" borderId="0" xfId="0" applyNumberFormat="1"/>
    <xf numFmtId="10" fontId="0" fillId="0" borderId="0" xfId="0" applyNumberFormat="1"/>
    <xf numFmtId="4" fontId="0" fillId="0" borderId="0" xfId="0" applyNumberFormat="1"/>
    <xf numFmtId="169" fontId="0" fillId="0" borderId="0" xfId="0" applyNumberFormat="1"/>
    <xf numFmtId="166" fontId="0" fillId="0" borderId="1" xfId="0" applyNumberFormat="1" applyBorder="1"/>
    <xf numFmtId="10" fontId="0" fillId="0" borderId="1" xfId="0" applyNumberFormat="1" applyBorder="1"/>
    <xf numFmtId="0" fontId="6" fillId="7" borderId="9" xfId="0" applyFont="1" applyFill="1" applyBorder="1"/>
    <xf numFmtId="170" fontId="6" fillId="7" borderId="9" xfId="2" applyNumberFormat="1" applyFont="1" applyFill="1" applyBorder="1"/>
    <xf numFmtId="171" fontId="6" fillId="7" borderId="9" xfId="2" applyNumberFormat="1" applyFont="1" applyFill="1" applyBorder="1"/>
    <xf numFmtId="172" fontId="6" fillId="7" borderId="9" xfId="2" applyNumberFormat="1" applyFont="1" applyFill="1" applyBorder="1" applyAlignment="1">
      <alignment horizontal="right"/>
    </xf>
    <xf numFmtId="14" fontId="6" fillId="7" borderId="9" xfId="0" applyNumberFormat="1" applyFont="1" applyFill="1" applyBorder="1"/>
    <xf numFmtId="14" fontId="6" fillId="7" borderId="9" xfId="0" applyNumberFormat="1" applyFont="1" applyFill="1" applyBorder="1" applyAlignment="1">
      <alignment horizontal="right"/>
    </xf>
    <xf numFmtId="9" fontId="0" fillId="0" borderId="0" xfId="1" applyFont="1"/>
    <xf numFmtId="0" fontId="0" fillId="0" borderId="0" xfId="0" applyAlignment="1">
      <alignment horizontal="left"/>
    </xf>
    <xf numFmtId="0" fontId="0" fillId="0" borderId="0" xfId="0" applyFill="1"/>
    <xf numFmtId="4" fontId="0" fillId="0" borderId="0" xfId="0" applyNumberFormat="1" applyAlignment="1">
      <alignment horizontal="right"/>
    </xf>
    <xf numFmtId="10" fontId="0" fillId="0" borderId="0" xfId="1" applyNumberFormat="1" applyFont="1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" fontId="0" fillId="0" borderId="10" xfId="0" applyNumberFormat="1" applyBorder="1" applyAlignment="1">
      <alignment horizontal="right"/>
    </xf>
    <xf numFmtId="4" fontId="0" fillId="0" borderId="0" xfId="0" applyNumberFormat="1" applyBorder="1" applyAlignment="1">
      <alignment horizontal="right"/>
    </xf>
    <xf numFmtId="14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10" fontId="0" fillId="8" borderId="0" xfId="0" applyNumberFormat="1" applyFill="1" applyAlignment="1">
      <alignment horizontal="left"/>
    </xf>
    <xf numFmtId="4" fontId="0" fillId="8" borderId="0" xfId="0" applyNumberFormat="1" applyFill="1"/>
    <xf numFmtId="2" fontId="0" fillId="0" borderId="1" xfId="0" applyNumberFormat="1" applyBorder="1"/>
    <xf numFmtId="0" fontId="0" fillId="0" borderId="0" xfId="0" applyBorder="1"/>
    <xf numFmtId="4" fontId="0" fillId="0" borderId="0" xfId="0" applyNumberFormat="1" applyBorder="1"/>
    <xf numFmtId="0" fontId="5" fillId="5" borderId="8" xfId="2" applyFont="1" applyFill="1" applyBorder="1" applyAlignment="1">
      <alignment horizontal="center" vertical="center"/>
    </xf>
    <xf numFmtId="0" fontId="5" fillId="6" borderId="8" xfId="2" applyFont="1" applyFill="1" applyBorder="1" applyAlignment="1">
      <alignment horizontal="center" vertical="center"/>
    </xf>
    <xf numFmtId="0" fontId="5" fillId="6" borderId="8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9" borderId="12" xfId="2" applyFont="1" applyFill="1" applyBorder="1" applyAlignment="1">
      <alignment horizontal="center" vertical="center"/>
    </xf>
    <xf numFmtId="0" fontId="9" fillId="9" borderId="14" xfId="2" applyFont="1" applyFill="1" applyBorder="1" applyAlignment="1">
      <alignment horizontal="center" vertical="center"/>
    </xf>
    <xf numFmtId="2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73" fontId="0" fillId="0" borderId="15" xfId="0" applyNumberFormat="1" applyBorder="1" applyAlignment="1">
      <alignment horizontal="center"/>
    </xf>
    <xf numFmtId="174" fontId="0" fillId="0" borderId="15" xfId="0" applyNumberForma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2" fontId="4" fillId="0" borderId="0" xfId="0" applyNumberFormat="1" applyFont="1" applyFill="1"/>
    <xf numFmtId="174" fontId="0" fillId="0" borderId="0" xfId="0" applyNumberFormat="1"/>
    <xf numFmtId="173" fontId="0" fillId="0" borderId="0" xfId="0" applyNumberFormat="1"/>
    <xf numFmtId="0" fontId="0" fillId="0" borderId="0" xfId="0" applyFont="1" applyFill="1"/>
    <xf numFmtId="1" fontId="0" fillId="0" borderId="0" xfId="0" applyNumberFormat="1"/>
    <xf numFmtId="2" fontId="8" fillId="0" borderId="0" xfId="0" applyNumberFormat="1" applyFont="1"/>
    <xf numFmtId="1" fontId="0" fillId="0" borderId="0" xfId="0" applyNumberFormat="1" applyFont="1" applyFill="1"/>
    <xf numFmtId="2" fontId="0" fillId="0" borderId="0" xfId="0" applyNumberFormat="1" applyFill="1"/>
    <xf numFmtId="174" fontId="0" fillId="0" borderId="0" xfId="0" applyNumberFormat="1" applyFill="1"/>
    <xf numFmtId="173" fontId="0" fillId="0" borderId="0" xfId="0" applyNumberFormat="1" applyFill="1"/>
    <xf numFmtId="1" fontId="0" fillId="0" borderId="0" xfId="0" applyNumberFormat="1" applyFill="1"/>
    <xf numFmtId="14" fontId="0" fillId="0" borderId="0" xfId="0" applyNumberFormat="1" applyFill="1"/>
    <xf numFmtId="0" fontId="2" fillId="9" borderId="11" xfId="0" applyFont="1" applyFill="1" applyBorder="1" applyAlignment="1">
      <alignment horizontal="center"/>
    </xf>
    <xf numFmtId="0" fontId="2" fillId="9" borderId="12" xfId="0" applyFont="1" applyFill="1" applyBorder="1" applyAlignment="1">
      <alignment horizontal="center"/>
    </xf>
    <xf numFmtId="14" fontId="0" fillId="0" borderId="0" xfId="0" applyNumberFormat="1" applyBorder="1"/>
    <xf numFmtId="0" fontId="4" fillId="0" borderId="0" xfId="0" applyFont="1" applyAlignment="1">
      <alignment horizontal="center" wrapText="1"/>
    </xf>
    <xf numFmtId="0" fontId="2" fillId="10" borderId="11" xfId="0" applyFont="1" applyFill="1" applyBorder="1" applyAlignment="1">
      <alignment horizontal="center"/>
    </xf>
    <xf numFmtId="0" fontId="2" fillId="10" borderId="12" xfId="0" applyFont="1" applyFill="1" applyBorder="1" applyAlignment="1">
      <alignment horizontal="center"/>
    </xf>
    <xf numFmtId="2" fontId="7" fillId="10" borderId="12" xfId="0" applyNumberFormat="1" applyFont="1" applyFill="1" applyBorder="1" applyAlignment="1">
      <alignment horizontal="center"/>
    </xf>
    <xf numFmtId="166" fontId="0" fillId="12" borderId="1" xfId="0" applyNumberFormat="1" applyFill="1" applyBorder="1"/>
    <xf numFmtId="10" fontId="0" fillId="12" borderId="1" xfId="0" applyNumberFormat="1" applyFill="1" applyBorder="1"/>
    <xf numFmtId="176" fontId="0" fillId="11" borderId="0" xfId="0" applyNumberFormat="1" applyFill="1" applyBorder="1"/>
    <xf numFmtId="176" fontId="0" fillId="12" borderId="0" xfId="0" applyNumberFormat="1" applyFill="1" applyBorder="1"/>
    <xf numFmtId="176" fontId="0" fillId="0" borderId="1" xfId="0" applyNumberFormat="1" applyBorder="1"/>
    <xf numFmtId="176" fontId="0" fillId="0" borderId="0" xfId="0" applyNumberFormat="1"/>
    <xf numFmtId="176" fontId="0" fillId="0" borderId="0" xfId="0" applyNumberFormat="1" applyBorder="1"/>
    <xf numFmtId="0" fontId="2" fillId="13" borderId="11" xfId="0" applyFont="1" applyFill="1" applyBorder="1" applyAlignment="1">
      <alignment horizontal="center"/>
    </xf>
    <xf numFmtId="0" fontId="2" fillId="13" borderId="12" xfId="0" applyFont="1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Border="1"/>
    <xf numFmtId="2" fontId="4" fillId="12" borderId="0" xfId="0" applyNumberFormat="1" applyFont="1" applyFill="1"/>
    <xf numFmtId="9" fontId="0" fillId="12" borderId="0" xfId="1" applyFont="1" applyFill="1"/>
    <xf numFmtId="14" fontId="0" fillId="12" borderId="0" xfId="0" applyNumberFormat="1" applyFill="1"/>
    <xf numFmtId="0" fontId="0" fillId="12" borderId="0" xfId="0" applyFill="1"/>
    <xf numFmtId="1" fontId="0" fillId="12" borderId="0" xfId="0" applyNumberFormat="1" applyFill="1"/>
    <xf numFmtId="0" fontId="0" fillId="12" borderId="0" xfId="0" applyFont="1" applyFill="1"/>
    <xf numFmtId="174" fontId="0" fillId="12" borderId="0" xfId="0" applyNumberFormat="1" applyFill="1"/>
    <xf numFmtId="2" fontId="0" fillId="12" borderId="0" xfId="0" applyNumberFormat="1" applyFill="1"/>
    <xf numFmtId="173" fontId="0" fillId="12" borderId="0" xfId="0" applyNumberFormat="1" applyFill="1"/>
    <xf numFmtId="1" fontId="0" fillId="12" borderId="0" xfId="0" applyNumberFormat="1" applyFont="1" applyFill="1"/>
    <xf numFmtId="2" fontId="8" fillId="12" borderId="0" xfId="0" applyNumberFormat="1" applyFont="1" applyFill="1"/>
    <xf numFmtId="0" fontId="4" fillId="10" borderId="2" xfId="0" applyFont="1" applyFill="1" applyBorder="1"/>
    <xf numFmtId="0" fontId="4" fillId="10" borderId="23" xfId="0" applyFont="1" applyFill="1" applyBorder="1"/>
    <xf numFmtId="14" fontId="4" fillId="10" borderId="23" xfId="0" applyNumberFormat="1" applyFont="1" applyFill="1" applyBorder="1"/>
    <xf numFmtId="174" fontId="4" fillId="10" borderId="23" xfId="0" applyNumberFormat="1" applyFont="1" applyFill="1" applyBorder="1"/>
    <xf numFmtId="2" fontId="4" fillId="10" borderId="23" xfId="0" applyNumberFormat="1" applyFont="1" applyFill="1" applyBorder="1"/>
    <xf numFmtId="173" fontId="4" fillId="10" borderId="23" xfId="0" applyNumberFormat="1" applyFont="1" applyFill="1" applyBorder="1"/>
    <xf numFmtId="9" fontId="8" fillId="12" borderId="0" xfId="1" applyFont="1" applyFill="1" applyBorder="1" applyAlignment="1">
      <alignment horizontal="center"/>
    </xf>
    <xf numFmtId="9" fontId="8" fillId="12" borderId="19" xfId="1" applyFont="1" applyFill="1" applyBorder="1" applyAlignment="1">
      <alignment horizontal="center"/>
    </xf>
    <xf numFmtId="176" fontId="7" fillId="4" borderId="11" xfId="0" applyNumberFormat="1" applyFont="1" applyFill="1" applyBorder="1" applyAlignment="1">
      <alignment horizontal="center" vertical="center"/>
    </xf>
    <xf numFmtId="176" fontId="7" fillId="4" borderId="12" xfId="0" applyNumberFormat="1" applyFont="1" applyFill="1" applyBorder="1" applyAlignment="1">
      <alignment horizontal="center" vertical="center"/>
    </xf>
    <xf numFmtId="176" fontId="0" fillId="11" borderId="0" xfId="0" applyNumberFormat="1" applyFill="1" applyBorder="1" applyAlignment="1">
      <alignment horizontal="right"/>
    </xf>
    <xf numFmtId="176" fontId="0" fillId="12" borderId="0" xfId="0" applyNumberFormat="1" applyFill="1" applyBorder="1" applyAlignment="1">
      <alignment horizontal="right"/>
    </xf>
    <xf numFmtId="176" fontId="5" fillId="6" borderId="8" xfId="2" applyNumberFormat="1" applyFont="1" applyFill="1" applyBorder="1" applyAlignment="1">
      <alignment horizontal="center" vertical="center"/>
    </xf>
    <xf numFmtId="176" fontId="5" fillId="5" borderId="8" xfId="2" applyNumberFormat="1" applyFont="1" applyFill="1" applyBorder="1" applyAlignment="1">
      <alignment horizontal="center" vertical="center" wrapText="1"/>
    </xf>
    <xf numFmtId="176" fontId="6" fillId="7" borderId="9" xfId="2" applyNumberFormat="1" applyFont="1" applyFill="1" applyBorder="1"/>
    <xf numFmtId="14" fontId="5" fillId="5" borderId="8" xfId="2" applyNumberFormat="1" applyFont="1" applyFill="1" applyBorder="1" applyAlignment="1">
      <alignment horizontal="center" vertical="center"/>
    </xf>
    <xf numFmtId="176" fontId="4" fillId="10" borderId="23" xfId="0" applyNumberFormat="1" applyFont="1" applyFill="1" applyBorder="1"/>
    <xf numFmtId="176" fontId="2" fillId="9" borderId="12" xfId="0" applyNumberFormat="1" applyFont="1" applyFill="1" applyBorder="1" applyAlignment="1">
      <alignment horizontal="center"/>
    </xf>
    <xf numFmtId="14" fontId="2" fillId="9" borderId="12" xfId="0" applyNumberFormat="1" applyFont="1" applyFill="1" applyBorder="1" applyAlignment="1">
      <alignment horizontal="center"/>
    </xf>
    <xf numFmtId="2" fontId="0" fillId="0" borderId="0" xfId="0" applyNumberFormat="1" applyBorder="1"/>
    <xf numFmtId="176" fontId="2" fillId="10" borderId="12" xfId="0" applyNumberFormat="1" applyFont="1" applyFill="1" applyBorder="1" applyAlignment="1">
      <alignment horizontal="center"/>
    </xf>
    <xf numFmtId="14" fontId="2" fillId="10" borderId="12" xfId="0" applyNumberFormat="1" applyFont="1" applyFill="1" applyBorder="1" applyAlignment="1">
      <alignment horizontal="center"/>
    </xf>
    <xf numFmtId="2" fontId="2" fillId="10" borderId="12" xfId="0" applyNumberFormat="1" applyFont="1" applyFill="1" applyBorder="1" applyAlignment="1">
      <alignment horizontal="center"/>
    </xf>
    <xf numFmtId="14" fontId="7" fillId="4" borderId="12" xfId="0" applyNumberFormat="1" applyFont="1" applyFill="1" applyBorder="1" applyAlignment="1">
      <alignment horizontal="center" vertical="center"/>
    </xf>
    <xf numFmtId="14" fontId="7" fillId="4" borderId="14" xfId="0" applyNumberFormat="1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wrapText="1"/>
    </xf>
    <xf numFmtId="14" fontId="7" fillId="13" borderId="0" xfId="0" applyNumberFormat="1" applyFont="1" applyFill="1" applyAlignment="1">
      <alignment horizontal="center" wrapText="1"/>
    </xf>
    <xf numFmtId="0" fontId="0" fillId="0" borderId="0" xfId="0" applyFont="1"/>
    <xf numFmtId="14" fontId="4" fillId="10" borderId="3" xfId="0" applyNumberFormat="1" applyFont="1" applyFill="1" applyBorder="1"/>
    <xf numFmtId="0" fontId="0" fillId="12" borderId="18" xfId="0" applyFont="1" applyFill="1" applyBorder="1" applyAlignment="1">
      <alignment horizontal="center"/>
    </xf>
    <xf numFmtId="2" fontId="0" fillId="12" borderId="0" xfId="0" applyNumberFormat="1" applyFont="1" applyFill="1" applyBorder="1" applyAlignment="1">
      <alignment horizontal="center"/>
    </xf>
    <xf numFmtId="14" fontId="0" fillId="12" borderId="0" xfId="0" applyNumberFormat="1" applyFont="1" applyFill="1" applyBorder="1" applyAlignment="1">
      <alignment horizontal="center"/>
    </xf>
    <xf numFmtId="9" fontId="1" fillId="12" borderId="0" xfId="1" applyFont="1" applyFill="1" applyBorder="1" applyAlignment="1">
      <alignment horizontal="center"/>
    </xf>
    <xf numFmtId="176" fontId="0" fillId="12" borderId="0" xfId="0" applyNumberFormat="1" applyFont="1" applyFill="1" applyBorder="1" applyAlignment="1">
      <alignment horizontal="center"/>
    </xf>
    <xf numFmtId="173" fontId="0" fillId="12" borderId="0" xfId="0" applyNumberFormat="1" applyFont="1" applyFill="1" applyBorder="1" applyAlignment="1">
      <alignment horizontal="center"/>
    </xf>
    <xf numFmtId="176" fontId="0" fillId="12" borderId="0" xfId="0" applyNumberFormat="1" applyFont="1" applyFill="1" applyBorder="1"/>
    <xf numFmtId="2" fontId="0" fillId="12" borderId="0" xfId="0" applyNumberFormat="1" applyFont="1" applyFill="1" applyBorder="1"/>
    <xf numFmtId="2" fontId="1" fillId="12" borderId="0" xfId="6" applyNumberFormat="1" applyFont="1" applyFill="1" applyBorder="1"/>
    <xf numFmtId="9" fontId="1" fillId="12" borderId="0" xfId="1" applyFont="1" applyFill="1" applyBorder="1"/>
    <xf numFmtId="14" fontId="0" fillId="12" borderId="21" xfId="0" applyNumberFormat="1" applyFont="1" applyFill="1" applyBorder="1"/>
    <xf numFmtId="0" fontId="0" fillId="12" borderId="20" xfId="0" applyFont="1" applyFill="1" applyBorder="1" applyAlignment="1">
      <alignment horizontal="center"/>
    </xf>
    <xf numFmtId="2" fontId="0" fillId="12" borderId="19" xfId="0" applyNumberFormat="1" applyFont="1" applyFill="1" applyBorder="1" applyAlignment="1">
      <alignment horizontal="center"/>
    </xf>
    <xf numFmtId="14" fontId="0" fillId="12" borderId="19" xfId="0" applyNumberFormat="1" applyFont="1" applyFill="1" applyBorder="1" applyAlignment="1">
      <alignment horizontal="center"/>
    </xf>
    <xf numFmtId="9" fontId="1" fillId="12" borderId="19" xfId="1" applyFont="1" applyFill="1" applyBorder="1" applyAlignment="1">
      <alignment horizontal="center"/>
    </xf>
    <xf numFmtId="176" fontId="0" fillId="12" borderId="19" xfId="0" applyNumberFormat="1" applyFont="1" applyFill="1" applyBorder="1" applyAlignment="1">
      <alignment horizontal="center"/>
    </xf>
    <xf numFmtId="173" fontId="0" fillId="12" borderId="19" xfId="0" applyNumberFormat="1" applyFont="1" applyFill="1" applyBorder="1" applyAlignment="1">
      <alignment horizontal="center"/>
    </xf>
    <xf numFmtId="176" fontId="0" fillId="12" borderId="19" xfId="0" applyNumberFormat="1" applyFont="1" applyFill="1" applyBorder="1"/>
    <xf numFmtId="2" fontId="0" fillId="12" borderId="19" xfId="0" applyNumberFormat="1" applyFont="1" applyFill="1" applyBorder="1"/>
    <xf numFmtId="2" fontId="1" fillId="12" borderId="19" xfId="6" applyNumberFormat="1" applyFont="1" applyFill="1" applyBorder="1"/>
    <xf numFmtId="9" fontId="1" fillId="12" borderId="19" xfId="1" applyFont="1" applyFill="1" applyBorder="1"/>
    <xf numFmtId="14" fontId="0" fillId="12" borderId="22" xfId="0" applyNumberFormat="1" applyFont="1" applyFill="1" applyBorder="1"/>
    <xf numFmtId="0" fontId="0" fillId="6" borderId="0" xfId="0" applyFill="1"/>
    <xf numFmtId="0" fontId="2" fillId="9" borderId="10" xfId="0" applyFont="1" applyFill="1" applyBorder="1"/>
    <xf numFmtId="0" fontId="2" fillId="9" borderId="0" xfId="0" applyFont="1" applyFill="1" applyBorder="1"/>
    <xf numFmtId="0" fontId="0" fillId="6" borderId="0" xfId="0" applyFill="1" applyAlignment="1">
      <alignment horizontal="left"/>
    </xf>
    <xf numFmtId="9" fontId="0" fillId="6" borderId="0" xfId="1" applyFont="1" applyFill="1"/>
    <xf numFmtId="4" fontId="0" fillId="6" borderId="0" xfId="0" applyNumberFormat="1" applyFill="1"/>
    <xf numFmtId="10" fontId="0" fillId="6" borderId="0" xfId="0" applyNumberFormat="1" applyFill="1"/>
    <xf numFmtId="4" fontId="0" fillId="6" borderId="0" xfId="1" applyNumberFormat="1" applyFont="1" applyFill="1"/>
    <xf numFmtId="0" fontId="7" fillId="10" borderId="14" xfId="0" applyFont="1" applyFill="1" applyBorder="1" applyAlignment="1">
      <alignment horizontal="center"/>
    </xf>
    <xf numFmtId="1" fontId="0" fillId="0" borderId="0" xfId="0" applyNumberFormat="1" applyBorder="1"/>
    <xf numFmtId="0" fontId="0" fillId="0" borderId="24" xfId="0" applyBorder="1"/>
    <xf numFmtId="176" fontId="0" fillId="0" borderId="24" xfId="0" applyNumberFormat="1" applyBorder="1"/>
    <xf numFmtId="14" fontId="0" fillId="0" borderId="24" xfId="0" applyNumberFormat="1" applyBorder="1"/>
    <xf numFmtId="10" fontId="0" fillId="0" borderId="0" xfId="0" applyNumberFormat="1" applyBorder="1"/>
    <xf numFmtId="0" fontId="0" fillId="0" borderId="25" xfId="0" applyBorder="1"/>
    <xf numFmtId="0" fontId="0" fillId="0" borderId="26" xfId="0" applyBorder="1"/>
    <xf numFmtId="0" fontId="0" fillId="4" borderId="0" xfId="0" applyFill="1"/>
    <xf numFmtId="14" fontId="0" fillId="4" borderId="0" xfId="0" applyNumberFormat="1" applyFill="1" applyBorder="1"/>
    <xf numFmtId="14" fontId="0" fillId="4" borderId="0" xfId="0" applyNumberFormat="1" applyFill="1"/>
    <xf numFmtId="0" fontId="0" fillId="4" borderId="0" xfId="0" applyFill="1" applyBorder="1"/>
    <xf numFmtId="0" fontId="0" fillId="9" borderId="0" xfId="0" applyFill="1" applyAlignment="1">
      <alignment horizontal="center"/>
    </xf>
    <xf numFmtId="0" fontId="0" fillId="9" borderId="0" xfId="0" applyFill="1"/>
    <xf numFmtId="0" fontId="0" fillId="10" borderId="0" xfId="0" applyFill="1"/>
    <xf numFmtId="166" fontId="2" fillId="2" borderId="0" xfId="0" applyNumberFormat="1" applyFont="1" applyFill="1" applyAlignment="1">
      <alignment horizontal="center"/>
    </xf>
    <xf numFmtId="166" fontId="0" fillId="0" borderId="0" xfId="0" applyNumberFormat="1"/>
    <xf numFmtId="10" fontId="2" fillId="2" borderId="0" xfId="1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/>
    </xf>
    <xf numFmtId="177" fontId="2" fillId="2" borderId="0" xfId="1" applyNumberFormat="1" applyFont="1" applyFill="1" applyAlignment="1">
      <alignment horizontal="center"/>
    </xf>
    <xf numFmtId="177" fontId="0" fillId="0" borderId="0" xfId="1" applyNumberFormat="1" applyFont="1"/>
    <xf numFmtId="10" fontId="4" fillId="0" borderId="0" xfId="1" applyNumberFormat="1" applyFont="1"/>
    <xf numFmtId="0" fontId="4" fillId="10" borderId="0" xfId="0" applyFont="1" applyFill="1"/>
    <xf numFmtId="174" fontId="4" fillId="10" borderId="0" xfId="0" applyNumberFormat="1" applyFont="1" applyFill="1"/>
    <xf numFmtId="2" fontId="0" fillId="0" borderId="0" xfId="0" applyNumberFormat="1" applyFill="1" applyAlignment="1">
      <alignment horizontal="center"/>
    </xf>
    <xf numFmtId="175" fontId="0" fillId="0" borderId="0" xfId="1" applyNumberFormat="1" applyFont="1" applyFill="1" applyAlignment="1">
      <alignment horizontal="center"/>
    </xf>
    <xf numFmtId="2" fontId="8" fillId="0" borderId="0" xfId="0" applyNumberFormat="1" applyFont="1" applyFill="1" applyAlignment="1">
      <alignment horizontal="center"/>
    </xf>
    <xf numFmtId="173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4" fillId="14" borderId="0" xfId="0" applyFont="1" applyFill="1"/>
    <xf numFmtId="2" fontId="4" fillId="14" borderId="0" xfId="0" applyNumberFormat="1" applyFont="1" applyFill="1"/>
    <xf numFmtId="173" fontId="4" fillId="14" borderId="0" xfId="0" applyNumberFormat="1" applyFont="1" applyFill="1"/>
    <xf numFmtId="0" fontId="0" fillId="14" borderId="0" xfId="0" applyFill="1"/>
    <xf numFmtId="0" fontId="4" fillId="14" borderId="15" xfId="0" applyFont="1" applyFill="1" applyBorder="1" applyAlignment="1">
      <alignment horizontal="center"/>
    </xf>
    <xf numFmtId="9" fontId="0" fillId="6" borderId="15" xfId="1" applyFont="1" applyFill="1" applyBorder="1"/>
    <xf numFmtId="9" fontId="0" fillId="6" borderId="15" xfId="0" applyNumberFormat="1" applyFill="1" applyBorder="1"/>
    <xf numFmtId="9" fontId="0" fillId="0" borderId="15" xfId="0" applyNumberFormat="1" applyFill="1" applyBorder="1" applyAlignment="1">
      <alignment horizontal="center"/>
    </xf>
    <xf numFmtId="0" fontId="0" fillId="3" borderId="15" xfId="0" applyFill="1" applyBorder="1"/>
    <xf numFmtId="176" fontId="0" fillId="11" borderId="29" xfId="0" applyNumberFormat="1" applyFill="1" applyBorder="1"/>
    <xf numFmtId="176" fontId="0" fillId="12" borderId="29" xfId="0" applyNumberFormat="1" applyFill="1" applyBorder="1"/>
    <xf numFmtId="0" fontId="0" fillId="0" borderId="29" xfId="0" applyBorder="1"/>
    <xf numFmtId="0" fontId="0" fillId="0" borderId="30" xfId="0" applyBorder="1"/>
    <xf numFmtId="1" fontId="0" fillId="0" borderId="24" xfId="0" applyNumberFormat="1" applyBorder="1"/>
    <xf numFmtId="10" fontId="0" fillId="11" borderId="31" xfId="1" applyNumberFormat="1" applyFont="1" applyFill="1" applyBorder="1" applyAlignment="1">
      <alignment horizontal="center"/>
    </xf>
    <xf numFmtId="10" fontId="0" fillId="12" borderId="31" xfId="1" applyNumberFormat="1" applyFont="1" applyFill="1" applyBorder="1" applyAlignment="1">
      <alignment horizontal="center"/>
    </xf>
    <xf numFmtId="10" fontId="0" fillId="0" borderId="31" xfId="0" applyNumberFormat="1" applyBorder="1" applyAlignment="1">
      <alignment horizontal="center"/>
    </xf>
    <xf numFmtId="10" fontId="0" fillId="0" borderId="32" xfId="0" applyNumberFormat="1" applyBorder="1" applyAlignment="1">
      <alignment horizontal="center"/>
    </xf>
    <xf numFmtId="4" fontId="0" fillId="0" borderId="24" xfId="0" applyNumberFormat="1" applyBorder="1"/>
    <xf numFmtId="9" fontId="0" fillId="0" borderId="27" xfId="1" applyFont="1" applyBorder="1"/>
    <xf numFmtId="9" fontId="0" fillId="0" borderId="28" xfId="1" applyFont="1" applyBorder="1"/>
    <xf numFmtId="0" fontId="0" fillId="0" borderId="33" xfId="0" applyBorder="1"/>
    <xf numFmtId="0" fontId="0" fillId="0" borderId="34" xfId="0" applyBorder="1"/>
    <xf numFmtId="176" fontId="0" fillId="0" borderId="34" xfId="0" applyNumberFormat="1" applyBorder="1"/>
    <xf numFmtId="14" fontId="0" fillId="0" borderId="34" xfId="0" applyNumberFormat="1" applyBorder="1"/>
    <xf numFmtId="2" fontId="0" fillId="0" borderId="34" xfId="0" applyNumberFormat="1" applyBorder="1"/>
    <xf numFmtId="2" fontId="0" fillId="12" borderId="34" xfId="0" applyNumberFormat="1" applyFont="1" applyFill="1" applyBorder="1"/>
    <xf numFmtId="9" fontId="1" fillId="12" borderId="27" xfId="1" applyFont="1" applyFill="1" applyBorder="1"/>
    <xf numFmtId="9" fontId="1" fillId="12" borderId="35" xfId="1" applyFont="1" applyFill="1" applyBorder="1"/>
    <xf numFmtId="10" fontId="0" fillId="0" borderId="24" xfId="0" applyNumberFormat="1" applyBorder="1"/>
    <xf numFmtId="176" fontId="0" fillId="0" borderId="27" xfId="0" applyNumberFormat="1" applyBorder="1"/>
    <xf numFmtId="176" fontId="0" fillId="0" borderId="28" xfId="0" applyNumberFormat="1" applyBorder="1"/>
    <xf numFmtId="0" fontId="13" fillId="13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0" fontId="14" fillId="0" borderId="39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40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14" fillId="0" borderId="43" xfId="0" applyFont="1" applyBorder="1" applyAlignment="1">
      <alignment horizontal="center" vertical="center"/>
    </xf>
    <xf numFmtId="4" fontId="0" fillId="6" borderId="0" xfId="0" applyNumberFormat="1" applyFill="1" applyAlignment="1">
      <alignment horizontal="center" wrapText="1"/>
    </xf>
    <xf numFmtId="0" fontId="10" fillId="14" borderId="17" xfId="0" applyFont="1" applyFill="1" applyBorder="1" applyAlignment="1">
      <alignment horizontal="center" vertical="center"/>
    </xf>
    <xf numFmtId="0" fontId="10" fillId="14" borderId="10" xfId="0" applyFont="1" applyFill="1" applyBorder="1" applyAlignment="1">
      <alignment horizontal="center" vertical="center"/>
    </xf>
    <xf numFmtId="0" fontId="10" fillId="14" borderId="13" xfId="0" applyFont="1" applyFill="1" applyBorder="1" applyAlignment="1">
      <alignment horizontal="center" vertical="center"/>
    </xf>
    <xf numFmtId="0" fontId="10" fillId="14" borderId="0" xfId="0" applyFont="1" applyFill="1" applyBorder="1" applyAlignment="1">
      <alignment horizontal="center" vertical="center"/>
    </xf>
    <xf numFmtId="0" fontId="10" fillId="14" borderId="15" xfId="0" applyFont="1" applyFill="1" applyBorder="1" applyAlignment="1">
      <alignment horizontal="center" vertical="center"/>
    </xf>
    <xf numFmtId="0" fontId="10" fillId="14" borderId="16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/>
    </xf>
    <xf numFmtId="0" fontId="15" fillId="0" borderId="3" xfId="3" applyFont="1" applyBorder="1"/>
    <xf numFmtId="0" fontId="15" fillId="0" borderId="5" xfId="3" applyFont="1" applyBorder="1"/>
    <xf numFmtId="0" fontId="15" fillId="0" borderId="7" xfId="3" applyFont="1" applyBorder="1"/>
    <xf numFmtId="1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/>
    <xf numFmtId="0" fontId="15" fillId="6" borderId="0" xfId="0" applyFont="1" applyFill="1"/>
    <xf numFmtId="4" fontId="15" fillId="6" borderId="0" xfId="0" applyNumberFormat="1" applyFont="1" applyFill="1"/>
    <xf numFmtId="0" fontId="15" fillId="10" borderId="0" xfId="0" applyFont="1" applyFill="1" applyAlignment="1">
      <alignment horizontal="center"/>
    </xf>
    <xf numFmtId="14" fontId="16" fillId="0" borderId="0" xfId="0" applyNumberFormat="1" applyFont="1"/>
    <xf numFmtId="14" fontId="15" fillId="0" borderId="0" xfId="0" applyNumberFormat="1" applyFont="1"/>
  </cellXfs>
  <cellStyles count="7">
    <cellStyle name="Comma" xfId="6" builtinId="3"/>
    <cellStyle name="Milliers 2" xfId="5" xr:uid="{00000000-0005-0000-0000-000001000000}"/>
    <cellStyle name="Normal" xfId="0" builtinId="0"/>
    <cellStyle name="Normal 2" xfId="2" xr:uid="{00000000-0005-0000-0000-000003000000}"/>
    <cellStyle name="Normal 2 2" xfId="3" xr:uid="{00000000-0005-0000-0000-000004000000}"/>
    <cellStyle name="Percent" xfId="1" builtinId="5"/>
    <cellStyle name="Pourcentage 2" xfId="4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Equities</a:t>
            </a:r>
          </a:p>
        </c:rich>
      </c:tx>
      <c:layout>
        <c:manualLayout>
          <c:xMode val="edge"/>
          <c:yMode val="edge"/>
          <c:x val="2.1142775334901318E-2"/>
          <c:y val="4.55958549222797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025-4086-9890-D2A955F926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25-4086-9890-D2A955F9269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025-4086-9890-D2A955F9269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025-4086-9890-D2A955F9269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025-4086-9890-D2A955F9269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025-4086-9890-D2A955F9269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025-4086-9890-D2A955F9269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025-4086-9890-D2A955F9269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025-4086-9890-D2A955F9269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025-4086-9890-D2A955F9269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025-4086-9890-D2A955F9269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025-4086-9890-D2A955F9269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025-4086-9890-D2A955F9269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numRef>
              <c:f>'MASTER SHEET'!$E$4:$E$16</c:f>
              <c:numCache>
                <c:formatCode>#,##0.00\ [$€-40C]</c:formatCode>
                <c:ptCount val="13"/>
              </c:numCache>
            </c:numRef>
          </c:cat>
          <c:val>
            <c:numRef>
              <c:f>'MASTER SHEET'!$L$4:$L$16</c:f>
              <c:numCache>
                <c:formatCode>0.00%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1A-7025-4086-9890-D2A955F92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Bonds</a:t>
            </a:r>
          </a:p>
        </c:rich>
      </c:tx>
      <c:layout>
        <c:manualLayout>
          <c:xMode val="edge"/>
          <c:yMode val="edge"/>
          <c:x val="2.1142775334901318E-2"/>
          <c:y val="4.55958549222797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EA-4A2E-9E51-C04FDEB30E9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EA-4A2E-9E51-C04FDEB30E9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EA-4A2E-9E51-C04FDEB30E9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4EA-4A2E-9E51-C04FDEB30E9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4EA-4A2E-9E51-C04FDEB30E9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4EA-4A2E-9E51-C04FDEB30E9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4EA-4A2E-9E51-C04FDEB30E9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4EA-4A2E-9E51-C04FDEB30E9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4EA-4A2E-9E51-C04FDEB30E9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4EA-4A2E-9E51-C04FDEB30E9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4EA-4A2E-9E51-C04FDEB30E9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4EA-4A2E-9E51-C04FDEB30E9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4EA-4A2E-9E51-C04FDEB30E9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numRef>
              <c:f>'MASTER SHEET'!$E$22:$E$31</c:f>
              <c:numCache>
                <c:formatCode>General</c:formatCode>
                <c:ptCount val="10"/>
              </c:numCache>
            </c:numRef>
          </c:cat>
          <c:val>
            <c:numRef>
              <c:f>'MASTER SHEET'!$L$22:$L$31</c:f>
              <c:numCache>
                <c:formatCode>0%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1A-24EA-4A2E-9E51-C04FDEB30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Options</a:t>
            </a:r>
          </a:p>
        </c:rich>
      </c:tx>
      <c:layout>
        <c:manualLayout>
          <c:xMode val="edge"/>
          <c:yMode val="edge"/>
          <c:x val="2.1142775334901318E-2"/>
          <c:y val="4.55958549222797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FE2-4EFA-A5CB-1A711015F6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FE2-4EFA-A5CB-1A711015F6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FE2-4EFA-A5CB-1A711015F6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FE2-4EFA-A5CB-1A711015F60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FE2-4EFA-A5CB-1A711015F60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FE2-4EFA-A5CB-1A711015F60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FE2-4EFA-A5CB-1A711015F60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FE2-4EFA-A5CB-1A711015F60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FE2-4EFA-A5CB-1A711015F60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FE2-4EFA-A5CB-1A711015F60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FE2-4EFA-A5CB-1A711015F60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FE2-4EFA-A5CB-1A711015F60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FE2-4EFA-A5CB-1A711015F60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numRef>
              <c:f>'MASTER SHEET'!$E$37:$E$38</c:f>
              <c:numCache>
                <c:formatCode>General</c:formatCode>
                <c:ptCount val="2"/>
              </c:numCache>
            </c:numRef>
          </c:cat>
          <c:val>
            <c:numRef>
              <c:f>'MASTER SHEET'!$L$37:$L$38</c:f>
              <c:numCache>
                <c:formatCode>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A-9FE2-4EFA-A5CB-1A711015F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EquityAnalysis!$C$1</c:f>
              <c:strCache>
                <c:ptCount val="1"/>
                <c:pt idx="0">
                  <c:v>Volume</c:v>
                </c:pt>
              </c:strCache>
            </c:strRef>
          </c:tx>
          <c:spPr>
            <a:gradFill flip="none" rotWithShape="1">
              <a:gsLst>
                <a:gs pos="0">
                  <a:srgbClr val="DDEBCF"/>
                </a:gs>
                <a:gs pos="50000">
                  <a:srgbClr val="9CB86E"/>
                </a:gs>
                <a:gs pos="100000">
                  <a:srgbClr val="156B13"/>
                </a:gs>
              </a:gsLst>
              <a:lin ang="5400000" scaled="0"/>
              <a:tileRect/>
            </a:gradFill>
          </c:spPr>
          <c:invertIfNegative val="0"/>
          <c:cat>
            <c:numRef>
              <c:f>EquityAnalysis!$A$2:$A$690</c:f>
              <c:numCache>
                <c:formatCode>yyyy\-mm\-dd;@</c:formatCode>
                <c:ptCount val="689"/>
              </c:numCache>
            </c:numRef>
          </c:cat>
          <c:val>
            <c:numRef>
              <c:f>EquityAnalysis!$C$2:$C$690</c:f>
              <c:numCache>
                <c:formatCode>#,##0</c:formatCode>
                <c:ptCount val="689"/>
              </c:numCache>
            </c:numRef>
          </c:val>
          <c:extLst>
            <c:ext xmlns:c16="http://schemas.microsoft.com/office/drawing/2014/chart" uri="{C3380CC4-5D6E-409C-BE32-E72D297353CC}">
              <c16:uniqueId val="{00000000-426B-430C-81DD-0ED63DBF5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629248"/>
        <c:axId val="200627712"/>
      </c:barChart>
      <c:lineChart>
        <c:grouping val="standard"/>
        <c:varyColors val="0"/>
        <c:ser>
          <c:idx val="0"/>
          <c:order val="1"/>
          <c:tx>
            <c:strRef>
              <c:f>EquityAnalysis!$B$1</c:f>
              <c:strCache>
                <c:ptCount val="1"/>
                <c:pt idx="0">
                  <c:v>Close</c:v>
                </c:pt>
              </c:strCache>
            </c:strRef>
          </c:tx>
          <c:spPr>
            <a:ln w="19050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EquityAnalysis!$A$2:$A$690</c:f>
              <c:numCache>
                <c:formatCode>yyyy\-mm\-dd;@</c:formatCode>
                <c:ptCount val="689"/>
              </c:numCache>
            </c:numRef>
          </c:cat>
          <c:val>
            <c:numRef>
              <c:f>EquityAnalysis!$B$2:$B$690</c:f>
              <c:numCache>
                <c:formatCode>#,##0.00\ "€"</c:formatCode>
                <c:ptCount val="68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6B-430C-81DD-0ED63DBF5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20288"/>
        <c:axId val="200626176"/>
      </c:lineChart>
      <c:catAx>
        <c:axId val="200620288"/>
        <c:scaling>
          <c:orientation val="minMax"/>
          <c:max val="949"/>
          <c:min val="1"/>
        </c:scaling>
        <c:delete val="0"/>
        <c:axPos val="b"/>
        <c:numFmt formatCode="yyyy\-mm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00626176"/>
        <c:crosses val="autoZero"/>
        <c:auto val="1"/>
        <c:lblAlgn val="ctr"/>
        <c:lblOffset val="100"/>
        <c:noMultiLvlLbl val="1"/>
      </c:catAx>
      <c:valAx>
        <c:axId val="200626176"/>
        <c:scaling>
          <c:orientation val="minMax"/>
          <c:max val="129.6"/>
          <c:min val="58.14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#,##0" sourceLinked="0"/>
        <c:majorTickMark val="out"/>
        <c:minorTickMark val="none"/>
        <c:tickLblPos val="nextTo"/>
        <c:crossAx val="200620288"/>
        <c:crosses val="autoZero"/>
        <c:crossBetween val="between"/>
      </c:valAx>
      <c:valAx>
        <c:axId val="200627712"/>
        <c:scaling>
          <c:orientation val="minMax"/>
          <c:max val="450860"/>
          <c:min val="16681"/>
        </c:scaling>
        <c:delete val="0"/>
        <c:axPos val="r"/>
        <c:numFmt formatCode="#,##0" sourceLinked="1"/>
        <c:majorTickMark val="out"/>
        <c:minorTickMark val="none"/>
        <c:tickLblPos val="nextTo"/>
        <c:crossAx val="200629248"/>
        <c:crosses val="max"/>
        <c:crossBetween val="between"/>
      </c:valAx>
      <c:catAx>
        <c:axId val="200629248"/>
        <c:scaling>
          <c:orientation val="minMax"/>
        </c:scaling>
        <c:delete val="1"/>
        <c:axPos val="b"/>
        <c:numFmt formatCode="yyyy\-mm\-dd;@" sourceLinked="1"/>
        <c:majorTickMark val="out"/>
        <c:minorTickMark val="none"/>
        <c:tickLblPos val="nextTo"/>
        <c:crossAx val="200627712"/>
        <c:crosses val="autoZero"/>
        <c:auto val="1"/>
        <c:lblAlgn val="ctr"/>
        <c:lblOffset val="100"/>
        <c:noMultiLvlLbl val="1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fr-FR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Probability of Returns</a:t>
            </a:r>
          </a:p>
        </c:rich>
      </c:tx>
      <c:layout>
        <c:manualLayout>
          <c:xMode val="edge"/>
          <c:yMode val="edge"/>
          <c:x val="0.3459512248468941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fr-FR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GaussCurveBuild!$B$4:$B$60</c:f>
              <c:numCache>
                <c:formatCode>General</c:formatCode>
                <c:ptCount val="57"/>
              </c:numCache>
            </c:numRef>
          </c:xVal>
          <c:yVal>
            <c:numRef>
              <c:f>GaussCurveBuild!$C$4:$C$60</c:f>
              <c:numCache>
                <c:formatCode>General</c:formatCode>
                <c:ptCount val="5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5-4586-997D-3E587172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44896"/>
        <c:axId val="607571744"/>
      </c:scatterChart>
      <c:valAx>
        <c:axId val="466544896"/>
        <c:scaling>
          <c:orientation val="minMax"/>
          <c:max val="0.65688638123476695"/>
          <c:min val="-0.42372297557209126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fr-FR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571744"/>
        <c:crosses val="autoZero"/>
        <c:crossBetween val="midCat"/>
      </c:valAx>
      <c:valAx>
        <c:axId val="607571744"/>
        <c:scaling>
          <c:orientation val="minMax"/>
          <c:max val="5.3525478988790196"/>
          <c:min val="3.7091333564615991E-8"/>
        </c:scaling>
        <c:delete val="0"/>
        <c:axPos val="l"/>
        <c:numFmt formatCode="0.00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fr-FR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4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fr-FR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and Earnings Evolution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EquityAnalysis!$P$2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EquityAnalysis!$Q$2:$T$2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CFE-402B-9478-DDCB97F9C193}"/>
            </c:ext>
          </c:extLst>
        </c:ser>
        <c:ser>
          <c:idx val="1"/>
          <c:order val="1"/>
          <c:tx>
            <c:strRef>
              <c:f>EquityAnalysis!$P$3</c:f>
              <c:strCache>
                <c:ptCount val="1"/>
                <c:pt idx="0">
                  <c:v>Gross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EquityAnalysis!$Q$3:$T$3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CFE-402B-9478-DDCB97F9C193}"/>
            </c:ext>
          </c:extLst>
        </c:ser>
        <c:ser>
          <c:idx val="2"/>
          <c:order val="2"/>
          <c:tx>
            <c:strRef>
              <c:f>EquityAnalysis!$P$4</c:f>
              <c:strCache>
                <c:ptCount val="1"/>
                <c:pt idx="0">
                  <c:v>Operating Income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EquityAnalysis!$Q$4:$T$4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CFE-402B-9478-DDCB97F9C193}"/>
            </c:ext>
          </c:extLst>
        </c:ser>
        <c:ser>
          <c:idx val="3"/>
          <c:order val="3"/>
          <c:tx>
            <c:strRef>
              <c:f>EquityAnalysis!$P$5</c:f>
              <c:strCache>
                <c:ptCount val="1"/>
                <c:pt idx="0">
                  <c:v>Net Income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EquityAnalysis!$Q$5:$T$5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6CFE-402B-9478-DDCB97F9C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4782888"/>
        <c:axId val="654784528"/>
      </c:barChart>
      <c:catAx>
        <c:axId val="654782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84528"/>
        <c:crosses val="autoZero"/>
        <c:auto val="1"/>
        <c:lblAlgn val="ctr"/>
        <c:lblOffset val="100"/>
        <c:noMultiLvlLbl val="0"/>
      </c:catAx>
      <c:valAx>
        <c:axId val="65478452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8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Ratios Evolution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EquityAnalysis!$P$11</c:f>
              <c:strCache>
                <c:ptCount val="1"/>
                <c:pt idx="0">
                  <c:v>ROC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EquityAnalysis!$Q$11:$T$11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8CAC-46F1-B659-AEBA011EEBAF}"/>
            </c:ext>
          </c:extLst>
        </c:ser>
        <c:ser>
          <c:idx val="1"/>
          <c:order val="1"/>
          <c:tx>
            <c:strRef>
              <c:f>EquityAnalysis!$P$12</c:f>
              <c:strCache>
                <c:ptCount val="1"/>
                <c:pt idx="0">
                  <c:v>ROE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EquityAnalysis!$Q$12:$T$12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8CAC-46F1-B659-AEBA011EEBAF}"/>
            </c:ext>
          </c:extLst>
        </c:ser>
        <c:ser>
          <c:idx val="2"/>
          <c:order val="2"/>
          <c:tx>
            <c:strRef>
              <c:f>EquityAnalysis!$P$13</c:f>
              <c:strCache>
                <c:ptCount val="1"/>
                <c:pt idx="0">
                  <c:v>Operating Margin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EquityAnalysis!$Q$13:$T$13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8CAC-46F1-B659-AEBA011EEBAF}"/>
            </c:ext>
          </c:extLst>
        </c:ser>
        <c:ser>
          <c:idx val="3"/>
          <c:order val="3"/>
          <c:tx>
            <c:strRef>
              <c:f>EquityAnalysis!$P$14</c:f>
              <c:strCache>
                <c:ptCount val="1"/>
                <c:pt idx="0">
                  <c:v>D/E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EquityAnalysis!$Q$14:$T$14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3-8CAC-46F1-B659-AEBA011EEBAF}"/>
            </c:ext>
          </c:extLst>
        </c:ser>
        <c:ser>
          <c:idx val="4"/>
          <c:order val="4"/>
          <c:tx>
            <c:strRef>
              <c:f>EquityAnalysis!$P$15</c:f>
              <c:strCache>
                <c:ptCount val="1"/>
                <c:pt idx="0">
                  <c:v>PE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EquityAnalysis!$Q$15:$T$15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8CAC-46F1-B659-AEBA011E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4782888"/>
        <c:axId val="654784528"/>
      </c:barChart>
      <c:catAx>
        <c:axId val="654782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84528"/>
        <c:crosses val="autoZero"/>
        <c:auto val="1"/>
        <c:lblAlgn val="ctr"/>
        <c:lblOffset val="100"/>
        <c:noMultiLvlLbl val="0"/>
      </c:catAx>
      <c:valAx>
        <c:axId val="65478452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8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 Sheet Evolution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EquityAnalysis!$P$7</c:f>
              <c:strCache>
                <c:ptCount val="1"/>
                <c:pt idx="0">
                  <c:v>Assets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EquityAnalysis!$Q$7:$T$7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995-45F6-AE2B-2EF9F76C3F0C}"/>
            </c:ext>
          </c:extLst>
        </c:ser>
        <c:ser>
          <c:idx val="1"/>
          <c:order val="1"/>
          <c:tx>
            <c:strRef>
              <c:f>EquityAnalysis!$P$8</c:f>
              <c:strCache>
                <c:ptCount val="1"/>
                <c:pt idx="0">
                  <c:v>Liabilities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EquityAnalysis!$Q$8:$T$8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995-45F6-AE2B-2EF9F76C3F0C}"/>
            </c:ext>
          </c:extLst>
        </c:ser>
        <c:ser>
          <c:idx val="2"/>
          <c:order val="2"/>
          <c:tx>
            <c:strRef>
              <c:f>EquityAnalysis!$P$9</c:f>
              <c:strCache>
                <c:ptCount val="1"/>
                <c:pt idx="0">
                  <c:v>Equity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EquityAnalysis!$Q$1:$T$1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#VALUE!</c:v>
                </c:pt>
                <c:pt idx="3">
                  <c:v>#VALUE!</c:v>
                </c:pt>
              </c:strCache>
            </c:strRef>
          </c:cat>
          <c:val>
            <c:numRef>
              <c:f>EquityAnalysis!$Q$9:$T$9</c:f>
              <c:numCache>
                <c:formatCode>#,##0.00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995-45F6-AE2B-2EF9F76C3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4782888"/>
        <c:axId val="654784528"/>
      </c:barChart>
      <c:catAx>
        <c:axId val="654782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84528"/>
        <c:crosses val="autoZero"/>
        <c:auto val="1"/>
        <c:lblAlgn val="ctr"/>
        <c:lblOffset val="100"/>
        <c:noMultiLvlLbl val="0"/>
      </c:catAx>
      <c:valAx>
        <c:axId val="65478452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8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229156481018827"/>
          <c:y val="5.3016903601044302E-2"/>
          <c:w val="0.86501138820853118"/>
          <c:h val="0.859357707337223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'PF Efficients'!$A$2:$A$1002</c:f>
              <c:numCache>
                <c:formatCode>General</c:formatCode>
                <c:ptCount val="1001"/>
                <c:pt idx="0">
                  <c:v>9.3059821308778545E-3</c:v>
                </c:pt>
                <c:pt idx="1">
                  <c:v>1.3163379073967958E-2</c:v>
                </c:pt>
                <c:pt idx="2">
                  <c:v>1.3163343051829165E-2</c:v>
                </c:pt>
                <c:pt idx="3">
                  <c:v>1.3163210762950286E-2</c:v>
                </c:pt>
                <c:pt idx="4">
                  <c:v>1.3173261091671572E-2</c:v>
                </c:pt>
                <c:pt idx="5">
                  <c:v>1.3171737657364516E-2</c:v>
                </c:pt>
                <c:pt idx="6">
                  <c:v>1.316362084251107E-2</c:v>
                </c:pt>
                <c:pt idx="7">
                  <c:v>2.3070380324561563E-2</c:v>
                </c:pt>
                <c:pt idx="8">
                  <c:v>1.3163567745473479E-2</c:v>
                </c:pt>
                <c:pt idx="9">
                  <c:v>1.316377864387693E-2</c:v>
                </c:pt>
                <c:pt idx="10">
                  <c:v>1.3163389781091819E-2</c:v>
                </c:pt>
                <c:pt idx="11">
                  <c:v>1.4369092559180069E-2</c:v>
                </c:pt>
                <c:pt idx="12">
                  <c:v>1.3164989081728582E-2</c:v>
                </c:pt>
                <c:pt idx="13">
                  <c:v>1.3163978531874527E-2</c:v>
                </c:pt>
                <c:pt idx="14">
                  <c:v>1.3163682216275483E-2</c:v>
                </c:pt>
                <c:pt idx="15">
                  <c:v>1.3166442566117566E-2</c:v>
                </c:pt>
                <c:pt idx="16">
                  <c:v>1.3164398613323029E-2</c:v>
                </c:pt>
                <c:pt idx="17">
                  <c:v>1.316401575302358E-2</c:v>
                </c:pt>
                <c:pt idx="18">
                  <c:v>1.3934489417841606E-2</c:v>
                </c:pt>
                <c:pt idx="19">
                  <c:v>1.3164346462457547E-2</c:v>
                </c:pt>
                <c:pt idx="20">
                  <c:v>1.3166903509559435E-2</c:v>
                </c:pt>
                <c:pt idx="21">
                  <c:v>1.3163387354540425E-2</c:v>
                </c:pt>
                <c:pt idx="22">
                  <c:v>1.3163591744172984E-2</c:v>
                </c:pt>
                <c:pt idx="23">
                  <c:v>1.4019868370804545E-2</c:v>
                </c:pt>
                <c:pt idx="24">
                  <c:v>1.3163199379686654E-2</c:v>
                </c:pt>
                <c:pt idx="25">
                  <c:v>1.316390332380105E-2</c:v>
                </c:pt>
                <c:pt idx="26">
                  <c:v>1.3172176508413468E-2</c:v>
                </c:pt>
                <c:pt idx="27">
                  <c:v>1.3163205357111242E-2</c:v>
                </c:pt>
                <c:pt idx="28">
                  <c:v>1.3163238062081388E-2</c:v>
                </c:pt>
                <c:pt idx="29">
                  <c:v>1.3177389922702546E-2</c:v>
                </c:pt>
                <c:pt idx="30">
                  <c:v>1.3174724920012244E-2</c:v>
                </c:pt>
                <c:pt idx="31">
                  <c:v>1.3163841488059736E-2</c:v>
                </c:pt>
                <c:pt idx="32">
                  <c:v>1.3163820049933345E-2</c:v>
                </c:pt>
                <c:pt idx="33">
                  <c:v>1.3163201395562629E-2</c:v>
                </c:pt>
                <c:pt idx="34">
                  <c:v>1.3164499525785569E-2</c:v>
                </c:pt>
                <c:pt idx="35">
                  <c:v>1.3164183178530183E-2</c:v>
                </c:pt>
                <c:pt idx="36">
                  <c:v>1.3186760816378392E-2</c:v>
                </c:pt>
                <c:pt idx="37">
                  <c:v>1.3163348316997468E-2</c:v>
                </c:pt>
                <c:pt idx="38">
                  <c:v>1.3164474157739048E-2</c:v>
                </c:pt>
                <c:pt idx="39">
                  <c:v>1.3181784009194619E-2</c:v>
                </c:pt>
                <c:pt idx="40">
                  <c:v>1.3163340924344267E-2</c:v>
                </c:pt>
                <c:pt idx="41">
                  <c:v>1.334745711277727E-2</c:v>
                </c:pt>
                <c:pt idx="42">
                  <c:v>1.3164554781292945E-2</c:v>
                </c:pt>
                <c:pt idx="43">
                  <c:v>1.3163297834137343E-2</c:v>
                </c:pt>
                <c:pt idx="44">
                  <c:v>2.1471409227677783E-2</c:v>
                </c:pt>
                <c:pt idx="45">
                  <c:v>1.3163216756371315E-2</c:v>
                </c:pt>
                <c:pt idx="46">
                  <c:v>1.3376357249741495E-2</c:v>
                </c:pt>
                <c:pt idx="47">
                  <c:v>1.3362073688199931E-2</c:v>
                </c:pt>
                <c:pt idx="48">
                  <c:v>1.3163715626563079E-2</c:v>
                </c:pt>
                <c:pt idx="49">
                  <c:v>1.3173963486723544E-2</c:v>
                </c:pt>
                <c:pt idx="50">
                  <c:v>1.4353176792467306E-2</c:v>
                </c:pt>
                <c:pt idx="51">
                  <c:v>1.3172465709710885E-2</c:v>
                </c:pt>
                <c:pt idx="52">
                  <c:v>1.3166075410311588E-2</c:v>
                </c:pt>
                <c:pt idx="53">
                  <c:v>1.3171848967931795E-2</c:v>
                </c:pt>
                <c:pt idx="54">
                  <c:v>1.3164342308231538E-2</c:v>
                </c:pt>
                <c:pt idx="55">
                  <c:v>1.3164473432543244E-2</c:v>
                </c:pt>
                <c:pt idx="56">
                  <c:v>1.3165367783705436E-2</c:v>
                </c:pt>
                <c:pt idx="57">
                  <c:v>1.3174889133189283E-2</c:v>
                </c:pt>
                <c:pt idx="58">
                  <c:v>1.3228130726479763E-2</c:v>
                </c:pt>
                <c:pt idx="59">
                  <c:v>1.322558499297437E-2</c:v>
                </c:pt>
                <c:pt idx="60">
                  <c:v>1.3163235966925644E-2</c:v>
                </c:pt>
                <c:pt idx="61">
                  <c:v>1.3165101178874046E-2</c:v>
                </c:pt>
                <c:pt idx="62">
                  <c:v>1.3165024318509267E-2</c:v>
                </c:pt>
                <c:pt idx="63">
                  <c:v>1.3163401321753339E-2</c:v>
                </c:pt>
                <c:pt idx="64">
                  <c:v>1.3169385592160045E-2</c:v>
                </c:pt>
                <c:pt idx="65">
                  <c:v>1.3163216342011879E-2</c:v>
                </c:pt>
                <c:pt idx="66">
                  <c:v>1.3194282822601334E-2</c:v>
                </c:pt>
                <c:pt idx="67">
                  <c:v>1.3206177475644936E-2</c:v>
                </c:pt>
                <c:pt idx="68">
                  <c:v>1.3163206394686756E-2</c:v>
                </c:pt>
                <c:pt idx="69">
                  <c:v>1.3513242266017234E-2</c:v>
                </c:pt>
                <c:pt idx="70">
                  <c:v>1.3164059776571244E-2</c:v>
                </c:pt>
                <c:pt idx="71">
                  <c:v>1.3164160975626258E-2</c:v>
                </c:pt>
                <c:pt idx="72">
                  <c:v>1.3177860847125312E-2</c:v>
                </c:pt>
                <c:pt idx="73">
                  <c:v>1.3163661491105471E-2</c:v>
                </c:pt>
                <c:pt idx="74">
                  <c:v>1.3166205624569422E-2</c:v>
                </c:pt>
                <c:pt idx="75">
                  <c:v>1.3173247406685122E-2</c:v>
                </c:pt>
                <c:pt idx="76">
                  <c:v>1.3164218850253229E-2</c:v>
                </c:pt>
                <c:pt idx="77">
                  <c:v>1.3163214599316584E-2</c:v>
                </c:pt>
                <c:pt idx="78">
                  <c:v>1.3163210032651595E-2</c:v>
                </c:pt>
                <c:pt idx="79">
                  <c:v>1.3164624808827855E-2</c:v>
                </c:pt>
                <c:pt idx="80">
                  <c:v>1.338717079131327E-2</c:v>
                </c:pt>
                <c:pt idx="81">
                  <c:v>1.3163244759332494E-2</c:v>
                </c:pt>
                <c:pt idx="82">
                  <c:v>1.3163346521831513E-2</c:v>
                </c:pt>
                <c:pt idx="83">
                  <c:v>1.316419485514006E-2</c:v>
                </c:pt>
                <c:pt idx="84">
                  <c:v>1.3163862252148181E-2</c:v>
                </c:pt>
                <c:pt idx="85">
                  <c:v>1.7684952293981183E-2</c:v>
                </c:pt>
                <c:pt idx="86">
                  <c:v>1.3163300308541166E-2</c:v>
                </c:pt>
                <c:pt idx="87">
                  <c:v>1.3164205228738523E-2</c:v>
                </c:pt>
                <c:pt idx="88">
                  <c:v>1.3164583732836575E-2</c:v>
                </c:pt>
                <c:pt idx="89">
                  <c:v>1.3163302234718101E-2</c:v>
                </c:pt>
                <c:pt idx="90">
                  <c:v>1.3163541314496962E-2</c:v>
                </c:pt>
                <c:pt idx="91">
                  <c:v>1.3163456483948411E-2</c:v>
                </c:pt>
                <c:pt idx="92">
                  <c:v>1.3163983889189492E-2</c:v>
                </c:pt>
                <c:pt idx="93">
                  <c:v>1.3167482051294411E-2</c:v>
                </c:pt>
                <c:pt idx="94">
                  <c:v>1.3165258277813507E-2</c:v>
                </c:pt>
                <c:pt idx="95">
                  <c:v>1.3176302878811681E-2</c:v>
                </c:pt>
                <c:pt idx="96">
                  <c:v>1.3953489240980409E-2</c:v>
                </c:pt>
                <c:pt idx="97">
                  <c:v>1.3181806023931186E-2</c:v>
                </c:pt>
                <c:pt idx="98">
                  <c:v>1.3164470297727075E-2</c:v>
                </c:pt>
                <c:pt idx="99">
                  <c:v>1.3813653045615619E-2</c:v>
                </c:pt>
                <c:pt idx="100">
                  <c:v>1.3165751950446884E-2</c:v>
                </c:pt>
                <c:pt idx="101">
                  <c:v>1.3166853663196769E-2</c:v>
                </c:pt>
                <c:pt idx="102">
                  <c:v>1.316365545365434E-2</c:v>
                </c:pt>
                <c:pt idx="103">
                  <c:v>1.3233639949158198E-2</c:v>
                </c:pt>
                <c:pt idx="104">
                  <c:v>1.3163828402866364E-2</c:v>
                </c:pt>
                <c:pt idx="105">
                  <c:v>1.3178695605340171E-2</c:v>
                </c:pt>
                <c:pt idx="106">
                  <c:v>1.3163211208193904E-2</c:v>
                </c:pt>
                <c:pt idx="107">
                  <c:v>1.3163305360561399E-2</c:v>
                </c:pt>
                <c:pt idx="108">
                  <c:v>1.3232870471280449E-2</c:v>
                </c:pt>
                <c:pt idx="109">
                  <c:v>1.3164299989621186E-2</c:v>
                </c:pt>
                <c:pt idx="110">
                  <c:v>1.3163250186641879E-2</c:v>
                </c:pt>
                <c:pt idx="111">
                  <c:v>1.3163512269592842E-2</c:v>
                </c:pt>
                <c:pt idx="112">
                  <c:v>1.3165745280378876E-2</c:v>
                </c:pt>
                <c:pt idx="113">
                  <c:v>1.3343343603979803E-2</c:v>
                </c:pt>
                <c:pt idx="114">
                  <c:v>1.3163656728592699E-2</c:v>
                </c:pt>
                <c:pt idx="115">
                  <c:v>1.3164033910782412E-2</c:v>
                </c:pt>
                <c:pt idx="116">
                  <c:v>1.3163541738092034E-2</c:v>
                </c:pt>
                <c:pt idx="117">
                  <c:v>1.3163197817850627E-2</c:v>
                </c:pt>
                <c:pt idx="118">
                  <c:v>1.3163853602530909E-2</c:v>
                </c:pt>
                <c:pt idx="119">
                  <c:v>1.9392709357973381E-2</c:v>
                </c:pt>
                <c:pt idx="120">
                  <c:v>1.3193034903932855E-2</c:v>
                </c:pt>
                <c:pt idx="121">
                  <c:v>1.3589055499887613E-2</c:v>
                </c:pt>
                <c:pt idx="122">
                  <c:v>1.3351316646669545E-2</c:v>
                </c:pt>
                <c:pt idx="123">
                  <c:v>1.3168947984261371E-2</c:v>
                </c:pt>
                <c:pt idx="124">
                  <c:v>1.3279621841748924E-2</c:v>
                </c:pt>
                <c:pt idx="125">
                  <c:v>0.27368987743580186</c:v>
                </c:pt>
                <c:pt idx="126">
                  <c:v>1.3163327548256313E-2</c:v>
                </c:pt>
                <c:pt idx="127">
                  <c:v>1.3163255165399604E-2</c:v>
                </c:pt>
                <c:pt idx="128">
                  <c:v>1.3163297805205027E-2</c:v>
                </c:pt>
                <c:pt idx="129">
                  <c:v>1.3163831623121135E-2</c:v>
                </c:pt>
                <c:pt idx="130">
                  <c:v>1.3501943320386045E-2</c:v>
                </c:pt>
                <c:pt idx="131">
                  <c:v>1.320245131280854E-2</c:v>
                </c:pt>
                <c:pt idx="132">
                  <c:v>1.3163304662656692E-2</c:v>
                </c:pt>
                <c:pt idx="133">
                  <c:v>1.316412026123397E-2</c:v>
                </c:pt>
                <c:pt idx="134">
                  <c:v>1.3167278744793762E-2</c:v>
                </c:pt>
                <c:pt idx="135">
                  <c:v>1.3240966548666454E-2</c:v>
                </c:pt>
                <c:pt idx="136">
                  <c:v>1.3163375585186324E-2</c:v>
                </c:pt>
                <c:pt idx="137">
                  <c:v>1.3164258709403171E-2</c:v>
                </c:pt>
                <c:pt idx="138">
                  <c:v>1.3163358831451038E-2</c:v>
                </c:pt>
                <c:pt idx="139">
                  <c:v>1.3438690699481655E-2</c:v>
                </c:pt>
                <c:pt idx="140">
                  <c:v>1.3163556620407536E-2</c:v>
                </c:pt>
                <c:pt idx="141">
                  <c:v>1.3165352703416913E-2</c:v>
                </c:pt>
                <c:pt idx="142">
                  <c:v>1.3164000201903781E-2</c:v>
                </c:pt>
                <c:pt idx="143">
                  <c:v>1.3163633158454558E-2</c:v>
                </c:pt>
                <c:pt idx="144">
                  <c:v>1.31942527306807E-2</c:v>
                </c:pt>
                <c:pt idx="145">
                  <c:v>1.3169100647623225E-2</c:v>
                </c:pt>
                <c:pt idx="146">
                  <c:v>1.3401428437697276E-2</c:v>
                </c:pt>
                <c:pt idx="147">
                  <c:v>1.3163200965386892E-2</c:v>
                </c:pt>
                <c:pt idx="148">
                  <c:v>1.3218727975008832E-2</c:v>
                </c:pt>
                <c:pt idx="149">
                  <c:v>1.3164253758057536E-2</c:v>
                </c:pt>
                <c:pt idx="150">
                  <c:v>1.3387407453066063E-2</c:v>
                </c:pt>
                <c:pt idx="151">
                  <c:v>1.3164302934881144E-2</c:v>
                </c:pt>
                <c:pt idx="152">
                  <c:v>1.3175751254335677E-2</c:v>
                </c:pt>
                <c:pt idx="153">
                  <c:v>1.3164020403156779E-2</c:v>
                </c:pt>
                <c:pt idx="154">
                  <c:v>1.3163530791158038E-2</c:v>
                </c:pt>
                <c:pt idx="155">
                  <c:v>1.317575200417004E-2</c:v>
                </c:pt>
                <c:pt idx="156">
                  <c:v>1.3163291676355219E-2</c:v>
                </c:pt>
                <c:pt idx="157">
                  <c:v>1.3178830142795165E-2</c:v>
                </c:pt>
                <c:pt idx="158">
                  <c:v>1.3436889138336561E-2</c:v>
                </c:pt>
                <c:pt idx="159">
                  <c:v>1.5718709451174866E-2</c:v>
                </c:pt>
                <c:pt idx="160">
                  <c:v>1.3169680129863918E-2</c:v>
                </c:pt>
                <c:pt idx="161">
                  <c:v>1.3163680829424771E-2</c:v>
                </c:pt>
                <c:pt idx="162">
                  <c:v>1.3172285107368851E-2</c:v>
                </c:pt>
                <c:pt idx="163">
                  <c:v>1.3184142956614494E-2</c:v>
                </c:pt>
                <c:pt idx="164">
                  <c:v>1.3163756377186831E-2</c:v>
                </c:pt>
                <c:pt idx="165">
                  <c:v>1.3179265477721374E-2</c:v>
                </c:pt>
                <c:pt idx="166">
                  <c:v>1.3168299202766909E-2</c:v>
                </c:pt>
                <c:pt idx="167">
                  <c:v>1.4392098599623669E-2</c:v>
                </c:pt>
                <c:pt idx="168">
                  <c:v>1.31637342928473E-2</c:v>
                </c:pt>
                <c:pt idx="169">
                  <c:v>1.3194994701381406E-2</c:v>
                </c:pt>
                <c:pt idx="170">
                  <c:v>1.3163986598615113E-2</c:v>
                </c:pt>
                <c:pt idx="171">
                  <c:v>1.3163201777646804E-2</c:v>
                </c:pt>
                <c:pt idx="172">
                  <c:v>1.3163546215354198E-2</c:v>
                </c:pt>
                <c:pt idx="173">
                  <c:v>1.3164254886699816E-2</c:v>
                </c:pt>
                <c:pt idx="174">
                  <c:v>1.3169000367560113E-2</c:v>
                </c:pt>
                <c:pt idx="175">
                  <c:v>1.3163301934890332E-2</c:v>
                </c:pt>
                <c:pt idx="176">
                  <c:v>1.3513470746814749E-2</c:v>
                </c:pt>
                <c:pt idx="177">
                  <c:v>1.3163217844491213E-2</c:v>
                </c:pt>
                <c:pt idx="178">
                  <c:v>1.3165102239339217E-2</c:v>
                </c:pt>
                <c:pt idx="179">
                  <c:v>1.3164392186116751E-2</c:v>
                </c:pt>
                <c:pt idx="180">
                  <c:v>1.3316989496227179E-2</c:v>
                </c:pt>
                <c:pt idx="181">
                  <c:v>1.3164236089879546E-2</c:v>
                </c:pt>
                <c:pt idx="182">
                  <c:v>1.3163203362964138E-2</c:v>
                </c:pt>
                <c:pt idx="183">
                  <c:v>1.3167830788059923E-2</c:v>
                </c:pt>
                <c:pt idx="184">
                  <c:v>1.3241982790777302E-2</c:v>
                </c:pt>
                <c:pt idx="185">
                  <c:v>1.3163762089790572E-2</c:v>
                </c:pt>
                <c:pt idx="186">
                  <c:v>1.3189389765354309E-2</c:v>
                </c:pt>
                <c:pt idx="187">
                  <c:v>1.3164531248904675E-2</c:v>
                </c:pt>
                <c:pt idx="188">
                  <c:v>1.3274795273895064E-2</c:v>
                </c:pt>
                <c:pt idx="189">
                  <c:v>1.6072002758229103E-2</c:v>
                </c:pt>
                <c:pt idx="190">
                  <c:v>1.3167979804521973E-2</c:v>
                </c:pt>
                <c:pt idx="191">
                  <c:v>1.3163284469629858E-2</c:v>
                </c:pt>
                <c:pt idx="192">
                  <c:v>1.3164234011231814E-2</c:v>
                </c:pt>
                <c:pt idx="193">
                  <c:v>1.3163321191412954E-2</c:v>
                </c:pt>
                <c:pt idx="194">
                  <c:v>1.3165209598159425E-2</c:v>
                </c:pt>
                <c:pt idx="195">
                  <c:v>1.3163914014683217E-2</c:v>
                </c:pt>
                <c:pt idx="196">
                  <c:v>1.3163826733312536E-2</c:v>
                </c:pt>
                <c:pt idx="197">
                  <c:v>1.3163288761308255E-2</c:v>
                </c:pt>
                <c:pt idx="198">
                  <c:v>1.3163430858487122E-2</c:v>
                </c:pt>
                <c:pt idx="199">
                  <c:v>1.3164543844612721E-2</c:v>
                </c:pt>
                <c:pt idx="200">
                  <c:v>1.3168354537108875E-2</c:v>
                </c:pt>
                <c:pt idx="201">
                  <c:v>1.3163604434025044E-2</c:v>
                </c:pt>
                <c:pt idx="202">
                  <c:v>1.3165018686547498E-2</c:v>
                </c:pt>
                <c:pt idx="203">
                  <c:v>1.3163348791943317E-2</c:v>
                </c:pt>
                <c:pt idx="204">
                  <c:v>1.3211093234820505E-2</c:v>
                </c:pt>
                <c:pt idx="205">
                  <c:v>1.3164756894127452E-2</c:v>
                </c:pt>
                <c:pt idx="206">
                  <c:v>1.3163301018505534E-2</c:v>
                </c:pt>
                <c:pt idx="207">
                  <c:v>1.3163779352563909E-2</c:v>
                </c:pt>
                <c:pt idx="208">
                  <c:v>1.3163310012240186E-2</c:v>
                </c:pt>
                <c:pt idx="209">
                  <c:v>1.316464618426472E-2</c:v>
                </c:pt>
                <c:pt idx="210">
                  <c:v>1.3163489687716638E-2</c:v>
                </c:pt>
                <c:pt idx="211">
                  <c:v>1.3186459014947785E-2</c:v>
                </c:pt>
                <c:pt idx="212">
                  <c:v>1.3163202614832926E-2</c:v>
                </c:pt>
                <c:pt idx="213">
                  <c:v>1.3163656096206339E-2</c:v>
                </c:pt>
                <c:pt idx="214">
                  <c:v>1.3163309515257378E-2</c:v>
                </c:pt>
                <c:pt idx="215">
                  <c:v>1.3164079861590168E-2</c:v>
                </c:pt>
                <c:pt idx="216">
                  <c:v>1.3166583027213848E-2</c:v>
                </c:pt>
                <c:pt idx="217">
                  <c:v>1.3171675708156498E-2</c:v>
                </c:pt>
                <c:pt idx="218">
                  <c:v>1.3172829640155944E-2</c:v>
                </c:pt>
                <c:pt idx="219">
                  <c:v>1.3240515524860573E-2</c:v>
                </c:pt>
                <c:pt idx="220">
                  <c:v>1.3163360823084993E-2</c:v>
                </c:pt>
                <c:pt idx="221">
                  <c:v>1.3187992367614261E-2</c:v>
                </c:pt>
                <c:pt idx="222">
                  <c:v>1.3163205234017764E-2</c:v>
                </c:pt>
                <c:pt idx="223">
                  <c:v>1.3166932361043014E-2</c:v>
                </c:pt>
                <c:pt idx="224">
                  <c:v>1.3164034889178562E-2</c:v>
                </c:pt>
                <c:pt idx="225">
                  <c:v>1.3163785093679091E-2</c:v>
                </c:pt>
                <c:pt idx="226">
                  <c:v>1.3203230488905263E-2</c:v>
                </c:pt>
                <c:pt idx="227">
                  <c:v>1.3163317951439442E-2</c:v>
                </c:pt>
                <c:pt idx="228">
                  <c:v>1.316351895706399E-2</c:v>
                </c:pt>
                <c:pt idx="229">
                  <c:v>1.3163199444142104E-2</c:v>
                </c:pt>
                <c:pt idx="230">
                  <c:v>1.3163649481964457E-2</c:v>
                </c:pt>
                <c:pt idx="231">
                  <c:v>1.3226722419870895E-2</c:v>
                </c:pt>
                <c:pt idx="232">
                  <c:v>1.3163751404132904E-2</c:v>
                </c:pt>
                <c:pt idx="233">
                  <c:v>1.3196629406134898E-2</c:v>
                </c:pt>
                <c:pt idx="234">
                  <c:v>1.3164376800340199E-2</c:v>
                </c:pt>
                <c:pt idx="235">
                  <c:v>1.3712858913661032E-2</c:v>
                </c:pt>
                <c:pt idx="236">
                  <c:v>1.3799964611347327E-2</c:v>
                </c:pt>
                <c:pt idx="237">
                  <c:v>1.3163692974819131E-2</c:v>
                </c:pt>
                <c:pt idx="238">
                  <c:v>1.3166175769702406E-2</c:v>
                </c:pt>
                <c:pt idx="239">
                  <c:v>1.3163975081411238E-2</c:v>
                </c:pt>
                <c:pt idx="240">
                  <c:v>1.3301912985725363E-2</c:v>
                </c:pt>
                <c:pt idx="241">
                  <c:v>1.3314248131476138E-2</c:v>
                </c:pt>
                <c:pt idx="242">
                  <c:v>1.3215329768885399E-2</c:v>
                </c:pt>
                <c:pt idx="243">
                  <c:v>1.4231321688910876E-2</c:v>
                </c:pt>
                <c:pt idx="244">
                  <c:v>1.3163407934631687E-2</c:v>
                </c:pt>
                <c:pt idx="245">
                  <c:v>1.3163344971078005E-2</c:v>
                </c:pt>
                <c:pt idx="246">
                  <c:v>1.3163244835356903E-2</c:v>
                </c:pt>
                <c:pt idx="247">
                  <c:v>1.3190412778933227E-2</c:v>
                </c:pt>
                <c:pt idx="248">
                  <c:v>1.3163912770358959E-2</c:v>
                </c:pt>
                <c:pt idx="249">
                  <c:v>1.3163515143400013E-2</c:v>
                </c:pt>
                <c:pt idx="250">
                  <c:v>1.3163536702191763E-2</c:v>
                </c:pt>
                <c:pt idx="251">
                  <c:v>1.3165447959336695E-2</c:v>
                </c:pt>
                <c:pt idx="252">
                  <c:v>1.3164149815195094E-2</c:v>
                </c:pt>
                <c:pt idx="253">
                  <c:v>1.3163513895696206E-2</c:v>
                </c:pt>
                <c:pt idx="254">
                  <c:v>1.3446508746522614E-2</c:v>
                </c:pt>
                <c:pt idx="255">
                  <c:v>1.316321810018032E-2</c:v>
                </c:pt>
                <c:pt idx="256">
                  <c:v>1.3163402260805004E-2</c:v>
                </c:pt>
                <c:pt idx="257">
                  <c:v>2.1489389714214713E-2</c:v>
                </c:pt>
                <c:pt idx="258">
                  <c:v>1.3164563972668559E-2</c:v>
                </c:pt>
                <c:pt idx="259">
                  <c:v>1.3165348188926288E-2</c:v>
                </c:pt>
                <c:pt idx="260">
                  <c:v>1.3175363698367408E-2</c:v>
                </c:pt>
                <c:pt idx="261">
                  <c:v>1.3164496533089392E-2</c:v>
                </c:pt>
                <c:pt idx="262">
                  <c:v>1.3163730471253745E-2</c:v>
                </c:pt>
                <c:pt idx="263">
                  <c:v>1.3163351138423129E-2</c:v>
                </c:pt>
                <c:pt idx="264">
                  <c:v>1.3164892759396555E-2</c:v>
                </c:pt>
                <c:pt idx="265">
                  <c:v>1.3163473340256646E-2</c:v>
                </c:pt>
                <c:pt idx="266">
                  <c:v>1.3175063595966697E-2</c:v>
                </c:pt>
                <c:pt idx="267">
                  <c:v>1.3167303276861508E-2</c:v>
                </c:pt>
                <c:pt idx="268">
                  <c:v>1.3164513273103506E-2</c:v>
                </c:pt>
                <c:pt idx="269">
                  <c:v>1.3164327124548396E-2</c:v>
                </c:pt>
                <c:pt idx="270">
                  <c:v>1.3296318771624882E-2</c:v>
                </c:pt>
                <c:pt idx="271">
                  <c:v>1.3163234905676431E-2</c:v>
                </c:pt>
                <c:pt idx="272">
                  <c:v>1.3167824108238529E-2</c:v>
                </c:pt>
                <c:pt idx="273">
                  <c:v>1.335573755325118E-2</c:v>
                </c:pt>
                <c:pt idx="274">
                  <c:v>1.3206586222607392E-2</c:v>
                </c:pt>
                <c:pt idx="275">
                  <c:v>1.3544731467433079E-2</c:v>
                </c:pt>
                <c:pt idx="276">
                  <c:v>1.3164528408190115E-2</c:v>
                </c:pt>
                <c:pt idx="277">
                  <c:v>1.3164387346145548E-2</c:v>
                </c:pt>
                <c:pt idx="278">
                  <c:v>1.316330552324641E-2</c:v>
                </c:pt>
                <c:pt idx="279">
                  <c:v>1.3163612173053526E-2</c:v>
                </c:pt>
                <c:pt idx="280">
                  <c:v>1.3164444768261717E-2</c:v>
                </c:pt>
                <c:pt idx="281">
                  <c:v>1.3189999719896373E-2</c:v>
                </c:pt>
                <c:pt idx="282">
                  <c:v>1.3166201839115146E-2</c:v>
                </c:pt>
                <c:pt idx="283">
                  <c:v>1.3165552881355756E-2</c:v>
                </c:pt>
                <c:pt idx="284">
                  <c:v>1.3174398072426662E-2</c:v>
                </c:pt>
                <c:pt idx="285">
                  <c:v>1.3163533821605643E-2</c:v>
                </c:pt>
                <c:pt idx="286">
                  <c:v>1.3258513380234659E-2</c:v>
                </c:pt>
                <c:pt idx="287">
                  <c:v>1.3163433149504779E-2</c:v>
                </c:pt>
                <c:pt idx="288">
                  <c:v>1.3164412928364778E-2</c:v>
                </c:pt>
                <c:pt idx="289">
                  <c:v>1.316325394299003E-2</c:v>
                </c:pt>
                <c:pt idx="290">
                  <c:v>1.316417571277774E-2</c:v>
                </c:pt>
                <c:pt idx="291">
                  <c:v>1.3163255565624228E-2</c:v>
                </c:pt>
                <c:pt idx="292">
                  <c:v>1.3164355760681241E-2</c:v>
                </c:pt>
                <c:pt idx="293">
                  <c:v>1.3163342305060822E-2</c:v>
                </c:pt>
                <c:pt idx="294">
                  <c:v>1.3738348988376007E-2</c:v>
                </c:pt>
                <c:pt idx="295">
                  <c:v>1.3163550574400679E-2</c:v>
                </c:pt>
                <c:pt idx="296">
                  <c:v>1.3163363994580825E-2</c:v>
                </c:pt>
                <c:pt idx="297">
                  <c:v>1.3163587542098757E-2</c:v>
                </c:pt>
                <c:pt idx="298">
                  <c:v>1.3233916248300373E-2</c:v>
                </c:pt>
                <c:pt idx="299">
                  <c:v>1.3187825722892161E-2</c:v>
                </c:pt>
                <c:pt idx="300">
                  <c:v>1.3169390731636954E-2</c:v>
                </c:pt>
                <c:pt idx="301">
                  <c:v>1.3163658658125793E-2</c:v>
                </c:pt>
                <c:pt idx="302">
                  <c:v>1.4139248685845601E-2</c:v>
                </c:pt>
                <c:pt idx="303">
                  <c:v>1.3163428292855722E-2</c:v>
                </c:pt>
                <c:pt idx="304">
                  <c:v>1.3163554032389614E-2</c:v>
                </c:pt>
                <c:pt idx="305">
                  <c:v>1.3163722775145704E-2</c:v>
                </c:pt>
                <c:pt idx="306">
                  <c:v>1.3169468745164826E-2</c:v>
                </c:pt>
                <c:pt idx="307">
                  <c:v>1.3164443774299527E-2</c:v>
                </c:pt>
                <c:pt idx="308">
                  <c:v>1.3163737228585194E-2</c:v>
                </c:pt>
                <c:pt idx="309">
                  <c:v>1.3163294529471079E-2</c:v>
                </c:pt>
                <c:pt idx="310">
                  <c:v>1.3164158428301835E-2</c:v>
                </c:pt>
                <c:pt idx="311">
                  <c:v>1.316403406490585E-2</c:v>
                </c:pt>
                <c:pt idx="312">
                  <c:v>1.3164918018620825E-2</c:v>
                </c:pt>
                <c:pt idx="313">
                  <c:v>1.3292239364442916E-2</c:v>
                </c:pt>
                <c:pt idx="314">
                  <c:v>1.3164365842254305E-2</c:v>
                </c:pt>
                <c:pt idx="315">
                  <c:v>1.3163709286642185E-2</c:v>
                </c:pt>
                <c:pt idx="316">
                  <c:v>1.3163351668006416E-2</c:v>
                </c:pt>
                <c:pt idx="317">
                  <c:v>1.3165360348882243E-2</c:v>
                </c:pt>
                <c:pt idx="318">
                  <c:v>2.0996472689923988E-2</c:v>
                </c:pt>
                <c:pt idx="319">
                  <c:v>1.3220679293623585E-2</c:v>
                </c:pt>
                <c:pt idx="320">
                  <c:v>1.3224131976541537E-2</c:v>
                </c:pt>
                <c:pt idx="321">
                  <c:v>1.3163484894947794E-2</c:v>
                </c:pt>
                <c:pt idx="322">
                  <c:v>1.3165220512290507E-2</c:v>
                </c:pt>
                <c:pt idx="323">
                  <c:v>1.334843997983824E-2</c:v>
                </c:pt>
                <c:pt idx="324">
                  <c:v>1.3175230095702352E-2</c:v>
                </c:pt>
                <c:pt idx="325">
                  <c:v>1.3163230217585462E-2</c:v>
                </c:pt>
                <c:pt idx="326">
                  <c:v>1.3163921771580678E-2</c:v>
                </c:pt>
                <c:pt idx="327">
                  <c:v>1.31635795552332E-2</c:v>
                </c:pt>
                <c:pt idx="328">
                  <c:v>1.3205024371607192E-2</c:v>
                </c:pt>
                <c:pt idx="329">
                  <c:v>1.31641223212931E-2</c:v>
                </c:pt>
                <c:pt idx="330">
                  <c:v>1.3166475655633001E-2</c:v>
                </c:pt>
                <c:pt idx="331">
                  <c:v>1.3169608244330971E-2</c:v>
                </c:pt>
                <c:pt idx="332">
                  <c:v>1.3163605880900636E-2</c:v>
                </c:pt>
                <c:pt idx="333">
                  <c:v>1.3189922848151148E-2</c:v>
                </c:pt>
                <c:pt idx="334">
                  <c:v>1.3164245009361676E-2</c:v>
                </c:pt>
                <c:pt idx="335">
                  <c:v>1.3183927132454814E-2</c:v>
                </c:pt>
                <c:pt idx="336">
                  <c:v>1.3164045080905603E-2</c:v>
                </c:pt>
                <c:pt idx="337">
                  <c:v>1.3163197978286195E-2</c:v>
                </c:pt>
                <c:pt idx="338">
                  <c:v>1.3166401902019004E-2</c:v>
                </c:pt>
                <c:pt idx="339">
                  <c:v>1.3165781384284229E-2</c:v>
                </c:pt>
                <c:pt idx="340">
                  <c:v>1.3163969987443401E-2</c:v>
                </c:pt>
                <c:pt idx="341">
                  <c:v>1.3163203940323357E-2</c:v>
                </c:pt>
                <c:pt idx="342">
                  <c:v>1.3164270448323667E-2</c:v>
                </c:pt>
                <c:pt idx="343">
                  <c:v>1.3163433557659109E-2</c:v>
                </c:pt>
                <c:pt idx="344">
                  <c:v>1.3169056225107223E-2</c:v>
                </c:pt>
                <c:pt idx="345">
                  <c:v>1.3164003123220724E-2</c:v>
                </c:pt>
                <c:pt idx="346">
                  <c:v>1.3178324455715235E-2</c:v>
                </c:pt>
                <c:pt idx="347">
                  <c:v>1.3178226663448594E-2</c:v>
                </c:pt>
                <c:pt idx="348">
                  <c:v>1.3211394009059995E-2</c:v>
                </c:pt>
                <c:pt idx="349">
                  <c:v>1.3167879405005715E-2</c:v>
                </c:pt>
                <c:pt idx="350">
                  <c:v>8.7372323026036008E-2</c:v>
                </c:pt>
                <c:pt idx="351">
                  <c:v>1.3163500829712892E-2</c:v>
                </c:pt>
                <c:pt idx="352">
                  <c:v>1.3163887481321336E-2</c:v>
                </c:pt>
                <c:pt idx="353">
                  <c:v>1.317484103686789E-2</c:v>
                </c:pt>
                <c:pt idx="354">
                  <c:v>1.3163371297882838E-2</c:v>
                </c:pt>
                <c:pt idx="355">
                  <c:v>1.3165257334557484E-2</c:v>
                </c:pt>
                <c:pt idx="356">
                  <c:v>1.3163766770928167E-2</c:v>
                </c:pt>
                <c:pt idx="357">
                  <c:v>1.3163498841389551E-2</c:v>
                </c:pt>
                <c:pt idx="358">
                  <c:v>1.3164424820983475E-2</c:v>
                </c:pt>
                <c:pt idx="359">
                  <c:v>1.3541490764756277E-2</c:v>
                </c:pt>
                <c:pt idx="360">
                  <c:v>1.3165085030940571E-2</c:v>
                </c:pt>
                <c:pt idx="361">
                  <c:v>1.316838455395649E-2</c:v>
                </c:pt>
                <c:pt idx="362">
                  <c:v>1.316339449416404E-2</c:v>
                </c:pt>
                <c:pt idx="363">
                  <c:v>1.3170643875422841E-2</c:v>
                </c:pt>
                <c:pt idx="364">
                  <c:v>1.3163715183248832E-2</c:v>
                </c:pt>
                <c:pt idx="365">
                  <c:v>1.32385798659269E-2</c:v>
                </c:pt>
                <c:pt idx="366">
                  <c:v>1.3163199107827558E-2</c:v>
                </c:pt>
                <c:pt idx="367">
                  <c:v>1.3164374589906394E-2</c:v>
                </c:pt>
                <c:pt idx="368">
                  <c:v>1.3181985189302661E-2</c:v>
                </c:pt>
                <c:pt idx="369">
                  <c:v>1.3164306014654245E-2</c:v>
                </c:pt>
                <c:pt idx="370">
                  <c:v>1.3317944917231228E-2</c:v>
                </c:pt>
                <c:pt idx="371">
                  <c:v>1.316449186823636E-2</c:v>
                </c:pt>
                <c:pt idx="372">
                  <c:v>1.316321609122844E-2</c:v>
                </c:pt>
                <c:pt idx="373">
                  <c:v>1.3163197081500964E-2</c:v>
                </c:pt>
                <c:pt idx="374">
                  <c:v>1.3164147570543103E-2</c:v>
                </c:pt>
                <c:pt idx="375">
                  <c:v>1.3163217243045143E-2</c:v>
                </c:pt>
                <c:pt idx="376">
                  <c:v>1.3181469766839385E-2</c:v>
                </c:pt>
                <c:pt idx="377">
                  <c:v>1.3163968191818684E-2</c:v>
                </c:pt>
                <c:pt idx="378">
                  <c:v>1.3576552085614467E-2</c:v>
                </c:pt>
                <c:pt idx="379">
                  <c:v>1.3164401211517247E-2</c:v>
                </c:pt>
                <c:pt idx="380">
                  <c:v>1.316356497143991E-2</c:v>
                </c:pt>
                <c:pt idx="381">
                  <c:v>1.3181343739319392E-2</c:v>
                </c:pt>
                <c:pt idx="382">
                  <c:v>1.3166218303421632E-2</c:v>
                </c:pt>
                <c:pt idx="383">
                  <c:v>1.3165504839642329E-2</c:v>
                </c:pt>
                <c:pt idx="384">
                  <c:v>1.3163377941176316E-2</c:v>
                </c:pt>
                <c:pt idx="385">
                  <c:v>1.317619323394318E-2</c:v>
                </c:pt>
                <c:pt idx="386">
                  <c:v>1.3163208770935705E-2</c:v>
                </c:pt>
                <c:pt idx="387">
                  <c:v>1.3193327243308822E-2</c:v>
                </c:pt>
                <c:pt idx="388">
                  <c:v>1.3533671663910857E-2</c:v>
                </c:pt>
                <c:pt idx="389">
                  <c:v>1.3164117358021175E-2</c:v>
                </c:pt>
                <c:pt idx="390">
                  <c:v>1.3327920934462018E-2</c:v>
                </c:pt>
                <c:pt idx="391">
                  <c:v>1.3163246191665675E-2</c:v>
                </c:pt>
                <c:pt idx="392">
                  <c:v>1.3164138087044315E-2</c:v>
                </c:pt>
                <c:pt idx="393">
                  <c:v>1.3185247194242409E-2</c:v>
                </c:pt>
                <c:pt idx="394">
                  <c:v>1.3164347932689814E-2</c:v>
                </c:pt>
                <c:pt idx="395">
                  <c:v>1.3163909592423639E-2</c:v>
                </c:pt>
                <c:pt idx="396">
                  <c:v>1.3164353774376731E-2</c:v>
                </c:pt>
                <c:pt idx="397">
                  <c:v>1.3163634698504059E-2</c:v>
                </c:pt>
                <c:pt idx="398">
                  <c:v>1.3163600830693891E-2</c:v>
                </c:pt>
                <c:pt idx="399">
                  <c:v>1.3163862567859237E-2</c:v>
                </c:pt>
                <c:pt idx="400">
                  <c:v>1.3166052533119607E-2</c:v>
                </c:pt>
                <c:pt idx="401">
                  <c:v>1.3200361188713445E-2</c:v>
                </c:pt>
                <c:pt idx="402">
                  <c:v>1.3169389638417456E-2</c:v>
                </c:pt>
                <c:pt idx="403">
                  <c:v>1.3165011274078131E-2</c:v>
                </c:pt>
                <c:pt idx="404">
                  <c:v>1.3237378048295121E-2</c:v>
                </c:pt>
                <c:pt idx="405">
                  <c:v>1.316320308131518E-2</c:v>
                </c:pt>
                <c:pt idx="406">
                  <c:v>1.3379623463833125E-2</c:v>
                </c:pt>
                <c:pt idx="407">
                  <c:v>1.3195451590087687E-2</c:v>
                </c:pt>
                <c:pt idx="408">
                  <c:v>1.3163340965375473E-2</c:v>
                </c:pt>
                <c:pt idx="409">
                  <c:v>1.3163525076090558E-2</c:v>
                </c:pt>
                <c:pt idx="410">
                  <c:v>1.3208185565135457E-2</c:v>
                </c:pt>
                <c:pt idx="411">
                  <c:v>1.3164521587979547E-2</c:v>
                </c:pt>
                <c:pt idx="412">
                  <c:v>1.3163867561449898E-2</c:v>
                </c:pt>
                <c:pt idx="413">
                  <c:v>6.0598292448402737E-2</c:v>
                </c:pt>
                <c:pt idx="414">
                  <c:v>1.316468583352544E-2</c:v>
                </c:pt>
                <c:pt idx="415">
                  <c:v>1.3173374564920815E-2</c:v>
                </c:pt>
                <c:pt idx="416">
                  <c:v>1.3163537547832142E-2</c:v>
                </c:pt>
                <c:pt idx="417">
                  <c:v>1.3164099691537078E-2</c:v>
                </c:pt>
                <c:pt idx="418">
                  <c:v>1.316380907589646E-2</c:v>
                </c:pt>
                <c:pt idx="419">
                  <c:v>1.3212796194752883E-2</c:v>
                </c:pt>
                <c:pt idx="420">
                  <c:v>1.3337775148233644E-2</c:v>
                </c:pt>
                <c:pt idx="421">
                  <c:v>2.8662546886063692E-2</c:v>
                </c:pt>
                <c:pt idx="422">
                  <c:v>1.3238710866660093E-2</c:v>
                </c:pt>
                <c:pt idx="423">
                  <c:v>1.3166270058844097E-2</c:v>
                </c:pt>
                <c:pt idx="424">
                  <c:v>1.3204795394876333E-2</c:v>
                </c:pt>
                <c:pt idx="425">
                  <c:v>1.3164472187881504E-2</c:v>
                </c:pt>
                <c:pt idx="426">
                  <c:v>1.3164018592224399E-2</c:v>
                </c:pt>
                <c:pt idx="427">
                  <c:v>1.3163208397957413E-2</c:v>
                </c:pt>
                <c:pt idx="428">
                  <c:v>1.3163455964359519E-2</c:v>
                </c:pt>
                <c:pt idx="429">
                  <c:v>1.3248186239348043E-2</c:v>
                </c:pt>
                <c:pt idx="430">
                  <c:v>1.3178586509948869E-2</c:v>
                </c:pt>
                <c:pt idx="431">
                  <c:v>1.6195290933174709E-2</c:v>
                </c:pt>
                <c:pt idx="432">
                  <c:v>1.3163833632485088E-2</c:v>
                </c:pt>
                <c:pt idx="433">
                  <c:v>1.3163654301087256E-2</c:v>
                </c:pt>
                <c:pt idx="434">
                  <c:v>1.3163684886145702E-2</c:v>
                </c:pt>
                <c:pt idx="435">
                  <c:v>1.3168871710746818E-2</c:v>
                </c:pt>
                <c:pt idx="436">
                  <c:v>1.3164175255642245E-2</c:v>
                </c:pt>
                <c:pt idx="437">
                  <c:v>1.3163260665073279E-2</c:v>
                </c:pt>
                <c:pt idx="438">
                  <c:v>1.3163733458044896E-2</c:v>
                </c:pt>
                <c:pt idx="439">
                  <c:v>1.316323779702141E-2</c:v>
                </c:pt>
                <c:pt idx="440">
                  <c:v>1.3196156075736088E-2</c:v>
                </c:pt>
                <c:pt idx="441">
                  <c:v>1.3194268043537421E-2</c:v>
                </c:pt>
                <c:pt idx="442">
                  <c:v>1.3166869284819607E-2</c:v>
                </c:pt>
                <c:pt idx="443">
                  <c:v>1.3163219366809698E-2</c:v>
                </c:pt>
                <c:pt idx="444">
                  <c:v>1.3168058819271947E-2</c:v>
                </c:pt>
                <c:pt idx="445">
                  <c:v>1.3163369078609096E-2</c:v>
                </c:pt>
                <c:pt idx="446">
                  <c:v>1.3164694522875392E-2</c:v>
                </c:pt>
                <c:pt idx="447">
                  <c:v>1.3163220195512096E-2</c:v>
                </c:pt>
                <c:pt idx="448">
                  <c:v>1.4148084031580235E-2</c:v>
                </c:pt>
                <c:pt idx="449">
                  <c:v>1.316328470950154E-2</c:v>
                </c:pt>
                <c:pt idx="450">
                  <c:v>1.3194776855387679E-2</c:v>
                </c:pt>
                <c:pt idx="451">
                  <c:v>1.3164401657447604E-2</c:v>
                </c:pt>
                <c:pt idx="452">
                  <c:v>1.3164276764648588E-2</c:v>
                </c:pt>
                <c:pt idx="453">
                  <c:v>1.3164526441971551E-2</c:v>
                </c:pt>
                <c:pt idx="454">
                  <c:v>1.3163882065415791E-2</c:v>
                </c:pt>
                <c:pt idx="455">
                  <c:v>1.3165123042429207E-2</c:v>
                </c:pt>
                <c:pt idx="456">
                  <c:v>1.3163741291406567E-2</c:v>
                </c:pt>
                <c:pt idx="457">
                  <c:v>1.3164513390315668E-2</c:v>
                </c:pt>
                <c:pt idx="458">
                  <c:v>1.3178451464904909E-2</c:v>
                </c:pt>
                <c:pt idx="459">
                  <c:v>1.3214737957195308E-2</c:v>
                </c:pt>
                <c:pt idx="460">
                  <c:v>1.3163346869314868E-2</c:v>
                </c:pt>
                <c:pt idx="461">
                  <c:v>2.0491390871516222E-2</c:v>
                </c:pt>
                <c:pt idx="462">
                  <c:v>1.3168404462357229E-2</c:v>
                </c:pt>
                <c:pt idx="463">
                  <c:v>1.3163341049824978E-2</c:v>
                </c:pt>
                <c:pt idx="464">
                  <c:v>1.3331725679518638E-2</c:v>
                </c:pt>
                <c:pt idx="465">
                  <c:v>1.3334141741248933E-2</c:v>
                </c:pt>
                <c:pt idx="466">
                  <c:v>1.3173126503787783E-2</c:v>
                </c:pt>
                <c:pt idx="467">
                  <c:v>1.3165449755901256E-2</c:v>
                </c:pt>
                <c:pt idx="468">
                  <c:v>1.3163249883061598E-2</c:v>
                </c:pt>
                <c:pt idx="469">
                  <c:v>1.3170777055918403E-2</c:v>
                </c:pt>
                <c:pt idx="470">
                  <c:v>1.3172489333182645E-2</c:v>
                </c:pt>
                <c:pt idx="471">
                  <c:v>1.3163752056222826E-2</c:v>
                </c:pt>
                <c:pt idx="472">
                  <c:v>1.3170912339950207E-2</c:v>
                </c:pt>
                <c:pt idx="473">
                  <c:v>1.3166339979014473E-2</c:v>
                </c:pt>
                <c:pt idx="474">
                  <c:v>1.3165378734895801E-2</c:v>
                </c:pt>
                <c:pt idx="475">
                  <c:v>1.3163889733033391E-2</c:v>
                </c:pt>
                <c:pt idx="476">
                  <c:v>1.3165115034035765E-2</c:v>
                </c:pt>
                <c:pt idx="477">
                  <c:v>1.3163439669128359E-2</c:v>
                </c:pt>
                <c:pt idx="478">
                  <c:v>1.3163258594452719E-2</c:v>
                </c:pt>
                <c:pt idx="479">
                  <c:v>1.3165210802197531E-2</c:v>
                </c:pt>
                <c:pt idx="480">
                  <c:v>1.316434972451035E-2</c:v>
                </c:pt>
                <c:pt idx="481">
                  <c:v>1.3163234276701838E-2</c:v>
                </c:pt>
                <c:pt idx="482">
                  <c:v>1.3163440737404868E-2</c:v>
                </c:pt>
                <c:pt idx="483">
                  <c:v>1.3187970792431806E-2</c:v>
                </c:pt>
                <c:pt idx="484">
                  <c:v>1.3163207021170437E-2</c:v>
                </c:pt>
                <c:pt idx="485">
                  <c:v>1.3163522984431523E-2</c:v>
                </c:pt>
                <c:pt idx="486">
                  <c:v>1.3164083535853183E-2</c:v>
                </c:pt>
                <c:pt idx="487">
                  <c:v>1.3164155223092888E-2</c:v>
                </c:pt>
                <c:pt idx="488">
                  <c:v>1.3174175221601621E-2</c:v>
                </c:pt>
                <c:pt idx="489">
                  <c:v>1.3163277427435106E-2</c:v>
                </c:pt>
                <c:pt idx="490">
                  <c:v>1.3164094808152794E-2</c:v>
                </c:pt>
                <c:pt idx="491">
                  <c:v>1.3174416265557248E-2</c:v>
                </c:pt>
                <c:pt idx="492">
                  <c:v>1.3166701320688486E-2</c:v>
                </c:pt>
                <c:pt idx="493">
                  <c:v>2.2854927674931295E-2</c:v>
                </c:pt>
                <c:pt idx="494">
                  <c:v>1.3172603526851187E-2</c:v>
                </c:pt>
                <c:pt idx="495">
                  <c:v>1.316449100558351E-2</c:v>
                </c:pt>
                <c:pt idx="496">
                  <c:v>1.3163569832593144E-2</c:v>
                </c:pt>
                <c:pt idx="497">
                  <c:v>1.3163209116963989E-2</c:v>
                </c:pt>
                <c:pt idx="498">
                  <c:v>1.3163196855464994E-2</c:v>
                </c:pt>
                <c:pt idx="499">
                  <c:v>1.3176602576823604E-2</c:v>
                </c:pt>
                <c:pt idx="500">
                  <c:v>1.3163496401842676E-2</c:v>
                </c:pt>
                <c:pt idx="501">
                  <c:v>1.3163694558553941E-2</c:v>
                </c:pt>
                <c:pt idx="502">
                  <c:v>1.3163956625492051E-2</c:v>
                </c:pt>
                <c:pt idx="503">
                  <c:v>1.3415227861187519E-2</c:v>
                </c:pt>
                <c:pt idx="504">
                  <c:v>1.3163306143591956E-2</c:v>
                </c:pt>
                <c:pt idx="505">
                  <c:v>1.3164952285913592E-2</c:v>
                </c:pt>
                <c:pt idx="506">
                  <c:v>1.359659780363697E-2</c:v>
                </c:pt>
                <c:pt idx="507">
                  <c:v>1.3164167801049328E-2</c:v>
                </c:pt>
                <c:pt idx="508">
                  <c:v>1.3163359223643227E-2</c:v>
                </c:pt>
                <c:pt idx="509">
                  <c:v>1.3163568297280374E-2</c:v>
                </c:pt>
                <c:pt idx="510">
                  <c:v>1.3165194073374249E-2</c:v>
                </c:pt>
                <c:pt idx="511">
                  <c:v>1.3164327551598409E-2</c:v>
                </c:pt>
                <c:pt idx="512">
                  <c:v>1.3164493518630716E-2</c:v>
                </c:pt>
                <c:pt idx="513">
                  <c:v>1.3163199939380569E-2</c:v>
                </c:pt>
                <c:pt idx="514">
                  <c:v>1.316334997611894E-2</c:v>
                </c:pt>
                <c:pt idx="515">
                  <c:v>1.316320003288717E-2</c:v>
                </c:pt>
                <c:pt idx="516">
                  <c:v>1.3442179781116856E-2</c:v>
                </c:pt>
                <c:pt idx="517">
                  <c:v>1.3207249942929581E-2</c:v>
                </c:pt>
                <c:pt idx="518">
                  <c:v>1.3174095998146498E-2</c:v>
                </c:pt>
                <c:pt idx="519">
                  <c:v>1.936488160951998E-2</c:v>
                </c:pt>
                <c:pt idx="520">
                  <c:v>1.3237477664338313E-2</c:v>
                </c:pt>
                <c:pt idx="521">
                  <c:v>1.3164827456137685E-2</c:v>
                </c:pt>
                <c:pt idx="522">
                  <c:v>1.3163281851821309E-2</c:v>
                </c:pt>
                <c:pt idx="523">
                  <c:v>1.3163251403923137E-2</c:v>
                </c:pt>
                <c:pt idx="524">
                  <c:v>1.3163645074473354E-2</c:v>
                </c:pt>
                <c:pt idx="525">
                  <c:v>1.4510002470566458E-2</c:v>
                </c:pt>
                <c:pt idx="526">
                  <c:v>1.3165230226334585E-2</c:v>
                </c:pt>
                <c:pt idx="527">
                  <c:v>1.3859932500163801E-2</c:v>
                </c:pt>
                <c:pt idx="528">
                  <c:v>1.3170688550525514E-2</c:v>
                </c:pt>
                <c:pt idx="529">
                  <c:v>1.3163196680420717E-2</c:v>
                </c:pt>
                <c:pt idx="530">
                  <c:v>1.316343034728582E-2</c:v>
                </c:pt>
                <c:pt idx="531">
                  <c:v>1.3163197705491469E-2</c:v>
                </c:pt>
                <c:pt idx="532">
                  <c:v>1.3169109380193762E-2</c:v>
                </c:pt>
                <c:pt idx="533">
                  <c:v>1.316417611248347E-2</c:v>
                </c:pt>
                <c:pt idx="534">
                  <c:v>1.3163602981098629E-2</c:v>
                </c:pt>
                <c:pt idx="535">
                  <c:v>1.3163215724893405E-2</c:v>
                </c:pt>
                <c:pt idx="536">
                  <c:v>1.3164553863320326E-2</c:v>
                </c:pt>
                <c:pt idx="537">
                  <c:v>1.3163466582053147E-2</c:v>
                </c:pt>
                <c:pt idx="538">
                  <c:v>1.3225459437334075E-2</c:v>
                </c:pt>
                <c:pt idx="539">
                  <c:v>1.3844409037729119E-2</c:v>
                </c:pt>
                <c:pt idx="540">
                  <c:v>1.3181943181472998E-2</c:v>
                </c:pt>
                <c:pt idx="541">
                  <c:v>1.316355975214002E-2</c:v>
                </c:pt>
                <c:pt idx="542">
                  <c:v>1.3164353587233633E-2</c:v>
                </c:pt>
                <c:pt idx="543">
                  <c:v>1.316798346914962E-2</c:v>
                </c:pt>
                <c:pt idx="544">
                  <c:v>1.3163318451249312E-2</c:v>
                </c:pt>
                <c:pt idx="545">
                  <c:v>1.3163686106787276E-2</c:v>
                </c:pt>
                <c:pt idx="546">
                  <c:v>1.5134144470578252E-2</c:v>
                </c:pt>
                <c:pt idx="547">
                  <c:v>1.3163696849229327E-2</c:v>
                </c:pt>
                <c:pt idx="548">
                  <c:v>1.3163722565031432E-2</c:v>
                </c:pt>
                <c:pt idx="549">
                  <c:v>1.3194770751299338E-2</c:v>
                </c:pt>
                <c:pt idx="550">
                  <c:v>1.3163196696888176E-2</c:v>
                </c:pt>
                <c:pt idx="551">
                  <c:v>1.3164174333139262E-2</c:v>
                </c:pt>
                <c:pt idx="552">
                  <c:v>1.3164328430563204E-2</c:v>
                </c:pt>
                <c:pt idx="553">
                  <c:v>1.3163248096257846E-2</c:v>
                </c:pt>
                <c:pt idx="554">
                  <c:v>2.2489389340226141E-2</c:v>
                </c:pt>
                <c:pt idx="555">
                  <c:v>1.3163265147024317E-2</c:v>
                </c:pt>
                <c:pt idx="556">
                  <c:v>1.3164410179300708E-2</c:v>
                </c:pt>
                <c:pt idx="557">
                  <c:v>3.0650458057498491E-2</c:v>
                </c:pt>
                <c:pt idx="558">
                  <c:v>1.3164363486821647E-2</c:v>
                </c:pt>
                <c:pt idx="559">
                  <c:v>1.3593166706232663E-2</c:v>
                </c:pt>
                <c:pt idx="560">
                  <c:v>1.3172774530573323E-2</c:v>
                </c:pt>
                <c:pt idx="561">
                  <c:v>1.3163207313563158E-2</c:v>
                </c:pt>
                <c:pt idx="562">
                  <c:v>1.3163751836595811E-2</c:v>
                </c:pt>
                <c:pt idx="563">
                  <c:v>1.4692620250053374E-2</c:v>
                </c:pt>
                <c:pt idx="564">
                  <c:v>1.3982592168303732E-2</c:v>
                </c:pt>
                <c:pt idx="565">
                  <c:v>1.3163237084145704E-2</c:v>
                </c:pt>
                <c:pt idx="566">
                  <c:v>1.3170398540548887E-2</c:v>
                </c:pt>
                <c:pt idx="567">
                  <c:v>1.3165035902341389E-2</c:v>
                </c:pt>
                <c:pt idx="568">
                  <c:v>1.3163482507312238E-2</c:v>
                </c:pt>
                <c:pt idx="569">
                  <c:v>1.316346996999767E-2</c:v>
                </c:pt>
                <c:pt idx="570">
                  <c:v>1.3164174273432059E-2</c:v>
                </c:pt>
                <c:pt idx="571">
                  <c:v>1.3169707783302821E-2</c:v>
                </c:pt>
                <c:pt idx="572">
                  <c:v>1.3587083697682151E-2</c:v>
                </c:pt>
                <c:pt idx="573">
                  <c:v>1.3165139570488607E-2</c:v>
                </c:pt>
                <c:pt idx="574">
                  <c:v>1.3163220294470273E-2</c:v>
                </c:pt>
                <c:pt idx="575">
                  <c:v>1.3163577833071797E-2</c:v>
                </c:pt>
                <c:pt idx="576">
                  <c:v>1.3163209699000559E-2</c:v>
                </c:pt>
                <c:pt idx="577">
                  <c:v>1.3163245286899626E-2</c:v>
                </c:pt>
                <c:pt idx="578">
                  <c:v>1.3163751038245059E-2</c:v>
                </c:pt>
                <c:pt idx="579">
                  <c:v>1.3164911864515478E-2</c:v>
                </c:pt>
                <c:pt idx="580">
                  <c:v>1.3163708150697432E-2</c:v>
                </c:pt>
                <c:pt idx="581">
                  <c:v>1.3163427932856164E-2</c:v>
                </c:pt>
                <c:pt idx="582">
                  <c:v>1.31633433166666E-2</c:v>
                </c:pt>
                <c:pt idx="583">
                  <c:v>1.3163460800556658E-2</c:v>
                </c:pt>
                <c:pt idx="584">
                  <c:v>1.3202222371114847E-2</c:v>
                </c:pt>
                <c:pt idx="585">
                  <c:v>1.3163616641488815E-2</c:v>
                </c:pt>
                <c:pt idx="586">
                  <c:v>1.3646326311454425E-2</c:v>
                </c:pt>
                <c:pt idx="587">
                  <c:v>1.3180759729020074E-2</c:v>
                </c:pt>
                <c:pt idx="588">
                  <c:v>1.3164350073104829E-2</c:v>
                </c:pt>
                <c:pt idx="589">
                  <c:v>1.3163800677774191E-2</c:v>
                </c:pt>
                <c:pt idx="590">
                  <c:v>1.3189367210822679E-2</c:v>
                </c:pt>
                <c:pt idx="591">
                  <c:v>1.320738763439119E-2</c:v>
                </c:pt>
                <c:pt idx="592">
                  <c:v>1.3183671972004976E-2</c:v>
                </c:pt>
                <c:pt idx="593">
                  <c:v>1.3164244584928583E-2</c:v>
                </c:pt>
                <c:pt idx="594">
                  <c:v>1.3178646115669507E-2</c:v>
                </c:pt>
                <c:pt idx="595">
                  <c:v>1.3178982824915437E-2</c:v>
                </c:pt>
                <c:pt idx="596">
                  <c:v>1.3163406884094377E-2</c:v>
                </c:pt>
                <c:pt idx="597">
                  <c:v>1.3163271493922823E-2</c:v>
                </c:pt>
                <c:pt idx="598">
                  <c:v>1.3163613717942247E-2</c:v>
                </c:pt>
                <c:pt idx="599">
                  <c:v>1.3163560759381665E-2</c:v>
                </c:pt>
                <c:pt idx="600">
                  <c:v>1.3171031071672194E-2</c:v>
                </c:pt>
                <c:pt idx="601">
                  <c:v>1.3163819978085944E-2</c:v>
                </c:pt>
                <c:pt idx="602">
                  <c:v>1.3163420723156806E-2</c:v>
                </c:pt>
                <c:pt idx="603">
                  <c:v>1.3164119579767946E-2</c:v>
                </c:pt>
                <c:pt idx="604">
                  <c:v>1.3188250449484063E-2</c:v>
                </c:pt>
                <c:pt idx="605">
                  <c:v>1.3167332632542082E-2</c:v>
                </c:pt>
                <c:pt idx="606">
                  <c:v>1.3163266053753815E-2</c:v>
                </c:pt>
                <c:pt idx="607">
                  <c:v>1.3167360438278387E-2</c:v>
                </c:pt>
                <c:pt idx="608">
                  <c:v>1.3195805998887205E-2</c:v>
                </c:pt>
                <c:pt idx="609">
                  <c:v>1.316321147280331E-2</c:v>
                </c:pt>
                <c:pt idx="610">
                  <c:v>1.3163212569950683E-2</c:v>
                </c:pt>
                <c:pt idx="611">
                  <c:v>1.3257274373487254E-2</c:v>
                </c:pt>
                <c:pt idx="612">
                  <c:v>1.3812279192013662E-2</c:v>
                </c:pt>
                <c:pt idx="613">
                  <c:v>1.3163217613406449E-2</c:v>
                </c:pt>
                <c:pt idx="614">
                  <c:v>1.3163877788756264E-2</c:v>
                </c:pt>
                <c:pt idx="615">
                  <c:v>1.316322695913183E-2</c:v>
                </c:pt>
                <c:pt idx="616">
                  <c:v>1.316470785905558E-2</c:v>
                </c:pt>
                <c:pt idx="617">
                  <c:v>1.3205456853011194E-2</c:v>
                </c:pt>
                <c:pt idx="618">
                  <c:v>1.3163601948624686E-2</c:v>
                </c:pt>
                <c:pt idx="619">
                  <c:v>1.3164445455531672E-2</c:v>
                </c:pt>
                <c:pt idx="620">
                  <c:v>1.3163600309809849E-2</c:v>
                </c:pt>
                <c:pt idx="621">
                  <c:v>1.3166134213849495E-2</c:v>
                </c:pt>
                <c:pt idx="622">
                  <c:v>1.3163710374307561E-2</c:v>
                </c:pt>
                <c:pt idx="623">
                  <c:v>1.3163286785029369E-2</c:v>
                </c:pt>
                <c:pt idx="624">
                  <c:v>1.3163292405193101E-2</c:v>
                </c:pt>
                <c:pt idx="625">
                  <c:v>1.4865516844532568E-2</c:v>
                </c:pt>
                <c:pt idx="626">
                  <c:v>1.3163238017686806E-2</c:v>
                </c:pt>
                <c:pt idx="627">
                  <c:v>1.3164134510479764E-2</c:v>
                </c:pt>
                <c:pt idx="628">
                  <c:v>1.3168314219222302E-2</c:v>
                </c:pt>
                <c:pt idx="629">
                  <c:v>1.3308711014058542E-2</c:v>
                </c:pt>
                <c:pt idx="630">
                  <c:v>1.3164693349064492E-2</c:v>
                </c:pt>
                <c:pt idx="631">
                  <c:v>1.3163608795970951E-2</c:v>
                </c:pt>
                <c:pt idx="632">
                  <c:v>1.3167218602547994E-2</c:v>
                </c:pt>
                <c:pt idx="633">
                  <c:v>1.3165046034270638E-2</c:v>
                </c:pt>
                <c:pt idx="634">
                  <c:v>1.3163519523233372E-2</c:v>
                </c:pt>
                <c:pt idx="635">
                  <c:v>1.3164447086718501E-2</c:v>
                </c:pt>
                <c:pt idx="636">
                  <c:v>1.3163424106168156E-2</c:v>
                </c:pt>
                <c:pt idx="637">
                  <c:v>1.3163507219480263E-2</c:v>
                </c:pt>
                <c:pt idx="638">
                  <c:v>1.3215523122600685E-2</c:v>
                </c:pt>
                <c:pt idx="639">
                  <c:v>1.3174923887866369E-2</c:v>
                </c:pt>
                <c:pt idx="640">
                  <c:v>1.3456319368111355E-2</c:v>
                </c:pt>
                <c:pt idx="641">
                  <c:v>1.3164469687163923E-2</c:v>
                </c:pt>
                <c:pt idx="642">
                  <c:v>1.3174092441687246E-2</c:v>
                </c:pt>
                <c:pt idx="643">
                  <c:v>1.3163201865284682E-2</c:v>
                </c:pt>
                <c:pt idx="644">
                  <c:v>1.3171224041127432E-2</c:v>
                </c:pt>
                <c:pt idx="645">
                  <c:v>1.3163935214796698E-2</c:v>
                </c:pt>
                <c:pt idx="646">
                  <c:v>1.3170011800565012E-2</c:v>
                </c:pt>
                <c:pt idx="647">
                  <c:v>1.3163701715277155E-2</c:v>
                </c:pt>
                <c:pt idx="648">
                  <c:v>1.3214810037491899E-2</c:v>
                </c:pt>
                <c:pt idx="649">
                  <c:v>1.3171957162687814E-2</c:v>
                </c:pt>
                <c:pt idx="650">
                  <c:v>1.3605201718662368E-2</c:v>
                </c:pt>
                <c:pt idx="651">
                  <c:v>1.3163621750039675E-2</c:v>
                </c:pt>
                <c:pt idx="652">
                  <c:v>1.3164143205498071E-2</c:v>
                </c:pt>
                <c:pt idx="653">
                  <c:v>1.3163197319234198E-2</c:v>
                </c:pt>
                <c:pt idx="654">
                  <c:v>1.5829067470146441E-2</c:v>
                </c:pt>
                <c:pt idx="655">
                  <c:v>1.3170077495765667E-2</c:v>
                </c:pt>
                <c:pt idx="656">
                  <c:v>1.3264200380907597E-2</c:v>
                </c:pt>
                <c:pt idx="657">
                  <c:v>1.3169323753605333E-2</c:v>
                </c:pt>
                <c:pt idx="658">
                  <c:v>1.3163565088145413E-2</c:v>
                </c:pt>
                <c:pt idx="659">
                  <c:v>1.3163209678172328E-2</c:v>
                </c:pt>
                <c:pt idx="660">
                  <c:v>1.3164405547797299E-2</c:v>
                </c:pt>
                <c:pt idx="661">
                  <c:v>1.3163832693959793E-2</c:v>
                </c:pt>
                <c:pt idx="662">
                  <c:v>1.3163263902474338E-2</c:v>
                </c:pt>
                <c:pt idx="663">
                  <c:v>1.3163197038892472E-2</c:v>
                </c:pt>
                <c:pt idx="664">
                  <c:v>1.3203488130560643E-2</c:v>
                </c:pt>
                <c:pt idx="665">
                  <c:v>1.3164145138563812E-2</c:v>
                </c:pt>
                <c:pt idx="666">
                  <c:v>1.3170046164199653E-2</c:v>
                </c:pt>
                <c:pt idx="667">
                  <c:v>1.3163196824251896E-2</c:v>
                </c:pt>
                <c:pt idx="668">
                  <c:v>1.3163197460175356E-2</c:v>
                </c:pt>
                <c:pt idx="669">
                  <c:v>1.3163591455732994E-2</c:v>
                </c:pt>
                <c:pt idx="670">
                  <c:v>1.3163408287583823E-2</c:v>
                </c:pt>
                <c:pt idx="671">
                  <c:v>1.3163326078176217E-2</c:v>
                </c:pt>
                <c:pt idx="672">
                  <c:v>1.3163566883329109E-2</c:v>
                </c:pt>
                <c:pt idx="673">
                  <c:v>1.3178531486440638E-2</c:v>
                </c:pt>
                <c:pt idx="674">
                  <c:v>1.3163277435410504E-2</c:v>
                </c:pt>
                <c:pt idx="675">
                  <c:v>1.3163489330544689E-2</c:v>
                </c:pt>
                <c:pt idx="676">
                  <c:v>1.3163235067885058E-2</c:v>
                </c:pt>
                <c:pt idx="677">
                  <c:v>1.3174382214989899E-2</c:v>
                </c:pt>
                <c:pt idx="678">
                  <c:v>1.3164939937763142E-2</c:v>
                </c:pt>
                <c:pt idx="679">
                  <c:v>1.316765894596318E-2</c:v>
                </c:pt>
                <c:pt idx="680">
                  <c:v>1.3164440559455219E-2</c:v>
                </c:pt>
                <c:pt idx="681">
                  <c:v>1.316342416641997E-2</c:v>
                </c:pt>
                <c:pt idx="682">
                  <c:v>1.3163206948641414E-2</c:v>
                </c:pt>
                <c:pt idx="683">
                  <c:v>1.3163954687470584E-2</c:v>
                </c:pt>
                <c:pt idx="684">
                  <c:v>1.5556607147603334E-2</c:v>
                </c:pt>
                <c:pt idx="685">
                  <c:v>1.3166255511942978E-2</c:v>
                </c:pt>
                <c:pt idx="686">
                  <c:v>1.3260385106504917E-2</c:v>
                </c:pt>
                <c:pt idx="687">
                  <c:v>1.3163249572943654E-2</c:v>
                </c:pt>
                <c:pt idx="688">
                  <c:v>1.3236665268376392E-2</c:v>
                </c:pt>
                <c:pt idx="689">
                  <c:v>1.3199009191904422E-2</c:v>
                </c:pt>
                <c:pt idx="690">
                  <c:v>1.3166358518937504E-2</c:v>
                </c:pt>
                <c:pt idx="691">
                  <c:v>1.34005195331577E-2</c:v>
                </c:pt>
                <c:pt idx="692">
                  <c:v>1.3163200205490338E-2</c:v>
                </c:pt>
                <c:pt idx="693">
                  <c:v>1.3163369611959071E-2</c:v>
                </c:pt>
                <c:pt idx="694">
                  <c:v>1.316438617324365E-2</c:v>
                </c:pt>
                <c:pt idx="695">
                  <c:v>1.3164807959472034E-2</c:v>
                </c:pt>
                <c:pt idx="696">
                  <c:v>1.3168622221180135E-2</c:v>
                </c:pt>
                <c:pt idx="697">
                  <c:v>1.3163364939244592E-2</c:v>
                </c:pt>
                <c:pt idx="698">
                  <c:v>1.3191879107854639E-2</c:v>
                </c:pt>
                <c:pt idx="699">
                  <c:v>1.4449633740188211E-2</c:v>
                </c:pt>
                <c:pt idx="700">
                  <c:v>1.3164077599910444E-2</c:v>
                </c:pt>
                <c:pt idx="701">
                  <c:v>1.4494259542535309E-2</c:v>
                </c:pt>
                <c:pt idx="702">
                  <c:v>1.3164048363815605E-2</c:v>
                </c:pt>
                <c:pt idx="703">
                  <c:v>1.3163488985741207E-2</c:v>
                </c:pt>
                <c:pt idx="704">
                  <c:v>1.3163547510109317E-2</c:v>
                </c:pt>
                <c:pt idx="705">
                  <c:v>1.3163811732603982E-2</c:v>
                </c:pt>
                <c:pt idx="706">
                  <c:v>1.3193337999988886E-2</c:v>
                </c:pt>
                <c:pt idx="707">
                  <c:v>1.3163902838163653E-2</c:v>
                </c:pt>
                <c:pt idx="708">
                  <c:v>1.3164001226479437E-2</c:v>
                </c:pt>
                <c:pt idx="709">
                  <c:v>1.3163835460126609E-2</c:v>
                </c:pt>
                <c:pt idx="710">
                  <c:v>1.31650916529799E-2</c:v>
                </c:pt>
                <c:pt idx="711">
                  <c:v>1.3163990939069866E-2</c:v>
                </c:pt>
                <c:pt idx="712">
                  <c:v>1.3167759385337683E-2</c:v>
                </c:pt>
                <c:pt idx="713">
                  <c:v>1.3180474195488644E-2</c:v>
                </c:pt>
                <c:pt idx="714">
                  <c:v>1.3163748418874435E-2</c:v>
                </c:pt>
                <c:pt idx="715">
                  <c:v>1.3163296677991069E-2</c:v>
                </c:pt>
                <c:pt idx="716">
                  <c:v>1.3163321172655814E-2</c:v>
                </c:pt>
                <c:pt idx="717">
                  <c:v>1.316320905475447E-2</c:v>
                </c:pt>
                <c:pt idx="718">
                  <c:v>1.3449699751985796E-2</c:v>
                </c:pt>
                <c:pt idx="719">
                  <c:v>1.3163396064172632E-2</c:v>
                </c:pt>
                <c:pt idx="720">
                  <c:v>1.3178545961478171E-2</c:v>
                </c:pt>
                <c:pt idx="721">
                  <c:v>1.3897126125365412E-2</c:v>
                </c:pt>
                <c:pt idx="722">
                  <c:v>1.3175377271228292E-2</c:v>
                </c:pt>
                <c:pt idx="723">
                  <c:v>1.3164392931261499E-2</c:v>
                </c:pt>
                <c:pt idx="724">
                  <c:v>1.3169321877457915E-2</c:v>
                </c:pt>
                <c:pt idx="725">
                  <c:v>1.3163237850622161E-2</c:v>
                </c:pt>
                <c:pt idx="726">
                  <c:v>1.3166931926557223E-2</c:v>
                </c:pt>
                <c:pt idx="727">
                  <c:v>1.3166611956491927E-2</c:v>
                </c:pt>
                <c:pt idx="728">
                  <c:v>1.3169333093784487E-2</c:v>
                </c:pt>
                <c:pt idx="729">
                  <c:v>1.3191196722655089E-2</c:v>
                </c:pt>
                <c:pt idx="730">
                  <c:v>1.3192196841842595E-2</c:v>
                </c:pt>
                <c:pt idx="731">
                  <c:v>1.3164750712671241E-2</c:v>
                </c:pt>
                <c:pt idx="732">
                  <c:v>1.3163201470731873E-2</c:v>
                </c:pt>
                <c:pt idx="733">
                  <c:v>1.3182421232370643E-2</c:v>
                </c:pt>
                <c:pt idx="734">
                  <c:v>1.3163323425244112E-2</c:v>
                </c:pt>
                <c:pt idx="735">
                  <c:v>1.3163200874556061E-2</c:v>
                </c:pt>
                <c:pt idx="736">
                  <c:v>1.3163196680581416E-2</c:v>
                </c:pt>
                <c:pt idx="737">
                  <c:v>1.3533208363262304E-2</c:v>
                </c:pt>
                <c:pt idx="738">
                  <c:v>1.4407028804008194E-2</c:v>
                </c:pt>
                <c:pt idx="739">
                  <c:v>1.3236694124400171E-2</c:v>
                </c:pt>
                <c:pt idx="740">
                  <c:v>1.3181208336383062E-2</c:v>
                </c:pt>
                <c:pt idx="741">
                  <c:v>1.3165453858313048E-2</c:v>
                </c:pt>
                <c:pt idx="742">
                  <c:v>1.3163205821518351E-2</c:v>
                </c:pt>
                <c:pt idx="743">
                  <c:v>1.3173522656116892E-2</c:v>
                </c:pt>
                <c:pt idx="744">
                  <c:v>1.3163868716149189E-2</c:v>
                </c:pt>
                <c:pt idx="745">
                  <c:v>1.3164128541808722E-2</c:v>
                </c:pt>
                <c:pt idx="746">
                  <c:v>1.3163377702228638E-2</c:v>
                </c:pt>
                <c:pt idx="747">
                  <c:v>1.3165855896714989E-2</c:v>
                </c:pt>
                <c:pt idx="748">
                  <c:v>8.228061416903408E-2</c:v>
                </c:pt>
                <c:pt idx="749">
                  <c:v>1.3180101565811885E-2</c:v>
                </c:pt>
                <c:pt idx="750">
                  <c:v>1.322556751712466E-2</c:v>
                </c:pt>
                <c:pt idx="751">
                  <c:v>1.3163233558275582E-2</c:v>
                </c:pt>
                <c:pt idx="752">
                  <c:v>1.3164478926291115E-2</c:v>
                </c:pt>
                <c:pt idx="753">
                  <c:v>1.3170681144634176E-2</c:v>
                </c:pt>
                <c:pt idx="754">
                  <c:v>1.3182629673066531E-2</c:v>
                </c:pt>
                <c:pt idx="755">
                  <c:v>1.3164045965682551E-2</c:v>
                </c:pt>
                <c:pt idx="756">
                  <c:v>1.3276496751995739E-2</c:v>
                </c:pt>
                <c:pt idx="757">
                  <c:v>1.3163225849179087E-2</c:v>
                </c:pt>
                <c:pt idx="758">
                  <c:v>1.3163197053858622E-2</c:v>
                </c:pt>
                <c:pt idx="759">
                  <c:v>1.3163197898666025E-2</c:v>
                </c:pt>
                <c:pt idx="760">
                  <c:v>1.3163344765680074E-2</c:v>
                </c:pt>
                <c:pt idx="761">
                  <c:v>1.3163925635079163E-2</c:v>
                </c:pt>
                <c:pt idx="762">
                  <c:v>1.3389430958204785E-2</c:v>
                </c:pt>
                <c:pt idx="763">
                  <c:v>1.316560172117939E-2</c:v>
                </c:pt>
                <c:pt idx="764">
                  <c:v>1.3163812670913287E-2</c:v>
                </c:pt>
                <c:pt idx="765">
                  <c:v>1.3176586713612486E-2</c:v>
                </c:pt>
                <c:pt idx="766">
                  <c:v>1.3163303454267227E-2</c:v>
                </c:pt>
                <c:pt idx="767">
                  <c:v>1.3165540646797626E-2</c:v>
                </c:pt>
                <c:pt idx="768">
                  <c:v>1.3163860507027406E-2</c:v>
                </c:pt>
                <c:pt idx="769">
                  <c:v>1.3164526934535237E-2</c:v>
                </c:pt>
                <c:pt idx="770">
                  <c:v>1.3163866994323311E-2</c:v>
                </c:pt>
                <c:pt idx="771">
                  <c:v>1.3189624207525674E-2</c:v>
                </c:pt>
                <c:pt idx="772">
                  <c:v>1.3163461833771491E-2</c:v>
                </c:pt>
                <c:pt idx="773">
                  <c:v>1.3164132856607516E-2</c:v>
                </c:pt>
                <c:pt idx="774">
                  <c:v>1.3190054647834591E-2</c:v>
                </c:pt>
                <c:pt idx="775">
                  <c:v>1.31644830743945E-2</c:v>
                </c:pt>
                <c:pt idx="776">
                  <c:v>1.3164414442134106E-2</c:v>
                </c:pt>
                <c:pt idx="777">
                  <c:v>1.3164015388565571E-2</c:v>
                </c:pt>
                <c:pt idx="778">
                  <c:v>1.3163399156377029E-2</c:v>
                </c:pt>
                <c:pt idx="779">
                  <c:v>1.3163243540455368E-2</c:v>
                </c:pt>
                <c:pt idx="780">
                  <c:v>1.3164080172873217E-2</c:v>
                </c:pt>
                <c:pt idx="781">
                  <c:v>1.323257567661046E-2</c:v>
                </c:pt>
                <c:pt idx="782">
                  <c:v>1.3163230245914931E-2</c:v>
                </c:pt>
                <c:pt idx="783">
                  <c:v>1.3163198847702116E-2</c:v>
                </c:pt>
                <c:pt idx="784">
                  <c:v>1.3163942163661835E-2</c:v>
                </c:pt>
                <c:pt idx="785">
                  <c:v>1.3166739394612529E-2</c:v>
                </c:pt>
                <c:pt idx="786">
                  <c:v>1.4033311099076356E-2</c:v>
                </c:pt>
                <c:pt idx="787">
                  <c:v>1.316351438203768E-2</c:v>
                </c:pt>
                <c:pt idx="788">
                  <c:v>1.3983617201723031E-2</c:v>
                </c:pt>
                <c:pt idx="789">
                  <c:v>1.3166378570988712E-2</c:v>
                </c:pt>
                <c:pt idx="790">
                  <c:v>1.3164170151742229E-2</c:v>
                </c:pt>
                <c:pt idx="791">
                  <c:v>1.3172196674963386E-2</c:v>
                </c:pt>
                <c:pt idx="792">
                  <c:v>1.3164425478650666E-2</c:v>
                </c:pt>
                <c:pt idx="793">
                  <c:v>2.4420666717984745E-2</c:v>
                </c:pt>
                <c:pt idx="794">
                  <c:v>1.3163241905390234E-2</c:v>
                </c:pt>
                <c:pt idx="795">
                  <c:v>1.3163199483546653E-2</c:v>
                </c:pt>
                <c:pt idx="796">
                  <c:v>1.3163343915138553E-2</c:v>
                </c:pt>
                <c:pt idx="797">
                  <c:v>1.5977376042405109E-2</c:v>
                </c:pt>
                <c:pt idx="798">
                  <c:v>1.3163414567092699E-2</c:v>
                </c:pt>
                <c:pt idx="799">
                  <c:v>1.3170472835425221E-2</c:v>
                </c:pt>
                <c:pt idx="800">
                  <c:v>1.3164479415297921E-2</c:v>
                </c:pt>
                <c:pt idx="801">
                  <c:v>1.3173064217512192E-2</c:v>
                </c:pt>
                <c:pt idx="802">
                  <c:v>1.3166863534519428E-2</c:v>
                </c:pt>
                <c:pt idx="803">
                  <c:v>1.3169767194216161E-2</c:v>
                </c:pt>
                <c:pt idx="804">
                  <c:v>1.3167452039830597E-2</c:v>
                </c:pt>
                <c:pt idx="805">
                  <c:v>1.3184042673916574E-2</c:v>
                </c:pt>
                <c:pt idx="806">
                  <c:v>1.3163199182452649E-2</c:v>
                </c:pt>
                <c:pt idx="807">
                  <c:v>1.3163369265082794E-2</c:v>
                </c:pt>
                <c:pt idx="808">
                  <c:v>1.3176579601937292E-2</c:v>
                </c:pt>
                <c:pt idx="809">
                  <c:v>1.3163216507430216E-2</c:v>
                </c:pt>
                <c:pt idx="810">
                  <c:v>1.3163214312278961E-2</c:v>
                </c:pt>
                <c:pt idx="811">
                  <c:v>1.3164518820757944E-2</c:v>
                </c:pt>
                <c:pt idx="812">
                  <c:v>1.3164269769835837E-2</c:v>
                </c:pt>
                <c:pt idx="813">
                  <c:v>1.3180309317573963E-2</c:v>
                </c:pt>
                <c:pt idx="814">
                  <c:v>1.3163760633397794E-2</c:v>
                </c:pt>
                <c:pt idx="815">
                  <c:v>1.3163602241098801E-2</c:v>
                </c:pt>
                <c:pt idx="816">
                  <c:v>1.3165171227921976E-2</c:v>
                </c:pt>
                <c:pt idx="817">
                  <c:v>1.3163212498763914E-2</c:v>
                </c:pt>
                <c:pt idx="818">
                  <c:v>1.3163618587097164E-2</c:v>
                </c:pt>
                <c:pt idx="819">
                  <c:v>1.3163574744304863E-2</c:v>
                </c:pt>
                <c:pt idx="820">
                  <c:v>1.3269072594440505E-2</c:v>
                </c:pt>
                <c:pt idx="821">
                  <c:v>1.3164429892501028E-2</c:v>
                </c:pt>
                <c:pt idx="822">
                  <c:v>1.3212220755515397E-2</c:v>
                </c:pt>
                <c:pt idx="823">
                  <c:v>1.316320112496434E-2</c:v>
                </c:pt>
                <c:pt idx="824">
                  <c:v>1.3163311451753468E-2</c:v>
                </c:pt>
                <c:pt idx="825">
                  <c:v>1.3334801683961181E-2</c:v>
                </c:pt>
                <c:pt idx="826">
                  <c:v>1.3163243608308268E-2</c:v>
                </c:pt>
                <c:pt idx="827">
                  <c:v>1.3163485975721367E-2</c:v>
                </c:pt>
                <c:pt idx="828">
                  <c:v>1.3163641379711561E-2</c:v>
                </c:pt>
                <c:pt idx="829">
                  <c:v>1.3164555141254562E-2</c:v>
                </c:pt>
                <c:pt idx="830">
                  <c:v>1.3494184182953953E-2</c:v>
                </c:pt>
                <c:pt idx="831">
                  <c:v>1.3163564455323892E-2</c:v>
                </c:pt>
                <c:pt idx="832">
                  <c:v>1.3163217551307452E-2</c:v>
                </c:pt>
                <c:pt idx="833">
                  <c:v>1.3842934263821514E-2</c:v>
                </c:pt>
                <c:pt idx="834">
                  <c:v>1.3165033481391693E-2</c:v>
                </c:pt>
                <c:pt idx="835">
                  <c:v>1.3305686569696341E-2</c:v>
                </c:pt>
                <c:pt idx="836">
                  <c:v>1.3246631811553946E-2</c:v>
                </c:pt>
                <c:pt idx="837">
                  <c:v>1.3170420219861392E-2</c:v>
                </c:pt>
                <c:pt idx="838">
                  <c:v>1.3164518805167714E-2</c:v>
                </c:pt>
                <c:pt idx="839">
                  <c:v>1.3163196725172013E-2</c:v>
                </c:pt>
                <c:pt idx="840">
                  <c:v>1.3175417656901271E-2</c:v>
                </c:pt>
                <c:pt idx="841">
                  <c:v>1.3164927336839249E-2</c:v>
                </c:pt>
                <c:pt idx="842">
                  <c:v>1.3163885713925558E-2</c:v>
                </c:pt>
                <c:pt idx="843">
                  <c:v>1.3763892903637736E-2</c:v>
                </c:pt>
                <c:pt idx="844">
                  <c:v>1.3164057464519352E-2</c:v>
                </c:pt>
                <c:pt idx="845">
                  <c:v>1.3164430410718781E-2</c:v>
                </c:pt>
                <c:pt idx="846">
                  <c:v>1.3164327544807944E-2</c:v>
                </c:pt>
                <c:pt idx="847">
                  <c:v>1.3175734699940145E-2</c:v>
                </c:pt>
                <c:pt idx="848">
                  <c:v>1.3215491305046474E-2</c:v>
                </c:pt>
                <c:pt idx="849">
                  <c:v>1.3163512224256184E-2</c:v>
                </c:pt>
                <c:pt idx="850">
                  <c:v>1.3168090464881457E-2</c:v>
                </c:pt>
                <c:pt idx="851">
                  <c:v>1.3163461933796883E-2</c:v>
                </c:pt>
                <c:pt idx="852">
                  <c:v>1.3165529974238914E-2</c:v>
                </c:pt>
                <c:pt idx="853">
                  <c:v>1.3178249197801495E-2</c:v>
                </c:pt>
                <c:pt idx="854">
                  <c:v>1.3686834050101866E-2</c:v>
                </c:pt>
                <c:pt idx="855">
                  <c:v>1.3163227261641089E-2</c:v>
                </c:pt>
                <c:pt idx="856">
                  <c:v>1.3166865868848875E-2</c:v>
                </c:pt>
                <c:pt idx="857">
                  <c:v>1.3163289185673449E-2</c:v>
                </c:pt>
                <c:pt idx="858">
                  <c:v>1.3164058899301063E-2</c:v>
                </c:pt>
                <c:pt idx="859">
                  <c:v>1.3164754284534926E-2</c:v>
                </c:pt>
                <c:pt idx="860">
                  <c:v>1.316319842050462E-2</c:v>
                </c:pt>
                <c:pt idx="861">
                  <c:v>1.3166125490440637E-2</c:v>
                </c:pt>
                <c:pt idx="862">
                  <c:v>1.3906560359631991E-2</c:v>
                </c:pt>
                <c:pt idx="863">
                  <c:v>1.3335277123822591E-2</c:v>
                </c:pt>
                <c:pt idx="864">
                  <c:v>1.324689822788427E-2</c:v>
                </c:pt>
                <c:pt idx="865">
                  <c:v>1.3248258964651202E-2</c:v>
                </c:pt>
                <c:pt idx="866">
                  <c:v>1.3163565531973523E-2</c:v>
                </c:pt>
                <c:pt idx="867">
                  <c:v>1.317722990153972E-2</c:v>
                </c:pt>
                <c:pt idx="868">
                  <c:v>1.325891480640235E-2</c:v>
                </c:pt>
                <c:pt idx="869">
                  <c:v>1.4556770520434362E-2</c:v>
                </c:pt>
                <c:pt idx="870">
                  <c:v>1.3163341132284524E-2</c:v>
                </c:pt>
                <c:pt idx="871">
                  <c:v>1.31639025062469E-2</c:v>
                </c:pt>
                <c:pt idx="872">
                  <c:v>1.3163432533909874E-2</c:v>
                </c:pt>
                <c:pt idx="873">
                  <c:v>1.3163721955259286E-2</c:v>
                </c:pt>
                <c:pt idx="874">
                  <c:v>1.3164488873196942E-2</c:v>
                </c:pt>
                <c:pt idx="875">
                  <c:v>1.3163388870353607E-2</c:v>
                </c:pt>
                <c:pt idx="876">
                  <c:v>1.3674151853068786E-2</c:v>
                </c:pt>
                <c:pt idx="877">
                  <c:v>1.3163207469166389E-2</c:v>
                </c:pt>
                <c:pt idx="878">
                  <c:v>1.3169131192204317E-2</c:v>
                </c:pt>
                <c:pt idx="879">
                  <c:v>1.3174868746820506E-2</c:v>
                </c:pt>
                <c:pt idx="880">
                  <c:v>1.3163314838461559E-2</c:v>
                </c:pt>
                <c:pt idx="881">
                  <c:v>1.3165346418214322E-2</c:v>
                </c:pt>
                <c:pt idx="882">
                  <c:v>1.3165979342258778E-2</c:v>
                </c:pt>
                <c:pt idx="883">
                  <c:v>1.3195306695132532E-2</c:v>
                </c:pt>
                <c:pt idx="884">
                  <c:v>1.3164034684555733E-2</c:v>
                </c:pt>
                <c:pt idx="885">
                  <c:v>1.3239244308217041E-2</c:v>
                </c:pt>
                <c:pt idx="886">
                  <c:v>1.316535973587689E-2</c:v>
                </c:pt>
                <c:pt idx="887">
                  <c:v>1.3163197520122988E-2</c:v>
                </c:pt>
                <c:pt idx="888">
                  <c:v>1.3163279347227951E-2</c:v>
                </c:pt>
                <c:pt idx="889">
                  <c:v>1.3163456116127752E-2</c:v>
                </c:pt>
                <c:pt idx="890">
                  <c:v>1.3291620832273992E-2</c:v>
                </c:pt>
                <c:pt idx="891">
                  <c:v>1.3169488857789666E-2</c:v>
                </c:pt>
                <c:pt idx="892">
                  <c:v>3.5458587241559113E-2</c:v>
                </c:pt>
                <c:pt idx="893">
                  <c:v>1.3163654516181676E-2</c:v>
                </c:pt>
                <c:pt idx="894">
                  <c:v>1.3164228294628821E-2</c:v>
                </c:pt>
                <c:pt idx="895">
                  <c:v>1.3172019649076327E-2</c:v>
                </c:pt>
                <c:pt idx="896">
                  <c:v>1.3187027921180953E-2</c:v>
                </c:pt>
                <c:pt idx="897">
                  <c:v>1.3164361510701198E-2</c:v>
                </c:pt>
                <c:pt idx="898">
                  <c:v>1.3204170557167636E-2</c:v>
                </c:pt>
                <c:pt idx="899">
                  <c:v>1.3164905267388376E-2</c:v>
                </c:pt>
                <c:pt idx="900">
                  <c:v>1.3166973078941456E-2</c:v>
                </c:pt>
                <c:pt idx="901">
                  <c:v>1.3169502901807517E-2</c:v>
                </c:pt>
                <c:pt idx="902">
                  <c:v>1.3164472590436415E-2</c:v>
                </c:pt>
                <c:pt idx="903">
                  <c:v>1.3163211364750873E-2</c:v>
                </c:pt>
                <c:pt idx="904">
                  <c:v>1.3163377876401346E-2</c:v>
                </c:pt>
                <c:pt idx="905">
                  <c:v>1.3267196481913308E-2</c:v>
                </c:pt>
                <c:pt idx="906">
                  <c:v>1.3164131014931054E-2</c:v>
                </c:pt>
                <c:pt idx="907">
                  <c:v>1.5687176825727907E-2</c:v>
                </c:pt>
                <c:pt idx="908">
                  <c:v>1.3163690467024475E-2</c:v>
                </c:pt>
                <c:pt idx="909">
                  <c:v>1.3163422076235371E-2</c:v>
                </c:pt>
                <c:pt idx="910">
                  <c:v>1.318172912722403E-2</c:v>
                </c:pt>
                <c:pt idx="911">
                  <c:v>1.316431552779644E-2</c:v>
                </c:pt>
                <c:pt idx="912">
                  <c:v>1.3163928993484094E-2</c:v>
                </c:pt>
                <c:pt idx="913">
                  <c:v>1.316343783862628E-2</c:v>
                </c:pt>
                <c:pt idx="914">
                  <c:v>1.3165513534293566E-2</c:v>
                </c:pt>
                <c:pt idx="915">
                  <c:v>1.3185126554097985E-2</c:v>
                </c:pt>
                <c:pt idx="916">
                  <c:v>1.316319668208955E-2</c:v>
                </c:pt>
                <c:pt idx="917">
                  <c:v>1.3163272833256974E-2</c:v>
                </c:pt>
                <c:pt idx="918">
                  <c:v>1.3164002124464185E-2</c:v>
                </c:pt>
                <c:pt idx="919">
                  <c:v>1.3163240618694772E-2</c:v>
                </c:pt>
                <c:pt idx="920">
                  <c:v>1.3163587673504068E-2</c:v>
                </c:pt>
                <c:pt idx="921">
                  <c:v>1.3725640011621465E-2</c:v>
                </c:pt>
                <c:pt idx="922">
                  <c:v>1.3231774675667119E-2</c:v>
                </c:pt>
                <c:pt idx="923">
                  <c:v>1.3375627085066275E-2</c:v>
                </c:pt>
                <c:pt idx="924">
                  <c:v>1.4100332264952952E-2</c:v>
                </c:pt>
                <c:pt idx="925">
                  <c:v>1.3163291600746535E-2</c:v>
                </c:pt>
                <c:pt idx="926">
                  <c:v>1.3164378345451743E-2</c:v>
                </c:pt>
                <c:pt idx="927">
                  <c:v>1.3187008029108004E-2</c:v>
                </c:pt>
                <c:pt idx="928">
                  <c:v>1.3167904232052351E-2</c:v>
                </c:pt>
                <c:pt idx="929">
                  <c:v>1.3164096198902839E-2</c:v>
                </c:pt>
                <c:pt idx="930">
                  <c:v>1.3163754330920806E-2</c:v>
                </c:pt>
                <c:pt idx="931">
                  <c:v>1.3185132106455477E-2</c:v>
                </c:pt>
                <c:pt idx="932">
                  <c:v>1.3163924631162734E-2</c:v>
                </c:pt>
                <c:pt idx="933">
                  <c:v>1.3666665299923192E-2</c:v>
                </c:pt>
                <c:pt idx="934">
                  <c:v>1.3269117709898292E-2</c:v>
                </c:pt>
                <c:pt idx="935">
                  <c:v>1.3164408170112498E-2</c:v>
                </c:pt>
                <c:pt idx="936">
                  <c:v>1.3163858508458689E-2</c:v>
                </c:pt>
                <c:pt idx="937">
                  <c:v>1.3163815244974978E-2</c:v>
                </c:pt>
                <c:pt idx="938">
                  <c:v>1.3164543384848102E-2</c:v>
                </c:pt>
                <c:pt idx="939">
                  <c:v>1.3183056194571033E-2</c:v>
                </c:pt>
                <c:pt idx="940">
                  <c:v>1.3163266990217092E-2</c:v>
                </c:pt>
                <c:pt idx="941">
                  <c:v>1.3163208485110068E-2</c:v>
                </c:pt>
                <c:pt idx="942">
                  <c:v>1.3164435330650251E-2</c:v>
                </c:pt>
                <c:pt idx="943">
                  <c:v>1.3164811599836956E-2</c:v>
                </c:pt>
                <c:pt idx="944">
                  <c:v>1.3921507663241272E-2</c:v>
                </c:pt>
                <c:pt idx="945">
                  <c:v>1.3164044524946393E-2</c:v>
                </c:pt>
                <c:pt idx="946">
                  <c:v>1.3225640943634624E-2</c:v>
                </c:pt>
                <c:pt idx="947">
                  <c:v>1.3180513444060423E-2</c:v>
                </c:pt>
                <c:pt idx="948">
                  <c:v>1.3163197266307998E-2</c:v>
                </c:pt>
                <c:pt idx="949">
                  <c:v>1.3166837007815593E-2</c:v>
                </c:pt>
                <c:pt idx="950">
                  <c:v>1.3163365327598257E-2</c:v>
                </c:pt>
                <c:pt idx="951">
                  <c:v>1.3164214665448992E-2</c:v>
                </c:pt>
                <c:pt idx="952">
                  <c:v>1.316328814415613E-2</c:v>
                </c:pt>
                <c:pt idx="953">
                  <c:v>1.3164389146505367E-2</c:v>
                </c:pt>
                <c:pt idx="954">
                  <c:v>1.3163582345266836E-2</c:v>
                </c:pt>
                <c:pt idx="955">
                  <c:v>1.3165254044268748E-2</c:v>
                </c:pt>
                <c:pt idx="956">
                  <c:v>1.3163550515295939E-2</c:v>
                </c:pt>
                <c:pt idx="957">
                  <c:v>1.3163218926821239E-2</c:v>
                </c:pt>
                <c:pt idx="958">
                  <c:v>1.3164280743880636E-2</c:v>
                </c:pt>
                <c:pt idx="959">
                  <c:v>1.4356967942655343E-2</c:v>
                </c:pt>
                <c:pt idx="960">
                  <c:v>1.4830066944791127E-2</c:v>
                </c:pt>
                <c:pt idx="961">
                  <c:v>1.3166946678137901E-2</c:v>
                </c:pt>
                <c:pt idx="962">
                  <c:v>1.3164935725483261E-2</c:v>
                </c:pt>
                <c:pt idx="963">
                  <c:v>1.3166832246992955E-2</c:v>
                </c:pt>
                <c:pt idx="964">
                  <c:v>1.3163213821383839E-2</c:v>
                </c:pt>
                <c:pt idx="965">
                  <c:v>1.3210606191696488E-2</c:v>
                </c:pt>
                <c:pt idx="966">
                  <c:v>1.316449424300588E-2</c:v>
                </c:pt>
                <c:pt idx="967">
                  <c:v>1.3232870685099738E-2</c:v>
                </c:pt>
                <c:pt idx="968">
                  <c:v>1.3164434820162002E-2</c:v>
                </c:pt>
                <c:pt idx="969">
                  <c:v>1.3175454700632841E-2</c:v>
                </c:pt>
                <c:pt idx="970">
                  <c:v>1.3865662147306458E-2</c:v>
                </c:pt>
                <c:pt idx="971">
                  <c:v>1.3163739228383249E-2</c:v>
                </c:pt>
                <c:pt idx="972">
                  <c:v>1.3163392825949203E-2</c:v>
                </c:pt>
                <c:pt idx="973">
                  <c:v>1.3179842467800892E-2</c:v>
                </c:pt>
                <c:pt idx="974">
                  <c:v>1.3163681477909242E-2</c:v>
                </c:pt>
                <c:pt idx="975">
                  <c:v>1.3164010453672636E-2</c:v>
                </c:pt>
                <c:pt idx="976">
                  <c:v>1.3164489599515994E-2</c:v>
                </c:pt>
                <c:pt idx="977">
                  <c:v>1.3176078162322115E-2</c:v>
                </c:pt>
                <c:pt idx="978">
                  <c:v>1.3163984016625418E-2</c:v>
                </c:pt>
                <c:pt idx="979">
                  <c:v>1.3164191587323329E-2</c:v>
                </c:pt>
                <c:pt idx="980">
                  <c:v>1.3164234485005961E-2</c:v>
                </c:pt>
                <c:pt idx="981">
                  <c:v>1.316356131402161E-2</c:v>
                </c:pt>
                <c:pt idx="982">
                  <c:v>1.31640708747899E-2</c:v>
                </c:pt>
                <c:pt idx="983">
                  <c:v>1.3163221056260107E-2</c:v>
                </c:pt>
                <c:pt idx="984">
                  <c:v>1.3164774791202814E-2</c:v>
                </c:pt>
                <c:pt idx="985">
                  <c:v>1.3163798403797443E-2</c:v>
                </c:pt>
                <c:pt idx="986">
                  <c:v>1.3163446991147954E-2</c:v>
                </c:pt>
                <c:pt idx="987">
                  <c:v>1.3164117735636588E-2</c:v>
                </c:pt>
                <c:pt idx="988">
                  <c:v>1.3236292855196178E-2</c:v>
                </c:pt>
                <c:pt idx="989">
                  <c:v>1.3163618106183675E-2</c:v>
                </c:pt>
                <c:pt idx="990">
                  <c:v>1.3163275333308234E-2</c:v>
                </c:pt>
                <c:pt idx="991">
                  <c:v>1.3164196487978773E-2</c:v>
                </c:pt>
                <c:pt idx="992">
                  <c:v>1.3163856451325411E-2</c:v>
                </c:pt>
                <c:pt idx="993">
                  <c:v>1.3163631709680114E-2</c:v>
                </c:pt>
                <c:pt idx="994">
                  <c:v>1.3163627127634792E-2</c:v>
                </c:pt>
                <c:pt idx="995">
                  <c:v>1.3163837685866965E-2</c:v>
                </c:pt>
                <c:pt idx="996">
                  <c:v>1.3163484907172111E-2</c:v>
                </c:pt>
                <c:pt idx="997">
                  <c:v>1.3163236424464063E-2</c:v>
                </c:pt>
                <c:pt idx="998">
                  <c:v>1.3223854408567019E-2</c:v>
                </c:pt>
                <c:pt idx="999">
                  <c:v>1.3170721261288841E-2</c:v>
                </c:pt>
                <c:pt idx="1000">
                  <c:v>1.3163914766731054E-2</c:v>
                </c:pt>
              </c:numCache>
            </c:numRef>
          </c:xVal>
          <c:yVal>
            <c:numRef>
              <c:f>'PF Efficients'!$B$2:$B$1002</c:f>
              <c:numCache>
                <c:formatCode>General</c:formatCode>
                <c:ptCount val="1001"/>
                <c:pt idx="0">
                  <c:v>3.6332791902007064E-4</c:v>
                </c:pt>
                <c:pt idx="1">
                  <c:v>3.3186577563475009E-4</c:v>
                </c:pt>
                <c:pt idx="2">
                  <c:v>3.506830414669338E-4</c:v>
                </c:pt>
                <c:pt idx="3">
                  <c:v>3.4454942095499643E-4</c:v>
                </c:pt>
                <c:pt idx="4">
                  <c:v>4.1553579238939458E-4</c:v>
                </c:pt>
                <c:pt idx="5">
                  <c:v>4.0972365543013938E-4</c:v>
                </c:pt>
                <c:pt idx="6">
                  <c:v>3.2665505535246048E-4</c:v>
                </c:pt>
                <c:pt idx="7">
                  <c:v>3.0556472844738007E-3</c:v>
                </c:pt>
                <c:pt idx="8">
                  <c:v>3.2763412496488592E-4</c:v>
                </c:pt>
                <c:pt idx="9">
                  <c:v>3.2406158311614169E-4</c:v>
                </c:pt>
                <c:pt idx="10">
                  <c:v>3.3157859412837883E-4</c:v>
                </c:pt>
                <c:pt idx="11">
                  <c:v>1.1671299688294097E-3</c:v>
                </c:pt>
                <c:pt idx="12">
                  <c:v>3.7290744080428111E-4</c:v>
                </c:pt>
                <c:pt idx="13">
                  <c:v>3.2124100487074123E-4</c:v>
                </c:pt>
                <c:pt idx="14">
                  <c:v>3.2559694842733232E-4</c:v>
                </c:pt>
                <c:pt idx="15">
                  <c:v>3.8366547776538112E-4</c:v>
                </c:pt>
                <c:pt idx="16">
                  <c:v>3.1631126953833355E-4</c:v>
                </c:pt>
                <c:pt idx="17">
                  <c:v>3.2075751180082364E-4</c:v>
                </c:pt>
                <c:pt idx="18">
                  <c:v>9.9662627310169124E-4</c:v>
                </c:pt>
                <c:pt idx="19">
                  <c:v>3.1687020502400582E-4</c:v>
                </c:pt>
                <c:pt idx="20">
                  <c:v>3.8654043980778995E-4</c:v>
                </c:pt>
                <c:pt idx="21">
                  <c:v>3.5193985456180316E-4</c:v>
                </c:pt>
                <c:pt idx="22">
                  <c:v>3.271834782682439E-4</c:v>
                </c:pt>
                <c:pt idx="23">
                  <c:v>1.0330053499251789E-3</c:v>
                </c:pt>
                <c:pt idx="24">
                  <c:v>3.4299892982756999E-4</c:v>
                </c:pt>
                <c:pt idx="25">
                  <c:v>3.6132840681657252E-4</c:v>
                </c:pt>
                <c:pt idx="26">
                  <c:v>4.1144761705618854E-4</c:v>
                </c:pt>
                <c:pt idx="27">
                  <c:v>3.3962652446297228E-4</c:v>
                </c:pt>
                <c:pt idx="28">
                  <c:v>3.3706362941777367E-4</c:v>
                </c:pt>
                <c:pt idx="29">
                  <c:v>4.293723499704468E-4</c:v>
                </c:pt>
                <c:pt idx="30">
                  <c:v>4.2071890524964905E-4</c:v>
                </c:pt>
                <c:pt idx="31">
                  <c:v>3.2312880627345409E-4</c:v>
                </c:pt>
                <c:pt idx="32">
                  <c:v>3.2344167686180353E-4</c:v>
                </c:pt>
                <c:pt idx="33">
                  <c:v>3.4338732751198429E-4</c:v>
                </c:pt>
                <c:pt idx="34">
                  <c:v>3.1526313744319819E-4</c:v>
                </c:pt>
                <c:pt idx="35">
                  <c:v>3.187075693928651E-4</c:v>
                </c:pt>
                <c:pt idx="36">
                  <c:v>4.5465965971268655E-4</c:v>
                </c:pt>
                <c:pt idx="37">
                  <c:v>3.3274126936096046E-4</c:v>
                </c:pt>
                <c:pt idx="38">
                  <c:v>3.1552268915486755E-4</c:v>
                </c:pt>
                <c:pt idx="39">
                  <c:v>4.4202505050802335E-4</c:v>
                </c:pt>
                <c:pt idx="40">
                  <c:v>3.5061818547325988E-4</c:v>
                </c:pt>
                <c:pt idx="41">
                  <c:v>6.5837057595824011E-4</c:v>
                </c:pt>
                <c:pt idx="42">
                  <c:v>3.1470639982789057E-4</c:v>
                </c:pt>
                <c:pt idx="43">
                  <c:v>3.3439971530617641E-4</c:v>
                </c:pt>
                <c:pt idx="44">
                  <c:v>2.7715604414153688E-3</c:v>
                </c:pt>
                <c:pt idx="45">
                  <c:v>3.4508441684628444E-4</c:v>
                </c:pt>
                <c:pt idx="46">
                  <c:v>6.8247899974826142E-4</c:v>
                </c:pt>
                <c:pt idx="47">
                  <c:v>6.707780537297816E-4</c:v>
                </c:pt>
                <c:pt idx="48">
                  <c:v>3.2504902699143865E-4</c:v>
                </c:pt>
                <c:pt idx="49">
                  <c:v>4.1806672263364572E-4</c:v>
                </c:pt>
                <c:pt idx="50">
                  <c:v>1.1614283389628499E-3</c:v>
                </c:pt>
                <c:pt idx="51">
                  <c:v>4.125607792907409E-4</c:v>
                </c:pt>
                <c:pt idx="52">
                  <c:v>3.8122587681645712E-4</c:v>
                </c:pt>
                <c:pt idx="53">
                  <c:v>4.1016503160492429E-4</c:v>
                </c:pt>
                <c:pt idx="54">
                  <c:v>3.1691526856173386E-4</c:v>
                </c:pt>
                <c:pt idx="55">
                  <c:v>3.1553014666145962E-4</c:v>
                </c:pt>
                <c:pt idx="56">
                  <c:v>3.7603741588137146E-4</c:v>
                </c:pt>
                <c:pt idx="57">
                  <c:v>4.2127930383530917E-4</c:v>
                </c:pt>
                <c:pt idx="58">
                  <c:v>5.2930075590313676E-4</c:v>
                </c:pt>
                <c:pt idx="59">
                  <c:v>5.2557949765934427E-4</c:v>
                </c:pt>
                <c:pt idx="60">
                  <c:v>3.3718486728540574E-4</c:v>
                </c:pt>
                <c:pt idx="61">
                  <c:v>3.7386575539144284E-4</c:v>
                </c:pt>
                <c:pt idx="62">
                  <c:v>3.7321182789298841E-4</c:v>
                </c:pt>
                <c:pt idx="63">
                  <c:v>3.3127783618866751E-4</c:v>
                </c:pt>
                <c:pt idx="64">
                  <c:v>3.9961565185291244E-4</c:v>
                </c:pt>
                <c:pt idx="65">
                  <c:v>3.3853256344696178E-4</c:v>
                </c:pt>
                <c:pt idx="66">
                  <c:v>4.7144705307017326E-4</c:v>
                </c:pt>
                <c:pt idx="67">
                  <c:v>4.9428205599302485E-4</c:v>
                </c:pt>
                <c:pt idx="68">
                  <c:v>3.4408207883021092E-4</c:v>
                </c:pt>
                <c:pt idx="69">
                  <c:v>7.7949720689038642E-4</c:v>
                </c:pt>
                <c:pt idx="70">
                  <c:v>3.6338319388067871E-4</c:v>
                </c:pt>
                <c:pt idx="71">
                  <c:v>3.1896882884779285E-4</c:v>
                </c:pt>
                <c:pt idx="72">
                  <c:v>4.3081423471398735E-4</c:v>
                </c:pt>
                <c:pt idx="73">
                  <c:v>3.2594635520476526E-4</c:v>
                </c:pt>
                <c:pt idx="74">
                  <c:v>3.8210798689470351E-4</c:v>
                </c:pt>
                <c:pt idx="75">
                  <c:v>4.1548561958183386E-4</c:v>
                </c:pt>
                <c:pt idx="76">
                  <c:v>3.1829390447910667E-4</c:v>
                </c:pt>
                <c:pt idx="77">
                  <c:v>3.3868033522149645E-4</c:v>
                </c:pt>
                <c:pt idx="78">
                  <c:v>3.391058632801303E-4</c:v>
                </c:pt>
                <c:pt idx="79">
                  <c:v>3.6956597072645173E-4</c:v>
                </c:pt>
                <c:pt idx="80">
                  <c:v>6.910847035659722E-4</c:v>
                </c:pt>
                <c:pt idx="81">
                  <c:v>3.4688742358735599E-4</c:v>
                </c:pt>
                <c:pt idx="82">
                  <c:v>3.3279499961030721E-4</c:v>
                </c:pt>
                <c:pt idx="83">
                  <c:v>3.185713510975605E-4</c:v>
                </c:pt>
                <c:pt idx="84">
                  <c:v>3.2283069330898512E-4</c:v>
                </c:pt>
                <c:pt idx="85">
                  <c:v>2.0334945914807835E-3</c:v>
                </c:pt>
                <c:pt idx="86">
                  <c:v>3.4927296610190998E-4</c:v>
                </c:pt>
                <c:pt idx="87">
                  <c:v>3.1845100037735546E-4</c:v>
                </c:pt>
                <c:pt idx="88">
                  <c:v>3.691636077554003E-4</c:v>
                </c:pt>
                <c:pt idx="89">
                  <c:v>3.3424064293865622E-4</c:v>
                </c:pt>
                <c:pt idx="90">
                  <c:v>3.5543516339336001E-4</c:v>
                </c:pt>
                <c:pt idx="91">
                  <c:v>3.536375435870563E-4</c:v>
                </c:pt>
                <c:pt idx="92">
                  <c:v>3.6241210394568962E-4</c:v>
                </c:pt>
                <c:pt idx="93">
                  <c:v>3.8990650147001751E-4</c:v>
                </c:pt>
                <c:pt idx="94">
                  <c:v>3.751625244984513E-4</c:v>
                </c:pt>
                <c:pt idx="95">
                  <c:v>4.2594995169856832E-4</c:v>
                </c:pt>
                <c:pt idx="96">
                  <c:v>1.004875061683157E-3</c:v>
                </c:pt>
                <c:pt idx="97">
                  <c:v>4.4208443294976125E-4</c:v>
                </c:pt>
                <c:pt idx="98">
                  <c:v>3.1556240773964394E-4</c:v>
                </c:pt>
                <c:pt idx="99">
                  <c:v>9.4180455997590383E-4</c:v>
                </c:pt>
                <c:pt idx="100">
                  <c:v>3.7894418433092431E-4</c:v>
                </c:pt>
                <c:pt idx="101">
                  <c:v>3.8623850551047578E-4</c:v>
                </c:pt>
                <c:pt idx="102">
                  <c:v>3.5753322089915253E-4</c:v>
                </c:pt>
                <c:pt idx="103">
                  <c:v>5.3711367934356109E-4</c:v>
                </c:pt>
                <c:pt idx="104">
                  <c:v>3.6026367726107935E-4</c:v>
                </c:pt>
                <c:pt idx="105">
                  <c:v>4.3331443043710915E-4</c:v>
                </c:pt>
                <c:pt idx="106">
                  <c:v>3.3899013973525099E-4</c:v>
                </c:pt>
                <c:pt idx="107">
                  <c:v>3.4945316463901971E-4</c:v>
                </c:pt>
                <c:pt idx="108">
                  <c:v>5.360411301131953E-4</c:v>
                </c:pt>
                <c:pt idx="109">
                  <c:v>3.1737906403416562E-4</c:v>
                </c:pt>
                <c:pt idx="110">
                  <c:v>3.3641545892902739E-4</c:v>
                </c:pt>
                <c:pt idx="111">
                  <c:v>3.5484757333474279E-4</c:v>
                </c:pt>
                <c:pt idx="112">
                  <c:v>3.7889565766804223E-4</c:v>
                </c:pt>
                <c:pt idx="113">
                  <c:v>6.5479262002985706E-4</c:v>
                </c:pt>
                <c:pt idx="114">
                  <c:v>3.2602774087490499E-4</c:v>
                </c:pt>
                <c:pt idx="115">
                  <c:v>3.6305718468164841E-4</c:v>
                </c:pt>
                <c:pt idx="116">
                  <c:v>3.28139274547813E-4</c:v>
                </c:pt>
                <c:pt idx="117">
                  <c:v>3.4257531003437276E-4</c:v>
                </c:pt>
                <c:pt idx="118">
                  <c:v>3.2295430382518666E-4</c:v>
                </c:pt>
                <c:pt idx="119">
                  <c:v>2.3816403081325307E-3</c:v>
                </c:pt>
                <c:pt idx="120">
                  <c:v>4.6881494923746404E-4</c:v>
                </c:pt>
                <c:pt idx="121">
                  <c:v>8.2526089277125706E-4</c:v>
                </c:pt>
                <c:pt idx="122">
                  <c:v>6.6169222361630751E-4</c:v>
                </c:pt>
                <c:pt idx="123">
                  <c:v>3.9753338480997885E-4</c:v>
                </c:pt>
                <c:pt idx="124">
                  <c:v>5.9311506393024843E-4</c:v>
                </c:pt>
                <c:pt idx="125">
                  <c:v>3.9499018109891669E-2</c:v>
                </c:pt>
                <c:pt idx="126">
                  <c:v>3.5019896473805737E-4</c:v>
                </c:pt>
                <c:pt idx="127">
                  <c:v>3.3617090558244221E-4</c:v>
                </c:pt>
                <c:pt idx="128">
                  <c:v>3.4918204786235939E-4</c:v>
                </c:pt>
                <c:pt idx="129">
                  <c:v>3.2327211990106764E-4</c:v>
                </c:pt>
                <c:pt idx="130">
                  <c:v>7.7228382168002287E-4</c:v>
                </c:pt>
                <c:pt idx="131">
                  <c:v>4.8751194329247168E-4</c:v>
                </c:pt>
                <c:pt idx="132">
                  <c:v>3.3415429588541667E-4</c:v>
                </c:pt>
                <c:pt idx="133">
                  <c:v>3.6412697179809674E-4</c:v>
                </c:pt>
                <c:pt idx="134">
                  <c:v>3.8875111473359698E-4</c:v>
                </c:pt>
                <c:pt idx="135">
                  <c:v>5.4704839962595891E-4</c:v>
                </c:pt>
                <c:pt idx="136">
                  <c:v>3.3196116211275532E-4</c:v>
                </c:pt>
                <c:pt idx="137">
                  <c:v>3.1784012922965118E-4</c:v>
                </c:pt>
                <c:pt idx="138">
                  <c:v>3.5115006158299825E-4</c:v>
                </c:pt>
                <c:pt idx="139">
                  <c:v>7.2955620852599586E-4</c:v>
                </c:pt>
                <c:pt idx="140">
                  <c:v>3.2784797072065933E-4</c:v>
                </c:pt>
                <c:pt idx="141">
                  <c:v>3.7591826403246005E-4</c:v>
                </c:pt>
                <c:pt idx="142">
                  <c:v>3.6262466810310829E-4</c:v>
                </c:pt>
                <c:pt idx="143">
                  <c:v>3.571459451677801E-4</c:v>
                </c:pt>
                <c:pt idx="144">
                  <c:v>4.7138420945249884E-4</c:v>
                </c:pt>
                <c:pt idx="145">
                  <c:v>3.9826851431517683E-4</c:v>
                </c:pt>
                <c:pt idx="146">
                  <c:v>7.0212748307843997E-4</c:v>
                </c:pt>
                <c:pt idx="147">
                  <c:v>3.4331279062209554E-4</c:v>
                </c:pt>
                <c:pt idx="148">
                  <c:v>5.1516310946336493E-4</c:v>
                </c:pt>
                <c:pt idx="149">
                  <c:v>3.1789602900427887E-4</c:v>
                </c:pt>
                <c:pt idx="150">
                  <c:v>6.9127075240395784E-4</c:v>
                </c:pt>
                <c:pt idx="151">
                  <c:v>3.662363200673456E-4</c:v>
                </c:pt>
                <c:pt idx="152">
                  <c:v>4.2415898385963298E-4</c:v>
                </c:pt>
                <c:pt idx="153">
                  <c:v>3.2069788642764504E-4</c:v>
                </c:pt>
                <c:pt idx="154">
                  <c:v>3.2835757913714112E-4</c:v>
                </c:pt>
                <c:pt idx="155">
                  <c:v>4.2416144473778116E-4</c:v>
                </c:pt>
                <c:pt idx="156">
                  <c:v>3.3462823451416694E-4</c:v>
                </c:pt>
                <c:pt idx="157">
                  <c:v>4.3371103679802658E-4</c:v>
                </c:pt>
                <c:pt idx="158">
                  <c:v>7.2827316998525459E-4</c:v>
                </c:pt>
                <c:pt idx="159">
                  <c:v>1.5723662233947525E-3</c:v>
                </c:pt>
                <c:pt idx="160">
                  <c:v>4.0097595258722837E-4</c:v>
                </c:pt>
                <c:pt idx="161">
                  <c:v>3.256200937457702E-4</c:v>
                </c:pt>
                <c:pt idx="162">
                  <c:v>4.11867694834583E-4</c:v>
                </c:pt>
                <c:pt idx="163">
                  <c:v>4.482002892600353E-4</c:v>
                </c:pt>
                <c:pt idx="164">
                  <c:v>3.5917873873253162E-4</c:v>
                </c:pt>
                <c:pt idx="165">
                  <c:v>4.3498283244686919E-4</c:v>
                </c:pt>
                <c:pt idx="166">
                  <c:v>3.9429467402117801E-4</c:v>
                </c:pt>
                <c:pt idx="167">
                  <c:v>1.1753136919666698E-3</c:v>
                </c:pt>
                <c:pt idx="168">
                  <c:v>3.5883224759492385E-4</c:v>
                </c:pt>
                <c:pt idx="169">
                  <c:v>4.7292499048350191E-4</c:v>
                </c:pt>
                <c:pt idx="170">
                  <c:v>3.2113525953910224E-4</c:v>
                </c:pt>
                <c:pt idx="171">
                  <c:v>3.434507262466593E-4</c:v>
                </c:pt>
                <c:pt idx="172">
                  <c:v>3.2805098792628655E-4</c:v>
                </c:pt>
                <c:pt idx="173">
                  <c:v>3.1788327534319386E-4</c:v>
                </c:pt>
                <c:pt idx="174">
                  <c:v>3.9778671609389644E-4</c:v>
                </c:pt>
                <c:pt idx="175">
                  <c:v>3.4933144575552893E-4</c:v>
                </c:pt>
                <c:pt idx="176">
                  <c:v>7.7964190771219379E-4</c:v>
                </c:pt>
                <c:pt idx="177">
                  <c:v>3.3841034124012137E-4</c:v>
                </c:pt>
                <c:pt idx="178">
                  <c:v>3.7387468463189589E-4</c:v>
                </c:pt>
                <c:pt idx="179">
                  <c:v>3.1637949009381643E-4</c:v>
                </c:pt>
                <c:pt idx="180">
                  <c:v>6.308491547761736E-4</c:v>
                </c:pt>
                <c:pt idx="181">
                  <c:v>3.1809657415473832E-4</c:v>
                </c:pt>
                <c:pt idx="182">
                  <c:v>3.3989151071976015E-4</c:v>
                </c:pt>
                <c:pt idx="183">
                  <c:v>3.9182631074288597E-4</c:v>
                </c:pt>
                <c:pt idx="184">
                  <c:v>5.4838909980866484E-4</c:v>
                </c:pt>
                <c:pt idx="185">
                  <c:v>3.5926724811926789E-4</c:v>
                </c:pt>
                <c:pt idx="186">
                  <c:v>4.607952621125334E-4</c:v>
                </c:pt>
                <c:pt idx="187">
                  <c:v>3.1494209390237478E-4</c:v>
                </c:pt>
                <c:pt idx="188">
                  <c:v>5.8782797913067863E-4</c:v>
                </c:pt>
                <c:pt idx="189">
                  <c:v>1.6626808951542274E-3</c:v>
                </c:pt>
                <c:pt idx="190">
                  <c:v>3.9262456168593241E-4</c:v>
                </c:pt>
                <c:pt idx="191">
                  <c:v>3.4867751525957658E-4</c:v>
                </c:pt>
                <c:pt idx="192">
                  <c:v>3.1812027982571812E-4</c:v>
                </c:pt>
                <c:pt idx="193">
                  <c:v>3.4999222583498622E-4</c:v>
                </c:pt>
                <c:pt idx="194">
                  <c:v>3.7476615119304892E-4</c:v>
                </c:pt>
                <c:pt idx="195">
                  <c:v>3.2210717572933627E-4</c:v>
                </c:pt>
                <c:pt idx="196">
                  <c:v>3.2334356961348531E-4</c:v>
                </c:pt>
                <c:pt idx="197">
                  <c:v>3.347389956111254E-4</c:v>
                </c:pt>
                <c:pt idx="198">
                  <c:v>3.3054466082120488E-4</c:v>
                </c:pt>
                <c:pt idx="199">
                  <c:v>3.1481568259216468E-4</c:v>
                </c:pt>
                <c:pt idx="200">
                  <c:v>3.9457864782929149E-4</c:v>
                </c:pt>
                <c:pt idx="201">
                  <c:v>3.5663210205044623E-4</c:v>
                </c:pt>
                <c:pt idx="202">
                  <c:v>3.731633753654105E-4</c:v>
                </c:pt>
                <c:pt idx="203">
                  <c:v>3.3272710726263481E-4</c:v>
                </c:pt>
                <c:pt idx="204">
                  <c:v>5.0278129625271864E-4</c:v>
                </c:pt>
                <c:pt idx="205">
                  <c:v>3.7082205604610795E-4</c:v>
                </c:pt>
                <c:pt idx="206">
                  <c:v>3.4929855076014984E-4</c:v>
                </c:pt>
                <c:pt idx="207">
                  <c:v>3.2405079090301055E-4</c:v>
                </c:pt>
                <c:pt idx="208">
                  <c:v>3.4961541452174723E-4</c:v>
                </c:pt>
                <c:pt idx="209">
                  <c:v>3.6977306718197569E-4</c:v>
                </c:pt>
                <c:pt idx="210">
                  <c:v>3.5437178455657967E-4</c:v>
                </c:pt>
                <c:pt idx="211">
                  <c:v>4.539338991925498E-4</c:v>
                </c:pt>
                <c:pt idx="212">
                  <c:v>3.4000101223406997E-4</c:v>
                </c:pt>
                <c:pt idx="213">
                  <c:v>3.5754424111900763E-4</c:v>
                </c:pt>
                <c:pt idx="214">
                  <c:v>3.3398457962305811E-4</c:v>
                </c:pt>
                <c:pt idx="215">
                  <c:v>3.1994983297252102E-4</c:v>
                </c:pt>
                <c:pt idx="216">
                  <c:v>3.84562017024632E-4</c:v>
                </c:pt>
                <c:pt idx="217">
                  <c:v>4.0947676521060488E-4</c:v>
                </c:pt>
                <c:pt idx="218">
                  <c:v>4.1393721287459172E-4</c:v>
                </c:pt>
                <c:pt idx="219">
                  <c:v>5.4645059560307237E-4</c:v>
                </c:pt>
                <c:pt idx="220">
                  <c:v>3.5120736066565134E-4</c:v>
                </c:pt>
                <c:pt idx="221">
                  <c:v>4.5757426482010154E-4</c:v>
                </c:pt>
                <c:pt idx="222">
                  <c:v>3.4394088518076868E-4</c:v>
                </c:pt>
                <c:pt idx="223">
                  <c:v>3.8671427514516221E-4</c:v>
                </c:pt>
                <c:pt idx="224">
                  <c:v>3.205132131955404E-4</c:v>
                </c:pt>
                <c:pt idx="225">
                  <c:v>3.5961921698267763E-4</c:v>
                </c:pt>
                <c:pt idx="226">
                  <c:v>4.8895323513970922E-4</c:v>
                </c:pt>
                <c:pt idx="227">
                  <c:v>3.3369799721192278E-4</c:v>
                </c:pt>
                <c:pt idx="228">
                  <c:v>3.2859763773513296E-4</c:v>
                </c:pt>
                <c:pt idx="229">
                  <c:v>3.4056955974556076E-4</c:v>
                </c:pt>
                <c:pt idx="230">
                  <c:v>3.2615238955735118E-4</c:v>
                </c:pt>
                <c:pt idx="231">
                  <c:v>5.2725128519655806E-4</c:v>
                </c:pt>
                <c:pt idx="232">
                  <c:v>3.2448150107428758E-4</c:v>
                </c:pt>
                <c:pt idx="233">
                  <c:v>4.7625764132994526E-4</c:v>
                </c:pt>
                <c:pt idx="234">
                  <c:v>3.1654354861682137E-4</c:v>
                </c:pt>
                <c:pt idx="235">
                  <c:v>8.92328753140657E-4</c:v>
                </c:pt>
                <c:pt idx="236">
                  <c:v>9.3530690913820103E-4</c:v>
                </c:pt>
                <c:pt idx="237">
                  <c:v>3.2541850909391558E-4</c:v>
                </c:pt>
                <c:pt idx="238">
                  <c:v>3.8190745419797601E-4</c:v>
                </c:pt>
                <c:pt idx="239">
                  <c:v>3.6229641752469257E-4</c:v>
                </c:pt>
                <c:pt idx="240">
                  <c:v>6.1623726383124467E-4</c:v>
                </c:pt>
                <c:pt idx="241">
                  <c:v>6.2824650763933666E-4</c:v>
                </c:pt>
                <c:pt idx="242">
                  <c:v>5.0976386212721032E-4</c:v>
                </c:pt>
                <c:pt idx="243">
                  <c:v>1.1166080598786641E-3</c:v>
                </c:pt>
                <c:pt idx="244">
                  <c:v>3.3110931528862084E-4</c:v>
                </c:pt>
                <c:pt idx="245">
                  <c:v>3.5074114620076168E-4</c:v>
                </c:pt>
                <c:pt idx="246">
                  <c:v>3.4689145099840821E-4</c:v>
                </c:pt>
                <c:pt idx="247">
                  <c:v>4.6309930245577225E-4</c:v>
                </c:pt>
                <c:pt idx="248">
                  <c:v>3.6145856411159527E-4</c:v>
                </c:pt>
                <c:pt idx="249">
                  <c:v>3.2867593526709522E-4</c:v>
                </c:pt>
                <c:pt idx="250">
                  <c:v>3.2823926410879145E-4</c:v>
                </c:pt>
                <c:pt idx="251">
                  <c:v>3.7666406370105303E-4</c:v>
                </c:pt>
                <c:pt idx="252">
                  <c:v>3.1910128845898171E-4</c:v>
                </c:pt>
                <c:pt idx="253">
                  <c:v>3.2870165328431568E-4</c:v>
                </c:pt>
                <c:pt idx="254">
                  <c:v>7.3507754636494677E-4</c:v>
                </c:pt>
                <c:pt idx="255">
                  <c:v>3.3838997895069658E-4</c:v>
                </c:pt>
                <c:pt idx="256">
                  <c:v>3.3125374146121013E-4</c:v>
                </c:pt>
                <c:pt idx="257">
                  <c:v>2.7748195570418011E-3</c:v>
                </c:pt>
                <c:pt idx="258">
                  <c:v>3.6896792386445254E-4</c:v>
                </c:pt>
                <c:pt idx="259">
                  <c:v>3.7588251332815235E-4</c:v>
                </c:pt>
                <c:pt idx="260">
                  <c:v>4.2287709022586595E-4</c:v>
                </c:pt>
                <c:pt idx="261">
                  <c:v>3.1529362479630694E-4</c:v>
                </c:pt>
                <c:pt idx="262">
                  <c:v>3.2481124898277932E-4</c:v>
                </c:pt>
                <c:pt idx="263">
                  <c:v>3.3265746133736879E-4</c:v>
                </c:pt>
                <c:pt idx="264">
                  <c:v>3.720597643361348E-4</c:v>
                </c:pt>
                <c:pt idx="265">
                  <c:v>3.2956701778417031E-4</c:v>
                </c:pt>
                <c:pt idx="266">
                  <c:v>4.2187039166619776E-4</c:v>
                </c:pt>
                <c:pt idx="267">
                  <c:v>3.8889203265758963E-4</c:v>
                </c:pt>
                <c:pt idx="268">
                  <c:v>3.6845928261395857E-4</c:v>
                </c:pt>
                <c:pt idx="269">
                  <c:v>3.1708067462356558E-4</c:v>
                </c:pt>
                <c:pt idx="270">
                  <c:v>6.1061790997890423E-4</c:v>
                </c:pt>
                <c:pt idx="271">
                  <c:v>3.3724751137548676E-4</c:v>
                </c:pt>
                <c:pt idx="272">
                  <c:v>3.9179023006505619E-4</c:v>
                </c:pt>
                <c:pt idx="273">
                  <c:v>6.6545628399096229E-4</c:v>
                </c:pt>
                <c:pt idx="274">
                  <c:v>4.9500662001049985E-4</c:v>
                </c:pt>
                <c:pt idx="275">
                  <c:v>7.9903038097020726E-4</c:v>
                </c:pt>
                <c:pt idx="276">
                  <c:v>3.6861213453230119E-4</c:v>
                </c:pt>
                <c:pt idx="277">
                  <c:v>3.1643098430518616E-4</c:v>
                </c:pt>
                <c:pt idx="278">
                  <c:v>3.4945889700582804E-4</c:v>
                </c:pt>
                <c:pt idx="279">
                  <c:v>3.5677227789298699E-4</c:v>
                </c:pt>
                <c:pt idx="280">
                  <c:v>3.1582662917057806E-4</c:v>
                </c:pt>
                <c:pt idx="281">
                  <c:v>4.6217429385643895E-4</c:v>
                </c:pt>
                <c:pt idx="282">
                  <c:v>3.8208261553538471E-4</c:v>
                </c:pt>
                <c:pt idx="283">
                  <c:v>3.7746750989729174E-4</c:v>
                </c:pt>
                <c:pt idx="284">
                  <c:v>4.1959150499996933E-4</c:v>
                </c:pt>
                <c:pt idx="285">
                  <c:v>3.5528602810962722E-4</c:v>
                </c:pt>
                <c:pt idx="286">
                  <c:v>5.6910271158713182E-4</c:v>
                </c:pt>
                <c:pt idx="287">
                  <c:v>3.5309304081857732E-4</c:v>
                </c:pt>
                <c:pt idx="288">
                  <c:v>3.1615997726117129E-4</c:v>
                </c:pt>
                <c:pt idx="289">
                  <c:v>3.4735286690046254E-4</c:v>
                </c:pt>
                <c:pt idx="290">
                  <c:v>3.1879508701209601E-4</c:v>
                </c:pt>
                <c:pt idx="291">
                  <c:v>3.3615170727901831E-4</c:v>
                </c:pt>
                <c:pt idx="292">
                  <c:v>3.6681318501353478E-4</c:v>
                </c:pt>
                <c:pt idx="293">
                  <c:v>3.329224899561138E-4</c:v>
                </c:pt>
                <c:pt idx="294">
                  <c:v>9.0521641672671794E-4</c:v>
                </c:pt>
                <c:pt idx="295">
                  <c:v>3.2796557398092561E-4</c:v>
                </c:pt>
                <c:pt idx="296">
                  <c:v>3.3228492891803621E-4</c:v>
                </c:pt>
                <c:pt idx="297">
                  <c:v>3.5632144503812543E-4</c:v>
                </c:pt>
                <c:pt idx="298">
                  <c:v>5.374973842827346E-4</c:v>
                </c:pt>
                <c:pt idx="299">
                  <c:v>4.5718417230861547E-4</c:v>
                </c:pt>
                <c:pt idx="300">
                  <c:v>3.9963966209570148E-4</c:v>
                </c:pt>
                <c:pt idx="301">
                  <c:v>3.259947169293796E-4</c:v>
                </c:pt>
                <c:pt idx="302">
                  <c:v>1.081215031897719E-3</c:v>
                </c:pt>
                <c:pt idx="303">
                  <c:v>3.5297638023686236E-4</c:v>
                </c:pt>
                <c:pt idx="304">
                  <c:v>3.2789818942303745E-4</c:v>
                </c:pt>
                <c:pt idx="305">
                  <c:v>3.2493410439607293E-4</c:v>
                </c:pt>
                <c:pt idx="306">
                  <c:v>4.0000290521763126E-4</c:v>
                </c:pt>
                <c:pt idx="307">
                  <c:v>3.1583697073784818E-4</c:v>
                </c:pt>
                <c:pt idx="308">
                  <c:v>3.2470410774835325E-4</c:v>
                </c:pt>
                <c:pt idx="309">
                  <c:v>3.3452146046628685E-4</c:v>
                </c:pt>
                <c:pt idx="310">
                  <c:v>3.1899899444182579E-4</c:v>
                </c:pt>
                <c:pt idx="311">
                  <c:v>3.2052367831170522E-4</c:v>
                </c:pt>
                <c:pt idx="312">
                  <c:v>3.7228433497579825E-4</c:v>
                </c:pt>
                <c:pt idx="313">
                  <c:v>6.0644648386606339E-4</c:v>
                </c:pt>
                <c:pt idx="314">
                  <c:v>3.1666104759819956E-4</c:v>
                </c:pt>
                <c:pt idx="315">
                  <c:v>3.251516133616684E-4</c:v>
                </c:pt>
                <c:pt idx="316">
                  <c:v>3.3264181608648588E-4</c:v>
                </c:pt>
                <c:pt idx="317">
                  <c:v>3.759787239984337E-4</c:v>
                </c:pt>
                <c:pt idx="318">
                  <c:v>2.6848578952698657E-3</c:v>
                </c:pt>
                <c:pt idx="319">
                  <c:v>5.1818939480128439E-4</c:v>
                </c:pt>
                <c:pt idx="320">
                  <c:v>5.2342168706137268E-4</c:v>
                </c:pt>
                <c:pt idx="321">
                  <c:v>3.5426846965160892E-4</c:v>
                </c:pt>
                <c:pt idx="322">
                  <c:v>3.7485543245561575E-4</c:v>
                </c:pt>
                <c:pt idx="323">
                  <c:v>6.5921967253523795E-4</c:v>
                </c:pt>
                <c:pt idx="324">
                  <c:v>4.2243046709659974E-4</c:v>
                </c:pt>
                <c:pt idx="325">
                  <c:v>3.3753526162412501E-4</c:v>
                </c:pt>
                <c:pt idx="326">
                  <c:v>3.2200103123766717E-4</c:v>
                </c:pt>
                <c:pt idx="327">
                  <c:v>3.5617222339842056E-4</c:v>
                </c:pt>
                <c:pt idx="328">
                  <c:v>4.922193234952175E-4</c:v>
                </c:pt>
                <c:pt idx="329">
                  <c:v>3.1943095167094284E-4</c:v>
                </c:pt>
                <c:pt idx="330">
                  <c:v>3.8387840128068456E-4</c:v>
                </c:pt>
                <c:pt idx="331">
                  <c:v>4.0064685209876221E-4</c:v>
                </c:pt>
                <c:pt idx="332">
                  <c:v>3.2692441081251576E-4</c:v>
                </c:pt>
                <c:pt idx="333">
                  <c:v>4.6200136411224401E-4</c:v>
                </c:pt>
                <c:pt idx="334">
                  <c:v>3.6558769924276933E-4</c:v>
                </c:pt>
                <c:pt idx="335">
                  <c:v>4.4765023362304708E-4</c:v>
                </c:pt>
                <c:pt idx="336">
                  <c:v>3.20384239814474E-4</c:v>
                </c:pt>
                <c:pt idx="337">
                  <c:v>3.4095405952475776E-4</c:v>
                </c:pt>
                <c:pt idx="338">
                  <c:v>3.8340232210585411E-4</c:v>
                </c:pt>
                <c:pt idx="339">
                  <c:v>3.7915757161125521E-4</c:v>
                </c:pt>
                <c:pt idx="340">
                  <c:v>3.2135360876023734E-4</c:v>
                </c:pt>
                <c:pt idx="341">
                  <c:v>3.4377168057289344E-4</c:v>
                </c:pt>
                <c:pt idx="342">
                  <c:v>3.1770811736844091E-4</c:v>
                </c:pt>
                <c:pt idx="343">
                  <c:v>3.5310279020614308E-4</c:v>
                </c:pt>
                <c:pt idx="344">
                  <c:v>3.9805559371694916E-4</c:v>
                </c:pt>
                <c:pt idx="345">
                  <c:v>3.2092031431336774E-4</c:v>
                </c:pt>
                <c:pt idx="346">
                  <c:v>4.3221131158988166E-4</c:v>
                </c:pt>
                <c:pt idx="347">
                  <c:v>4.3191841441756872E-4</c:v>
                </c:pt>
                <c:pt idx="348">
                  <c:v>5.0328690716170354E-4</c:v>
                </c:pt>
                <c:pt idx="349">
                  <c:v>3.9208813326505656E-4</c:v>
                </c:pt>
                <c:pt idx="350">
                  <c:v>1.2713921875476014E-2</c:v>
                </c:pt>
                <c:pt idx="351">
                  <c:v>3.2897407212174781E-4</c:v>
                </c:pt>
                <c:pt idx="352">
                  <c:v>3.2247466400216472E-4</c:v>
                </c:pt>
                <c:pt idx="353">
                  <c:v>4.2111557819954625E-4</c:v>
                </c:pt>
                <c:pt idx="354">
                  <c:v>3.320796638388141E-4</c:v>
                </c:pt>
                <c:pt idx="355">
                  <c:v>3.7515488877701416E-4</c:v>
                </c:pt>
                <c:pt idx="356">
                  <c:v>3.2424337683042883E-4</c:v>
                </c:pt>
                <c:pt idx="357">
                  <c:v>3.2901603683062932E-4</c:v>
                </c:pt>
                <c:pt idx="358">
                  <c:v>3.6754785764786307E-4</c:v>
                </c:pt>
                <c:pt idx="359">
                  <c:v>7.9705675507779259E-4</c:v>
                </c:pt>
                <c:pt idx="360">
                  <c:v>3.73729479570028E-4</c:v>
                </c:pt>
                <c:pt idx="361">
                  <c:v>3.9473205641908269E-4</c:v>
                </c:pt>
                <c:pt idx="362">
                  <c:v>3.3145471091449694E-4</c:v>
                </c:pt>
                <c:pt idx="363">
                  <c:v>4.0522357580842424E-4</c:v>
                </c:pt>
                <c:pt idx="364">
                  <c:v>3.2505617981997212E-4</c:v>
                </c:pt>
                <c:pt idx="365">
                  <c:v>5.4386515370564872E-4</c:v>
                </c:pt>
                <c:pt idx="366">
                  <c:v>3.4293651395709559E-4</c:v>
                </c:pt>
                <c:pt idx="367">
                  <c:v>3.1656720611609437E-4</c:v>
                </c:pt>
                <c:pt idx="368">
                  <c:v>4.4256641521211928E-4</c:v>
                </c:pt>
                <c:pt idx="369">
                  <c:v>3.1731249562171954E-4</c:v>
                </c:pt>
                <c:pt idx="370">
                  <c:v>6.3175086519502949E-4</c:v>
                </c:pt>
                <c:pt idx="371">
                  <c:v>3.1534121689866007E-4</c:v>
                </c:pt>
                <c:pt idx="372">
                  <c:v>3.385534131841167E-4</c:v>
                </c:pt>
                <c:pt idx="373">
                  <c:v>3.4225699546542492E-4</c:v>
                </c:pt>
                <c:pt idx="374">
                  <c:v>3.1912802301858081E-4</c:v>
                </c:pt>
                <c:pt idx="375">
                  <c:v>3.4512409132214943E-4</c:v>
                </c:pt>
                <c:pt idx="376">
                  <c:v>4.411735577077025E-4</c:v>
                </c:pt>
                <c:pt idx="377">
                  <c:v>3.2137735160355445E-4</c:v>
                </c:pt>
                <c:pt idx="378">
                  <c:v>8.179992488723403E-4</c:v>
                </c:pt>
                <c:pt idx="379">
                  <c:v>3.6729907714592915E-4</c:v>
                </c:pt>
                <c:pt idx="380">
                  <c:v>3.2768714395016571E-4</c:v>
                </c:pt>
                <c:pt idx="381">
                  <c:v>4.4083001384526008E-4</c:v>
                </c:pt>
                <c:pt idx="382">
                  <c:v>3.8219284873376957E-4</c:v>
                </c:pt>
                <c:pt idx="383">
                  <c:v>3.7710189604489829E-4</c:v>
                </c:pt>
                <c:pt idx="384">
                  <c:v>3.5168617396071501E-4</c:v>
                </c:pt>
                <c:pt idx="385">
                  <c:v>4.2559700783418908E-4</c:v>
                </c:pt>
                <c:pt idx="386">
                  <c:v>3.4434692630009065E-4</c:v>
                </c:pt>
                <c:pt idx="387">
                  <c:v>4.6943639566842971E-4</c:v>
                </c:pt>
                <c:pt idx="388">
                  <c:v>7.9226120085604192E-4</c:v>
                </c:pt>
                <c:pt idx="389">
                  <c:v>3.1949098254864023E-4</c:v>
                </c:pt>
                <c:pt idx="390">
                  <c:v>6.4100752773024771E-4</c:v>
                </c:pt>
                <c:pt idx="391">
                  <c:v>3.3662004565360865E-4</c:v>
                </c:pt>
                <c:pt idx="392">
                  <c:v>3.1924132446226142E-4</c:v>
                </c:pt>
                <c:pt idx="393">
                  <c:v>4.5097136565683125E-4</c:v>
                </c:pt>
                <c:pt idx="394">
                  <c:v>3.1685427598402322E-4</c:v>
                </c:pt>
                <c:pt idx="395">
                  <c:v>3.2216794635576165E-4</c:v>
                </c:pt>
                <c:pt idx="396">
                  <c:v>3.667917350963823E-4</c:v>
                </c:pt>
                <c:pt idx="397">
                  <c:v>3.5717300987653461E-4</c:v>
                </c:pt>
                <c:pt idx="398">
                  <c:v>3.2701643860390614E-4</c:v>
                </c:pt>
                <c:pt idx="399">
                  <c:v>3.2282619676323062E-4</c:v>
                </c:pt>
                <c:pt idx="400">
                  <c:v>3.8106885487207914E-4</c:v>
                </c:pt>
                <c:pt idx="401">
                  <c:v>4.8357379429173872E-4</c:v>
                </c:pt>
                <c:pt idx="402">
                  <c:v>3.9963455570430034E-4</c:v>
                </c:pt>
                <c:pt idx="403">
                  <c:v>3.7309949063051994E-4</c:v>
                </c:pt>
                <c:pt idx="404">
                  <c:v>5.422433106117377E-4</c:v>
                </c:pt>
                <c:pt idx="405">
                  <c:v>3.3993197773823783E-4</c:v>
                </c:pt>
                <c:pt idx="406">
                  <c:v>6.8510034222688432E-4</c:v>
                </c:pt>
                <c:pt idx="407">
                  <c:v>4.7386486915356336E-4</c:v>
                </c:pt>
                <c:pt idx="408">
                  <c:v>3.3296337953606103E-4</c:v>
                </c:pt>
                <c:pt idx="409">
                  <c:v>3.5510984935291595E-4</c:v>
                </c:pt>
                <c:pt idx="410">
                  <c:v>4.9780956221381531E-4</c:v>
                </c:pt>
                <c:pt idx="411">
                  <c:v>3.1503945624317668E-4</c:v>
                </c:pt>
                <c:pt idx="412">
                  <c:v>3.6082760404137419E-4</c:v>
                </c:pt>
                <c:pt idx="413">
                  <c:v>8.814471268241534E-3</c:v>
                </c:pt>
                <c:pt idx="414">
                  <c:v>3.7015320721135074E-4</c:v>
                </c:pt>
                <c:pt idx="415">
                  <c:v>4.159505099202749E-4</c:v>
                </c:pt>
                <c:pt idx="416">
                  <c:v>3.2822242214979264E-4</c:v>
                </c:pt>
                <c:pt idx="417">
                  <c:v>3.1970598287706195E-4</c:v>
                </c:pt>
                <c:pt idx="418">
                  <c:v>3.2360391565608779E-4</c:v>
                </c:pt>
                <c:pt idx="419">
                  <c:v>5.0562358237982532E-4</c:v>
                </c:pt>
                <c:pt idx="420">
                  <c:v>6.4988474802937508E-4</c:v>
                </c:pt>
                <c:pt idx="421">
                  <c:v>3.9887820514982134E-3</c:v>
                </c:pt>
                <c:pt idx="422">
                  <c:v>5.4404116090349831E-4</c:v>
                </c:pt>
                <c:pt idx="423">
                  <c:v>3.8253742471473925E-4</c:v>
                </c:pt>
                <c:pt idx="424">
                  <c:v>4.9180636440961881E-4</c:v>
                </c:pt>
                <c:pt idx="425">
                  <c:v>3.1554295100208674E-4</c:v>
                </c:pt>
                <c:pt idx="426">
                  <c:v>3.2072108667698492E-4</c:v>
                </c:pt>
                <c:pt idx="427">
                  <c:v>3.4430720096669475E-4</c:v>
                </c:pt>
                <c:pt idx="428">
                  <c:v>3.2995712851065147E-4</c:v>
                </c:pt>
                <c:pt idx="429">
                  <c:v>5.5639373735688982E-4</c:v>
                </c:pt>
                <c:pt idx="430">
                  <c:v>4.329915620387379E-4</c:v>
                </c:pt>
                <c:pt idx="431">
                  <c:v>1.6932235911142346E-3</c:v>
                </c:pt>
                <c:pt idx="432">
                  <c:v>3.2324283892437491E-4</c:v>
                </c:pt>
                <c:pt idx="433">
                  <c:v>3.2606938613620744E-4</c:v>
                </c:pt>
                <c:pt idx="434">
                  <c:v>3.2555248351992825E-4</c:v>
                </c:pt>
                <c:pt idx="435">
                  <c:v>3.9716244726328007E-4</c:v>
                </c:pt>
                <c:pt idx="436">
                  <c:v>3.6478236371818103E-4</c:v>
                </c:pt>
                <c:pt idx="437">
                  <c:v>3.4767024168709803E-4</c:v>
                </c:pt>
                <c:pt idx="438">
                  <c:v>3.2476380862489263E-4</c:v>
                </c:pt>
                <c:pt idx="439">
                  <c:v>3.465040253536122E-4</c:v>
                </c:pt>
                <c:pt idx="440">
                  <c:v>4.7530118344092485E-4</c:v>
                </c:pt>
                <c:pt idx="441">
                  <c:v>4.7141619243400038E-4</c:v>
                </c:pt>
                <c:pt idx="442">
                  <c:v>3.8633335042430425E-4</c:v>
                </c:pt>
                <c:pt idx="443">
                  <c:v>3.4529196558810476E-4</c:v>
                </c:pt>
                <c:pt idx="444">
                  <c:v>3.9304278749314006E-4</c:v>
                </c:pt>
                <c:pt idx="445">
                  <c:v>3.5144124386765938E-4</c:v>
                </c:pt>
                <c:pt idx="446">
                  <c:v>3.7023583842483196E-4</c:v>
                </c:pt>
                <c:pt idx="447">
                  <c:v>3.45355326753048E-4</c:v>
                </c:pt>
                <c:pt idx="448">
                  <c:v>1.0846743432664546E-3</c:v>
                </c:pt>
                <c:pt idx="449">
                  <c:v>3.4868691650481308E-4</c:v>
                </c:pt>
                <c:pt idx="450">
                  <c:v>4.7247448500770014E-4</c:v>
                </c:pt>
                <c:pt idx="451">
                  <c:v>3.1627902181370989E-4</c:v>
                </c:pt>
                <c:pt idx="452">
                  <c:v>3.1763738465182022E-4</c:v>
                </c:pt>
                <c:pt idx="453">
                  <c:v>3.1499049374196747E-4</c:v>
                </c:pt>
                <c:pt idx="454">
                  <c:v>3.2255053697020035E-4</c:v>
                </c:pt>
                <c:pt idx="455">
                  <c:v>3.7404934939928603E-4</c:v>
                </c:pt>
                <c:pt idx="456">
                  <c:v>3.2464001161189174E-4</c:v>
                </c:pt>
                <c:pt idx="457">
                  <c:v>3.1512235061828856E-4</c:v>
                </c:pt>
                <c:pt idx="458">
                  <c:v>4.3259030906314297E-4</c:v>
                </c:pt>
                <c:pt idx="459">
                  <c:v>5.0880586076981348E-4</c:v>
                </c:pt>
                <c:pt idx="460">
                  <c:v>3.3278457423673794E-4</c:v>
                </c:pt>
                <c:pt idx="461">
                  <c:v>2.591243195273929E-3</c:v>
                </c:pt>
                <c:pt idx="462">
                  <c:v>3.9483355873865645E-4</c:v>
                </c:pt>
                <c:pt idx="463">
                  <c:v>3.3296079639559529E-4</c:v>
                </c:pt>
                <c:pt idx="464">
                  <c:v>6.444651303217987E-4</c:v>
                </c:pt>
                <c:pt idx="465">
                  <c:v>6.4664090041580352E-4</c:v>
                </c:pt>
                <c:pt idx="466">
                  <c:v>4.1504086664412922E-4</c:v>
                </c:pt>
                <c:pt idx="467">
                  <c:v>3.7667797664428081E-4</c:v>
                </c:pt>
                <c:pt idx="468">
                  <c:v>3.4715208889091734E-4</c:v>
                </c:pt>
                <c:pt idx="469">
                  <c:v>4.0578841277572405E-4</c:v>
                </c:pt>
                <c:pt idx="470">
                  <c:v>4.1265093670592439E-4</c:v>
                </c:pt>
                <c:pt idx="471">
                  <c:v>3.2447132976312431E-4</c:v>
                </c:pt>
                <c:pt idx="472">
                  <c:v>4.0635711807915397E-4</c:v>
                </c:pt>
                <c:pt idx="473">
                  <c:v>3.8299836411506569E-4</c:v>
                </c:pt>
                <c:pt idx="474">
                  <c:v>3.7612368394531885E-4</c:v>
                </c:pt>
                <c:pt idx="475">
                  <c:v>3.2244320668109038E-4</c:v>
                </c:pt>
                <c:pt idx="476">
                  <c:v>3.739822223100287E-4</c:v>
                </c:pt>
                <c:pt idx="477">
                  <c:v>3.3033504050828083E-4</c:v>
                </c:pt>
                <c:pt idx="478">
                  <c:v>3.3600848384043543E-4</c:v>
                </c:pt>
                <c:pt idx="479">
                  <c:v>3.7477601248540741E-4</c:v>
                </c:pt>
                <c:pt idx="480">
                  <c:v>3.1683487648167846E-4</c:v>
                </c:pt>
                <c:pt idx="481">
                  <c:v>3.3728504986938271E-4</c:v>
                </c:pt>
                <c:pt idx="482">
                  <c:v>3.5327293583940588E-4</c:v>
                </c:pt>
                <c:pt idx="483">
                  <c:v>4.5752383408674188E-4</c:v>
                </c:pt>
                <c:pt idx="484">
                  <c:v>3.4415478695903667E-4</c:v>
                </c:pt>
                <c:pt idx="485">
                  <c:v>3.2851545398095643E-4</c:v>
                </c:pt>
                <c:pt idx="486">
                  <c:v>3.6367837504719841E-4</c:v>
                </c:pt>
                <c:pt idx="487">
                  <c:v>3.1903700755862331E-4</c:v>
                </c:pt>
                <c:pt idx="488">
                  <c:v>4.1881337772552271E-4</c:v>
                </c:pt>
                <c:pt idx="489">
                  <c:v>3.3518726959897165E-4</c:v>
                </c:pt>
                <c:pt idx="490">
                  <c:v>3.197657836339841E-4</c:v>
                </c:pt>
                <c:pt idx="491">
                  <c:v>4.1965468712328567E-4</c:v>
                </c:pt>
                <c:pt idx="492">
                  <c:v>3.8530274380992269E-4</c:v>
                </c:pt>
                <c:pt idx="493">
                  <c:v>3.0179835465299937E-3</c:v>
                </c:pt>
                <c:pt idx="494">
                  <c:v>4.1308514395537366E-4</c:v>
                </c:pt>
                <c:pt idx="495">
                  <c:v>3.1535002730157462E-4</c:v>
                </c:pt>
                <c:pt idx="496">
                  <c:v>3.2759436520633816E-4</c:v>
                </c:pt>
                <c:pt idx="497">
                  <c:v>3.4438323681617423E-4</c:v>
                </c:pt>
                <c:pt idx="498">
                  <c:v>3.4148371000002769E-4</c:v>
                </c:pt>
                <c:pt idx="499">
                  <c:v>4.2690721926707528E-4</c:v>
                </c:pt>
                <c:pt idx="500">
                  <c:v>3.5451510639784796E-4</c:v>
                </c:pt>
                <c:pt idx="501">
                  <c:v>3.2539240547830109E-4</c:v>
                </c:pt>
                <c:pt idx="502">
                  <c:v>3.2153095536524974E-4</c:v>
                </c:pt>
                <c:pt idx="503">
                  <c:v>7.1251295174538183E-4</c:v>
                </c:pt>
                <c:pt idx="504">
                  <c:v>3.4948071627739606E-4</c:v>
                </c:pt>
                <c:pt idx="505">
                  <c:v>3.7258637602937062E-4</c:v>
                </c:pt>
                <c:pt idx="506">
                  <c:v>8.295921686445034E-4</c:v>
                </c:pt>
                <c:pt idx="507">
                  <c:v>3.6469462281251379E-4</c:v>
                </c:pt>
                <c:pt idx="508">
                  <c:v>3.3242144773091469E-4</c:v>
                </c:pt>
                <c:pt idx="509">
                  <c:v>3.5595921818442738E-4</c:v>
                </c:pt>
                <c:pt idx="510">
                  <c:v>3.7463873525888074E-4</c:v>
                </c:pt>
                <c:pt idx="511">
                  <c:v>3.17076007354211E-4</c:v>
                </c:pt>
                <c:pt idx="512">
                  <c:v>3.153243693448008E-4</c:v>
                </c:pt>
                <c:pt idx="513">
                  <c:v>3.4311821644382077E-4</c:v>
                </c:pt>
                <c:pt idx="514">
                  <c:v>3.5089092725245892E-4</c:v>
                </c:pt>
                <c:pt idx="515">
                  <c:v>3.4044570544194649E-4</c:v>
                </c:pt>
                <c:pt idx="516">
                  <c:v>7.3202955725605958E-4</c:v>
                </c:pt>
                <c:pt idx="517">
                  <c:v>4.961759651962612E-4</c:v>
                </c:pt>
                <c:pt idx="518">
                  <c:v>4.1853485580521942E-4</c:v>
                </c:pt>
                <c:pt idx="519">
                  <c:v>2.3762090863297929E-3</c:v>
                </c:pt>
                <c:pt idx="520">
                  <c:v>5.423782344584695E-4</c:v>
                </c:pt>
                <c:pt idx="521">
                  <c:v>3.714713046236121E-4</c:v>
                </c:pt>
                <c:pt idx="522">
                  <c:v>3.4857406895161502E-4</c:v>
                </c:pt>
                <c:pt idx="523">
                  <c:v>3.4722816954491456E-4</c:v>
                </c:pt>
                <c:pt idx="524">
                  <c:v>3.262286906920717E-4</c:v>
                </c:pt>
                <c:pt idx="525">
                  <c:v>1.2162479694339061E-3</c:v>
                </c:pt>
                <c:pt idx="526">
                  <c:v>3.7493469437400952E-4</c:v>
                </c:pt>
                <c:pt idx="527">
                  <c:v>9.6331548536925386E-4</c:v>
                </c:pt>
                <c:pt idx="528">
                  <c:v>4.0541360742010795E-4</c:v>
                </c:pt>
                <c:pt idx="529">
                  <c:v>3.4177993897968893E-4</c:v>
                </c:pt>
                <c:pt idx="530">
                  <c:v>3.530258771192058E-4</c:v>
                </c:pt>
                <c:pt idx="531">
                  <c:v>3.4253559409682234E-4</c:v>
                </c:pt>
                <c:pt idx="532">
                  <c:v>3.9831027595475229E-4</c:v>
                </c:pt>
                <c:pt idx="533">
                  <c:v>3.1879039300806256E-4</c:v>
                </c:pt>
                <c:pt idx="534">
                  <c:v>3.2697718280047262E-4</c:v>
                </c:pt>
                <c:pt idx="535">
                  <c:v>3.4499870705475161E-4</c:v>
                </c:pt>
                <c:pt idx="536">
                  <c:v>3.68867264797623E-4</c:v>
                </c:pt>
                <c:pt idx="537">
                  <c:v>3.2971725010680402E-4</c:v>
                </c:pt>
                <c:pt idx="538">
                  <c:v>5.2539403220899263E-4</c:v>
                </c:pt>
                <c:pt idx="539">
                  <c:v>9.5617607806743336E-4</c:v>
                </c:pt>
                <c:pt idx="540">
                  <c:v>4.4245361424904625E-4</c:v>
                </c:pt>
                <c:pt idx="541">
                  <c:v>3.2778744240852682E-4</c:v>
                </c:pt>
                <c:pt idx="542">
                  <c:v>3.167931071370791E-4</c:v>
                </c:pt>
                <c:pt idx="543">
                  <c:v>3.9264403460193529E-4</c:v>
                </c:pt>
                <c:pt idx="544">
                  <c:v>3.3368133610508122E-4</c:v>
                </c:pt>
                <c:pt idx="545">
                  <c:v>3.2553219505175791E-4</c:v>
                </c:pt>
                <c:pt idx="546">
                  <c:v>1.4115023650423356E-3</c:v>
                </c:pt>
                <c:pt idx="547">
                  <c:v>3.2535472318314464E-4</c:v>
                </c:pt>
                <c:pt idx="548">
                  <c:v>3.5864534926965654E-4</c:v>
                </c:pt>
                <c:pt idx="549">
                  <c:v>4.7246183949146162E-4</c:v>
                </c:pt>
                <c:pt idx="550">
                  <c:v>3.4188641685574026E-4</c:v>
                </c:pt>
                <c:pt idx="551">
                  <c:v>3.1881129636838232E-4</c:v>
                </c:pt>
                <c:pt idx="552">
                  <c:v>3.1706640383850996E-4</c:v>
                </c:pt>
                <c:pt idx="553">
                  <c:v>3.3652151884257605E-4</c:v>
                </c:pt>
                <c:pt idx="554">
                  <c:v>2.9536747646301594E-3</c:v>
                </c:pt>
                <c:pt idx="555">
                  <c:v>3.3571016544950612E-4</c:v>
                </c:pt>
                <c:pt idx="556">
                  <c:v>3.1618896212001968E-4</c:v>
                </c:pt>
                <c:pt idx="557">
                  <c:v>4.3065952882607164E-3</c:v>
                </c:pt>
                <c:pt idx="558">
                  <c:v>3.1668637571440072E-4</c:v>
                </c:pt>
                <c:pt idx="559">
                  <c:v>8.2762630150973778E-4</c:v>
                </c:pt>
                <c:pt idx="560">
                  <c:v>4.1373047070870065E-4</c:v>
                </c:pt>
                <c:pt idx="561">
                  <c:v>3.441879664382302E-4</c:v>
                </c:pt>
                <c:pt idx="562">
                  <c:v>3.2447475484233116E-4</c:v>
                </c:pt>
                <c:pt idx="563">
                  <c:v>1.2767188517893953E-3</c:v>
                </c:pt>
                <c:pt idx="564">
                  <c:v>1.0173361014602059E-3</c:v>
                </c:pt>
                <c:pt idx="565">
                  <c:v>3.4646299346777421E-4</c:v>
                </c:pt>
                <c:pt idx="566">
                  <c:v>4.0416970437916758E-4</c:v>
                </c:pt>
                <c:pt idx="567">
                  <c:v>3.7331125108911795E-4</c:v>
                </c:pt>
                <c:pt idx="568">
                  <c:v>3.5421668023310305E-4</c:v>
                </c:pt>
                <c:pt idx="569">
                  <c:v>3.2964170517823193E-4</c:v>
                </c:pt>
                <c:pt idx="570">
                  <c:v>3.6477082221838365E-4</c:v>
                </c:pt>
                <c:pt idx="571">
                  <c:v>4.0110206743031244E-4</c:v>
                </c:pt>
                <c:pt idx="572">
                  <c:v>8.2412254289502542E-4</c:v>
                </c:pt>
                <c:pt idx="573">
                  <c:v>3.7418744948144718E-4</c:v>
                </c:pt>
                <c:pt idx="574">
                  <c:v>3.4536281779564673E-4</c:v>
                </c:pt>
                <c:pt idx="575">
                  <c:v>3.2744297611560409E-4</c:v>
                </c:pt>
                <c:pt idx="576">
                  <c:v>3.4444319161777768E-4</c:v>
                </c:pt>
                <c:pt idx="577">
                  <c:v>3.3666751399616987E-4</c:v>
                </c:pt>
                <c:pt idx="578">
                  <c:v>3.2448721081820565E-4</c:v>
                </c:pt>
                <c:pt idx="579">
                  <c:v>3.7222977367019401E-4</c:v>
                </c:pt>
                <c:pt idx="580">
                  <c:v>3.2517006098402556E-4</c:v>
                </c:pt>
                <c:pt idx="581">
                  <c:v>3.3061513605923601E-4</c:v>
                </c:pt>
                <c:pt idx="582">
                  <c:v>3.3289173843462652E-4</c:v>
                </c:pt>
                <c:pt idx="583">
                  <c:v>3.2984727015150672E-4</c:v>
                </c:pt>
                <c:pt idx="584">
                  <c:v>4.8708575389513545E-4</c:v>
                </c:pt>
                <c:pt idx="585">
                  <c:v>3.2673020042211744E-4</c:v>
                </c:pt>
                <c:pt idx="586">
                  <c:v>8.5729589585388792E-4</c:v>
                </c:pt>
                <c:pt idx="587">
                  <c:v>4.3922226706043466E-4</c:v>
                </c:pt>
                <c:pt idx="588">
                  <c:v>3.1683110410565102E-4</c:v>
                </c:pt>
                <c:pt idx="589">
                  <c:v>3.2372905664148206E-4</c:v>
                </c:pt>
                <c:pt idx="590">
                  <c:v>4.6074396382405854E-4</c:v>
                </c:pt>
                <c:pt idx="591">
                  <c:v>4.9641745034772176E-4</c:v>
                </c:pt>
                <c:pt idx="592">
                  <c:v>4.4699622622732253E-4</c:v>
                </c:pt>
                <c:pt idx="593">
                  <c:v>3.179999389377874E-4</c:v>
                </c:pt>
                <c:pt idx="594">
                  <c:v>4.3316810653494704E-4</c:v>
                </c:pt>
                <c:pt idx="595">
                  <c:v>4.3415907423586777E-4</c:v>
                </c:pt>
                <c:pt idx="596">
                  <c:v>3.3113590884669406E-4</c:v>
                </c:pt>
                <c:pt idx="597">
                  <c:v>3.3543454401060925E-4</c:v>
                </c:pt>
                <c:pt idx="598">
                  <c:v>3.2678271686427358E-4</c:v>
                </c:pt>
                <c:pt idx="599">
                  <c:v>3.2776803054747474E-4</c:v>
                </c:pt>
                <c:pt idx="600">
                  <c:v>4.0685214987616804E-4</c:v>
                </c:pt>
                <c:pt idx="601">
                  <c:v>3.2344273438011229E-4</c:v>
                </c:pt>
                <c:pt idx="602">
                  <c:v>3.307907368230729E-4</c:v>
                </c:pt>
                <c:pt idx="603">
                  <c:v>3.194640905236271E-4</c:v>
                </c:pt>
                <c:pt idx="604">
                  <c:v>4.5817582844088941E-4</c:v>
                </c:pt>
                <c:pt idx="605">
                  <c:v>3.8906010675451212E-4</c:v>
                </c:pt>
                <c:pt idx="606">
                  <c:v>3.4791279054020402E-4</c:v>
                </c:pt>
                <c:pt idx="607">
                  <c:v>3.8921875780773143E-4</c:v>
                </c:pt>
                <c:pt idx="608">
                  <c:v>4.7458937452998735E-4</c:v>
                </c:pt>
                <c:pt idx="609">
                  <c:v>3.446180763010875E-4</c:v>
                </c:pt>
                <c:pt idx="610">
                  <c:v>3.3886179391671745E-4</c:v>
                </c:pt>
                <c:pt idx="611">
                  <c:v>5.6761519213590814E-4</c:v>
                </c:pt>
                <c:pt idx="612">
                  <c:v>9.4115530722008113E-4</c:v>
                </c:pt>
                <c:pt idx="613">
                  <c:v>3.3842885019303017E-4</c:v>
                </c:pt>
                <c:pt idx="614">
                  <c:v>3.2261066196225896E-4</c:v>
                </c:pt>
                <c:pt idx="615">
                  <c:v>3.3774730501128723E-4</c:v>
                </c:pt>
                <c:pt idx="616">
                  <c:v>3.7036219383731241E-4</c:v>
                </c:pt>
                <c:pt idx="617">
                  <c:v>4.9299624545540328E-4</c:v>
                </c:pt>
                <c:pt idx="618">
                  <c:v>3.565868026505311E-4</c:v>
                </c:pt>
                <c:pt idx="619">
                  <c:v>3.1581948095553853E-4</c:v>
                </c:pt>
                <c:pt idx="620">
                  <c:v>3.2702596308312979E-4</c:v>
                </c:pt>
                <c:pt idx="621">
                  <c:v>3.8162664723765928E-4</c:v>
                </c:pt>
                <c:pt idx="622">
                  <c:v>3.5844885140795882E-4</c:v>
                </c:pt>
                <c:pt idx="623">
                  <c:v>3.4876773323290353E-4</c:v>
                </c:pt>
                <c:pt idx="624">
                  <c:v>3.3460080795271141E-4</c:v>
                </c:pt>
                <c:pt idx="625">
                  <c:v>1.3312059134233899E-3</c:v>
                </c:pt>
                <c:pt idx="626">
                  <c:v>3.3706616608808666E-4</c:v>
                </c:pt>
                <c:pt idx="627">
                  <c:v>3.1928420255609129E-4</c:v>
                </c:pt>
                <c:pt idx="628">
                  <c:v>3.9437188942760646E-4</c:v>
                </c:pt>
                <c:pt idx="629">
                  <c:v>6.2291777423855886E-4</c:v>
                </c:pt>
                <c:pt idx="630">
                  <c:v>3.7022469011719104E-4</c:v>
                </c:pt>
                <c:pt idx="631">
                  <c:v>3.2687154908461958E-4</c:v>
                </c:pt>
                <c:pt idx="632">
                  <c:v>3.8840384233743055E-4</c:v>
                </c:pt>
                <c:pt idx="633">
                  <c:v>3.7339795637232159E-4</c:v>
                </c:pt>
                <c:pt idx="634">
                  <c:v>3.2858605340516198E-4</c:v>
                </c:pt>
                <c:pt idx="635">
                  <c:v>3.6778029730414664E-4</c:v>
                </c:pt>
                <c:pt idx="636">
                  <c:v>3.3070799313229251E-4</c:v>
                </c:pt>
                <c:pt idx="637">
                  <c:v>3.5474268739374773E-4</c:v>
                </c:pt>
                <c:pt idx="638">
                  <c:v>5.1007568276590308E-4</c:v>
                </c:pt>
                <c:pt idx="639">
                  <c:v>4.2139740371043461E-4</c:v>
                </c:pt>
                <c:pt idx="640">
                  <c:v>7.419027526421577E-4</c:v>
                </c:pt>
                <c:pt idx="641">
                  <c:v>3.1556869579556479E-4</c:v>
                </c:pt>
                <c:pt idx="642">
                  <c:v>4.1852232886828704E-4</c:v>
                </c:pt>
                <c:pt idx="643">
                  <c:v>3.4011789104688799E-4</c:v>
                </c:pt>
                <c:pt idx="644">
                  <c:v>4.0764877490953577E-4</c:v>
                </c:pt>
                <c:pt idx="645">
                  <c:v>3.2181841156629144E-4</c:v>
                </c:pt>
                <c:pt idx="646">
                  <c:v>4.0247129149715275E-4</c:v>
                </c:pt>
                <c:pt idx="647">
                  <c:v>3.2527496051044984E-4</c:v>
                </c:pt>
                <c:pt idx="648">
                  <c:v>5.0892283288273053E-4</c:v>
                </c:pt>
                <c:pt idx="649">
                  <c:v>4.1059134254662743E-4</c:v>
                </c:pt>
                <c:pt idx="650">
                  <c:v>8.3448949222037156E-4</c:v>
                </c:pt>
                <c:pt idx="651">
                  <c:v>3.5694394931008088E-4</c:v>
                </c:pt>
                <c:pt idx="652">
                  <c:v>3.6440271768226957E-4</c:v>
                </c:pt>
                <c:pt idx="653">
                  <c:v>3.4237892873467609E-4</c:v>
                </c:pt>
                <c:pt idx="654">
                  <c:v>1.6010551047005439E-3</c:v>
                </c:pt>
                <c:pt idx="655">
                  <c:v>4.0276313174585559E-4</c:v>
                </c:pt>
                <c:pt idx="656">
                  <c:v>5.7581083422258462E-4</c:v>
                </c:pt>
                <c:pt idx="657">
                  <c:v>3.9932597405801856E-4</c:v>
                </c:pt>
                <c:pt idx="658">
                  <c:v>3.2768490938966575E-4</c:v>
                </c:pt>
                <c:pt idx="659">
                  <c:v>3.3914175081019532E-4</c:v>
                </c:pt>
                <c:pt idx="660">
                  <c:v>3.1623786888772601E-4</c:v>
                </c:pt>
                <c:pt idx="661">
                  <c:v>3.2325650960366879E-4</c:v>
                </c:pt>
                <c:pt idx="662">
                  <c:v>3.4781713063362013E-4</c:v>
                </c:pt>
                <c:pt idx="663">
                  <c:v>3.413512337686971E-4</c:v>
                </c:pt>
                <c:pt idx="664">
                  <c:v>4.8942673447666541E-4</c:v>
                </c:pt>
                <c:pt idx="665">
                  <c:v>3.19157024344564E-4</c:v>
                </c:pt>
                <c:pt idx="666">
                  <c:v>4.0262412081353195E-4</c:v>
                </c:pt>
                <c:pt idx="667">
                  <c:v>3.4207037263586757E-4</c:v>
                </c:pt>
                <c:pt idx="668">
                  <c:v>3.4244049069442705E-4</c:v>
                </c:pt>
                <c:pt idx="669">
                  <c:v>3.2718881201709903E-4</c:v>
                </c:pt>
                <c:pt idx="670">
                  <c:v>3.3110039541757843E-4</c:v>
                </c:pt>
                <c:pt idx="671">
                  <c:v>3.3343121148681214E-4</c:v>
                </c:pt>
                <c:pt idx="672">
                  <c:v>3.2765058149375362E-4</c:v>
                </c:pt>
                <c:pt idx="673">
                  <c:v>4.3282828628030112E-4</c:v>
                </c:pt>
                <c:pt idx="674">
                  <c:v>3.4839587688338647E-4</c:v>
                </c:pt>
                <c:pt idx="675">
                  <c:v>3.5436411448608226E-4</c:v>
                </c:pt>
                <c:pt idx="676">
                  <c:v>3.4634493971773001E-4</c:v>
                </c:pt>
                <c:pt idx="677">
                  <c:v>4.195363925941888E-4</c:v>
                </c:pt>
                <c:pt idx="678">
                  <c:v>3.7247787867741053E-4</c:v>
                </c:pt>
                <c:pt idx="679">
                  <c:v>3.9088968937532376E-4</c:v>
                </c:pt>
                <c:pt idx="680">
                  <c:v>3.1587044747035986E-4</c:v>
                </c:pt>
                <c:pt idx="681">
                  <c:v>3.528762952883327E-4</c:v>
                </c:pt>
                <c:pt idx="682">
                  <c:v>3.4414648431981714E-4</c:v>
                </c:pt>
                <c:pt idx="683">
                  <c:v>3.6202601351737596E-4</c:v>
                </c:pt>
                <c:pt idx="684">
                  <c:v>1.5293509577782322E-3</c:v>
                </c:pt>
                <c:pt idx="685">
                  <c:v>3.824408696897872E-4</c:v>
                </c:pt>
                <c:pt idx="686">
                  <c:v>5.713318379069565E-4</c:v>
                </c:pt>
                <c:pt idx="687">
                  <c:v>3.3644637793250702E-4</c:v>
                </c:pt>
                <c:pt idx="688">
                  <c:v>5.4127526094806429E-4</c:v>
                </c:pt>
                <c:pt idx="689">
                  <c:v>4.8096740439043515E-4</c:v>
                </c:pt>
                <c:pt idx="690">
                  <c:v>3.8311972419779181E-4</c:v>
                </c:pt>
                <c:pt idx="691">
                  <c:v>7.0143329433338395E-4</c:v>
                </c:pt>
                <c:pt idx="692">
                  <c:v>3.4041150056905766E-4</c:v>
                </c:pt>
                <c:pt idx="693">
                  <c:v>3.3212666103393389E-4</c:v>
                </c:pt>
                <c:pt idx="694">
                  <c:v>3.6713934136532598E-4</c:v>
                </c:pt>
                <c:pt idx="695">
                  <c:v>3.7129334193301329E-4</c:v>
                </c:pt>
                <c:pt idx="696">
                  <c:v>3.9593138166708127E-4</c:v>
                </c:pt>
                <c:pt idx="697">
                  <c:v>3.3225812953598517E-4</c:v>
                </c:pt>
                <c:pt idx="698">
                  <c:v>4.6632776687333978E-4</c:v>
                </c:pt>
                <c:pt idx="699">
                  <c:v>1.1954924341213836E-3</c:v>
                </c:pt>
                <c:pt idx="700">
                  <c:v>3.1997781814783126E-4</c:v>
                </c:pt>
                <c:pt idx="701">
                  <c:v>1.2108748368881055E-3</c:v>
                </c:pt>
                <c:pt idx="702">
                  <c:v>3.6323995969521128E-4</c:v>
                </c:pt>
                <c:pt idx="703">
                  <c:v>3.2922611476376995E-4</c:v>
                </c:pt>
                <c:pt idx="704">
                  <c:v>3.2802556233939566E-4</c:v>
                </c:pt>
                <c:pt idx="705">
                  <c:v>3.2356450675148716E-4</c:v>
                </c:pt>
                <c:pt idx="706">
                  <c:v>4.694592044633759E-4</c:v>
                </c:pt>
                <c:pt idx="707">
                  <c:v>3.6132169212957539E-4</c:v>
                </c:pt>
                <c:pt idx="708">
                  <c:v>3.2094487375696932E-4</c:v>
                </c:pt>
                <c:pt idx="709">
                  <c:v>3.2321624613497766E-4</c:v>
                </c:pt>
                <c:pt idx="710">
                  <c:v>3.7378543454904157E-4</c:v>
                </c:pt>
                <c:pt idx="711">
                  <c:v>3.6250423561805034E-4</c:v>
                </c:pt>
                <c:pt idx="712">
                  <c:v>3.9143927606548221E-4</c:v>
                </c:pt>
                <c:pt idx="713">
                  <c:v>4.3842650056261009E-4</c:v>
                </c:pt>
                <c:pt idx="714">
                  <c:v>3.2452814170309363E-4</c:v>
                </c:pt>
                <c:pt idx="715">
                  <c:v>3.4914074153291733E-4</c:v>
                </c:pt>
                <c:pt idx="716">
                  <c:v>3.4999160809809262E-4</c:v>
                </c:pt>
                <c:pt idx="717">
                  <c:v>3.3920607388981114E-4</c:v>
                </c:pt>
                <c:pt idx="718">
                  <c:v>7.373098913056673E-4</c:v>
                </c:pt>
                <c:pt idx="719">
                  <c:v>3.314137715564031E-4</c:v>
                </c:pt>
                <c:pt idx="720">
                  <c:v>4.3287126754943219E-4</c:v>
                </c:pt>
                <c:pt idx="721">
                  <c:v>9.801279578660043E-4</c:v>
                </c:pt>
                <c:pt idx="722">
                  <c:v>4.2292232590162101E-4</c:v>
                </c:pt>
                <c:pt idx="723">
                  <c:v>3.1637157149270551E-4</c:v>
                </c:pt>
                <c:pt idx="724">
                  <c:v>3.9931716261633473E-4</c:v>
                </c:pt>
                <c:pt idx="725">
                  <c:v>3.3707572425548717E-4</c:v>
                </c:pt>
                <c:pt idx="726">
                  <c:v>3.8671166227701153E-4</c:v>
                </c:pt>
                <c:pt idx="727">
                  <c:v>3.847443449463818E-4</c:v>
                </c:pt>
                <c:pt idx="728">
                  <c:v>3.9936982073556735E-4</c:v>
                </c:pt>
                <c:pt idx="729">
                  <c:v>4.6483583071880796E-4</c:v>
                </c:pt>
                <c:pt idx="730">
                  <c:v>4.6701640721149131E-4</c:v>
                </c:pt>
                <c:pt idx="731">
                  <c:v>3.7076448689782999E-4</c:v>
                </c:pt>
                <c:pt idx="732">
                  <c:v>3.4018282264789551E-4</c:v>
                </c:pt>
                <c:pt idx="733">
                  <c:v>4.4372994302019803E-4</c:v>
                </c:pt>
                <c:pt idx="734">
                  <c:v>3.335173565866739E-4</c:v>
                </c:pt>
                <c:pt idx="735">
                  <c:v>3.4329658039992001E-4</c:v>
                </c:pt>
                <c:pt idx="736">
                  <c:v>3.4180618824348406E-4</c:v>
                </c:pt>
                <c:pt idx="737">
                  <c:v>7.9197553699635601E-4</c:v>
                </c:pt>
                <c:pt idx="738">
                  <c:v>1.1805888794464048E-3</c:v>
                </c:pt>
                <c:pt idx="739">
                  <c:v>5.413145414640035E-4</c:v>
                </c:pt>
                <c:pt idx="740">
                  <c:v>4.4045958387905337E-4</c:v>
                </c:pt>
                <c:pt idx="741">
                  <c:v>3.7670972573953989E-4</c:v>
                </c:pt>
                <c:pt idx="742">
                  <c:v>3.4401347531880764E-4</c:v>
                </c:pt>
                <c:pt idx="743">
                  <c:v>4.1648828982463794E-4</c:v>
                </c:pt>
                <c:pt idx="744">
                  <c:v>3.2273884068532716E-4</c:v>
                </c:pt>
                <c:pt idx="745">
                  <c:v>3.1935594118222076E-4</c:v>
                </c:pt>
                <c:pt idx="746">
                  <c:v>3.5167964986894325E-4</c:v>
                </c:pt>
                <c:pt idx="747">
                  <c:v>3.7969239853351922E-4</c:v>
                </c:pt>
                <c:pt idx="748">
                  <c:v>1.1975647976370863E-2</c:v>
                </c:pt>
                <c:pt idx="749">
                  <c:v>4.3737806449522371E-4</c:v>
                </c:pt>
                <c:pt idx="750">
                  <c:v>5.2555369418590949E-4</c:v>
                </c:pt>
                <c:pt idx="751">
                  <c:v>3.3732831328113781E-4</c:v>
                </c:pt>
                <c:pt idx="752">
                  <c:v>3.1547370466436595E-4</c:v>
                </c:pt>
                <c:pt idx="753">
                  <c:v>4.0538214467848163E-4</c:v>
                </c:pt>
                <c:pt idx="754">
                  <c:v>4.4428148882523629E-4</c:v>
                </c:pt>
                <c:pt idx="755">
                  <c:v>3.2037307984876057E-4</c:v>
                </c:pt>
                <c:pt idx="756">
                  <c:v>5.8970444865110013E-4</c:v>
                </c:pt>
                <c:pt idx="757">
                  <c:v>3.4576069968493149E-4</c:v>
                </c:pt>
                <c:pt idx="758">
                  <c:v>3.4134214519035406E-4</c:v>
                </c:pt>
                <c:pt idx="759">
                  <c:v>3.4098014551714234E-4</c:v>
                </c:pt>
                <c:pt idx="760">
                  <c:v>3.3284787447180225E-4</c:v>
                </c:pt>
                <c:pt idx="761">
                  <c:v>3.2194837537234791E-4</c:v>
                </c:pt>
                <c:pt idx="762">
                  <c:v>6.9285761516432482E-4</c:v>
                </c:pt>
                <c:pt idx="763">
                  <c:v>3.7783539763913053E-4</c:v>
                </c:pt>
                <c:pt idx="764">
                  <c:v>3.2355060846055302E-4</c:v>
                </c:pt>
                <c:pt idx="765">
                  <c:v>4.2685681993371639E-4</c:v>
                </c:pt>
                <c:pt idx="766">
                  <c:v>3.3419714825376077E-4</c:v>
                </c:pt>
                <c:pt idx="767">
                  <c:v>3.7737475713024016E-4</c:v>
                </c:pt>
                <c:pt idx="768">
                  <c:v>3.2285556762437381E-4</c:v>
                </c:pt>
                <c:pt idx="769">
                  <c:v>3.6859729012370693E-4</c:v>
                </c:pt>
                <c:pt idx="770">
                  <c:v>3.2276326429085076E-4</c:v>
                </c:pt>
                <c:pt idx="771">
                  <c:v>4.6132718159801065E-4</c:v>
                </c:pt>
                <c:pt idx="772">
                  <c:v>3.2982393052667414E-4</c:v>
                </c:pt>
                <c:pt idx="773">
                  <c:v>3.193040578522252E-4</c:v>
                </c:pt>
                <c:pt idx="774">
                  <c:v>4.6229770768479149E-4</c:v>
                </c:pt>
                <c:pt idx="775">
                  <c:v>3.1543116768985096E-4</c:v>
                </c:pt>
                <c:pt idx="776">
                  <c:v>3.1614403076053428E-4</c:v>
                </c:pt>
                <c:pt idx="777">
                  <c:v>3.2076219213189567E-4</c:v>
                </c:pt>
                <c:pt idx="778">
                  <c:v>3.5224921209666153E-4</c:v>
                </c:pt>
                <c:pt idx="779">
                  <c:v>3.3676040725388E-4</c:v>
                </c:pt>
                <c:pt idx="780">
                  <c:v>3.6363683626465347E-4</c:v>
                </c:pt>
                <c:pt idx="781">
                  <c:v>5.3562867004415386E-4</c:v>
                </c:pt>
                <c:pt idx="782">
                  <c:v>3.3753346439063407E-4</c:v>
                </c:pt>
                <c:pt idx="783">
                  <c:v>3.4070939380786134E-4</c:v>
                </c:pt>
                <c:pt idx="784">
                  <c:v>3.217246660322541E-4</c:v>
                </c:pt>
                <c:pt idx="785">
                  <c:v>3.8553848750303712E-4</c:v>
                </c:pt>
                <c:pt idx="786">
                  <c:v>1.0385796647550145E-3</c:v>
                </c:pt>
                <c:pt idx="787">
                  <c:v>3.548911976694273E-4</c:v>
                </c:pt>
                <c:pt idx="788">
                  <c:v>1.0177712723395738E-3</c:v>
                </c:pt>
                <c:pt idx="789">
                  <c:v>3.8325058279073182E-4</c:v>
                </c:pt>
                <c:pt idx="790">
                  <c:v>3.6472232681330141E-4</c:v>
                </c:pt>
                <c:pt idx="791">
                  <c:v>4.1152581549559319E-4</c:v>
                </c:pt>
                <c:pt idx="792">
                  <c:v>3.1602806703169355E-4</c:v>
                </c:pt>
                <c:pt idx="793">
                  <c:v>3.2880928525170416E-3</c:v>
                </c:pt>
                <c:pt idx="794">
                  <c:v>3.368489584561287E-4</c:v>
                </c:pt>
                <c:pt idx="795">
                  <c:v>3.4056088089249681E-4</c:v>
                </c:pt>
                <c:pt idx="796">
                  <c:v>3.5070922476814994E-4</c:v>
                </c:pt>
                <c:pt idx="797">
                  <c:v>1.6389139213528014E-3</c:v>
                </c:pt>
                <c:pt idx="798">
                  <c:v>3.3094292439850433E-4</c:v>
                </c:pt>
                <c:pt idx="799">
                  <c:v>4.0449071662216777E-4</c:v>
                </c:pt>
                <c:pt idx="800">
                  <c:v>3.1546868654134239E-4</c:v>
                </c:pt>
                <c:pt idx="801">
                  <c:v>4.1481068492130749E-4</c:v>
                </c:pt>
                <c:pt idx="802">
                  <c:v>3.8629846162115854E-4</c:v>
                </c:pt>
                <c:pt idx="803">
                  <c:v>4.0137211183795973E-4</c:v>
                </c:pt>
                <c:pt idx="804">
                  <c:v>3.8973769746920633E-4</c:v>
                </c:pt>
                <c:pt idx="805">
                  <c:v>4.4794505928033573E-4</c:v>
                </c:pt>
                <c:pt idx="806">
                  <c:v>3.4295398077825831E-4</c:v>
                </c:pt>
                <c:pt idx="807">
                  <c:v>3.3213635901129218E-4</c:v>
                </c:pt>
                <c:pt idx="808">
                  <c:v>4.2683421560760101E-4</c:v>
                </c:pt>
                <c:pt idx="809">
                  <c:v>3.4506393680858654E-4</c:v>
                </c:pt>
                <c:pt idx="810">
                  <c:v>3.4487746714657354E-4</c:v>
                </c:pt>
                <c:pt idx="811">
                  <c:v>3.1506740950945796E-4</c:v>
                </c:pt>
                <c:pt idx="812">
                  <c:v>3.1771572770291175E-4</c:v>
                </c:pt>
                <c:pt idx="813">
                  <c:v>4.3796400390517251E-4</c:v>
                </c:pt>
                <c:pt idx="814">
                  <c:v>3.243380945168269E-4</c:v>
                </c:pt>
                <c:pt idx="815">
                  <c:v>3.2699067980510596E-4</c:v>
                </c:pt>
                <c:pt idx="816">
                  <c:v>3.7445033302146102E-4</c:v>
                </c:pt>
                <c:pt idx="817">
                  <c:v>3.3886836368068147E-4</c:v>
                </c:pt>
                <c:pt idx="818">
                  <c:v>3.5688746815968258E-4</c:v>
                </c:pt>
                <c:pt idx="819">
                  <c:v>3.5608158708098101E-4</c:v>
                </c:pt>
                <c:pt idx="820">
                  <c:v>5.8141075688872431E-4</c:v>
                </c:pt>
                <c:pt idx="821">
                  <c:v>3.1598183531541526E-4</c:v>
                </c:pt>
                <c:pt idx="822">
                  <c:v>5.0466866628193924E-4</c:v>
                </c:pt>
                <c:pt idx="823">
                  <c:v>3.4334085913974473E-4</c:v>
                </c:pt>
                <c:pt idx="824">
                  <c:v>3.3391787320153959E-4</c:v>
                </c:pt>
                <c:pt idx="825">
                  <c:v>6.472325811917709E-4</c:v>
                </c:pt>
                <c:pt idx="826">
                  <c:v>3.3675676616076933E-4</c:v>
                </c:pt>
                <c:pt idx="827">
                  <c:v>3.2929097852800752E-4</c:v>
                </c:pt>
                <c:pt idx="828">
                  <c:v>3.2629294268941996E-4</c:v>
                </c:pt>
                <c:pt idx="829">
                  <c:v>3.6888000987368556E-4</c:v>
                </c:pt>
                <c:pt idx="830">
                  <c:v>7.6726303775336686E-4</c:v>
                </c:pt>
                <c:pt idx="831">
                  <c:v>3.5588579007252147E-4</c:v>
                </c:pt>
                <c:pt idx="832">
                  <c:v>3.4514897887930155E-4</c:v>
                </c:pt>
                <c:pt idx="833">
                  <c:v>9.5549391269146556E-4</c:v>
                </c:pt>
                <c:pt idx="834">
                  <c:v>3.7329049818462032E-4</c:v>
                </c:pt>
                <c:pt idx="835">
                  <c:v>6.1996500444762444E-4</c:v>
                </c:pt>
                <c:pt idx="836">
                  <c:v>5.544159249373904E-4</c:v>
                </c:pt>
                <c:pt idx="837">
                  <c:v>4.0426354629557001E-4</c:v>
                </c:pt>
                <c:pt idx="838">
                  <c:v>3.1506756707798546E-4</c:v>
                </c:pt>
                <c:pt idx="839">
                  <c:v>3.4163551470400415E-4</c:v>
                </c:pt>
                <c:pt idx="840">
                  <c:v>4.2305677475536961E-4</c:v>
                </c:pt>
                <c:pt idx="841">
                  <c:v>3.7236676352500701E-4</c:v>
                </c:pt>
                <c:pt idx="842">
                  <c:v>3.6108342918622632E-4</c:v>
                </c:pt>
                <c:pt idx="843">
                  <c:v>9.1786534622301024E-4</c:v>
                </c:pt>
                <c:pt idx="844">
                  <c:v>3.6335425363930599E-4</c:v>
                </c:pt>
                <c:pt idx="845">
                  <c:v>3.6760640753431568E-4</c:v>
                </c:pt>
                <c:pt idx="846">
                  <c:v>3.1707608156092681E-4</c:v>
                </c:pt>
                <c:pt idx="847">
                  <c:v>4.2410463535385152E-4</c:v>
                </c:pt>
                <c:pt idx="848">
                  <c:v>5.1002441015889034E-4</c:v>
                </c:pt>
                <c:pt idx="849">
                  <c:v>3.5484663548460442E-4</c:v>
                </c:pt>
                <c:pt idx="850">
                  <c:v>3.9320933466695251E-4</c:v>
                </c:pt>
                <c:pt idx="851">
                  <c:v>3.5376114690732806E-4</c:v>
                </c:pt>
                <c:pt idx="852">
                  <c:v>3.7729364838858117E-4</c:v>
                </c:pt>
                <c:pt idx="853">
                  <c:v>4.319859910974956E-4</c:v>
                </c:pt>
                <c:pt idx="854">
                  <c:v>8.7887734345091378E-4</c:v>
                </c:pt>
                <c:pt idx="855">
                  <c:v>3.3772715338758932E-4</c:v>
                </c:pt>
                <c:pt idx="856">
                  <c:v>3.8631262799581283E-4</c:v>
                </c:pt>
                <c:pt idx="857">
                  <c:v>3.4886005699185426E-4</c:v>
                </c:pt>
                <c:pt idx="858">
                  <c:v>3.2021060279496046E-4</c:v>
                </c:pt>
                <c:pt idx="859">
                  <c:v>3.7079776631752568E-4</c:v>
                </c:pt>
                <c:pt idx="860">
                  <c:v>3.4276095358670114E-4</c:v>
                </c:pt>
                <c:pt idx="861">
                  <c:v>3.8156744857284453E-4</c:v>
                </c:pt>
                <c:pt idx="862">
                  <c:v>9.8432955617551443E-4</c:v>
                </c:pt>
                <c:pt idx="863">
                  <c:v>6.4765815217445193E-4</c:v>
                </c:pt>
                <c:pt idx="864">
                  <c:v>5.5475619372005605E-4</c:v>
                </c:pt>
                <c:pt idx="865">
                  <c:v>5.5648583058374047E-4</c:v>
                </c:pt>
                <c:pt idx="866">
                  <c:v>3.2767641464303236E-4</c:v>
                </c:pt>
                <c:pt idx="867">
                  <c:v>4.2887697199733567E-4</c:v>
                </c:pt>
                <c:pt idx="868">
                  <c:v>5.6958259971311674E-4</c:v>
                </c:pt>
                <c:pt idx="869">
                  <c:v>1.2320525499942689E-3</c:v>
                </c:pt>
                <c:pt idx="870">
                  <c:v>3.3295827485302647E-4</c:v>
                </c:pt>
                <c:pt idx="871">
                  <c:v>3.2226571880435411E-4</c:v>
                </c:pt>
                <c:pt idx="872">
                  <c:v>3.5307832046886726E-4</c:v>
                </c:pt>
                <c:pt idx="873">
                  <c:v>3.249472453134214E-4</c:v>
                </c:pt>
                <c:pt idx="874">
                  <c:v>3.1537181829046425E-4</c:v>
                </c:pt>
                <c:pt idx="875">
                  <c:v>3.5198011379046251E-4</c:v>
                </c:pt>
                <c:pt idx="876">
                  <c:v>8.7220821044644106E-4</c:v>
                </c:pt>
                <c:pt idx="877">
                  <c:v>3.3937738262726844E-4</c:v>
                </c:pt>
                <c:pt idx="878">
                  <c:v>3.9841445277453454E-4</c:v>
                </c:pt>
                <c:pt idx="879">
                  <c:v>4.2120994733546341E-4</c:v>
                </c:pt>
                <c:pt idx="880">
                  <c:v>3.3380255010521221E-4</c:v>
                </c:pt>
                <c:pt idx="881">
                  <c:v>3.7586848064512132E-4</c:v>
                </c:pt>
                <c:pt idx="882">
                  <c:v>3.8056222576638533E-4</c:v>
                </c:pt>
                <c:pt idx="883">
                  <c:v>4.7356752399306122E-4</c:v>
                </c:pt>
                <c:pt idx="884">
                  <c:v>3.2051581064394542E-4</c:v>
                </c:pt>
                <c:pt idx="885">
                  <c:v>5.4475631277989939E-4</c:v>
                </c:pt>
                <c:pt idx="886">
                  <c:v>3.7597388032412386E-4</c:v>
                </c:pt>
                <c:pt idx="887">
                  <c:v>3.4111784842592738E-4</c:v>
                </c:pt>
                <c:pt idx="888">
                  <c:v>3.4847359763385844E-4</c:v>
                </c:pt>
                <c:pt idx="889">
                  <c:v>3.2995366547056056E-4</c:v>
                </c:pt>
                <c:pt idx="890">
                  <c:v>6.0580835830028636E-4</c:v>
                </c:pt>
                <c:pt idx="891">
                  <c:v>4.0009618615355938E-4</c:v>
                </c:pt>
                <c:pt idx="892">
                  <c:v>5.0578485108674718E-3</c:v>
                </c:pt>
                <c:pt idx="893">
                  <c:v>3.2606569161424927E-4</c:v>
                </c:pt>
                <c:pt idx="894">
                  <c:v>3.1818559683198251E-4</c:v>
                </c:pt>
                <c:pt idx="895">
                  <c:v>4.1083635505990182E-4</c:v>
                </c:pt>
                <c:pt idx="896">
                  <c:v>4.5529812598327479E-4</c:v>
                </c:pt>
                <c:pt idx="897">
                  <c:v>3.1670764478757533E-4</c:v>
                </c:pt>
                <c:pt idx="898">
                  <c:v>4.9067368010651392E-4</c:v>
                </c:pt>
                <c:pt idx="899">
                  <c:v>3.7217117580767801E-4</c:v>
                </c:pt>
                <c:pt idx="900">
                  <c:v>3.8695847001631278E-4</c:v>
                </c:pt>
                <c:pt idx="901">
                  <c:v>4.0016123301388033E-4</c:v>
                </c:pt>
                <c:pt idx="902">
                  <c:v>3.1553880907319855E-4</c:v>
                </c:pt>
                <c:pt idx="903">
                  <c:v>3.4460773371097357E-4</c:v>
                </c:pt>
                <c:pt idx="904">
                  <c:v>3.516844058066615E-4</c:v>
                </c:pt>
                <c:pt idx="905">
                  <c:v>5.7926982177254486E-4</c:v>
                </c:pt>
                <c:pt idx="906">
                  <c:v>3.1932618844918365E-4</c:v>
                </c:pt>
                <c:pt idx="907">
                  <c:v>1.5640828076091838E-3</c:v>
                </c:pt>
                <c:pt idx="908">
                  <c:v>3.2545992868956747E-4</c:v>
                </c:pt>
                <c:pt idx="909">
                  <c:v>3.3075756797216875E-4</c:v>
                </c:pt>
                <c:pt idx="910">
                  <c:v>4.4187685918395506E-4</c:v>
                </c:pt>
                <c:pt idx="911">
                  <c:v>3.1720775528710658E-4</c:v>
                </c:pt>
                <c:pt idx="912">
                  <c:v>3.6168010363667402E-4</c:v>
                </c:pt>
                <c:pt idx="913">
                  <c:v>3.3037827446100908E-4</c:v>
                </c:pt>
                <c:pt idx="914">
                  <c:v>3.7716834525480905E-4</c:v>
                </c:pt>
                <c:pt idx="915">
                  <c:v>4.5067204058532774E-4</c:v>
                </c:pt>
                <c:pt idx="916">
                  <c:v>3.4182355041349484E-4</c:v>
                </c:pt>
                <c:pt idx="917">
                  <c:v>3.482049251802742E-4</c:v>
                </c:pt>
                <c:pt idx="918">
                  <c:v>3.626495775047042E-4</c:v>
                </c:pt>
                <c:pt idx="919">
                  <c:v>3.3691977436172468E-4</c:v>
                </c:pt>
                <c:pt idx="920">
                  <c:v>3.2725893302191952E-4</c:v>
                </c:pt>
                <c:pt idx="921">
                  <c:v>8.9882509783517249E-4</c:v>
                </c:pt>
                <c:pt idx="922">
                  <c:v>5.3450354341070877E-4</c:v>
                </c:pt>
                <c:pt idx="923">
                  <c:v>6.818903214576089E-4</c:v>
                </c:pt>
                <c:pt idx="924">
                  <c:v>1.0658076662058659E-3</c:v>
                </c:pt>
                <c:pt idx="925">
                  <c:v>3.4895173462041166E-4</c:v>
                </c:pt>
                <c:pt idx="926">
                  <c:v>3.1652702498112181E-4</c:v>
                </c:pt>
                <c:pt idx="927">
                  <c:v>4.5525070091586287E-4</c:v>
                </c:pt>
                <c:pt idx="928">
                  <c:v>3.9222131330898937E-4</c:v>
                </c:pt>
                <c:pt idx="929">
                  <c:v>3.1974873632088378E-4</c:v>
                </c:pt>
                <c:pt idx="930">
                  <c:v>3.5914692470349815E-4</c:v>
                </c:pt>
                <c:pt idx="931">
                  <c:v>4.5068583476294089E-4</c:v>
                </c:pt>
                <c:pt idx="932">
                  <c:v>3.2196204436832847E-4</c:v>
                </c:pt>
                <c:pt idx="933">
                  <c:v>8.6823457435144559E-4</c:v>
                </c:pt>
                <c:pt idx="934">
                  <c:v>5.8146200885009745E-4</c:v>
                </c:pt>
                <c:pt idx="935">
                  <c:v>3.1621016683903183E-4</c:v>
                </c:pt>
                <c:pt idx="936">
                  <c:v>3.2288409468891167E-4</c:v>
                </c:pt>
                <c:pt idx="937">
                  <c:v>3.2351253556581503E-4</c:v>
                </c:pt>
                <c:pt idx="938">
                  <c:v>3.1482028640210884E-4</c:v>
                </c:pt>
                <c:pt idx="939">
                  <c:v>4.4540096517255086E-4</c:v>
                </c:pt>
                <c:pt idx="940">
                  <c:v>3.3562885240232383E-4</c:v>
                </c:pt>
                <c:pt idx="941">
                  <c:v>3.3926628092987058E-4</c:v>
                </c:pt>
                <c:pt idx="942">
                  <c:v>3.1592498844811544E-4</c:v>
                </c:pt>
                <c:pt idx="943">
                  <c:v>3.7132665204425399E-4</c:v>
                </c:pt>
                <c:pt idx="944">
                  <c:v>9.9093652135583696E-4</c:v>
                </c:pt>
                <c:pt idx="945">
                  <c:v>3.2039125527708886E-4</c:v>
                </c:pt>
                <c:pt idx="946">
                  <c:v>5.2566208590389151E-4</c:v>
                </c:pt>
                <c:pt idx="947">
                  <c:v>4.3853627120972894E-4</c:v>
                </c:pt>
                <c:pt idx="948">
                  <c:v>3.4122874625430526E-4</c:v>
                </c:pt>
                <c:pt idx="949">
                  <c:v>3.8613716094492269E-4</c:v>
                </c:pt>
                <c:pt idx="950">
                  <c:v>3.5133568627615335E-4</c:v>
                </c:pt>
                <c:pt idx="951">
                  <c:v>3.1834205552773833E-4</c:v>
                </c:pt>
                <c:pt idx="952">
                  <c:v>3.4882015134277459E-4</c:v>
                </c:pt>
                <c:pt idx="953">
                  <c:v>3.1641181742167419E-4</c:v>
                </c:pt>
                <c:pt idx="954">
                  <c:v>3.2735829436271311E-4</c:v>
                </c:pt>
                <c:pt idx="955">
                  <c:v>3.7512823998073289E-4</c:v>
                </c:pt>
                <c:pt idx="956">
                  <c:v>3.2796672858797262E-4</c:v>
                </c:pt>
                <c:pt idx="957">
                  <c:v>3.4525785417186179E-4</c:v>
                </c:pt>
                <c:pt idx="958">
                  <c:v>3.659898905761071E-4</c:v>
                </c:pt>
                <c:pt idx="959">
                  <c:v>1.1627894906718877E-3</c:v>
                </c:pt>
                <c:pt idx="960">
                  <c:v>1.3202303642280914E-3</c:v>
                </c:pt>
                <c:pt idx="961">
                  <c:v>3.8680028908891277E-4</c:v>
                </c:pt>
                <c:pt idx="962">
                  <c:v>3.7244077953569623E-4</c:v>
                </c:pt>
                <c:pt idx="963">
                  <c:v>3.8610814975181687E-4</c:v>
                </c:pt>
                <c:pt idx="964">
                  <c:v>3.387486159059573E-4</c:v>
                </c:pt>
                <c:pt idx="965">
                  <c:v>5.0195920128074084E-4</c:v>
                </c:pt>
                <c:pt idx="966">
                  <c:v>3.6826584218010853E-4</c:v>
                </c:pt>
                <c:pt idx="967">
                  <c:v>5.3604142896256795E-4</c:v>
                </c:pt>
                <c:pt idx="968">
                  <c:v>3.1593031944611319E-4</c:v>
                </c:pt>
                <c:pt idx="969">
                  <c:v>4.2317990294520757E-4</c:v>
                </c:pt>
                <c:pt idx="970">
                  <c:v>9.6593197937689692E-4</c:v>
                </c:pt>
                <c:pt idx="971">
                  <c:v>3.2467252842056774E-4</c:v>
                </c:pt>
                <c:pt idx="972">
                  <c:v>3.3149838950843988E-4</c:v>
                </c:pt>
                <c:pt idx="973">
                  <c:v>4.3664225016716069E-4</c:v>
                </c:pt>
                <c:pt idx="974">
                  <c:v>3.2560926698993437E-4</c:v>
                </c:pt>
                <c:pt idx="975">
                  <c:v>3.208256683429307E-4</c:v>
                </c:pt>
                <c:pt idx="976">
                  <c:v>3.1536439397415674E-4</c:v>
                </c:pt>
                <c:pt idx="977">
                  <c:v>4.252249928855936E-4</c:v>
                </c:pt>
                <c:pt idx="978">
                  <c:v>3.624137730002818E-4</c:v>
                </c:pt>
                <c:pt idx="979">
                  <c:v>3.1860939251174698E-4</c:v>
                </c:pt>
                <c:pt idx="980">
                  <c:v>3.1811487464140112E-4</c:v>
                </c:pt>
                <c:pt idx="981">
                  <c:v>3.5582546752006231E-4</c:v>
                </c:pt>
                <c:pt idx="982">
                  <c:v>3.2006124514837053E-4</c:v>
                </c:pt>
                <c:pt idx="983">
                  <c:v>3.4541996685963816E-4</c:v>
                </c:pt>
                <c:pt idx="984">
                  <c:v>3.7098809517821703E-4</c:v>
                </c:pt>
                <c:pt idx="985">
                  <c:v>3.2376309075409101E-4</c:v>
                </c:pt>
                <c:pt idx="986">
                  <c:v>3.3016371178393151E-4</c:v>
                </c:pt>
                <c:pt idx="987">
                  <c:v>3.1948640960464904E-4</c:v>
                </c:pt>
                <c:pt idx="988">
                  <c:v>5.4076762209690279E-4</c:v>
                </c:pt>
                <c:pt idx="989">
                  <c:v>3.2670395844792771E-4</c:v>
                </c:pt>
                <c:pt idx="990">
                  <c:v>3.3527346942618084E-4</c:v>
                </c:pt>
                <c:pt idx="991">
                  <c:v>3.1855236617064702E-4</c:v>
                </c:pt>
                <c:pt idx="992">
                  <c:v>3.2291350270625296E-4</c:v>
                </c:pt>
                <c:pt idx="993">
                  <c:v>3.2646237944211588E-4</c:v>
                </c:pt>
                <c:pt idx="994">
                  <c:v>3.2654332268648045E-4</c:v>
                </c:pt>
                <c:pt idx="995">
                  <c:v>3.6039890814971119E-4</c:v>
                </c:pt>
                <c:pt idx="996">
                  <c:v>3.2931408609184029E-4</c:v>
                </c:pt>
                <c:pt idx="997">
                  <c:v>3.4642469963986001E-4</c:v>
                </c:pt>
                <c:pt idx="998">
                  <c:v>5.2300658736225336E-4</c:v>
                </c:pt>
                <c:pt idx="999">
                  <c:v>4.055523883390965E-4</c:v>
                </c:pt>
                <c:pt idx="1000">
                  <c:v>3.6148596059088628E-4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4-4685-A3CA-F747514A5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73312"/>
        <c:axId val="198514176"/>
      </c:scatterChart>
      <c:valAx>
        <c:axId val="197373312"/>
        <c:scaling>
          <c:orientation val="minMax"/>
          <c:max val="6.0000000000000026E-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Ecart-type des taux de rentabilité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14176"/>
        <c:crossesAt val="-1.0000000000000002E-3"/>
        <c:crossBetween val="midCat"/>
      </c:valAx>
      <c:valAx>
        <c:axId val="198514176"/>
        <c:scaling>
          <c:orientation val="minMax"/>
          <c:max val="8.0000000000000071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Eespérance de rentabilité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73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REPUBLIC OF TURKEY 5.20% 16/02/2026 EUR</a:t>
            </a:r>
            <a:br>
              <a:rPr lang="en-US"/>
            </a:br>
            <a:r>
              <a:rPr lang="en-US"/>
              <a:t>AS OF 2018 FORWARD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BondAnalysis!$D$21:$D$29</c:f>
              <c:numCache>
                <c:formatCode>m/d/yyyy</c:formatCode>
                <c:ptCount val="9"/>
                <c:pt idx="0">
                  <c:v>43147</c:v>
                </c:pt>
                <c:pt idx="1">
                  <c:v>43512</c:v>
                </c:pt>
                <c:pt idx="2">
                  <c:v>43877</c:v>
                </c:pt>
                <c:pt idx="3">
                  <c:v>44243</c:v>
                </c:pt>
                <c:pt idx="4">
                  <c:v>44608</c:v>
                </c:pt>
                <c:pt idx="5">
                  <c:v>44973</c:v>
                </c:pt>
                <c:pt idx="6">
                  <c:v>45338</c:v>
                </c:pt>
                <c:pt idx="7">
                  <c:v>45704</c:v>
                </c:pt>
                <c:pt idx="8">
                  <c:v>46069</c:v>
                </c:pt>
              </c:numCache>
            </c:numRef>
          </c:cat>
          <c:val>
            <c:numRef>
              <c:f>BondAnalysis!$E$21:$E$29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B377-42DB-8759-FA0183273E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8121439"/>
        <c:axId val="156428863"/>
      </c:barChart>
      <c:dateAx>
        <c:axId val="14812143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28863"/>
        <c:crosses val="autoZero"/>
        <c:auto val="1"/>
        <c:lblOffset val="100"/>
        <c:baseTimeUnit val="years"/>
      </c:dateAx>
      <c:valAx>
        <c:axId val="156428863"/>
        <c:scaling>
          <c:orientation val="minMax"/>
          <c:max val="115.2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21439"/>
        <c:crosses val="autoZero"/>
        <c:crossBetween val="between"/>
        <c:majorUnit val="50"/>
        <c:min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REPUBLIC OF TURKEY 5.20% 16/02/2026 EUR</a:t>
            </a:r>
            <a:br>
              <a:rPr lang="en-US"/>
            </a:br>
            <a:r>
              <a:rPr lang="en-US"/>
              <a:t>Sensitivity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BondAnalysis!$J$21:$J$53</c:f>
              <c:numCache>
                <c:formatCode>0.00%</c:formatCode>
                <c:ptCount val="33"/>
              </c:numCache>
            </c:numRef>
          </c:xVal>
          <c:yVal>
            <c:numRef>
              <c:f>BondAnalysis!$K$21:$K$53</c:f>
              <c:numCache>
                <c:formatCode>#,##0.00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82-4013-930B-76FDA26CD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68511"/>
        <c:axId val="275606479"/>
      </c:scatterChart>
      <c:valAx>
        <c:axId val="273668511"/>
        <c:scaling>
          <c:orientation val="minMax"/>
          <c:max val="0.30000000000000004"/>
          <c:min val="-0.02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06479"/>
        <c:crosses val="autoZero"/>
        <c:crossBetween val="midCat"/>
      </c:valAx>
      <c:valAx>
        <c:axId val="275606479"/>
        <c:scaling>
          <c:orientation val="minMax"/>
          <c:max val="160.50725117526085"/>
          <c:min val="33.955388165575656"/>
        </c:scaling>
        <c:delete val="0"/>
        <c:axPos val="l"/>
        <c:numFmt formatCode="#,##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668511"/>
        <c:crosses val="autoZero"/>
        <c:crossBetween val="midCat"/>
        <c:majorUnit val="20"/>
        <c:min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REPUBLIC OF TURKEY 5.20% 16/02/2026 EUR</a:t>
            </a:r>
            <a:br>
              <a:rPr lang="en-US"/>
            </a:br>
            <a:r>
              <a:rPr lang="en-US"/>
              <a:t>Discount and Premium Trajectories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BondAnalysis!$P$21:$P$33</c:f>
              <c:numCache>
                <c:formatCode>m/d/yyyy</c:formatCode>
                <c:ptCount val="13"/>
                <c:pt idx="0">
                  <c:v>43147</c:v>
                </c:pt>
                <c:pt idx="1">
                  <c:v>43512</c:v>
                </c:pt>
                <c:pt idx="2">
                  <c:v>43877</c:v>
                </c:pt>
                <c:pt idx="3">
                  <c:v>44243</c:v>
                </c:pt>
                <c:pt idx="4">
                  <c:v>44608</c:v>
                </c:pt>
                <c:pt idx="5">
                  <c:v>44973</c:v>
                </c:pt>
                <c:pt idx="6">
                  <c:v>45338</c:v>
                </c:pt>
                <c:pt idx="7">
                  <c:v>45704</c:v>
                </c:pt>
                <c:pt idx="8">
                  <c:v>46069</c:v>
                </c:pt>
                <c:pt idx="9">
                  <c:v>46706</c:v>
                </c:pt>
                <c:pt idx="10">
                  <c:v>47072</c:v>
                </c:pt>
                <c:pt idx="11">
                  <c:v>47437</c:v>
                </c:pt>
                <c:pt idx="12">
                  <c:v>47802</c:v>
                </c:pt>
              </c:numCache>
            </c:numRef>
          </c:cat>
          <c:val>
            <c:numRef>
              <c:f>BondAnalysis!$Q$21:$Q$33</c:f>
              <c:numCache>
                <c:formatCode>#,##0.00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9B-4683-9FD8-BBFE7A297E6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BondAnalysis!$P$21:$P$33</c:f>
              <c:numCache>
                <c:formatCode>m/d/yyyy</c:formatCode>
                <c:ptCount val="13"/>
                <c:pt idx="0">
                  <c:v>43147</c:v>
                </c:pt>
                <c:pt idx="1">
                  <c:v>43512</c:v>
                </c:pt>
                <c:pt idx="2">
                  <c:v>43877</c:v>
                </c:pt>
                <c:pt idx="3">
                  <c:v>44243</c:v>
                </c:pt>
                <c:pt idx="4">
                  <c:v>44608</c:v>
                </c:pt>
                <c:pt idx="5">
                  <c:v>44973</c:v>
                </c:pt>
                <c:pt idx="6">
                  <c:v>45338</c:v>
                </c:pt>
                <c:pt idx="7">
                  <c:v>45704</c:v>
                </c:pt>
                <c:pt idx="8">
                  <c:v>46069</c:v>
                </c:pt>
                <c:pt idx="9">
                  <c:v>46706</c:v>
                </c:pt>
                <c:pt idx="10">
                  <c:v>47072</c:v>
                </c:pt>
                <c:pt idx="11">
                  <c:v>47437</c:v>
                </c:pt>
                <c:pt idx="12">
                  <c:v>47802</c:v>
                </c:pt>
              </c:numCache>
            </c:numRef>
          </c:cat>
          <c:val>
            <c:numRef>
              <c:f>BondAnalysis!$R$21:$R$33</c:f>
              <c:numCache>
                <c:formatCode>#,##0.00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9B-4683-9FD8-BBFE7A297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6456607"/>
        <c:axId val="16072335"/>
      </c:lineChart>
      <c:dateAx>
        <c:axId val="209645660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2335"/>
        <c:crosses val="autoZero"/>
        <c:auto val="1"/>
        <c:lblOffset val="100"/>
        <c:baseTimeUnit val="years"/>
      </c:dateAx>
      <c:valAx>
        <c:axId val="16072335"/>
        <c:scaling>
          <c:orientation val="minMax"/>
          <c:max val="203.8650761027927"/>
          <c:min val="80.081898525959204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456607"/>
        <c:crosses val="autoZero"/>
        <c:crossBetween val="between"/>
        <c:majorUnit val="20"/>
        <c:min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FLOW COMPARISON </a:t>
            </a:r>
            <a:br>
              <a:rPr lang="en-US"/>
            </a:br>
            <a:r>
              <a:rPr lang="en-US"/>
              <a:t>AS OF 2018 FORWARD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BondComparison!$B$2</c:f>
              <c:strCache>
                <c:ptCount val="1"/>
                <c:pt idx="0">
                  <c:v>AVIVA PLC 1.88% 13/11/2027 EUR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BondComparison!$U$21:$U$30</c:f>
              <c:numCache>
                <c:formatCode>General</c:formatCode>
                <c:ptCount val="10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</c:numCache>
            </c:numRef>
          </c:cat>
          <c:val>
            <c:numRef>
              <c:f>BondComparison!$R$21:$R$30</c:f>
              <c:numCache>
                <c:formatCode>#,##0.00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3FB5-4377-B1B3-3C049F329734}"/>
            </c:ext>
          </c:extLst>
        </c:ser>
        <c:ser>
          <c:idx val="1"/>
          <c:order val="1"/>
          <c:tx>
            <c:strRef>
              <c:f>BondComparison!$C$2</c:f>
              <c:strCache>
                <c:ptCount val="1"/>
                <c:pt idx="0">
                  <c:v>BMW FINANCE NV 1.00% 14/11/2024 EUR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BondComparison!$U$21:$U$31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</c:numCache>
            </c:numRef>
          </c:cat>
          <c:val>
            <c:numRef>
              <c:f>BondComparison!$T$21:$T$27</c:f>
              <c:numCache>
                <c:formatCode>#,##0.00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3FB5-4377-B1B3-3C049F32973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8121439"/>
        <c:axId val="156428863"/>
      </c:barChart>
      <c:catAx>
        <c:axId val="148121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28863"/>
        <c:crosses val="autoZero"/>
        <c:auto val="1"/>
        <c:lblAlgn val="ctr"/>
        <c:lblOffset val="100"/>
        <c:noMultiLvlLbl val="0"/>
      </c:catAx>
      <c:valAx>
        <c:axId val="156428863"/>
        <c:scaling>
          <c:orientation val="minMax"/>
          <c:max val="111.875"/>
          <c:min val="0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21439"/>
        <c:crosses val="autoZero"/>
        <c:crossBetween val="between"/>
        <c:majorUnit val="50"/>
        <c:min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ANALYSIS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BondComparison!$B$2</c:f>
              <c:strCache>
                <c:ptCount val="1"/>
                <c:pt idx="0">
                  <c:v>AVIVA PLC 1.88% 13/11/2027 EUR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BondComparison!$Y$21:$Y$53</c:f>
              <c:numCache>
                <c:formatCode>0.00%</c:formatCode>
                <c:ptCount val="33"/>
              </c:numCache>
            </c:numRef>
          </c:xVal>
          <c:yVal>
            <c:numRef>
              <c:f>BondComparison!$Z$21:$Z$53</c:f>
              <c:numCache>
                <c:formatCode>#,##0.00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3C-4E8E-BC92-C7091F43B66A}"/>
            </c:ext>
          </c:extLst>
        </c:ser>
        <c:ser>
          <c:idx val="1"/>
          <c:order val="1"/>
          <c:tx>
            <c:strRef>
              <c:f>BondComparison!$C$2</c:f>
              <c:strCache>
                <c:ptCount val="1"/>
                <c:pt idx="0">
                  <c:v>BMW FINANCE NV 1.00% 14/11/2024 EUR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BondComparison!$Y$21:$Y$53</c:f>
              <c:numCache>
                <c:formatCode>0.00%</c:formatCode>
                <c:ptCount val="33"/>
              </c:numCache>
            </c:numRef>
          </c:xVal>
          <c:yVal>
            <c:numRef>
              <c:f>BondComparison!$AA$21:$AA$53</c:f>
              <c:numCache>
                <c:formatCode>#,##0.00</c:formatCode>
                <c:ptCount val="3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3C-4E8E-BC92-C7091F43B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68511"/>
        <c:axId val="275606479"/>
      </c:scatterChart>
      <c:valAx>
        <c:axId val="273668511"/>
        <c:scaling>
          <c:orientation val="minMax"/>
          <c:max val="0.30000000000000004"/>
          <c:min val="-0.02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06479"/>
        <c:crosses val="autoZero"/>
        <c:crossBetween val="midCat"/>
      </c:valAx>
      <c:valAx>
        <c:axId val="275606479"/>
        <c:scaling>
          <c:orientation val="minMax"/>
          <c:max val="138.44272951400555"/>
          <c:min val="15.364218492347145"/>
        </c:scaling>
        <c:delete val="0"/>
        <c:axPos val="l"/>
        <c:numFmt formatCode="#,##0.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668511"/>
        <c:crosses val="autoZero"/>
        <c:crossBetween val="midCat"/>
        <c:majorUnit val="20"/>
        <c:min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and Premium Trajectories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AVIVA PLC 1.88% 13/11/2027 EUR at Discount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BondComparison!$AE$21:$AE$30</c:f>
              <c:numCache>
                <c:formatCode>General</c:formatCode>
                <c:ptCount val="10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</c:numCache>
            </c:numRef>
          </c:cat>
          <c:val>
            <c:numRef>
              <c:f>BondComparison!$AF$21:$AF$30</c:f>
              <c:numCache>
                <c:formatCode>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33-41D8-96A1-F4F5DA956F90}"/>
            </c:ext>
          </c:extLst>
        </c:ser>
        <c:ser>
          <c:idx val="1"/>
          <c:order val="1"/>
          <c:tx>
            <c:v>AVIVA PLC 1.88% 13/11/2027 EUR at Premium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BondComparison!$AE$21:$AE$31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</c:numCache>
            </c:numRef>
          </c:cat>
          <c:val>
            <c:numRef>
              <c:f>BondComparison!$AH$21:$AH$30</c:f>
              <c:numCache>
                <c:formatCode>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33-41D8-96A1-F4F5DA956F90}"/>
            </c:ext>
          </c:extLst>
        </c:ser>
        <c:ser>
          <c:idx val="2"/>
          <c:order val="2"/>
          <c:tx>
            <c:v>BMW FINANCE NV 1.00% 14/11/2024 EUR at Discount</c:v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BondComparison!$AE$21:$AE$31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</c:numCache>
            </c:numRef>
          </c:cat>
          <c:val>
            <c:numRef>
              <c:f>BondComparison!$AG$21:$AG$30</c:f>
              <c:numCache>
                <c:formatCode>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33-41D8-96A1-F4F5DA956F90}"/>
            </c:ext>
          </c:extLst>
        </c:ser>
        <c:ser>
          <c:idx val="3"/>
          <c:order val="3"/>
          <c:tx>
            <c:v>BMW FINANCE NV 1.00% 14/11/2024 EUR at Premium</c:v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BondComparison!$AE$21:$AE$31</c:f>
              <c:numCache>
                <c:formatCode>General</c:formatCode>
                <c:ptCount val="1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</c:numCache>
            </c:numRef>
          </c:cat>
          <c:val>
            <c:numRef>
              <c:f>BondComparison!$AI$21:$AI$30</c:f>
              <c:numCache>
                <c:formatCode>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33-41D8-96A1-F4F5DA956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6456607"/>
        <c:axId val="16072335"/>
      </c:lineChart>
      <c:catAx>
        <c:axId val="20964566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72335"/>
        <c:crosses val="autoZero"/>
        <c:auto val="1"/>
        <c:lblAlgn val="ctr"/>
        <c:lblOffset val="100"/>
        <c:noMultiLvlLbl val="0"/>
      </c:catAx>
      <c:valAx>
        <c:axId val="16072335"/>
        <c:scaling>
          <c:orientation val="minMax"/>
          <c:max val="182.09394046475478"/>
          <c:min val="81.136005101568216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456607"/>
        <c:crosses val="autoZero"/>
        <c:crossBetween val="between"/>
        <c:majorUnit val="20"/>
        <c:min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price Sensitivity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OptionAnalysis!$S$4</c:f>
              <c:strCache>
                <c:ptCount val="1"/>
                <c:pt idx="0">
                  <c:v>Total value for the line</c:v>
                </c:pt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OptionAnalysis!$F$5:$F$13</c:f>
              <c:numCache>
                <c:formatCode>General</c:formatCode>
                <c:ptCount val="9"/>
              </c:numCache>
            </c:numRef>
          </c:cat>
          <c:val>
            <c:numRef>
              <c:f>OptionAnalysis!$S$5:$S$13</c:f>
              <c:numCache>
                <c:formatCode>0.00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38-4F7D-B733-B9E60951D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878208"/>
        <c:axId val="248880128"/>
      </c:lineChart>
      <c:catAx>
        <c:axId val="248878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80128"/>
        <c:crosses val="autoZero"/>
        <c:auto val="1"/>
        <c:lblAlgn val="ctr"/>
        <c:lblOffset val="100"/>
        <c:noMultiLvlLbl val="0"/>
      </c:catAx>
      <c:valAx>
        <c:axId val="24888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Total holding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878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 sensitivity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OptionAnalysis!$M$4</c:f>
              <c:strCache>
                <c:ptCount val="1"/>
                <c:pt idx="0">
                  <c:v>Delta</c:v>
                </c:pt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OptionAnalysis!$F$5:$F$13</c:f>
              <c:numCache>
                <c:formatCode>General</c:formatCode>
                <c:ptCount val="9"/>
              </c:numCache>
            </c:numRef>
          </c:cat>
          <c:val>
            <c:numRef>
              <c:f>OptionAnalysis!$M$5:$M$13</c:f>
              <c:numCache>
                <c:formatCode>0.0000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BA-46E7-BE0B-9CF86F174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900992"/>
        <c:axId val="246998528"/>
      </c:lineChart>
      <c:catAx>
        <c:axId val="248900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98528"/>
        <c:crosses val="autoZero"/>
        <c:auto val="1"/>
        <c:lblAlgn val="ctr"/>
        <c:lblOffset val="100"/>
        <c:noMultiLvlLbl val="0"/>
      </c:catAx>
      <c:valAx>
        <c:axId val="24699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Delta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90099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 sensitivity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OptionAnalysis!$N$4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OptionAnalysis!$F$5:$F$13</c:f>
              <c:numCache>
                <c:formatCode>General</c:formatCode>
                <c:ptCount val="9"/>
              </c:numCache>
            </c:numRef>
          </c:cat>
          <c:val>
            <c:numRef>
              <c:f>OptionAnalysis!$N$5:$N$13</c:f>
              <c:numCache>
                <c:formatCode>0.0000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3-4C34-98E0-A3AB1C557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957952"/>
        <c:axId val="246968320"/>
      </c:lineChart>
      <c:catAx>
        <c:axId val="246957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68320"/>
        <c:crosses val="autoZero"/>
        <c:auto val="1"/>
        <c:lblAlgn val="ctr"/>
        <c:lblOffset val="100"/>
        <c:noMultiLvlLbl val="0"/>
      </c:catAx>
      <c:valAx>
        <c:axId val="24696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Gamma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57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 sensitivity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OptionAnalysis!$O$4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OptionAnalysis!$F$5:$F$13</c:f>
              <c:numCache>
                <c:formatCode>General</c:formatCode>
                <c:ptCount val="9"/>
              </c:numCache>
            </c:numRef>
          </c:cat>
          <c:val>
            <c:numRef>
              <c:f>OptionAnalysis!$O$5:$O$13</c:f>
              <c:numCache>
                <c:formatCode>0.0000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E-4511-ADFF-A6D48CD00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913920"/>
        <c:axId val="248915840"/>
      </c:lineChart>
      <c:catAx>
        <c:axId val="24891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915840"/>
        <c:crosses val="autoZero"/>
        <c:auto val="1"/>
        <c:lblAlgn val="ctr"/>
        <c:lblOffset val="100"/>
        <c:noMultiLvlLbl val="0"/>
      </c:catAx>
      <c:valAx>
        <c:axId val="24891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Gamma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91392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 sensitivity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OptionAnalysis!$P$4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OptionAnalysis!$F$5:$F$13</c:f>
              <c:numCache>
                <c:formatCode>General</c:formatCode>
                <c:ptCount val="9"/>
              </c:numCache>
            </c:numRef>
          </c:cat>
          <c:val>
            <c:numRef>
              <c:f>OptionAnalysis!$P$5:$P$13</c:f>
              <c:numCache>
                <c:formatCode>0.0000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B-45DB-9A83-A54654CDC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6966528"/>
        <c:axId val="248963456"/>
      </c:lineChart>
      <c:catAx>
        <c:axId val="24696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963456"/>
        <c:crosses val="autoZero"/>
        <c:auto val="1"/>
        <c:lblAlgn val="ctr"/>
        <c:lblOffset val="100"/>
        <c:noMultiLvlLbl val="0"/>
      </c:catAx>
      <c:valAx>
        <c:axId val="24896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Rho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6652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 sensitivity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OptionAnalysis!$Q$4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OptionAnalysis!$F$5:$F$13</c:f>
              <c:numCache>
                <c:formatCode>General</c:formatCode>
                <c:ptCount val="9"/>
              </c:numCache>
            </c:numRef>
          </c:cat>
          <c:val>
            <c:numRef>
              <c:f>OptionAnalysis!$Q$5:$Q$13</c:f>
              <c:numCache>
                <c:formatCode>0.0000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F-4C6C-A02C-6C3279F05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727040"/>
        <c:axId val="332728960"/>
      </c:lineChart>
      <c:catAx>
        <c:axId val="332727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728960"/>
        <c:crosses val="autoZero"/>
        <c:auto val="1"/>
        <c:lblAlgn val="ctr"/>
        <c:lblOffset val="100"/>
        <c:noMultiLvlLbl val="0"/>
      </c:catAx>
      <c:valAx>
        <c:axId val="33272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Vega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7270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9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0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hyperlink" Target="#BondPortfolio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OptionPortfolio!A1"/><Relationship Id="rId5" Type="http://schemas.openxmlformats.org/officeDocument/2006/relationships/hyperlink" Target="#'EQUITY Portfolio'!A1"/><Relationship Id="rId4" Type="http://schemas.openxmlformats.org/officeDocument/2006/relationships/hyperlink" Target="#'MASTER SHEET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BondPortfolio!A1"/><Relationship Id="rId2" Type="http://schemas.openxmlformats.org/officeDocument/2006/relationships/hyperlink" Target="#OptionPortfolio!A1"/><Relationship Id="rId1" Type="http://schemas.openxmlformats.org/officeDocument/2006/relationships/hyperlink" Target="#'EQUITY Portfolio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WELCOME!A1"/><Relationship Id="rId2" Type="http://schemas.openxmlformats.org/officeDocument/2006/relationships/hyperlink" Target="#'PF Efficients'!A1"/><Relationship Id="rId1" Type="http://schemas.openxmlformats.org/officeDocument/2006/relationships/hyperlink" Target="#EquityAnalysi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WELCOME!A1"/><Relationship Id="rId2" Type="http://schemas.openxmlformats.org/officeDocument/2006/relationships/hyperlink" Target="#BondComparison!A1"/><Relationship Id="rId1" Type="http://schemas.openxmlformats.org/officeDocument/2006/relationships/hyperlink" Target="#BondAnalysi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WELCOME!A1"/><Relationship Id="rId1" Type="http://schemas.openxmlformats.org/officeDocument/2006/relationships/hyperlink" Target="#OptionAnalysis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11</xdr:col>
      <xdr:colOff>66000</xdr:colOff>
      <xdr:row>35</xdr:row>
      <xdr:rowOff>66000</xdr:rowOff>
    </xdr:to>
    <xdr:graphicFrame macro="">
      <xdr:nvGraphicFramePr>
        <xdr:cNvPr id="10" name="Equity_W">
          <a:extLst>
            <a:ext uri="{FF2B5EF4-FFF2-40B4-BE49-F238E27FC236}">
              <a16:creationId xmlns:a16="http://schemas.microsoft.com/office/drawing/2014/main" id="{2FF434BB-1233-4B55-A255-5503E6E86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312964</xdr:colOff>
      <xdr:row>7</xdr:row>
      <xdr:rowOff>0</xdr:rowOff>
    </xdr:from>
    <xdr:to>
      <xdr:col>18</xdr:col>
      <xdr:colOff>378964</xdr:colOff>
      <xdr:row>35</xdr:row>
      <xdr:rowOff>66000</xdr:rowOff>
    </xdr:to>
    <xdr:graphicFrame macro="">
      <xdr:nvGraphicFramePr>
        <xdr:cNvPr id="11" name="Bonds_W">
          <a:extLst>
            <a:ext uri="{FF2B5EF4-FFF2-40B4-BE49-F238E27FC236}">
              <a16:creationId xmlns:a16="http://schemas.microsoft.com/office/drawing/2014/main" id="{50E067FC-8E9D-4CCA-9ECD-B46F4C4331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625928</xdr:colOff>
      <xdr:row>7</xdr:row>
      <xdr:rowOff>0</xdr:rowOff>
    </xdr:from>
    <xdr:to>
      <xdr:col>25</xdr:col>
      <xdr:colOff>691928</xdr:colOff>
      <xdr:row>35</xdr:row>
      <xdr:rowOff>66000</xdr:rowOff>
    </xdr:to>
    <xdr:graphicFrame macro="">
      <xdr:nvGraphicFramePr>
        <xdr:cNvPr id="12" name="Options_W">
          <a:extLst>
            <a:ext uri="{FF2B5EF4-FFF2-40B4-BE49-F238E27FC236}">
              <a16:creationId xmlns:a16="http://schemas.microsoft.com/office/drawing/2014/main" id="{A3D9C2F9-E095-4672-BC8B-2D41EEF19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122464</xdr:colOff>
      <xdr:row>6</xdr:row>
      <xdr:rowOff>54429</xdr:rowOff>
    </xdr:from>
    <xdr:to>
      <xdr:col>2</xdr:col>
      <xdr:colOff>874714</xdr:colOff>
      <xdr:row>10</xdr:row>
      <xdr:rowOff>12429</xdr:rowOff>
    </xdr:to>
    <xdr:sp macro="" textlink="">
      <xdr:nvSpPr>
        <xdr:cNvPr id="14" name="Rectangle : coins arrondis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C8D7DC-4B58-4E7B-806D-6CAB5BF3B38D}"/>
            </a:ext>
          </a:extLst>
        </xdr:cNvPr>
        <xdr:cNvSpPr/>
      </xdr:nvSpPr>
      <xdr:spPr>
        <a:xfrm>
          <a:off x="299357" y="1197429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2"/>
              </a:solidFill>
            </a:rPr>
            <a:t>ACCESS YOUR PORTFOLIO</a:t>
          </a:r>
        </a:p>
      </xdr:txBody>
    </xdr:sp>
    <xdr:clientData/>
  </xdr:twoCellAnchor>
  <xdr:twoCellAnchor>
    <xdr:from>
      <xdr:col>1</xdr:col>
      <xdr:colOff>122464</xdr:colOff>
      <xdr:row>12</xdr:row>
      <xdr:rowOff>9072</xdr:rowOff>
    </xdr:from>
    <xdr:to>
      <xdr:col>2</xdr:col>
      <xdr:colOff>874714</xdr:colOff>
      <xdr:row>15</xdr:row>
      <xdr:rowOff>157572</xdr:rowOff>
    </xdr:to>
    <xdr:sp macro="" textlink="">
      <xdr:nvSpPr>
        <xdr:cNvPr id="16" name="Rectangle : coins arrondis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CAFC0CA-868F-4FEA-B2C0-6812F9AF77AF}"/>
            </a:ext>
          </a:extLst>
        </xdr:cNvPr>
        <xdr:cNvSpPr/>
      </xdr:nvSpPr>
      <xdr:spPr>
        <a:xfrm>
          <a:off x="299357" y="2295072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2"/>
              </a:solidFill>
            </a:rPr>
            <a:t>ACCESS</a:t>
          </a:r>
          <a:r>
            <a:rPr lang="fr-FR" sz="1100" b="1" baseline="0">
              <a:solidFill>
                <a:schemeClr val="tx2"/>
              </a:solidFill>
            </a:rPr>
            <a:t> EQUITY PORTFOLIO</a:t>
          </a:r>
          <a:endParaRPr lang="fr-FR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122464</xdr:colOff>
      <xdr:row>23</xdr:row>
      <xdr:rowOff>108858</xdr:rowOff>
    </xdr:from>
    <xdr:to>
      <xdr:col>2</xdr:col>
      <xdr:colOff>874714</xdr:colOff>
      <xdr:row>27</xdr:row>
      <xdr:rowOff>66858</xdr:rowOff>
    </xdr:to>
    <xdr:sp macro="" textlink="">
      <xdr:nvSpPr>
        <xdr:cNvPr id="17" name="Rectangle : coins arrondis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6C2E0F9-2B59-4BD7-B472-DADF1CB3F037}"/>
            </a:ext>
          </a:extLst>
        </xdr:cNvPr>
        <xdr:cNvSpPr/>
      </xdr:nvSpPr>
      <xdr:spPr>
        <a:xfrm>
          <a:off x="299357" y="4490358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2"/>
              </a:solidFill>
            </a:rPr>
            <a:t>ACCESS</a:t>
          </a:r>
          <a:r>
            <a:rPr lang="fr-FR" sz="1100" b="1" baseline="0">
              <a:solidFill>
                <a:schemeClr val="tx2"/>
              </a:solidFill>
            </a:rPr>
            <a:t> OPTION PORTFOLIO</a:t>
          </a:r>
          <a:endParaRPr lang="fr-FR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122464</xdr:colOff>
      <xdr:row>17</xdr:row>
      <xdr:rowOff>154215</xdr:rowOff>
    </xdr:from>
    <xdr:to>
      <xdr:col>2</xdr:col>
      <xdr:colOff>874714</xdr:colOff>
      <xdr:row>21</xdr:row>
      <xdr:rowOff>112215</xdr:rowOff>
    </xdr:to>
    <xdr:sp macro="" textlink="">
      <xdr:nvSpPr>
        <xdr:cNvPr id="18" name="Rectangle : coins arrondis 1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0F421CF-C7D3-4A6E-87D2-A2BEFDEC627C}"/>
            </a:ext>
          </a:extLst>
        </xdr:cNvPr>
        <xdr:cNvSpPr/>
      </xdr:nvSpPr>
      <xdr:spPr>
        <a:xfrm>
          <a:off x="299357" y="3392715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2"/>
              </a:solidFill>
            </a:rPr>
            <a:t>ACCESS</a:t>
          </a:r>
          <a:r>
            <a:rPr lang="fr-FR" sz="1100" b="1" baseline="0">
              <a:solidFill>
                <a:schemeClr val="tx2"/>
              </a:solidFill>
            </a:rPr>
            <a:t> BOND </a:t>
          </a:r>
          <a:br>
            <a:rPr lang="fr-FR" sz="1100" b="1" baseline="0">
              <a:solidFill>
                <a:schemeClr val="tx2"/>
              </a:solidFill>
            </a:rPr>
          </a:br>
          <a:r>
            <a:rPr lang="fr-FR" sz="1100" b="1" baseline="0">
              <a:solidFill>
                <a:schemeClr val="tx2"/>
              </a:solidFill>
            </a:rPr>
            <a:t>PORTFOLIO</a:t>
          </a:r>
          <a:endParaRPr lang="fr-FR" sz="1100" b="1">
            <a:solidFill>
              <a:schemeClr val="tx2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150103</xdr:colOff>
      <xdr:row>6</xdr:row>
      <xdr:rowOff>20415</xdr:rowOff>
    </xdr:from>
    <xdr:to>
      <xdr:col>2</xdr:col>
      <xdr:colOff>902353</xdr:colOff>
      <xdr:row>9</xdr:row>
      <xdr:rowOff>170615</xdr:rowOff>
    </xdr:to>
    <xdr:sp macro="[0]!EquityPortfolio.AddSecurity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26996" y="1190629"/>
          <a:ext cx="1800000" cy="7217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2"/>
              </a:solidFill>
            </a:rPr>
            <a:t>ADD</a:t>
          </a:r>
          <a:r>
            <a:rPr lang="fr-FR" sz="1100" b="1" baseline="0">
              <a:solidFill>
                <a:schemeClr val="tx2"/>
              </a:solidFill>
            </a:rPr>
            <a:t> A NEW SECURITY</a:t>
          </a:r>
          <a:endParaRPr lang="fr-FR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150103</xdr:colOff>
      <xdr:row>11</xdr:row>
      <xdr:rowOff>80852</xdr:rowOff>
    </xdr:from>
    <xdr:to>
      <xdr:col>2</xdr:col>
      <xdr:colOff>902353</xdr:colOff>
      <xdr:row>15</xdr:row>
      <xdr:rowOff>38852</xdr:rowOff>
    </xdr:to>
    <xdr:sp macro="[0]!Refresh_Master_Portfolio" textlink="">
      <xdr:nvSpPr>
        <xdr:cNvPr id="13" name="Rectangle à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26996" y="2203566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2"/>
              </a:solidFill>
            </a:rPr>
            <a:t>REFRESH</a:t>
          </a:r>
          <a:r>
            <a:rPr lang="fr-FR" sz="1100" b="1" baseline="0">
              <a:solidFill>
                <a:schemeClr val="tx2"/>
              </a:solidFill>
            </a:rPr>
            <a:t> PORTFOLIOS</a:t>
          </a:r>
          <a:endParaRPr lang="fr-FR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150103</xdr:colOff>
      <xdr:row>16</xdr:row>
      <xdr:rowOff>125982</xdr:rowOff>
    </xdr:from>
    <xdr:to>
      <xdr:col>2</xdr:col>
      <xdr:colOff>902353</xdr:colOff>
      <xdr:row>20</xdr:row>
      <xdr:rowOff>44861</xdr:rowOff>
    </xdr:to>
    <xdr:sp macro="[0]!copy_to_data" textlink="">
      <xdr:nvSpPr>
        <xdr:cNvPr id="14" name="Rectangle à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26996" y="3214803"/>
          <a:ext cx="1800000" cy="721701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2"/>
              </a:solidFill>
            </a:rPr>
            <a:t>COPY</a:t>
          </a:r>
          <a:r>
            <a:rPr lang="fr-FR" sz="1100" b="1" baseline="0">
              <a:solidFill>
                <a:schemeClr val="tx2"/>
              </a:solidFill>
            </a:rPr>
            <a:t> BLOOMBERG DATA TO VALUES </a:t>
          </a:r>
          <a:br>
            <a:rPr lang="fr-FR" sz="1100" b="1" baseline="0">
              <a:solidFill>
                <a:schemeClr val="tx2"/>
              </a:solidFill>
            </a:rPr>
          </a:br>
          <a:r>
            <a:rPr lang="fr-FR" sz="1100" b="1" baseline="0">
              <a:solidFill>
                <a:schemeClr val="tx2"/>
              </a:solidFill>
            </a:rPr>
            <a:t>(for online use only)</a:t>
          </a:r>
          <a:endParaRPr lang="fr-FR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150103</xdr:colOff>
      <xdr:row>21</xdr:row>
      <xdr:rowOff>131991</xdr:rowOff>
    </xdr:from>
    <xdr:to>
      <xdr:col>2</xdr:col>
      <xdr:colOff>902353</xdr:colOff>
      <xdr:row>25</xdr:row>
      <xdr:rowOff>89991</xdr:rowOff>
    </xdr:to>
    <xdr:sp macro="" textlink="">
      <xdr:nvSpPr>
        <xdr:cNvPr id="8" name="Rectangle : coins arrondi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C2779A-D498-41EB-AA75-1AF362A85A93}"/>
            </a:ext>
          </a:extLst>
        </xdr:cNvPr>
        <xdr:cNvSpPr/>
      </xdr:nvSpPr>
      <xdr:spPr>
        <a:xfrm>
          <a:off x="326996" y="4227741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2"/>
              </a:solidFill>
            </a:rPr>
            <a:t>ACCESS</a:t>
          </a:r>
          <a:r>
            <a:rPr lang="fr-FR" sz="1100" b="1" baseline="0">
              <a:solidFill>
                <a:schemeClr val="tx2"/>
              </a:solidFill>
            </a:rPr>
            <a:t> EQUITY PORTFOLIO</a:t>
          </a:r>
          <a:endParaRPr lang="fr-FR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150103</xdr:colOff>
      <xdr:row>32</xdr:row>
      <xdr:rowOff>31750</xdr:rowOff>
    </xdr:from>
    <xdr:to>
      <xdr:col>2</xdr:col>
      <xdr:colOff>902353</xdr:colOff>
      <xdr:row>35</xdr:row>
      <xdr:rowOff>153035</xdr:rowOff>
    </xdr:to>
    <xdr:sp macro="" textlink="">
      <xdr:nvSpPr>
        <xdr:cNvPr id="12" name="Rectangle : coins arrondi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A6BB839-840F-4E04-88C0-360856B72565}"/>
            </a:ext>
          </a:extLst>
        </xdr:cNvPr>
        <xdr:cNvSpPr/>
      </xdr:nvSpPr>
      <xdr:spPr>
        <a:xfrm>
          <a:off x="326996" y="6250214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2"/>
              </a:solidFill>
            </a:rPr>
            <a:t>ACCESS</a:t>
          </a:r>
          <a:r>
            <a:rPr lang="fr-FR" sz="1100" b="1" baseline="0">
              <a:solidFill>
                <a:schemeClr val="tx2"/>
              </a:solidFill>
            </a:rPr>
            <a:t> OPTION PORTFOLIO</a:t>
          </a:r>
          <a:endParaRPr lang="fr-FR" sz="1100" b="1">
            <a:solidFill>
              <a:schemeClr val="tx2"/>
            </a:solidFill>
          </a:endParaRPr>
        </a:p>
      </xdr:txBody>
    </xdr:sp>
    <xdr:clientData/>
  </xdr:twoCellAnchor>
  <xdr:twoCellAnchor>
    <xdr:from>
      <xdr:col>1</xdr:col>
      <xdr:colOff>150103</xdr:colOff>
      <xdr:row>27</xdr:row>
      <xdr:rowOff>228</xdr:rowOff>
    </xdr:from>
    <xdr:to>
      <xdr:col>2</xdr:col>
      <xdr:colOff>902353</xdr:colOff>
      <xdr:row>30</xdr:row>
      <xdr:rowOff>148728</xdr:rowOff>
    </xdr:to>
    <xdr:sp macro="" textlink="">
      <xdr:nvSpPr>
        <xdr:cNvPr id="15" name="Rectangle : coins arrondis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09FA94F-A3D7-4FCA-BC60-1860788B84E5}"/>
            </a:ext>
          </a:extLst>
        </xdr:cNvPr>
        <xdr:cNvSpPr/>
      </xdr:nvSpPr>
      <xdr:spPr>
        <a:xfrm>
          <a:off x="326996" y="5238978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2"/>
              </a:solidFill>
            </a:rPr>
            <a:t>ACCESS</a:t>
          </a:r>
          <a:r>
            <a:rPr lang="fr-FR" sz="1100" b="1" baseline="0">
              <a:solidFill>
                <a:schemeClr val="tx2"/>
              </a:solidFill>
            </a:rPr>
            <a:t> BOND </a:t>
          </a:r>
          <a:br>
            <a:rPr lang="fr-FR" sz="1100" b="1" baseline="0">
              <a:solidFill>
                <a:schemeClr val="tx2"/>
              </a:solidFill>
            </a:rPr>
          </a:br>
          <a:r>
            <a:rPr lang="fr-FR" sz="1100" b="1" baseline="0">
              <a:solidFill>
                <a:schemeClr val="tx2"/>
              </a:solidFill>
            </a:rPr>
            <a:t>PORTFOLIO</a:t>
          </a:r>
          <a:endParaRPr lang="fr-FR" sz="1100" b="1">
            <a:solidFill>
              <a:schemeClr val="tx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172639</xdr:colOff>
      <xdr:row>1</xdr:row>
      <xdr:rowOff>11906</xdr:rowOff>
    </xdr:from>
    <xdr:to>
      <xdr:col>11</xdr:col>
      <xdr:colOff>924889</xdr:colOff>
      <xdr:row>4</xdr:row>
      <xdr:rowOff>148499</xdr:rowOff>
    </xdr:to>
    <xdr:sp macro="[0]!Equity_Portfolio_Fil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22849E7-8B96-4F82-90E6-09C2D6F3C1B9}"/>
            </a:ext>
          </a:extLst>
        </xdr:cNvPr>
        <xdr:cNvSpPr/>
      </xdr:nvSpPr>
      <xdr:spPr>
        <a:xfrm>
          <a:off x="12483702" y="214312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0070C0"/>
              </a:solidFill>
            </a:rPr>
            <a:t>REFRESH PORTFOLIO</a:t>
          </a:r>
        </a:p>
      </xdr:txBody>
    </xdr:sp>
    <xdr:clientData/>
  </xdr:twoCellAnchor>
  <xdr:twoCellAnchor>
    <xdr:from>
      <xdr:col>10</xdr:col>
      <xdr:colOff>166687</xdr:colOff>
      <xdr:row>5</xdr:row>
      <xdr:rowOff>182561</xdr:rowOff>
    </xdr:from>
    <xdr:to>
      <xdr:col>11</xdr:col>
      <xdr:colOff>918937</xdr:colOff>
      <xdr:row>9</xdr:row>
      <xdr:rowOff>140561</xdr:rowOff>
    </xdr:to>
    <xdr:sp macro="" textlink="">
      <xdr:nvSpPr>
        <xdr:cNvPr id="3" name="Rectangle : coins arrondi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012D33-F1F5-4700-AB3D-C5F254B0AAEF}"/>
            </a:ext>
          </a:extLst>
        </xdr:cNvPr>
        <xdr:cNvSpPr/>
      </xdr:nvSpPr>
      <xdr:spPr>
        <a:xfrm>
          <a:off x="12477750" y="1158874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0070C0"/>
              </a:solidFill>
            </a:rPr>
            <a:t>EQUITY ANALYSIS</a:t>
          </a:r>
        </a:p>
      </xdr:txBody>
    </xdr:sp>
    <xdr:clientData/>
  </xdr:twoCellAnchor>
  <xdr:twoCellAnchor>
    <xdr:from>
      <xdr:col>10</xdr:col>
      <xdr:colOff>160735</xdr:colOff>
      <xdr:row>10</xdr:row>
      <xdr:rowOff>174623</xdr:rowOff>
    </xdr:from>
    <xdr:to>
      <xdr:col>11</xdr:col>
      <xdr:colOff>912985</xdr:colOff>
      <xdr:row>14</xdr:row>
      <xdr:rowOff>132623</xdr:rowOff>
    </xdr:to>
    <xdr:sp macro="" textlink="">
      <xdr:nvSpPr>
        <xdr:cNvPr id="4" name="Rectangle : coins arrondi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A218702-E6F7-48CD-A97D-7AEDF8A6DF34}"/>
            </a:ext>
          </a:extLst>
        </xdr:cNvPr>
        <xdr:cNvSpPr/>
      </xdr:nvSpPr>
      <xdr:spPr>
        <a:xfrm>
          <a:off x="12471798" y="2103436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0070C0"/>
              </a:solidFill>
            </a:rPr>
            <a:t>MODERN PORTFOLIO THEORY</a:t>
          </a:r>
        </a:p>
      </xdr:txBody>
    </xdr:sp>
    <xdr:clientData/>
  </xdr:twoCellAnchor>
  <xdr:twoCellAnchor>
    <xdr:from>
      <xdr:col>10</xdr:col>
      <xdr:colOff>178590</xdr:colOff>
      <xdr:row>15</xdr:row>
      <xdr:rowOff>154780</xdr:rowOff>
    </xdr:from>
    <xdr:to>
      <xdr:col>11</xdr:col>
      <xdr:colOff>930840</xdr:colOff>
      <xdr:row>19</xdr:row>
      <xdr:rowOff>88968</xdr:rowOff>
    </xdr:to>
    <xdr:sp macro="" textlink="">
      <xdr:nvSpPr>
        <xdr:cNvPr id="5" name="Rectangle : coins arrondi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618DA39-9AB6-47C1-BF42-F1213D4D5AB0}"/>
            </a:ext>
          </a:extLst>
        </xdr:cNvPr>
        <xdr:cNvSpPr/>
      </xdr:nvSpPr>
      <xdr:spPr>
        <a:xfrm>
          <a:off x="12489653" y="3047999"/>
          <a:ext cx="1800000" cy="7200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GO 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313265</xdr:colOff>
      <xdr:row>7</xdr:row>
      <xdr:rowOff>75669</xdr:rowOff>
    </xdr:from>
    <xdr:to>
      <xdr:col>12</xdr:col>
      <xdr:colOff>1</xdr:colOff>
      <xdr:row>25</xdr:row>
      <xdr:rowOff>23282</xdr:rowOff>
    </xdr:to>
    <xdr:graphicFrame macro="">
      <xdr:nvGraphicFramePr>
        <xdr:cNvPr id="3" name="GoogFinChar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317500</xdr:colOff>
      <xdr:row>26</xdr:row>
      <xdr:rowOff>10584</xdr:rowOff>
    </xdr:from>
    <xdr:to>
      <xdr:col>11</xdr:col>
      <xdr:colOff>603250</xdr:colOff>
      <xdr:row>40</xdr:row>
      <xdr:rowOff>86784</xdr:rowOff>
    </xdr:to>
    <xdr:graphicFrame macro="">
      <xdr:nvGraphicFramePr>
        <xdr:cNvPr id="4" name="Gauss Curv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10584</xdr:colOff>
      <xdr:row>15</xdr:row>
      <xdr:rowOff>141817</xdr:rowOff>
    </xdr:from>
    <xdr:to>
      <xdr:col>20</xdr:col>
      <xdr:colOff>541917</xdr:colOff>
      <xdr:row>30</xdr:row>
      <xdr:rowOff>27517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10584</xdr:colOff>
      <xdr:row>30</xdr:row>
      <xdr:rowOff>137583</xdr:rowOff>
    </xdr:from>
    <xdr:to>
      <xdr:col>20</xdr:col>
      <xdr:colOff>541917</xdr:colOff>
      <xdr:row>45</xdr:row>
      <xdr:rowOff>23283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28</xdr:col>
      <xdr:colOff>213833</xdr:colOff>
      <xdr:row>36</xdr:row>
      <xdr:rowOff>76200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3095625" y="190499"/>
    <xdr:ext cx="10220325" cy="6486525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2</xdr:col>
      <xdr:colOff>438150</xdr:colOff>
      <xdr:row>1</xdr:row>
      <xdr:rowOff>180975</xdr:rowOff>
    </xdr:from>
    <xdr:to>
      <xdr:col>3</xdr:col>
      <xdr:colOff>666750</xdr:colOff>
      <xdr:row>4</xdr:row>
      <xdr:rowOff>171450</xdr:rowOff>
    </xdr:to>
    <xdr:sp macro="[0]!Frontiere_Analytique" textlink="">
      <xdr:nvSpPr>
        <xdr:cNvPr id="3" name="Flèche droi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62150" y="371475"/>
          <a:ext cx="1028700" cy="561975"/>
        </a:xfrm>
        <a:prstGeom prst="rightArrow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RESET</a:t>
          </a:r>
        </a:p>
        <a:p>
          <a:pPr algn="l"/>
          <a:endParaRPr lang="fr-F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141170</xdr:colOff>
      <xdr:row>0</xdr:row>
      <xdr:rowOff>381000</xdr:rowOff>
    </xdr:from>
    <xdr:to>
      <xdr:col>26</xdr:col>
      <xdr:colOff>893420</xdr:colOff>
      <xdr:row>4</xdr:row>
      <xdr:rowOff>94071</xdr:rowOff>
    </xdr:to>
    <xdr:sp macro="[0]!Fill_Bonds_Portfolio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804787B-FC50-4BDC-BB9E-C25ABB764322}"/>
            </a:ext>
          </a:extLst>
        </xdr:cNvPr>
        <xdr:cNvSpPr/>
      </xdr:nvSpPr>
      <xdr:spPr>
        <a:xfrm>
          <a:off x="24130563" y="381000"/>
          <a:ext cx="1800000" cy="7200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C00000"/>
              </a:solidFill>
            </a:rPr>
            <a:t>REFRESH PORTFOLIO</a:t>
          </a:r>
        </a:p>
      </xdr:txBody>
    </xdr:sp>
    <xdr:clientData/>
  </xdr:twoCellAnchor>
  <xdr:twoCellAnchor>
    <xdr:from>
      <xdr:col>25</xdr:col>
      <xdr:colOff>141170</xdr:colOff>
      <xdr:row>5</xdr:row>
      <xdr:rowOff>148922</xdr:rowOff>
    </xdr:from>
    <xdr:to>
      <xdr:col>26</xdr:col>
      <xdr:colOff>893420</xdr:colOff>
      <xdr:row>9</xdr:row>
      <xdr:rowOff>106922</xdr:rowOff>
    </xdr:to>
    <xdr:sp macro="" textlink="">
      <xdr:nvSpPr>
        <xdr:cNvPr id="3" name="Rectangle : coins arrondi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1D7A63-2B2D-48DF-BA2B-B24AEE9A6428}"/>
            </a:ext>
          </a:extLst>
        </xdr:cNvPr>
        <xdr:cNvSpPr/>
      </xdr:nvSpPr>
      <xdr:spPr>
        <a:xfrm>
          <a:off x="24130563" y="1346351"/>
          <a:ext cx="1800000" cy="7200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C00000"/>
              </a:solidFill>
            </a:rPr>
            <a:t>BOND ANALYSIS</a:t>
          </a:r>
        </a:p>
      </xdr:txBody>
    </xdr:sp>
    <xdr:clientData/>
  </xdr:twoCellAnchor>
  <xdr:twoCellAnchor>
    <xdr:from>
      <xdr:col>25</xdr:col>
      <xdr:colOff>141170</xdr:colOff>
      <xdr:row>10</xdr:row>
      <xdr:rowOff>161773</xdr:rowOff>
    </xdr:from>
    <xdr:to>
      <xdr:col>26</xdr:col>
      <xdr:colOff>893420</xdr:colOff>
      <xdr:row>14</xdr:row>
      <xdr:rowOff>92559</xdr:rowOff>
    </xdr:to>
    <xdr:sp macro="" textlink="">
      <xdr:nvSpPr>
        <xdr:cNvPr id="4" name="Rectangle : coins arrondi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16EAC4-9954-477D-8470-1FE18F47C954}"/>
            </a:ext>
          </a:extLst>
        </xdr:cNvPr>
        <xdr:cNvSpPr/>
      </xdr:nvSpPr>
      <xdr:spPr>
        <a:xfrm>
          <a:off x="24130563" y="2311702"/>
          <a:ext cx="1800000" cy="7200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C00000"/>
              </a:solidFill>
            </a:rPr>
            <a:t>COMPARE BONDS</a:t>
          </a:r>
        </a:p>
      </xdr:txBody>
    </xdr:sp>
    <xdr:clientData/>
  </xdr:twoCellAnchor>
  <xdr:twoCellAnchor>
    <xdr:from>
      <xdr:col>25</xdr:col>
      <xdr:colOff>141170</xdr:colOff>
      <xdr:row>15</xdr:row>
      <xdr:rowOff>147411</xdr:rowOff>
    </xdr:from>
    <xdr:to>
      <xdr:col>26</xdr:col>
      <xdr:colOff>893420</xdr:colOff>
      <xdr:row>19</xdr:row>
      <xdr:rowOff>105411</xdr:rowOff>
    </xdr:to>
    <xdr:sp macro="" textlink="">
      <xdr:nvSpPr>
        <xdr:cNvPr id="5" name="Rectangle : coins arrondi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2F34F2B-E0EB-4324-A9F1-9892AD932968}"/>
            </a:ext>
          </a:extLst>
        </xdr:cNvPr>
        <xdr:cNvSpPr/>
      </xdr:nvSpPr>
      <xdr:spPr>
        <a:xfrm>
          <a:off x="24130563" y="3277054"/>
          <a:ext cx="1800000" cy="7200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GO BACK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156481</xdr:rowOff>
    </xdr:from>
    <xdr:to>
      <xdr:col>8</xdr:col>
      <xdr:colOff>460607</xdr:colOff>
      <xdr:row>16</xdr:row>
      <xdr:rowOff>183696</xdr:rowOff>
    </xdr:to>
    <xdr:graphicFrame macro="">
      <xdr:nvGraphicFramePr>
        <xdr:cNvPr id="2" name="Cash Flow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748391</xdr:colOff>
      <xdr:row>0</xdr:row>
      <xdr:rowOff>144234</xdr:rowOff>
    </xdr:from>
    <xdr:to>
      <xdr:col>14</xdr:col>
      <xdr:colOff>487819</xdr:colOff>
      <xdr:row>17</xdr:row>
      <xdr:rowOff>5442</xdr:rowOff>
    </xdr:to>
    <xdr:graphicFrame macro="">
      <xdr:nvGraphicFramePr>
        <xdr:cNvPr id="3" name="Price to Yield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0</xdr:row>
      <xdr:rowOff>170088</xdr:rowOff>
    </xdr:from>
    <xdr:to>
      <xdr:col>20</xdr:col>
      <xdr:colOff>596679</xdr:colOff>
      <xdr:row>16</xdr:row>
      <xdr:rowOff>170088</xdr:rowOff>
    </xdr:to>
    <xdr:graphicFrame macro="">
      <xdr:nvGraphicFramePr>
        <xdr:cNvPr id="4" name="Bond Behavio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23</xdr:col>
      <xdr:colOff>66000</xdr:colOff>
      <xdr:row>17</xdr:row>
      <xdr:rowOff>27215</xdr:rowOff>
    </xdr:to>
    <xdr:graphicFrame macro="">
      <xdr:nvGraphicFramePr>
        <xdr:cNvPr id="3" name="Com_Cash_Flow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1</xdr:row>
      <xdr:rowOff>0</xdr:rowOff>
    </xdr:from>
    <xdr:to>
      <xdr:col>29</xdr:col>
      <xdr:colOff>466050</xdr:colOff>
      <xdr:row>17</xdr:row>
      <xdr:rowOff>51708</xdr:rowOff>
    </xdr:to>
    <xdr:graphicFrame macro="">
      <xdr:nvGraphicFramePr>
        <xdr:cNvPr id="4" name="Pr_to_Y_Comp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1</xdr:row>
      <xdr:rowOff>0</xdr:rowOff>
    </xdr:from>
    <xdr:to>
      <xdr:col>37</xdr:col>
      <xdr:colOff>66000</xdr:colOff>
      <xdr:row>17</xdr:row>
      <xdr:rowOff>0</xdr:rowOff>
    </xdr:to>
    <xdr:graphicFrame macro="">
      <xdr:nvGraphicFramePr>
        <xdr:cNvPr id="5" name="Bond_Behavior_Comp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81643</xdr:colOff>
      <xdr:row>1</xdr:row>
      <xdr:rowOff>278945</xdr:rowOff>
    </xdr:from>
    <xdr:to>
      <xdr:col>0</xdr:col>
      <xdr:colOff>1881643</xdr:colOff>
      <xdr:row>2</xdr:row>
      <xdr:rowOff>373016</xdr:rowOff>
    </xdr:to>
    <xdr:sp macro="[0]!UpdateDataOption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1643" y="469445"/>
          <a:ext cx="1800000" cy="7200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accent3">
                  <a:lumMod val="50000"/>
                </a:schemeClr>
              </a:solidFill>
            </a:rPr>
            <a:t>UPDATE</a:t>
          </a:r>
          <a:r>
            <a:rPr lang="fr-FR" sz="1100" b="1" baseline="0">
              <a:solidFill>
                <a:schemeClr val="accent3">
                  <a:lumMod val="50000"/>
                </a:schemeClr>
              </a:solidFill>
            </a:rPr>
            <a:t> OPTION PORTFOLIO</a:t>
          </a:r>
          <a:endParaRPr lang="fr-FR" sz="11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333381</xdr:colOff>
      <xdr:row>1</xdr:row>
      <xdr:rowOff>278945</xdr:rowOff>
    </xdr:from>
    <xdr:to>
      <xdr:col>2</xdr:col>
      <xdr:colOff>214774</xdr:colOff>
      <xdr:row>2</xdr:row>
      <xdr:rowOff>373016</xdr:rowOff>
    </xdr:to>
    <xdr:sp macro="" textlink="">
      <xdr:nvSpPr>
        <xdr:cNvPr id="3" name="Rectangle : coins arrondi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4595C00-7966-49F1-9D7A-48A61011C11E}"/>
            </a:ext>
          </a:extLst>
        </xdr:cNvPr>
        <xdr:cNvSpPr/>
      </xdr:nvSpPr>
      <xdr:spPr>
        <a:xfrm>
          <a:off x="2442488" y="469445"/>
          <a:ext cx="1800000" cy="7200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accent3">
                  <a:lumMod val="50000"/>
                </a:schemeClr>
              </a:solidFill>
            </a:rPr>
            <a:t>OPTION ANALYSIS</a:t>
          </a:r>
        </a:p>
      </xdr:txBody>
    </xdr:sp>
    <xdr:clientData/>
  </xdr:twoCellAnchor>
  <xdr:twoCellAnchor>
    <xdr:from>
      <xdr:col>2</xdr:col>
      <xdr:colOff>775619</xdr:colOff>
      <xdr:row>1</xdr:row>
      <xdr:rowOff>278945</xdr:rowOff>
    </xdr:from>
    <xdr:to>
      <xdr:col>3</xdr:col>
      <xdr:colOff>629797</xdr:colOff>
      <xdr:row>2</xdr:row>
      <xdr:rowOff>373016</xdr:rowOff>
    </xdr:to>
    <xdr:sp macro="" textlink="">
      <xdr:nvSpPr>
        <xdr:cNvPr id="5" name="Rectangle : coins arrondi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4698F2C-D1CC-44D4-92D5-EDD800A3A0E7}"/>
            </a:ext>
          </a:extLst>
        </xdr:cNvPr>
        <xdr:cNvSpPr/>
      </xdr:nvSpPr>
      <xdr:spPr>
        <a:xfrm>
          <a:off x="4803333" y="469445"/>
          <a:ext cx="1800000" cy="7200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ysClr val="windowText" lastClr="000000"/>
              </a:solidFill>
            </a:rPr>
            <a:t>GO 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0</xdr:rowOff>
    </xdr:from>
    <xdr:to>
      <xdr:col>11</xdr:col>
      <xdr:colOff>0</xdr:colOff>
      <xdr:row>30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15</xdr:row>
      <xdr:rowOff>0</xdr:rowOff>
    </xdr:from>
    <xdr:to>
      <xdr:col>23</xdr:col>
      <xdr:colOff>0</xdr:colOff>
      <xdr:row>30</xdr:row>
      <xdr:rowOff>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31</xdr:row>
      <xdr:rowOff>0</xdr:rowOff>
    </xdr:from>
    <xdr:to>
      <xdr:col>11</xdr:col>
      <xdr:colOff>0</xdr:colOff>
      <xdr:row>46</xdr:row>
      <xdr:rowOff>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31</xdr:row>
      <xdr:rowOff>0</xdr:rowOff>
    </xdr:from>
    <xdr:to>
      <xdr:col>17</xdr:col>
      <xdr:colOff>0</xdr:colOff>
      <xdr:row>46</xdr:row>
      <xdr:rowOff>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31</xdr:row>
      <xdr:rowOff>0</xdr:rowOff>
    </xdr:from>
    <xdr:to>
      <xdr:col>23</xdr:col>
      <xdr:colOff>0</xdr:colOff>
      <xdr:row>46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123824</xdr:colOff>
      <xdr:row>0</xdr:row>
      <xdr:rowOff>66675</xdr:rowOff>
    </xdr:from>
    <xdr:to>
      <xdr:col>7</xdr:col>
      <xdr:colOff>876074</xdr:colOff>
      <xdr:row>4</xdr:row>
      <xdr:rowOff>24675</xdr:rowOff>
    </xdr:to>
    <xdr:sp macro="[0]!gauss_curv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1637E8F-57A3-48AE-AF1E-443DE0ED89E3}"/>
            </a:ext>
          </a:extLst>
        </xdr:cNvPr>
        <xdr:cNvSpPr/>
      </xdr:nvSpPr>
      <xdr:spPr>
        <a:xfrm>
          <a:off x="4552949" y="66675"/>
          <a:ext cx="1800000" cy="720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0070C0"/>
              </a:solidFill>
            </a:rPr>
            <a:t>RESET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14615/AppData/Local/Temp/Bloomberg/data/XF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aji1/AppData/Local/BLOOMB~1/data/v1.1%20XF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"/>
      <sheetName val="BS"/>
      <sheetName val="CF"/>
      <sheetName val="RC"/>
      <sheetName val="SA"/>
      <sheetName val="Labels,Validation,Overrides"/>
      <sheetName val="AD"/>
      <sheetName val="Income Statement"/>
      <sheetName val="Balance Sheet"/>
      <sheetName val="Cash Flow"/>
      <sheetName val="Ratios"/>
      <sheetName val="Segments"/>
      <sheetName val="Industry"/>
      <sheetName val="Reconciliation"/>
      <sheetName val="SBC &amp; Amortization"/>
      <sheetName val="Data Check"/>
      <sheetName val="Custom"/>
      <sheetName val="segSettings"/>
      <sheetName val="segDataCheck"/>
      <sheetName val="SegData"/>
      <sheetName val="SG2"/>
      <sheetName val="SG"/>
      <sheetName val="RA"/>
      <sheetName val="Help"/>
      <sheetName val="XFA"/>
    </sheetNames>
    <sheetDataSet>
      <sheetData sheetId="0">
        <row r="1">
          <cell r="A1" t="str">
            <v>Index Row</v>
          </cell>
          <cell r="B1" t="str">
            <v>Industrial- Adjusted</v>
          </cell>
          <cell r="F1" t="str">
            <v>Industrial- GAAP</v>
          </cell>
          <cell r="G1" t="e">
            <v>#VALUE!</v>
          </cell>
          <cell r="J1" t="str">
            <v>Industrial</v>
          </cell>
          <cell r="N1" t="str">
            <v>Bank- Adjusted</v>
          </cell>
          <cell r="R1" t="str">
            <v>Bank- GAAP</v>
          </cell>
          <cell r="V1" t="str">
            <v>Bank</v>
          </cell>
          <cell r="Z1" t="str">
            <v>Insurance- Adjusted</v>
          </cell>
          <cell r="AD1" t="str">
            <v>Insurance- GAAP</v>
          </cell>
          <cell r="AH1" t="str">
            <v>Insurance</v>
          </cell>
          <cell r="AL1" t="str">
            <v>Financial- Adjusted</v>
          </cell>
          <cell r="AP1" t="str">
            <v>Financial- GAAP</v>
          </cell>
          <cell r="AT1" t="str">
            <v>Financial</v>
          </cell>
          <cell r="AX1" t="str">
            <v>Utility- Adjusted</v>
          </cell>
          <cell r="BB1" t="str">
            <v>Utility- GAAP</v>
          </cell>
          <cell r="BF1" t="str">
            <v>Utility</v>
          </cell>
          <cell r="BJ1" t="str">
            <v>REIT- Adjusted</v>
          </cell>
          <cell r="BN1" t="str">
            <v>REIT- GAAP</v>
          </cell>
          <cell r="BR1" t="str">
            <v>REIT</v>
          </cell>
        </row>
      </sheetData>
      <sheetData sheetId="1">
        <row r="1">
          <cell r="A1" t="str">
            <v>Index Row</v>
          </cell>
          <cell r="B1" t="str">
            <v>Industrial- Enhanced</v>
          </cell>
          <cell r="F1" t="str">
            <v>Industrial</v>
          </cell>
          <cell r="J1" t="str">
            <v>Bank- Enhanced</v>
          </cell>
          <cell r="N1" t="str">
            <v>Bank</v>
          </cell>
          <cell r="R1" t="str">
            <v>Financial- Enhanced</v>
          </cell>
          <cell r="V1" t="str">
            <v>Financial</v>
          </cell>
          <cell r="Z1" t="str">
            <v>Insurance</v>
          </cell>
          <cell r="AD1" t="str">
            <v>Utility</v>
          </cell>
          <cell r="AH1" t="str">
            <v>REIT</v>
          </cell>
        </row>
      </sheetData>
      <sheetData sheetId="2">
        <row r="1">
          <cell r="A1" t="str">
            <v>Index Row</v>
          </cell>
          <cell r="B1" t="str">
            <v>Industrial- Enhanced</v>
          </cell>
          <cell r="F1" t="str">
            <v>Industrial</v>
          </cell>
          <cell r="J1" t="str">
            <v>Bank- Enhanced</v>
          </cell>
          <cell r="N1" t="str">
            <v>Bank</v>
          </cell>
          <cell r="R1" t="str">
            <v>Financial- Enhanced</v>
          </cell>
          <cell r="V1" t="str">
            <v>Financial</v>
          </cell>
          <cell r="Z1" t="str">
            <v>Insurance</v>
          </cell>
          <cell r="AD1" t="str">
            <v>Utility</v>
          </cell>
          <cell r="AH1" t="str">
            <v>REIT</v>
          </cell>
        </row>
      </sheetData>
      <sheetData sheetId="3">
        <row r="1">
          <cell r="A1" t="str">
            <v>Index Row</v>
          </cell>
          <cell r="B1" t="str">
            <v>Industrial- Recon</v>
          </cell>
          <cell r="F1" t="str">
            <v>Utility- Recon</v>
          </cell>
          <cell r="J1" t="str">
            <v>Bank- Recon</v>
          </cell>
          <cell r="N1" t="str">
            <v>REIT- Recon</v>
          </cell>
          <cell r="R1" t="str">
            <v>Insurance- Recon</v>
          </cell>
          <cell r="V1" t="str">
            <v>Financial- Recon</v>
          </cell>
        </row>
      </sheetData>
      <sheetData sheetId="4">
        <row r="1">
          <cell r="A1" t="str">
            <v>Index Row</v>
          </cell>
          <cell r="B1" t="str">
            <v>Industrial- SA</v>
          </cell>
          <cell r="F1" t="str">
            <v>Utility- SA</v>
          </cell>
          <cell r="J1" t="str">
            <v>Bank- SA</v>
          </cell>
          <cell r="N1" t="str">
            <v>REIT- SA</v>
          </cell>
          <cell r="R1" t="str">
            <v>Insurance- SA</v>
          </cell>
          <cell r="V1" t="str">
            <v>Financial- SA</v>
          </cell>
        </row>
      </sheetData>
      <sheetData sheetId="5">
        <row r="5">
          <cell r="C5" t="str">
            <v>ADJUSTED</v>
          </cell>
          <cell r="F5" t="str">
            <v>A</v>
          </cell>
          <cell r="I5" t="str">
            <v>Y</v>
          </cell>
        </row>
        <row r="12">
          <cell r="C12" t="str">
            <v>EQY CONSOLIDATED=Y</v>
          </cell>
          <cell r="E12" t="str">
            <v>EQY FUND CRNCY=EUR</v>
          </cell>
          <cell r="G12" t="str">
            <v>ACCOUNTING STANDARD OVERRIDE=Mixed</v>
          </cell>
        </row>
        <row r="15">
          <cell r="B15" t="str">
            <v>Y</v>
          </cell>
        </row>
        <row r="20">
          <cell r="B20">
            <v>1</v>
          </cell>
          <cell r="C20">
            <v>1</v>
          </cell>
          <cell r="D20">
            <v>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</row>
        <row r="21">
          <cell r="B21" t="str">
            <v>#N/A Invalid Field</v>
          </cell>
        </row>
      </sheetData>
      <sheetData sheetId="6">
        <row r="1">
          <cell r="A1" t="str">
            <v>Index Row</v>
          </cell>
          <cell r="B1" t="str">
            <v>Steel</v>
          </cell>
          <cell r="C1">
            <v>20</v>
          </cell>
          <cell r="F1" t="str">
            <v>Credit Cards</v>
          </cell>
          <cell r="G1">
            <v>159</v>
          </cell>
          <cell r="J1" t="str">
            <v>Copper Summary</v>
          </cell>
          <cell r="K1">
            <v>28</v>
          </cell>
          <cell r="N1" t="str">
            <v>Silver Summary</v>
          </cell>
          <cell r="O1">
            <v>28</v>
          </cell>
          <cell r="R1" t="str">
            <v>Gold Summary</v>
          </cell>
          <cell r="S1">
            <v>30</v>
          </cell>
          <cell r="V1" t="str">
            <v>Mining - Sales</v>
          </cell>
          <cell r="W1">
            <v>31</v>
          </cell>
          <cell r="Z1" t="str">
            <v>Mining - Forecast</v>
          </cell>
          <cell r="AA1">
            <v>22</v>
          </cell>
          <cell r="AD1" t="str">
            <v>Mining - Production</v>
          </cell>
          <cell r="AE1">
            <v>57</v>
          </cell>
          <cell r="AH1" t="str">
            <v>Mining - Reserves</v>
          </cell>
          <cell r="AI1">
            <v>57</v>
          </cell>
          <cell r="AL1" t="str">
            <v>Mining - Resources</v>
          </cell>
          <cell r="AM1">
            <v>107</v>
          </cell>
          <cell r="AP1" t="str">
            <v>Takaful Insurance</v>
          </cell>
          <cell r="AQ1">
            <v>42</v>
          </cell>
          <cell r="AT1" t="str">
            <v>Precious Metals</v>
          </cell>
          <cell r="AU1">
            <v>30</v>
          </cell>
          <cell r="AX1" t="str">
            <v>Drilling Activity</v>
          </cell>
          <cell r="AY1">
            <v>20</v>
          </cell>
          <cell r="BB1" t="str">
            <v>Geo Results</v>
          </cell>
          <cell r="BC1">
            <v>80</v>
          </cell>
          <cell r="BF1" t="str">
            <v>Discounted Cashflows</v>
          </cell>
          <cell r="BG1">
            <v>23</v>
          </cell>
          <cell r="BJ1" t="str">
            <v>Costs &amp; Ratios</v>
          </cell>
          <cell r="BK1">
            <v>22</v>
          </cell>
          <cell r="BN1" t="str">
            <v>Geo Production</v>
          </cell>
          <cell r="BO1">
            <v>50</v>
          </cell>
          <cell r="BR1" t="str">
            <v>Production &amp; Prices</v>
          </cell>
          <cell r="BS1">
            <v>20</v>
          </cell>
          <cell r="BV1" t="str">
            <v>Gas Reserves (BCF)</v>
          </cell>
          <cell r="BW1">
            <v>113</v>
          </cell>
          <cell r="BZ1" t="str">
            <v>Oil Reserves (MMBBL)</v>
          </cell>
          <cell r="CA1">
            <v>108</v>
          </cell>
          <cell r="CD1" t="str">
            <v>MMBOE Reserves</v>
          </cell>
          <cell r="CE1">
            <v>119</v>
          </cell>
          <cell r="CH1" t="str">
            <v>Selected Energy Items</v>
          </cell>
          <cell r="CI1">
            <v>71</v>
          </cell>
          <cell r="CL1" t="str">
            <v>Cement</v>
          </cell>
          <cell r="CM1">
            <v>50</v>
          </cell>
          <cell r="CP1" t="str">
            <v>Base Metals</v>
          </cell>
          <cell r="CQ1">
            <v>104</v>
          </cell>
          <cell r="CT1" t="str">
            <v>Pharmacy Benefits</v>
          </cell>
          <cell r="CU1">
            <v>28</v>
          </cell>
          <cell r="CX1" t="str">
            <v>Capital Expenditures</v>
          </cell>
          <cell r="CY1">
            <v>5</v>
          </cell>
          <cell r="DB1" t="str">
            <v>Property Analysis</v>
          </cell>
          <cell r="DC1">
            <v>15</v>
          </cell>
          <cell r="DF1" t="str">
            <v>FFO Analysis</v>
          </cell>
          <cell r="DG1">
            <v>18</v>
          </cell>
          <cell r="DJ1" t="str">
            <v>Hotels</v>
          </cell>
          <cell r="DK1">
            <v>25</v>
          </cell>
          <cell r="DN1" t="str">
            <v>Home Builders</v>
          </cell>
          <cell r="DO1">
            <v>32</v>
          </cell>
          <cell r="DR1" t="str">
            <v>Hospitals</v>
          </cell>
          <cell r="DS1">
            <v>72</v>
          </cell>
          <cell r="DV1" t="str">
            <v>Water</v>
          </cell>
          <cell r="DW1">
            <v>4</v>
          </cell>
          <cell r="DZ1" t="str">
            <v>Managed Care</v>
          </cell>
          <cell r="EA1">
            <v>32</v>
          </cell>
          <cell r="ED1" t="str">
            <v>Trucking</v>
          </cell>
          <cell r="EE1">
            <v>42</v>
          </cell>
          <cell r="EH1" t="str">
            <v>Shipping</v>
          </cell>
          <cell r="EI1">
            <v>15</v>
          </cell>
          <cell r="EL1" t="str">
            <v>Rail</v>
          </cell>
          <cell r="EM1">
            <v>56</v>
          </cell>
          <cell r="EP1" t="str">
            <v>IT Services</v>
          </cell>
          <cell r="EQ1">
            <v>41</v>
          </cell>
          <cell r="ET1" t="str">
            <v>Software</v>
          </cell>
          <cell r="EU1">
            <v>32</v>
          </cell>
          <cell r="EX1" t="str">
            <v>Semiconductors</v>
          </cell>
          <cell r="EY1">
            <v>66</v>
          </cell>
          <cell r="FB1" t="str">
            <v>Biotech</v>
          </cell>
          <cell r="FC1">
            <v>22</v>
          </cell>
          <cell r="FF1" t="str">
            <v>Telecom</v>
          </cell>
          <cell r="FG1">
            <v>122</v>
          </cell>
          <cell r="FJ1" t="str">
            <v>Cable/Satellite TV</v>
          </cell>
          <cell r="FK1">
            <v>37</v>
          </cell>
          <cell r="FN1" t="str">
            <v>Airlines</v>
          </cell>
          <cell r="FO1">
            <v>105</v>
          </cell>
          <cell r="FR1" t="str">
            <v>Cruise Lines</v>
          </cell>
          <cell r="FS1">
            <v>17</v>
          </cell>
          <cell r="FV1" t="str">
            <v>Automobiles</v>
          </cell>
          <cell r="FW1">
            <v>50</v>
          </cell>
          <cell r="FZ1" t="str">
            <v>Pipeline Operations</v>
          </cell>
          <cell r="GA1">
            <v>12</v>
          </cell>
          <cell r="GD1" t="str">
            <v>Refinery Operations</v>
          </cell>
          <cell r="GE1">
            <v>20</v>
          </cell>
          <cell r="GH1" t="str">
            <v>Internet</v>
          </cell>
          <cell r="GI1">
            <v>12</v>
          </cell>
          <cell r="GL1" t="str">
            <v>Beverage Mfg</v>
          </cell>
          <cell r="GM1">
            <v>29</v>
          </cell>
          <cell r="GP1" t="str">
            <v>Food/Tobacco</v>
          </cell>
          <cell r="GQ1">
            <v>38</v>
          </cell>
          <cell r="GT1" t="str">
            <v>Entertainment</v>
          </cell>
          <cell r="GU1">
            <v>70</v>
          </cell>
          <cell r="GX1" t="str">
            <v>Soccer/Football Clubs</v>
          </cell>
          <cell r="GY1">
            <v>10</v>
          </cell>
          <cell r="HB1" t="str">
            <v>Limited Partnerships</v>
          </cell>
          <cell r="HC1">
            <v>66</v>
          </cell>
          <cell r="HF1" t="str">
            <v>Retail</v>
          </cell>
          <cell r="HG1">
            <v>38</v>
          </cell>
          <cell r="HJ1" t="str">
            <v>Chemicals</v>
          </cell>
          <cell r="HK1">
            <v>20</v>
          </cell>
          <cell r="HN1" t="str">
            <v>Engineering &amp; Constr</v>
          </cell>
          <cell r="HO1">
            <v>9</v>
          </cell>
          <cell r="HR1" t="str">
            <v>Forest Products</v>
          </cell>
          <cell r="HS1">
            <v>21</v>
          </cell>
          <cell r="HV1" t="str">
            <v>Bank</v>
          </cell>
          <cell r="HW1">
            <v>147</v>
          </cell>
          <cell r="HZ1" t="str">
            <v>Insurance</v>
          </cell>
          <cell r="IA1">
            <v>132</v>
          </cell>
          <cell r="ID1" t="str">
            <v>Internet</v>
          </cell>
          <cell r="IE1">
            <v>38</v>
          </cell>
          <cell r="IH1" t="str">
            <v>Financial Services</v>
          </cell>
          <cell r="II1">
            <v>104</v>
          </cell>
          <cell r="IL1" t="str">
            <v>Biofuel</v>
          </cell>
          <cell r="IM1">
            <v>40</v>
          </cell>
          <cell r="IP1" t="str">
            <v>Utility</v>
          </cell>
          <cell r="IQ1">
            <v>148</v>
          </cell>
          <cell r="IT1" t="str">
            <v>Solar Energy</v>
          </cell>
          <cell r="IU1">
            <v>12</v>
          </cell>
          <cell r="IX1" t="str">
            <v>Banking Analysis</v>
          </cell>
          <cell r="IY1">
            <v>131</v>
          </cell>
          <cell r="JB1" t="str">
            <v>Insurance Analysis</v>
          </cell>
          <cell r="JC1">
            <v>132</v>
          </cell>
          <cell r="JF1" t="str">
            <v>Auto Retail Stores</v>
          </cell>
          <cell r="JG1">
            <v>20</v>
          </cell>
          <cell r="JJ1" t="str">
            <v>Food Retailers</v>
          </cell>
          <cell r="JK1">
            <v>34</v>
          </cell>
          <cell r="JO1" t="str">
            <v>Info Services</v>
          </cell>
          <cell r="JP1">
            <v>31</v>
          </cell>
        </row>
        <row r="2">
          <cell r="A2">
            <v>1</v>
          </cell>
          <cell r="B2" t="str">
            <v>Steel</v>
          </cell>
          <cell r="C2" t="str">
            <v>GLABEL</v>
          </cell>
          <cell r="D2"/>
          <cell r="E2" t="str">
            <v>BOLD</v>
          </cell>
          <cell r="F2" t="str">
            <v>Credit Cards</v>
          </cell>
          <cell r="G2" t="str">
            <v>GLABEL</v>
          </cell>
          <cell r="H2"/>
          <cell r="I2" t="str">
            <v>BOLD</v>
          </cell>
          <cell r="J2" t="str">
            <v>Copper Summary</v>
          </cell>
          <cell r="K2" t="str">
            <v>GLABEL</v>
          </cell>
          <cell r="L2"/>
          <cell r="M2" t="str">
            <v>BOLD</v>
          </cell>
          <cell r="N2" t="str">
            <v>Silver Summary</v>
          </cell>
          <cell r="O2" t="str">
            <v>GLABEL</v>
          </cell>
          <cell r="P2"/>
          <cell r="Q2" t="str">
            <v>BOLD</v>
          </cell>
          <cell r="R2" t="str">
            <v>Gold Summary</v>
          </cell>
          <cell r="S2" t="str">
            <v>GLABEL</v>
          </cell>
          <cell r="T2"/>
          <cell r="U2" t="str">
            <v>BOLD</v>
          </cell>
          <cell r="V2" t="str">
            <v>Mining - Sales</v>
          </cell>
          <cell r="W2" t="str">
            <v>GLABEL</v>
          </cell>
          <cell r="X2"/>
          <cell r="Y2" t="str">
            <v>BOLD</v>
          </cell>
          <cell r="Z2" t="str">
            <v>Mining - Forecast</v>
          </cell>
          <cell r="AA2" t="str">
            <v>GLABEL</v>
          </cell>
          <cell r="AB2"/>
          <cell r="AC2" t="str">
            <v>BOLD</v>
          </cell>
          <cell r="AD2" t="str">
            <v>Mining - Production</v>
          </cell>
          <cell r="AE2" t="str">
            <v>GLABEL</v>
          </cell>
          <cell r="AF2"/>
          <cell r="AG2" t="str">
            <v>BOLD</v>
          </cell>
          <cell r="AH2" t="str">
            <v>Mining - Reserves</v>
          </cell>
          <cell r="AI2" t="str">
            <v>GLABEL</v>
          </cell>
          <cell r="AJ2"/>
          <cell r="AK2" t="str">
            <v>BOLD</v>
          </cell>
          <cell r="AL2" t="str">
            <v>Mining - Resources</v>
          </cell>
          <cell r="AM2" t="str">
            <v>GLABEL</v>
          </cell>
          <cell r="AN2"/>
          <cell r="AO2" t="str">
            <v>BOLD</v>
          </cell>
          <cell r="AP2" t="str">
            <v>Takaful Insurance</v>
          </cell>
          <cell r="AQ2" t="str">
            <v>GLABEL</v>
          </cell>
          <cell r="AR2"/>
          <cell r="AS2" t="str">
            <v>BOLD</v>
          </cell>
          <cell r="AT2" t="str">
            <v>Precious Metals</v>
          </cell>
          <cell r="AU2" t="str">
            <v>GLABEL</v>
          </cell>
          <cell r="AV2"/>
          <cell r="AW2" t="str">
            <v>BOLD</v>
          </cell>
          <cell r="AX2" t="str">
            <v>Drilling Activity</v>
          </cell>
          <cell r="AY2" t="str">
            <v>GLABEL</v>
          </cell>
          <cell r="AZ2"/>
          <cell r="BA2" t="str">
            <v>BOLD</v>
          </cell>
          <cell r="BB2" t="str">
            <v>Geo Results</v>
          </cell>
          <cell r="BC2" t="str">
            <v>GLABEL</v>
          </cell>
          <cell r="BD2"/>
          <cell r="BE2" t="str">
            <v>BOLD</v>
          </cell>
          <cell r="BF2" t="str">
            <v>Discounted Cashflows</v>
          </cell>
          <cell r="BG2" t="str">
            <v>GLABEL</v>
          </cell>
          <cell r="BH2"/>
          <cell r="BI2" t="str">
            <v>BOLD</v>
          </cell>
          <cell r="BJ2" t="str">
            <v>Costs &amp; Ratios</v>
          </cell>
          <cell r="BK2" t="str">
            <v>GLABEL</v>
          </cell>
          <cell r="BL2"/>
          <cell r="BM2" t="str">
            <v>BOLD</v>
          </cell>
          <cell r="BN2" t="str">
            <v>Geo Production</v>
          </cell>
          <cell r="BO2" t="str">
            <v>GLABEL</v>
          </cell>
          <cell r="BP2"/>
          <cell r="BQ2" t="str">
            <v>BOLD</v>
          </cell>
          <cell r="BR2" t="str">
            <v>Production &amp; Prices</v>
          </cell>
          <cell r="BS2" t="str">
            <v>GLABEL</v>
          </cell>
          <cell r="BT2"/>
          <cell r="BU2" t="str">
            <v>BOLD</v>
          </cell>
          <cell r="BV2" t="str">
            <v>Gas Reserves (BCF)</v>
          </cell>
          <cell r="BW2" t="str">
            <v>GLABEL</v>
          </cell>
          <cell r="BX2"/>
          <cell r="BY2" t="str">
            <v>BOLD</v>
          </cell>
          <cell r="BZ2" t="str">
            <v>Oil Reserves (MMBBL)</v>
          </cell>
          <cell r="CA2" t="str">
            <v>GLABEL</v>
          </cell>
          <cell r="CB2"/>
          <cell r="CC2" t="str">
            <v>BOLD</v>
          </cell>
          <cell r="CD2" t="str">
            <v>MMBOE Reserves</v>
          </cell>
          <cell r="CE2" t="str">
            <v>GLABEL</v>
          </cell>
          <cell r="CF2"/>
          <cell r="CG2" t="str">
            <v>BOLD</v>
          </cell>
          <cell r="CH2" t="str">
            <v>Selected Energy Items</v>
          </cell>
          <cell r="CI2" t="str">
            <v>GLABEL</v>
          </cell>
          <cell r="CJ2"/>
          <cell r="CK2" t="str">
            <v>BOLD</v>
          </cell>
          <cell r="CL2" t="str">
            <v>Cement</v>
          </cell>
          <cell r="CM2" t="str">
            <v>GLABEL</v>
          </cell>
          <cell r="CN2"/>
          <cell r="CO2" t="str">
            <v>BOLD</v>
          </cell>
          <cell r="CP2" t="str">
            <v>Base Metals</v>
          </cell>
          <cell r="CQ2" t="str">
            <v>GLABEL</v>
          </cell>
          <cell r="CR2"/>
          <cell r="CS2" t="str">
            <v>BOLD</v>
          </cell>
          <cell r="CT2" t="str">
            <v>Pharmacy Benefits</v>
          </cell>
          <cell r="CU2" t="str">
            <v>GLABEL</v>
          </cell>
          <cell r="CV2"/>
          <cell r="CW2" t="str">
            <v>BOLD</v>
          </cell>
          <cell r="CX2" t="str">
            <v>Capital Expenditures</v>
          </cell>
          <cell r="CY2" t="str">
            <v>GLABEL</v>
          </cell>
          <cell r="CZ2"/>
          <cell r="DA2" t="str">
            <v>BOLD</v>
          </cell>
          <cell r="DB2" t="str">
            <v>Property Analysis</v>
          </cell>
          <cell r="DC2" t="str">
            <v>GLABEL</v>
          </cell>
          <cell r="DD2"/>
          <cell r="DE2" t="str">
            <v>BOLD</v>
          </cell>
          <cell r="DF2" t="str">
            <v>FFO Analysis</v>
          </cell>
          <cell r="DG2" t="str">
            <v>GLABEL</v>
          </cell>
          <cell r="DH2"/>
          <cell r="DI2" t="str">
            <v>BOLD</v>
          </cell>
          <cell r="DJ2" t="str">
            <v>Hotels</v>
          </cell>
          <cell r="DK2" t="str">
            <v>GLABEL</v>
          </cell>
          <cell r="DL2"/>
          <cell r="DM2" t="str">
            <v>BOLD</v>
          </cell>
          <cell r="DN2" t="str">
            <v>Home Builders</v>
          </cell>
          <cell r="DO2" t="str">
            <v>GLABEL</v>
          </cell>
          <cell r="DP2"/>
          <cell r="DQ2" t="str">
            <v>BOLD</v>
          </cell>
          <cell r="DR2" t="str">
            <v>Hospitals</v>
          </cell>
          <cell r="DS2" t="str">
            <v>GLABEL</v>
          </cell>
          <cell r="DT2"/>
          <cell r="DU2" t="str">
            <v>BOLD</v>
          </cell>
          <cell r="DV2" t="str">
            <v>Water</v>
          </cell>
          <cell r="DW2" t="str">
            <v>GLABEL</v>
          </cell>
          <cell r="DX2"/>
          <cell r="DY2" t="str">
            <v>BOLD</v>
          </cell>
          <cell r="DZ2" t="str">
            <v>Managed Care</v>
          </cell>
          <cell r="EA2" t="str">
            <v>GLABEL</v>
          </cell>
          <cell r="EB2"/>
          <cell r="EC2" t="str">
            <v>BOLD</v>
          </cell>
          <cell r="ED2" t="str">
            <v>Trucking</v>
          </cell>
          <cell r="EH2" t="str">
            <v>Shipping</v>
          </cell>
          <cell r="EI2" t="str">
            <v>GLABEL</v>
          </cell>
          <cell r="EL2" t="str">
            <v>Rail</v>
          </cell>
          <cell r="EM2" t="str">
            <v>GLABEL</v>
          </cell>
          <cell r="EP2" t="str">
            <v>IT Services</v>
          </cell>
          <cell r="EQ2" t="str">
            <v>GLABEL</v>
          </cell>
          <cell r="ET2" t="str">
            <v>Software</v>
          </cell>
          <cell r="EU2" t="str">
            <v>GLABEL</v>
          </cell>
          <cell r="EX2" t="str">
            <v>Semiconductors</v>
          </cell>
          <cell r="EY2" t="str">
            <v>GLABEL</v>
          </cell>
          <cell r="FB2" t="str">
            <v>Biotech</v>
          </cell>
          <cell r="FC2" t="str">
            <v>GLABEL</v>
          </cell>
          <cell r="FF2" t="str">
            <v>Telecom</v>
          </cell>
          <cell r="FG2" t="str">
            <v>GLABEL</v>
          </cell>
          <cell r="FJ2" t="str">
            <v>Cable/Satellite TV</v>
          </cell>
          <cell r="FK2" t="str">
            <v>GLABEL</v>
          </cell>
          <cell r="FN2" t="str">
            <v>Airlines</v>
          </cell>
          <cell r="FO2" t="str">
            <v>GLABEL</v>
          </cell>
          <cell r="FR2" t="str">
            <v>Cruise Lines</v>
          </cell>
          <cell r="FS2" t="str">
            <v>GLABEL</v>
          </cell>
          <cell r="FV2" t="str">
            <v>Automobiles</v>
          </cell>
          <cell r="FW2" t="str">
            <v>GLABEL</v>
          </cell>
          <cell r="FZ2" t="str">
            <v>Pipeline Operations</v>
          </cell>
          <cell r="GA2" t="str">
            <v>GLABEL</v>
          </cell>
          <cell r="GD2" t="str">
            <v>Refinery Operations</v>
          </cell>
          <cell r="GE2" t="str">
            <v>GLABEL</v>
          </cell>
          <cell r="GH2" t="str">
            <v>Internet</v>
          </cell>
          <cell r="GI2" t="str">
            <v>GLABEL</v>
          </cell>
          <cell r="GL2" t="str">
            <v>Beverage Mfg</v>
          </cell>
          <cell r="GM2" t="str">
            <v>GLABEL</v>
          </cell>
          <cell r="GP2" t="str">
            <v>Food/Tobacco</v>
          </cell>
          <cell r="GQ2" t="str">
            <v>GLABEL</v>
          </cell>
          <cell r="GT2" t="str">
            <v>Entertainment</v>
          </cell>
          <cell r="GU2" t="str">
            <v>GLABEL</v>
          </cell>
          <cell r="GX2" t="str">
            <v>Soccer/Football Clubs</v>
          </cell>
          <cell r="GY2" t="str">
            <v>GLABEL</v>
          </cell>
          <cell r="HB2" t="str">
            <v>Limited Partnerships</v>
          </cell>
          <cell r="HC2" t="str">
            <v>GLABEL</v>
          </cell>
          <cell r="HF2" t="str">
            <v>Retail</v>
          </cell>
          <cell r="HG2" t="str">
            <v>GLABEL</v>
          </cell>
          <cell r="HJ2" t="str">
            <v>Chemicals</v>
          </cell>
          <cell r="HK2" t="str">
            <v>GLABEL</v>
          </cell>
          <cell r="HN2" t="str">
            <v>Engineering &amp; Constr</v>
          </cell>
          <cell r="HO2" t="str">
            <v>GLABEL</v>
          </cell>
          <cell r="HR2" t="str">
            <v>Forest Products</v>
          </cell>
          <cell r="HS2" t="str">
            <v>GLABEL</v>
          </cell>
          <cell r="HV2" t="str">
            <v>Bank</v>
          </cell>
          <cell r="HW2" t="str">
            <v>GLABEL</v>
          </cell>
          <cell r="HZ2" t="str">
            <v>Insurance</v>
          </cell>
          <cell r="IA2" t="str">
            <v>GLABEL</v>
          </cell>
          <cell r="ID2" t="str">
            <v>Internet</v>
          </cell>
          <cell r="IE2" t="str">
            <v>GLABEL</v>
          </cell>
          <cell r="IH2" t="str">
            <v>Financial Services</v>
          </cell>
          <cell r="II2" t="str">
            <v>GLABEL</v>
          </cell>
          <cell r="IL2" t="str">
            <v>Biofuel</v>
          </cell>
          <cell r="IM2" t="str">
            <v>GLABEL</v>
          </cell>
          <cell r="IP2" t="str">
            <v>Utility</v>
          </cell>
          <cell r="IQ2" t="str">
            <v>GLABEL</v>
          </cell>
          <cell r="IT2" t="str">
            <v>Solar Energy</v>
          </cell>
          <cell r="IU2" t="str">
            <v>GLABEL</v>
          </cell>
          <cell r="IX2" t="str">
            <v>Banking Analysis</v>
          </cell>
          <cell r="IY2" t="str">
            <v>GLABEL</v>
          </cell>
          <cell r="JB2" t="str">
            <v>Insurance Analysis</v>
          </cell>
          <cell r="JC2" t="str">
            <v>GLABEL</v>
          </cell>
          <cell r="JF2" t="str">
            <v>Auto Retail Stores</v>
          </cell>
          <cell r="JG2" t="str">
            <v>GLABEL</v>
          </cell>
          <cell r="JJ2" t="str">
            <v>Food Retailers</v>
          </cell>
          <cell r="JK2" t="str">
            <v>GLABEL</v>
          </cell>
          <cell r="JO2" t="str">
            <v>Info Services</v>
          </cell>
          <cell r="JP2" t="str">
            <v>GLABEL</v>
          </cell>
        </row>
        <row r="3">
          <cell r="A3">
            <v>2</v>
          </cell>
          <cell r="B3" t="str">
            <v>Revenue</v>
          </cell>
          <cell r="C3" t="str">
            <v>SALES_REV_TURN</v>
          </cell>
          <cell r="D3"/>
          <cell r="E3" t="str">
            <v>BOLD</v>
          </cell>
          <cell r="F3" t="str">
            <v>Networks and Transaction Processing</v>
          </cell>
          <cell r="G3" t="str">
            <v>LABEL</v>
          </cell>
          <cell r="H3"/>
          <cell r="I3" t="str">
            <v>BOLD</v>
          </cell>
          <cell r="J3" t="str">
            <v>Reserves &amp; Resources</v>
          </cell>
          <cell r="K3" t="str">
            <v>LABEL</v>
          </cell>
          <cell r="L3"/>
          <cell r="M3" t="str">
            <v>BOLD</v>
          </cell>
          <cell r="N3" t="str">
            <v>Reserves &amp; Resources</v>
          </cell>
          <cell r="O3" t="str">
            <v>LABEL</v>
          </cell>
          <cell r="P3"/>
          <cell r="Q3" t="str">
            <v>BOLD</v>
          </cell>
          <cell r="R3" t="str">
            <v>Reserves &amp; Resources</v>
          </cell>
          <cell r="S3" t="str">
            <v>LABEL</v>
          </cell>
          <cell r="T3"/>
          <cell r="U3" t="str">
            <v>BOLD</v>
          </cell>
          <cell r="V3" t="str">
            <v>Sales Volume</v>
          </cell>
          <cell r="W3" t="str">
            <v>LABEL</v>
          </cell>
          <cell r="X3"/>
          <cell r="Y3" t="str">
            <v>BOLD</v>
          </cell>
          <cell r="Z3" t="str">
            <v>One-Year Production Forecast</v>
          </cell>
          <cell r="AA3" t="str">
            <v>LABEL</v>
          </cell>
          <cell r="AB3"/>
          <cell r="AC3" t="str">
            <v>BOLD</v>
          </cell>
          <cell r="AD3" t="str">
            <v>Production</v>
          </cell>
          <cell r="AE3" t="str">
            <v>LABEL</v>
          </cell>
          <cell r="AF3"/>
          <cell r="AG3" t="str">
            <v>BOLD</v>
          </cell>
          <cell r="AH3" t="str">
            <v>Proven &amp; Probable Reserves</v>
          </cell>
          <cell r="AI3" t="str">
            <v>LABEL</v>
          </cell>
          <cell r="AJ3"/>
          <cell r="AK3" t="str">
            <v>BOLD</v>
          </cell>
          <cell r="AL3" t="str">
            <v>Measured &amp; Indicated Resources</v>
          </cell>
          <cell r="AM3" t="str">
            <v>LABEL</v>
          </cell>
          <cell r="AN3"/>
          <cell r="AO3" t="str">
            <v>BOLD</v>
          </cell>
          <cell r="AP3" t="str">
            <v>Income Statement (Policyholders)</v>
          </cell>
          <cell r="AQ3" t="str">
            <v>LABEL</v>
          </cell>
          <cell r="AR3"/>
          <cell r="AS3" t="str">
            <v>BOLD</v>
          </cell>
          <cell r="AT3" t="str">
            <v>Reserves &amp; Resources</v>
          </cell>
          <cell r="AU3" t="str">
            <v>LABEL</v>
          </cell>
          <cell r="AV3"/>
          <cell r="AW3" t="str">
            <v>BOLD</v>
          </cell>
          <cell r="AX3" t="str">
            <v>New Wells</v>
          </cell>
          <cell r="AY3" t="str">
            <v>LABEL</v>
          </cell>
          <cell r="AZ3"/>
          <cell r="BA3" t="str">
            <v>BOLD</v>
          </cell>
          <cell r="BB3" t="str">
            <v>North America</v>
          </cell>
          <cell r="BC3" t="str">
            <v>LABEL</v>
          </cell>
          <cell r="BD3"/>
          <cell r="BE3" t="str">
            <v>BOLD</v>
          </cell>
          <cell r="BF3" t="str">
            <v>Discounted Cash Flows</v>
          </cell>
          <cell r="BG3" t="str">
            <v>LABEL</v>
          </cell>
          <cell r="BH3"/>
          <cell r="BI3" t="str">
            <v>BOLD</v>
          </cell>
          <cell r="BJ3" t="str">
            <v>Costs</v>
          </cell>
          <cell r="BK3" t="str">
            <v>LABEL</v>
          </cell>
          <cell r="BL3"/>
          <cell r="BM3" t="str">
            <v>BOLD</v>
          </cell>
          <cell r="BN3" t="str">
            <v>North America</v>
          </cell>
          <cell r="BO3" t="str">
            <v>LABEL</v>
          </cell>
          <cell r="BP3"/>
          <cell r="BQ3" t="str">
            <v>BOLD</v>
          </cell>
          <cell r="BR3" t="str">
            <v>Worldwide</v>
          </cell>
          <cell r="BS3" t="str">
            <v>LABEL</v>
          </cell>
          <cell r="BT3"/>
          <cell r="BU3" t="str">
            <v>BOLD</v>
          </cell>
          <cell r="BV3" t="str">
            <v>Worldwide</v>
          </cell>
          <cell r="BW3" t="str">
            <v>LABEL</v>
          </cell>
          <cell r="BX3"/>
          <cell r="BY3" t="str">
            <v>BOLD</v>
          </cell>
          <cell r="BZ3" t="str">
            <v>Worldwide</v>
          </cell>
          <cell r="CA3" t="str">
            <v>LABEL</v>
          </cell>
          <cell r="CB3"/>
          <cell r="CC3" t="str">
            <v>BOLD</v>
          </cell>
          <cell r="CD3" t="str">
            <v>Worldwide</v>
          </cell>
          <cell r="CE3" t="str">
            <v>LABEL</v>
          </cell>
          <cell r="CF3"/>
          <cell r="CG3" t="str">
            <v>BOLD</v>
          </cell>
          <cell r="CH3" t="str">
            <v>Data Highlights</v>
          </cell>
          <cell r="CI3" t="str">
            <v>LABEL</v>
          </cell>
          <cell r="CJ3"/>
          <cell r="CK3" t="str">
            <v>BOLD</v>
          </cell>
          <cell r="CL3" t="str">
            <v>Cement</v>
          </cell>
          <cell r="CM3" t="str">
            <v>LABEL</v>
          </cell>
          <cell r="CN3"/>
          <cell r="CO3" t="str">
            <v>BOLD</v>
          </cell>
          <cell r="CP3" t="str">
            <v>Featured Production Breakout</v>
          </cell>
          <cell r="CQ3" t="str">
            <v>LABEL</v>
          </cell>
          <cell r="CR3"/>
          <cell r="CS3" t="str">
            <v>BOLD</v>
          </cell>
          <cell r="CT3" t="str">
            <v>Claims</v>
          </cell>
          <cell r="CU3" t="str">
            <v>LABEL</v>
          </cell>
          <cell r="CV3"/>
          <cell r="CW3" t="str">
            <v>BOLD</v>
          </cell>
          <cell r="CX3" t="str">
            <v>Capital Expenditures</v>
          </cell>
          <cell r="CY3" t="str">
            <v>CAPITAL_EXPEND</v>
          </cell>
          <cell r="CZ3"/>
          <cell r="DA3" t="str">
            <v>BOLD</v>
          </cell>
          <cell r="DB3" t="str">
            <v>No. of properties</v>
          </cell>
          <cell r="DC3" t="str">
            <v>IS_NUMBER_OF_PROPERTIES</v>
          </cell>
          <cell r="DD3"/>
          <cell r="DE3" t="str">
            <v>BOLD</v>
          </cell>
          <cell r="DF3" t="str">
            <v>FFO</v>
          </cell>
          <cell r="DG3" t="str">
            <v>CF_FFO</v>
          </cell>
          <cell r="DH3"/>
          <cell r="DI3" t="str">
            <v>BOLD</v>
          </cell>
          <cell r="DJ3" t="str">
            <v>Hotels</v>
          </cell>
          <cell r="DK3" t="str">
            <v>LABEL</v>
          </cell>
          <cell r="DL3"/>
          <cell r="DM3" t="str">
            <v>BOLD</v>
          </cell>
          <cell r="DN3" t="str">
            <v>Housing Statistics</v>
          </cell>
          <cell r="DO3" t="str">
            <v>LABEL</v>
          </cell>
          <cell r="DP3"/>
          <cell r="DQ3" t="str">
            <v>BOLD</v>
          </cell>
          <cell r="DR3" t="str">
            <v>Continuing Operations Statistics</v>
          </cell>
          <cell r="DS3" t="str">
            <v>LABEL</v>
          </cell>
          <cell r="DT3"/>
          <cell r="DU3" t="str">
            <v>BOLD</v>
          </cell>
          <cell r="DV3" t="str">
            <v>Water Inventory</v>
          </cell>
          <cell r="DW3" t="str">
            <v>WATER_INVENTORY</v>
          </cell>
          <cell r="DX3"/>
          <cell r="DY3" t="str">
            <v>BOLD</v>
          </cell>
          <cell r="DZ3" t="str">
            <v>Enrollment Data</v>
          </cell>
          <cell r="EA3" t="str">
            <v>LABEL</v>
          </cell>
          <cell r="EB3"/>
          <cell r="EC3" t="str">
            <v>BOLD</v>
          </cell>
          <cell r="ED3" t="str">
            <v>Profitability</v>
          </cell>
          <cell r="EE3" t="str">
            <v>LABEL</v>
          </cell>
          <cell r="EF3"/>
          <cell r="EG3" t="str">
            <v>BOLD</v>
          </cell>
          <cell r="EH3" t="str">
            <v>Shipping Fleet</v>
          </cell>
          <cell r="EI3" t="str">
            <v>SHIPPING_FLEET</v>
          </cell>
          <cell r="EJ3"/>
          <cell r="EK3" t="str">
            <v>BOLD</v>
          </cell>
          <cell r="EL3" t="str">
            <v>Operating Statistics</v>
          </cell>
          <cell r="EM3" t="str">
            <v>LABEL</v>
          </cell>
          <cell r="EN3"/>
          <cell r="EO3" t="str">
            <v>BOLD</v>
          </cell>
          <cell r="EP3" t="str">
            <v>Employee Metrics</v>
          </cell>
          <cell r="EQ3" t="str">
            <v>LABEL</v>
          </cell>
          <cell r="ER3"/>
          <cell r="ES3" t="str">
            <v>BOLD</v>
          </cell>
          <cell r="ET3" t="str">
            <v>Software Related Revenue:</v>
          </cell>
          <cell r="EU3" t="str">
            <v>LABEL</v>
          </cell>
          <cell r="EV3"/>
          <cell r="EW3" t="str">
            <v>BOLD</v>
          </cell>
          <cell r="EX3" t="str">
            <v>Disclosure by Measure</v>
          </cell>
          <cell r="EY3" t="str">
            <v>LABEL</v>
          </cell>
          <cell r="EZ3"/>
          <cell r="FA3" t="str">
            <v>BOLD</v>
          </cell>
          <cell r="FB3" t="str">
            <v>Revenue</v>
          </cell>
          <cell r="FC3" t="str">
            <v>SALES_REV_TURN</v>
          </cell>
          <cell r="FD3"/>
          <cell r="FE3" t="str">
            <v>BOLD</v>
          </cell>
          <cell r="FF3" t="str">
            <v>Wireless</v>
          </cell>
          <cell r="FG3" t="str">
            <v>LABEL</v>
          </cell>
          <cell r="FH3"/>
          <cell r="FI3" t="str">
            <v>BOLD</v>
          </cell>
          <cell r="FJ3" t="str">
            <v>U.S. TV/Radio Service Subscribers</v>
          </cell>
          <cell r="FK3" t="str">
            <v>LABEL</v>
          </cell>
          <cell r="FL3"/>
          <cell r="FM3" t="str">
            <v>BOLD</v>
          </cell>
          <cell r="FN3" t="str">
            <v>Passenger Load Factor Analysis</v>
          </cell>
          <cell r="FO3" t="str">
            <v>LABEL</v>
          </cell>
          <cell r="FP3"/>
          <cell r="FQ3" t="str">
            <v>BOLD</v>
          </cell>
          <cell r="FR3" t="str">
            <v>Ships in Service</v>
          </cell>
          <cell r="FS3" t="str">
            <v>NUM_OF_SHIPS_IN_SERVICE_CRUISE</v>
          </cell>
          <cell r="FT3"/>
          <cell r="FU3" t="str">
            <v>BOLD</v>
          </cell>
          <cell r="FV3" t="str">
            <v>Vehicles Sold</v>
          </cell>
          <cell r="FW3" t="str">
            <v>LABEL</v>
          </cell>
          <cell r="FX3"/>
          <cell r="FY3" t="str">
            <v>BOLD</v>
          </cell>
          <cell r="FZ3" t="str">
            <v>Pipeline Operations</v>
          </cell>
          <cell r="GA3" t="str">
            <v>LABEL</v>
          </cell>
          <cell r="GB3"/>
          <cell r="GC3" t="str">
            <v>BOLD</v>
          </cell>
          <cell r="GD3" t="str">
            <v>Financial Data</v>
          </cell>
          <cell r="GE3" t="str">
            <v>LABEL</v>
          </cell>
          <cell r="GF3"/>
          <cell r="GG3" t="str">
            <v>BOLD</v>
          </cell>
          <cell r="GH3" t="str">
            <v>Cash Flow</v>
          </cell>
          <cell r="GI3" t="str">
            <v>LABEL</v>
          </cell>
          <cell r="GJ3"/>
          <cell r="GK3" t="str">
            <v>BOLD</v>
          </cell>
          <cell r="GL3" t="str">
            <v>Industry Specific Analysis</v>
          </cell>
          <cell r="GM3" t="str">
            <v>LABEL</v>
          </cell>
          <cell r="GN3"/>
          <cell r="GO3" t="str">
            <v>BOLD</v>
          </cell>
          <cell r="GP3" t="str">
            <v>Inventory Analysis</v>
          </cell>
          <cell r="GQ3" t="str">
            <v>LABEL</v>
          </cell>
          <cell r="GR3"/>
          <cell r="GS3" t="str">
            <v>BOLD</v>
          </cell>
          <cell r="GT3" t="str">
            <v>Gaming</v>
          </cell>
          <cell r="GU3" t="str">
            <v>LABEL</v>
          </cell>
          <cell r="GV3"/>
          <cell r="GW3" t="str">
            <v>BOLD</v>
          </cell>
          <cell r="GX3" t="str">
            <v>Transfer Fees Receiv/Pay</v>
          </cell>
          <cell r="GY3" t="str">
            <v>TRANS_FEES_RECVBLE_PAYABLE</v>
          </cell>
          <cell r="GZ3"/>
          <cell r="HA3" t="str">
            <v>BOLD</v>
          </cell>
          <cell r="HB3" t="str">
            <v>Limited Partner Asset Allocation</v>
          </cell>
          <cell r="HC3" t="str">
            <v>LABEL</v>
          </cell>
          <cell r="HD3"/>
          <cell r="HE3" t="str">
            <v>BOLD</v>
          </cell>
          <cell r="HF3" t="str">
            <v>Retail sales</v>
          </cell>
          <cell r="HG3" t="str">
            <v>LABEL</v>
          </cell>
          <cell r="HH3"/>
          <cell r="HI3" t="str">
            <v>BOLD</v>
          </cell>
          <cell r="HJ3" t="str">
            <v>Potash Capacity</v>
          </cell>
          <cell r="HK3" t="str">
            <v>CHEMICALS_POTASH_CAPACITY</v>
          </cell>
          <cell r="HL3"/>
          <cell r="HM3" t="str">
            <v>BOLD</v>
          </cell>
          <cell r="HN3" t="str">
            <v>Construction Backlog</v>
          </cell>
          <cell r="HO3" t="str">
            <v>CONST_BACKLOG</v>
          </cell>
          <cell r="HP3"/>
          <cell r="HQ3" t="str">
            <v>BOLD</v>
          </cell>
          <cell r="HR3" t="str">
            <v>Total Acreage</v>
          </cell>
          <cell r="HS3" t="str">
            <v>FORESTRY_TOTAL_ACREAGE</v>
          </cell>
          <cell r="HT3"/>
          <cell r="HU3" t="str">
            <v>BOLD</v>
          </cell>
          <cell r="HV3" t="str">
            <v>Profitability</v>
          </cell>
          <cell r="HW3" t="str">
            <v>LABEL</v>
          </cell>
          <cell r="HX3"/>
          <cell r="HY3" t="str">
            <v>BOLD</v>
          </cell>
          <cell r="HZ3" t="str">
            <v>Underwriting Factors</v>
          </cell>
          <cell r="IA3" t="str">
            <v>LABEL</v>
          </cell>
          <cell r="IB3"/>
          <cell r="IC3" t="str">
            <v>BOLD</v>
          </cell>
          <cell r="ID3" t="str">
            <v>Cash Flow</v>
          </cell>
          <cell r="IE3" t="str">
            <v>LABEL</v>
          </cell>
          <cell r="IF3"/>
          <cell r="IG3" t="str">
            <v>BOLD</v>
          </cell>
          <cell r="IH3" t="str">
            <v>Profitability</v>
          </cell>
          <cell r="II3" t="str">
            <v>LABEL</v>
          </cell>
          <cell r="IJ3"/>
          <cell r="IK3" t="str">
            <v>BOLD</v>
          </cell>
          <cell r="IL3" t="str">
            <v>Ethanol</v>
          </cell>
          <cell r="IM3" t="str">
            <v>LABEL</v>
          </cell>
          <cell r="IN3"/>
          <cell r="IO3" t="str">
            <v>BOLD</v>
          </cell>
          <cell r="IP3" t="str">
            <v>Electric Sales Volume (MM kWh)</v>
          </cell>
          <cell r="IQ3" t="str">
            <v>LABEL</v>
          </cell>
          <cell r="IR3"/>
          <cell r="IS3" t="str">
            <v>BOLD</v>
          </cell>
          <cell r="IT3" t="str">
            <v>Company Reported Solar Factors</v>
          </cell>
          <cell r="IU3" t="str">
            <v>LABEL</v>
          </cell>
          <cell r="IV3"/>
          <cell r="IW3" t="str">
            <v>BOLD</v>
          </cell>
          <cell r="IX3" t="str">
            <v>Profitability</v>
          </cell>
          <cell r="IY3" t="str">
            <v>LABEL</v>
          </cell>
          <cell r="IZ3"/>
          <cell r="JA3" t="str">
            <v>BOLD</v>
          </cell>
          <cell r="JB3" t="str">
            <v>Underwriting Factors</v>
          </cell>
          <cell r="JC3" t="str">
            <v>LABEL</v>
          </cell>
          <cell r="JD3"/>
          <cell r="JE3" t="str">
            <v>BOLD</v>
          </cell>
          <cell r="JF3" t="str">
            <v>Auto Retailer Stores</v>
          </cell>
          <cell r="JG3" t="str">
            <v>LABEL</v>
          </cell>
          <cell r="JH3"/>
          <cell r="JI3" t="str">
            <v>BOLD</v>
          </cell>
          <cell r="JJ3" t="str">
            <v>Sales</v>
          </cell>
          <cell r="JK3" t="str">
            <v>LABEL</v>
          </cell>
          <cell r="JL3"/>
          <cell r="JM3" t="str">
            <v>BOLD</v>
          </cell>
          <cell r="JO3" t="str">
            <v>Revenue Metrics</v>
          </cell>
          <cell r="JP3" t="str">
            <v>LABEL</v>
          </cell>
          <cell r="JQ3"/>
          <cell r="JR3" t="str">
            <v>BOLD</v>
          </cell>
        </row>
        <row r="4">
          <cell r="A4">
            <v>3</v>
          </cell>
          <cell r="B4" t="str">
            <v>Operating Income</v>
          </cell>
          <cell r="C4" t="str">
            <v>IS_OPER_INC</v>
          </cell>
          <cell r="D4"/>
          <cell r="E4" t="str">
            <v>BOLD</v>
          </cell>
          <cell r="F4" t="str">
            <v>Number of Credit and Charge Cards Outstanding</v>
          </cell>
          <cell r="G4" t="str">
            <v>NUM_CRED_CHRG_CARDS_OUTSTDG</v>
          </cell>
          <cell r="H4"/>
          <cell r="I4" t="str">
            <v>BOLD</v>
          </cell>
          <cell r="J4" t="str">
            <v>Proven &amp; Probable Reserves</v>
          </cell>
          <cell r="K4" t="str">
            <v>LABEL</v>
          </cell>
          <cell r="L4"/>
          <cell r="M4" t="str">
            <v>BOLD</v>
          </cell>
          <cell r="N4" t="str">
            <v>Proven &amp; Probable Reserves</v>
          </cell>
          <cell r="O4" t="str">
            <v>LABEL</v>
          </cell>
          <cell r="P4"/>
          <cell r="Q4" t="str">
            <v>BOLD</v>
          </cell>
          <cell r="R4" t="str">
            <v>Proven &amp; Probable Reserves</v>
          </cell>
          <cell r="S4" t="str">
            <v>LABEL</v>
          </cell>
          <cell r="T4"/>
          <cell r="U4" t="str">
            <v>BOLD</v>
          </cell>
          <cell r="V4" t="str">
            <v>Gold (oz)</v>
          </cell>
          <cell r="W4" t="str">
            <v>MINING_GOLD_SOLD</v>
          </cell>
          <cell r="X4"/>
          <cell r="Y4" t="str">
            <v>BOLD</v>
          </cell>
          <cell r="Z4" t="str">
            <v>Gold Forecast (oz)</v>
          </cell>
          <cell r="AA4" t="str">
            <v>MINING_GOLD_PRODUCTION_PLANNED</v>
          </cell>
          <cell r="AB4"/>
          <cell r="AC4" t="str">
            <v>BOLD</v>
          </cell>
          <cell r="AD4" t="str">
            <v>Gold - Ore Mined (Tons)</v>
          </cell>
          <cell r="AE4" t="str">
            <v>MINING_GOLD_ORE_MINED</v>
          </cell>
          <cell r="AF4"/>
          <cell r="AG4" t="str">
            <v>BOLD</v>
          </cell>
          <cell r="AH4" t="str">
            <v>Gold - Ore Volume (Tons)</v>
          </cell>
          <cell r="AI4" t="str">
            <v>MINING_P&amp;P_RSRVS_GOLD_VOLUME</v>
          </cell>
          <cell r="AJ4"/>
          <cell r="AK4" t="str">
            <v>BOLD</v>
          </cell>
          <cell r="AL4" t="str">
            <v>Gold - Ore Volume (Tons)</v>
          </cell>
          <cell r="AM4" t="str">
            <v>MINING_M&amp;I_RES_GOLD_VOLUME</v>
          </cell>
          <cell r="AN4"/>
          <cell r="AO4" t="str">
            <v>BOLD</v>
          </cell>
          <cell r="AP4" t="str">
            <v>Takaful Gross Premiums Written (Fam &amp; Non-Fam)</v>
          </cell>
          <cell r="AQ4" t="str">
            <v>IS_TAKAFUL_GROSS_PREMS_WRITTEN</v>
          </cell>
          <cell r="AR4"/>
          <cell r="AS4" t="str">
            <v>BOLD</v>
          </cell>
          <cell r="AT4" t="str">
            <v>M&amp;I Resources Contained Gold</v>
          </cell>
          <cell r="AU4" t="str">
            <v>MINING_M&amp;I_RES_CONTAINED_GOLD</v>
          </cell>
          <cell r="AV4"/>
          <cell r="AW4" t="str">
            <v>BOLD</v>
          </cell>
          <cell r="AX4" t="str">
            <v>Exploration (Gross)</v>
          </cell>
          <cell r="AY4" t="str">
            <v>EXPLOR_WELLS_DRILLED_GROSS</v>
          </cell>
          <cell r="AZ4"/>
          <cell r="BA4" t="str">
            <v>BOLD</v>
          </cell>
          <cell r="BB4" t="str">
            <v xml:space="preserve">  Revenues</v>
          </cell>
          <cell r="BC4" t="str">
            <v>E&amp;P_REVENUES_NAMR</v>
          </cell>
          <cell r="BD4"/>
          <cell r="BE4" t="str">
            <v>NO</v>
          </cell>
          <cell r="BF4" t="str">
            <v xml:space="preserve">  Future Inflows</v>
          </cell>
          <cell r="BG4" t="str">
            <v>FUTURE_CASH_INFLOWS</v>
          </cell>
          <cell r="BH4"/>
          <cell r="BI4" t="str">
            <v>NO</v>
          </cell>
          <cell r="BJ4" t="str">
            <v xml:space="preserve">  + Proved Prop Acq Costs</v>
          </cell>
          <cell r="BK4" t="str">
            <v>PROVED_PROP_ACQ_COSTS</v>
          </cell>
          <cell r="BL4"/>
          <cell r="BM4" t="str">
            <v>NO</v>
          </cell>
          <cell r="BN4" t="str">
            <v xml:space="preserve">  Oil (MBBL/Day)</v>
          </cell>
          <cell r="BO4" t="str">
            <v>OIL_PRODUCTION_NAMR_MBBL_DY</v>
          </cell>
          <cell r="BP4"/>
          <cell r="BQ4" t="str">
            <v>NO</v>
          </cell>
          <cell r="BR4" t="str">
            <v xml:space="preserve">  Oil (MBBL/Day)</v>
          </cell>
          <cell r="BS4" t="str">
            <v>OIL_PRODUCTION_WORLD_MBBL_DY</v>
          </cell>
          <cell r="BT4"/>
          <cell r="BU4" t="str">
            <v>NO</v>
          </cell>
          <cell r="BV4" t="str">
            <v xml:space="preserve">  Start of Year</v>
          </cell>
          <cell r="BW4" t="str">
            <v>GAS_START_YEAR_WORLD</v>
          </cell>
          <cell r="BX4"/>
          <cell r="BY4" t="str">
            <v>NO</v>
          </cell>
          <cell r="BZ4" t="str">
            <v xml:space="preserve">  Start of Year</v>
          </cell>
          <cell r="CA4" t="str">
            <v>OIL_START_YEAR_WORLDWIDE</v>
          </cell>
          <cell r="CB4"/>
          <cell r="CC4" t="str">
            <v>NO</v>
          </cell>
          <cell r="CD4" t="str">
            <v xml:space="preserve">  Start of Year</v>
          </cell>
          <cell r="CE4" t="str">
            <v>BOE_START_YEAR_WORLD</v>
          </cell>
          <cell r="CF4"/>
          <cell r="CG4" t="str">
            <v>NO</v>
          </cell>
          <cell r="CH4" t="str">
            <v>Production (MBOE/Day)</v>
          </cell>
          <cell r="CI4" t="str">
            <v>TOTAL_PRODUCTION_WORLD_MBOE_DY</v>
          </cell>
          <cell r="CJ4"/>
          <cell r="CK4" t="str">
            <v>BOLD</v>
          </cell>
          <cell r="CL4" t="str">
            <v>Total Cement/Installed Capacity (Mil Tonnes)</v>
          </cell>
          <cell r="CM4" t="str">
            <v>TOT_CEMENT_CPCTY_TONNES</v>
          </cell>
          <cell r="CN4"/>
          <cell r="CO4" t="str">
            <v>BOLD</v>
          </cell>
          <cell r="CP4" t="str">
            <v>Copper Production</v>
          </cell>
          <cell r="CQ4" t="str">
            <v>MINING_COPPER_PRODUCTION_ACTUAL</v>
          </cell>
          <cell r="CR4"/>
          <cell r="CS4" t="str">
            <v>BOLD</v>
          </cell>
          <cell r="CT4" t="str">
            <v>Network Claims</v>
          </cell>
          <cell r="CU4" t="str">
            <v>NETWORK_CLAIMS</v>
          </cell>
          <cell r="CV4"/>
          <cell r="CW4" t="str">
            <v>BOLD</v>
          </cell>
          <cell r="CX4" t="str">
            <v xml:space="preserve">  CAPEX/FFO</v>
          </cell>
          <cell r="CY4" t="str">
            <v>CAP_EXPEND_TO_FFO</v>
          </cell>
          <cell r="CZ4"/>
          <cell r="DA4" t="str">
            <v>NO</v>
          </cell>
          <cell r="DB4" t="str">
            <v>Gross Leasable Space (MM Sq Ft)</v>
          </cell>
          <cell r="DC4" t="str">
            <v>IS_SQUARE_GLA</v>
          </cell>
          <cell r="DD4"/>
          <cell r="DE4" t="str">
            <v>BOLD</v>
          </cell>
          <cell r="DF4" t="str">
            <v>Fully Diluted FFO</v>
          </cell>
          <cell r="DG4" t="str">
            <v>CF_FFO_PER_SH_DILUTED</v>
          </cell>
          <cell r="DH4"/>
          <cell r="DI4" t="str">
            <v>BOLD</v>
          </cell>
          <cell r="DJ4" t="str">
            <v>Hotel Room Revenues</v>
          </cell>
          <cell r="DK4" t="str">
            <v>IS_HOTEL_ROOM_REVENUES</v>
          </cell>
          <cell r="DL4"/>
          <cell r="DM4" t="str">
            <v>BOLD</v>
          </cell>
          <cell r="DN4" t="str">
            <v>Orders</v>
          </cell>
          <cell r="DO4" t="str">
            <v>NUMBER_OF_HOMES_CONTRACTED</v>
          </cell>
          <cell r="DP4"/>
          <cell r="DQ4" t="str">
            <v>BOLD</v>
          </cell>
          <cell r="DR4" t="str">
            <v xml:space="preserve">  Admissions</v>
          </cell>
          <cell r="DS4" t="str">
            <v>ADMISSIONS_HOSPITAL</v>
          </cell>
          <cell r="DT4"/>
          <cell r="DU4" t="str">
            <v>NO</v>
          </cell>
          <cell r="DV4" t="str">
            <v>Water Sales Volume</v>
          </cell>
          <cell r="DW4" t="str">
            <v>WATER_SALES_VOLUME</v>
          </cell>
          <cell r="DX4"/>
          <cell r="DY4" t="str">
            <v>BOLD</v>
          </cell>
          <cell r="DZ4" t="str">
            <v>Commercial Risk Based Enrollment</v>
          </cell>
          <cell r="EA4" t="str">
            <v>COMMERCIAL_RISK_BASED_ENROLLMENT</v>
          </cell>
          <cell r="EB4"/>
          <cell r="EC4" t="str">
            <v>BOLD</v>
          </cell>
          <cell r="ED4" t="str">
            <v>Operating Ratio</v>
          </cell>
          <cell r="EE4" t="str">
            <v>OPERATING_RATIO</v>
          </cell>
          <cell r="EF4"/>
          <cell r="EG4" t="str">
            <v>BOLD</v>
          </cell>
          <cell r="EH4" t="str">
            <v>Deadweight Tonnage</v>
          </cell>
          <cell r="EI4" t="str">
            <v>SHIPPING_DEADWEIGHT_TONNAGE</v>
          </cell>
          <cell r="EJ4"/>
          <cell r="EK4" t="str">
            <v>BOLD</v>
          </cell>
          <cell r="EL4" t="str">
            <v xml:space="preserve">  Revenue Ton Miles</v>
          </cell>
          <cell r="EM4" t="str">
            <v>REVENUE_TON_MILES</v>
          </cell>
          <cell r="EN4"/>
          <cell r="EO4" t="str">
            <v>NO</v>
          </cell>
          <cell r="EP4" t="str">
            <v># OF EMPLOYEES</v>
          </cell>
          <cell r="EQ4" t="str">
            <v>NUM_OF_EMPLOYEES</v>
          </cell>
          <cell r="ER4"/>
          <cell r="ES4" t="str">
            <v>BOLD</v>
          </cell>
          <cell r="ET4" t="str">
            <v>License Revenue</v>
          </cell>
          <cell r="EU4" t="str">
            <v>LICENSE_REV</v>
          </cell>
          <cell r="EV4"/>
          <cell r="EW4" t="str">
            <v>BOLD</v>
          </cell>
          <cell r="EX4" t="str">
            <v>DRAM Bit Production, QoQ Change (%)</v>
          </cell>
          <cell r="EY4" t="str">
            <v>ARD_DRAM_PRODUCTION_QOQ</v>
          </cell>
          <cell r="EZ4"/>
          <cell r="FA4" t="str">
            <v>BOLD</v>
          </cell>
          <cell r="FB4" t="str">
            <v>R &amp; D expenditures</v>
          </cell>
          <cell r="FC4" t="str">
            <v>IS_RD_EXPEND</v>
          </cell>
          <cell r="FD4"/>
          <cell r="FE4" t="str">
            <v>BOLD</v>
          </cell>
          <cell r="FF4" t="str">
            <v>Revenues</v>
          </cell>
          <cell r="FG4" t="str">
            <v>LABEL</v>
          </cell>
          <cell r="FH4"/>
          <cell r="FI4" t="str">
            <v>BOLD</v>
          </cell>
          <cell r="FJ4" t="str">
            <v>Subscribers</v>
          </cell>
          <cell r="FK4" t="str">
            <v>TOTAL_CABLE_SUBSCRIBERS</v>
          </cell>
          <cell r="FL4"/>
          <cell r="FM4" t="str">
            <v>BOLD</v>
          </cell>
          <cell r="FN4" t="str">
            <v>Load Factor Spread</v>
          </cell>
          <cell r="FO4" t="str">
            <v>LOAD_FACTOR_SPREAD</v>
          </cell>
          <cell r="FP4"/>
          <cell r="FQ4" t="str">
            <v>BOLD</v>
          </cell>
          <cell r="FR4" t="str">
            <v>Passengers Carried</v>
          </cell>
          <cell r="FS4" t="str">
            <v>PASSENGERS_CARRIED_FOR_PERIOD</v>
          </cell>
          <cell r="FT4"/>
          <cell r="FU4" t="str">
            <v>BOLD</v>
          </cell>
          <cell r="FV4" t="str">
            <v xml:space="preserve">    Local</v>
          </cell>
          <cell r="FW4" t="str">
            <v>AUTO_VEHICLES_SOLD_LOCAL</v>
          </cell>
          <cell r="FX4"/>
          <cell r="FY4" t="str">
            <v>NO</v>
          </cell>
          <cell r="FZ4" t="str">
            <v>Pipeline Length</v>
          </cell>
          <cell r="GA4" t="str">
            <v>PIPELINE_LENGTH</v>
          </cell>
          <cell r="GB4"/>
          <cell r="GC4" t="str">
            <v>BOLD</v>
          </cell>
          <cell r="GD4" t="str">
            <v>Sales</v>
          </cell>
          <cell r="GE4" t="str">
            <v>SALES_REV_TURN</v>
          </cell>
          <cell r="GF4"/>
          <cell r="GG4" t="str">
            <v>BOLD</v>
          </cell>
          <cell r="GH4" t="str">
            <v>Working Capital</v>
          </cell>
          <cell r="GI4" t="str">
            <v>WORKING_CAPITAL</v>
          </cell>
          <cell r="GJ4"/>
          <cell r="GK4" t="str">
            <v>BOLD</v>
          </cell>
          <cell r="GL4" t="str">
            <v>Brewery - Total Beverage Vol Produced</v>
          </cell>
          <cell r="GM4" t="str">
            <v>TOTAL_BEVERAGE_VOLUME_PRODUCED</v>
          </cell>
          <cell r="GN4"/>
          <cell r="GO4" t="str">
            <v>BOLD</v>
          </cell>
          <cell r="GP4" t="str">
            <v>Inventories</v>
          </cell>
          <cell r="GQ4" t="str">
            <v>BS_INVENTORIES</v>
          </cell>
          <cell r="GR4"/>
          <cell r="GS4" t="str">
            <v>BOLD</v>
          </cell>
          <cell r="GT4" t="str">
            <v>Casinos</v>
          </cell>
          <cell r="GU4" t="str">
            <v>LABEL</v>
          </cell>
          <cell r="GV4"/>
          <cell r="GW4" t="str">
            <v>BOLD</v>
          </cell>
          <cell r="GX4" t="str">
            <v>Profit on Player Sale</v>
          </cell>
          <cell r="GY4" t="str">
            <v>PROFIT_SALE_PLAYER_CONTRACT</v>
          </cell>
          <cell r="GZ4"/>
          <cell r="HA4" t="str">
            <v>BOLD</v>
          </cell>
          <cell r="HB4" t="str">
            <v>Cash and Cash Equivalents</v>
          </cell>
          <cell r="HC4" t="str">
            <v>ASSET_ALLOCATION_C&amp;CE</v>
          </cell>
          <cell r="HD4"/>
          <cell r="HE4" t="str">
            <v>BOLD</v>
          </cell>
          <cell r="HF4" t="str">
            <v>Same Store Sales</v>
          </cell>
          <cell r="HG4" t="str">
            <v>SAME_STORE_SALES</v>
          </cell>
          <cell r="HH4"/>
          <cell r="HI4" t="str">
            <v>BOLD</v>
          </cell>
          <cell r="HJ4" t="str">
            <v>Potash Production</v>
          </cell>
          <cell r="HK4" t="str">
            <v>CHEMICALS_POTASH_PRODUCTION</v>
          </cell>
          <cell r="HL4"/>
          <cell r="HM4" t="str">
            <v>BOLD</v>
          </cell>
          <cell r="HN4" t="str">
            <v>Domestic Backlog</v>
          </cell>
          <cell r="HO4" t="str">
            <v>CONST_BACKLOG_DOMESTIC</v>
          </cell>
          <cell r="HP4"/>
          <cell r="HQ4" t="str">
            <v>BOLD</v>
          </cell>
          <cell r="HR4" t="str">
            <v>Acres Owned</v>
          </cell>
          <cell r="HS4" t="str">
            <v>FORESTRY_ACRES_OWNED</v>
          </cell>
          <cell r="HT4"/>
          <cell r="HU4" t="str">
            <v>BOLD</v>
          </cell>
          <cell r="HV4" t="str">
            <v>Return on Assets</v>
          </cell>
          <cell r="HW4" t="str">
            <v>RETURN_ON_ASSET</v>
          </cell>
          <cell r="HX4"/>
          <cell r="HY4" t="str">
            <v>BOLD</v>
          </cell>
          <cell r="HZ4" t="str">
            <v>Net Premiums Written (Non-Life)</v>
          </cell>
          <cell r="IA4" t="str">
            <v>NET_PREM_WRITTEN_NON_LIFE</v>
          </cell>
          <cell r="IB4"/>
          <cell r="IC4" t="str">
            <v>BOLD</v>
          </cell>
          <cell r="ID4" t="str">
            <v>Working Capital</v>
          </cell>
          <cell r="IE4" t="str">
            <v>WORKING_CAPITAL</v>
          </cell>
          <cell r="IF4"/>
          <cell r="IG4" t="str">
            <v>BOLD</v>
          </cell>
          <cell r="IH4" t="str">
            <v>Return on Assets</v>
          </cell>
          <cell r="II4" t="str">
            <v>RETURN_ON_ASSET</v>
          </cell>
          <cell r="IJ4"/>
          <cell r="IK4" t="str">
            <v>BOLD</v>
          </cell>
          <cell r="IL4" t="str">
            <v>Capacity</v>
          </cell>
          <cell r="IM4" t="str">
            <v>BIOFUEL_ETHANOL_CAPACITY</v>
          </cell>
          <cell r="IN4"/>
          <cell r="IO4" t="str">
            <v>BOLD</v>
          </cell>
          <cell r="IP4" t="str">
            <v>+ Residential</v>
          </cell>
          <cell r="IQ4" t="str">
            <v>IS_ELECT_SALE_RES_RETAIL</v>
          </cell>
          <cell r="IR4"/>
          <cell r="IS4" t="str">
            <v>BOLD</v>
          </cell>
          <cell r="IT4" t="str">
            <v>Solar Module Production - Megawatts</v>
          </cell>
          <cell r="IU4" t="str">
            <v>SOLAR_MODULE_PRODUCTION</v>
          </cell>
          <cell r="IV4"/>
          <cell r="IW4" t="str">
            <v>BOLD</v>
          </cell>
          <cell r="IX4" t="str">
            <v>Return on Assets</v>
          </cell>
          <cell r="IY4" t="str">
            <v>RETURN_ON_ASSET</v>
          </cell>
          <cell r="IZ4"/>
          <cell r="JA4" t="str">
            <v>BOLD</v>
          </cell>
          <cell r="JB4" t="str">
            <v>Net Premiums Written (Non-Life)</v>
          </cell>
          <cell r="JC4" t="str">
            <v>NET_PREM_WRITTEN_NON_LIFE</v>
          </cell>
          <cell r="JD4"/>
          <cell r="JE4" t="str">
            <v>BOLD</v>
          </cell>
          <cell r="JF4" t="str">
            <v>Same Store Sales</v>
          </cell>
          <cell r="JG4" t="str">
            <v>SAME_STORE_SALES</v>
          </cell>
          <cell r="JH4"/>
          <cell r="JI4" t="str">
            <v>BOLD</v>
          </cell>
          <cell r="JJ4" t="str">
            <v>Same Store Sales Ex-Fuel</v>
          </cell>
          <cell r="JK4" t="str">
            <v>SAME_STORE_SALES</v>
          </cell>
          <cell r="JL4"/>
          <cell r="JM4" t="str">
            <v>BOLD</v>
          </cell>
          <cell r="JQ4"/>
          <cell r="JR4" t="str">
            <v>BOLD</v>
          </cell>
        </row>
        <row r="5">
          <cell r="A5">
            <v>4</v>
          </cell>
          <cell r="B5" t="str">
            <v>EBITDA</v>
          </cell>
          <cell r="C5" t="str">
            <v>EBITDA</v>
          </cell>
          <cell r="D5"/>
          <cell r="E5" t="str">
            <v>BOLD</v>
          </cell>
          <cell r="F5" t="str">
            <v>Acquired Spending Volume</v>
          </cell>
          <cell r="G5" t="str">
            <v>ACQUIRED_SPENDING_VOLUME</v>
          </cell>
          <cell r="H5"/>
          <cell r="I5" t="str">
            <v>BOLD</v>
          </cell>
          <cell r="J5" t="str">
            <v>Copper - Ore Volume (Tons)</v>
          </cell>
          <cell r="K5" t="str">
            <v>MINING_P&amp;P_RSRVS_COPPER_VOLUME</v>
          </cell>
          <cell r="L5"/>
          <cell r="M5" t="str">
            <v>BOLD</v>
          </cell>
          <cell r="N5" t="str">
            <v>Silver - Ore Volume (Tons)</v>
          </cell>
          <cell r="O5" t="str">
            <v>MINING_P&amp;P_RSRVS_SILVER_VOLUME</v>
          </cell>
          <cell r="P5"/>
          <cell r="Q5" t="str">
            <v>BOLD</v>
          </cell>
          <cell r="R5" t="str">
            <v>Gold - Ore Volume (Tons)</v>
          </cell>
          <cell r="S5" t="str">
            <v>MINING_P&amp;P_RSRVS_GOLD_VOLUME</v>
          </cell>
          <cell r="T5"/>
          <cell r="U5" t="str">
            <v>BOLD</v>
          </cell>
          <cell r="V5" t="str">
            <v>Gold Equivalents (oz)</v>
          </cell>
          <cell r="W5" t="str">
            <v>MINING_GOLD_EQUIV_SOLD</v>
          </cell>
          <cell r="X5"/>
          <cell r="Y5" t="str">
            <v>BOLD</v>
          </cell>
          <cell r="Z5" t="str">
            <v>Gold Equivalents Forecast (oz)</v>
          </cell>
          <cell r="AA5" t="str">
            <v>MINING_GOLD_EQUIV_PROD_PLANNED</v>
          </cell>
          <cell r="AB5"/>
          <cell r="AC5" t="str">
            <v>BOLD</v>
          </cell>
          <cell r="AD5" t="str">
            <v>Gold - Grade (oz/Ton)</v>
          </cell>
          <cell r="AE5" t="str">
            <v>MINING_GOLD_PRODUCTION_GRADE</v>
          </cell>
          <cell r="AF5"/>
          <cell r="AG5" t="str">
            <v>BOLD</v>
          </cell>
          <cell r="AH5" t="str">
            <v>Gold - Grade (oz/Ton)</v>
          </cell>
          <cell r="AI5" t="str">
            <v>MINING_P&amp;P_RSRVS_GOLD_GRADE</v>
          </cell>
          <cell r="AJ5"/>
          <cell r="AK5" t="str">
            <v>BOLD</v>
          </cell>
          <cell r="AL5" t="str">
            <v>Gold - Grade (oz/Ton)</v>
          </cell>
          <cell r="AM5" t="str">
            <v>MINING_M&amp;I_RESOURCES_GOLD_GRADE</v>
          </cell>
          <cell r="AN5"/>
          <cell r="AO5" t="str">
            <v>BOLD</v>
          </cell>
          <cell r="AP5" t="str">
            <v>Retakaful Premiums Ceded &amp; Adjustments</v>
          </cell>
          <cell r="AQ5" t="str">
            <v>IS_TAKAFUL_PREMS_CEDED_AND_ADJ</v>
          </cell>
          <cell r="AR5"/>
          <cell r="AS5" t="str">
            <v>BOLD</v>
          </cell>
          <cell r="AT5" t="str">
            <v>M&amp;I Res - Gold Ore Volume</v>
          </cell>
          <cell r="AU5" t="str">
            <v>MINING_M&amp;I_RES_GOLD_VOLUME</v>
          </cell>
          <cell r="AV5"/>
          <cell r="AW5" t="str">
            <v>BOLD</v>
          </cell>
          <cell r="AX5" t="str">
            <v xml:space="preserve">  Exploration (Net)</v>
          </cell>
          <cell r="AY5" t="str">
            <v>EXPLOR_WELLS_DRILLED_NET</v>
          </cell>
          <cell r="AZ5"/>
          <cell r="BA5" t="str">
            <v>NO</v>
          </cell>
          <cell r="BB5" t="str">
            <v xml:space="preserve">  - Production Costs</v>
          </cell>
          <cell r="BC5" t="str">
            <v>PRODUCTION_COSTS_NAMR</v>
          </cell>
          <cell r="BD5"/>
          <cell r="BE5" t="str">
            <v>NO</v>
          </cell>
          <cell r="BF5" t="str">
            <v xml:space="preserve">  - Production Costs</v>
          </cell>
          <cell r="BG5" t="str">
            <v>FUTURE_PRODUCTION_COSTS</v>
          </cell>
          <cell r="BH5"/>
          <cell r="BI5" t="str">
            <v>NO</v>
          </cell>
          <cell r="BJ5" t="str">
            <v xml:space="preserve">  + Unproved Prop Acq Costs</v>
          </cell>
          <cell r="BK5" t="str">
            <v>UNPROVED_PROP_ACQ_COSTS</v>
          </cell>
          <cell r="BL5"/>
          <cell r="BM5" t="str">
            <v>NO</v>
          </cell>
          <cell r="BN5" t="str">
            <v xml:space="preserve">  Gas (MMCF/Day)</v>
          </cell>
          <cell r="BO5" t="str">
            <v>GAS_PRODUCTION_NAMR_MMCF_DY</v>
          </cell>
          <cell r="BP5"/>
          <cell r="BQ5" t="str">
            <v>NO</v>
          </cell>
          <cell r="BR5" t="str">
            <v xml:space="preserve">  Gas (MMCF/Day)</v>
          </cell>
          <cell r="BS5" t="str">
            <v>GAS_PRODUCTION_WORLD_MMCF_DY</v>
          </cell>
          <cell r="BT5"/>
          <cell r="BU5" t="str">
            <v>NO</v>
          </cell>
          <cell r="BV5" t="str">
            <v xml:space="preserve">  + Revisions</v>
          </cell>
          <cell r="BW5" t="str">
            <v>GAS_REVISIONS_WORLD</v>
          </cell>
          <cell r="BX5"/>
          <cell r="BY5" t="str">
            <v>NO</v>
          </cell>
          <cell r="BZ5" t="str">
            <v xml:space="preserve">  + Revisions</v>
          </cell>
          <cell r="CA5" t="str">
            <v>OIL_REVISIONS_WORLDWIDE</v>
          </cell>
          <cell r="CB5"/>
          <cell r="CC5" t="str">
            <v>NO</v>
          </cell>
          <cell r="CD5" t="str">
            <v xml:space="preserve">  + Revisions</v>
          </cell>
          <cell r="CE5" t="str">
            <v>BOE_REVISIONS_WORLD</v>
          </cell>
          <cell r="CF5"/>
          <cell r="CG5" t="str">
            <v>NO</v>
          </cell>
          <cell r="CH5" t="str">
            <v>BOE - Production per Share 1 Yr Growth</v>
          </cell>
          <cell r="CI5" t="str">
            <v>BOE_PRODUCTION_PER_SHARE_1_YR_GR</v>
          </cell>
          <cell r="CJ5"/>
          <cell r="CK5" t="str">
            <v>BOLD</v>
          </cell>
          <cell r="CL5" t="str">
            <v>Cement Volumes/Shipments</v>
          </cell>
          <cell r="CM5" t="str">
            <v>CEMENT_VOLUMES_SHIPMENTS</v>
          </cell>
          <cell r="CN5"/>
          <cell r="CO5" t="str">
            <v>BOLD</v>
          </cell>
          <cell r="CP5" t="str">
            <v>Primary Aluminum Production</v>
          </cell>
          <cell r="CQ5" t="str">
            <v>MINING_PRIMARY_ALUMINUM_PROD_ACT</v>
          </cell>
          <cell r="CR5"/>
          <cell r="CS5" t="str">
            <v>BOLD</v>
          </cell>
          <cell r="CT5" t="str">
            <v>Home Delivery and Specialty Claims</v>
          </cell>
          <cell r="CU5" t="str">
            <v>HOME_DELIVERY_&amp;_SPECIALTY_CLAIMS</v>
          </cell>
          <cell r="CV5"/>
          <cell r="CW5" t="str">
            <v>BOLD</v>
          </cell>
          <cell r="CX5" t="str">
            <v xml:space="preserve">  CAPEX/R.E. Investments</v>
          </cell>
          <cell r="CY5" t="str">
            <v>CAP_EXPEND_PER_RE</v>
          </cell>
          <cell r="CZ5"/>
          <cell r="DA5" t="str">
            <v>NO</v>
          </cell>
          <cell r="DB5" t="str">
            <v>Number of Units</v>
          </cell>
          <cell r="DC5" t="str">
            <v>IS_UNITS</v>
          </cell>
          <cell r="DD5"/>
          <cell r="DE5" t="str">
            <v>BOLD</v>
          </cell>
          <cell r="DF5" t="str">
            <v>Trailing 12M FFO per Diluted Share</v>
          </cell>
          <cell r="DG5" t="str">
            <v>TRAILING_12M_FFO_PER_SHARE</v>
          </cell>
          <cell r="DH5" t="str">
            <v>EPS</v>
          </cell>
          <cell r="DI5" t="str">
            <v>BOLDEPS</v>
          </cell>
          <cell r="DJ5" t="str">
            <v>Average Occupancy %</v>
          </cell>
          <cell r="DK5" t="str">
            <v>HOTEL_AVG_OCCUPANCY</v>
          </cell>
          <cell r="DL5"/>
          <cell r="DM5" t="str">
            <v>BOLD</v>
          </cell>
          <cell r="DN5" t="str">
            <v>Cancellation Rate</v>
          </cell>
          <cell r="DO5" t="str">
            <v>CANCELLATION_RATE</v>
          </cell>
          <cell r="DP5"/>
          <cell r="DQ5" t="str">
            <v>BOLD</v>
          </cell>
          <cell r="DR5" t="str">
            <v xml:space="preserve">  Adjusted (Equivalent) Admissions</v>
          </cell>
          <cell r="DS5" t="str">
            <v>ADUSTED_ADMISSIONS_HOSPITAL</v>
          </cell>
          <cell r="DT5"/>
          <cell r="DU5" t="str">
            <v>NO</v>
          </cell>
          <cell r="DV5" t="str">
            <v>Number of Water Clients Served</v>
          </cell>
          <cell r="DW5" t="str">
            <v>NUMBER_OF_WATER_CLIENTS_SERVED</v>
          </cell>
          <cell r="DX5"/>
          <cell r="DY5" t="str">
            <v>BOLD</v>
          </cell>
          <cell r="DZ5" t="str">
            <v>Commercial Fee Based Enrollment</v>
          </cell>
          <cell r="EA5" t="str">
            <v>COMMERCIAL_FEE_BASED_ENROLLMENT</v>
          </cell>
          <cell r="EB5"/>
          <cell r="EC5" t="str">
            <v>BOLD</v>
          </cell>
          <cell r="ED5" t="str">
            <v>Operating Ratio Excluding Fuel Surcharges</v>
          </cell>
          <cell r="EE5" t="str">
            <v>OP_RATIO_EXCLUDING_FUEL_SUR</v>
          </cell>
          <cell r="EF5"/>
          <cell r="EG5" t="str">
            <v>BOLD</v>
          </cell>
          <cell r="EH5" t="str">
            <v>Fleet Average Age</v>
          </cell>
          <cell r="EI5" t="str">
            <v>SHIPPING_FLEET_AVERAGE_AGE</v>
          </cell>
          <cell r="EJ5"/>
          <cell r="EK5" t="str">
            <v>BOLD</v>
          </cell>
          <cell r="EL5" t="str">
            <v xml:space="preserve">  Gross Ton Miles</v>
          </cell>
          <cell r="EM5" t="str">
            <v>GROSS_TON_MILES</v>
          </cell>
          <cell r="EN5"/>
          <cell r="EO5" t="str">
            <v>NO</v>
          </cell>
          <cell r="EP5" t="str">
            <v>Employee Yr change %</v>
          </cell>
          <cell r="EQ5" t="str">
            <v>EMPL_GROWTH</v>
          </cell>
          <cell r="ER5"/>
          <cell r="ES5" t="str">
            <v>BOLD</v>
          </cell>
          <cell r="ET5" t="str">
            <v>License Revenue (TTM)</v>
          </cell>
          <cell r="EU5" t="str">
            <v>T12M_LICENSE_REVENUE</v>
          </cell>
          <cell r="EV5"/>
          <cell r="EW5" t="str">
            <v>BOLD</v>
          </cell>
          <cell r="EX5" t="str">
            <v>DRAM Bit Production, YoY Change (%)</v>
          </cell>
          <cell r="EY5" t="str">
            <v>ARD_DRAM_PRODUCTION_YOY</v>
          </cell>
          <cell r="EZ5"/>
          <cell r="FA5" t="str">
            <v>BOLD</v>
          </cell>
          <cell r="FB5" t="str">
            <v>Cost of Revenue</v>
          </cell>
          <cell r="FC5" t="str">
            <v>IS_COGS_TO_FE_AND_PP_AND_G</v>
          </cell>
          <cell r="FD5"/>
          <cell r="FE5" t="str">
            <v>BOLD</v>
          </cell>
          <cell r="FF5" t="str">
            <v>Wireless Revenue</v>
          </cell>
          <cell r="FG5" t="str">
            <v>WIRELESS_REVENUE</v>
          </cell>
          <cell r="FH5"/>
          <cell r="FI5" t="str">
            <v>BOLD</v>
          </cell>
          <cell r="FJ5" t="str">
            <v>Subscriber Additions, Net</v>
          </cell>
          <cell r="FK5" t="str">
            <v>TOTAL_CABLE_SUBSCRIBER_ADDS</v>
          </cell>
          <cell r="FL5"/>
          <cell r="FM5" t="str">
            <v>BOLD</v>
          </cell>
          <cell r="FN5" t="str">
            <v>Break-Even Load Factor</v>
          </cell>
          <cell r="FO5" t="str">
            <v>BREAK_EVEN_LOAD_FACTOR_CALC</v>
          </cell>
          <cell r="FP5"/>
          <cell r="FQ5" t="str">
            <v>BOLD</v>
          </cell>
          <cell r="FR5" t="str">
            <v>Passenger Cruise Days</v>
          </cell>
          <cell r="FS5" t="str">
            <v>PASSENGER_CRUISE_DAYS</v>
          </cell>
          <cell r="FT5"/>
          <cell r="FU5" t="str">
            <v>BOLD</v>
          </cell>
          <cell r="FV5" t="str">
            <v xml:space="preserve">  North America</v>
          </cell>
          <cell r="FW5" t="str">
            <v>AUTO_VEHICLES_SOLD_NA</v>
          </cell>
          <cell r="FX5"/>
          <cell r="FY5" t="str">
            <v>NO</v>
          </cell>
          <cell r="FZ5" t="str">
            <v>Transp Capacity Oil</v>
          </cell>
          <cell r="GA5" t="str">
            <v>PIPELINE_TRANSPORT_CAPACITY_OIL</v>
          </cell>
          <cell r="GB5"/>
          <cell r="GC5" t="str">
            <v>BOLD</v>
          </cell>
          <cell r="GD5" t="str">
            <v>Operating profit (loss)</v>
          </cell>
          <cell r="GE5" t="str">
            <v>IS_OPER_INC</v>
          </cell>
          <cell r="GF5"/>
          <cell r="GG5" t="str">
            <v>BOLD</v>
          </cell>
          <cell r="GH5" t="str">
            <v>Cashflow-Operating Activities</v>
          </cell>
          <cell r="GI5" t="str">
            <v>CF_CASH_FROM_OPER</v>
          </cell>
          <cell r="GJ5"/>
          <cell r="GK5" t="str">
            <v>BOLD</v>
          </cell>
          <cell r="GL5" t="str">
            <v>Brewer Revenue per Hectoliter</v>
          </cell>
          <cell r="GM5" t="str">
            <v>BREWER_REVENUE_PER_HECTOLITER</v>
          </cell>
          <cell r="GN5"/>
          <cell r="GO5" t="str">
            <v>BOLD</v>
          </cell>
          <cell r="GP5" t="str">
            <v>Inventory - 1 Yr Growth</v>
          </cell>
          <cell r="GQ5" t="str">
            <v>INVENTORY_GROWTH</v>
          </cell>
          <cell r="GR5"/>
          <cell r="GS5" t="str">
            <v>BOLD</v>
          </cell>
          <cell r="GT5" t="str">
            <v xml:space="preserve">  Gross Revenue</v>
          </cell>
          <cell r="GU5" t="str">
            <v>REVENUE_INCLUDING_PROMOTIONS</v>
          </cell>
          <cell r="GV5"/>
          <cell r="GW5" t="str">
            <v>NO</v>
          </cell>
          <cell r="GX5" t="str">
            <v>Amort Player Registrations</v>
          </cell>
          <cell r="GY5" t="str">
            <v>AMORTIZ_OF_PLAYERS_REGISTRATIONS</v>
          </cell>
          <cell r="GZ5"/>
          <cell r="HA5" t="str">
            <v>BOLD</v>
          </cell>
          <cell r="HB5" t="str">
            <v>Receivables</v>
          </cell>
          <cell r="HC5" t="str">
            <v>ASSET_ALLOCATION_RECEIVABLES</v>
          </cell>
          <cell r="HD5"/>
          <cell r="HE5" t="str">
            <v>BOLD</v>
          </cell>
          <cell r="HH5"/>
          <cell r="HI5" t="str">
            <v>BOLD</v>
          </cell>
          <cell r="HJ5" t="str">
            <v>Potash Sold</v>
          </cell>
          <cell r="HK5" t="str">
            <v>CHEMICALS_POTASH_SOLD</v>
          </cell>
          <cell r="HL5"/>
          <cell r="HM5" t="str">
            <v>BOLD</v>
          </cell>
          <cell r="HN5" t="str">
            <v>International Backlog</v>
          </cell>
          <cell r="HO5" t="str">
            <v>CONST_BACKLOG_INTL</v>
          </cell>
          <cell r="HP5"/>
          <cell r="HQ5" t="str">
            <v>BOLD</v>
          </cell>
          <cell r="HR5" t="str">
            <v>Wood Intake</v>
          </cell>
          <cell r="HS5" t="str">
            <v>FORESTRY_WOOD_INTAKE</v>
          </cell>
          <cell r="HT5"/>
          <cell r="HU5" t="str">
            <v>BOLD</v>
          </cell>
          <cell r="HV5" t="str">
            <v>Annualized Return on Assets</v>
          </cell>
          <cell r="HW5" t="str">
            <v>ANN_RETURN_ON_ASSET</v>
          </cell>
          <cell r="HX5"/>
          <cell r="HY5" t="str">
            <v>BOLD</v>
          </cell>
          <cell r="HZ5" t="str">
            <v>Net Premiums Written (Life)</v>
          </cell>
          <cell r="IA5" t="str">
            <v>IS_NET_PREM_WRITTEN_LIFE</v>
          </cell>
          <cell r="IB5"/>
          <cell r="IC5" t="str">
            <v>BOLD</v>
          </cell>
          <cell r="ID5" t="str">
            <v>Cashflow-Operating Activities</v>
          </cell>
          <cell r="IE5" t="str">
            <v>CF_CASH_FROM_OPER</v>
          </cell>
          <cell r="IF5"/>
          <cell r="IG5" t="str">
            <v>BOLD</v>
          </cell>
          <cell r="IH5" t="str">
            <v>Annualized Return on Assets</v>
          </cell>
          <cell r="II5" t="str">
            <v>ANN_RETURN_ON_ASSET</v>
          </cell>
          <cell r="IJ5"/>
          <cell r="IK5" t="str">
            <v>BOLD</v>
          </cell>
          <cell r="IL5" t="str">
            <v>Production</v>
          </cell>
          <cell r="IM5" t="str">
            <v>BIOFUEL_ETHANOL_PRODUCTION</v>
          </cell>
          <cell r="IN5"/>
          <cell r="IO5" t="str">
            <v>BOLD</v>
          </cell>
          <cell r="IP5" t="str">
            <v>+ Commercial</v>
          </cell>
          <cell r="IQ5" t="str">
            <v>IS_ELECT_SALE_COMM_RETAIL</v>
          </cell>
          <cell r="IR5"/>
          <cell r="IS5" t="str">
            <v>BOLD</v>
          </cell>
          <cell r="IT5" t="str">
            <v>Solar Module Capacity - Megawatts</v>
          </cell>
          <cell r="IU5" t="str">
            <v>SOLAR_MODULE_CAPACITY</v>
          </cell>
          <cell r="IV5"/>
          <cell r="IW5" t="str">
            <v>BOLD</v>
          </cell>
          <cell r="IX5" t="str">
            <v>Annualized Return on Assets</v>
          </cell>
          <cell r="IY5" t="str">
            <v>ANN_RETURN_ON_ASSET</v>
          </cell>
          <cell r="IZ5"/>
          <cell r="JA5" t="str">
            <v>BOLD</v>
          </cell>
          <cell r="JB5" t="str">
            <v>Net Premiums Written (Life)</v>
          </cell>
          <cell r="JC5" t="str">
            <v>IS_NET_PREM_WRITTEN_LIFE</v>
          </cell>
          <cell r="JD5"/>
          <cell r="JE5" t="str">
            <v>BOLD</v>
          </cell>
          <cell r="JF5" t="str">
            <v>Number of Retail Locations</v>
          </cell>
          <cell r="JG5" t="str">
            <v>NUMBER_OF_LOCATIONS_END</v>
          </cell>
          <cell r="JH5"/>
          <cell r="JI5" t="str">
            <v>BOLD</v>
          </cell>
          <cell r="JJ5" t="str">
            <v>Same Store Sales Incl Fuel</v>
          </cell>
          <cell r="JK5" t="str">
            <v>SAME_STORE_SALES_INCLUDING_FUEL</v>
          </cell>
          <cell r="JL5"/>
          <cell r="JM5" t="str">
            <v>BOLD</v>
          </cell>
          <cell r="JO5" t="str">
            <v>Sales Growth</v>
          </cell>
          <cell r="JP5" t="str">
            <v>SALES_GROWTH</v>
          </cell>
          <cell r="JQ5"/>
          <cell r="JR5" t="str">
            <v>BOLD</v>
          </cell>
        </row>
        <row r="6">
          <cell r="A6">
            <v>5</v>
          </cell>
          <cell r="B6" t="str">
            <v>Steel Production</v>
          </cell>
          <cell r="C6" t="str">
            <v>STEEL_PRODUCTION</v>
          </cell>
          <cell r="D6"/>
          <cell r="E6" t="str">
            <v>BOLD</v>
          </cell>
          <cell r="F6" t="str">
            <v>Acquired Spending - Number of Transactions</v>
          </cell>
          <cell r="G6" t="str">
            <v>ACQUIRED_SPND_NUM_OF_TRANS</v>
          </cell>
          <cell r="H6"/>
          <cell r="I6" t="str">
            <v>BOLD</v>
          </cell>
          <cell r="J6" t="str">
            <v>Copper - Grade (%)</v>
          </cell>
          <cell r="K6" t="str">
            <v>MINING_P&amp;P_RSRVS_COPPER_GRADE</v>
          </cell>
          <cell r="L6"/>
          <cell r="M6" t="str">
            <v>BOLD</v>
          </cell>
          <cell r="N6" t="str">
            <v>Silver - Grade (oz/Ton)</v>
          </cell>
          <cell r="O6" t="str">
            <v>MINING_P&amp;P_RSRVS_SILVER_GRADE</v>
          </cell>
          <cell r="P6"/>
          <cell r="Q6" t="str">
            <v>BOLD</v>
          </cell>
          <cell r="R6" t="str">
            <v>Gold - Grade (oz/Ton)</v>
          </cell>
          <cell r="S6" t="str">
            <v>MINING_P&amp;P_RSRVS_GOLD_GRADE</v>
          </cell>
          <cell r="T6"/>
          <cell r="U6" t="str">
            <v>BOLD</v>
          </cell>
          <cell r="V6" t="str">
            <v>Silver (oz)</v>
          </cell>
          <cell r="W6" t="str">
            <v>MINING_SILVER_SOLD</v>
          </cell>
          <cell r="X6"/>
          <cell r="Y6" t="str">
            <v>BOLD</v>
          </cell>
          <cell r="Z6" t="str">
            <v>Silver Forecast (oz)</v>
          </cell>
          <cell r="AA6" t="str">
            <v>MINING_SILVER_PRODUCTION_PLANNED</v>
          </cell>
          <cell r="AB6"/>
          <cell r="AC6" t="str">
            <v>BOLD</v>
          </cell>
          <cell r="AD6" t="str">
            <v>Gold - Recovery (%)</v>
          </cell>
          <cell r="AE6" t="str">
            <v>MINING_GOLD_PRODUCTION_RECOV_PCT</v>
          </cell>
          <cell r="AF6"/>
          <cell r="AG6" t="str">
            <v>BOLD</v>
          </cell>
          <cell r="AH6" t="str">
            <v>Contained Gold (oz)</v>
          </cell>
          <cell r="AI6" t="str">
            <v>MINING_P&amp;P_RSRVS_CONTAINED_GOLD</v>
          </cell>
          <cell r="AJ6"/>
          <cell r="AK6" t="str">
            <v>BOLD</v>
          </cell>
          <cell r="AL6" t="str">
            <v>Contained Gold (oz)</v>
          </cell>
          <cell r="AM6" t="str">
            <v>MINING_M&amp;I_RES_CONTAINED_GOLD</v>
          </cell>
          <cell r="AN6"/>
          <cell r="AO6" t="str">
            <v>BOLD</v>
          </cell>
          <cell r="AP6" t="str">
            <v>Takaful Total Net Premiums Earned (Fam &amp; Non-Fam)</v>
          </cell>
          <cell r="AQ6" t="str">
            <v>IS_TAKAFUL_TOT_NET_PREMS_EARNED</v>
          </cell>
          <cell r="AR6"/>
          <cell r="AS6" t="str">
            <v>BOLD</v>
          </cell>
          <cell r="AT6" t="str">
            <v>M&amp;I Res - Gold Grade (oz/t)</v>
          </cell>
          <cell r="AU6" t="str">
            <v>MINING_M&amp;I_RESOURCES_GOLD_GRADE</v>
          </cell>
          <cell r="AV6"/>
          <cell r="AW6" t="str">
            <v>BOLD</v>
          </cell>
          <cell r="AX6" t="str">
            <v>Developed (Gross)</v>
          </cell>
          <cell r="AY6" t="str">
            <v>DEVEL_WELLS_DRILLED_GROSS</v>
          </cell>
          <cell r="AZ6"/>
          <cell r="BA6" t="str">
            <v>BOLD</v>
          </cell>
          <cell r="BB6" t="str">
            <v xml:space="preserve">  - Exploration Expense</v>
          </cell>
          <cell r="BC6" t="str">
            <v>EXPLORATION_EXPENSES_NAMR</v>
          </cell>
          <cell r="BD6"/>
          <cell r="BE6" t="str">
            <v>NO</v>
          </cell>
          <cell r="BF6" t="str">
            <v xml:space="preserve">  - Development Costs</v>
          </cell>
          <cell r="BG6" t="str">
            <v>FUTURE_DEVELOPMENT_COSTS</v>
          </cell>
          <cell r="BH6"/>
          <cell r="BI6" t="str">
            <v>NO</v>
          </cell>
          <cell r="BJ6" t="str">
            <v xml:space="preserve">  + Exploration Cost</v>
          </cell>
          <cell r="BK6" t="str">
            <v>EXPLORATION_COST</v>
          </cell>
          <cell r="BL6"/>
          <cell r="BM6" t="str">
            <v>NO</v>
          </cell>
          <cell r="BN6" t="str">
            <v xml:space="preserve">  NGL (MBBL/Day)</v>
          </cell>
          <cell r="BO6" t="str">
            <v>NGL_PRODUCTION_NAMR_MBBL_DY</v>
          </cell>
          <cell r="BP6"/>
          <cell r="BQ6" t="str">
            <v>NO</v>
          </cell>
          <cell r="BR6" t="str">
            <v xml:space="preserve">  NGL (MBBL/Day)</v>
          </cell>
          <cell r="BS6" t="str">
            <v>NGL_PRODUCTION_WORLD_MBBL_DY</v>
          </cell>
          <cell r="BT6"/>
          <cell r="BU6" t="str">
            <v>NO</v>
          </cell>
          <cell r="BV6" t="str">
            <v xml:space="preserve">  + Improved Recovery</v>
          </cell>
          <cell r="BW6" t="str">
            <v>GAS_IMPROV_REC_WORLD</v>
          </cell>
          <cell r="BX6"/>
          <cell r="BY6" t="str">
            <v>NO</v>
          </cell>
          <cell r="BZ6" t="str">
            <v xml:space="preserve">  + Improved Recovery</v>
          </cell>
          <cell r="CA6" t="str">
            <v>OIL_IMPROVED_RECOVERY_WORLDWIDE</v>
          </cell>
          <cell r="CB6"/>
          <cell r="CC6" t="str">
            <v>NO</v>
          </cell>
          <cell r="CD6" t="str">
            <v xml:space="preserve">  + Improved Recovery</v>
          </cell>
          <cell r="CE6" t="str">
            <v>BOE_IMPROV_REC_WORLD</v>
          </cell>
          <cell r="CF6"/>
          <cell r="CG6" t="str">
            <v>NO</v>
          </cell>
          <cell r="CH6" t="str">
            <v>Energy-3Yr Organic Finding &amp; Development Costs-BOE</v>
          </cell>
          <cell r="CI6" t="str">
            <v>ORGANIC_F&amp;D_COSTS_3_YR_BOE</v>
          </cell>
          <cell r="CJ6"/>
          <cell r="CK6" t="str">
            <v>BOLD</v>
          </cell>
          <cell r="CL6" t="str">
            <v xml:space="preserve">  Cement Volume Growth</v>
          </cell>
          <cell r="CM6" t="str">
            <v>CEMENT_VOLUME_GROWTH</v>
          </cell>
          <cell r="CN6"/>
          <cell r="CO6" t="str">
            <v>NO</v>
          </cell>
          <cell r="CP6" t="str">
            <v>Alumina Production</v>
          </cell>
          <cell r="CQ6" t="str">
            <v>MINING_ALUMINA_PROD_ACT</v>
          </cell>
          <cell r="CR6"/>
          <cell r="CS6" t="str">
            <v>BOLD</v>
          </cell>
          <cell r="CT6" t="str">
            <v>Other PBM Claims</v>
          </cell>
          <cell r="CU6" t="str">
            <v>OTHER_PBM_CLAIMS</v>
          </cell>
          <cell r="CV6"/>
          <cell r="CW6" t="str">
            <v>BOLD</v>
          </cell>
          <cell r="CX6" t="str">
            <v>Capital Expenditure Ratio</v>
          </cell>
          <cell r="CY6" t="str">
            <v>CAP_EXPEND_RATIO</v>
          </cell>
          <cell r="CZ6"/>
          <cell r="DA6" t="str">
            <v>BOLD</v>
          </cell>
          <cell r="DD6"/>
          <cell r="DE6" t="str">
            <v>BOLD</v>
          </cell>
          <cell r="DH6"/>
          <cell r="DI6" t="str">
            <v>BOLD</v>
          </cell>
          <cell r="DJ6" t="str">
            <v>Average Daily Rate (ADR)</v>
          </cell>
          <cell r="DK6" t="str">
            <v>HOTEL_AVG_DAILY_RATE</v>
          </cell>
          <cell r="DL6"/>
          <cell r="DM6" t="str">
            <v>BOLD</v>
          </cell>
          <cell r="DN6" t="str">
            <v>Backlog</v>
          </cell>
          <cell r="DO6" t="str">
            <v>NUMBER_OF_HOMES_IN_BACKLOG</v>
          </cell>
          <cell r="DP6"/>
          <cell r="DQ6" t="str">
            <v>BOLD</v>
          </cell>
          <cell r="DR6" t="str">
            <v xml:space="preserve">  Revenue per Equivalent Admission</v>
          </cell>
          <cell r="DS6" t="str">
            <v>REVENUE_PER_EQUIVALENT_ADMISSION</v>
          </cell>
          <cell r="DT6"/>
          <cell r="DU6" t="str">
            <v>NO</v>
          </cell>
          <cell r="DX6"/>
          <cell r="DY6" t="str">
            <v>BOLD</v>
          </cell>
          <cell r="DZ6" t="str">
            <v>Medicare Advantage Enrollment</v>
          </cell>
          <cell r="EA6" t="str">
            <v>MEDICARE_ADVANTAGE_ENROLLMENT</v>
          </cell>
          <cell r="EB6"/>
          <cell r="EC6" t="str">
            <v>BOLD</v>
          </cell>
          <cell r="EF6"/>
          <cell r="EG6" t="str">
            <v>BOLD</v>
          </cell>
          <cell r="EH6" t="str">
            <v>Container Capacity - TEU</v>
          </cell>
          <cell r="EI6" t="str">
            <v>SHIPPING_TEU_CAPACITY</v>
          </cell>
          <cell r="EJ6"/>
          <cell r="EK6" t="str">
            <v>BOLD</v>
          </cell>
          <cell r="EL6" t="str">
            <v xml:space="preserve">  Gross Ton Miles per Employee</v>
          </cell>
          <cell r="EM6" t="str">
            <v>GROSS_TON_MILES_PER_EMP</v>
          </cell>
          <cell r="EN6"/>
          <cell r="EO6" t="str">
            <v>NO</v>
          </cell>
          <cell r="EP6" t="str">
            <v>Net Employee Additions</v>
          </cell>
          <cell r="EQ6" t="str">
            <v>NET_EMPLOYEE_ADDITIONS</v>
          </cell>
          <cell r="ER6"/>
          <cell r="ES6" t="str">
            <v>BOLD</v>
          </cell>
          <cell r="ET6" t="str">
            <v>License Revenue (QoQ)</v>
          </cell>
          <cell r="EU6" t="str">
            <v>LICENSE_REVENUE_SEQ_GROWTH</v>
          </cell>
          <cell r="EV6"/>
          <cell r="EW6" t="str">
            <v>BOLD</v>
          </cell>
          <cell r="EX6" t="str">
            <v>Company DRAM Bit Growth, QoQ (%)</v>
          </cell>
          <cell r="EY6" t="str">
            <v>ARD_DRAM_GB_SOLD_QOQ</v>
          </cell>
          <cell r="EZ6"/>
          <cell r="FA6" t="str">
            <v>BOLD</v>
          </cell>
          <cell r="FB6" t="str">
            <v>Operating Expenses</v>
          </cell>
          <cell r="FC6" t="str">
            <v>IS_OPERATING_EXPN</v>
          </cell>
          <cell r="FD6"/>
          <cell r="FE6" t="str">
            <v>BOLD</v>
          </cell>
          <cell r="FF6" t="str">
            <v>Wireless Service Revenue</v>
          </cell>
          <cell r="FG6" t="str">
            <v>CELLULAR_SERVICE_REVENUE</v>
          </cell>
          <cell r="FH6"/>
          <cell r="FI6" t="str">
            <v>BOLD</v>
          </cell>
          <cell r="FL6"/>
          <cell r="FM6" t="str">
            <v>BOLD</v>
          </cell>
          <cell r="FN6" t="str">
            <v>Load Factor</v>
          </cell>
          <cell r="FO6" t="str">
            <v>LOAD_FACTOR_CALCULATION</v>
          </cell>
          <cell r="FP6"/>
          <cell r="FQ6" t="str">
            <v>BOLD</v>
          </cell>
          <cell r="FR6" t="str">
            <v>Available Passenger Cruise Days</v>
          </cell>
          <cell r="FS6" t="str">
            <v>AVAILABLE_PASSENGER_CRUISE_DAYS</v>
          </cell>
          <cell r="FT6"/>
          <cell r="FU6" t="str">
            <v>BOLD</v>
          </cell>
          <cell r="FV6" t="str">
            <v xml:space="preserve">    United States</v>
          </cell>
          <cell r="FW6" t="str">
            <v>AUTO_VEHICLES_SOLD_US</v>
          </cell>
          <cell r="FX6"/>
          <cell r="FY6" t="str">
            <v>NO</v>
          </cell>
          <cell r="FZ6" t="str">
            <v>Transp Capacity Gas</v>
          </cell>
          <cell r="GA6" t="str">
            <v>PIPELINE_TRANSPORT_CAPACITY_GAS</v>
          </cell>
          <cell r="GB6"/>
          <cell r="GC6" t="str">
            <v>BOLD</v>
          </cell>
          <cell r="GD6" t="str">
            <v>Total Assets</v>
          </cell>
          <cell r="GE6" t="str">
            <v>BS_TOT_ASSET</v>
          </cell>
          <cell r="GF6"/>
          <cell r="GG6" t="str">
            <v>BOLD</v>
          </cell>
          <cell r="GH6" t="str">
            <v>Free Cash Flow</v>
          </cell>
          <cell r="GI6" t="str">
            <v>CF_FREE_CASH_FLOW</v>
          </cell>
          <cell r="GJ6"/>
          <cell r="GK6" t="str">
            <v>BOLD</v>
          </cell>
          <cell r="GL6" t="str">
            <v>Excise Tax per Hectoliter</v>
          </cell>
          <cell r="GM6" t="str">
            <v>EXCISE_TAX_PER_HECTOLITER</v>
          </cell>
          <cell r="GN6"/>
          <cell r="GO6" t="str">
            <v>BOLD</v>
          </cell>
          <cell r="GP6" t="str">
            <v>Inventory to Sales</v>
          </cell>
          <cell r="GQ6" t="str">
            <v>INVENT_TO_SALES</v>
          </cell>
          <cell r="GR6"/>
          <cell r="GS6" t="str">
            <v>BOLD</v>
          </cell>
          <cell r="GT6" t="str">
            <v xml:space="preserve">  Gaming Revenue</v>
          </cell>
          <cell r="GU6" t="str">
            <v>ENTERT_GAMING_REVENUE</v>
          </cell>
          <cell r="GV6"/>
          <cell r="GW6" t="str">
            <v>NO</v>
          </cell>
          <cell r="GX6" t="str">
            <v>Diminution Player Registrations</v>
          </cell>
          <cell r="GY6" t="str">
            <v>DIMINUTION_PLAYERS_REGISTRATIONS</v>
          </cell>
          <cell r="GZ6"/>
          <cell r="HA6" t="str">
            <v>BOLD</v>
          </cell>
          <cell r="HB6" t="str">
            <v>Inventories</v>
          </cell>
          <cell r="HC6" t="str">
            <v>ASSET_ALLOCATION_INVENTORIES</v>
          </cell>
          <cell r="HD6"/>
          <cell r="HE6" t="str">
            <v>BOLD</v>
          </cell>
          <cell r="HF6" t="str">
            <v>Productivity</v>
          </cell>
          <cell r="HG6" t="str">
            <v>LABEL</v>
          </cell>
          <cell r="HH6"/>
          <cell r="HI6" t="str">
            <v>BOLD</v>
          </cell>
          <cell r="HJ6" t="str">
            <v>Potash Price</v>
          </cell>
          <cell r="HK6" t="str">
            <v>CHEMICALS_POTASH_PRICE</v>
          </cell>
          <cell r="HL6"/>
          <cell r="HM6" t="str">
            <v>BOLD</v>
          </cell>
          <cell r="HN6" t="str">
            <v>New Awards</v>
          </cell>
          <cell r="HO6" t="str">
            <v>CONST_NEW_AWARDS</v>
          </cell>
          <cell r="HP6"/>
          <cell r="HQ6" t="str">
            <v>BOLD</v>
          </cell>
          <cell r="HR6" t="str">
            <v>Log Production</v>
          </cell>
          <cell r="HS6" t="str">
            <v>FORESTRY_LOG_PRODUCTION</v>
          </cell>
          <cell r="HT6"/>
          <cell r="HU6" t="str">
            <v>BOLD</v>
          </cell>
          <cell r="HV6" t="str">
            <v>Return on Common Equity</v>
          </cell>
          <cell r="HW6" t="str">
            <v>RETURN_COM_EQY</v>
          </cell>
          <cell r="HX6"/>
          <cell r="HY6" t="str">
            <v>BOLD</v>
          </cell>
          <cell r="HZ6" t="str">
            <v>Net Premiums Earned Non - Life</v>
          </cell>
          <cell r="IA6" t="str">
            <v>IS_NET_PREMS_EARNED_NON_LIFE</v>
          </cell>
          <cell r="IB6"/>
          <cell r="IC6" t="str">
            <v>BOLD</v>
          </cell>
          <cell r="ID6" t="str">
            <v>Free Cash Flow</v>
          </cell>
          <cell r="IE6" t="str">
            <v>CF_FREE_CASH_FLOW</v>
          </cell>
          <cell r="IF6"/>
          <cell r="IG6" t="str">
            <v>BOLD</v>
          </cell>
          <cell r="IH6" t="str">
            <v>Return on Common Equity</v>
          </cell>
          <cell r="II6" t="str">
            <v>RETURN_COM_EQY</v>
          </cell>
          <cell r="IJ6"/>
          <cell r="IK6" t="str">
            <v>BOLD</v>
          </cell>
          <cell r="IL6" t="str">
            <v>Volume Sold</v>
          </cell>
          <cell r="IM6" t="str">
            <v>BIOFUEL_ETHANOL_SOLD</v>
          </cell>
          <cell r="IN6"/>
          <cell r="IO6" t="str">
            <v>BOLD</v>
          </cell>
          <cell r="IP6" t="str">
            <v>+ Industrial</v>
          </cell>
          <cell r="IQ6" t="str">
            <v>IS_ELECT_SALE_INDUS_RETAIL</v>
          </cell>
          <cell r="IR6"/>
          <cell r="IS6" t="str">
            <v>BOLD</v>
          </cell>
          <cell r="IT6" t="str">
            <v>Average Selling Price for Solar Modules</v>
          </cell>
          <cell r="IU6" t="str">
            <v>SOLAR_AVG_SELLING_PRICE_MODULES</v>
          </cell>
          <cell r="IV6"/>
          <cell r="IW6" t="str">
            <v>BOLD</v>
          </cell>
          <cell r="IX6" t="str">
            <v>Return on Common Equity</v>
          </cell>
          <cell r="IY6" t="str">
            <v>RETURN_COM_EQY</v>
          </cell>
          <cell r="IZ6"/>
          <cell r="JA6" t="str">
            <v>BOLD</v>
          </cell>
          <cell r="JB6" t="str">
            <v>Net Premiums Earned Non - Life</v>
          </cell>
          <cell r="JC6" t="str">
            <v>IS_NET_PREMS_EARNED_NON_LIFE</v>
          </cell>
          <cell r="JD6"/>
          <cell r="JE6" t="str">
            <v>BOLD</v>
          </cell>
          <cell r="JF6" t="str">
            <v>Company Owned/Operated Locations</v>
          </cell>
          <cell r="JG6" t="str">
            <v>CO_OWNED_OPERATED_LOCATIONS</v>
          </cell>
          <cell r="JH6"/>
          <cell r="JI6" t="str">
            <v>BOLD</v>
          </cell>
          <cell r="JL6"/>
          <cell r="JM6" t="str">
            <v>BOLD</v>
          </cell>
          <cell r="JO6" t="str">
            <v>Organic Growth Rate</v>
          </cell>
          <cell r="JP6" t="str">
            <v>IS_ORGANIC_GROWTH_RATE</v>
          </cell>
          <cell r="JQ6"/>
          <cell r="JR6" t="str">
            <v>BOLD</v>
          </cell>
        </row>
        <row r="7">
          <cell r="A7">
            <v>6</v>
          </cell>
          <cell r="B7" t="str">
            <v>Steel Shipments</v>
          </cell>
          <cell r="C7" t="str">
            <v>STEEL_SHIPMENTS</v>
          </cell>
          <cell r="D7"/>
          <cell r="E7" t="str">
            <v>BOLD</v>
          </cell>
          <cell r="H7"/>
          <cell r="I7" t="str">
            <v>BOLD</v>
          </cell>
          <cell r="J7" t="str">
            <v>Contained Copper (Tons)</v>
          </cell>
          <cell r="K7" t="str">
            <v>MINING_P&amp;P_RSRV_CONTAINED_COPPER</v>
          </cell>
          <cell r="L7"/>
          <cell r="M7" t="str">
            <v>BOLD</v>
          </cell>
          <cell r="N7" t="str">
            <v>Contained Silver (oz)</v>
          </cell>
          <cell r="O7" t="str">
            <v>MINING_P&amp;P_RSRV_CONTAINED_SILVER</v>
          </cell>
          <cell r="P7"/>
          <cell r="Q7" t="str">
            <v>BOLD</v>
          </cell>
          <cell r="R7" t="str">
            <v>Contained Gold (oz)</v>
          </cell>
          <cell r="S7" t="str">
            <v>MINING_P&amp;P_RSRVS_CONTAINED_GOLD</v>
          </cell>
          <cell r="T7"/>
          <cell r="U7" t="str">
            <v>BOLD</v>
          </cell>
          <cell r="V7" t="str">
            <v>Copper (Tons)</v>
          </cell>
          <cell r="W7" t="str">
            <v>MINING_COPPER_SOLD</v>
          </cell>
          <cell r="X7"/>
          <cell r="Y7" t="str">
            <v>BOLD</v>
          </cell>
          <cell r="Z7" t="str">
            <v>Palladium Forecast (oz)</v>
          </cell>
          <cell r="AA7" t="str">
            <v>MINING_PALLADIUM_PROD_PLANNED</v>
          </cell>
          <cell r="AB7"/>
          <cell r="AC7" t="str">
            <v>BOLD</v>
          </cell>
          <cell r="AD7" t="str">
            <v>Gold Production (oz)</v>
          </cell>
          <cell r="AE7" t="str">
            <v>MINING_GOLD_PRODUCTION_ACTUAL</v>
          </cell>
          <cell r="AF7"/>
          <cell r="AG7" t="str">
            <v>BOLD</v>
          </cell>
          <cell r="AH7" t="str">
            <v>Silver - Ore Volume (Tons)</v>
          </cell>
          <cell r="AI7" t="str">
            <v>MINING_P&amp;P_RSRVS_SILVER_VOLUME</v>
          </cell>
          <cell r="AJ7"/>
          <cell r="AK7" t="str">
            <v>BOLD</v>
          </cell>
          <cell r="AL7" t="str">
            <v>Silver - Ore Volume (Tons)</v>
          </cell>
          <cell r="AM7" t="str">
            <v>MINING_M&amp;I_RES_SILVER_VOLUME</v>
          </cell>
          <cell r="AN7"/>
          <cell r="AO7" t="str">
            <v>BOLD</v>
          </cell>
          <cell r="AP7" t="str">
            <v>Takaful Investment Income / Loss Policyholders</v>
          </cell>
          <cell r="AQ7" t="str">
            <v>IS_TAKAFUL_INV_INC_POLICYHOLDERS</v>
          </cell>
          <cell r="AR7"/>
          <cell r="AS7" t="str">
            <v>BOLD</v>
          </cell>
          <cell r="AT7" t="str">
            <v>Mining - Inf. Res. Contained Gold</v>
          </cell>
          <cell r="AU7" t="str">
            <v>MINING_INFERRED_RES_CONTAIN_GOLD</v>
          </cell>
          <cell r="AV7"/>
          <cell r="AW7" t="str">
            <v>BOLD</v>
          </cell>
          <cell r="AX7" t="str">
            <v xml:space="preserve">  Developed (Net)</v>
          </cell>
          <cell r="AY7" t="str">
            <v>DEVEL_WELLS_DRILLED_NET</v>
          </cell>
          <cell r="AZ7"/>
          <cell r="BA7" t="str">
            <v>NO</v>
          </cell>
          <cell r="BB7" t="str">
            <v xml:space="preserve">  - DD&amp;A</v>
          </cell>
          <cell r="BC7" t="str">
            <v>DD&amp;A_NAMR</v>
          </cell>
          <cell r="BD7"/>
          <cell r="BE7" t="str">
            <v>NO</v>
          </cell>
          <cell r="BF7" t="str">
            <v xml:space="preserve">  - Income Tax</v>
          </cell>
          <cell r="BG7" t="str">
            <v>FUTURE_INCOME_TAX</v>
          </cell>
          <cell r="BH7"/>
          <cell r="BI7" t="str">
            <v>NO</v>
          </cell>
          <cell r="BJ7" t="str">
            <v xml:space="preserve">  + Development Costs</v>
          </cell>
          <cell r="BK7" t="str">
            <v>DEVELOPMENT_COSTS</v>
          </cell>
          <cell r="BL7"/>
          <cell r="BM7" t="str">
            <v>NO</v>
          </cell>
          <cell r="BN7" t="str">
            <v xml:space="preserve">  Total (MBOE/Day)</v>
          </cell>
          <cell r="BO7" t="str">
            <v>TOTAL_PRODUCTION_NAMR_MBOE_DY</v>
          </cell>
          <cell r="BP7"/>
          <cell r="BQ7" t="str">
            <v>NO</v>
          </cell>
          <cell r="BR7" t="str">
            <v>Production (MBOE/Day)</v>
          </cell>
          <cell r="BS7" t="str">
            <v>TOTAL_PRODUCTION_WORLD_MBOE_DY</v>
          </cell>
          <cell r="BT7"/>
          <cell r="BU7" t="str">
            <v>BOLD</v>
          </cell>
          <cell r="BV7" t="str">
            <v xml:space="preserve">  + Extensions &amp; Discoveries</v>
          </cell>
          <cell r="BW7" t="str">
            <v>GAS_EXTENS_DISCOV_WORLD</v>
          </cell>
          <cell r="BX7"/>
          <cell r="BY7" t="str">
            <v>NO</v>
          </cell>
          <cell r="BZ7" t="str">
            <v xml:space="preserve">  + Extensions &amp; Discoveries</v>
          </cell>
          <cell r="CA7" t="str">
            <v>OIL_EXTENSIONS_AND_DISCS_WW</v>
          </cell>
          <cell r="CB7"/>
          <cell r="CC7" t="str">
            <v>NO</v>
          </cell>
          <cell r="CD7" t="str">
            <v xml:space="preserve">  + Extensions &amp; Discoveries</v>
          </cell>
          <cell r="CE7" t="str">
            <v>BOE_EXTENS_DISCOV_WORLD</v>
          </cell>
          <cell r="CF7"/>
          <cell r="CG7" t="str">
            <v>NO</v>
          </cell>
          <cell r="CH7" t="str">
            <v>Energy-3Yr All-in Finding &amp; Development Costs-BOE</v>
          </cell>
          <cell r="CI7" t="str">
            <v>ALL_IN_F&amp;D_COSTS_3_YR_BOE</v>
          </cell>
          <cell r="CJ7"/>
          <cell r="CK7" t="str">
            <v>BOLD</v>
          </cell>
          <cell r="CL7" t="str">
            <v xml:space="preserve">  Cement Volume Growth Ratio</v>
          </cell>
          <cell r="CM7" t="str">
            <v>CEMENT_VOLUME_GROWTH_RATIO</v>
          </cell>
          <cell r="CN7"/>
          <cell r="CO7" t="str">
            <v>NO</v>
          </cell>
          <cell r="CP7" t="str">
            <v>Iron Production</v>
          </cell>
          <cell r="CQ7" t="str">
            <v>MINING_IRON_PRODUCTION_ACTUAL</v>
          </cell>
          <cell r="CR7"/>
          <cell r="CS7" t="str">
            <v>BOLD</v>
          </cell>
          <cell r="CT7" t="str">
            <v>Adjusted Mail Order/Home Delivery Claims</v>
          </cell>
          <cell r="CU7" t="str">
            <v>ADJ_MAIL_ORDER_HOME_DELIV_CLAIMS</v>
          </cell>
          <cell r="CV7"/>
          <cell r="CW7" t="str">
            <v>BOLD</v>
          </cell>
          <cell r="CZ7"/>
          <cell r="DA7" t="str">
            <v>BOLD</v>
          </cell>
          <cell r="DB7" t="str">
            <v>Debt/Real Estate Assets</v>
          </cell>
          <cell r="DC7" t="str">
            <v>DEBT_TO_RE_ASSET</v>
          </cell>
          <cell r="DD7"/>
          <cell r="DE7" t="str">
            <v>BOLD</v>
          </cell>
          <cell r="DF7" t="str">
            <v>Dividends/FFO</v>
          </cell>
          <cell r="DG7" t="str">
            <v>FFO_PAYOUT_RATIO</v>
          </cell>
          <cell r="DH7"/>
          <cell r="DI7" t="str">
            <v>BOLD</v>
          </cell>
          <cell r="DJ7" t="str">
            <v>Revenue per Available Room (REVPAR)</v>
          </cell>
          <cell r="DK7" t="str">
            <v>HOTEL_REV_PER_AVAILABLE_ROOM</v>
          </cell>
          <cell r="DL7"/>
          <cell r="DM7" t="str">
            <v>BOLD</v>
          </cell>
          <cell r="DN7" t="str">
            <v>Closings</v>
          </cell>
          <cell r="DO7" t="str">
            <v>NUMBER_OF_HOMES_CLOSED_DELIVERED</v>
          </cell>
          <cell r="DP7"/>
          <cell r="DQ7" t="str">
            <v>BOLD</v>
          </cell>
          <cell r="DR7" t="str">
            <v xml:space="preserve">  Average Length of Stay</v>
          </cell>
          <cell r="DS7" t="str">
            <v>AVG_LENGTH_OF_STAY</v>
          </cell>
          <cell r="DT7"/>
          <cell r="DU7" t="str">
            <v>NO</v>
          </cell>
          <cell r="DX7"/>
          <cell r="DY7" t="str">
            <v>BOLD</v>
          </cell>
          <cell r="DZ7" t="str">
            <v>Medicare Part D Enrollment</v>
          </cell>
          <cell r="EA7" t="str">
            <v>MEDICARE_PART_D_ENROLLMENT</v>
          </cell>
          <cell r="EB7"/>
          <cell r="EC7" t="str">
            <v>BOLD</v>
          </cell>
          <cell r="ED7" t="str">
            <v>Truckload Revenue Analysis</v>
          </cell>
          <cell r="EE7" t="str">
            <v>LABEL</v>
          </cell>
          <cell r="EF7"/>
          <cell r="EG7" t="str">
            <v>BOLD</v>
          </cell>
          <cell r="EH7" t="str">
            <v>Container Volume - TEU</v>
          </cell>
          <cell r="EI7" t="str">
            <v>CONTAINER_SHIPPING_VOL</v>
          </cell>
          <cell r="EJ7"/>
          <cell r="EK7" t="str">
            <v>BOLD</v>
          </cell>
          <cell r="EL7" t="str">
            <v xml:space="preserve">  Carloads</v>
          </cell>
          <cell r="EM7" t="str">
            <v>RAIL_CARLOADS</v>
          </cell>
          <cell r="EN7"/>
          <cell r="EO7" t="str">
            <v>NO</v>
          </cell>
          <cell r="EP7" t="str">
            <v>Planned Hires</v>
          </cell>
          <cell r="EQ7" t="str">
            <v>PLANNED_HIRES</v>
          </cell>
          <cell r="ER7"/>
          <cell r="ES7" t="str">
            <v>BOLD</v>
          </cell>
          <cell r="ET7" t="str">
            <v>License Revenue (YoY)</v>
          </cell>
          <cell r="EU7" t="str">
            <v>LICENSE_REVENUE_1_YEAR_GROWTH</v>
          </cell>
          <cell r="EV7"/>
          <cell r="EW7" t="str">
            <v>BOLD</v>
          </cell>
          <cell r="EX7" t="str">
            <v>DRAM Bit Growth, YoY (%)</v>
          </cell>
          <cell r="EY7" t="str">
            <v>ARD_DRAM_GB_SOLD_YOY</v>
          </cell>
          <cell r="EZ7"/>
          <cell r="FA7" t="str">
            <v>BOLD</v>
          </cell>
          <cell r="FB7" t="str">
            <v>Operating Expenses Net of R&amp;D</v>
          </cell>
          <cell r="FC7" t="str">
            <v>OPERATING_EXPENSES_NET_R&amp;D</v>
          </cell>
          <cell r="FD7"/>
          <cell r="FE7" t="str">
            <v>BOLD</v>
          </cell>
          <cell r="FF7" t="str">
            <v>Wireless Equipment Revenue</v>
          </cell>
          <cell r="FG7" t="str">
            <v>EQUIP_REVENUES_CELLULAR_TELECOM</v>
          </cell>
          <cell r="FH7"/>
          <cell r="FI7" t="str">
            <v>BOLD</v>
          </cell>
          <cell r="FJ7" t="str">
            <v>Video</v>
          </cell>
          <cell r="FK7" t="str">
            <v>LABEL</v>
          </cell>
          <cell r="FL7"/>
          <cell r="FM7" t="str">
            <v>BOLD</v>
          </cell>
          <cell r="FP7"/>
          <cell r="FQ7" t="str">
            <v>BOLD</v>
          </cell>
          <cell r="FR7" t="str">
            <v>Cruise Line - Occupancy Percentage for the Period</v>
          </cell>
          <cell r="FS7" t="str">
            <v>CRUISE_OCPNCY_PERCENT_FOR_PERIOD</v>
          </cell>
          <cell r="FT7"/>
          <cell r="FU7" t="str">
            <v>BOLD</v>
          </cell>
          <cell r="FV7" t="str">
            <v xml:space="preserve">  Europe</v>
          </cell>
          <cell r="FW7" t="str">
            <v>AUTO_VEHICLES_SOLD_EUROPE</v>
          </cell>
          <cell r="FX7"/>
          <cell r="FY7" t="str">
            <v>NO</v>
          </cell>
          <cell r="FZ7" t="str">
            <v>Pipeline Throughput Oil</v>
          </cell>
          <cell r="GA7" t="str">
            <v>PIPELINE_THROUGHPUT_OIL</v>
          </cell>
          <cell r="GB7"/>
          <cell r="GC7" t="str">
            <v>BOLD</v>
          </cell>
          <cell r="GD7" t="str">
            <v>Capital Expenditures</v>
          </cell>
          <cell r="GE7" t="str">
            <v>CF_CAP_EXPEND_PRPTY_ADD</v>
          </cell>
          <cell r="GF7"/>
          <cell r="GG7" t="str">
            <v>BOLD</v>
          </cell>
          <cell r="GH7" t="str">
            <v>FCF/share</v>
          </cell>
          <cell r="GI7" t="str">
            <v>FREE_CASH_FLOW_PER_SH</v>
          </cell>
          <cell r="GJ7"/>
          <cell r="GK7" t="str">
            <v>BOLD</v>
          </cell>
          <cell r="GL7" t="str">
            <v>Cost of Goods Sold per Hectoliter</v>
          </cell>
          <cell r="GM7" t="str">
            <v>COGS_PER_HECTOLITER</v>
          </cell>
          <cell r="GN7"/>
          <cell r="GO7" t="str">
            <v>BOLD</v>
          </cell>
          <cell r="GP7" t="str">
            <v>Inv. turnover</v>
          </cell>
          <cell r="GQ7" t="str">
            <v>INVENT_TURN</v>
          </cell>
          <cell r="GR7"/>
          <cell r="GS7" t="str">
            <v>BOLD</v>
          </cell>
          <cell r="GT7" t="str">
            <v xml:space="preserve">  Gaming Complimentaries</v>
          </cell>
          <cell r="GU7" t="str">
            <v>GAMING_COMPLIMENTARIES</v>
          </cell>
          <cell r="GV7"/>
          <cell r="GW7" t="str">
            <v>NO</v>
          </cell>
          <cell r="GX7" t="str">
            <v>Gate Receipts</v>
          </cell>
          <cell r="GY7" t="str">
            <v>GATE_RECEIPTS</v>
          </cell>
          <cell r="GZ7"/>
          <cell r="HA7" t="str">
            <v>BOLD</v>
          </cell>
          <cell r="HB7" t="str">
            <v>Prepaid Expenses</v>
          </cell>
          <cell r="HC7" t="str">
            <v>ASSET_ALLOCATION_PREPAID_EXPN</v>
          </cell>
          <cell r="HD7"/>
          <cell r="HE7" t="str">
            <v>BOLD</v>
          </cell>
          <cell r="HF7" t="str">
            <v>Sales per Retail Square Footage</v>
          </cell>
          <cell r="HG7" t="str">
            <v>SALES_PER_RETAIL_SQUARE_FOOTAGE</v>
          </cell>
          <cell r="HH7"/>
          <cell r="HI7" t="str">
            <v>BOLD</v>
          </cell>
          <cell r="HL7"/>
          <cell r="HM7" t="str">
            <v>BOLD</v>
          </cell>
          <cell r="HN7" t="str">
            <v>Domestic New Awards</v>
          </cell>
          <cell r="HO7" t="str">
            <v>CONST_NEW_AWARDS_DOMESTIC</v>
          </cell>
          <cell r="HP7"/>
          <cell r="HQ7" t="str">
            <v>BOLD</v>
          </cell>
          <cell r="HR7" t="str">
            <v>Logs Sold</v>
          </cell>
          <cell r="HS7" t="str">
            <v>FORESTRY_LOGS_SOLD</v>
          </cell>
          <cell r="HT7"/>
          <cell r="HU7" t="str">
            <v>BOLD</v>
          </cell>
          <cell r="HV7" t="str">
            <v>Annualized Return on Common Equity</v>
          </cell>
          <cell r="HW7" t="str">
            <v>ANN_RETURN_COM_EQY</v>
          </cell>
          <cell r="HX7"/>
          <cell r="HY7" t="str">
            <v>BOLD</v>
          </cell>
          <cell r="HZ7" t="str">
            <v>Net Premiums Earned - Life</v>
          </cell>
          <cell r="IA7" t="str">
            <v>IS_NET_PREMS_EARNED_LIFE</v>
          </cell>
          <cell r="IB7"/>
          <cell r="IC7" t="str">
            <v>BOLD</v>
          </cell>
          <cell r="ID7" t="str">
            <v>FCF/share</v>
          </cell>
          <cell r="IE7" t="str">
            <v>FREE_CASH_FLOW_PER_SH</v>
          </cell>
          <cell r="IF7"/>
          <cell r="IG7" t="str">
            <v>BOLD</v>
          </cell>
          <cell r="IH7" t="str">
            <v>Annualized Return on Common Equity</v>
          </cell>
          <cell r="II7" t="str">
            <v>ANN_RETURN_COM_EQY</v>
          </cell>
          <cell r="IJ7"/>
          <cell r="IK7" t="str">
            <v>BOLD</v>
          </cell>
          <cell r="IL7" t="str">
            <v>Price per Gallon</v>
          </cell>
          <cell r="IM7" t="str">
            <v>BIOFUEL_PRICE_PER_GALLON_ETHANOL</v>
          </cell>
          <cell r="IN7"/>
          <cell r="IO7" t="str">
            <v>BOLD</v>
          </cell>
          <cell r="IP7" t="str">
            <v>+ Other</v>
          </cell>
          <cell r="IQ7" t="str">
            <v>IS_ELECT_SALE_OTHER_RETAIL</v>
          </cell>
          <cell r="IR7"/>
          <cell r="IS7" t="str">
            <v>BOLD</v>
          </cell>
          <cell r="IT7" t="str">
            <v>Solar Cell Production - Megawatts</v>
          </cell>
          <cell r="IU7" t="str">
            <v>SOLAR_CELL_PRODUCTION</v>
          </cell>
          <cell r="IV7"/>
          <cell r="IW7" t="str">
            <v>BOLD</v>
          </cell>
          <cell r="IX7" t="str">
            <v>Annualized Return on Common Equity</v>
          </cell>
          <cell r="IY7" t="str">
            <v>ANN_RETURN_COM_EQY</v>
          </cell>
          <cell r="IZ7"/>
          <cell r="JA7" t="str">
            <v>BOLD</v>
          </cell>
          <cell r="JB7" t="str">
            <v>Net Premiums Earned - Life</v>
          </cell>
          <cell r="JC7" t="str">
            <v>IS_NET_PREMS_EARNED_LIFE</v>
          </cell>
          <cell r="JD7"/>
          <cell r="JE7" t="str">
            <v>BOLD</v>
          </cell>
          <cell r="JF7" t="str">
            <v>Number of Store Names</v>
          </cell>
          <cell r="JG7" t="str">
            <v>NUMBER_OF_STORE_NAMES</v>
          </cell>
          <cell r="JH7"/>
          <cell r="JI7" t="str">
            <v>BOLD</v>
          </cell>
          <cell r="JJ7" t="str">
            <v>Sales Productivity</v>
          </cell>
          <cell r="JK7" t="str">
            <v>LABEL</v>
          </cell>
          <cell r="JL7"/>
          <cell r="JM7" t="str">
            <v>BOLD</v>
          </cell>
          <cell r="JQ7"/>
          <cell r="JR7" t="str">
            <v>BOLD</v>
          </cell>
        </row>
        <row r="8">
          <cell r="A8">
            <v>7</v>
          </cell>
          <cell r="B8" t="str">
            <v>Operating Margin</v>
          </cell>
          <cell r="C8" t="str">
            <v>OPER_MARGIN</v>
          </cell>
          <cell r="D8"/>
          <cell r="E8" t="str">
            <v>BOLD</v>
          </cell>
          <cell r="F8" t="str">
            <v>Lenders</v>
          </cell>
          <cell r="G8" t="str">
            <v>LABEL</v>
          </cell>
          <cell r="H8"/>
          <cell r="I8" t="str">
            <v>BOLD</v>
          </cell>
          <cell r="J8" t="str">
            <v>Measured &amp; Indicated Resources</v>
          </cell>
          <cell r="K8" t="str">
            <v>LABEL</v>
          </cell>
          <cell r="L8"/>
          <cell r="M8" t="str">
            <v>BOLD</v>
          </cell>
          <cell r="N8" t="str">
            <v>Measured &amp; Indicated Resources</v>
          </cell>
          <cell r="O8" t="str">
            <v>LABEL</v>
          </cell>
          <cell r="P8"/>
          <cell r="Q8" t="str">
            <v>BOLD</v>
          </cell>
          <cell r="R8" t="str">
            <v>Measured &amp; Indicated Resources</v>
          </cell>
          <cell r="S8" t="str">
            <v>LABEL</v>
          </cell>
          <cell r="T8"/>
          <cell r="U8" t="str">
            <v>BOLD</v>
          </cell>
          <cell r="V8" t="str">
            <v>Iron (Tons)</v>
          </cell>
          <cell r="W8" t="str">
            <v>MINING_IRON_SALES_ACTUAL</v>
          </cell>
          <cell r="X8"/>
          <cell r="Y8" t="str">
            <v>BOLD</v>
          </cell>
          <cell r="Z8" t="str">
            <v>Platinum Forecast (oz)</v>
          </cell>
          <cell r="AA8" t="str">
            <v>MINING_PLATINUM_PROD_PLANNED</v>
          </cell>
          <cell r="AB8"/>
          <cell r="AC8" t="str">
            <v>BOLD</v>
          </cell>
          <cell r="AD8" t="str">
            <v>Gold Equivalents Production (oz)</v>
          </cell>
          <cell r="AE8" t="str">
            <v>MINING_GOLD_EQUIV_PROD_ACTUAL</v>
          </cell>
          <cell r="AF8"/>
          <cell r="AG8" t="str">
            <v>BOLD</v>
          </cell>
          <cell r="AH8" t="str">
            <v>Silver - Grade (oz/Ton)</v>
          </cell>
          <cell r="AI8" t="str">
            <v>MINING_P&amp;P_RSRVS_SILVER_GRADE</v>
          </cell>
          <cell r="AJ8"/>
          <cell r="AK8" t="str">
            <v>BOLD</v>
          </cell>
          <cell r="AL8" t="str">
            <v>Silver - Grade (oz/Ton)</v>
          </cell>
          <cell r="AM8" t="str">
            <v>MINING_M&amp;I_RES_SILVER_GRADE</v>
          </cell>
          <cell r="AN8"/>
          <cell r="AO8" t="str">
            <v>BOLD</v>
          </cell>
          <cell r="AP8" t="str">
            <v>Retakaful Commission Income</v>
          </cell>
          <cell r="AQ8" t="str">
            <v>IS_RETAKAFUL_COMMISSION_INCOME</v>
          </cell>
          <cell r="AR8"/>
          <cell r="AS8" t="str">
            <v>BOLD</v>
          </cell>
          <cell r="AT8" t="str">
            <v>Inferred Resources - Gold Ore Volume</v>
          </cell>
          <cell r="AU8" t="str">
            <v>MINING_INFERRED_RES_GOLD_VOLUME</v>
          </cell>
          <cell r="AV8"/>
          <cell r="AW8" t="str">
            <v>BOLD</v>
          </cell>
          <cell r="AX8" t="str">
            <v>Dry (Gross)</v>
          </cell>
          <cell r="AY8" t="str">
            <v>DRY_HOLES_DRILLED_GROSS</v>
          </cell>
          <cell r="AZ8"/>
          <cell r="BA8" t="str">
            <v>BOLD</v>
          </cell>
          <cell r="BB8" t="str">
            <v xml:space="preserve">  - Other Expenses</v>
          </cell>
          <cell r="BC8" t="str">
            <v>OTHER_E&amp;P_EXPENSES_NAMR</v>
          </cell>
          <cell r="BD8"/>
          <cell r="BE8" t="str">
            <v>NO</v>
          </cell>
          <cell r="BF8" t="str">
            <v xml:space="preserve">  Undiscounted Cashflows</v>
          </cell>
          <cell r="BG8" t="str">
            <v>FUTURE_CASHFLOWS_UNDISC</v>
          </cell>
          <cell r="BH8"/>
          <cell r="BI8" t="str">
            <v>NO</v>
          </cell>
          <cell r="BJ8" t="str">
            <v xml:space="preserve">  + Miscellaneous Costs</v>
          </cell>
          <cell r="BK8" t="str">
            <v>MISCEL_COSTS</v>
          </cell>
          <cell r="BL8"/>
          <cell r="BM8" t="str">
            <v>NO</v>
          </cell>
          <cell r="BN8" t="str">
            <v>United States</v>
          </cell>
          <cell r="BO8" t="str">
            <v>LABEL</v>
          </cell>
          <cell r="BP8"/>
          <cell r="BQ8" t="str">
            <v>BOLD</v>
          </cell>
          <cell r="BT8"/>
          <cell r="BU8" t="str">
            <v>BOLD</v>
          </cell>
          <cell r="BV8" t="str">
            <v xml:space="preserve">  + Purchases</v>
          </cell>
          <cell r="BW8" t="str">
            <v>GAS_PURCHASES_WORLD</v>
          </cell>
          <cell r="BX8"/>
          <cell r="BY8" t="str">
            <v>NO</v>
          </cell>
          <cell r="BZ8" t="str">
            <v xml:space="preserve">  + Purchases</v>
          </cell>
          <cell r="CA8" t="str">
            <v>OIL_PURCHASES_WORLDWIDE</v>
          </cell>
          <cell r="CB8"/>
          <cell r="CC8" t="str">
            <v>NO</v>
          </cell>
          <cell r="CD8" t="str">
            <v xml:space="preserve">  + Purchases</v>
          </cell>
          <cell r="CE8" t="str">
            <v>BOE_PURCHASES_WORLD</v>
          </cell>
          <cell r="CF8"/>
          <cell r="CG8" t="str">
            <v>NO</v>
          </cell>
          <cell r="CH8" t="str">
            <v>Total E&amp;P Spending</v>
          </cell>
          <cell r="CI8" t="str">
            <v>COSTS_INCURRED</v>
          </cell>
          <cell r="CJ8"/>
          <cell r="CK8" t="str">
            <v>BOLD</v>
          </cell>
          <cell r="CL8" t="str">
            <v>Cement Price per Ton</v>
          </cell>
          <cell r="CM8" t="str">
            <v>CEMENT_PRICE_PER_TON</v>
          </cell>
          <cell r="CN8"/>
          <cell r="CO8" t="str">
            <v>BOLD</v>
          </cell>
          <cell r="CP8" t="str">
            <v>Nickel Production</v>
          </cell>
          <cell r="CQ8" t="str">
            <v>MINING_NICKEL_PRODUCTION_ACTUAL</v>
          </cell>
          <cell r="CR8"/>
          <cell r="CS8" t="str">
            <v>BOLD</v>
          </cell>
          <cell r="CT8" t="str">
            <v>Total Adjusted PBM Claims</v>
          </cell>
          <cell r="CU8" t="str">
            <v>TOTAL_ADJUSTED_PBM_CLAIMS</v>
          </cell>
          <cell r="CV8"/>
          <cell r="CW8" t="str">
            <v>BOLD</v>
          </cell>
          <cell r="CZ8"/>
          <cell r="DA8" t="str">
            <v>BOLD</v>
          </cell>
          <cell r="DB8" t="str">
            <v>EBITDA/R.E. Assets</v>
          </cell>
          <cell r="DC8" t="str">
            <v>EBITDA_RE_ASSET</v>
          </cell>
          <cell r="DD8"/>
          <cell r="DE8" t="str">
            <v>BOLD</v>
          </cell>
          <cell r="DF8" t="str">
            <v>FFO Return</v>
          </cell>
          <cell r="DG8" t="str">
            <v>FFO_RETURN</v>
          </cell>
          <cell r="DH8"/>
          <cell r="DI8" t="str">
            <v>BOLD</v>
          </cell>
          <cell r="DL8"/>
          <cell r="DM8" t="str">
            <v>BOLD</v>
          </cell>
          <cell r="DN8" t="str">
            <v>Backlog Conversion Rate</v>
          </cell>
          <cell r="DO8" t="str">
            <v>BACKLOG_CONVERSION_RATE</v>
          </cell>
          <cell r="DP8"/>
          <cell r="DQ8" t="str">
            <v>BOLD</v>
          </cell>
          <cell r="DR8" t="str">
            <v xml:space="preserve">  Inpatient Surgeries</v>
          </cell>
          <cell r="DS8" t="str">
            <v>INPATIENT_SURGERIES</v>
          </cell>
          <cell r="DT8"/>
          <cell r="DU8" t="str">
            <v>NO</v>
          </cell>
          <cell r="DX8"/>
          <cell r="DY8" t="str">
            <v>BOLD</v>
          </cell>
          <cell r="DZ8" t="str">
            <v>Medicare Supplement Enrollment</v>
          </cell>
          <cell r="EA8" t="str">
            <v>MEDICARE_SUPPLEMENT_ENROLLMENT</v>
          </cell>
          <cell r="EB8"/>
          <cell r="EC8" t="str">
            <v>BOLD</v>
          </cell>
          <cell r="ED8" t="str">
            <v>Revenue / Tractor / Week Ex-Fuel</v>
          </cell>
          <cell r="EE8" t="str">
            <v>TRUCKING_REVENUE_TRACTOR_WEEK</v>
          </cell>
          <cell r="EF8"/>
          <cell r="EG8" t="str">
            <v>BOLD</v>
          </cell>
          <cell r="EH8" t="str">
            <v>Container Average Revenue</v>
          </cell>
          <cell r="EI8" t="str">
            <v>CONTAINER_SHIPPING_AVG_REVENUE</v>
          </cell>
          <cell r="EJ8"/>
          <cell r="EK8" t="str">
            <v>BOLD</v>
          </cell>
          <cell r="EL8" t="str">
            <v xml:space="preserve">  Route Miles</v>
          </cell>
          <cell r="EM8" t="str">
            <v>ROUTE_MILES</v>
          </cell>
          <cell r="EN8"/>
          <cell r="EO8" t="str">
            <v>NO</v>
          </cell>
          <cell r="EP8" t="str">
            <v>Onshore Employees</v>
          </cell>
          <cell r="EQ8" t="str">
            <v>ONSHORE_EMPLOYEES</v>
          </cell>
          <cell r="ER8"/>
          <cell r="ES8" t="str">
            <v>BOLD</v>
          </cell>
          <cell r="EV8"/>
          <cell r="EW8" t="str">
            <v>BOLD</v>
          </cell>
          <cell r="EX8" t="str">
            <v>% Change in DRAM Revenue, YoY</v>
          </cell>
          <cell r="EY8" t="str">
            <v>ARD_CHG_PCT_DRAM_REV_YOY</v>
          </cell>
          <cell r="EZ8"/>
          <cell r="FA8" t="str">
            <v>BOLD</v>
          </cell>
          <cell r="FB8" t="str">
            <v>Biotech-R&amp;D Staff</v>
          </cell>
          <cell r="FC8" t="str">
            <v>BIOTECH_R&amp;D_STAFF</v>
          </cell>
          <cell r="FD8"/>
          <cell r="FE8" t="str">
            <v>BOLD</v>
          </cell>
          <cell r="FF8" t="str">
            <v>Wireless Data/SMS Revenue</v>
          </cell>
          <cell r="FG8" t="str">
            <v>WIRELESS_DATA_SMS_REVENUE</v>
          </cell>
          <cell r="FH8"/>
          <cell r="FI8" t="str">
            <v>BOLD</v>
          </cell>
          <cell r="FJ8" t="str">
            <v>Video ARPU $</v>
          </cell>
          <cell r="FK8" t="str">
            <v>VIDEO_ARPU</v>
          </cell>
          <cell r="FL8"/>
          <cell r="FM8" t="str">
            <v>BOLD</v>
          </cell>
          <cell r="FN8" t="str">
            <v>Operating Stats</v>
          </cell>
          <cell r="FO8" t="str">
            <v>LABEL</v>
          </cell>
          <cell r="FP8"/>
          <cell r="FQ8" t="str">
            <v>BOLD</v>
          </cell>
          <cell r="FR8" t="str">
            <v>Cruise Lines - Weighted Average Operating Days</v>
          </cell>
          <cell r="FS8" t="str">
            <v>WEIGHTED_AVG_OPERATING_DAYS</v>
          </cell>
          <cell r="FT8"/>
          <cell r="FU8" t="str">
            <v>BOLD</v>
          </cell>
          <cell r="FV8" t="str">
            <v xml:space="preserve">  Asia Pacific</v>
          </cell>
          <cell r="FW8" t="str">
            <v>AUTO_VEHICLES_SOLD_ASIA_PAC</v>
          </cell>
          <cell r="FX8"/>
          <cell r="FY8" t="str">
            <v>NO</v>
          </cell>
          <cell r="FZ8" t="str">
            <v>Pipeline Throughput Gas</v>
          </cell>
          <cell r="GA8" t="str">
            <v>PIPELINE_THROUGHPUT_GAS</v>
          </cell>
          <cell r="GB8"/>
          <cell r="GC8" t="str">
            <v>BOLD</v>
          </cell>
          <cell r="GF8"/>
          <cell r="GG8" t="str">
            <v>BOLD</v>
          </cell>
          <cell r="GJ8"/>
          <cell r="GK8" t="str">
            <v>BOLD</v>
          </cell>
          <cell r="GL8" t="str">
            <v>Operating Expenses per Hectoliter</v>
          </cell>
          <cell r="GM8" t="str">
            <v>OPEX_PER_HECTOLITER</v>
          </cell>
          <cell r="GN8"/>
          <cell r="GO8" t="str">
            <v>BOLD</v>
          </cell>
          <cell r="GP8" t="str">
            <v>T12 Inv turn-days</v>
          </cell>
          <cell r="GQ8" t="str">
            <v>INVENT_DAYS</v>
          </cell>
          <cell r="GR8"/>
          <cell r="GS8" t="str">
            <v>BOLD</v>
          </cell>
          <cell r="GT8" t="str">
            <v xml:space="preserve">  Departmental Cost of Promotional Allowances</v>
          </cell>
          <cell r="GU8" t="str">
            <v>DEPTL_CST_PROMNL_ALLOWANCES</v>
          </cell>
          <cell r="GV8"/>
          <cell r="GW8" t="str">
            <v>NO</v>
          </cell>
          <cell r="GX8" t="str">
            <v>Home Stadium Capacity</v>
          </cell>
          <cell r="GY8" t="str">
            <v>HOME_STADIUM_CAPACITY</v>
          </cell>
          <cell r="GZ8"/>
          <cell r="HA8" t="str">
            <v>BOLD</v>
          </cell>
          <cell r="HB8" t="str">
            <v>Net Land Buildings &amp; Equipment</v>
          </cell>
          <cell r="HC8" t="str">
            <v>AST_ALLOC_NET_LND_BLDG_&amp;_EQUIP</v>
          </cell>
          <cell r="HD8"/>
          <cell r="HE8" t="str">
            <v>BOLD</v>
          </cell>
          <cell r="HF8" t="str">
            <v>Gross Profit per Retail Square Footage</v>
          </cell>
          <cell r="HG8" t="str">
            <v>GROSS_PROF_PER_RETAIL_SQ_FOOTAGE</v>
          </cell>
          <cell r="HH8"/>
          <cell r="HI8" t="str">
            <v>BOLD</v>
          </cell>
          <cell r="HJ8" t="str">
            <v>Nitrogen Capacity</v>
          </cell>
          <cell r="HK8" t="str">
            <v>CHEMICALS_NITROGEN_CAPACITY</v>
          </cell>
          <cell r="HL8"/>
          <cell r="HM8" t="str">
            <v>BOLD</v>
          </cell>
          <cell r="HN8" t="str">
            <v>International New Awards</v>
          </cell>
          <cell r="HO8" t="str">
            <v>CONST_NEW_AWARDS_INTL</v>
          </cell>
          <cell r="HP8"/>
          <cell r="HQ8" t="str">
            <v>BOLD</v>
          </cell>
          <cell r="HR8" t="str">
            <v>Lumber Mills</v>
          </cell>
          <cell r="HS8" t="str">
            <v>FORESTRY_LUMBER_MILLS</v>
          </cell>
          <cell r="HT8"/>
          <cell r="HU8" t="str">
            <v>BOLD</v>
          </cell>
          <cell r="HV8" t="str">
            <v>Return On Realized Equity</v>
          </cell>
          <cell r="HW8" t="str">
            <v>RETURN_REALIZED_EQUITY</v>
          </cell>
          <cell r="HX8"/>
          <cell r="HY8" t="str">
            <v>BOLD</v>
          </cell>
          <cell r="HZ8" t="str">
            <v>Catastrophe Losses</v>
          </cell>
          <cell r="IA8" t="str">
            <v>CATASTROPHE_LOSSES</v>
          </cell>
          <cell r="IB8"/>
          <cell r="IC8" t="str">
            <v>BOLD</v>
          </cell>
          <cell r="IF8"/>
          <cell r="IG8" t="str">
            <v>BOLD</v>
          </cell>
          <cell r="IH8" t="str">
            <v>Efficiency Ratio</v>
          </cell>
          <cell r="II8" t="str">
            <v>EFF_RATIO</v>
          </cell>
          <cell r="IJ8"/>
          <cell r="IK8" t="str">
            <v>BOLD</v>
          </cell>
          <cell r="IL8" t="str">
            <v>Hedge Ratio</v>
          </cell>
          <cell r="IM8" t="str">
            <v>BIOFUEL_HEDGE_RATIO_ETHANOL</v>
          </cell>
          <cell r="IN8"/>
          <cell r="IO8" t="str">
            <v>BOLD</v>
          </cell>
          <cell r="IP8" t="str">
            <v>Total Retail Sales</v>
          </cell>
          <cell r="IQ8" t="str">
            <v>IS_TOT_ELECT_SALE_RETAIL</v>
          </cell>
          <cell r="IR8"/>
          <cell r="IS8" t="str">
            <v>BOLD</v>
          </cell>
          <cell r="IT8" t="str">
            <v>Solar Cell Capacity - Megawatts</v>
          </cell>
          <cell r="IU8" t="str">
            <v>SOLAR_CELL_CAPACITY</v>
          </cell>
          <cell r="IV8"/>
          <cell r="IW8" t="str">
            <v>BOLD</v>
          </cell>
          <cell r="IX8" t="str">
            <v>Return On Realized Equity</v>
          </cell>
          <cell r="IY8" t="str">
            <v>RETURN_REALIZED_EQUITY</v>
          </cell>
          <cell r="IZ8"/>
          <cell r="JA8" t="str">
            <v>BOLD</v>
          </cell>
          <cell r="JB8" t="str">
            <v>Catastrophe Losses</v>
          </cell>
          <cell r="JC8" t="str">
            <v>CATASTROPHE_LOSSES</v>
          </cell>
          <cell r="JD8"/>
          <cell r="JE8" t="str">
            <v>BOLD</v>
          </cell>
          <cell r="JF8" t="str">
            <v>Number of Brand Franchises</v>
          </cell>
          <cell r="JG8" t="str">
            <v>NUMBER_OF_FRANCHISES</v>
          </cell>
          <cell r="JH8"/>
          <cell r="JI8" t="str">
            <v>BOLD</v>
          </cell>
          <cell r="JJ8" t="str">
            <v>Sales Growth</v>
          </cell>
          <cell r="JK8" t="str">
            <v>SALES_GROWTH</v>
          </cell>
          <cell r="JL8"/>
          <cell r="JM8" t="str">
            <v>BOLD</v>
          </cell>
          <cell r="JO8" t="str">
            <v>Annual Subscription Value</v>
          </cell>
          <cell r="JP8" t="str">
            <v>ANNUAL_SUBSCRIPTION_VALUE</v>
          </cell>
          <cell r="JQ8"/>
          <cell r="JR8" t="str">
            <v>BOLD</v>
          </cell>
        </row>
        <row r="9">
          <cell r="A9">
            <v>8</v>
          </cell>
          <cell r="D9"/>
          <cell r="E9" t="str">
            <v>BOLD</v>
          </cell>
          <cell r="F9" t="str">
            <v>Number of Total Card Accounts</v>
          </cell>
          <cell r="G9" t="str">
            <v>NUM_TOTAL_CARD_ACCOUNTS</v>
          </cell>
          <cell r="H9"/>
          <cell r="I9" t="str">
            <v>BOLD</v>
          </cell>
          <cell r="J9" t="str">
            <v>Copper - Ore Volume (Tons)</v>
          </cell>
          <cell r="K9" t="str">
            <v>MINING_M&amp;I_RES_COPPER_VOLUME</v>
          </cell>
          <cell r="L9"/>
          <cell r="M9" t="str">
            <v>BOLD</v>
          </cell>
          <cell r="N9" t="str">
            <v>Silver - Ore Volume (Tons)</v>
          </cell>
          <cell r="O9" t="str">
            <v>MINING_M&amp;I_RES_SILVER_VOLUME</v>
          </cell>
          <cell r="P9"/>
          <cell r="Q9" t="str">
            <v>BOLD</v>
          </cell>
          <cell r="R9" t="str">
            <v>Gold - Ore Volume (Tons)</v>
          </cell>
          <cell r="S9" t="str">
            <v>MINING_M&amp;I_RES_GOLD_VOLUME</v>
          </cell>
          <cell r="T9"/>
          <cell r="U9" t="str">
            <v>BOLD</v>
          </cell>
          <cell r="V9" t="str">
            <v>Lead (Tons)</v>
          </cell>
          <cell r="W9" t="str">
            <v>MINING_LEAD_SOLD</v>
          </cell>
          <cell r="X9"/>
          <cell r="Y9" t="str">
            <v>BOLD</v>
          </cell>
          <cell r="Z9" t="str">
            <v>Bauxite/Alumina Forecast (Tons)</v>
          </cell>
          <cell r="AA9" t="str">
            <v>MINING_ALUMINA_PROD_PLAN</v>
          </cell>
          <cell r="AB9"/>
          <cell r="AC9" t="str">
            <v>BOLD</v>
          </cell>
          <cell r="AD9" t="str">
            <v>Silver - Ore Mined (Tons)</v>
          </cell>
          <cell r="AE9" t="str">
            <v>MINING_SILVER_ORE_MINED</v>
          </cell>
          <cell r="AF9"/>
          <cell r="AG9" t="str">
            <v>BOLD</v>
          </cell>
          <cell r="AH9" t="str">
            <v>Contained Silver (oz)</v>
          </cell>
          <cell r="AI9" t="str">
            <v>MINING_P&amp;P_RSRV_CONTAINED_SILVER</v>
          </cell>
          <cell r="AJ9"/>
          <cell r="AK9" t="str">
            <v>BOLD</v>
          </cell>
          <cell r="AL9" t="str">
            <v>Contained Silver (oz)</v>
          </cell>
          <cell r="AM9" t="str">
            <v>MINING_M&amp;I_RES_CONTAINED_SILVER</v>
          </cell>
          <cell r="AN9"/>
          <cell r="AO9" t="str">
            <v>BOLD</v>
          </cell>
          <cell r="AP9" t="str">
            <v>Takaful Income (Loss) from Real Estate (Ijara)</v>
          </cell>
          <cell r="AQ9" t="str">
            <v>IS_TAKAFUL_INCOME_FROM_IJARA_RE</v>
          </cell>
          <cell r="AR9"/>
          <cell r="AS9" t="str">
            <v>BOLD</v>
          </cell>
          <cell r="AT9" t="str">
            <v>Inferred Resources - Gold Grade (oz/t)</v>
          </cell>
          <cell r="AU9" t="str">
            <v>MINING_INFERRED_RES_GOLD_GRADE</v>
          </cell>
          <cell r="AV9"/>
          <cell r="AW9" t="str">
            <v>BOLD</v>
          </cell>
          <cell r="AX9" t="str">
            <v xml:space="preserve">  Dry (Net)</v>
          </cell>
          <cell r="AY9" t="str">
            <v>DRY_HOLES_DRILLED_NET</v>
          </cell>
          <cell r="AZ9"/>
          <cell r="BA9" t="str">
            <v>NO</v>
          </cell>
          <cell r="BB9" t="str">
            <v xml:space="preserve">  - Income Tax</v>
          </cell>
          <cell r="BC9" t="str">
            <v>INCOME_TAX_NAMR</v>
          </cell>
          <cell r="BD9"/>
          <cell r="BE9" t="str">
            <v>NO</v>
          </cell>
          <cell r="BF9" t="str">
            <v xml:space="preserve">  - 10% Discount Factor</v>
          </cell>
          <cell r="BG9" t="str">
            <v>DISCOUNT_FACTOR_10PCT</v>
          </cell>
          <cell r="BH9"/>
          <cell r="BI9" t="str">
            <v>NO</v>
          </cell>
          <cell r="BJ9" t="str">
            <v xml:space="preserve">  Costs Incurred</v>
          </cell>
          <cell r="BK9" t="str">
            <v>COSTS_INCURRED</v>
          </cell>
          <cell r="BL9"/>
          <cell r="BM9" t="str">
            <v>NO</v>
          </cell>
          <cell r="BN9" t="str">
            <v xml:space="preserve">  Oil (MBBL/Day)</v>
          </cell>
          <cell r="BO9" t="str">
            <v>OIL_PRODUCTION_US_MBBL_DY</v>
          </cell>
          <cell r="BP9"/>
          <cell r="BQ9" t="str">
            <v>NO</v>
          </cell>
          <cell r="BR9" t="str">
            <v>Hedged Oil ($/BBL)</v>
          </cell>
          <cell r="BS9" t="str">
            <v>AVG_SALE_PRICE_OIL_HEDGED</v>
          </cell>
          <cell r="BT9"/>
          <cell r="BU9" t="str">
            <v>BOLD</v>
          </cell>
          <cell r="BV9" t="str">
            <v xml:space="preserve">  + Sales</v>
          </cell>
          <cell r="BW9" t="str">
            <v>GAS_SALES_WORLD</v>
          </cell>
          <cell r="BX9"/>
          <cell r="BY9" t="str">
            <v>NO</v>
          </cell>
          <cell r="BZ9" t="str">
            <v xml:space="preserve">  + Sales</v>
          </cell>
          <cell r="CA9" t="str">
            <v>OIL_SALES_WORLDWIDE</v>
          </cell>
          <cell r="CB9"/>
          <cell r="CC9" t="str">
            <v>NO</v>
          </cell>
          <cell r="CD9" t="str">
            <v xml:space="preserve">  + Sales</v>
          </cell>
          <cell r="CE9" t="str">
            <v>BOE_SALES_WORLD</v>
          </cell>
          <cell r="CF9"/>
          <cell r="CG9" t="str">
            <v>NO</v>
          </cell>
          <cell r="CH9" t="str">
            <v>Avg. Reserve Life (Years)</v>
          </cell>
          <cell r="CI9" t="str">
            <v>TOTAL_RESERVE_PRODUCTION_RATIO</v>
          </cell>
          <cell r="CJ9"/>
          <cell r="CK9" t="str">
            <v>BOLD</v>
          </cell>
          <cell r="CL9" t="str">
            <v xml:space="preserve">  Cement Price Growth</v>
          </cell>
          <cell r="CM9" t="str">
            <v>CEMENT_PRICE_GROWTH</v>
          </cell>
          <cell r="CN9"/>
          <cell r="CO9" t="str">
            <v>NO</v>
          </cell>
          <cell r="CP9" t="str">
            <v>Lead Production</v>
          </cell>
          <cell r="CQ9" t="str">
            <v>MINING_LEAD_PRODUCTION_ACTUAL</v>
          </cell>
          <cell r="CR9"/>
          <cell r="CS9" t="str">
            <v>BOLD</v>
          </cell>
          <cell r="CV9"/>
          <cell r="CW9" t="str">
            <v>BOLD</v>
          </cell>
          <cell r="CZ9"/>
          <cell r="DA9" t="str">
            <v>BOLD</v>
          </cell>
          <cell r="DB9" t="str">
            <v>FFO/R.E. Assets</v>
          </cell>
          <cell r="DC9" t="str">
            <v>FFO_RE_ASSET</v>
          </cell>
          <cell r="DD9"/>
          <cell r="DE9" t="str">
            <v>BOLD</v>
          </cell>
          <cell r="DF9" t="str">
            <v>FFO Yield</v>
          </cell>
          <cell r="DG9" t="str">
            <v>FFO_YIELD</v>
          </cell>
          <cell r="DH9"/>
          <cell r="DI9" t="str">
            <v>BOLD</v>
          </cell>
          <cell r="DJ9" t="str">
            <v>Number of Locations (Begin)</v>
          </cell>
          <cell r="DK9" t="str">
            <v>NUM_HOTEL_LOCATIONS_BEGINNING</v>
          </cell>
          <cell r="DL9"/>
          <cell r="DM9" t="str">
            <v>BOLD</v>
          </cell>
          <cell r="DP9"/>
          <cell r="DQ9" t="str">
            <v>BOLD</v>
          </cell>
          <cell r="DR9" t="str">
            <v xml:space="preserve">  Outpatient Surgeries</v>
          </cell>
          <cell r="DS9" t="str">
            <v>OUTPATIENT_SURGERIES</v>
          </cell>
          <cell r="DT9"/>
          <cell r="DU9" t="str">
            <v>NO</v>
          </cell>
          <cell r="DX9"/>
          <cell r="DY9" t="str">
            <v>BOLD</v>
          </cell>
          <cell r="DZ9" t="str">
            <v>Total Medicare Enrollment</v>
          </cell>
          <cell r="EA9" t="str">
            <v>TOTAL_MEDICARE_ENROLLMENT</v>
          </cell>
          <cell r="EB9"/>
          <cell r="EC9" t="str">
            <v>BOLD</v>
          </cell>
          <cell r="ED9" t="str">
            <v>Revenue per Loaded Mile</v>
          </cell>
          <cell r="EE9" t="str">
            <v>AVG_REV_PER_LOADED_MILE</v>
          </cell>
          <cell r="EF9"/>
          <cell r="EG9" t="str">
            <v>BOLD</v>
          </cell>
          <cell r="EH9" t="str">
            <v>Container Load Factor %</v>
          </cell>
          <cell r="EI9" t="str">
            <v>CONTAINER_SHIPPING_LOAD_FACTOR</v>
          </cell>
          <cell r="EJ9"/>
          <cell r="EK9" t="str">
            <v>BOLD</v>
          </cell>
          <cell r="EL9" t="str">
            <v xml:space="preserve">  Miles of Track Surfaced</v>
          </cell>
          <cell r="EM9" t="str">
            <v>ARD_MILES_TRACK_SURFACED</v>
          </cell>
          <cell r="EN9"/>
          <cell r="EO9" t="str">
            <v>NO</v>
          </cell>
          <cell r="EP9" t="str">
            <v>Offshore Employees</v>
          </cell>
          <cell r="EQ9" t="str">
            <v>OFFSHORE_EMPLOYEES</v>
          </cell>
          <cell r="ER9"/>
          <cell r="ES9" t="str">
            <v>BOLD</v>
          </cell>
          <cell r="ET9" t="str">
            <v>Maintenance Revenue</v>
          </cell>
          <cell r="EU9" t="str">
            <v>MAINTENANCE_REV</v>
          </cell>
          <cell r="EV9"/>
          <cell r="EW9" t="str">
            <v>BOLD</v>
          </cell>
          <cell r="EX9" t="str">
            <v>Company DRAM ASP Change, QoQ (%)</v>
          </cell>
          <cell r="EY9" t="str">
            <v>ARD_DRAM_ASP_CHANGE_QOQ</v>
          </cell>
          <cell r="EZ9"/>
          <cell r="FA9" t="str">
            <v>BOLD</v>
          </cell>
          <cell r="FD9"/>
          <cell r="FE9" t="str">
            <v>BOLD</v>
          </cell>
          <cell r="FH9"/>
          <cell r="FI9" t="str">
            <v>BOLD</v>
          </cell>
          <cell r="FJ9" t="str">
            <v>Homes Passed</v>
          </cell>
          <cell r="FK9" t="str">
            <v>TOTAL_CABLE_HOMES_PASSED</v>
          </cell>
          <cell r="FL9"/>
          <cell r="FM9" t="str">
            <v>BOLD</v>
          </cell>
          <cell r="FN9" t="str">
            <v>Operating Profit per ASM/ASK</v>
          </cell>
          <cell r="FO9" t="str">
            <v>OPERATING_PROFIT_PER_ASM</v>
          </cell>
          <cell r="FP9"/>
          <cell r="FQ9" t="str">
            <v>BOLD</v>
          </cell>
          <cell r="FR9" t="str">
            <v>Cruise Lines - Vessel Capacity Per Day</v>
          </cell>
          <cell r="FS9" t="str">
            <v>VESSEL_CAPACITY_PER_DAY_CRUISE</v>
          </cell>
          <cell r="FT9"/>
          <cell r="FU9" t="str">
            <v>BOLD</v>
          </cell>
          <cell r="FV9" t="str">
            <v xml:space="preserve">  Latin America</v>
          </cell>
          <cell r="FW9" t="str">
            <v>AUTO_VEHICLES_SOLD_LATAM</v>
          </cell>
          <cell r="FX9"/>
          <cell r="FY9" t="str">
            <v>NO</v>
          </cell>
          <cell r="FZ9" t="str">
            <v>Pipeline-Utilization</v>
          </cell>
          <cell r="GA9" t="str">
            <v>PIPELINE_UTILIZATION</v>
          </cell>
          <cell r="GB9"/>
          <cell r="GC9" t="str">
            <v>BOLD</v>
          </cell>
          <cell r="GD9" t="str">
            <v>Operating Data</v>
          </cell>
          <cell r="GE9" t="str">
            <v>LABEL</v>
          </cell>
          <cell r="GF9"/>
          <cell r="GG9" t="str">
            <v>BOLD</v>
          </cell>
          <cell r="GH9" t="str">
            <v>Search &amp; Display</v>
          </cell>
          <cell r="GI9" t="str">
            <v>LABEL</v>
          </cell>
          <cell r="GJ9"/>
          <cell r="GK9" t="str">
            <v>BOLD</v>
          </cell>
          <cell r="GL9" t="str">
            <v>EBITDA per Hectoliter</v>
          </cell>
          <cell r="GM9" t="str">
            <v>EBITDA_PER_HECTOLITER</v>
          </cell>
          <cell r="GN9"/>
          <cell r="GO9" t="str">
            <v>BOLD</v>
          </cell>
          <cell r="GR9"/>
          <cell r="GS9" t="str">
            <v>BOLD</v>
          </cell>
          <cell r="GT9" t="str">
            <v xml:space="preserve">  Allowance for Doubtful Casino Accounts %</v>
          </cell>
          <cell r="GU9" t="str">
            <v>ALLWNC_FOR_DBTFL_CASINO_ACCT_PCT</v>
          </cell>
          <cell r="GV9"/>
          <cell r="GW9" t="str">
            <v>NO</v>
          </cell>
          <cell r="GX9" t="str">
            <v>Average Attendances</v>
          </cell>
          <cell r="GY9" t="str">
            <v>AVERAGE_ATTENDANCES</v>
          </cell>
          <cell r="GZ9"/>
          <cell r="HA9" t="str">
            <v>BOLD</v>
          </cell>
          <cell r="HB9" t="str">
            <v>Equity Investments</v>
          </cell>
          <cell r="HC9" t="str">
            <v>AST_ALLOCATION_EQTY_INVESTMENTS</v>
          </cell>
          <cell r="HD9"/>
          <cell r="HE9" t="str">
            <v>BOLD</v>
          </cell>
          <cell r="HF9" t="str">
            <v>Operating Expenses per Retail SF Meters</v>
          </cell>
          <cell r="HG9" t="str">
            <v>OPEX_PER_RETAIL_SQUARE_FOOTAGE</v>
          </cell>
          <cell r="HH9"/>
          <cell r="HI9" t="str">
            <v>BOLD</v>
          </cell>
          <cell r="HJ9" t="str">
            <v>Nitrogen Production</v>
          </cell>
          <cell r="HK9" t="str">
            <v>CHEMICALS_NITROGEN_PRODUCTION</v>
          </cell>
          <cell r="HL9"/>
          <cell r="HM9" t="str">
            <v>BOLD</v>
          </cell>
          <cell r="HN9" t="str">
            <v>Private Backlog</v>
          </cell>
          <cell r="HO9" t="str">
            <v>CONST_BACKLOG_PRIVATE</v>
          </cell>
          <cell r="HP9"/>
          <cell r="HQ9" t="str">
            <v>BOLD</v>
          </cell>
          <cell r="HR9" t="str">
            <v>Pulp Capacity</v>
          </cell>
          <cell r="HS9" t="str">
            <v>FORESTRY_PULP_CAPACITY</v>
          </cell>
          <cell r="HT9"/>
          <cell r="HU9" t="str">
            <v>BOLD</v>
          </cell>
          <cell r="HV9" t="str">
            <v>Net Interest Margin</v>
          </cell>
          <cell r="HW9" t="str">
            <v>T12_NET_INT_MARGIN</v>
          </cell>
          <cell r="HX9"/>
          <cell r="HY9" t="str">
            <v>BOLD</v>
          </cell>
          <cell r="HZ9" t="str">
            <v>Catastrophe Loss as % of Net Premiums Earned</v>
          </cell>
          <cell r="IA9" t="str">
            <v>CATASTROPHE_LOSS_%_NPE</v>
          </cell>
          <cell r="IB9"/>
          <cell r="IC9" t="str">
            <v>BOLD</v>
          </cell>
          <cell r="ID9" t="str">
            <v>Search &amp; Display</v>
          </cell>
          <cell r="IE9" t="str">
            <v>LABEL</v>
          </cell>
          <cell r="IF9"/>
          <cell r="IG9" t="str">
            <v>BOLD</v>
          </cell>
          <cell r="IH9" t="str">
            <v>Effective Tax Rate</v>
          </cell>
          <cell r="II9" t="str">
            <v>EFF_TAX_RATE</v>
          </cell>
          <cell r="IJ9"/>
          <cell r="IK9" t="str">
            <v>BOLD</v>
          </cell>
          <cell r="IN9"/>
          <cell r="IO9" t="str">
            <v>BOLD</v>
          </cell>
          <cell r="IP9" t="str">
            <v>Total Wholesale</v>
          </cell>
          <cell r="IQ9" t="str">
            <v>IS_TOT_ELECT_SALE_WHOLESALE</v>
          </cell>
          <cell r="IR9"/>
          <cell r="IS9" t="str">
            <v>BOLD</v>
          </cell>
          <cell r="IT9" t="str">
            <v>Solar Cell Average Selling Price</v>
          </cell>
          <cell r="IU9" t="str">
            <v>SOLAR_AVG_SELLING_PRICE_CELLS</v>
          </cell>
          <cell r="IV9"/>
          <cell r="IW9" t="str">
            <v>BOLD</v>
          </cell>
          <cell r="IX9" t="str">
            <v>Net Interest Margin</v>
          </cell>
          <cell r="IY9" t="str">
            <v>T12_NET_INT_MARGIN</v>
          </cell>
          <cell r="IZ9"/>
          <cell r="JA9" t="str">
            <v>BOLD</v>
          </cell>
          <cell r="JB9" t="str">
            <v>Catastrophe Loss as % of Net Premiums Earned</v>
          </cell>
          <cell r="JC9" t="str">
            <v>CATASTROPHE_LOSS_%_NPE</v>
          </cell>
          <cell r="JD9"/>
          <cell r="JE9" t="str">
            <v>BOLD</v>
          </cell>
          <cell r="JH9"/>
          <cell r="JI9" t="str">
            <v>BOLD</v>
          </cell>
          <cell r="JJ9" t="str">
            <v>Sales per Retail Square Footage</v>
          </cell>
          <cell r="JK9" t="str">
            <v>SALES_PER_RETAIL_SQUARE_FOOTAGE</v>
          </cell>
          <cell r="JL9"/>
          <cell r="JM9" t="str">
            <v>BOLD</v>
          </cell>
          <cell r="JO9" t="str">
            <v>Annual Subscription Values Organic Growth Rate</v>
          </cell>
          <cell r="JP9" t="str">
            <v>ANN_SUB_VALUES_ORGANIC_GROWTH</v>
          </cell>
          <cell r="JQ9"/>
          <cell r="JR9" t="str">
            <v>BOLD</v>
          </cell>
        </row>
        <row r="10">
          <cell r="A10">
            <v>9</v>
          </cell>
          <cell r="B10" t="str">
            <v>Other</v>
          </cell>
          <cell r="C10" t="str">
            <v>LABEL</v>
          </cell>
          <cell r="D10"/>
          <cell r="E10" t="str">
            <v>BOLD</v>
          </cell>
          <cell r="F10" t="str">
            <v>Managed Card Loans</v>
          </cell>
          <cell r="G10" t="str">
            <v>MANAGED_CARD_LOANS</v>
          </cell>
          <cell r="H10"/>
          <cell r="I10" t="str">
            <v>BOLD</v>
          </cell>
          <cell r="J10" t="str">
            <v>Copper - Grade (%)</v>
          </cell>
          <cell r="K10" t="str">
            <v>MINING_M&amp;I_RES_COPPER_GRADE</v>
          </cell>
          <cell r="L10"/>
          <cell r="M10" t="str">
            <v>BOLD</v>
          </cell>
          <cell r="N10" t="str">
            <v>Silver - Grade (oz/Ton)</v>
          </cell>
          <cell r="O10" t="str">
            <v>MINING_M&amp;I_RES_SILVER_GRADE</v>
          </cell>
          <cell r="P10"/>
          <cell r="Q10" t="str">
            <v>BOLD</v>
          </cell>
          <cell r="R10" t="str">
            <v>Gold - Grade (oz/Ton)</v>
          </cell>
          <cell r="S10" t="str">
            <v>MINING_M&amp;I_RESOURCES_GOLD_GRADE</v>
          </cell>
          <cell r="T10"/>
          <cell r="U10" t="str">
            <v>BOLD</v>
          </cell>
          <cell r="V10" t="str">
            <v>Nickel (Tons)</v>
          </cell>
          <cell r="W10" t="str">
            <v>MINING_NICKEL_SOLD</v>
          </cell>
          <cell r="X10"/>
          <cell r="Y10" t="str">
            <v>BOLD</v>
          </cell>
          <cell r="Z10" t="str">
            <v>Primary Aluminum Forecast (Tons)</v>
          </cell>
          <cell r="AA10" t="str">
            <v>MINING_PRIM_ALUMINUM_PROD_PLAN</v>
          </cell>
          <cell r="AB10"/>
          <cell r="AC10" t="str">
            <v>BOLD</v>
          </cell>
          <cell r="AD10" t="str">
            <v>Silver - Grade (oz/Ton)</v>
          </cell>
          <cell r="AE10" t="str">
            <v>MINING_SILVER_PRODUCTION_GRADE</v>
          </cell>
          <cell r="AF10"/>
          <cell r="AG10" t="str">
            <v>BOLD</v>
          </cell>
          <cell r="AH10" t="str">
            <v>Palladium - Ore Volume (Tons)</v>
          </cell>
          <cell r="AI10" t="str">
            <v>MINING_P&amp;P_RSRV_PALLADIUM_VOLUME</v>
          </cell>
          <cell r="AJ10"/>
          <cell r="AK10" t="str">
            <v>BOLD</v>
          </cell>
          <cell r="AL10" t="str">
            <v>Palladium - Ore Volume (Tons)</v>
          </cell>
          <cell r="AM10" t="str">
            <v>MINING_M&amp;I_RES_PALLADIUM_VOLUME</v>
          </cell>
          <cell r="AN10"/>
          <cell r="AO10" t="str">
            <v>BOLD</v>
          </cell>
          <cell r="AP10" t="str">
            <v>Takaful Other Income (Loss)</v>
          </cell>
          <cell r="AQ10" t="str">
            <v>IS_TAKAFUL_OTHER_INCOME_LOSS</v>
          </cell>
          <cell r="AR10"/>
          <cell r="AS10" t="str">
            <v>BOLD</v>
          </cell>
          <cell r="AT10" t="str">
            <v>Mining - P&amp;P Reserves Contained Gold</v>
          </cell>
          <cell r="AU10" t="str">
            <v>MINING_P&amp;P_RSRVS_CONTAINED_GOLD</v>
          </cell>
          <cell r="AV10"/>
          <cell r="AW10" t="str">
            <v>BOLD</v>
          </cell>
          <cell r="AZ10"/>
          <cell r="BA10" t="str">
            <v>BOLD</v>
          </cell>
          <cell r="BB10" t="str">
            <v xml:space="preserve">  + Other Income</v>
          </cell>
          <cell r="BC10" t="str">
            <v>OTHER_E&amp;P_INCOME_NAMR</v>
          </cell>
          <cell r="BD10"/>
          <cell r="BE10" t="str">
            <v>NO</v>
          </cell>
          <cell r="BF10" t="str">
            <v xml:space="preserve">  + Other Income</v>
          </cell>
          <cell r="BG10" t="str">
            <v>FUTURE_OTHER_INCOME</v>
          </cell>
          <cell r="BH10"/>
          <cell r="BI10" t="str">
            <v>NO</v>
          </cell>
          <cell r="BL10"/>
          <cell r="BM10" t="str">
            <v>BOLD</v>
          </cell>
          <cell r="BN10" t="str">
            <v xml:space="preserve">  Gas (MMCF/Day)</v>
          </cell>
          <cell r="BO10" t="str">
            <v>GAS_PRODUCTION_US_MMCF_DY</v>
          </cell>
          <cell r="BP10"/>
          <cell r="BQ10" t="str">
            <v>NO</v>
          </cell>
          <cell r="BR10" t="str">
            <v>Unhedged Oil ($/BBL)</v>
          </cell>
          <cell r="BS10" t="str">
            <v>AVG_SALE_PRICE_OIL_UNHEDGED</v>
          </cell>
          <cell r="BT10"/>
          <cell r="BU10" t="str">
            <v>BOLD</v>
          </cell>
          <cell r="BV10" t="str">
            <v xml:space="preserve">  + Production</v>
          </cell>
          <cell r="BW10" t="str">
            <v>GAS_PRODUCTION_WORLD</v>
          </cell>
          <cell r="BX10"/>
          <cell r="BY10" t="str">
            <v>NO</v>
          </cell>
          <cell r="BZ10" t="str">
            <v xml:space="preserve">  + Production</v>
          </cell>
          <cell r="CA10" t="str">
            <v>OIL_PRODUCTION_WORLDWIDE</v>
          </cell>
          <cell r="CB10"/>
          <cell r="CC10" t="str">
            <v>NO</v>
          </cell>
          <cell r="CD10" t="str">
            <v xml:space="preserve">  + Production</v>
          </cell>
          <cell r="CE10" t="str">
            <v>BOE_PRODUCTION_WORLD</v>
          </cell>
          <cell r="CF10"/>
          <cell r="CG10" t="str">
            <v>NO</v>
          </cell>
          <cell r="CH10" t="str">
            <v>Reserve Replacement Ratio</v>
          </cell>
          <cell r="CI10" t="str">
            <v>RESERVE_REPLACEMENT_BOE</v>
          </cell>
          <cell r="CJ10"/>
          <cell r="CK10" t="str">
            <v>BOLD</v>
          </cell>
          <cell r="CL10" t="str">
            <v xml:space="preserve">  Cement Price Growth Ratio</v>
          </cell>
          <cell r="CM10" t="str">
            <v>CEMENT_PRICE_GROWTH_RATIO</v>
          </cell>
          <cell r="CN10"/>
          <cell r="CO10" t="str">
            <v>NO</v>
          </cell>
          <cell r="CP10" t="str">
            <v>Zinc Production</v>
          </cell>
          <cell r="CQ10" t="str">
            <v>MINING_ZINC_PRODUCTION_ACTUAL</v>
          </cell>
          <cell r="CR10"/>
          <cell r="CS10" t="str">
            <v>BOLD</v>
          </cell>
          <cell r="CT10" t="str">
            <v>Generic Fill Rates</v>
          </cell>
          <cell r="CU10" t="str">
            <v>LABEL</v>
          </cell>
          <cell r="CV10"/>
          <cell r="CW10" t="str">
            <v>BOLD</v>
          </cell>
          <cell r="CZ10"/>
          <cell r="DA10" t="str">
            <v>BOLD</v>
          </cell>
          <cell r="DB10" t="str">
            <v>Net Income/Average R.E. Assets</v>
          </cell>
          <cell r="DC10" t="str">
            <v>NET_INC_TO_AVG_RE_ASSET</v>
          </cell>
          <cell r="DD10"/>
          <cell r="DE10" t="str">
            <v>BOLD</v>
          </cell>
          <cell r="DF10" t="str">
            <v>Price/T12M FFO</v>
          </cell>
          <cell r="DG10" t="str">
            <v>PX_TO_FFO_RATIO</v>
          </cell>
          <cell r="DH10"/>
          <cell r="DI10" t="str">
            <v>BOLD</v>
          </cell>
          <cell r="DJ10" t="str">
            <v xml:space="preserve">  + Locations Opened/Acquired</v>
          </cell>
          <cell r="DK10" t="str">
            <v>NUM_HOTEL_LOCATIONS_OPENED_ACQRD</v>
          </cell>
          <cell r="DL10"/>
          <cell r="DM10" t="str">
            <v>NO</v>
          </cell>
          <cell r="DN10" t="str">
            <v>Dollar Value of Housing</v>
          </cell>
          <cell r="DO10" t="str">
            <v>LABEL</v>
          </cell>
          <cell r="DP10"/>
          <cell r="DQ10" t="str">
            <v>BOLD</v>
          </cell>
          <cell r="DR10" t="str">
            <v xml:space="preserve">  Emergency Room Visits</v>
          </cell>
          <cell r="DS10" t="str">
            <v>EMERGENCY_ROOM_VISITS</v>
          </cell>
          <cell r="DT10"/>
          <cell r="DU10" t="str">
            <v>NO</v>
          </cell>
          <cell r="DX10"/>
          <cell r="DY10" t="str">
            <v>BOLD</v>
          </cell>
          <cell r="DZ10" t="str">
            <v>Medicaid Enrollment</v>
          </cell>
          <cell r="EA10" t="str">
            <v>MEDICAID_ENROLLMENT</v>
          </cell>
          <cell r="EB10"/>
          <cell r="EC10" t="str">
            <v>BOLD</v>
          </cell>
          <cell r="ED10" t="str">
            <v>Revenue per Loaded Mile Ex-Fuel</v>
          </cell>
          <cell r="EE10" t="str">
            <v>REV_LOADED_MILE_EXCL_FUEL_SUR</v>
          </cell>
          <cell r="EF10"/>
          <cell r="EG10" t="str">
            <v>BOLD</v>
          </cell>
          <cell r="EH10" t="str">
            <v>Newbuildings</v>
          </cell>
          <cell r="EI10" t="str">
            <v>SHIPPING_NEWBUILDINGS</v>
          </cell>
          <cell r="EJ10"/>
          <cell r="EK10" t="str">
            <v>BOLD</v>
          </cell>
          <cell r="EL10" t="str">
            <v xml:space="preserve">  Track Miles of Rail Installed</v>
          </cell>
          <cell r="EM10" t="str">
            <v>ARD_TRACK_MILES_RAIL_INSTALLED</v>
          </cell>
          <cell r="EN10"/>
          <cell r="EO10" t="str">
            <v>NO</v>
          </cell>
          <cell r="EP10" t="str">
            <v>Attrition Rate</v>
          </cell>
          <cell r="EQ10" t="str">
            <v>ATTRITION_RATE</v>
          </cell>
          <cell r="ER10"/>
          <cell r="ES10" t="str">
            <v>BOLD</v>
          </cell>
          <cell r="ET10" t="str">
            <v>Maintenance Revenue (TTM)</v>
          </cell>
          <cell r="EU10" t="str">
            <v>T12M_MAINTENANCE_REVENUE</v>
          </cell>
          <cell r="EV10"/>
          <cell r="EW10" t="str">
            <v>BOLD</v>
          </cell>
          <cell r="EX10" t="str">
            <v>DRAM ASP Change, YoY (%)</v>
          </cell>
          <cell r="EY10" t="str">
            <v>ARD_DRAM_ASP_YOY</v>
          </cell>
          <cell r="EZ10"/>
          <cell r="FA10" t="str">
            <v>BOLD</v>
          </cell>
          <cell r="FB10" t="str">
            <v>% of Revenues (Avg)</v>
          </cell>
          <cell r="FC10" t="str">
            <v>LABEL</v>
          </cell>
          <cell r="FD10"/>
          <cell r="FE10" t="str">
            <v>BOLD</v>
          </cell>
          <cell r="FF10" t="str">
            <v>Subscribers</v>
          </cell>
          <cell r="FG10" t="str">
            <v>LABEL</v>
          </cell>
          <cell r="FH10"/>
          <cell r="FI10" t="str">
            <v>BOLD</v>
          </cell>
          <cell r="FJ10" t="str">
            <v>Penetration %</v>
          </cell>
          <cell r="FK10" t="str">
            <v>TOTAL_CABLE_PENETRATION</v>
          </cell>
          <cell r="FL10"/>
          <cell r="FM10" t="str">
            <v>BOLD</v>
          </cell>
          <cell r="FN10" t="str">
            <v>Operating Profit per ASM ex-Fuel</v>
          </cell>
          <cell r="FO10" t="str">
            <v>OPER_PROFIT_PER_ASM_EXCL_FUEL</v>
          </cell>
          <cell r="FP10"/>
          <cell r="FQ10" t="str">
            <v>BOLD</v>
          </cell>
          <cell r="FR10" t="str">
            <v>Maintenance Expenses</v>
          </cell>
          <cell r="FS10" t="str">
            <v>CONSOL_MAINTENANCE_EXP_CRUISE</v>
          </cell>
          <cell r="FT10"/>
          <cell r="FU10" t="str">
            <v>BOLD</v>
          </cell>
          <cell r="FV10" t="str">
            <v xml:space="preserve">  Africa/Middle East</v>
          </cell>
          <cell r="FW10" t="str">
            <v>AUTO_VEHICLES_SOLD_AME</v>
          </cell>
          <cell r="FX10"/>
          <cell r="FY10" t="str">
            <v>NO</v>
          </cell>
          <cell r="FZ10" t="str">
            <v>Storage Capacity Oil</v>
          </cell>
          <cell r="GA10" t="str">
            <v>PIPELINE_STORAGE_CAPACITY_OIL</v>
          </cell>
          <cell r="GB10"/>
          <cell r="GC10" t="str">
            <v>BOLD</v>
          </cell>
          <cell r="GD10" t="str">
            <v>Refinery Capacity</v>
          </cell>
          <cell r="GE10" t="str">
            <v>REFINING_REFINERY_CAPACITY</v>
          </cell>
          <cell r="GF10"/>
          <cell r="GG10" t="str">
            <v>BOLD</v>
          </cell>
          <cell r="GJ10"/>
          <cell r="GK10" t="str">
            <v>BOLD</v>
          </cell>
          <cell r="GL10" t="str">
            <v>Profit per Hectoliter</v>
          </cell>
          <cell r="GM10" t="str">
            <v>PROFIT_PER_HECTOLITER</v>
          </cell>
          <cell r="GN10"/>
          <cell r="GO10" t="str">
            <v>BOLD</v>
          </cell>
          <cell r="GP10" t="str">
            <v>Employee Data</v>
          </cell>
          <cell r="GQ10" t="str">
            <v>LABEL</v>
          </cell>
          <cell r="GR10"/>
          <cell r="GS10" t="str">
            <v>BOLD</v>
          </cell>
          <cell r="GT10" t="str">
            <v xml:space="preserve">  Number of Casinos</v>
          </cell>
          <cell r="GU10" t="str">
            <v>ENTERT_CASINOS</v>
          </cell>
          <cell r="GV10"/>
          <cell r="GW10" t="str">
            <v>NO</v>
          </cell>
          <cell r="GX10" t="str">
            <v>Television Income</v>
          </cell>
          <cell r="GY10" t="str">
            <v>TELEVISION_INCOME</v>
          </cell>
          <cell r="GZ10"/>
          <cell r="HA10" t="str">
            <v>BOLD</v>
          </cell>
          <cell r="HB10" t="str">
            <v>Fixed Income Investments</v>
          </cell>
          <cell r="HC10" t="str">
            <v>ASSET_ALLOCATION_FI_INVESTMENTS</v>
          </cell>
          <cell r="HD10"/>
          <cell r="HE10" t="str">
            <v>BOLD</v>
          </cell>
          <cell r="HF10" t="str">
            <v>EBITDA per Retail Square Footage</v>
          </cell>
          <cell r="HG10" t="str">
            <v>EBITDA_PER_RETAIL_SQ_FOOTAGE</v>
          </cell>
          <cell r="HH10"/>
          <cell r="HI10" t="str">
            <v>BOLD</v>
          </cell>
          <cell r="HJ10" t="str">
            <v>Nitrogen Sold</v>
          </cell>
          <cell r="HK10" t="str">
            <v>CHEMICALS_NITROGEN_SOLD</v>
          </cell>
          <cell r="HL10"/>
          <cell r="HM10" t="str">
            <v>BOLD</v>
          </cell>
          <cell r="HN10" t="str">
            <v>Public Backlog</v>
          </cell>
          <cell r="HO10" t="str">
            <v>CONST_BACKLOG_PUBLIC</v>
          </cell>
          <cell r="HP10"/>
          <cell r="HQ10" t="str">
            <v>BOLD</v>
          </cell>
          <cell r="HR10" t="str">
            <v>Pulp Production</v>
          </cell>
          <cell r="HS10" t="str">
            <v>FORESTRY_PULP_PRODUCTION</v>
          </cell>
          <cell r="HT10"/>
          <cell r="HU10" t="str">
            <v>BOLD</v>
          </cell>
          <cell r="HV10" t="str">
            <v>Annualized Net Interest Margin</v>
          </cell>
          <cell r="HW10" t="str">
            <v>ANN_NET_INT_MARGIN</v>
          </cell>
          <cell r="HX10"/>
          <cell r="HY10" t="str">
            <v>BOLD</v>
          </cell>
          <cell r="HZ10" t="str">
            <v>Combined Ratio (Non-Life) - Income Statement</v>
          </cell>
          <cell r="IA10" t="str">
            <v>IS_COMBINED_RATIO_NON_LIFE</v>
          </cell>
          <cell r="IB10"/>
          <cell r="IC10" t="str">
            <v>BOLD</v>
          </cell>
          <cell r="ID10" t="str">
            <v>Paid Clicks YoY % Change</v>
          </cell>
          <cell r="IE10" t="str">
            <v>ARD_PAID_CLICKS_YOY_PCT_CHG</v>
          </cell>
          <cell r="IF10"/>
          <cell r="IG10" t="str">
            <v>BOLD</v>
          </cell>
          <cell r="IH10" t="str">
            <v>Net Revenue</v>
          </cell>
          <cell r="II10" t="str">
            <v>NET_REV</v>
          </cell>
          <cell r="IJ10"/>
          <cell r="IK10" t="str">
            <v>BOLD</v>
          </cell>
          <cell r="IL10" t="str">
            <v>Sugar</v>
          </cell>
          <cell r="IM10" t="str">
            <v>LABEL</v>
          </cell>
          <cell r="IN10"/>
          <cell r="IO10" t="str">
            <v>BOLD</v>
          </cell>
          <cell r="IR10"/>
          <cell r="IS10" t="str">
            <v>BOLD</v>
          </cell>
          <cell r="IT10" t="str">
            <v>Solar Wafer Production - Megawatts</v>
          </cell>
          <cell r="IU10" t="str">
            <v>SOLAR_WAFER_PRODUCTION</v>
          </cell>
          <cell r="IV10"/>
          <cell r="IW10" t="str">
            <v>BOLD</v>
          </cell>
          <cell r="IX10" t="str">
            <v>Annualized Net Interest Margin</v>
          </cell>
          <cell r="IY10" t="str">
            <v>ANN_NET_INT_MARGIN</v>
          </cell>
          <cell r="IZ10"/>
          <cell r="JA10" t="str">
            <v>BOLD</v>
          </cell>
          <cell r="JB10" t="str">
            <v>Combined Ratio (Non-Life) - Income Statement</v>
          </cell>
          <cell r="JC10" t="str">
            <v>IS_COMBINED_RATIO_NON_LIFE</v>
          </cell>
          <cell r="JD10"/>
          <cell r="JE10" t="str">
            <v>BOLD</v>
          </cell>
          <cell r="JF10" t="str">
            <v>Financial Statistics</v>
          </cell>
          <cell r="JG10" t="str">
            <v>LABEL</v>
          </cell>
          <cell r="JH10"/>
          <cell r="JI10" t="str">
            <v>BOLD</v>
          </cell>
          <cell r="JJ10" t="str">
            <v>EBIT per Retail Square Footage</v>
          </cell>
          <cell r="JK10" t="str">
            <v>EBIT_PER_RETAIL_SQ_FOOTAGE</v>
          </cell>
          <cell r="JL10"/>
          <cell r="JM10" t="str">
            <v>BOLD</v>
          </cell>
          <cell r="JQ10"/>
          <cell r="JR10" t="str">
            <v>BOLD</v>
          </cell>
        </row>
        <row r="11">
          <cell r="A11">
            <v>10</v>
          </cell>
          <cell r="B11" t="str">
            <v>Steel Capacity</v>
          </cell>
          <cell r="C11" t="str">
            <v>STEEL_CAPACITY</v>
          </cell>
          <cell r="D11"/>
          <cell r="E11" t="str">
            <v>BOLD</v>
          </cell>
          <cell r="F11" t="str">
            <v>Total Card Issuer Spending Volume</v>
          </cell>
          <cell r="G11" t="str">
            <v>TOTAL_CARD_ISSUER_SPND_VOLUME</v>
          </cell>
          <cell r="H11"/>
          <cell r="I11" t="str">
            <v>BOLD</v>
          </cell>
          <cell r="J11" t="str">
            <v>Contained Copper (Tons)</v>
          </cell>
          <cell r="K11" t="str">
            <v>MINING_M&amp;I_RES_CONTAINED_COPPER</v>
          </cell>
          <cell r="L11"/>
          <cell r="M11" t="str">
            <v>BOLD</v>
          </cell>
          <cell r="N11" t="str">
            <v>Contained Silver (oz)</v>
          </cell>
          <cell r="O11" t="str">
            <v>MINING_M&amp;I_RES_CONTAINED_SILVER</v>
          </cell>
          <cell r="P11"/>
          <cell r="Q11" t="str">
            <v>BOLD</v>
          </cell>
          <cell r="R11" t="str">
            <v>Contained Gold (oz)</v>
          </cell>
          <cell r="S11" t="str">
            <v>MINING_M&amp;I_RES_CONTAINED_GOLD</v>
          </cell>
          <cell r="T11"/>
          <cell r="U11" t="str">
            <v>BOLD</v>
          </cell>
          <cell r="V11" t="str">
            <v>Zinc (Tons)</v>
          </cell>
          <cell r="W11" t="str">
            <v>MINING_ZINC_SOLD</v>
          </cell>
          <cell r="X11"/>
          <cell r="Y11" t="str">
            <v>BOLD</v>
          </cell>
          <cell r="Z11" t="str">
            <v>Bismuth Forecast (Tons)</v>
          </cell>
          <cell r="AA11" t="str">
            <v>MINING_BISMUTH_PROD_PLANNED</v>
          </cell>
          <cell r="AB11"/>
          <cell r="AC11" t="str">
            <v>BOLD</v>
          </cell>
          <cell r="AD11" t="str">
            <v>Silver - Recovery (%)</v>
          </cell>
          <cell r="AE11" t="str">
            <v>MINING_SILVER_PROD_RECOV_PCT</v>
          </cell>
          <cell r="AF11"/>
          <cell r="AG11" t="str">
            <v>BOLD</v>
          </cell>
          <cell r="AH11" t="str">
            <v>Palladium - Grade (oz/Ton)</v>
          </cell>
          <cell r="AI11" t="str">
            <v>MINING_P&amp;P_RSRVS_PALLADIUM_GRADE</v>
          </cell>
          <cell r="AJ11"/>
          <cell r="AK11" t="str">
            <v>BOLD</v>
          </cell>
          <cell r="AL11" t="str">
            <v>Palladium - Grade (oz/Ton)</v>
          </cell>
          <cell r="AM11" t="str">
            <v>MINING_M&amp;I_RES_PALLADIUM_GRADE</v>
          </cell>
          <cell r="AN11"/>
          <cell r="AO11" t="str">
            <v>BOLD</v>
          </cell>
          <cell r="AP11" t="str">
            <v>Takaful Claims &amp; Losses (Family and Non-family)</v>
          </cell>
          <cell r="AQ11" t="str">
            <v>IS_TAKAFUL_CLAIMS_FAM_NON_FAM</v>
          </cell>
          <cell r="AR11"/>
          <cell r="AS11" t="str">
            <v>BOLD</v>
          </cell>
          <cell r="AT11" t="str">
            <v>P&amp;P Reserves - Gold Ore Volume</v>
          </cell>
          <cell r="AU11" t="str">
            <v>MINING_P&amp;P_RSRVS_GOLD_VOLUME</v>
          </cell>
          <cell r="AV11"/>
          <cell r="AW11" t="str">
            <v>BOLD</v>
          </cell>
          <cell r="AX11" t="str">
            <v>Productive Wells</v>
          </cell>
          <cell r="AY11" t="str">
            <v>LABEL</v>
          </cell>
          <cell r="AZ11"/>
          <cell r="BA11" t="str">
            <v>BOLD</v>
          </cell>
          <cell r="BB11" t="str">
            <v xml:space="preserve">  Results of Operations</v>
          </cell>
          <cell r="BC11" t="str">
            <v>RESULTS_OPERATIONS_NAMR</v>
          </cell>
          <cell r="BD11"/>
          <cell r="BE11" t="str">
            <v>NO</v>
          </cell>
          <cell r="BF11" t="str">
            <v xml:space="preserve">  Standardized Measure</v>
          </cell>
          <cell r="BG11" t="str">
            <v>DISC_FUTURE_CASHFLOWS</v>
          </cell>
          <cell r="BH11"/>
          <cell r="BI11" t="str">
            <v>NO</v>
          </cell>
          <cell r="BJ11" t="str">
            <v>Capitalized Costs</v>
          </cell>
          <cell r="BK11" t="str">
            <v>LABEL</v>
          </cell>
          <cell r="BL11"/>
          <cell r="BM11" t="str">
            <v>BOLD</v>
          </cell>
          <cell r="BN11" t="str">
            <v xml:space="preserve">  NGL (MBBL/Day)</v>
          </cell>
          <cell r="BO11" t="str">
            <v>NGL_PRODUCTION_US_MBBL_DY</v>
          </cell>
          <cell r="BP11"/>
          <cell r="BQ11" t="str">
            <v>NO</v>
          </cell>
          <cell r="BR11" t="str">
            <v>Hedged Gas ($/MCF)</v>
          </cell>
          <cell r="BS11" t="str">
            <v>AVG_SALE_PRICE_GAS_HEDGED</v>
          </cell>
          <cell r="BT11"/>
          <cell r="BU11" t="str">
            <v>BOLD</v>
          </cell>
          <cell r="BV11" t="str">
            <v xml:space="preserve">  + Other</v>
          </cell>
          <cell r="BW11" t="str">
            <v>GAS_OTHER_CHG_WORLD</v>
          </cell>
          <cell r="BX11"/>
          <cell r="BY11" t="str">
            <v>NO</v>
          </cell>
          <cell r="BZ11" t="str">
            <v xml:space="preserve">  + Other</v>
          </cell>
          <cell r="CA11" t="str">
            <v>OIL_OTHER_CHANGES_WORLDWIDE</v>
          </cell>
          <cell r="CB11"/>
          <cell r="CC11" t="str">
            <v>NO</v>
          </cell>
          <cell r="CD11" t="str">
            <v xml:space="preserve">  + Other</v>
          </cell>
          <cell r="CE11" t="str">
            <v>BOE_OTHER_CHG_WORLD</v>
          </cell>
          <cell r="CF11"/>
          <cell r="CG11" t="str">
            <v>NO</v>
          </cell>
          <cell r="CJ11"/>
          <cell r="CK11" t="str">
            <v>BOLD</v>
          </cell>
          <cell r="CL11" t="str">
            <v>Number of Cement Plants</v>
          </cell>
          <cell r="CM11" t="str">
            <v>NUMBER_OF_CEMENT_PLANTS</v>
          </cell>
          <cell r="CN11"/>
          <cell r="CO11" t="str">
            <v>BOLD</v>
          </cell>
          <cell r="CP11" t="str">
            <v>Molybdenum Production</v>
          </cell>
          <cell r="CQ11" t="str">
            <v>MINING_MOLYBDENUM_PROD_ACTUAL</v>
          </cell>
          <cell r="CR11"/>
          <cell r="CS11" t="str">
            <v>BOLD</v>
          </cell>
          <cell r="CT11" t="str">
            <v>Fill Rate as % of Total Network</v>
          </cell>
          <cell r="CU11" t="str">
            <v>GENERIC_FILL_RATE_%_TOT_NETWORK</v>
          </cell>
          <cell r="CV11"/>
          <cell r="CW11" t="str">
            <v>BOLD</v>
          </cell>
          <cell r="CZ11"/>
          <cell r="DA11" t="str">
            <v>BOLD</v>
          </cell>
          <cell r="DB11" t="str">
            <v>R.E. Assets/Total Liabilities</v>
          </cell>
          <cell r="DC11" t="str">
            <v>RE_ASSET_TO_TOT_LIAB</v>
          </cell>
          <cell r="DD11"/>
          <cell r="DE11" t="str">
            <v>BOLD</v>
          </cell>
          <cell r="DH11"/>
          <cell r="DI11" t="str">
            <v>BOLD</v>
          </cell>
          <cell r="DJ11" t="str">
            <v xml:space="preserve">  - Locations Closed/Sold</v>
          </cell>
          <cell r="DK11" t="str">
            <v>NUM_HOTEL_LOCATIONS_CLOSED_SOLD</v>
          </cell>
          <cell r="DL11"/>
          <cell r="DM11" t="str">
            <v>NO</v>
          </cell>
          <cell r="DN11" t="str">
            <v>Value of Orders</v>
          </cell>
          <cell r="DO11" t="str">
            <v>VALUE_OF_HOMES_CONTRACTED</v>
          </cell>
          <cell r="DP11"/>
          <cell r="DQ11" t="str">
            <v>BOLD</v>
          </cell>
          <cell r="DT11"/>
          <cell r="DU11" t="str">
            <v>BOLD</v>
          </cell>
          <cell r="DX11"/>
          <cell r="DY11" t="str">
            <v>BOLD</v>
          </cell>
          <cell r="EB11"/>
          <cell r="EC11" t="str">
            <v>BOLD</v>
          </cell>
          <cell r="ED11" t="str">
            <v>Revenue per Total Mile</v>
          </cell>
          <cell r="EE11" t="str">
            <v>TRUCKING_REVENUE_PER_MILE</v>
          </cell>
          <cell r="EF11"/>
          <cell r="EG11" t="str">
            <v>BOLD</v>
          </cell>
          <cell r="EH11" t="str">
            <v>Fleet Calendar Days</v>
          </cell>
          <cell r="EI11" t="str">
            <v>SHIPPING_AVAILABLE_DAYS</v>
          </cell>
          <cell r="EJ11"/>
          <cell r="EK11" t="str">
            <v>BOLD</v>
          </cell>
          <cell r="EL11" t="str">
            <v xml:space="preserve">  Average Number of Employees</v>
          </cell>
          <cell r="EM11" t="str">
            <v>ARD_AVG_NUM_OF_EMPLOYEES</v>
          </cell>
          <cell r="EN11"/>
          <cell r="EO11" t="str">
            <v>NO</v>
          </cell>
          <cell r="EP11" t="str">
            <v>Utilization Rate</v>
          </cell>
          <cell r="EQ11" t="str">
            <v>UTILIZATION_RATE</v>
          </cell>
          <cell r="ER11"/>
          <cell r="ES11" t="str">
            <v>BOLD</v>
          </cell>
          <cell r="ET11" t="str">
            <v>Maintenance Revenue (QoQ)</v>
          </cell>
          <cell r="EU11" t="str">
            <v>MAINTENANCE_REVENUE_SEQ_GROWTH</v>
          </cell>
          <cell r="EV11"/>
          <cell r="EW11" t="str">
            <v>BOLD</v>
          </cell>
          <cell r="EX11" t="str">
            <v>DRAM Bit Cost Growth, QoQ (%)</v>
          </cell>
          <cell r="EY11" t="str">
            <v>ARD_DRAM_GB_COST_QOQ</v>
          </cell>
          <cell r="EZ11"/>
          <cell r="FA11" t="str">
            <v>BOLD</v>
          </cell>
          <cell r="FB11" t="str">
            <v>R &amp; D Expenditure to Net Sales</v>
          </cell>
          <cell r="FC11" t="str">
            <v>RD_EXPEND_TO_NET_SALES</v>
          </cell>
          <cell r="FD11"/>
          <cell r="FE11" t="str">
            <v>BOLD</v>
          </cell>
          <cell r="FF11" t="str">
            <v>Total Wireless Subscribers (RGU)</v>
          </cell>
          <cell r="FG11" t="str">
            <v>NUMBER_OF_CELLULAR_SUBSCRIBERS</v>
          </cell>
          <cell r="FH11"/>
          <cell r="FI11" t="str">
            <v>BOLD</v>
          </cell>
          <cell r="FL11"/>
          <cell r="FM11" t="str">
            <v>BOLD</v>
          </cell>
          <cell r="FN11" t="str">
            <v>Passenger Revenue per ASM</v>
          </cell>
          <cell r="FO11" t="str">
            <v>PASSENGER_REVENUE_PER_ASM</v>
          </cell>
          <cell r="FP11"/>
          <cell r="FQ11" t="str">
            <v>BOLD</v>
          </cell>
          <cell r="FR11" t="str">
            <v>Fuel Costs % of Revenue</v>
          </cell>
          <cell r="FS11" t="str">
            <v>BUNKER_FUEL_CONSMD_DURING_PERIOD</v>
          </cell>
          <cell r="FT11"/>
          <cell r="FU11" t="str">
            <v>BOLD</v>
          </cell>
          <cell r="FV11" t="str">
            <v xml:space="preserve">  Worldwide</v>
          </cell>
          <cell r="FW11" t="str">
            <v>AUTO_VEHICLES_SOLD_WW</v>
          </cell>
          <cell r="FX11"/>
          <cell r="FY11" t="str">
            <v>NO</v>
          </cell>
          <cell r="FZ11" t="str">
            <v>Storage Capacity Gas</v>
          </cell>
          <cell r="GA11" t="str">
            <v>PIPELINE_STORAGE_CAPACITY_GAS</v>
          </cell>
          <cell r="GB11"/>
          <cell r="GC11" t="str">
            <v>BOLD</v>
          </cell>
          <cell r="GD11" t="str">
            <v>Refinery Throughput</v>
          </cell>
          <cell r="GE11" t="str">
            <v>REFINING_REFINERY_THROUGHPUT</v>
          </cell>
          <cell r="GF11"/>
          <cell r="GG11" t="str">
            <v>BOLD</v>
          </cell>
          <cell r="GH11" t="str">
            <v>Other</v>
          </cell>
          <cell r="GI11" t="str">
            <v>LABEL</v>
          </cell>
          <cell r="GJ11"/>
          <cell r="GK11" t="str">
            <v>BOLD</v>
          </cell>
          <cell r="GN11"/>
          <cell r="GO11" t="str">
            <v>BOLD</v>
          </cell>
          <cell r="GP11" t="str">
            <v># OF EMPLOYEES</v>
          </cell>
          <cell r="GQ11" t="str">
            <v>NUM_OF_EMPLOYEES</v>
          </cell>
          <cell r="GR11"/>
          <cell r="GS11" t="str">
            <v>BOLD</v>
          </cell>
          <cell r="GT11" t="str">
            <v>Online Gaming</v>
          </cell>
          <cell r="GU11" t="str">
            <v>LABEL</v>
          </cell>
          <cell r="GV11"/>
          <cell r="GW11" t="str">
            <v>BOLD</v>
          </cell>
          <cell r="GX11" t="str">
            <v>Merchandising Turnover</v>
          </cell>
          <cell r="GY11" t="str">
            <v>MERCHANDISING_TURNOVER</v>
          </cell>
          <cell r="GZ11"/>
          <cell r="HA11" t="str">
            <v>BOLD</v>
          </cell>
          <cell r="HB11" t="str">
            <v>Alternative Investments</v>
          </cell>
          <cell r="HC11" t="str">
            <v>ASSET_ALLOCATION_ALT_INVESTMENTS</v>
          </cell>
          <cell r="HD11"/>
          <cell r="HE11" t="str">
            <v>BOLD</v>
          </cell>
          <cell r="HF11" t="str">
            <v>EBIT per Retail Square Footage</v>
          </cell>
          <cell r="HG11" t="str">
            <v>EBIT_PER_RETAIL_SQ_FOOTAGE</v>
          </cell>
          <cell r="HH11"/>
          <cell r="HI11" t="str">
            <v>BOLD</v>
          </cell>
          <cell r="HJ11" t="str">
            <v>Nitrogen Price</v>
          </cell>
          <cell r="HK11" t="str">
            <v>CHEMICALS_NITROGEN_PRICE</v>
          </cell>
          <cell r="HL11"/>
          <cell r="HM11" t="str">
            <v>BOLD</v>
          </cell>
          <cell r="HP11"/>
          <cell r="HQ11" t="str">
            <v>BOLD</v>
          </cell>
          <cell r="HR11" t="str">
            <v>Pulp Sold</v>
          </cell>
          <cell r="HS11" t="str">
            <v>FORESTRY_PULP_SOLD</v>
          </cell>
          <cell r="HT11"/>
          <cell r="HU11" t="str">
            <v>BOLD</v>
          </cell>
          <cell r="HV11" t="str">
            <v>Net Interest Spread</v>
          </cell>
          <cell r="HW11" t="str">
            <v>NET_INT_SPREAD</v>
          </cell>
          <cell r="HX11"/>
          <cell r="HY11" t="str">
            <v>BOLD</v>
          </cell>
          <cell r="IB11"/>
          <cell r="IC11" t="str">
            <v>BOLD</v>
          </cell>
          <cell r="ID11" t="str">
            <v>Cost-per-Click YoY % Change</v>
          </cell>
          <cell r="IE11" t="str">
            <v>ARD_COST_PER_CLICK_YOY_PCT_CHG</v>
          </cell>
          <cell r="IF11"/>
          <cell r="IG11" t="str">
            <v>BOLD</v>
          </cell>
          <cell r="IH11" t="str">
            <v>Pre-Tax Pre-Provision Profit</v>
          </cell>
          <cell r="II11" t="str">
            <v>PRETAX_PRE-PROVISION_PROFIT</v>
          </cell>
          <cell r="IJ11"/>
          <cell r="IK11" t="str">
            <v>BOLD</v>
          </cell>
          <cell r="IL11" t="str">
            <v>Capacity</v>
          </cell>
          <cell r="IM11" t="str">
            <v>BIOFUEL_SUGAR_CAPACITY</v>
          </cell>
          <cell r="IN11"/>
          <cell r="IO11" t="str">
            <v>BOLD</v>
          </cell>
          <cell r="IP11" t="str">
            <v>Electric Revenues</v>
          </cell>
          <cell r="IQ11" t="str">
            <v>LABEL</v>
          </cell>
          <cell r="IR11"/>
          <cell r="IS11" t="str">
            <v>BOLD</v>
          </cell>
          <cell r="IT11" t="str">
            <v>Solar Wafer Capacity - Megawatts</v>
          </cell>
          <cell r="IU11" t="str">
            <v>SOLAR_WAFER_CAPACITY</v>
          </cell>
          <cell r="IV11"/>
          <cell r="IW11" t="str">
            <v>BOLD</v>
          </cell>
          <cell r="IX11" t="str">
            <v>Net Interest Spread</v>
          </cell>
          <cell r="IY11" t="str">
            <v>NET_INT_SPREAD</v>
          </cell>
          <cell r="IZ11"/>
          <cell r="JA11" t="str">
            <v>BOLD</v>
          </cell>
          <cell r="JD11"/>
          <cell r="JE11" t="str">
            <v>BOLD</v>
          </cell>
          <cell r="JF11" t="str">
            <v>Employee Data</v>
          </cell>
          <cell r="JG11" t="str">
            <v>LABEL</v>
          </cell>
          <cell r="JH11"/>
          <cell r="JI11" t="str">
            <v>BOLD</v>
          </cell>
          <cell r="JL11"/>
          <cell r="JM11" t="str">
            <v>BOLD</v>
          </cell>
          <cell r="JO11" t="str">
            <v>Domestic Annual Subscription Values</v>
          </cell>
          <cell r="JP11" t="str">
            <v>DOMESTIC_ANNUAL_SUBSCRIPT_VALUES</v>
          </cell>
          <cell r="JQ11"/>
          <cell r="JR11" t="str">
            <v>BOLD</v>
          </cell>
        </row>
        <row r="12">
          <cell r="A12">
            <v>11</v>
          </cell>
          <cell r="B12" t="str">
            <v>Steel Capacity Utilization</v>
          </cell>
          <cell r="C12" t="str">
            <v>STEEL_CAPACITY_UTILIZATION</v>
          </cell>
          <cell r="D12"/>
          <cell r="E12" t="str">
            <v>BOLD</v>
          </cell>
          <cell r="H12"/>
          <cell r="I12" t="str">
            <v>BOLD</v>
          </cell>
          <cell r="J12" t="str">
            <v>Inferred Resources</v>
          </cell>
          <cell r="K12" t="str">
            <v>LABEL</v>
          </cell>
          <cell r="L12"/>
          <cell r="M12" t="str">
            <v>BOLD</v>
          </cell>
          <cell r="N12" t="str">
            <v>Inferred Resources</v>
          </cell>
          <cell r="O12" t="str">
            <v>LABEL</v>
          </cell>
          <cell r="P12"/>
          <cell r="Q12" t="str">
            <v>BOLD</v>
          </cell>
          <cell r="R12" t="str">
            <v>Inferred Resources</v>
          </cell>
          <cell r="S12" t="str">
            <v>LABEL</v>
          </cell>
          <cell r="T12"/>
          <cell r="U12" t="str">
            <v>BOLD</v>
          </cell>
          <cell r="X12"/>
          <cell r="Y12" t="str">
            <v>BOLD</v>
          </cell>
          <cell r="Z12" t="str">
            <v>Chromium Forecast (Tons)</v>
          </cell>
          <cell r="AA12" t="str">
            <v>MINING_CHROMIUM_PROD_PLANNED</v>
          </cell>
          <cell r="AB12"/>
          <cell r="AC12" t="str">
            <v>BOLD</v>
          </cell>
          <cell r="AD12" t="str">
            <v>Silver Production (oz)</v>
          </cell>
          <cell r="AE12" t="str">
            <v>MINING_SILVER_PRODUCTION_ACTUAL</v>
          </cell>
          <cell r="AF12"/>
          <cell r="AG12" t="str">
            <v>BOLD</v>
          </cell>
          <cell r="AH12" t="str">
            <v>Contained Palladium (oz)</v>
          </cell>
          <cell r="AI12" t="str">
            <v>MINING_P&amp;P_RSRVS_CONT_PALLADIUM</v>
          </cell>
          <cell r="AJ12"/>
          <cell r="AK12" t="str">
            <v>BOLD</v>
          </cell>
          <cell r="AL12" t="str">
            <v>Contained Palladium (oz)</v>
          </cell>
          <cell r="AM12" t="str">
            <v>MINING_M&amp;I_RES_CONTAIN_PALLADIUM</v>
          </cell>
          <cell r="AN12"/>
          <cell r="AO12" t="str">
            <v>BOLD</v>
          </cell>
          <cell r="AP12" t="str">
            <v>Takaful Undwrt &amp; Policy Acq Costs (Fam &amp; Non-Fam)</v>
          </cell>
          <cell r="AQ12" t="str">
            <v>IS_TAKAFUL_UND_POLICY_ACQ_COSTS</v>
          </cell>
          <cell r="AR12"/>
          <cell r="AS12" t="str">
            <v>BOLD</v>
          </cell>
          <cell r="AT12" t="str">
            <v>P&amp;P Reserves - Gold Grade (oz/t)</v>
          </cell>
          <cell r="AU12" t="str">
            <v>MINING_P&amp;P_RSRVS_GOLD_GRADE</v>
          </cell>
          <cell r="AV12"/>
          <cell r="AW12" t="str">
            <v>BOLD</v>
          </cell>
          <cell r="AX12" t="str">
            <v>Oil (Gross)</v>
          </cell>
          <cell r="AY12" t="str">
            <v>PRODUCTIVE_OIL_WELLS_GROSS</v>
          </cell>
          <cell r="AZ12"/>
          <cell r="BA12" t="str">
            <v>BOLD</v>
          </cell>
          <cell r="BD12"/>
          <cell r="BE12" t="str">
            <v>BOLD</v>
          </cell>
          <cell r="BF12" t="str">
            <v xml:space="preserve">    Pre-Tax DCF (PV-10)</v>
          </cell>
          <cell r="BG12" t="str">
            <v>PRE_TAX_DISC_FUTURE_CASHFLOWS</v>
          </cell>
          <cell r="BH12"/>
          <cell r="BI12" t="str">
            <v>NO</v>
          </cell>
          <cell r="BJ12" t="str">
            <v xml:space="preserve">  + Proved Properties</v>
          </cell>
          <cell r="BK12" t="str">
            <v>CAPITALIZED_COST_PROVED_PROP</v>
          </cell>
          <cell r="BL12"/>
          <cell r="BM12" t="str">
            <v>NO</v>
          </cell>
          <cell r="BN12" t="str">
            <v xml:space="preserve">  Total (MBOE/Day)</v>
          </cell>
          <cell r="BO12" t="str">
            <v>DAILY_PROD_MBOE_US</v>
          </cell>
          <cell r="BP12"/>
          <cell r="BQ12" t="str">
            <v>NO</v>
          </cell>
          <cell r="BR12" t="str">
            <v>Unhedged Gas ($/MCF)</v>
          </cell>
          <cell r="BS12" t="str">
            <v>AVG_SALE_PRICE_GAS_UNHEDGED</v>
          </cell>
          <cell r="BT12"/>
          <cell r="BU12" t="str">
            <v>BOLD</v>
          </cell>
          <cell r="BV12" t="str">
            <v xml:space="preserve">  End of year</v>
          </cell>
          <cell r="BW12" t="str">
            <v>GAS_END_YEAR_WORLD</v>
          </cell>
          <cell r="BX12"/>
          <cell r="BY12" t="str">
            <v>NO</v>
          </cell>
          <cell r="BZ12" t="str">
            <v xml:space="preserve">  End of year</v>
          </cell>
          <cell r="CA12" t="str">
            <v>OIL_RESERVES_END_YEAR_WORLDWIDE</v>
          </cell>
          <cell r="CB12"/>
          <cell r="CC12" t="str">
            <v>NO</v>
          </cell>
          <cell r="CD12" t="str">
            <v xml:space="preserve">  End of year</v>
          </cell>
          <cell r="CE12" t="str">
            <v>BOE_END_YEAR_WORLD</v>
          </cell>
          <cell r="CF12"/>
          <cell r="CG12" t="str">
            <v>NO</v>
          </cell>
          <cell r="CH12" t="str">
            <v>Additional Metrics</v>
          </cell>
          <cell r="CI12" t="str">
            <v>LABEL</v>
          </cell>
          <cell r="CJ12"/>
          <cell r="CK12" t="str">
            <v>BOLD</v>
          </cell>
          <cell r="CN12"/>
          <cell r="CO12" t="str">
            <v>BOLD</v>
          </cell>
          <cell r="CP12" t="str">
            <v>Cobalt Production</v>
          </cell>
          <cell r="CQ12" t="str">
            <v>MINING_COBALT_PRODUCTION_ACTUAL</v>
          </cell>
          <cell r="CR12"/>
          <cell r="CS12" t="str">
            <v>BOLD</v>
          </cell>
          <cell r="CT12" t="str">
            <v>Fill Rate as % of Total Home Delivery</v>
          </cell>
          <cell r="CU12" t="str">
            <v>GENERIC_FILL_RT_%_TOT_HOME_DELIV</v>
          </cell>
          <cell r="CV12"/>
          <cell r="CW12" t="str">
            <v>BOLD</v>
          </cell>
          <cell r="CZ12"/>
          <cell r="DA12" t="str">
            <v>BOLD</v>
          </cell>
          <cell r="DB12" t="str">
            <v>Total Revenue/R.E. Investments</v>
          </cell>
          <cell r="DC12" t="str">
            <v>TOT_REV_TO_RE_INVEST</v>
          </cell>
          <cell r="DD12"/>
          <cell r="DE12" t="str">
            <v>BOLD</v>
          </cell>
          <cell r="DF12" t="str">
            <v>FFO/Total Revenue</v>
          </cell>
          <cell r="DG12" t="str">
            <v>FFO_TO_TOT_REV</v>
          </cell>
          <cell r="DH12"/>
          <cell r="DI12" t="str">
            <v>BOLD</v>
          </cell>
          <cell r="DJ12" t="str">
            <v>Number of Locations (End)</v>
          </cell>
          <cell r="DK12" t="str">
            <v>NUM_HOTEL_LOCATIONS_END</v>
          </cell>
          <cell r="DL12"/>
          <cell r="DM12" t="str">
            <v>BOLD</v>
          </cell>
          <cell r="DN12" t="str">
            <v>Value of Backlog</v>
          </cell>
          <cell r="DO12" t="str">
            <v>VALUE_OF_HOMES_IN_BACKLOG</v>
          </cell>
          <cell r="DP12"/>
          <cell r="DQ12" t="str">
            <v>BOLD</v>
          </cell>
          <cell r="DR12" t="str">
            <v>Cont. Operations Growth Rates</v>
          </cell>
          <cell r="DS12" t="str">
            <v>LABEL</v>
          </cell>
          <cell r="DT12"/>
          <cell r="DU12" t="str">
            <v>BOLD</v>
          </cell>
          <cell r="DX12"/>
          <cell r="DY12" t="str">
            <v>BOLD</v>
          </cell>
          <cell r="DZ12" t="str">
            <v>Revenue Data</v>
          </cell>
          <cell r="EA12" t="str">
            <v>LABEL</v>
          </cell>
          <cell r="EB12"/>
          <cell r="EC12" t="str">
            <v>BOLD</v>
          </cell>
          <cell r="ED12" t="str">
            <v>Revenue per Total Mile Ex-Fuel</v>
          </cell>
          <cell r="EE12" t="str">
            <v>REV_PER_MILE_EXCL_FUEL_SUR</v>
          </cell>
          <cell r="EF12"/>
          <cell r="EG12" t="str">
            <v>BOLD</v>
          </cell>
          <cell r="EH12" t="str">
            <v>Fleet Voyage Days</v>
          </cell>
          <cell r="EI12" t="str">
            <v>SHIPPING_OPERATING_DAYS</v>
          </cell>
          <cell r="EJ12"/>
          <cell r="EK12" t="str">
            <v>BOLD</v>
          </cell>
          <cell r="EL12" t="str">
            <v xml:space="preserve">  Transportation Fuel</v>
          </cell>
          <cell r="EM12" t="str">
            <v>RAIL_TRANSPORTATION_FUEL</v>
          </cell>
          <cell r="EN12"/>
          <cell r="EO12" t="str">
            <v>NO</v>
          </cell>
          <cell r="ER12"/>
          <cell r="ES12" t="str">
            <v>BOLD</v>
          </cell>
          <cell r="ET12" t="str">
            <v>Maintenance Revenue (YoY)</v>
          </cell>
          <cell r="EU12" t="str">
            <v>MAINTENANCE_REVENUE_1YR_GROWTH</v>
          </cell>
          <cell r="EV12"/>
          <cell r="EW12" t="str">
            <v>BOLD</v>
          </cell>
          <cell r="EX12" t="str">
            <v>DRAM Bit Cost Growth, YoY (%)</v>
          </cell>
          <cell r="EY12" t="str">
            <v>ARD_DRAM_GB_COST_YOY</v>
          </cell>
          <cell r="EZ12"/>
          <cell r="FA12" t="str">
            <v>BOLD</v>
          </cell>
          <cell r="FB12" t="str">
            <v>Cost Of Goods Sold To Net Sales</v>
          </cell>
          <cell r="FC12" t="str">
            <v>COGS_TO_NET_SALES</v>
          </cell>
          <cell r="FD12"/>
          <cell r="FE12" t="str">
            <v>BOLD</v>
          </cell>
          <cell r="FF12" t="str">
            <v>Wireless Subscribers-Postpaid</v>
          </cell>
          <cell r="FG12" t="str">
            <v>TOTAL_WIRELESS_SUBSCRIBERS_PPD</v>
          </cell>
          <cell r="FH12"/>
          <cell r="FI12" t="str">
            <v>BOLD</v>
          </cell>
          <cell r="FJ12" t="str">
            <v>Digital</v>
          </cell>
          <cell r="FK12" t="str">
            <v>LABEL</v>
          </cell>
          <cell r="FL12"/>
          <cell r="FM12" t="str">
            <v>BOLD</v>
          </cell>
          <cell r="FN12" t="str">
            <v>Yield per Passenger Mile</v>
          </cell>
          <cell r="FO12" t="str">
            <v>YIELD_PER_PASS_MILES_KM</v>
          </cell>
          <cell r="FP12"/>
          <cell r="FQ12" t="str">
            <v>BOLD</v>
          </cell>
          <cell r="FR12" t="str">
            <v>Oper Costs % Revenue</v>
          </cell>
          <cell r="FS12" t="str">
            <v>CRUISE_OP_COSTS_TO_CRUISE_REVS</v>
          </cell>
          <cell r="FT12"/>
          <cell r="FU12" t="str">
            <v>BOLD</v>
          </cell>
          <cell r="FX12"/>
          <cell r="FY12" t="str">
            <v>BOLD</v>
          </cell>
          <cell r="FZ12" t="str">
            <v>Delivery Points Oil</v>
          </cell>
          <cell r="GA12" t="str">
            <v>PIPELINE_DELIVERY_POINTS_OIL</v>
          </cell>
          <cell r="GB12"/>
          <cell r="GC12" t="str">
            <v>BOLD</v>
          </cell>
          <cell r="GD12" t="str">
            <v>Capacity Utilization</v>
          </cell>
          <cell r="GE12" t="str">
            <v>REFINERY_CAPACITY_UTILIZATION</v>
          </cell>
          <cell r="GF12"/>
          <cell r="GG12" t="str">
            <v>BOLD</v>
          </cell>
          <cell r="GH12" t="str">
            <v>Gross Bookings</v>
          </cell>
          <cell r="GI12" t="str">
            <v>INTERNET_GROSS_BOOKINGS</v>
          </cell>
          <cell r="GJ12"/>
          <cell r="GK12" t="str">
            <v>BOLD</v>
          </cell>
          <cell r="GL12" t="str">
            <v>Inventory Analysis</v>
          </cell>
          <cell r="GM12" t="str">
            <v>LABEL</v>
          </cell>
          <cell r="GN12"/>
          <cell r="GO12" t="str">
            <v>BOLD</v>
          </cell>
          <cell r="GP12" t="str">
            <v>Employee Yr change %</v>
          </cell>
          <cell r="GQ12" t="str">
            <v>EMPL_GROWTH</v>
          </cell>
          <cell r="GR12"/>
          <cell r="GS12" t="str">
            <v>BOLD</v>
          </cell>
          <cell r="GT12" t="str">
            <v xml:space="preserve">  Online Sports Bets</v>
          </cell>
          <cell r="GU12" t="str">
            <v>ENTERT_ONLINE_SPORTS_BETS</v>
          </cell>
          <cell r="GV12"/>
          <cell r="GW12" t="str">
            <v>NO</v>
          </cell>
          <cell r="GZ12"/>
          <cell r="HA12" t="str">
            <v>BOLD</v>
          </cell>
          <cell r="HB12" t="str">
            <v>Other Investments/Other Assets</v>
          </cell>
          <cell r="HC12" t="str">
            <v>AST_ALLOC_OTH_INVEST_OTH_AST</v>
          </cell>
          <cell r="HD12"/>
          <cell r="HE12" t="str">
            <v>BOLD</v>
          </cell>
          <cell r="HF12" t="str">
            <v>Inventory per Retail Square Foot</v>
          </cell>
          <cell r="HG12" t="str">
            <v>INVENTORY_PER_RETAIL_SQUARE_FOOT</v>
          </cell>
          <cell r="HH12"/>
          <cell r="HI12" t="str">
            <v>BOLD</v>
          </cell>
          <cell r="HL12"/>
          <cell r="HM12" t="str">
            <v>BOLD</v>
          </cell>
          <cell r="HP12"/>
          <cell r="HQ12" t="str">
            <v>BOLD</v>
          </cell>
          <cell r="HR12" t="str">
            <v>Pulp Mills</v>
          </cell>
          <cell r="HS12" t="str">
            <v>FORESTRY_PULP_MILLS</v>
          </cell>
          <cell r="HT12"/>
          <cell r="HU12" t="str">
            <v>BOLD</v>
          </cell>
          <cell r="HV12" t="str">
            <v>Efficiency Ratio</v>
          </cell>
          <cell r="HW12" t="str">
            <v>EFF_RATIO</v>
          </cell>
          <cell r="HX12"/>
          <cell r="HY12" t="str">
            <v>BOLD</v>
          </cell>
          <cell r="HZ12" t="str">
            <v>Investment Income</v>
          </cell>
          <cell r="IA12" t="str">
            <v>LABEL</v>
          </cell>
          <cell r="IB12"/>
          <cell r="IC12" t="str">
            <v>BOLD</v>
          </cell>
          <cell r="ID12" t="str">
            <v>Page Views YoY % Change</v>
          </cell>
          <cell r="IE12" t="str">
            <v>ARD_PAGE_VIEWS_YOY_PCT_CHG</v>
          </cell>
          <cell r="IF12"/>
          <cell r="IG12" t="str">
            <v>BOLD</v>
          </cell>
          <cell r="IH12" t="str">
            <v>Net Interest Margin</v>
          </cell>
          <cell r="II12" t="str">
            <v>T12_NET_INT_MARGIN</v>
          </cell>
          <cell r="IJ12"/>
          <cell r="IK12" t="str">
            <v>BOLD</v>
          </cell>
          <cell r="IL12" t="str">
            <v>Production</v>
          </cell>
          <cell r="IM12" t="str">
            <v>BIOFUEL_SUGAR_PRODUCTION</v>
          </cell>
          <cell r="IN12"/>
          <cell r="IO12" t="str">
            <v>BOLD</v>
          </cell>
          <cell r="IP12" t="str">
            <v>+ Residential</v>
          </cell>
          <cell r="IQ12" t="str">
            <v>IS_ELECT_REV_RES_RETAIL</v>
          </cell>
          <cell r="IR12"/>
          <cell r="IS12" t="str">
            <v>BOLD</v>
          </cell>
          <cell r="IT12" t="str">
            <v>Polysilicon Production - Metric Tonne</v>
          </cell>
          <cell r="IU12" t="str">
            <v>SOLAR_POLYSILICON_PRODUCTION</v>
          </cell>
          <cell r="IV12"/>
          <cell r="IW12" t="str">
            <v>BOLD</v>
          </cell>
          <cell r="IX12" t="str">
            <v>Efficiency Ratio</v>
          </cell>
          <cell r="IY12" t="str">
            <v>EFF_RATIO</v>
          </cell>
          <cell r="IZ12"/>
          <cell r="JA12" t="str">
            <v>BOLD</v>
          </cell>
          <cell r="JB12" t="str">
            <v>Investment Income</v>
          </cell>
          <cell r="JC12" t="str">
            <v>LABEL</v>
          </cell>
          <cell r="JD12"/>
          <cell r="JE12" t="str">
            <v>BOLD</v>
          </cell>
          <cell r="JF12" t="str">
            <v xml:space="preserve">  Number of Employees</v>
          </cell>
          <cell r="JG12" t="str">
            <v>NUM_OF_EMPLOYEES</v>
          </cell>
          <cell r="JH12"/>
          <cell r="JI12" t="str">
            <v>NO</v>
          </cell>
          <cell r="JJ12" t="str">
            <v>Inventory Productivity</v>
          </cell>
          <cell r="JK12" t="str">
            <v>LABEL</v>
          </cell>
          <cell r="JL12"/>
          <cell r="JM12" t="str">
            <v>BOLD</v>
          </cell>
          <cell r="JO12" t="str">
            <v>International Annual Subscription Values</v>
          </cell>
          <cell r="JP12" t="str">
            <v>INTL_ANNUAL_SUBSCRIPTION_VALUES</v>
          </cell>
          <cell r="JQ12"/>
          <cell r="JR12" t="str">
            <v>BOLD</v>
          </cell>
        </row>
        <row r="13">
          <cell r="A13">
            <v>12</v>
          </cell>
          <cell r="B13" t="str">
            <v>Hot-Rolled Sheets</v>
          </cell>
          <cell r="C13" t="str">
            <v>STEEL_HOT_ROLLED_SHEETS</v>
          </cell>
          <cell r="D13"/>
          <cell r="E13" t="str">
            <v>BOLD</v>
          </cell>
          <cell r="F13" t="str">
            <v>Marketing</v>
          </cell>
          <cell r="G13" t="str">
            <v>LABEL</v>
          </cell>
          <cell r="H13"/>
          <cell r="I13" t="str">
            <v>BOLD</v>
          </cell>
          <cell r="J13" t="str">
            <v>Copper - Ore Volume (Tons)</v>
          </cell>
          <cell r="K13" t="str">
            <v>MINING_INFERRED_RES_COPPER_VOL</v>
          </cell>
          <cell r="L13"/>
          <cell r="M13" t="str">
            <v>BOLD</v>
          </cell>
          <cell r="N13" t="str">
            <v>Silver - Ore Volume (Tons)</v>
          </cell>
          <cell r="O13" t="str">
            <v>MINING_INFERRED_RES_SILVER_VOL</v>
          </cell>
          <cell r="P13"/>
          <cell r="Q13" t="str">
            <v>BOLD</v>
          </cell>
          <cell r="R13" t="str">
            <v>Gold - Ore Volume (Tons)</v>
          </cell>
          <cell r="S13" t="str">
            <v>MINING_INFERRED_RES_GOLD_VOLUME</v>
          </cell>
          <cell r="T13"/>
          <cell r="U13" t="str">
            <v>BOLD</v>
          </cell>
          <cell r="V13" t="str">
            <v>Realized Price</v>
          </cell>
          <cell r="W13" t="str">
            <v>LABEL</v>
          </cell>
          <cell r="X13"/>
          <cell r="Y13" t="str">
            <v>BOLD</v>
          </cell>
          <cell r="Z13" t="str">
            <v>Coal Forecast (Tons)</v>
          </cell>
          <cell r="AA13" t="str">
            <v>MINING_COAL_PRODUCTION_PLANNED</v>
          </cell>
          <cell r="AB13"/>
          <cell r="AC13" t="str">
            <v>BOLD</v>
          </cell>
          <cell r="AD13" t="str">
            <v>Palladium Production (oz)</v>
          </cell>
          <cell r="AE13" t="str">
            <v>MINING_PALLADIUM_PROD_ACTUAL</v>
          </cell>
          <cell r="AF13"/>
          <cell r="AG13" t="str">
            <v>BOLD</v>
          </cell>
          <cell r="AH13" t="str">
            <v>Platinum - Ore Volume (Tons)</v>
          </cell>
          <cell r="AI13" t="str">
            <v>MINING_P&amp;P_RSRVS_PLATINUM_VOLUME</v>
          </cell>
          <cell r="AJ13"/>
          <cell r="AK13" t="str">
            <v>BOLD</v>
          </cell>
          <cell r="AL13" t="str">
            <v>Platinum - Ore Volume (Tons)</v>
          </cell>
          <cell r="AM13" t="str">
            <v>MINING_M&amp;I_RES_PLATINUM_VOLUME</v>
          </cell>
          <cell r="AN13"/>
          <cell r="AO13" t="str">
            <v>BOLD</v>
          </cell>
          <cell r="AP13" t="str">
            <v>Takaful Other Expenses</v>
          </cell>
          <cell r="AQ13" t="str">
            <v>IS_TAKAFUL_OTHER_EXPENSES</v>
          </cell>
          <cell r="AR13"/>
          <cell r="AS13" t="str">
            <v>BOLD</v>
          </cell>
          <cell r="AT13" t="str">
            <v>Mining - P&amp;P Reserves Contained Silver</v>
          </cell>
          <cell r="AU13" t="str">
            <v>MINING_P&amp;P_RSRV_CONTAINED_SILVER</v>
          </cell>
          <cell r="AV13"/>
          <cell r="AW13" t="str">
            <v>BOLD</v>
          </cell>
          <cell r="AX13" t="str">
            <v xml:space="preserve">  Oil (Net)</v>
          </cell>
          <cell r="AY13" t="str">
            <v>PRODUCTIVE_OIL_WELLS_NET</v>
          </cell>
          <cell r="AZ13"/>
          <cell r="BA13" t="str">
            <v>NO</v>
          </cell>
          <cell r="BB13" t="str">
            <v xml:space="preserve">  United States</v>
          </cell>
          <cell r="BC13" t="str">
            <v>LABEL</v>
          </cell>
          <cell r="BD13"/>
          <cell r="BE13" t="str">
            <v>NO</v>
          </cell>
          <cell r="BH13"/>
          <cell r="BI13" t="str">
            <v>BOLD</v>
          </cell>
          <cell r="BJ13" t="str">
            <v xml:space="preserve">  + Unproved Properties</v>
          </cell>
          <cell r="BK13" t="str">
            <v>CAPITALIZED_COST_UNPROVED_PROP</v>
          </cell>
          <cell r="BL13"/>
          <cell r="BM13" t="str">
            <v>NO</v>
          </cell>
          <cell r="BN13" t="str">
            <v>Canada</v>
          </cell>
          <cell r="BO13" t="str">
            <v>LABEL</v>
          </cell>
          <cell r="BP13"/>
          <cell r="BQ13" t="str">
            <v>BOLD</v>
          </cell>
          <cell r="BT13"/>
          <cell r="BU13" t="str">
            <v>BOLD</v>
          </cell>
          <cell r="BV13" t="str">
            <v xml:space="preserve">  Developed Reserves</v>
          </cell>
          <cell r="BW13" t="str">
            <v>GAS_DEVEL_RESV_WORLD</v>
          </cell>
          <cell r="BX13"/>
          <cell r="BY13" t="str">
            <v>NO</v>
          </cell>
          <cell r="BZ13" t="str">
            <v xml:space="preserve">  Developed Reserves</v>
          </cell>
          <cell r="CA13" t="str">
            <v>OIL_DEVELOPED_RESERVES_WORLDWIDE</v>
          </cell>
          <cell r="CB13"/>
          <cell r="CC13" t="str">
            <v>NO</v>
          </cell>
          <cell r="CD13" t="str">
            <v xml:space="preserve">  Developed Reserves</v>
          </cell>
          <cell r="CE13" t="str">
            <v>BOE_DEVEL_RESV_WORLD</v>
          </cell>
          <cell r="CF13"/>
          <cell r="CG13" t="str">
            <v>NO</v>
          </cell>
          <cell r="CH13" t="str">
            <v>Costs Incurred</v>
          </cell>
          <cell r="CI13" t="str">
            <v>LABEL</v>
          </cell>
          <cell r="CJ13"/>
          <cell r="CK13" t="str">
            <v>BOLD</v>
          </cell>
          <cell r="CL13" t="str">
            <v>Aggregates</v>
          </cell>
          <cell r="CM13" t="str">
            <v>LABEL</v>
          </cell>
          <cell r="CN13"/>
          <cell r="CO13" t="str">
            <v>BOLD</v>
          </cell>
          <cell r="CP13" t="str">
            <v>Manganese Production</v>
          </cell>
          <cell r="CQ13" t="str">
            <v>MINING_MANGANESE_PROD_ACTUAL</v>
          </cell>
          <cell r="CR13"/>
          <cell r="CS13" t="str">
            <v>BOLD</v>
          </cell>
          <cell r="CT13" t="str">
            <v>Overall Generic Fill Rate</v>
          </cell>
          <cell r="CU13" t="str">
            <v>OVERALL_GENERIC_FILL_RATE</v>
          </cell>
          <cell r="CV13"/>
          <cell r="CW13" t="str">
            <v>BOLD</v>
          </cell>
          <cell r="CZ13"/>
          <cell r="DA13" t="str">
            <v>BOLD</v>
          </cell>
          <cell r="DD13"/>
          <cell r="DE13" t="str">
            <v>BOLD</v>
          </cell>
          <cell r="DF13" t="str">
            <v>FFO/Interest Expense</v>
          </cell>
          <cell r="DG13" t="str">
            <v>FFO_TO_INT_EXP</v>
          </cell>
          <cell r="DH13"/>
          <cell r="DI13" t="str">
            <v>BOLD</v>
          </cell>
          <cell r="DJ13" t="str">
            <v xml:space="preserve">    Company Owned Locations</v>
          </cell>
          <cell r="DK13" t="str">
            <v>HOTEL_COMPANY_OWNED_LOCATIONS</v>
          </cell>
          <cell r="DL13"/>
          <cell r="DM13" t="str">
            <v>NO</v>
          </cell>
          <cell r="DN13" t="str">
            <v>Value of Homes Closed</v>
          </cell>
          <cell r="DO13" t="str">
            <v>VALUE_OF_HOMES_CLOSED_DELIVERED</v>
          </cell>
          <cell r="DP13"/>
          <cell r="DQ13" t="str">
            <v>BOLD</v>
          </cell>
          <cell r="DR13" t="str">
            <v xml:space="preserve">  Admissions % Change</v>
          </cell>
          <cell r="DS13" t="str">
            <v>ARD_ADMISSIONS_%_CHANGE</v>
          </cell>
          <cell r="DT13"/>
          <cell r="DU13" t="str">
            <v>NO</v>
          </cell>
          <cell r="DX13"/>
          <cell r="DY13" t="str">
            <v>BOLD</v>
          </cell>
          <cell r="DZ13" t="str">
            <v>Managed Care Commercial Revenue</v>
          </cell>
          <cell r="EA13" t="str">
            <v>MANAGED_CARE_COMMERCIAL_REVENUE</v>
          </cell>
          <cell r="EB13"/>
          <cell r="EC13" t="str">
            <v>BOLD</v>
          </cell>
          <cell r="EF13"/>
          <cell r="EG13" t="str">
            <v>BOLD</v>
          </cell>
          <cell r="EH13" t="str">
            <v>Fleet Utilization</v>
          </cell>
          <cell r="EI13" t="str">
            <v>SHIPPING_FLEET_UTILIZATION</v>
          </cell>
          <cell r="EJ13"/>
          <cell r="EK13" t="str">
            <v>BOLD</v>
          </cell>
          <cell r="EL13" t="str">
            <v xml:space="preserve">  Purchased Transportation</v>
          </cell>
          <cell r="EM13" t="str">
            <v>RAIL_PURCHASED_TRANSPORTATION</v>
          </cell>
          <cell r="EN13"/>
          <cell r="EO13" t="str">
            <v>NO</v>
          </cell>
          <cell r="EP13" t="str">
            <v>Clients</v>
          </cell>
          <cell r="EQ13" t="str">
            <v>LABEL</v>
          </cell>
          <cell r="ER13"/>
          <cell r="ES13" t="str">
            <v>BOLD</v>
          </cell>
          <cell r="EV13"/>
          <cell r="EW13" t="str">
            <v>BOLD</v>
          </cell>
          <cell r="EX13" t="str">
            <v>DRAM Bit Growth Forecast, QoQ (%)</v>
          </cell>
          <cell r="EY13" t="str">
            <v>ARD_DRAM_GB_SOLD_NEXT_PER_QOQ</v>
          </cell>
          <cell r="EZ13"/>
          <cell r="FA13" t="str">
            <v>BOLD</v>
          </cell>
          <cell r="FB13" t="str">
            <v>SG&amp;A ex-R&amp;D as % of Revenue</v>
          </cell>
          <cell r="FC13" t="str">
            <v>OPEX_NET_OF_R&amp;D_AS_%_OF_SALES</v>
          </cell>
          <cell r="FD13"/>
          <cell r="FE13" t="str">
            <v>BOLD</v>
          </cell>
          <cell r="FF13" t="str">
            <v>Wireless Subscribers-Prepaid</v>
          </cell>
          <cell r="FG13" t="str">
            <v>TOTAL_WIRELESS_SUBSCRIBERS_PREPD</v>
          </cell>
          <cell r="FH13"/>
          <cell r="FI13" t="str">
            <v>BOLD</v>
          </cell>
          <cell r="FJ13" t="str">
            <v>Digital Video Subscribers</v>
          </cell>
          <cell r="FK13" t="str">
            <v>DIGITAL_CUSTOMERS</v>
          </cell>
          <cell r="FL13"/>
          <cell r="FM13" t="str">
            <v>BOLD</v>
          </cell>
          <cell r="FN13" t="str">
            <v>Mainline Cost per Available Seat Mile/Km</v>
          </cell>
          <cell r="FO13" t="str">
            <v>MAINLINE_COST_PER_ASM</v>
          </cell>
          <cell r="FP13"/>
          <cell r="FQ13" t="str">
            <v>BOLD</v>
          </cell>
          <cell r="FR13" t="str">
            <v>Net Cruise Costs per APCD</v>
          </cell>
          <cell r="FS13" t="str">
            <v>NCC_AVAILABLE_PASSENGER_CRUISE_D</v>
          </cell>
          <cell r="FT13"/>
          <cell r="FU13" t="str">
            <v>BOLD</v>
          </cell>
          <cell r="FV13" t="str">
            <v>Vehicles Produced</v>
          </cell>
          <cell r="FW13" t="str">
            <v>LABEL</v>
          </cell>
          <cell r="FX13"/>
          <cell r="FY13" t="str">
            <v>BOLD</v>
          </cell>
          <cell r="FZ13" t="str">
            <v>Delivery Points Gas</v>
          </cell>
          <cell r="GA13" t="str">
            <v>PIPELINE_DELIVERY_POINTS_GAS</v>
          </cell>
          <cell r="GB13"/>
          <cell r="GC13" t="str">
            <v>BOLD</v>
          </cell>
          <cell r="GD13" t="str">
            <v>Gasoline Production</v>
          </cell>
          <cell r="GE13" t="str">
            <v>REFINING_GASOLINE</v>
          </cell>
          <cell r="GF13"/>
          <cell r="GG13" t="str">
            <v>BOLD</v>
          </cell>
          <cell r="GH13" t="str">
            <v>Hotel Room Nights</v>
          </cell>
          <cell r="GI13" t="str">
            <v>INTERNET_HOTEL_ROOM_NIGHTS</v>
          </cell>
          <cell r="GJ13"/>
          <cell r="GK13" t="str">
            <v>BOLD</v>
          </cell>
          <cell r="GL13" t="str">
            <v>Stocks &lt;inventory&gt;</v>
          </cell>
          <cell r="GM13" t="str">
            <v>BS_INVENTORIES</v>
          </cell>
          <cell r="GN13"/>
          <cell r="GO13" t="str">
            <v>BOLD</v>
          </cell>
          <cell r="GP13" t="str">
            <v>Assets/1000 Emp</v>
          </cell>
          <cell r="GQ13" t="str">
            <v>ASSET_PER_EMPL</v>
          </cell>
          <cell r="GR13"/>
          <cell r="GS13" t="str">
            <v>BOLD</v>
          </cell>
          <cell r="GT13" t="str">
            <v xml:space="preserve">  Online Casino Bets</v>
          </cell>
          <cell r="GU13" t="str">
            <v>ENTERT_ONLINE_CASINO_BETS</v>
          </cell>
          <cell r="GV13"/>
          <cell r="GW13" t="str">
            <v>NO</v>
          </cell>
          <cell r="GZ13"/>
          <cell r="HA13" t="str">
            <v>BOLD</v>
          </cell>
          <cell r="HB13" t="str">
            <v>Total Assets</v>
          </cell>
          <cell r="HC13" t="str">
            <v>ASSET_ALLOCATION_TOTAL_ASSETS</v>
          </cell>
          <cell r="HD13"/>
          <cell r="HE13" t="str">
            <v>BOLD</v>
          </cell>
          <cell r="HH13"/>
          <cell r="HI13" t="str">
            <v>BOLD</v>
          </cell>
          <cell r="HJ13" t="str">
            <v>Phosphate Capacity</v>
          </cell>
          <cell r="HK13" t="str">
            <v>CHEMICALS_PHOSPHATE_CAPACITY</v>
          </cell>
          <cell r="HL13"/>
          <cell r="HM13" t="str">
            <v>BOLD</v>
          </cell>
          <cell r="HP13"/>
          <cell r="HQ13" t="str">
            <v>BOLD</v>
          </cell>
          <cell r="HR13" t="str">
            <v>Paper Capacity</v>
          </cell>
          <cell r="HS13" t="str">
            <v>FORESTRY_PAPER_CAPACITY</v>
          </cell>
          <cell r="HT13"/>
          <cell r="HU13" t="str">
            <v>BOLD</v>
          </cell>
          <cell r="HV13" t="str">
            <v>Effective Tax Rate</v>
          </cell>
          <cell r="HW13" t="str">
            <v>EFF_TAX_RATE</v>
          </cell>
          <cell r="HX13"/>
          <cell r="HY13" t="str">
            <v>BOLD</v>
          </cell>
          <cell r="HZ13" t="str">
            <v>Realized gains (losses)</v>
          </cell>
          <cell r="IA13" t="str">
            <v>IS_TRADING_ACCT_PROF</v>
          </cell>
          <cell r="IB13"/>
          <cell r="IC13" t="str">
            <v>BOLD</v>
          </cell>
          <cell r="ID13" t="str">
            <v>Revenue per Page View YoY % Change</v>
          </cell>
          <cell r="IE13" t="str">
            <v>ARD_REV_PAGE_VIEW_YOY_PCT_CHG</v>
          </cell>
          <cell r="IF13"/>
          <cell r="IG13" t="str">
            <v>BOLD</v>
          </cell>
          <cell r="IH13" t="str">
            <v>Annualized Net Interest Margin</v>
          </cell>
          <cell r="II13" t="str">
            <v>ANN_NET_INT_MARGIN</v>
          </cell>
          <cell r="IJ13"/>
          <cell r="IK13" t="str">
            <v>BOLD</v>
          </cell>
          <cell r="IL13" t="str">
            <v>Volume Sold</v>
          </cell>
          <cell r="IM13" t="str">
            <v>BIOFUEL_SUGAR_SOLD_VOLUME</v>
          </cell>
          <cell r="IN13"/>
          <cell r="IO13" t="str">
            <v>BOLD</v>
          </cell>
          <cell r="IP13" t="str">
            <v>+ Commercial</v>
          </cell>
          <cell r="IQ13" t="str">
            <v>IS_ELECT_REV_COMM_RETAIL</v>
          </cell>
          <cell r="IR13"/>
          <cell r="IS13" t="str">
            <v>BOLD</v>
          </cell>
          <cell r="IT13" t="str">
            <v>Polysilicon Capacity - Metric Tonne</v>
          </cell>
          <cell r="IU13" t="str">
            <v>SOLAR_POLYSILICON_CAPACITY</v>
          </cell>
          <cell r="IV13"/>
          <cell r="IW13" t="str">
            <v>BOLD</v>
          </cell>
          <cell r="IX13" t="str">
            <v>Effective Tax Rate</v>
          </cell>
          <cell r="IY13" t="str">
            <v>EFF_TAX_RATE</v>
          </cell>
          <cell r="IZ13"/>
          <cell r="JA13" t="str">
            <v>BOLD</v>
          </cell>
          <cell r="JB13" t="str">
            <v>Realized gains (losses)</v>
          </cell>
          <cell r="JC13" t="str">
            <v>IS_TRADING_ACCT_PROF</v>
          </cell>
          <cell r="JD13"/>
          <cell r="JE13" t="str">
            <v>BOLD</v>
          </cell>
          <cell r="JF13" t="str">
            <v xml:space="preserve">  Employee Yr change %</v>
          </cell>
          <cell r="JG13" t="str">
            <v>EMPL_GROWTH</v>
          </cell>
          <cell r="JH13"/>
          <cell r="JI13" t="str">
            <v>NO</v>
          </cell>
          <cell r="JJ13" t="str">
            <v>T12 Inv turn-days</v>
          </cell>
          <cell r="JK13" t="str">
            <v>INVENT_DAYS</v>
          </cell>
          <cell r="JL13"/>
          <cell r="JM13" t="str">
            <v>BOLD</v>
          </cell>
          <cell r="JQ13"/>
          <cell r="JR13" t="str">
            <v>BOLD</v>
          </cell>
        </row>
        <row r="14">
          <cell r="A14">
            <v>13</v>
          </cell>
          <cell r="B14" t="str">
            <v>Cold-Rolled Sheets</v>
          </cell>
          <cell r="C14" t="str">
            <v>STEEL_COLD_ROLLED_SHEETS</v>
          </cell>
          <cell r="D14"/>
          <cell r="E14" t="str">
            <v>BOLD</v>
          </cell>
          <cell r="F14" t="str">
            <v>Sales/Marketing/Advertising Expenses</v>
          </cell>
          <cell r="G14" t="str">
            <v>ARD_SALES_MKT_ADVERTISING_EXP</v>
          </cell>
          <cell r="H14"/>
          <cell r="I14" t="str">
            <v>BOLD</v>
          </cell>
          <cell r="J14" t="str">
            <v>Copper - Grade (%)</v>
          </cell>
          <cell r="K14" t="str">
            <v>MINING_INFERRED_RES_COPPER_GRADE</v>
          </cell>
          <cell r="L14"/>
          <cell r="M14" t="str">
            <v>BOLD</v>
          </cell>
          <cell r="N14" t="str">
            <v>Silver - Grade (oz/Ton)</v>
          </cell>
          <cell r="O14" t="str">
            <v>MINING_INFERRED_RES_SILVER_GRADE</v>
          </cell>
          <cell r="P14"/>
          <cell r="Q14" t="str">
            <v>BOLD</v>
          </cell>
          <cell r="R14" t="str">
            <v>Gold - Grade (oz/Ton)</v>
          </cell>
          <cell r="S14" t="str">
            <v>MINING_INFERRED_RES_GOLD_GRADE</v>
          </cell>
          <cell r="T14"/>
          <cell r="U14" t="str">
            <v>BOLD</v>
          </cell>
          <cell r="V14" t="str">
            <v>Gold ($/oz)</v>
          </cell>
          <cell r="W14" t="str">
            <v>MINING_GOLD_REALIZED_PX</v>
          </cell>
          <cell r="X14"/>
          <cell r="Y14" t="str">
            <v>BOLD</v>
          </cell>
          <cell r="Z14" t="str">
            <v>Cobalt Forecast (Tons)</v>
          </cell>
          <cell r="AA14" t="str">
            <v>MINING_COBALT_PRODUCTION_PLANNED</v>
          </cell>
          <cell r="AB14"/>
          <cell r="AC14" t="str">
            <v>BOLD</v>
          </cell>
          <cell r="AD14" t="str">
            <v>Platinum Production (oz)</v>
          </cell>
          <cell r="AE14" t="str">
            <v>MINING_PLATINUM_PROD_ACTUAL</v>
          </cell>
          <cell r="AF14"/>
          <cell r="AG14" t="str">
            <v>BOLD</v>
          </cell>
          <cell r="AH14" t="str">
            <v>Platinum - Grade (oz/Ton)</v>
          </cell>
          <cell r="AI14" t="str">
            <v>MINING_P&amp;P_RSRVS_PLATINUM_GRADE</v>
          </cell>
          <cell r="AJ14"/>
          <cell r="AK14" t="str">
            <v>BOLD</v>
          </cell>
          <cell r="AL14" t="str">
            <v>Platinum - Grade (oz/Ton)</v>
          </cell>
          <cell r="AM14" t="str">
            <v>MINING_M&amp;I_RES_PLATINUM_GRADE</v>
          </cell>
          <cell r="AN14"/>
          <cell r="AO14" t="str">
            <v>BOLD</v>
          </cell>
          <cell r="AP14" t="str">
            <v>Surplus before Shareholders' Share</v>
          </cell>
          <cell r="AQ14" t="str">
            <v>IS_SURPLUS_BEF_SHAREHOLDERS_SHRS</v>
          </cell>
          <cell r="AR14"/>
          <cell r="AS14" t="str">
            <v>BOLD</v>
          </cell>
          <cell r="AT14" t="str">
            <v>P&amp;P Reserves - Silver Ore Volume</v>
          </cell>
          <cell r="AU14" t="str">
            <v>MINING_P&amp;P_RSRVS_SILVER_VOLUME</v>
          </cell>
          <cell r="AV14"/>
          <cell r="AW14" t="str">
            <v>BOLD</v>
          </cell>
          <cell r="AX14" t="str">
            <v>Gas (Gross)</v>
          </cell>
          <cell r="AY14" t="str">
            <v>PRODUCTIVE_GAS_WELLS_GROSS</v>
          </cell>
          <cell r="AZ14"/>
          <cell r="BA14" t="str">
            <v>BOLD</v>
          </cell>
          <cell r="BB14" t="str">
            <v xml:space="preserve">  Revenues</v>
          </cell>
          <cell r="BC14" t="str">
            <v>E&amp;P_REVENUES_US</v>
          </cell>
          <cell r="BD14"/>
          <cell r="BE14" t="str">
            <v>NO</v>
          </cell>
          <cell r="BF14" t="str">
            <v>Change in DCF</v>
          </cell>
          <cell r="BG14" t="str">
            <v>LABEL</v>
          </cell>
          <cell r="BH14"/>
          <cell r="BI14" t="str">
            <v>BOLD</v>
          </cell>
          <cell r="BJ14" t="str">
            <v xml:space="preserve">  + Other Properties</v>
          </cell>
          <cell r="BK14" t="str">
            <v>CAPITALIZED_COST_OTHER_PROP</v>
          </cell>
          <cell r="BL14"/>
          <cell r="BM14" t="str">
            <v>NO</v>
          </cell>
          <cell r="BN14" t="str">
            <v xml:space="preserve">  Oil (MBBL/Day)</v>
          </cell>
          <cell r="BO14" t="str">
            <v>OIL_PRODUCTION_CANADA_MBBL_DY</v>
          </cell>
          <cell r="BP14"/>
          <cell r="BQ14" t="str">
            <v>NO</v>
          </cell>
          <cell r="BR14" t="str">
            <v>Revenues</v>
          </cell>
          <cell r="BS14" t="str">
            <v>E&amp;P_REVENUES_WORLD</v>
          </cell>
          <cell r="BT14"/>
          <cell r="BU14" t="str">
            <v>BOLD</v>
          </cell>
          <cell r="BV14" t="str">
            <v xml:space="preserve">  P&amp;P Reserves</v>
          </cell>
          <cell r="BW14" t="str">
            <v>GAS_P&amp;P_RSRVS_END_YR_WORLDWIDE</v>
          </cell>
          <cell r="BX14"/>
          <cell r="BY14" t="str">
            <v>NO</v>
          </cell>
          <cell r="CB14"/>
          <cell r="CC14" t="str">
            <v>BOLD</v>
          </cell>
          <cell r="CD14" t="str">
            <v xml:space="preserve">  P&amp;P Reserves</v>
          </cell>
          <cell r="CE14" t="str">
            <v>BOE_P&amp;P_RSRVS_END_YR_WORLDWIDE</v>
          </cell>
          <cell r="CF14"/>
          <cell r="CG14" t="str">
            <v>NO</v>
          </cell>
          <cell r="CH14" t="str">
            <v>Energy-Exploration Cost</v>
          </cell>
          <cell r="CI14" t="str">
            <v>EXPLORATION_COST</v>
          </cell>
          <cell r="CJ14"/>
          <cell r="CK14" t="str">
            <v>BOLD</v>
          </cell>
          <cell r="CL14" t="str">
            <v>Aggregates Volumes/Shipments</v>
          </cell>
          <cell r="CM14" t="str">
            <v>AGGREGATES_VOLUMES_SHIPMENTS</v>
          </cell>
          <cell r="CN14"/>
          <cell r="CO14" t="str">
            <v>BOLD</v>
          </cell>
          <cell r="CP14" t="str">
            <v>Uranium Production</v>
          </cell>
          <cell r="CQ14" t="str">
            <v>MINING_URANIUM_PRODUCTION_ACTUAL</v>
          </cell>
          <cell r="CR14"/>
          <cell r="CS14" t="str">
            <v>BOLD</v>
          </cell>
          <cell r="CV14"/>
          <cell r="CW14" t="str">
            <v>BOLD</v>
          </cell>
          <cell r="CZ14"/>
          <cell r="DA14" t="str">
            <v>BOLD</v>
          </cell>
          <cell r="DB14" t="str">
            <v>Real Estate Investments</v>
          </cell>
          <cell r="DC14" t="str">
            <v>BS_RE_INVEST</v>
          </cell>
          <cell r="DD14"/>
          <cell r="DE14" t="str">
            <v>BOLD</v>
          </cell>
          <cell r="DF14" t="str">
            <v>FFO/Net Income</v>
          </cell>
          <cell r="DG14" t="str">
            <v>FFO_TO_NET_INC</v>
          </cell>
          <cell r="DH14"/>
          <cell r="DI14" t="str">
            <v>BOLD</v>
          </cell>
          <cell r="DJ14" t="str">
            <v xml:space="preserve">    Leased Locations</v>
          </cell>
          <cell r="DK14" t="str">
            <v>HOTEL_LEASED_LOCATIONS</v>
          </cell>
          <cell r="DL14"/>
          <cell r="DM14" t="str">
            <v>NO</v>
          </cell>
          <cell r="DP14"/>
          <cell r="DQ14" t="str">
            <v>BOLD</v>
          </cell>
          <cell r="DR14" t="str">
            <v xml:space="preserve">  Revenue per Equivalent Admiss % Change</v>
          </cell>
          <cell r="DS14" t="str">
            <v>ARD_REV_PER_EQUIV_ADMISS_%_CHG</v>
          </cell>
          <cell r="DT14"/>
          <cell r="DU14" t="str">
            <v>NO</v>
          </cell>
          <cell r="DX14"/>
          <cell r="DY14" t="str">
            <v>BOLD</v>
          </cell>
          <cell r="DZ14" t="str">
            <v>Managed Care - Medicare Revenue</v>
          </cell>
          <cell r="EA14" t="str">
            <v>MANAGED_CARE_MEDICARE_REV</v>
          </cell>
          <cell r="EB14"/>
          <cell r="EC14" t="str">
            <v>BOLD</v>
          </cell>
          <cell r="ED14" t="str">
            <v>LTL Revenue Analysis</v>
          </cell>
          <cell r="EE14" t="str">
            <v>LABEL</v>
          </cell>
          <cell r="EF14"/>
          <cell r="EG14" t="str">
            <v>BOLD</v>
          </cell>
          <cell r="EH14" t="str">
            <v>Time Charter Equivalent (TCE)</v>
          </cell>
          <cell r="EI14" t="str">
            <v>TIME_CHARTER_EQUIVALENT</v>
          </cell>
          <cell r="EJ14"/>
          <cell r="EK14" t="str">
            <v>BOLD</v>
          </cell>
          <cell r="EL14" t="str">
            <v xml:space="preserve">  Purchased Services &amp; Materials</v>
          </cell>
          <cell r="EM14" t="str">
            <v>ARD_PURCHASED_SERVICES_&amp;_MATS</v>
          </cell>
          <cell r="EN14"/>
          <cell r="EO14" t="str">
            <v>NO</v>
          </cell>
          <cell r="EP14" t="str">
            <v>Number of Active Clients</v>
          </cell>
          <cell r="EQ14" t="str">
            <v>NUMBER_OF_ACTIVE_CLIENTS</v>
          </cell>
          <cell r="ER14"/>
          <cell r="ES14" t="str">
            <v>BOLD</v>
          </cell>
          <cell r="ET14" t="str">
            <v>Services Revenue</v>
          </cell>
          <cell r="EU14" t="str">
            <v>SERVICE_REV</v>
          </cell>
          <cell r="EV14"/>
          <cell r="EW14" t="str">
            <v>BOLD</v>
          </cell>
          <cell r="EZ14"/>
          <cell r="FA14" t="str">
            <v>BOLD</v>
          </cell>
          <cell r="FD14"/>
          <cell r="FE14" t="str">
            <v>BOLD</v>
          </cell>
          <cell r="FF14" t="str">
            <v>Average Wireless Subscribers</v>
          </cell>
          <cell r="FG14" t="str">
            <v>AVERAGE_WIRELESS_SUBSCRIBERS</v>
          </cell>
          <cell r="FH14"/>
          <cell r="FI14" t="str">
            <v>BOLD</v>
          </cell>
          <cell r="FJ14" t="str">
            <v>Digital Subscriber Additions, Net</v>
          </cell>
          <cell r="FK14" t="str">
            <v>DIGITAL_CABLE_SUBSCRIBER_ADDS</v>
          </cell>
          <cell r="FL14"/>
          <cell r="FM14" t="str">
            <v>BOLD</v>
          </cell>
          <cell r="FN14" t="str">
            <v>Mainline Cost per Available Seat Mile/Km Ex-Fuel</v>
          </cell>
          <cell r="FO14" t="str">
            <v>MAINLINE_COST_PER_ASM_EX_FUEL</v>
          </cell>
          <cell r="FP14"/>
          <cell r="FQ14" t="str">
            <v>BOLD</v>
          </cell>
          <cell r="FR14" t="str">
            <v>Net Cruise Costs Excl. Fuel Per APCD</v>
          </cell>
          <cell r="FS14" t="str">
            <v>NCC_EX_FUEL_CST_AVAIL_PSGR_CRS_D</v>
          </cell>
          <cell r="FT14"/>
          <cell r="FU14" t="str">
            <v>BOLD</v>
          </cell>
          <cell r="FV14" t="str">
            <v xml:space="preserve">    Local</v>
          </cell>
          <cell r="FW14" t="str">
            <v>AUTO_VEHICLES_PRODUCED_LOCAL</v>
          </cell>
          <cell r="FX14"/>
          <cell r="FY14" t="str">
            <v>NO</v>
          </cell>
          <cell r="GB14"/>
          <cell r="GC14" t="str">
            <v>BOLD</v>
          </cell>
          <cell r="GD14" t="str">
            <v>Distillates Production</v>
          </cell>
          <cell r="GE14" t="str">
            <v>REFINING_DISTILLATES</v>
          </cell>
          <cell r="GF14"/>
          <cell r="GG14" t="str">
            <v>BOLD</v>
          </cell>
          <cell r="GJ14"/>
          <cell r="GK14" t="str">
            <v>BOLD</v>
          </cell>
          <cell r="GL14" t="str">
            <v>Inventory - 1 Yr Growth</v>
          </cell>
          <cell r="GM14" t="str">
            <v>INVENTORY_GROWTH</v>
          </cell>
          <cell r="GN14"/>
          <cell r="GO14" t="str">
            <v>BOLD</v>
          </cell>
          <cell r="GP14" t="str">
            <v>Sales per Employee</v>
          </cell>
          <cell r="GQ14" t="str">
            <v>ACTUAL_SALES_PER_EMPL</v>
          </cell>
          <cell r="GR14"/>
          <cell r="GS14" t="str">
            <v>BOLD</v>
          </cell>
          <cell r="GT14" t="str">
            <v xml:space="preserve">  Online Poker Bets</v>
          </cell>
          <cell r="GU14" t="str">
            <v>ENTERT_ONLINE_POKER_BETS</v>
          </cell>
          <cell r="GV14"/>
          <cell r="GW14" t="str">
            <v>NO</v>
          </cell>
          <cell r="GZ14"/>
          <cell r="HA14" t="str">
            <v>BOLD</v>
          </cell>
          <cell r="HB14" t="str">
            <v>Estimated Assets Under Management</v>
          </cell>
          <cell r="HC14" t="str">
            <v>ESTIMATED_AUM</v>
          </cell>
          <cell r="HD14"/>
          <cell r="HE14" t="str">
            <v>BOLD</v>
          </cell>
          <cell r="HF14" t="str">
            <v>Unit Analysis</v>
          </cell>
          <cell r="HG14" t="str">
            <v>LABEL</v>
          </cell>
          <cell r="HH14"/>
          <cell r="HI14" t="str">
            <v>BOLD</v>
          </cell>
          <cell r="HJ14" t="str">
            <v>Phosphate Production</v>
          </cell>
          <cell r="HK14" t="str">
            <v>CHEMICALS_PHOSPHATE_PRODUCTION</v>
          </cell>
          <cell r="HL14"/>
          <cell r="HM14" t="str">
            <v>BOLD</v>
          </cell>
          <cell r="HP14"/>
          <cell r="HQ14" t="str">
            <v>BOLD</v>
          </cell>
          <cell r="HR14" t="str">
            <v>Paper Production</v>
          </cell>
          <cell r="HS14" t="str">
            <v>FORESTRY_PAPER_PRODUCTION</v>
          </cell>
          <cell r="HT14"/>
          <cell r="HU14" t="str">
            <v>BOLD</v>
          </cell>
          <cell r="HX14"/>
          <cell r="HY14" t="str">
            <v>BOLD</v>
          </cell>
          <cell r="HZ14" t="str">
            <v>Investment Income</v>
          </cell>
          <cell r="IA14" t="str">
            <v>IS_INVEST_INCOME</v>
          </cell>
          <cell r="IB14"/>
          <cell r="IC14" t="str">
            <v>BOLD</v>
          </cell>
          <cell r="ID14" t="str">
            <v>Internet-Traffic Acquisition Costs</v>
          </cell>
          <cell r="IE14" t="str">
            <v>INTERNET_TRAFFIC_ACQ_COSTS</v>
          </cell>
          <cell r="IF14"/>
          <cell r="IG14" t="str">
            <v>BOLD</v>
          </cell>
          <cell r="IH14" t="str">
            <v>Net Interest Spread</v>
          </cell>
          <cell r="II14" t="str">
            <v>NET_INT_SPREAD</v>
          </cell>
          <cell r="IJ14"/>
          <cell r="IK14" t="str">
            <v>BOLD</v>
          </cell>
          <cell r="IL14" t="str">
            <v>Inventory</v>
          </cell>
          <cell r="IM14" t="str">
            <v>BIOFUEL_SUGAR_INVENTORY</v>
          </cell>
          <cell r="IN14"/>
          <cell r="IO14" t="str">
            <v>BOLD</v>
          </cell>
          <cell r="IP14" t="str">
            <v>+ Industrial</v>
          </cell>
          <cell r="IQ14" t="str">
            <v>IS_ELECT_REV_INDUS_RETAIL</v>
          </cell>
          <cell r="IR14"/>
          <cell r="IS14" t="str">
            <v>BOLD</v>
          </cell>
          <cell r="IZ14"/>
          <cell r="JA14" t="str">
            <v>BOLD</v>
          </cell>
          <cell r="JB14" t="str">
            <v>Investment Income</v>
          </cell>
          <cell r="JC14" t="str">
            <v>IS_INVEST_INCOME</v>
          </cell>
          <cell r="JD14"/>
          <cell r="JE14" t="str">
            <v>BOLD</v>
          </cell>
          <cell r="JF14" t="str">
            <v xml:space="preserve">  Net Inc/1000 Emp</v>
          </cell>
          <cell r="JG14" t="str">
            <v>NET_INC_PER_EMPL</v>
          </cell>
          <cell r="JH14"/>
          <cell r="JI14" t="str">
            <v>NO</v>
          </cell>
          <cell r="JJ14" t="str">
            <v>Inventory per Retail Square Foot</v>
          </cell>
          <cell r="JK14" t="str">
            <v>INVENTORY_PER_RETAIL_SQUARE_FOOT</v>
          </cell>
          <cell r="JL14"/>
          <cell r="JM14" t="str">
            <v>BOLD</v>
          </cell>
          <cell r="JO14" t="str">
            <v>Revenue from Buy-Side Clients Percentage</v>
          </cell>
          <cell r="JP14" t="str">
            <v>REVENUE_FROM_BUY-SIDE_CLIENTS_%</v>
          </cell>
          <cell r="JQ14"/>
          <cell r="JR14" t="str">
            <v>BOLD</v>
          </cell>
        </row>
        <row r="15">
          <cell r="A15">
            <v>14</v>
          </cell>
          <cell r="B15" t="str">
            <v>Steel Realized Price</v>
          </cell>
          <cell r="C15" t="str">
            <v>STEEL_REALIZED_PRICE</v>
          </cell>
          <cell r="D15"/>
          <cell r="E15" t="str">
            <v>BOLD</v>
          </cell>
          <cell r="H15"/>
          <cell r="I15" t="str">
            <v>BOLD</v>
          </cell>
          <cell r="J15" t="str">
            <v>Contained Copper (Tons)</v>
          </cell>
          <cell r="K15" t="str">
            <v>MINING_INFER_RES_CONTAIN_COPPER</v>
          </cell>
          <cell r="L15"/>
          <cell r="M15" t="str">
            <v>BOLD</v>
          </cell>
          <cell r="N15" t="str">
            <v>Contained Silver (oz)</v>
          </cell>
          <cell r="O15" t="str">
            <v>MINING_INFERRED_RES_CONT_SILVER</v>
          </cell>
          <cell r="P15"/>
          <cell r="Q15" t="str">
            <v>BOLD</v>
          </cell>
          <cell r="R15" t="str">
            <v>Contained Gold (oz)</v>
          </cell>
          <cell r="S15" t="str">
            <v>MINING_INFERRED_RES_CONTAIN_GOLD</v>
          </cell>
          <cell r="T15"/>
          <cell r="U15" t="str">
            <v>BOLD</v>
          </cell>
          <cell r="V15" t="str">
            <v>Silver ($/oz)</v>
          </cell>
          <cell r="W15" t="str">
            <v>MINING_SILVER_REALIZED_PX</v>
          </cell>
          <cell r="X15"/>
          <cell r="Y15" t="str">
            <v>BOLD</v>
          </cell>
          <cell r="Z15" t="str">
            <v>Copper Forecast (Tons)</v>
          </cell>
          <cell r="AA15" t="str">
            <v>MINING_COPPER_PRODUCTION_PLANNED</v>
          </cell>
          <cell r="AB15"/>
          <cell r="AC15" t="str">
            <v>BOLD</v>
          </cell>
          <cell r="AD15" t="str">
            <v>Bauxite/Alumina - Capacity (Tons)</v>
          </cell>
          <cell r="AE15" t="str">
            <v>MINING_ALUMINA_CAPACITY</v>
          </cell>
          <cell r="AF15"/>
          <cell r="AG15" t="str">
            <v>BOLD</v>
          </cell>
          <cell r="AH15" t="str">
            <v>Contained Platinum (oz)</v>
          </cell>
          <cell r="AI15" t="str">
            <v>MINING_P&amp;P_RSRV_CONTAIN_PLATINUM</v>
          </cell>
          <cell r="AJ15"/>
          <cell r="AK15" t="str">
            <v>BOLD</v>
          </cell>
          <cell r="AL15" t="str">
            <v>Contained Platinum (oz)</v>
          </cell>
          <cell r="AM15" t="str">
            <v>MINING_M&amp;I_RES_CONTAIN_PLATINUM</v>
          </cell>
          <cell r="AN15"/>
          <cell r="AO15" t="str">
            <v>BOLD</v>
          </cell>
          <cell r="AP15" t="str">
            <v>Shareholders' Share of Takaful Fund Surplus</v>
          </cell>
          <cell r="AQ15" t="str">
            <v>IS_SHRHLDR_SH_TAKAFUL_FD_SURPLUS</v>
          </cell>
          <cell r="AR15"/>
          <cell r="AS15" t="str">
            <v>BOLD</v>
          </cell>
          <cell r="AT15" t="str">
            <v>P&amp;P Reserves - Silver Grade (oz/t)</v>
          </cell>
          <cell r="AU15" t="str">
            <v>MINING_P&amp;P_RSRVS_SILVER_GRADE</v>
          </cell>
          <cell r="AV15"/>
          <cell r="AW15" t="str">
            <v>BOLD</v>
          </cell>
          <cell r="AX15" t="str">
            <v xml:space="preserve">  Gas (Net)</v>
          </cell>
          <cell r="AY15" t="str">
            <v>PRODUCTIVE_GAS_WELLS_NET</v>
          </cell>
          <cell r="AZ15"/>
          <cell r="BA15" t="str">
            <v>NO</v>
          </cell>
          <cell r="BB15" t="str">
            <v xml:space="preserve">    - Production Costs</v>
          </cell>
          <cell r="BC15" t="str">
            <v>PRODUCTION_COST_US</v>
          </cell>
          <cell r="BD15"/>
          <cell r="BE15" t="str">
            <v>NO</v>
          </cell>
          <cell r="BF15" t="str">
            <v>Sales Oil/Gas</v>
          </cell>
          <cell r="BG15" t="str">
            <v>CHG_SALES_OF_PRODUCTION</v>
          </cell>
          <cell r="BH15"/>
          <cell r="BI15" t="str">
            <v>BOLD</v>
          </cell>
          <cell r="BJ15" t="str">
            <v xml:space="preserve">  Gross Capitalized Costs</v>
          </cell>
          <cell r="BK15" t="str">
            <v>GROSS_CAPITALIZED_COSTS</v>
          </cell>
          <cell r="BL15"/>
          <cell r="BM15" t="str">
            <v>NO</v>
          </cell>
          <cell r="BN15" t="str">
            <v xml:space="preserve">  Gas (MMCF/Day)</v>
          </cell>
          <cell r="BO15" t="str">
            <v>GAS_PRODUCTION_CANADA_MMCF_DY</v>
          </cell>
          <cell r="BP15"/>
          <cell r="BQ15" t="str">
            <v>NO</v>
          </cell>
          <cell r="BR15" t="str">
            <v xml:space="preserve">  - Production Costs</v>
          </cell>
          <cell r="BS15" t="str">
            <v>PRODUCTION_COSTS_WORLD</v>
          </cell>
          <cell r="BT15"/>
          <cell r="BU15" t="str">
            <v>NO</v>
          </cell>
          <cell r="BX15"/>
          <cell r="BY15" t="str">
            <v>BOLD</v>
          </cell>
          <cell r="BZ15" t="str">
            <v>North America</v>
          </cell>
          <cell r="CA15" t="str">
            <v>LABEL</v>
          </cell>
          <cell r="CB15"/>
          <cell r="CC15" t="str">
            <v>BOLD</v>
          </cell>
          <cell r="CF15"/>
          <cell r="CG15" t="str">
            <v>BOLD</v>
          </cell>
          <cell r="CH15" t="str">
            <v>Energy-Proved Prop Acq Costs</v>
          </cell>
          <cell r="CI15" t="str">
            <v>PROVED_PROP_ACQ_COSTS</v>
          </cell>
          <cell r="CJ15"/>
          <cell r="CK15" t="str">
            <v>BOLD</v>
          </cell>
          <cell r="CL15" t="str">
            <v xml:space="preserve">  Aggregates Volume Growth</v>
          </cell>
          <cell r="CM15" t="str">
            <v>AGGREGATES_VOLUME_GROWTH</v>
          </cell>
          <cell r="CN15"/>
          <cell r="CO15" t="str">
            <v>NO</v>
          </cell>
          <cell r="CP15" t="str">
            <v>Gold Production</v>
          </cell>
          <cell r="CQ15" t="str">
            <v>MINING_GOLD_PRODUCTION_ACTUAL</v>
          </cell>
          <cell r="CR15"/>
          <cell r="CS15" t="str">
            <v>BOLD</v>
          </cell>
          <cell r="CT15" t="str">
            <v>Revenue and Rebates</v>
          </cell>
          <cell r="CU15" t="str">
            <v>LABEL</v>
          </cell>
          <cell r="CV15"/>
          <cell r="CW15" t="str">
            <v>BOLD</v>
          </cell>
          <cell r="CZ15"/>
          <cell r="DA15" t="str">
            <v>BOLD</v>
          </cell>
          <cell r="DB15" t="str">
            <v xml:space="preserve">  R.E. Investments/Total Assets</v>
          </cell>
          <cell r="DC15" t="str">
            <v>RE_INVEST_TO_TOT_ASSET</v>
          </cell>
          <cell r="DD15"/>
          <cell r="DE15" t="str">
            <v>NO</v>
          </cell>
          <cell r="DF15" t="str">
            <v>FFO/R.E. Assets</v>
          </cell>
          <cell r="DG15" t="str">
            <v>FFO_RE_ASSET</v>
          </cell>
          <cell r="DH15"/>
          <cell r="DI15" t="str">
            <v>BOLD</v>
          </cell>
          <cell r="DL15"/>
          <cell r="DM15" t="str">
            <v>BOLD</v>
          </cell>
          <cell r="DN15" t="str">
            <v>Pricing (000s)</v>
          </cell>
          <cell r="DO15" t="str">
            <v>LABEL</v>
          </cell>
          <cell r="DP15"/>
          <cell r="DQ15" t="str">
            <v>BOLD</v>
          </cell>
          <cell r="DR15" t="str">
            <v xml:space="preserve">  Adjusted Admissions % Change</v>
          </cell>
          <cell r="DS15" t="str">
            <v>ARD_ADJ_ADMISSIONS_%_CHANGE</v>
          </cell>
          <cell r="DT15"/>
          <cell r="DU15" t="str">
            <v>NO</v>
          </cell>
          <cell r="DX15"/>
          <cell r="DY15" t="str">
            <v>BOLD</v>
          </cell>
          <cell r="DZ15" t="str">
            <v>Managed Care - Medicaid Revenue</v>
          </cell>
          <cell r="EA15" t="str">
            <v>MANAGED_CARE_MEDICAID_REV</v>
          </cell>
          <cell r="EB15"/>
          <cell r="EC15" t="str">
            <v>BOLD</v>
          </cell>
          <cell r="ED15" t="str">
            <v>Revenue per Shipment</v>
          </cell>
          <cell r="EE15" t="str">
            <v>REVENUE_PER_SHIPMENT</v>
          </cell>
          <cell r="EF15"/>
          <cell r="EG15" t="str">
            <v>BOLD</v>
          </cell>
          <cell r="EH15" t="str">
            <v>Direct Vessel Oper Expenses</v>
          </cell>
          <cell r="EI15" t="str">
            <v>SHIPPING_DIRECT_VOE</v>
          </cell>
          <cell r="EJ15"/>
          <cell r="EK15" t="str">
            <v>BOLD</v>
          </cell>
          <cell r="EL15" t="str">
            <v xml:space="preserve">  Supplies/Materials Expense</v>
          </cell>
          <cell r="EM15" t="str">
            <v>RAIL_SUPPLIES_MATERIAL_EXP</v>
          </cell>
          <cell r="EN15"/>
          <cell r="EO15" t="str">
            <v>NO</v>
          </cell>
          <cell r="EP15" t="str">
            <v>Number of Clients Added</v>
          </cell>
          <cell r="EQ15" t="str">
            <v>NUMBER_OF_CLIENTS_ADDED</v>
          </cell>
          <cell r="ER15"/>
          <cell r="ES15" t="str">
            <v>BOLD</v>
          </cell>
          <cell r="ET15" t="str">
            <v>Services Revenue (TTM)</v>
          </cell>
          <cell r="EU15" t="str">
            <v>T12M_SERVICES_REVENUE</v>
          </cell>
          <cell r="EV15"/>
          <cell r="EW15" t="str">
            <v>BOLD</v>
          </cell>
          <cell r="EX15" t="str">
            <v>NAND Bit Production, QoQ Change (%)</v>
          </cell>
          <cell r="EY15" t="str">
            <v>ARD_NAND_GB_PRODUCTION_QOQ</v>
          </cell>
          <cell r="EZ15"/>
          <cell r="FA15" t="str">
            <v>BOLD</v>
          </cell>
          <cell r="FB15" t="str">
            <v>Other</v>
          </cell>
          <cell r="FC15" t="str">
            <v>LABEL</v>
          </cell>
          <cell r="FD15"/>
          <cell r="FE15" t="str">
            <v>BOLD</v>
          </cell>
          <cell r="FH15"/>
          <cell r="FI15" t="str">
            <v>BOLD</v>
          </cell>
          <cell r="FJ15" t="str">
            <v>Digital Video Penetration %</v>
          </cell>
          <cell r="FK15" t="str">
            <v>DIGITAL_PENETRATION</v>
          </cell>
          <cell r="FL15"/>
          <cell r="FM15" t="str">
            <v>BOLD</v>
          </cell>
          <cell r="FP15"/>
          <cell r="FQ15" t="str">
            <v>BOLD</v>
          </cell>
          <cell r="FR15" t="str">
            <v>Net Passenger Ticket Revenue Yield</v>
          </cell>
          <cell r="FS15" t="str">
            <v>NET_CRUISE_TICKET_REVENUE_YIELD</v>
          </cell>
          <cell r="FT15"/>
          <cell r="FU15" t="str">
            <v>BOLD</v>
          </cell>
          <cell r="FV15" t="str">
            <v xml:space="preserve">  North America</v>
          </cell>
          <cell r="FW15" t="str">
            <v>AUTO_VEHICLES_PRODUCED_NA</v>
          </cell>
          <cell r="FX15"/>
          <cell r="FY15" t="str">
            <v>NO</v>
          </cell>
          <cell r="GB15"/>
          <cell r="GC15" t="str">
            <v>BOLD</v>
          </cell>
          <cell r="GD15" t="str">
            <v>Lubricants Production</v>
          </cell>
          <cell r="GE15" t="str">
            <v>REFINING_LUBRICANTS</v>
          </cell>
          <cell r="GF15"/>
          <cell r="GG15" t="str">
            <v>BOLD</v>
          </cell>
          <cell r="GJ15"/>
          <cell r="GK15" t="str">
            <v>BOLD</v>
          </cell>
          <cell r="GL15" t="str">
            <v>Inventory to Sales</v>
          </cell>
          <cell r="GM15" t="str">
            <v>INVENT_TO_SALES</v>
          </cell>
          <cell r="GN15"/>
          <cell r="GO15" t="str">
            <v>BOLD</v>
          </cell>
          <cell r="GP15" t="str">
            <v>Net Inc/1000 Emp</v>
          </cell>
          <cell r="GQ15" t="str">
            <v>NET_INC_PER_EMPL</v>
          </cell>
          <cell r="GR15"/>
          <cell r="GS15" t="str">
            <v>BOLD</v>
          </cell>
          <cell r="GT15" t="str">
            <v xml:space="preserve">  Number of Online Players</v>
          </cell>
          <cell r="GU15" t="str">
            <v>ENTERT_ONLINE_PLAYERS</v>
          </cell>
          <cell r="GV15"/>
          <cell r="GW15" t="str">
            <v>NO</v>
          </cell>
          <cell r="GZ15"/>
          <cell r="HA15" t="str">
            <v>BOLD</v>
          </cell>
          <cell r="HD15"/>
          <cell r="HE15" t="str">
            <v>BOLD</v>
          </cell>
          <cell r="HF15" t="str">
            <v>Number of Locations (End)</v>
          </cell>
          <cell r="HG15" t="str">
            <v>NUMBER_OF_LOCATIONS_END</v>
          </cell>
          <cell r="HH15"/>
          <cell r="HI15" t="str">
            <v>BOLD</v>
          </cell>
          <cell r="HJ15" t="str">
            <v>Phosphate Sold</v>
          </cell>
          <cell r="HK15" t="str">
            <v>CHEMICALS_PHOSPHATE_SOLD</v>
          </cell>
          <cell r="HL15"/>
          <cell r="HM15" t="str">
            <v>BOLD</v>
          </cell>
          <cell r="HP15"/>
          <cell r="HQ15" t="str">
            <v>BOLD</v>
          </cell>
          <cell r="HR15" t="str">
            <v>Paper Sold</v>
          </cell>
          <cell r="HS15" t="str">
            <v>FORESTRY_PAPER_SOLD</v>
          </cell>
          <cell r="HT15"/>
          <cell r="HU15" t="str">
            <v>BOLD</v>
          </cell>
          <cell r="HV15" t="str">
            <v>Basel Capital Ratio</v>
          </cell>
          <cell r="HW15" t="str">
            <v>LABEL</v>
          </cell>
          <cell r="HX15"/>
          <cell r="HY15" t="str">
            <v>BOLD</v>
          </cell>
          <cell r="HZ15" t="str">
            <v>Assets Under Mgmt</v>
          </cell>
          <cell r="IA15" t="str">
            <v>BS_ASSETS_UNDER_MGMT</v>
          </cell>
          <cell r="IB15"/>
          <cell r="IC15" t="str">
            <v>BOLD</v>
          </cell>
          <cell r="IF15"/>
          <cell r="IG15" t="str">
            <v>BOLD</v>
          </cell>
          <cell r="IH15" t="str">
            <v>Assets Under Management</v>
          </cell>
          <cell r="II15" t="str">
            <v>BS_ASSETS_UNDER_MGMT</v>
          </cell>
          <cell r="IJ15"/>
          <cell r="IK15" t="str">
            <v>BOLD</v>
          </cell>
          <cell r="IL15" t="str">
            <v>Volume of Cane Crushed</v>
          </cell>
          <cell r="IM15" t="str">
            <v>BIOFUEL_VOLUME_OF_CANE_CRUSHED</v>
          </cell>
          <cell r="IN15"/>
          <cell r="IO15" t="str">
            <v>BOLD</v>
          </cell>
          <cell r="IP15" t="str">
            <v>+ Other</v>
          </cell>
          <cell r="IQ15" t="str">
            <v>IS_ELECT_REV_OTHER_RETAIL</v>
          </cell>
          <cell r="IR15"/>
          <cell r="IS15" t="str">
            <v>BOLD</v>
          </cell>
          <cell r="IX15" t="str">
            <v>Basel Capital Ratio</v>
          </cell>
          <cell r="IY15" t="str">
            <v>LABEL</v>
          </cell>
          <cell r="IZ15"/>
          <cell r="JA15" t="str">
            <v>BOLD</v>
          </cell>
          <cell r="JB15" t="str">
            <v>Assets Under Mgmt</v>
          </cell>
          <cell r="JC15" t="str">
            <v>BS_ASSETS_UNDER_MGMT</v>
          </cell>
          <cell r="JD15"/>
          <cell r="JE15" t="str">
            <v>BOLD</v>
          </cell>
          <cell r="JF15" t="str">
            <v xml:space="preserve">  Sales per Employee</v>
          </cell>
          <cell r="JG15" t="str">
            <v>ACTUAL_SALES_PER_EMPL</v>
          </cell>
          <cell r="JH15"/>
          <cell r="JI15" t="str">
            <v>NO</v>
          </cell>
          <cell r="JJ15" t="str">
            <v>Gross Margin Return on Inventory Investment</v>
          </cell>
          <cell r="JK15" t="str">
            <v>GR_MRGN_RETURN_ON_INVTRY_INVEST</v>
          </cell>
          <cell r="JL15"/>
          <cell r="JM15" t="str">
            <v>BOLD</v>
          </cell>
          <cell r="JO15" t="str">
            <v>Revenue from Sell-Side Clients Percentage</v>
          </cell>
          <cell r="JP15" t="str">
            <v>REVENUE_FROM_SELL-SIDE_CLIENTS_%</v>
          </cell>
          <cell r="JQ15"/>
          <cell r="JR15" t="str">
            <v>BOLD</v>
          </cell>
        </row>
        <row r="16">
          <cell r="A16">
            <v>15</v>
          </cell>
          <cell r="B16" t="str">
            <v>Steel Unit Cost</v>
          </cell>
          <cell r="C16" t="str">
            <v>STEEL_UNIT_COST</v>
          </cell>
          <cell r="D16"/>
          <cell r="E16" t="str">
            <v>BOLD</v>
          </cell>
          <cell r="F16" t="str">
            <v>Credit Costs</v>
          </cell>
          <cell r="G16" t="str">
            <v>LABEL</v>
          </cell>
          <cell r="H16"/>
          <cell r="I16" t="str">
            <v>BOLD</v>
          </cell>
          <cell r="L16"/>
          <cell r="M16" t="str">
            <v>BOLD</v>
          </cell>
          <cell r="P16"/>
          <cell r="Q16" t="str">
            <v>BOLD</v>
          </cell>
          <cell r="T16"/>
          <cell r="U16" t="str">
            <v>BOLD</v>
          </cell>
          <cell r="V16" t="str">
            <v>Palladium ($/oz)</v>
          </cell>
          <cell r="W16" t="str">
            <v>MINING_PALLADIUM_REALIZED_PX</v>
          </cell>
          <cell r="X16"/>
          <cell r="Y16" t="str">
            <v>BOLD</v>
          </cell>
          <cell r="Z16" t="str">
            <v>Lead Forecast (Tons)</v>
          </cell>
          <cell r="AA16" t="str">
            <v>MINING_LEAD_PRODUCTION_PLANNED</v>
          </cell>
          <cell r="AB16"/>
          <cell r="AC16" t="str">
            <v>BOLD</v>
          </cell>
          <cell r="AD16" t="str">
            <v>Bauxite/Alumina Production (Tons)</v>
          </cell>
          <cell r="AE16" t="str">
            <v>MINING_ALUMINA_PROD_ACT</v>
          </cell>
          <cell r="AF16"/>
          <cell r="AG16" t="str">
            <v>BOLD</v>
          </cell>
          <cell r="AH16" t="str">
            <v>Aluminum - Ore Volume (Tons)</v>
          </cell>
          <cell r="AI16" t="str">
            <v>MINING_P&amp;P_RSRVS_BAUXITE_VOLUME</v>
          </cell>
          <cell r="AJ16"/>
          <cell r="AK16" t="str">
            <v>BOLD</v>
          </cell>
          <cell r="AL16" t="str">
            <v>Bismuth - Ore Volume (Tons)</v>
          </cell>
          <cell r="AM16" t="str">
            <v>MINING_M&amp;I_RES_BISMUTH_VOLUME</v>
          </cell>
          <cell r="AN16"/>
          <cell r="AO16" t="str">
            <v>BOLD</v>
          </cell>
          <cell r="AP16" t="str">
            <v>Net Surplus/Deficit Attributable to Policyholders</v>
          </cell>
          <cell r="AQ16" t="str">
            <v>IS_TAKAFUL_ACCUM_SURPLUS_BEG</v>
          </cell>
          <cell r="AR16"/>
          <cell r="AS16" t="str">
            <v>BOLD</v>
          </cell>
          <cell r="AT16" t="str">
            <v>Mining - M&amp;I Resources Contained Silver</v>
          </cell>
          <cell r="AU16" t="str">
            <v>MINING_M&amp;I_RES_CONTAINED_SILVER</v>
          </cell>
          <cell r="AV16"/>
          <cell r="AW16" t="str">
            <v>BOLD</v>
          </cell>
          <cell r="AZ16"/>
          <cell r="BA16" t="str">
            <v>BOLD</v>
          </cell>
          <cell r="BB16" t="str">
            <v xml:space="preserve">    - Exploration Expense</v>
          </cell>
          <cell r="BC16" t="str">
            <v>EXPLORATION_EXPENSES_US</v>
          </cell>
          <cell r="BD16"/>
          <cell r="BE16" t="str">
            <v>NO</v>
          </cell>
          <cell r="BF16" t="str">
            <v>Prices</v>
          </cell>
          <cell r="BG16" t="str">
            <v>CHG_PRICES</v>
          </cell>
          <cell r="BH16"/>
          <cell r="BI16" t="str">
            <v>BOLD</v>
          </cell>
          <cell r="BJ16" t="str">
            <v xml:space="preserve">  - DD&amp;A</v>
          </cell>
          <cell r="BK16" t="str">
            <v>DD&amp;A_COST_CAPITALIZED</v>
          </cell>
          <cell r="BL16"/>
          <cell r="BM16" t="str">
            <v>NO</v>
          </cell>
          <cell r="BN16" t="str">
            <v xml:space="preserve">  NGL (MBBL/Day)</v>
          </cell>
          <cell r="BO16" t="str">
            <v>NGL_PRODUCTION_CANADA_MBBL_DY</v>
          </cell>
          <cell r="BP16"/>
          <cell r="BQ16" t="str">
            <v>NO</v>
          </cell>
          <cell r="BR16" t="str">
            <v xml:space="preserve">  - Exploration Expense</v>
          </cell>
          <cell r="BS16" t="str">
            <v>IS_EXPLORATION_EXPENSE</v>
          </cell>
          <cell r="BT16"/>
          <cell r="BU16" t="str">
            <v>NO</v>
          </cell>
          <cell r="BV16" t="str">
            <v>North America</v>
          </cell>
          <cell r="BW16" t="str">
            <v>LABEL</v>
          </cell>
          <cell r="BX16"/>
          <cell r="BY16" t="str">
            <v>BOLD</v>
          </cell>
          <cell r="BZ16" t="str">
            <v xml:space="preserve">  Start of Year</v>
          </cell>
          <cell r="CA16" t="str">
            <v>OIL_START_YEAR_NORTH_AMERICA</v>
          </cell>
          <cell r="CB16"/>
          <cell r="CC16" t="str">
            <v>NO</v>
          </cell>
          <cell r="CD16" t="str">
            <v>% Reserves Developed</v>
          </cell>
          <cell r="CE16" t="str">
            <v>PCT_RESERVES_DEVELOPED_WORLD</v>
          </cell>
          <cell r="CF16"/>
          <cell r="CG16" t="str">
            <v>BOLD</v>
          </cell>
          <cell r="CH16" t="str">
            <v>Energy-Unproved Prop Acq Costs</v>
          </cell>
          <cell r="CI16" t="str">
            <v>UNPROVED_PROP_ACQ_COSTS</v>
          </cell>
          <cell r="CJ16"/>
          <cell r="CK16" t="str">
            <v>BOLD</v>
          </cell>
          <cell r="CL16" t="str">
            <v xml:space="preserve">  Aggregates Volume Growth Ratio</v>
          </cell>
          <cell r="CM16" t="str">
            <v>AGGREGATES_VOLUME_GROWTH_RATIO</v>
          </cell>
          <cell r="CN16"/>
          <cell r="CO16" t="str">
            <v>NO</v>
          </cell>
          <cell r="CP16" t="str">
            <v>Gold Equivalents Production</v>
          </cell>
          <cell r="CQ16" t="str">
            <v>MINING_GOLD_EQUIV_PROD_ACTUAL</v>
          </cell>
          <cell r="CR16"/>
          <cell r="CS16" t="str">
            <v>BOLD</v>
          </cell>
          <cell r="CT16" t="str">
            <v>Retail/Network Revenue</v>
          </cell>
          <cell r="CU16" t="str">
            <v>RETAIL_NETWORK_REVENUE</v>
          </cell>
          <cell r="CV16"/>
          <cell r="CW16" t="str">
            <v>BOLD</v>
          </cell>
          <cell r="CZ16"/>
          <cell r="DA16" t="str">
            <v>BOLD</v>
          </cell>
          <cell r="DB16" t="str">
            <v xml:space="preserve">  R.E. Investments/Total Capitalization</v>
          </cell>
          <cell r="DC16" t="str">
            <v>RE_INVEST_PER_TOT_CAP</v>
          </cell>
          <cell r="DD16"/>
          <cell r="DE16" t="str">
            <v>NO</v>
          </cell>
          <cell r="DF16" t="str">
            <v>FFO/Total Debt</v>
          </cell>
          <cell r="DG16" t="str">
            <v>FFO_PER_TOT_DEBT</v>
          </cell>
          <cell r="DH16"/>
          <cell r="DI16" t="str">
            <v>BOLD</v>
          </cell>
          <cell r="DJ16" t="str">
            <v>Number of Hotel Rooms</v>
          </cell>
          <cell r="DK16" t="str">
            <v>NUMBER_HOTEL_ROOMS</v>
          </cell>
          <cell r="DL16"/>
          <cell r="DM16" t="str">
            <v>BOLD</v>
          </cell>
          <cell r="DN16" t="str">
            <v>Average Order Price</v>
          </cell>
          <cell r="DO16" t="str">
            <v>AVG_ORDER_PX</v>
          </cell>
          <cell r="DP16"/>
          <cell r="DQ16" t="str">
            <v>BOLD</v>
          </cell>
          <cell r="DR16" t="str">
            <v xml:space="preserve">  Avg Length of Stay % Change</v>
          </cell>
          <cell r="DS16" t="str">
            <v>ARD_AVG_LENGTH_OF_STAY_%_CHANGE</v>
          </cell>
          <cell r="DT16"/>
          <cell r="DU16" t="str">
            <v>NO</v>
          </cell>
          <cell r="DX16"/>
          <cell r="DY16" t="str">
            <v>BOLD</v>
          </cell>
          <cell r="EB16"/>
          <cell r="EC16" t="str">
            <v>BOLD</v>
          </cell>
          <cell r="ED16" t="str">
            <v>Revenue per Hundredweight</v>
          </cell>
          <cell r="EE16" t="str">
            <v>AVG_REVENUE_PER_HUNDREDWEIGHT</v>
          </cell>
          <cell r="EF16"/>
          <cell r="EG16" t="str">
            <v>BOLD</v>
          </cell>
          <cell r="EH16" t="str">
            <v>Seagoing Personnel</v>
          </cell>
          <cell r="EI16" t="str">
            <v>SHIPPING_SEAGOING_PERSONNEL</v>
          </cell>
          <cell r="EJ16"/>
          <cell r="EK16" t="str">
            <v>BOLD</v>
          </cell>
          <cell r="EL16" t="str">
            <v xml:space="preserve">  Insurance Expense</v>
          </cell>
          <cell r="EM16" t="str">
            <v>RAIL_INSURANCE_EXP_TRANSPORT</v>
          </cell>
          <cell r="EN16"/>
          <cell r="EO16" t="str">
            <v>NO</v>
          </cell>
          <cell r="ER16"/>
          <cell r="ES16" t="str">
            <v>BOLD</v>
          </cell>
          <cell r="ET16" t="str">
            <v>Services Revenue (QoQ)</v>
          </cell>
          <cell r="EU16" t="str">
            <v>SERVICES_REVENUE_SEQ_GROWTH</v>
          </cell>
          <cell r="EV16"/>
          <cell r="EW16" t="str">
            <v>BOLD</v>
          </cell>
          <cell r="EX16" t="str">
            <v>NAND Bit Production, YoY Change (%)</v>
          </cell>
          <cell r="EY16" t="str">
            <v>ARD_NAND_PRODUCTION_YOY</v>
          </cell>
          <cell r="EZ16"/>
          <cell r="FA16" t="str">
            <v>BOLD</v>
          </cell>
          <cell r="FB16" t="str">
            <v>% Rev from Wholesalers</v>
          </cell>
          <cell r="FC16" t="str">
            <v>BIOTECH_%_REVENUE_WHOLESALERS</v>
          </cell>
          <cell r="FD16"/>
          <cell r="FE16" t="str">
            <v>BOLD</v>
          </cell>
          <cell r="FF16" t="str">
            <v>Subscriber Additions</v>
          </cell>
          <cell r="FG16" t="str">
            <v>LABEL</v>
          </cell>
          <cell r="FH16"/>
          <cell r="FI16" t="str">
            <v>BOLD</v>
          </cell>
          <cell r="FL16"/>
          <cell r="FM16" t="str">
            <v>BOLD</v>
          </cell>
          <cell r="FN16" t="str">
            <v>Airline Sales per Employee</v>
          </cell>
          <cell r="FO16" t="str">
            <v>AIRLINE_SALES_PER_EMPLOYEE</v>
          </cell>
          <cell r="FP16"/>
          <cell r="FQ16" t="str">
            <v>BOLD</v>
          </cell>
          <cell r="FR16" t="str">
            <v>Net Yield</v>
          </cell>
          <cell r="FS16" t="str">
            <v>NET_CRUISE_REVENUE_YIELD</v>
          </cell>
          <cell r="FT16"/>
          <cell r="FU16" t="str">
            <v>BOLD</v>
          </cell>
          <cell r="FV16" t="str">
            <v xml:space="preserve">    United States</v>
          </cell>
          <cell r="FW16" t="str">
            <v>AUTO_VEHICLES_PRODUCED_US</v>
          </cell>
          <cell r="FX16"/>
          <cell r="FY16" t="str">
            <v>NO</v>
          </cell>
          <cell r="GB16"/>
          <cell r="GC16" t="str">
            <v>BOLD</v>
          </cell>
          <cell r="GD16" t="str">
            <v>Petrochemicals Production</v>
          </cell>
          <cell r="GE16" t="str">
            <v>REFINING_PETROCHEMICALS</v>
          </cell>
          <cell r="GF16"/>
          <cell r="GG16" t="str">
            <v>BOLD</v>
          </cell>
          <cell r="GJ16"/>
          <cell r="GK16" t="str">
            <v>BOLD</v>
          </cell>
          <cell r="GL16" t="str">
            <v>Inv. turnover</v>
          </cell>
          <cell r="GM16" t="str">
            <v>INVENT_TURN</v>
          </cell>
          <cell r="GN16"/>
          <cell r="GO16" t="str">
            <v>BOLD</v>
          </cell>
          <cell r="GR16"/>
          <cell r="GS16" t="str">
            <v>BOLD</v>
          </cell>
          <cell r="GT16" t="str">
            <v xml:space="preserve">  Number of Online Bets</v>
          </cell>
          <cell r="GU16" t="str">
            <v>ENTERT_ONLINE_BETS</v>
          </cell>
          <cell r="GV16"/>
          <cell r="GW16" t="str">
            <v>NO</v>
          </cell>
          <cell r="GZ16"/>
          <cell r="HA16" t="str">
            <v>BOLD</v>
          </cell>
          <cell r="HB16" t="str">
            <v>Total Investments</v>
          </cell>
          <cell r="HC16" t="str">
            <v>LABEL</v>
          </cell>
          <cell r="HD16"/>
          <cell r="HE16" t="str">
            <v>BOLD</v>
          </cell>
          <cell r="HF16" t="str">
            <v>Total Square Footage - Company Owned</v>
          </cell>
          <cell r="HG16" t="str">
            <v>TOTAL_SF_COMPANY_OWNED</v>
          </cell>
          <cell r="HH16"/>
          <cell r="HI16" t="str">
            <v>BOLD</v>
          </cell>
          <cell r="HJ16" t="str">
            <v>Phosphate Price</v>
          </cell>
          <cell r="HK16" t="str">
            <v>CHEMICALS_PHOSPHATE_PRICE</v>
          </cell>
          <cell r="HL16"/>
          <cell r="HM16" t="str">
            <v>BOLD</v>
          </cell>
          <cell r="HP16"/>
          <cell r="HQ16" t="str">
            <v>BOLD</v>
          </cell>
          <cell r="HR16" t="str">
            <v>Newsprint Sold</v>
          </cell>
          <cell r="HS16" t="str">
            <v>FORESTRY_NEWSPRINT_SOLD</v>
          </cell>
          <cell r="HT16"/>
          <cell r="HU16" t="str">
            <v>BOLD</v>
          </cell>
          <cell r="HV16" t="str">
            <v>Basel Level Adopted</v>
          </cell>
          <cell r="HW16" t="str">
            <v>BS_BASEL_LEVEL_ADOPTED_INDICATOR</v>
          </cell>
          <cell r="HX16"/>
          <cell r="HY16" t="str">
            <v>BOLD</v>
          </cell>
          <cell r="IB16"/>
          <cell r="IC16" t="str">
            <v>BOLD</v>
          </cell>
          <cell r="ID16" t="str">
            <v>Other</v>
          </cell>
          <cell r="IE16" t="str">
            <v>LABEL</v>
          </cell>
          <cell r="IF16"/>
          <cell r="IG16" t="str">
            <v>BOLD</v>
          </cell>
          <cell r="IH16" t="str">
            <v>Customer Assets</v>
          </cell>
          <cell r="II16" t="str">
            <v>CUST_ASSTS</v>
          </cell>
          <cell r="IJ16"/>
          <cell r="IK16" t="str">
            <v>BOLD</v>
          </cell>
          <cell r="IN16"/>
          <cell r="IO16" t="str">
            <v>BOLD</v>
          </cell>
          <cell r="IP16" t="str">
            <v>Total Retail Revenues</v>
          </cell>
          <cell r="IQ16" t="str">
            <v>IS_TOT_ELECT_REV_RETAIL</v>
          </cell>
          <cell r="IR16"/>
          <cell r="IS16" t="str">
            <v>BOLD</v>
          </cell>
          <cell r="IX16" t="str">
            <v>Basel Level Adopted</v>
          </cell>
          <cell r="IY16" t="str">
            <v>BS_BASEL_LEVEL_ADOPTED_INDICATOR</v>
          </cell>
          <cell r="IZ16"/>
          <cell r="JA16" t="str">
            <v>BOLD</v>
          </cell>
          <cell r="JD16"/>
          <cell r="JE16" t="str">
            <v>BOLD</v>
          </cell>
          <cell r="JF16" t="str">
            <v xml:space="preserve">  Assets/1000 Emp</v>
          </cell>
          <cell r="JG16" t="str">
            <v>ASSET_PER_EMPL</v>
          </cell>
          <cell r="JH16"/>
          <cell r="JI16" t="str">
            <v>NO</v>
          </cell>
          <cell r="JL16"/>
          <cell r="JM16" t="str">
            <v>BOLD</v>
          </cell>
          <cell r="JQ16"/>
          <cell r="JR16" t="str">
            <v>BOLD</v>
          </cell>
        </row>
        <row r="17">
          <cell r="A17">
            <v>16</v>
          </cell>
          <cell r="B17" t="str">
            <v>Iron Ore Utilized</v>
          </cell>
          <cell r="C17" t="str">
            <v>STEEL_IRON_ORE_UTILIZED</v>
          </cell>
          <cell r="D17"/>
          <cell r="E17" t="str">
            <v>BOLD</v>
          </cell>
          <cell r="F17" t="str">
            <v>Card 30 Day Delinquencies - Managed Basis</v>
          </cell>
          <cell r="G17" t="str">
            <v>CARD_30D_DELQ_MANAGED_BASIS</v>
          </cell>
          <cell r="H17"/>
          <cell r="I17" t="str">
            <v>BOLD</v>
          </cell>
          <cell r="J17" t="str">
            <v>Operating Summary</v>
          </cell>
          <cell r="K17" t="str">
            <v>LABEL</v>
          </cell>
          <cell r="L17"/>
          <cell r="M17" t="str">
            <v>BOLD</v>
          </cell>
          <cell r="N17" t="str">
            <v>Operating Summary</v>
          </cell>
          <cell r="O17" t="str">
            <v>LABEL</v>
          </cell>
          <cell r="P17"/>
          <cell r="Q17" t="str">
            <v>BOLD</v>
          </cell>
          <cell r="R17" t="str">
            <v>Operating Summary</v>
          </cell>
          <cell r="S17" t="str">
            <v>LABEL</v>
          </cell>
          <cell r="T17"/>
          <cell r="U17" t="str">
            <v>BOLD</v>
          </cell>
          <cell r="V17" t="str">
            <v>Platinum ($/oz)</v>
          </cell>
          <cell r="W17" t="str">
            <v>MINING_PLATINUM_REALIZED_PX</v>
          </cell>
          <cell r="X17"/>
          <cell r="Y17" t="str">
            <v>BOLD</v>
          </cell>
          <cell r="Z17" t="str">
            <v>Manganese Forecast (Tons)</v>
          </cell>
          <cell r="AA17" t="str">
            <v>MINING_MANGANESE_PROD_PLANNED</v>
          </cell>
          <cell r="AB17"/>
          <cell r="AC17" t="str">
            <v>BOLD</v>
          </cell>
          <cell r="AD17" t="str">
            <v>Primary Aluminum - Capacity (Tons)</v>
          </cell>
          <cell r="AE17" t="str">
            <v>MINING_PRIMARY_ALUMINUM_CAPACITY</v>
          </cell>
          <cell r="AF17"/>
          <cell r="AG17" t="str">
            <v>BOLD</v>
          </cell>
          <cell r="AH17" t="str">
            <v>Aluminum - Grade (%)</v>
          </cell>
          <cell r="AI17" t="str">
            <v>MINING_P&amp;P_RSRVS_ALUMINA_GRADE</v>
          </cell>
          <cell r="AJ17"/>
          <cell r="AK17" t="str">
            <v>BOLD</v>
          </cell>
          <cell r="AL17" t="str">
            <v>Bismuth - Grade (%)</v>
          </cell>
          <cell r="AM17" t="str">
            <v>MINING_M&amp;I_RES_BISMUTH_GRADE</v>
          </cell>
          <cell r="AN17"/>
          <cell r="AO17" t="str">
            <v>BOLD</v>
          </cell>
          <cell r="AP17" t="str">
            <v>Distributable Takaful Surplus to Policyholders</v>
          </cell>
          <cell r="AQ17" t="str">
            <v>IS_TAKAFUL_DISTRIBUTABLE_SURPLUS</v>
          </cell>
          <cell r="AR17"/>
          <cell r="AS17" t="str">
            <v>BOLD</v>
          </cell>
          <cell r="AT17" t="str">
            <v>M&amp;I Res - Silver Ore Volume</v>
          </cell>
          <cell r="AU17" t="str">
            <v>MINING_M&amp;I_RES_SILVER_VOLUME</v>
          </cell>
          <cell r="AV17"/>
          <cell r="AW17" t="str">
            <v>BOLD</v>
          </cell>
          <cell r="AX17" t="str">
            <v>Acreage (Thousands)</v>
          </cell>
          <cell r="AY17" t="str">
            <v>LABEL</v>
          </cell>
          <cell r="AZ17"/>
          <cell r="BA17" t="str">
            <v>BOLD</v>
          </cell>
          <cell r="BB17" t="str">
            <v xml:space="preserve">    - DD&amp;A</v>
          </cell>
          <cell r="BC17" t="str">
            <v>DD&amp;A_US</v>
          </cell>
          <cell r="BD17"/>
          <cell r="BE17" t="str">
            <v>NO</v>
          </cell>
          <cell r="BF17" t="str">
            <v>Extensions &amp; Discoveries</v>
          </cell>
          <cell r="BG17" t="str">
            <v>CHG_EXTENS_DISCOV</v>
          </cell>
          <cell r="BH17"/>
          <cell r="BI17" t="str">
            <v>BOLD</v>
          </cell>
          <cell r="BJ17" t="str">
            <v xml:space="preserve">  Net Capitalized Costs</v>
          </cell>
          <cell r="BK17" t="str">
            <v>NET_CAPITALIZED_COSTS</v>
          </cell>
          <cell r="BL17"/>
          <cell r="BM17" t="str">
            <v>NO</v>
          </cell>
          <cell r="BN17" t="str">
            <v xml:space="preserve">  Total (MBOE/Day)</v>
          </cell>
          <cell r="BO17" t="str">
            <v>DAILY_PROD_MBOE_CANADA</v>
          </cell>
          <cell r="BP17"/>
          <cell r="BQ17" t="str">
            <v>NO</v>
          </cell>
          <cell r="BR17" t="str">
            <v xml:space="preserve">  - DD&amp;A</v>
          </cell>
          <cell r="BS17" t="str">
            <v>DD&amp;A_WORLD</v>
          </cell>
          <cell r="BT17"/>
          <cell r="BU17" t="str">
            <v>NO</v>
          </cell>
          <cell r="BV17" t="str">
            <v xml:space="preserve">  Start of Year</v>
          </cell>
          <cell r="BW17" t="str">
            <v>GAS_START_YEAR_NAMR</v>
          </cell>
          <cell r="BX17"/>
          <cell r="BY17" t="str">
            <v>NO</v>
          </cell>
          <cell r="BZ17" t="str">
            <v xml:space="preserve">  + Revisions</v>
          </cell>
          <cell r="CA17" t="str">
            <v>OIL_REVISIONS_NORTH_AMERICA</v>
          </cell>
          <cell r="CB17"/>
          <cell r="CC17" t="str">
            <v>NO</v>
          </cell>
          <cell r="CD17" t="str">
            <v>Reserve Production Ratio</v>
          </cell>
          <cell r="CE17" t="str">
            <v>TOTAL_RESERVE_PRODUCTION_RATIO</v>
          </cell>
          <cell r="CF17"/>
          <cell r="CG17" t="str">
            <v>BOLD</v>
          </cell>
          <cell r="CH17" t="str">
            <v>Energy-Development Costs</v>
          </cell>
          <cell r="CI17" t="str">
            <v>DEVELOPMENT_COSTS</v>
          </cell>
          <cell r="CJ17"/>
          <cell r="CK17" t="str">
            <v>BOLD</v>
          </cell>
          <cell r="CL17" t="str">
            <v>Aggregates Price per Ton</v>
          </cell>
          <cell r="CM17" t="str">
            <v>AGGREGATES_PRICE_PER_TON</v>
          </cell>
          <cell r="CN17"/>
          <cell r="CO17" t="str">
            <v>BOLD</v>
          </cell>
          <cell r="CP17" t="str">
            <v>Silver Production</v>
          </cell>
          <cell r="CQ17" t="str">
            <v>MINING_SILVER_PRODUCTION_ACTUAL</v>
          </cell>
          <cell r="CR17"/>
          <cell r="CS17" t="str">
            <v>BOLD</v>
          </cell>
          <cell r="CT17" t="str">
            <v>Home Delivery and Specialty Revenue</v>
          </cell>
          <cell r="CU17" t="str">
            <v>HOME_DELIVERY_SPECIALTY_REV</v>
          </cell>
          <cell r="CV17"/>
          <cell r="CW17" t="str">
            <v>BOLD</v>
          </cell>
          <cell r="CZ17"/>
          <cell r="DA17" t="str">
            <v>BOLD</v>
          </cell>
          <cell r="DD17"/>
          <cell r="DE17" t="str">
            <v>BOLD</v>
          </cell>
          <cell r="DF17" t="str">
            <v>FFO/Total Liabilities</v>
          </cell>
          <cell r="DG17" t="str">
            <v>FFO_PER_TOT_LIAB</v>
          </cell>
          <cell r="DH17"/>
          <cell r="DI17" t="str">
            <v>BOLD</v>
          </cell>
          <cell r="DJ17" t="str">
            <v>Room Nights Available</v>
          </cell>
          <cell r="DK17" t="str">
            <v>HOTEL_ROOM_NIGHTS</v>
          </cell>
          <cell r="DL17"/>
          <cell r="DM17" t="str">
            <v>BOLD</v>
          </cell>
          <cell r="DN17" t="str">
            <v>Average Backlog Price</v>
          </cell>
          <cell r="DO17" t="str">
            <v>AVG_BACKLOG_PX</v>
          </cell>
          <cell r="DP17"/>
          <cell r="DQ17" t="str">
            <v>BOLD</v>
          </cell>
          <cell r="DR17" t="str">
            <v xml:space="preserve">  Inpatient Surgeries % Change</v>
          </cell>
          <cell r="DS17" t="str">
            <v>ARD_INPATIENT_SURGERIES_%_CHANGE</v>
          </cell>
          <cell r="DT17"/>
          <cell r="DU17" t="str">
            <v>NO</v>
          </cell>
          <cell r="DX17"/>
          <cell r="DY17" t="str">
            <v>BOLD</v>
          </cell>
          <cell r="DZ17" t="str">
            <v>Ratio Analysis</v>
          </cell>
          <cell r="EA17" t="str">
            <v>LABEL</v>
          </cell>
          <cell r="EB17"/>
          <cell r="EC17" t="str">
            <v>BOLD</v>
          </cell>
          <cell r="ED17" t="str">
            <v>Revenue per Hundredweight YoY %</v>
          </cell>
          <cell r="EE17" t="str">
            <v>REV_PER_HUNDREDWEIGHT_YOY_GROWTH</v>
          </cell>
          <cell r="EF17"/>
          <cell r="EG17" t="str">
            <v>BOLD</v>
          </cell>
          <cell r="EJ17"/>
          <cell r="EK17" t="str">
            <v>BOLD</v>
          </cell>
          <cell r="EL17" t="str">
            <v xml:space="preserve">  Lease/Equipment Rental Expense</v>
          </cell>
          <cell r="EM17" t="str">
            <v>RAIL_LEASE_EQUIP_RENTAL_EXP</v>
          </cell>
          <cell r="EN17"/>
          <cell r="EO17" t="str">
            <v>NO</v>
          </cell>
          <cell r="EP17" t="str">
            <v>Client Revenue Contribution</v>
          </cell>
          <cell r="EQ17" t="str">
            <v>LABEL</v>
          </cell>
          <cell r="ER17"/>
          <cell r="ES17" t="str">
            <v>BOLD</v>
          </cell>
          <cell r="ET17" t="str">
            <v>Services Revenue (YoY)</v>
          </cell>
          <cell r="EU17" t="str">
            <v>SERVICES_REVENUE_1_YEAR_GROWTH</v>
          </cell>
          <cell r="EV17"/>
          <cell r="EW17" t="str">
            <v>BOLD</v>
          </cell>
          <cell r="EX17" t="str">
            <v>Company NAND Bit Growth, QoQ (%)</v>
          </cell>
          <cell r="EY17" t="str">
            <v>ARD_NAND_GB_SOLD_QOQ</v>
          </cell>
          <cell r="EZ17"/>
          <cell r="FA17" t="str">
            <v>BOLD</v>
          </cell>
          <cell r="FB17" t="str">
            <v>Phase 1 Drugs</v>
          </cell>
          <cell r="FC17" t="str">
            <v>BIOTECH_PHASE_1</v>
          </cell>
          <cell r="FD17"/>
          <cell r="FE17" t="str">
            <v>BOLD</v>
          </cell>
          <cell r="FF17" t="str">
            <v>Wireless Subscriber Additions</v>
          </cell>
          <cell r="FG17" t="str">
            <v>CELLULAR_NET_SUBSCRIBER_ADDITION</v>
          </cell>
          <cell r="FH17"/>
          <cell r="FI17" t="str">
            <v>BOLD</v>
          </cell>
          <cell r="FJ17" t="str">
            <v>High Speed Data</v>
          </cell>
          <cell r="FK17" t="str">
            <v>LABEL</v>
          </cell>
          <cell r="FL17"/>
          <cell r="FM17" t="str">
            <v>BOLD</v>
          </cell>
          <cell r="FN17" t="str">
            <v>A/R turnover</v>
          </cell>
          <cell r="FO17" t="str">
            <v>ACCT_RCV_TURN</v>
          </cell>
          <cell r="FP17"/>
          <cell r="FQ17" t="str">
            <v>BOLD</v>
          </cell>
          <cell r="FR17" t="str">
            <v>Cruise Lines - Number of Trade Names</v>
          </cell>
          <cell r="FS17" t="str">
            <v>NUMBER_OF_TRADE_NAMES_CRUISE</v>
          </cell>
          <cell r="FT17"/>
          <cell r="FU17" t="str">
            <v>BOLD</v>
          </cell>
          <cell r="FV17" t="str">
            <v xml:space="preserve">  Europe</v>
          </cell>
          <cell r="FW17" t="str">
            <v>AUTO_VEHICLES_PRODUCED_EUROPE</v>
          </cell>
          <cell r="FX17"/>
          <cell r="FY17" t="str">
            <v>NO</v>
          </cell>
          <cell r="GB17"/>
          <cell r="GC17" t="str">
            <v>BOLD</v>
          </cell>
          <cell r="GD17" t="str">
            <v>Diesel Production</v>
          </cell>
          <cell r="GE17" t="str">
            <v>REFINING_DIESEL</v>
          </cell>
          <cell r="GF17"/>
          <cell r="GG17" t="str">
            <v>BOLD</v>
          </cell>
          <cell r="GJ17"/>
          <cell r="GK17" t="str">
            <v>BOLD</v>
          </cell>
          <cell r="GL17" t="str">
            <v>T12 Inv turn-days</v>
          </cell>
          <cell r="GM17" t="str">
            <v>INVENT_DAYS</v>
          </cell>
          <cell r="GN17"/>
          <cell r="GO17" t="str">
            <v>BOLD</v>
          </cell>
          <cell r="GP17" t="str">
            <v>Additional Analysis</v>
          </cell>
          <cell r="GQ17" t="str">
            <v>LABEL</v>
          </cell>
          <cell r="GR17"/>
          <cell r="GS17" t="str">
            <v>BOLD</v>
          </cell>
          <cell r="GT17" t="str">
            <v>Table Gaming</v>
          </cell>
          <cell r="GU17" t="str">
            <v>LABEL</v>
          </cell>
          <cell r="GV17"/>
          <cell r="GW17" t="str">
            <v>BOLD</v>
          </cell>
          <cell r="GZ17"/>
          <cell r="HA17" t="str">
            <v>BOLD</v>
          </cell>
          <cell r="HB17" t="str">
            <v>Total Investments</v>
          </cell>
          <cell r="HC17" t="str">
            <v>ASSET_ALLOCATION_TOT_INVESTMENTS</v>
          </cell>
          <cell r="HD17"/>
          <cell r="HE17" t="str">
            <v>BOLD</v>
          </cell>
          <cell r="HF17" t="str">
            <v>System-wide Retail Square Footage</v>
          </cell>
          <cell r="HG17" t="str">
            <v>SYS_WIDE_RETAIL_SF_INCL_FRANCH</v>
          </cell>
          <cell r="HH17"/>
          <cell r="HI17" t="str">
            <v>BOLD</v>
          </cell>
          <cell r="HL17"/>
          <cell r="HM17" t="str">
            <v>BOLD</v>
          </cell>
          <cell r="HP17"/>
          <cell r="HQ17" t="str">
            <v>BOLD</v>
          </cell>
          <cell r="HR17" t="str">
            <v>Paper Mills</v>
          </cell>
          <cell r="HS17" t="str">
            <v>FORESTRY_PAPER_MILLS</v>
          </cell>
          <cell r="HT17"/>
          <cell r="HU17" t="str">
            <v>BOLD</v>
          </cell>
          <cell r="HV17" t="str">
            <v>Tier 1 Common Equity Ratio</v>
          </cell>
          <cell r="HW17" t="str">
            <v>BS_TIER1_COM_EQUITY_RATIO</v>
          </cell>
          <cell r="HX17"/>
          <cell r="HY17" t="str">
            <v>BOLD</v>
          </cell>
          <cell r="HZ17" t="str">
            <v>Investment Factors</v>
          </cell>
          <cell r="IA17" t="str">
            <v>LABEL</v>
          </cell>
          <cell r="IB17"/>
          <cell r="IC17" t="str">
            <v>BOLD</v>
          </cell>
          <cell r="ID17" t="str">
            <v>Number of Active Accounts</v>
          </cell>
          <cell r="IE17" t="str">
            <v>NUM_ACTIVE_ACCOUNTS</v>
          </cell>
          <cell r="IF17"/>
          <cell r="IG17" t="str">
            <v>BOLD</v>
          </cell>
          <cell r="IJ17"/>
          <cell r="IK17" t="str">
            <v>BOLD</v>
          </cell>
          <cell r="IL17" t="str">
            <v>Palm Oil</v>
          </cell>
          <cell r="IM17" t="str">
            <v>LABEL</v>
          </cell>
          <cell r="IN17"/>
          <cell r="IO17" t="str">
            <v>BOLD</v>
          </cell>
          <cell r="IP17" t="str">
            <v>Wholesale Revenues</v>
          </cell>
          <cell r="IQ17" t="str">
            <v>IS_ELECT_REV_UNDER_FERC_REG</v>
          </cell>
          <cell r="IR17"/>
          <cell r="IS17" t="str">
            <v>BOLD</v>
          </cell>
          <cell r="IX17" t="str">
            <v>Tier 1 Common Equity Ratio</v>
          </cell>
          <cell r="IY17" t="str">
            <v>BS_TIER1_COM_EQUITY_RATIO</v>
          </cell>
          <cell r="IZ17"/>
          <cell r="JA17" t="str">
            <v>BOLD</v>
          </cell>
          <cell r="JB17" t="str">
            <v>Investment Factors</v>
          </cell>
          <cell r="JC17" t="str">
            <v>LABEL</v>
          </cell>
          <cell r="JD17"/>
          <cell r="JE17" t="str">
            <v>BOLD</v>
          </cell>
          <cell r="JF17" t="str">
            <v>Capital Expenditures</v>
          </cell>
          <cell r="JG17" t="str">
            <v>CAPITAL_EXPEND</v>
          </cell>
          <cell r="JH17"/>
          <cell r="JI17" t="str">
            <v>BOLD</v>
          </cell>
          <cell r="JJ17" t="str">
            <v>Employee Productivity</v>
          </cell>
          <cell r="JK17" t="str">
            <v>LABEL</v>
          </cell>
          <cell r="JL17"/>
          <cell r="JM17" t="str">
            <v>BOLD</v>
          </cell>
          <cell r="JO17" t="str">
            <v>Client Metrics</v>
          </cell>
          <cell r="JP17" t="str">
            <v>LABEL</v>
          </cell>
          <cell r="JQ17"/>
          <cell r="JR17" t="str">
            <v>BOLD</v>
          </cell>
        </row>
        <row r="18">
          <cell r="A18">
            <v>17</v>
          </cell>
          <cell r="B18" t="str">
            <v>Steel Scrap Utilized</v>
          </cell>
          <cell r="C18" t="str">
            <v>STEEL_SCRAP_UTILIZED</v>
          </cell>
          <cell r="D18"/>
          <cell r="E18" t="str">
            <v>BOLD</v>
          </cell>
          <cell r="F18" t="str">
            <v>Card Net Charge-Off Rate - Managed Basis</v>
          </cell>
          <cell r="G18" t="str">
            <v>CARD_NET_CHGOFF_RT_MGD_BASIS</v>
          </cell>
          <cell r="H18"/>
          <cell r="I18" t="str">
            <v>BOLD</v>
          </cell>
          <cell r="J18" t="str">
            <v>Copper Production</v>
          </cell>
          <cell r="K18" t="str">
            <v>LABEL</v>
          </cell>
          <cell r="L18"/>
          <cell r="M18" t="str">
            <v>BOLD</v>
          </cell>
          <cell r="N18" t="str">
            <v>Silver Production</v>
          </cell>
          <cell r="O18" t="str">
            <v>LABEL</v>
          </cell>
          <cell r="P18"/>
          <cell r="Q18" t="str">
            <v>BOLD</v>
          </cell>
          <cell r="R18" t="str">
            <v>Gold Production</v>
          </cell>
          <cell r="S18" t="str">
            <v>LABEL</v>
          </cell>
          <cell r="T18"/>
          <cell r="U18" t="str">
            <v>BOLD</v>
          </cell>
          <cell r="V18" t="str">
            <v>Aluminum ($/lb)</v>
          </cell>
          <cell r="W18" t="str">
            <v>MINING_ALUMINUM_REALIZED_PX</v>
          </cell>
          <cell r="X18"/>
          <cell r="Y18" t="str">
            <v>BOLD</v>
          </cell>
          <cell r="Z18" t="str">
            <v>Molybdenum Forecast (Tons)</v>
          </cell>
          <cell r="AA18" t="str">
            <v>MINING_MOLYBDENUM_PROD_PLANNED</v>
          </cell>
          <cell r="AB18"/>
          <cell r="AC18" t="str">
            <v>BOLD</v>
          </cell>
          <cell r="AD18" t="str">
            <v>Primary Aluminum Production (Tons)</v>
          </cell>
          <cell r="AE18" t="str">
            <v>MINING_PRIMARY_ALUMINUM_PROD_ACT</v>
          </cell>
          <cell r="AF18"/>
          <cell r="AG18" t="str">
            <v>BOLD</v>
          </cell>
          <cell r="AH18" t="str">
            <v>Contained Aluminum (Tons)</v>
          </cell>
          <cell r="AI18" t="str">
            <v>MINING_P&amp;P_RSRVS_CONTAINED_ALUM</v>
          </cell>
          <cell r="AJ18"/>
          <cell r="AK18" t="str">
            <v>BOLD</v>
          </cell>
          <cell r="AL18" t="str">
            <v>Contained Bismuth (Tons)</v>
          </cell>
          <cell r="AM18" t="str">
            <v>MINING_M&amp;I_RES_CONTAINED_BISMUTH</v>
          </cell>
          <cell r="AN18"/>
          <cell r="AO18" t="str">
            <v>BOLD</v>
          </cell>
          <cell r="AP18" t="str">
            <v>Accumulated Takaful Surplus (End of Period)</v>
          </cell>
          <cell r="AQ18" t="str">
            <v>IS_TAKAFUL_ACCUM_SURPLUS_END</v>
          </cell>
          <cell r="AR18"/>
          <cell r="AS18" t="str">
            <v>BOLD</v>
          </cell>
          <cell r="AT18" t="str">
            <v>M&amp;I Res - Silver Grade (oz/t)</v>
          </cell>
          <cell r="AU18" t="str">
            <v>MINING_M&amp;I_RES_SILVER_GRADE</v>
          </cell>
          <cell r="AV18"/>
          <cell r="AW18" t="str">
            <v>BOLD</v>
          </cell>
          <cell r="AX18" t="str">
            <v>Developed (Gross)</v>
          </cell>
          <cell r="AY18" t="str">
            <v>GROSS_DEVELOPED_ACREAGE</v>
          </cell>
          <cell r="AZ18"/>
          <cell r="BA18" t="str">
            <v>BOLD</v>
          </cell>
          <cell r="BB18" t="str">
            <v xml:space="preserve">    - Other Expenses</v>
          </cell>
          <cell r="BC18" t="str">
            <v>OTHER_E&amp;P_EXPENSES_US</v>
          </cell>
          <cell r="BD18"/>
          <cell r="BE18" t="str">
            <v>NO</v>
          </cell>
          <cell r="BF18" t="str">
            <v>Development Costs</v>
          </cell>
          <cell r="BG18" t="str">
            <v>CHG_DEVELOPMENT_COSTS</v>
          </cell>
          <cell r="BH18"/>
          <cell r="BI18" t="str">
            <v>BOLD</v>
          </cell>
          <cell r="BL18"/>
          <cell r="BM18" t="str">
            <v>BOLD</v>
          </cell>
          <cell r="BP18"/>
          <cell r="BQ18" t="str">
            <v>BOLD</v>
          </cell>
          <cell r="BR18" t="str">
            <v xml:space="preserve">  - Other Expenses</v>
          </cell>
          <cell r="BS18" t="str">
            <v>OTHER_E&amp;P_EXPENSES_WORLD</v>
          </cell>
          <cell r="BT18"/>
          <cell r="BU18" t="str">
            <v>NO</v>
          </cell>
          <cell r="BV18" t="str">
            <v xml:space="preserve">  + Revisions</v>
          </cell>
          <cell r="BW18" t="str">
            <v>GAS_REVISIONS_NAMR</v>
          </cell>
          <cell r="BX18"/>
          <cell r="BY18" t="str">
            <v>NO</v>
          </cell>
          <cell r="BZ18" t="str">
            <v xml:space="preserve">  + Improved Recovery</v>
          </cell>
          <cell r="CA18" t="str">
            <v>OIL_IMPROVED_RECOVERY_NA</v>
          </cell>
          <cell r="CB18"/>
          <cell r="CC18" t="str">
            <v>NO</v>
          </cell>
          <cell r="CD18" t="str">
            <v>Reserves Per Share - BOE</v>
          </cell>
          <cell r="CE18" t="str">
            <v>RESERVES_PER_SHARE_BOE</v>
          </cell>
          <cell r="CF18"/>
          <cell r="CG18" t="str">
            <v>BOLD</v>
          </cell>
          <cell r="CH18" t="str">
            <v>Energy-Miscel Costs</v>
          </cell>
          <cell r="CI18" t="str">
            <v>MISCEL_COSTS</v>
          </cell>
          <cell r="CJ18"/>
          <cell r="CK18" t="str">
            <v>BOLD</v>
          </cell>
          <cell r="CL18" t="str">
            <v xml:space="preserve">  Aggregates Price Growth</v>
          </cell>
          <cell r="CM18" t="str">
            <v>AGGREGATES_PRICE_GROWTH</v>
          </cell>
          <cell r="CN18"/>
          <cell r="CO18" t="str">
            <v>NO</v>
          </cell>
          <cell r="CP18" t="str">
            <v>Platinum Production</v>
          </cell>
          <cell r="CQ18" t="str">
            <v>MINING_PLATINUM_PROD_ACTUAL</v>
          </cell>
          <cell r="CR18"/>
          <cell r="CS18" t="str">
            <v>BOLD</v>
          </cell>
          <cell r="CT18" t="str">
            <v>Rebates Earned</v>
          </cell>
          <cell r="CU18" t="str">
            <v>REBATES_EARNED</v>
          </cell>
          <cell r="CV18"/>
          <cell r="CW18" t="str">
            <v>BOLD</v>
          </cell>
          <cell r="CZ18"/>
          <cell r="DA18" t="str">
            <v>BOLD</v>
          </cell>
          <cell r="DD18"/>
          <cell r="DE18" t="str">
            <v>BOLD</v>
          </cell>
          <cell r="DH18"/>
          <cell r="DI18" t="str">
            <v>BOLD</v>
          </cell>
          <cell r="DJ18" t="str">
            <v>Number of Trade Names</v>
          </cell>
          <cell r="DK18" t="str">
            <v>HOTEL_NUMBER_OF_TRADE_NAMES</v>
          </cell>
          <cell r="DL18"/>
          <cell r="DM18" t="str">
            <v>BOLD</v>
          </cell>
          <cell r="DN18" t="str">
            <v>Average Closing Price</v>
          </cell>
          <cell r="DO18" t="str">
            <v>AVERAGE_SELLING_PRICE</v>
          </cell>
          <cell r="DP18"/>
          <cell r="DQ18" t="str">
            <v>BOLD</v>
          </cell>
          <cell r="DR18" t="str">
            <v xml:space="preserve">  Outpatient Surgeries % Change</v>
          </cell>
          <cell r="DS18" t="str">
            <v>ARD_OUTPATIENT_SURGERIES_%_CHG</v>
          </cell>
          <cell r="DT18"/>
          <cell r="DU18" t="str">
            <v>NO</v>
          </cell>
          <cell r="DX18"/>
          <cell r="DY18" t="str">
            <v>BOLD</v>
          </cell>
          <cell r="DZ18" t="str">
            <v>Days in Claims Payable</v>
          </cell>
          <cell r="EA18" t="str">
            <v>MGD_CARE_DAYS_IN_CLAIMS_PAYABLE</v>
          </cell>
          <cell r="EB18"/>
          <cell r="EC18" t="str">
            <v>BOLD</v>
          </cell>
          <cell r="ED18" t="str">
            <v>Revenue per Hundredweight Ex-Fuel</v>
          </cell>
          <cell r="EE18" t="str">
            <v>AVG_REV_PER_HNDRDWGT_LESS_FUEL</v>
          </cell>
          <cell r="EF18"/>
          <cell r="EG18" t="str">
            <v>BOLD</v>
          </cell>
          <cell r="EJ18"/>
          <cell r="EK18" t="str">
            <v>BOLD</v>
          </cell>
          <cell r="EL18" t="str">
            <v xml:space="preserve">  Fuel Hedge Benefit</v>
          </cell>
          <cell r="EM18" t="str">
            <v>RAIL_FUEL_HEDGE_BENEFIT</v>
          </cell>
          <cell r="EN18"/>
          <cell r="EO18" t="str">
            <v>NO</v>
          </cell>
          <cell r="EP18" t="str">
            <v>Top Clients Contribution to Revenue</v>
          </cell>
          <cell r="EQ18" t="str">
            <v>TOP_CLIENTS_CONTRIB_TO_REVENUE</v>
          </cell>
          <cell r="ER18"/>
          <cell r="ES18" t="str">
            <v>BOLD</v>
          </cell>
          <cell r="EV18"/>
          <cell r="EW18" t="str">
            <v>BOLD</v>
          </cell>
          <cell r="EX18" t="str">
            <v>NAND Bit Growth, YoY (%)</v>
          </cell>
          <cell r="EY18" t="str">
            <v>ARD_NAND_GB_SOLD_YOY</v>
          </cell>
          <cell r="EZ18"/>
          <cell r="FA18" t="str">
            <v>BOLD</v>
          </cell>
          <cell r="FB18" t="str">
            <v>Phase 2 Drugs</v>
          </cell>
          <cell r="FC18" t="str">
            <v>BIOTECH_PHASE_2</v>
          </cell>
          <cell r="FD18"/>
          <cell r="FE18" t="str">
            <v>BOLD</v>
          </cell>
          <cell r="FF18" t="str">
            <v>Organic Net Additions</v>
          </cell>
          <cell r="FG18" t="str">
            <v>ORGANIC_NET_ADDS</v>
          </cell>
          <cell r="FH18"/>
          <cell r="FI18" t="str">
            <v>BOLD</v>
          </cell>
          <cell r="FJ18" t="str">
            <v>Subscribers</v>
          </cell>
          <cell r="FK18" t="str">
            <v>INTERNET_SUBSCRIBERS</v>
          </cell>
          <cell r="FL18"/>
          <cell r="FM18" t="str">
            <v>BOLD</v>
          </cell>
          <cell r="FP18"/>
          <cell r="FQ18" t="str">
            <v>BOLD</v>
          </cell>
          <cell r="FR18" t="str">
            <v>Number of Crew</v>
          </cell>
          <cell r="FS18" t="str">
            <v>NUMBER_OF_CREW_CRUISE_LINE</v>
          </cell>
          <cell r="FT18"/>
          <cell r="FU18" t="str">
            <v>BOLD</v>
          </cell>
          <cell r="FV18" t="str">
            <v xml:space="preserve">  Asia Pacific</v>
          </cell>
          <cell r="FW18" t="str">
            <v>AUTO_VEHICLES_PRODUCED_ASIA_PAC</v>
          </cell>
          <cell r="FX18"/>
          <cell r="FY18" t="str">
            <v>NO</v>
          </cell>
          <cell r="GB18"/>
          <cell r="GC18" t="str">
            <v>BOLD</v>
          </cell>
          <cell r="GD18" t="str">
            <v>Other Products</v>
          </cell>
          <cell r="GE18" t="str">
            <v>REFINING_OTHER</v>
          </cell>
          <cell r="GF18"/>
          <cell r="GG18" t="str">
            <v>BOLD</v>
          </cell>
          <cell r="GJ18"/>
          <cell r="GK18" t="str">
            <v>BOLD</v>
          </cell>
          <cell r="GN18"/>
          <cell r="GO18" t="str">
            <v>BOLD</v>
          </cell>
          <cell r="GP18" t="str">
            <v>Capital Expenditures</v>
          </cell>
          <cell r="GQ18" t="str">
            <v>CF_CAP_EXPEND_PRPTY_ADD</v>
          </cell>
          <cell r="GR18"/>
          <cell r="GS18" t="str">
            <v>BOLD</v>
          </cell>
          <cell r="GT18" t="str">
            <v xml:space="preserve">  Number of Tables</v>
          </cell>
          <cell r="GU18" t="str">
            <v>ENTERT_TABLES</v>
          </cell>
          <cell r="GV18"/>
          <cell r="GW18" t="str">
            <v>NO</v>
          </cell>
          <cell r="GZ18"/>
          <cell r="HA18" t="str">
            <v>BOLD</v>
          </cell>
          <cell r="HD18"/>
          <cell r="HE18" t="str">
            <v>BOLD</v>
          </cell>
          <cell r="HF18" t="str">
            <v>System Wide Total SF Including Franchise</v>
          </cell>
          <cell r="HG18" t="str">
            <v>SYS_WIDE_TOT_SF_INCLUDING_FRA</v>
          </cell>
          <cell r="HH18"/>
          <cell r="HI18" t="str">
            <v>BOLD</v>
          </cell>
          <cell r="HJ18" t="str">
            <v>Methanol Capacity</v>
          </cell>
          <cell r="HK18" t="str">
            <v>CHEMICALS_METHANOL_CAPACITY</v>
          </cell>
          <cell r="HL18"/>
          <cell r="HM18" t="str">
            <v>BOLD</v>
          </cell>
          <cell r="HP18"/>
          <cell r="HQ18" t="str">
            <v>BOLD</v>
          </cell>
          <cell r="HR18" t="str">
            <v>Paper Packaging Mills</v>
          </cell>
          <cell r="HS18" t="str">
            <v>FORESTRY_PAPER_PACK_MILLS</v>
          </cell>
          <cell r="HT18"/>
          <cell r="HU18" t="str">
            <v>BOLD</v>
          </cell>
          <cell r="HV18" t="str">
            <v>Tier 1 Risk-Based Capital Ratio</v>
          </cell>
          <cell r="HW18" t="str">
            <v>BS_TIER1_CAP_RATIO</v>
          </cell>
          <cell r="HX18"/>
          <cell r="HY18" t="str">
            <v>BOLD</v>
          </cell>
          <cell r="HZ18" t="str">
            <v>Portfolio Credit Quality</v>
          </cell>
          <cell r="IA18" t="str">
            <v>LABEL</v>
          </cell>
          <cell r="IB18"/>
          <cell r="IC18" t="str">
            <v>BOLD</v>
          </cell>
          <cell r="ID18" t="str">
            <v>Unique Visitors</v>
          </cell>
          <cell r="IE18" t="str">
            <v>INTERNET_UNIQUE_VISITORS</v>
          </cell>
          <cell r="IF18"/>
          <cell r="IG18" t="str">
            <v>BOLD</v>
          </cell>
          <cell r="IH18" t="str">
            <v>Basel Capital Ratio</v>
          </cell>
          <cell r="II18" t="str">
            <v>LABEL</v>
          </cell>
          <cell r="IJ18"/>
          <cell r="IK18" t="str">
            <v>BOLD</v>
          </cell>
          <cell r="IL18" t="str">
            <v>Capacity</v>
          </cell>
          <cell r="IM18" t="str">
            <v>BIOFUEL_CPO_CAPACITY</v>
          </cell>
          <cell r="IN18"/>
          <cell r="IO18" t="str">
            <v>BOLD</v>
          </cell>
          <cell r="IP18" t="str">
            <v>Total Electric Revenue</v>
          </cell>
          <cell r="IQ18" t="str">
            <v>TOTAL_ELEC_REV</v>
          </cell>
          <cell r="IR18"/>
          <cell r="IS18" t="str">
            <v>BOLD</v>
          </cell>
          <cell r="IX18" t="str">
            <v>Tier 1 Risk-Based Capital Ratio</v>
          </cell>
          <cell r="IY18" t="str">
            <v>BS_TIER1_CAP_RATIO</v>
          </cell>
          <cell r="IZ18"/>
          <cell r="JA18" t="str">
            <v>BOLD</v>
          </cell>
          <cell r="JB18" t="str">
            <v>Portfolio Credit Quality</v>
          </cell>
          <cell r="JC18" t="str">
            <v>LABEL</v>
          </cell>
          <cell r="JD18"/>
          <cell r="JE18" t="str">
            <v>BOLD</v>
          </cell>
          <cell r="JF18" t="str">
            <v>Inventory Growth To Sales Growth</v>
          </cell>
          <cell r="JG18" t="str">
            <v>INVENTORY_GROWTH_TO_SALES_GROWTH</v>
          </cell>
          <cell r="JH18"/>
          <cell r="JI18" t="str">
            <v>BOLD</v>
          </cell>
          <cell r="JJ18" t="str">
            <v>Sales per Employee</v>
          </cell>
          <cell r="JK18" t="str">
            <v>ACTUAL_SALES_PER_EMPL</v>
          </cell>
          <cell r="JL18"/>
          <cell r="JM18" t="str">
            <v>BOLD</v>
          </cell>
          <cell r="JQ18"/>
          <cell r="JR18" t="str">
            <v>BOLD</v>
          </cell>
        </row>
        <row r="19">
          <cell r="A19">
            <v>18</v>
          </cell>
          <cell r="B19" t="str">
            <v>Steel Scrap Cost</v>
          </cell>
          <cell r="C19" t="str">
            <v>STEEL_SCRAP_COST</v>
          </cell>
          <cell r="D19"/>
          <cell r="E19" t="str">
            <v>BOLD</v>
          </cell>
          <cell r="F19" t="str">
            <v>Card Managed Loan Loss Reserve</v>
          </cell>
          <cell r="G19" t="str">
            <v>CARD_MGD_LOAN_LOSS_RESERVE</v>
          </cell>
          <cell r="H19"/>
          <cell r="I19" t="str">
            <v>BOLD</v>
          </cell>
          <cell r="J19" t="str">
            <v>Copper - Ore Mined (Tons)</v>
          </cell>
          <cell r="K19" t="str">
            <v>MINING_COPPER_ORE_MINED</v>
          </cell>
          <cell r="L19"/>
          <cell r="M19" t="str">
            <v>BOLD</v>
          </cell>
          <cell r="N19" t="str">
            <v>Silver - Ore Mined (Tons)</v>
          </cell>
          <cell r="O19" t="str">
            <v>MINING_SILVER_ORE_MINED</v>
          </cell>
          <cell r="P19"/>
          <cell r="Q19" t="str">
            <v>BOLD</v>
          </cell>
          <cell r="R19" t="str">
            <v>Gold - Ore Mined (Tons)</v>
          </cell>
          <cell r="S19" t="str">
            <v>MINING_GOLD_ORE_MINED</v>
          </cell>
          <cell r="T19"/>
          <cell r="U19" t="str">
            <v>BOLD</v>
          </cell>
          <cell r="V19" t="str">
            <v>Bismuth ($/lb)</v>
          </cell>
          <cell r="W19" t="str">
            <v>MINING_BISMUTH_REALIZED_PX</v>
          </cell>
          <cell r="X19"/>
          <cell r="Y19" t="str">
            <v>BOLD</v>
          </cell>
          <cell r="Z19" t="str">
            <v>Nickel Forecast (Tons)</v>
          </cell>
          <cell r="AA19" t="str">
            <v>MINING_NICKEL_PRODUCTION_PLANNED</v>
          </cell>
          <cell r="AB19"/>
          <cell r="AC19" t="str">
            <v>BOLD</v>
          </cell>
          <cell r="AD19" t="str">
            <v>Bismuth Production (Tons)</v>
          </cell>
          <cell r="AE19" t="str">
            <v>MINING_BISMUTH_PRODUCTION_ACTUAL</v>
          </cell>
          <cell r="AF19"/>
          <cell r="AG19" t="str">
            <v>BOLD</v>
          </cell>
          <cell r="AH19" t="str">
            <v>Bismuth - Ore Volume (Tons)</v>
          </cell>
          <cell r="AI19" t="str">
            <v>MINING_P&amp;P_RSRVS_BISMUTH_VOLUME</v>
          </cell>
          <cell r="AJ19"/>
          <cell r="AK19" t="str">
            <v>BOLD</v>
          </cell>
          <cell r="AL19" t="str">
            <v>Chromium - Ore Volume (Tons)</v>
          </cell>
          <cell r="AM19" t="str">
            <v>MINING_M&amp;I_RES_CHROMIUM_VOLUME</v>
          </cell>
          <cell r="AN19"/>
          <cell r="AO19" t="str">
            <v>BOLD</v>
          </cell>
          <cell r="AP19" t="str">
            <v>Balance Sheet (Policyholders)</v>
          </cell>
          <cell r="AQ19" t="str">
            <v>LABEL</v>
          </cell>
          <cell r="AR19"/>
          <cell r="AS19" t="str">
            <v>BOLD</v>
          </cell>
          <cell r="AT19" t="str">
            <v>Mining - Inf. Res. Contained Silver</v>
          </cell>
          <cell r="AU19" t="str">
            <v>MINING_INFERRED_RES_CONT_SILVER</v>
          </cell>
          <cell r="AV19"/>
          <cell r="AW19" t="str">
            <v>BOLD</v>
          </cell>
          <cell r="AX19" t="str">
            <v xml:space="preserve">  Developed (Net)</v>
          </cell>
          <cell r="AY19" t="str">
            <v>NET_DEVELOPED_ACREAGE</v>
          </cell>
          <cell r="AZ19"/>
          <cell r="BA19" t="str">
            <v>NO</v>
          </cell>
          <cell r="BB19" t="str">
            <v xml:space="preserve">    - Income Tax</v>
          </cell>
          <cell r="BC19" t="str">
            <v>INCOME_TAX_US</v>
          </cell>
          <cell r="BD19"/>
          <cell r="BE19" t="str">
            <v>NO</v>
          </cell>
          <cell r="BF19" t="str">
            <v>Revisions</v>
          </cell>
          <cell r="BG19" t="str">
            <v>CHG_REVISIONS</v>
          </cell>
          <cell r="BH19"/>
          <cell r="BI19" t="str">
            <v>BOLD</v>
          </cell>
          <cell r="BJ19" t="str">
            <v>Ratios</v>
          </cell>
          <cell r="BK19" t="str">
            <v>LABEL</v>
          </cell>
          <cell r="BL19"/>
          <cell r="BM19" t="str">
            <v>BOLD</v>
          </cell>
          <cell r="BN19" t="str">
            <v>Latin America</v>
          </cell>
          <cell r="BO19" t="str">
            <v>LABEL</v>
          </cell>
          <cell r="BP19"/>
          <cell r="BQ19" t="str">
            <v>BOLD</v>
          </cell>
          <cell r="BR19" t="str">
            <v xml:space="preserve">  - Income Tax</v>
          </cell>
          <cell r="BS19" t="str">
            <v>INCOME_TAX_WORLD</v>
          </cell>
          <cell r="BT19"/>
          <cell r="BU19" t="str">
            <v>NO</v>
          </cell>
          <cell r="BV19" t="str">
            <v xml:space="preserve">  + Improved Recovery</v>
          </cell>
          <cell r="BW19" t="str">
            <v>GAS_IMPROV_REC_NAMR</v>
          </cell>
          <cell r="BX19"/>
          <cell r="BY19" t="str">
            <v>NO</v>
          </cell>
          <cell r="BZ19" t="str">
            <v xml:space="preserve">  + Extensions &amp; Discoveries</v>
          </cell>
          <cell r="CA19" t="str">
            <v>OIL_EXTENSIONS_&amp;_DISCS_NA</v>
          </cell>
          <cell r="CB19"/>
          <cell r="CC19" t="str">
            <v>NO</v>
          </cell>
          <cell r="CD19" t="str">
            <v>Reserve Replacement Cost</v>
          </cell>
          <cell r="CE19" t="str">
            <v>RESERVE_REPLACEMENT_COST_BOE</v>
          </cell>
          <cell r="CF19"/>
          <cell r="CG19" t="str">
            <v>BOLD</v>
          </cell>
          <cell r="CH19" t="str">
            <v>Energy-Costs Incurred</v>
          </cell>
          <cell r="CI19" t="str">
            <v>COSTS_INCURRED</v>
          </cell>
          <cell r="CJ19"/>
          <cell r="CK19" t="str">
            <v>BOLD</v>
          </cell>
          <cell r="CL19" t="str">
            <v xml:space="preserve">  Aggregates Price Growth Ratio</v>
          </cell>
          <cell r="CM19" t="str">
            <v>AGGREGATES_PRICE_GROWTH_RATIO</v>
          </cell>
          <cell r="CN19"/>
          <cell r="CO19" t="str">
            <v>NO</v>
          </cell>
          <cell r="CP19" t="str">
            <v>Palladium Production</v>
          </cell>
          <cell r="CQ19" t="str">
            <v>MINING_PALLADIUM_PROD_ACTUAL</v>
          </cell>
          <cell r="CR19"/>
          <cell r="CS19" t="str">
            <v>BOLD</v>
          </cell>
          <cell r="CT19" t="str">
            <v>Percentage of Rebates Retained</v>
          </cell>
          <cell r="CU19" t="str">
            <v>PERCENTAGE_REBATES_RETAINED</v>
          </cell>
          <cell r="CV19"/>
          <cell r="CW19" t="str">
            <v>BOLD</v>
          </cell>
          <cell r="CZ19"/>
          <cell r="DA19" t="str">
            <v>BOLD</v>
          </cell>
          <cell r="DD19"/>
          <cell r="DE19" t="str">
            <v>BOLD</v>
          </cell>
          <cell r="DF19" t="str">
            <v>Depreciation &amp; Amortization / FFO</v>
          </cell>
          <cell r="DG19" t="str">
            <v>DEPR_AND_AMORT_TO_FFO</v>
          </cell>
          <cell r="DH19"/>
          <cell r="DI19" t="str">
            <v>BOLD</v>
          </cell>
          <cell r="DL19"/>
          <cell r="DM19" t="str">
            <v>BOLD</v>
          </cell>
          <cell r="DP19"/>
          <cell r="DQ19" t="str">
            <v>BOLD</v>
          </cell>
          <cell r="DR19" t="str">
            <v xml:space="preserve">  Emergency Room Visits % Change</v>
          </cell>
          <cell r="DS19" t="str">
            <v>ARD_EMERGENCY_ROOM_VISITS_%_CHG</v>
          </cell>
          <cell r="DT19"/>
          <cell r="DU19" t="str">
            <v>NO</v>
          </cell>
          <cell r="DX19"/>
          <cell r="DY19" t="str">
            <v>BOLD</v>
          </cell>
          <cell r="DZ19" t="str">
            <v>Prior Period Reserve Development</v>
          </cell>
          <cell r="EA19" t="str">
            <v>PRIOR_PERIOD_RESERVE_DEVELOPMENT</v>
          </cell>
          <cell r="EB19"/>
          <cell r="EC19" t="str">
            <v>BOLD</v>
          </cell>
          <cell r="ED19" t="str">
            <v>General Rate Increase</v>
          </cell>
          <cell r="EE19" t="str">
            <v>GENERAL_RATE_INCREASE</v>
          </cell>
          <cell r="EF19"/>
          <cell r="EG19" t="str">
            <v>BOLD</v>
          </cell>
          <cell r="EJ19"/>
          <cell r="EK19" t="str">
            <v>BOLD</v>
          </cell>
          <cell r="EL19" t="str">
            <v xml:space="preserve">  On-Time Arrivals</v>
          </cell>
          <cell r="EM19" t="str">
            <v>ON_TIME_ARRIVALS</v>
          </cell>
          <cell r="EN19"/>
          <cell r="EO19" t="str">
            <v>NO</v>
          </cell>
          <cell r="EP19" t="str">
            <v>Top Five Clients Contribution to Revenue</v>
          </cell>
          <cell r="EQ19" t="str">
            <v>TOP_5_CLIENTS_CONTRIB_TO_REV</v>
          </cell>
          <cell r="ER19"/>
          <cell r="ES19" t="str">
            <v>BOLD</v>
          </cell>
          <cell r="ET19" t="str">
            <v>Subscription Revenue</v>
          </cell>
          <cell r="EU19" t="str">
            <v>ARD_SUBSCRIPTION_REV</v>
          </cell>
          <cell r="EV19"/>
          <cell r="EW19" t="str">
            <v>BOLD</v>
          </cell>
          <cell r="EX19" t="str">
            <v>NAND OEM Sales, QoQ Change (%)</v>
          </cell>
          <cell r="EY19" t="str">
            <v>ARD_NAND_OEM_SALES_QOQ</v>
          </cell>
          <cell r="EZ19"/>
          <cell r="FA19" t="str">
            <v>BOLD</v>
          </cell>
          <cell r="FB19" t="str">
            <v>Phase 3 Drugs</v>
          </cell>
          <cell r="FC19" t="str">
            <v>BIOTECH_PHASE_3</v>
          </cell>
          <cell r="FD19"/>
          <cell r="FE19" t="str">
            <v>BOLD</v>
          </cell>
          <cell r="FF19" t="str">
            <v>Net Wireless Additions-Postpaid</v>
          </cell>
          <cell r="FG19" t="str">
            <v>NET_WIRELESS_SUBSCRIBER_ADDS_PPD</v>
          </cell>
          <cell r="FH19"/>
          <cell r="FI19" t="str">
            <v>BOLD</v>
          </cell>
          <cell r="FJ19" t="str">
            <v>Subscriber Additions, Net</v>
          </cell>
          <cell r="FK19" t="str">
            <v>INTERNET_DATA_SUBSCRIBER_ADDS</v>
          </cell>
          <cell r="FL19"/>
          <cell r="FM19" t="str">
            <v>BOLD</v>
          </cell>
          <cell r="FN19" t="str">
            <v>Efficiency Analysis</v>
          </cell>
          <cell r="FO19" t="str">
            <v>LABEL</v>
          </cell>
          <cell r="FP19"/>
          <cell r="FQ19" t="str">
            <v>BOLD</v>
          </cell>
          <cell r="FT19"/>
          <cell r="FU19" t="str">
            <v>BOLD</v>
          </cell>
          <cell r="FV19" t="str">
            <v xml:space="preserve">  Latin America</v>
          </cell>
          <cell r="FW19" t="str">
            <v>AUTO_VEHICLES_PRODUCED_LATAM</v>
          </cell>
          <cell r="FX19"/>
          <cell r="FY19" t="str">
            <v>NO</v>
          </cell>
          <cell r="GB19"/>
          <cell r="GC19" t="str">
            <v>BOLD</v>
          </cell>
          <cell r="GD19" t="str">
            <v>Margin per Barrel</v>
          </cell>
          <cell r="GE19" t="str">
            <v>REFINING_MARGIN_BBL</v>
          </cell>
          <cell r="GF19"/>
          <cell r="GG19" t="str">
            <v>BOLD</v>
          </cell>
          <cell r="GJ19"/>
          <cell r="GK19" t="str">
            <v>BOLD</v>
          </cell>
          <cell r="GL19" t="str">
            <v>Employee Data</v>
          </cell>
          <cell r="GM19" t="str">
            <v>LABEL</v>
          </cell>
          <cell r="GN19"/>
          <cell r="GO19" t="str">
            <v>BOLD</v>
          </cell>
          <cell r="GP19" t="str">
            <v>Capital Expenditure to Sales</v>
          </cell>
          <cell r="GQ19" t="str">
            <v>CAP_EXPEND_TO_SALES</v>
          </cell>
          <cell r="GR19"/>
          <cell r="GS19" t="str">
            <v>BOLD</v>
          </cell>
          <cell r="GT19" t="str">
            <v xml:space="preserve">  Table Drop</v>
          </cell>
          <cell r="GU19" t="str">
            <v>ENTERT_TABLE_DROP</v>
          </cell>
          <cell r="GV19"/>
          <cell r="GW19" t="str">
            <v>NO</v>
          </cell>
          <cell r="GZ19"/>
          <cell r="HA19" t="str">
            <v>BOLD</v>
          </cell>
          <cell r="HB19" t="str">
            <v>Total Alternative Investments</v>
          </cell>
          <cell r="HC19" t="str">
            <v>LABEL</v>
          </cell>
          <cell r="HD19"/>
          <cell r="HE19" t="str">
            <v>BOLD</v>
          </cell>
          <cell r="HH19"/>
          <cell r="HI19" t="str">
            <v>BOLD</v>
          </cell>
          <cell r="HJ19" t="str">
            <v>Methanol Production</v>
          </cell>
          <cell r="HK19" t="str">
            <v>CHEMICALS_METHANOL_PRODUCTION</v>
          </cell>
          <cell r="HL19"/>
          <cell r="HM19" t="str">
            <v>BOLD</v>
          </cell>
          <cell r="HP19"/>
          <cell r="HQ19" t="str">
            <v>BOLD</v>
          </cell>
          <cell r="HR19" t="str">
            <v>Converting Facilities</v>
          </cell>
          <cell r="HS19" t="str">
            <v>FORESTRY_CONVERTING_FACILITIES</v>
          </cell>
          <cell r="HT19"/>
          <cell r="HU19" t="str">
            <v>BOLD</v>
          </cell>
          <cell r="HV19" t="str">
            <v>Total Risk-Based Capital Ratio</v>
          </cell>
          <cell r="HW19" t="str">
            <v>BS_TOT_CAP_TO_RISK_BASE_CAP</v>
          </cell>
          <cell r="HX19"/>
          <cell r="HY19" t="str">
            <v>BOLD</v>
          </cell>
          <cell r="HZ19" t="str">
            <v>US Govts</v>
          </cell>
          <cell r="IA19" t="str">
            <v>BS_QUALITY_RTG_US_GOV_AGCY</v>
          </cell>
          <cell r="IB19"/>
          <cell r="IC19" t="str">
            <v>BOLD</v>
          </cell>
          <cell r="ID19" t="str">
            <v>Mobile Unique Users</v>
          </cell>
          <cell r="IE19" t="str">
            <v>MOBILE_MONTHLY_AVG_UNIQUE_USERS</v>
          </cell>
          <cell r="IF19"/>
          <cell r="IG19" t="str">
            <v>BOLD</v>
          </cell>
          <cell r="IH19" t="str">
            <v>Basel Level Adopted</v>
          </cell>
          <cell r="II19" t="str">
            <v>BS_BASEL_LEVEL_ADOPTED_INDICATOR</v>
          </cell>
          <cell r="IJ19"/>
          <cell r="IK19" t="str">
            <v>BOLD</v>
          </cell>
          <cell r="IL19" t="str">
            <v>CPO Production</v>
          </cell>
          <cell r="IM19" t="str">
            <v>BIOFUEL_CPO_PRODUCTION</v>
          </cell>
          <cell r="IN19"/>
          <cell r="IO19" t="str">
            <v>BOLD</v>
          </cell>
          <cell r="IR19"/>
          <cell r="IS19" t="str">
            <v>BOLD</v>
          </cell>
          <cell r="IX19" t="str">
            <v>Total Risk-Based Capital Ratio</v>
          </cell>
          <cell r="IY19" t="str">
            <v>BS_TOT_CAP_TO_RISK_BASE_CAP</v>
          </cell>
          <cell r="IZ19"/>
          <cell r="JA19" t="str">
            <v>BOLD</v>
          </cell>
          <cell r="JB19" t="str">
            <v>US Govts</v>
          </cell>
          <cell r="JC19" t="str">
            <v>BS_QUALITY_RTG_US_GOV_AGCY</v>
          </cell>
          <cell r="JD19"/>
          <cell r="JE19" t="str">
            <v>BOLD</v>
          </cell>
          <cell r="JF19" t="str">
            <v>Inv. turnover</v>
          </cell>
          <cell r="JG19" t="str">
            <v>INVENT_TURN</v>
          </cell>
          <cell r="JH19"/>
          <cell r="JI19" t="str">
            <v>BOLD</v>
          </cell>
          <cell r="JJ19" t="str">
            <v>Number of Employees</v>
          </cell>
          <cell r="JK19" t="str">
            <v>NUM_OF_EMPLOYEES</v>
          </cell>
          <cell r="JL19"/>
          <cell r="JM19" t="str">
            <v>BOLD</v>
          </cell>
          <cell r="JO19" t="str">
            <v>Number of Active Clients</v>
          </cell>
          <cell r="JP19" t="str">
            <v>NUMBER_OF_ACTIVE_CLIENTS</v>
          </cell>
          <cell r="JQ19"/>
          <cell r="JR19" t="str">
            <v>BOLD</v>
          </cell>
        </row>
        <row r="20">
          <cell r="A20">
            <v>19</v>
          </cell>
          <cell r="B20" t="str">
            <v>Coke Utilized</v>
          </cell>
          <cell r="C20" t="str">
            <v>STEEL_COKE_UTILIZED</v>
          </cell>
          <cell r="D20"/>
          <cell r="E20" t="str">
            <v>BOLD</v>
          </cell>
          <cell r="F20" t="str">
            <v>Card Managed Loan Loss Provision</v>
          </cell>
          <cell r="G20" t="str">
            <v>CARD_MANAGED_LOAN_LOSS_PROV</v>
          </cell>
          <cell r="H20"/>
          <cell r="I20" t="str">
            <v>BOLD</v>
          </cell>
          <cell r="J20" t="str">
            <v>Copper - Grade (%)</v>
          </cell>
          <cell r="K20" t="str">
            <v>MINING_COPPER_PRODUCTION_GRADE</v>
          </cell>
          <cell r="L20"/>
          <cell r="M20" t="str">
            <v>BOLD</v>
          </cell>
          <cell r="N20" t="str">
            <v>Silver - Grade (oz/Ton)</v>
          </cell>
          <cell r="O20" t="str">
            <v>MINING_SILVER_PRODUCTION_GRADE</v>
          </cell>
          <cell r="P20"/>
          <cell r="Q20" t="str">
            <v>BOLD</v>
          </cell>
          <cell r="R20" t="str">
            <v>Gold - Grade (oz/Ton)</v>
          </cell>
          <cell r="S20" t="str">
            <v>MINING_GOLD_PRODUCTION_GRADE</v>
          </cell>
          <cell r="T20"/>
          <cell r="U20" t="str">
            <v>BOLD</v>
          </cell>
          <cell r="V20" t="str">
            <v>Chromium ($/lb)</v>
          </cell>
          <cell r="W20" t="str">
            <v>MINING_CHROMIUM_REALIZED_PX</v>
          </cell>
          <cell r="X20"/>
          <cell r="Y20" t="str">
            <v>BOLD</v>
          </cell>
          <cell r="Z20" t="str">
            <v>Tin Forecast (Tons)</v>
          </cell>
          <cell r="AA20" t="str">
            <v>MINING_TIN_PRODUCTION_PLANNED</v>
          </cell>
          <cell r="AB20"/>
          <cell r="AC20" t="str">
            <v>BOLD</v>
          </cell>
          <cell r="AD20" t="str">
            <v>Chromium Production (Tons)</v>
          </cell>
          <cell r="AE20" t="str">
            <v>MINING_CHROMIUM_PROD_ACTUAL</v>
          </cell>
          <cell r="AF20"/>
          <cell r="AG20" t="str">
            <v>BOLD</v>
          </cell>
          <cell r="AH20" t="str">
            <v>Bismuth - Grade (%)</v>
          </cell>
          <cell r="AI20" t="str">
            <v>MINING_P&amp;P_RSRVS_BISMUTH_GRADE</v>
          </cell>
          <cell r="AJ20"/>
          <cell r="AK20" t="str">
            <v>BOLD</v>
          </cell>
          <cell r="AL20" t="str">
            <v>Chromium - Grade (%)</v>
          </cell>
          <cell r="AM20" t="str">
            <v>MINING_M&amp;I_RES_CHROMIUM_GRADE</v>
          </cell>
          <cell r="AN20"/>
          <cell r="AO20" t="str">
            <v>BOLD</v>
          </cell>
          <cell r="AP20" t="str">
            <v>Cash &amp; Near Cash Items Policyholders</v>
          </cell>
          <cell r="AQ20" t="str">
            <v>BS_TAKAFUL_CASH_AND_NEAR_CASH</v>
          </cell>
          <cell r="AR20"/>
          <cell r="AS20" t="str">
            <v>BOLD</v>
          </cell>
          <cell r="AT20" t="str">
            <v>Inferred Resources - Silver Ore Volume</v>
          </cell>
          <cell r="AU20" t="str">
            <v>MINING_INFERRED_RES_SILVER_VOL</v>
          </cell>
          <cell r="AV20"/>
          <cell r="AW20" t="str">
            <v>BOLD</v>
          </cell>
          <cell r="AX20" t="str">
            <v>Undeveloped (Gross)</v>
          </cell>
          <cell r="AY20" t="str">
            <v>GROSS_UNDEVELOPED_ACREAGE</v>
          </cell>
          <cell r="AZ20"/>
          <cell r="BA20" t="str">
            <v>BOLD</v>
          </cell>
          <cell r="BB20" t="str">
            <v xml:space="preserve">    + Other Income</v>
          </cell>
          <cell r="BC20" t="str">
            <v>OTHER_E&amp;P_INCOME_US</v>
          </cell>
          <cell r="BD20"/>
          <cell r="BE20" t="str">
            <v>NO</v>
          </cell>
          <cell r="BF20" t="str">
            <v>Purchases Reserves</v>
          </cell>
          <cell r="BG20" t="str">
            <v>CHG_PURCHASES_RESV</v>
          </cell>
          <cell r="BH20"/>
          <cell r="BI20" t="str">
            <v>BOLD</v>
          </cell>
          <cell r="BJ20" t="str">
            <v>Acquisition Cost - BOE</v>
          </cell>
          <cell r="BK20" t="str">
            <v>ACQUISITION_COST_BOE</v>
          </cell>
          <cell r="BL20"/>
          <cell r="BM20" t="str">
            <v>BOLD</v>
          </cell>
          <cell r="BN20" t="str">
            <v xml:space="preserve">  Oil (MBBL/Day)</v>
          </cell>
          <cell r="BO20" t="str">
            <v>OIL_PRODUCTION_LAMR_MBBL_DY</v>
          </cell>
          <cell r="BP20"/>
          <cell r="BQ20" t="str">
            <v>NO</v>
          </cell>
          <cell r="BR20" t="str">
            <v xml:space="preserve">  + Other Income</v>
          </cell>
          <cell r="BS20" t="str">
            <v>OTHER_E&amp;P_INCOME_WORLD</v>
          </cell>
          <cell r="BT20"/>
          <cell r="BU20" t="str">
            <v>NO</v>
          </cell>
          <cell r="BV20" t="str">
            <v xml:space="preserve">  + Extensions &amp; Discoveries</v>
          </cell>
          <cell r="BW20" t="str">
            <v>GAS_EXTENS_DISCOV_NAMR</v>
          </cell>
          <cell r="BX20"/>
          <cell r="BY20" t="str">
            <v>NO</v>
          </cell>
          <cell r="BZ20" t="str">
            <v xml:space="preserve">  + Purchases</v>
          </cell>
          <cell r="CA20" t="str">
            <v>OIL_PURCHASES_NORTH_AMERICA</v>
          </cell>
          <cell r="CB20"/>
          <cell r="CC20" t="str">
            <v>NO</v>
          </cell>
          <cell r="CD20" t="str">
            <v>Reserves Growth</v>
          </cell>
          <cell r="CE20" t="str">
            <v>BOE_RESERVES_GROWTH</v>
          </cell>
          <cell r="CF20"/>
          <cell r="CG20" t="str">
            <v>BOLD</v>
          </cell>
          <cell r="CJ20"/>
          <cell r="CK20" t="str">
            <v>BOLD</v>
          </cell>
          <cell r="CL20" t="str">
            <v>Number of Aggregates Quarries</v>
          </cell>
          <cell r="CM20" t="str">
            <v>NUMBER_OF_AGGREGATES_QUARRIES</v>
          </cell>
          <cell r="CN20"/>
          <cell r="CO20" t="str">
            <v>BOLD</v>
          </cell>
          <cell r="CP20" t="str">
            <v>Coal Production</v>
          </cell>
          <cell r="CQ20" t="str">
            <v>MINING_COAL_PRODUCTION_ACTUAL</v>
          </cell>
          <cell r="CR20"/>
          <cell r="CS20" t="str">
            <v>BOLD</v>
          </cell>
          <cell r="CV20"/>
          <cell r="CW20" t="str">
            <v>BOLD</v>
          </cell>
          <cell r="CZ20"/>
          <cell r="DA20" t="str">
            <v>BOLD</v>
          </cell>
          <cell r="DD20"/>
          <cell r="DE20" t="str">
            <v>BOLD</v>
          </cell>
          <cell r="DH20"/>
          <cell r="DI20" t="str">
            <v>BOLD</v>
          </cell>
          <cell r="DJ20" t="str">
            <v>Casinos</v>
          </cell>
          <cell r="DK20" t="str">
            <v>LABEL</v>
          </cell>
          <cell r="DL20"/>
          <cell r="DM20" t="str">
            <v>BOLD</v>
          </cell>
          <cell r="DN20" t="str">
            <v>Land</v>
          </cell>
          <cell r="DO20" t="str">
            <v>LABEL</v>
          </cell>
          <cell r="DP20"/>
          <cell r="DQ20" t="str">
            <v>BOLD</v>
          </cell>
          <cell r="DT20"/>
          <cell r="DU20" t="str">
            <v>BOLD</v>
          </cell>
          <cell r="DX20"/>
          <cell r="DY20" t="str">
            <v>BOLD</v>
          </cell>
          <cell r="DZ20" t="str">
            <v>Medical Care Ratio</v>
          </cell>
          <cell r="EA20" t="str">
            <v>MGD_CARE_MEDICAL_CARE_RATIO</v>
          </cell>
          <cell r="EB20"/>
          <cell r="EC20" t="str">
            <v>BOLD</v>
          </cell>
          <cell r="EF20"/>
          <cell r="EG20" t="str">
            <v>BOLD</v>
          </cell>
          <cell r="EJ20"/>
          <cell r="EK20" t="str">
            <v>BOLD</v>
          </cell>
          <cell r="EL20" t="str">
            <v xml:space="preserve">  On-Time Originations</v>
          </cell>
          <cell r="EM20" t="str">
            <v>ON_TIME_ORIGINATIONS</v>
          </cell>
          <cell r="EN20"/>
          <cell r="EO20" t="str">
            <v>NO</v>
          </cell>
          <cell r="EP20" t="str">
            <v>Top Ten Clients Contribution to Revenue</v>
          </cell>
          <cell r="EQ20" t="str">
            <v>TOP_10_CLIENTS_CONTRIB_TO_REV</v>
          </cell>
          <cell r="ER20"/>
          <cell r="ES20" t="str">
            <v>BOLD</v>
          </cell>
          <cell r="ET20" t="str">
            <v>Deferred Revenue</v>
          </cell>
          <cell r="EU20" t="str">
            <v>DEFERRED_REV</v>
          </cell>
          <cell r="EV20"/>
          <cell r="EW20" t="str">
            <v>BOLD</v>
          </cell>
          <cell r="EX20" t="str">
            <v>NAND OEM Gb Sales, QoQ Change (%)</v>
          </cell>
          <cell r="EY20" t="str">
            <v>ARD_NAND_OEM_GB_SALES_QOQ</v>
          </cell>
          <cell r="EZ20"/>
          <cell r="FA20" t="str">
            <v>BOLD</v>
          </cell>
          <cell r="FB20" t="str">
            <v>Biotech Total Patents</v>
          </cell>
          <cell r="FC20" t="str">
            <v>BIOTECH_TOTAL_PATENTS</v>
          </cell>
          <cell r="FD20"/>
          <cell r="FE20" t="str">
            <v>BOLD</v>
          </cell>
          <cell r="FF20" t="str">
            <v>Net Wireless Additions-Prepaid</v>
          </cell>
          <cell r="FG20" t="str">
            <v>NET_WIRELESS_SUBSCR_ADDS_PREPD</v>
          </cell>
          <cell r="FH20"/>
          <cell r="FI20" t="str">
            <v>BOLD</v>
          </cell>
          <cell r="FJ20" t="str">
            <v>High Speed Data ARPU $</v>
          </cell>
          <cell r="FK20" t="str">
            <v>INTERNET_DATA_ARPU</v>
          </cell>
          <cell r="FL20"/>
          <cell r="FM20" t="str">
            <v>BOLD</v>
          </cell>
          <cell r="FN20" t="str">
            <v>ASMs per Gallon/ASKs per Litre</v>
          </cell>
          <cell r="FO20" t="str">
            <v>ASM_PER_GALLON_LITER</v>
          </cell>
          <cell r="FP20"/>
          <cell r="FQ20" t="str">
            <v>BOLD</v>
          </cell>
          <cell r="FT20"/>
          <cell r="FU20" t="str">
            <v>BOLD</v>
          </cell>
          <cell r="FV20" t="str">
            <v xml:space="preserve">  Africa/Middle East</v>
          </cell>
          <cell r="FW20" t="str">
            <v>AUTO_VEHICLES_PRODUCED_AME</v>
          </cell>
          <cell r="FX20"/>
          <cell r="FY20" t="str">
            <v>NO</v>
          </cell>
          <cell r="GB20"/>
          <cell r="GC20" t="str">
            <v>BOLD</v>
          </cell>
          <cell r="GF20"/>
          <cell r="GG20" t="str">
            <v>BOLD</v>
          </cell>
          <cell r="GJ20"/>
          <cell r="GK20" t="str">
            <v>BOLD</v>
          </cell>
          <cell r="GL20" t="str">
            <v># OF EMPLOYEES</v>
          </cell>
          <cell r="GM20" t="str">
            <v>NUM_OF_EMPLOYEES</v>
          </cell>
          <cell r="GN20"/>
          <cell r="GO20" t="str">
            <v>BOLD</v>
          </cell>
          <cell r="GP20" t="str">
            <v>Capital Expenditure to Depreciation Expense</v>
          </cell>
          <cell r="GQ20" t="str">
            <v>CAPEX_TO_DEPR_EXPN_RATIO</v>
          </cell>
          <cell r="GR20"/>
          <cell r="GS20" t="str">
            <v>BOLD</v>
          </cell>
          <cell r="GT20" t="str">
            <v xml:space="preserve">  Table Win $</v>
          </cell>
          <cell r="GU20" t="str">
            <v>ENTERT_TABLE_WINNINGS</v>
          </cell>
          <cell r="GV20"/>
          <cell r="GW20" t="str">
            <v>NO</v>
          </cell>
          <cell r="GZ20"/>
          <cell r="HA20" t="str">
            <v>BOLD</v>
          </cell>
          <cell r="HB20" t="str">
            <v>Private Equity Investments</v>
          </cell>
          <cell r="HC20" t="str">
            <v>ASSET_ALLOC_PRIVATE_EQY_INVEST</v>
          </cell>
          <cell r="HD20"/>
          <cell r="HE20" t="str">
            <v>BOLD</v>
          </cell>
          <cell r="HF20" t="str">
            <v>Cash Flow</v>
          </cell>
          <cell r="HG20" t="str">
            <v>LABEL</v>
          </cell>
          <cell r="HH20"/>
          <cell r="HI20" t="str">
            <v>BOLD</v>
          </cell>
          <cell r="HJ20" t="str">
            <v>Methanol Sold</v>
          </cell>
          <cell r="HK20" t="str">
            <v>CHEMICALS_METHANOL_SOLD</v>
          </cell>
          <cell r="HL20"/>
          <cell r="HM20" t="str">
            <v>BOLD</v>
          </cell>
          <cell r="HP20"/>
          <cell r="HQ20" t="str">
            <v>BOLD</v>
          </cell>
          <cell r="HR20" t="str">
            <v>Inhouse Energy %</v>
          </cell>
          <cell r="HS20" t="str">
            <v>FORESTRY_INHOUSE_ENERGY_%</v>
          </cell>
          <cell r="HT20"/>
          <cell r="HU20" t="str">
            <v>BOLD</v>
          </cell>
          <cell r="HV20" t="str">
            <v>Liquidity Coverage Ratio</v>
          </cell>
          <cell r="HW20" t="str">
            <v>ARDR_LIQUIDITY_COVERAGE_RATIO</v>
          </cell>
          <cell r="HX20"/>
          <cell r="HY20" t="str">
            <v>BOLD</v>
          </cell>
          <cell r="HZ20" t="str">
            <v>AAA</v>
          </cell>
          <cell r="IA20" t="str">
            <v>BS_QUALITY_RTG_AAA</v>
          </cell>
          <cell r="IB20"/>
          <cell r="IC20" t="str">
            <v>BOLD</v>
          </cell>
          <cell r="ID20" t="str">
            <v>Monthly Active Users</v>
          </cell>
          <cell r="IE20" t="str">
            <v>MONTHLY_ACTIVE_USERS</v>
          </cell>
          <cell r="IF20"/>
          <cell r="IG20" t="str">
            <v>BOLD</v>
          </cell>
          <cell r="IH20" t="str">
            <v>Tier 1 Common Equity Ratio</v>
          </cell>
          <cell r="II20" t="str">
            <v>BS_TIER1_COM_EQUITY_RATIO</v>
          </cell>
          <cell r="IJ20"/>
          <cell r="IK20" t="str">
            <v>BOLD</v>
          </cell>
          <cell r="IL20" t="str">
            <v>PKO Production</v>
          </cell>
          <cell r="IM20" t="str">
            <v>BIOFUEL_PALM_KERNEL_PRODUCTION</v>
          </cell>
          <cell r="IN20"/>
          <cell r="IO20" t="str">
            <v>BOLD</v>
          </cell>
          <cell r="IP20" t="str">
            <v>Electric Customers</v>
          </cell>
          <cell r="IQ20" t="str">
            <v>LABEL</v>
          </cell>
          <cell r="IR20"/>
          <cell r="IS20" t="str">
            <v>BOLD</v>
          </cell>
          <cell r="IX20" t="str">
            <v>Liquidity Coverage Ratio</v>
          </cell>
          <cell r="IY20" t="str">
            <v>ARDR_LIQUIDITY_COVERAGE_RATIO</v>
          </cell>
          <cell r="IZ20"/>
          <cell r="JA20" t="str">
            <v>BOLD</v>
          </cell>
          <cell r="JB20" t="str">
            <v>AAA</v>
          </cell>
          <cell r="JC20" t="str">
            <v>BS_QUALITY_RTG_AAA</v>
          </cell>
          <cell r="JD20"/>
          <cell r="JE20" t="str">
            <v>BOLD</v>
          </cell>
          <cell r="JF20" t="str">
            <v>T12 Inv turn-days</v>
          </cell>
          <cell r="JG20" t="str">
            <v>INVENT_DAYS</v>
          </cell>
          <cell r="JH20"/>
          <cell r="JI20" t="str">
            <v>BOLD</v>
          </cell>
          <cell r="JL20"/>
          <cell r="JM20" t="str">
            <v>BOLD</v>
          </cell>
          <cell r="JO20" t="str">
            <v>Number of Clients Added</v>
          </cell>
          <cell r="JP20" t="str">
            <v>NUMBER_OF_CLIENTS_ADDED</v>
          </cell>
          <cell r="JQ20"/>
          <cell r="JR20" t="str">
            <v>BOLD</v>
          </cell>
        </row>
        <row r="21">
          <cell r="A21">
            <v>20</v>
          </cell>
          <cell r="B21" t="str">
            <v>Coal Utilized</v>
          </cell>
          <cell r="C21" t="str">
            <v>STEEL_COAL_UTILIZED</v>
          </cell>
          <cell r="D21"/>
          <cell r="E21" t="str">
            <v>BOLD</v>
          </cell>
          <cell r="F21" t="str">
            <v>Card Net Charge-Offs - Managed Basis</v>
          </cell>
          <cell r="G21" t="str">
            <v>CARD_NET_CHGOFFS_MGD_BASIS</v>
          </cell>
          <cell r="H21"/>
          <cell r="I21" t="str">
            <v>BOLD</v>
          </cell>
          <cell r="J21" t="str">
            <v>Copper - Recovery (%)</v>
          </cell>
          <cell r="K21" t="str">
            <v>MINING_COPPER_PROD_RECOV_PCT</v>
          </cell>
          <cell r="L21"/>
          <cell r="M21" t="str">
            <v>BOLD</v>
          </cell>
          <cell r="N21" t="str">
            <v>Silver - Recovery (%)</v>
          </cell>
          <cell r="O21" t="str">
            <v>MINING_SILVER_PROD_RECOV_PCT</v>
          </cell>
          <cell r="P21"/>
          <cell r="Q21" t="str">
            <v>BOLD</v>
          </cell>
          <cell r="R21" t="str">
            <v>Gold - Recovery (%)</v>
          </cell>
          <cell r="S21" t="str">
            <v>MINING_GOLD_PRODUCTION_RECOV_PCT</v>
          </cell>
          <cell r="T21"/>
          <cell r="U21" t="str">
            <v>BOLD</v>
          </cell>
          <cell r="V21" t="str">
            <v>Coal ($/Ton)</v>
          </cell>
          <cell r="W21" t="str">
            <v>MINING_COAL_REALIZED_PX</v>
          </cell>
          <cell r="X21"/>
          <cell r="Y21" t="str">
            <v>BOLD</v>
          </cell>
          <cell r="Z21" t="str">
            <v>Uranium Forecast (Tons)</v>
          </cell>
          <cell r="AA21" t="str">
            <v>MINING_URANIUM_PROD_PLANNED</v>
          </cell>
          <cell r="AB21"/>
          <cell r="AC21" t="str">
            <v>BOLD</v>
          </cell>
          <cell r="AD21" t="str">
            <v>Coal Production (Tons)</v>
          </cell>
          <cell r="AE21" t="str">
            <v>MINING_COAL_PRODUCTION_ACTUAL</v>
          </cell>
          <cell r="AF21"/>
          <cell r="AG21" t="str">
            <v>BOLD</v>
          </cell>
          <cell r="AH21" t="str">
            <v>Contained Bismuth (Tons)</v>
          </cell>
          <cell r="AI21" t="str">
            <v>MINING_P&amp;P_RSRVS_CONTAIN_BISMUTH</v>
          </cell>
          <cell r="AJ21"/>
          <cell r="AK21" t="str">
            <v>BOLD</v>
          </cell>
          <cell r="AL21" t="str">
            <v>Contained Chromium (Tons)</v>
          </cell>
          <cell r="AM21" t="str">
            <v>MINING_M&amp;I_RES_CONTAIN_CHROMIUM</v>
          </cell>
          <cell r="AN21"/>
          <cell r="AO21" t="str">
            <v>BOLD</v>
          </cell>
          <cell r="AP21" t="str">
            <v>Net Takaful Receivables Policyholders</v>
          </cell>
          <cell r="AQ21" t="str">
            <v>BS_TAKAFUL_NET_RECEIVABLES</v>
          </cell>
          <cell r="AR21"/>
          <cell r="AS21" t="str">
            <v>BOLD</v>
          </cell>
          <cell r="AT21" t="str">
            <v>Inferred Resources - Silver Grade (oz/t)</v>
          </cell>
          <cell r="AU21" t="str">
            <v>MINING_INFERRED_RES_SILVER_GRADE</v>
          </cell>
          <cell r="AV21"/>
          <cell r="AW21" t="str">
            <v>BOLD</v>
          </cell>
          <cell r="AX21" t="str">
            <v xml:space="preserve">  Undeveloped (Net)</v>
          </cell>
          <cell r="AY21" t="str">
            <v>NET_UNDEVELOPED_ACREAGE</v>
          </cell>
          <cell r="AZ21"/>
          <cell r="BA21" t="str">
            <v>NO</v>
          </cell>
          <cell r="BB21" t="str">
            <v xml:space="preserve">    Results of Operations</v>
          </cell>
          <cell r="BC21" t="str">
            <v>RESULTS_OPERATIONS_US</v>
          </cell>
          <cell r="BD21"/>
          <cell r="BE21" t="str">
            <v>NO</v>
          </cell>
          <cell r="BF21" t="str">
            <v>Sales Reserves</v>
          </cell>
          <cell r="BG21" t="str">
            <v>CHG_SALES_RESV</v>
          </cell>
          <cell r="BH21"/>
          <cell r="BI21" t="str">
            <v>BOLD</v>
          </cell>
          <cell r="BJ21" t="str">
            <v>Energy-F&amp;D Cost - BOE</v>
          </cell>
          <cell r="BK21" t="str">
            <v>F&amp;D_COST_BOE</v>
          </cell>
          <cell r="BL21"/>
          <cell r="BM21" t="str">
            <v>BOLD</v>
          </cell>
          <cell r="BN21" t="str">
            <v xml:space="preserve">  Gas (MMCF/Day)</v>
          </cell>
          <cell r="BO21" t="str">
            <v>GAS_PRODUCTION_LAMR_MMCF_DY</v>
          </cell>
          <cell r="BP21"/>
          <cell r="BQ21" t="str">
            <v>NO</v>
          </cell>
          <cell r="BR21" t="str">
            <v>Results of Operations</v>
          </cell>
          <cell r="BS21" t="str">
            <v>RESULTS_OPERATIONS_WORLD</v>
          </cell>
          <cell r="BT21"/>
          <cell r="BU21" t="str">
            <v>BOLD</v>
          </cell>
          <cell r="BV21" t="str">
            <v xml:space="preserve">  + Purchases</v>
          </cell>
          <cell r="BW21" t="str">
            <v>GAS_PURCHASES_NAMR</v>
          </cell>
          <cell r="BX21"/>
          <cell r="BY21" t="str">
            <v>NO</v>
          </cell>
          <cell r="BZ21" t="str">
            <v xml:space="preserve">  + Sales</v>
          </cell>
          <cell r="CA21" t="str">
            <v>OIL_SALES_NORTH_AMERICA</v>
          </cell>
          <cell r="CB21"/>
          <cell r="CC21" t="str">
            <v>NO</v>
          </cell>
          <cell r="CF21"/>
          <cell r="CG21" t="str">
            <v>BOLD</v>
          </cell>
          <cell r="CH21" t="str">
            <v>Proved Reserves (MMBOE)</v>
          </cell>
          <cell r="CI21" t="str">
            <v>LABEL</v>
          </cell>
          <cell r="CJ21"/>
          <cell r="CK21" t="str">
            <v>BOLD</v>
          </cell>
          <cell r="CL21" t="str">
            <v>Aggregate Reserves</v>
          </cell>
          <cell r="CM21" t="str">
            <v>AGGREGATE_RESERVES</v>
          </cell>
          <cell r="CN21"/>
          <cell r="CO21" t="str">
            <v>BOLD</v>
          </cell>
          <cell r="CR21"/>
          <cell r="CS21" t="str">
            <v>BOLD</v>
          </cell>
          <cell r="CT21" t="str">
            <v>Adjusted EBITDA</v>
          </cell>
          <cell r="CU21" t="str">
            <v>LABEL</v>
          </cell>
          <cell r="CV21"/>
          <cell r="CW21" t="str">
            <v>BOLD</v>
          </cell>
          <cell r="CZ21"/>
          <cell r="DA21" t="str">
            <v>BOLD</v>
          </cell>
          <cell r="DD21"/>
          <cell r="DE21" t="str">
            <v>BOLD</v>
          </cell>
          <cell r="DH21"/>
          <cell r="DI21" t="str">
            <v>BOLD</v>
          </cell>
          <cell r="DJ21" t="str">
            <v>Gross Revenue</v>
          </cell>
          <cell r="DK21" t="str">
            <v>REVENUE_INCLUDING_PROMOTIONS</v>
          </cell>
          <cell r="DL21"/>
          <cell r="DM21" t="str">
            <v>BOLD</v>
          </cell>
          <cell r="DN21" t="str">
            <v># of Selling Communities</v>
          </cell>
          <cell r="DO21" t="str">
            <v>NUMBER_OF_SELLING_COMMUNITIES</v>
          </cell>
          <cell r="DP21"/>
          <cell r="DQ21" t="str">
            <v>BOLD</v>
          </cell>
          <cell r="DR21" t="str">
            <v>Same Hospital Stats</v>
          </cell>
          <cell r="DS21" t="str">
            <v>LABEL</v>
          </cell>
          <cell r="DT21"/>
          <cell r="DU21" t="str">
            <v>BOLD</v>
          </cell>
          <cell r="DX21"/>
          <cell r="DY21" t="str">
            <v>BOLD</v>
          </cell>
          <cell r="DZ21" t="str">
            <v>SG&amp;A Ratio</v>
          </cell>
          <cell r="EA21" t="str">
            <v>MGD_CARE_SG&amp;A_RATIO</v>
          </cell>
          <cell r="EB21"/>
          <cell r="EC21" t="str">
            <v>BOLD</v>
          </cell>
          <cell r="ED21" t="str">
            <v>LTL Volume Analysis</v>
          </cell>
          <cell r="EE21" t="str">
            <v>LABEL</v>
          </cell>
          <cell r="EF21"/>
          <cell r="EG21" t="str">
            <v>BOLD</v>
          </cell>
          <cell r="EJ21"/>
          <cell r="EK21" t="str">
            <v>BOLD</v>
          </cell>
          <cell r="EL21" t="str">
            <v xml:space="preserve">  Average System Dwell Time</v>
          </cell>
          <cell r="EM21" t="str">
            <v>AVG_SYSTEM_DWELL_TIME</v>
          </cell>
          <cell r="EN21"/>
          <cell r="EO21" t="str">
            <v>NO</v>
          </cell>
          <cell r="ER21"/>
          <cell r="ES21" t="str">
            <v>BOLD</v>
          </cell>
          <cell r="EV21"/>
          <cell r="EW21" t="str">
            <v>BOLD</v>
          </cell>
          <cell r="EX21" t="str">
            <v>% Change in NAND Revenue, YoY</v>
          </cell>
          <cell r="EY21" t="str">
            <v>ARD_CHG_PCT_NAND_REV_YOY</v>
          </cell>
          <cell r="EZ21"/>
          <cell r="FA21" t="str">
            <v>BOLD</v>
          </cell>
          <cell r="FB21" t="str">
            <v>Biotech Patents Pending</v>
          </cell>
          <cell r="FC21" t="str">
            <v>BIOTECH_PATENTS_PENDING</v>
          </cell>
          <cell r="FD21"/>
          <cell r="FE21" t="str">
            <v>BOLD</v>
          </cell>
          <cell r="FF21" t="str">
            <v>Gross Wireless Subscriber Additions</v>
          </cell>
          <cell r="FG21" t="str">
            <v>GROSS_WIRELESS_SUBSCRIBER_ADDS</v>
          </cell>
          <cell r="FH21"/>
          <cell r="FI21" t="str">
            <v>BOLD</v>
          </cell>
          <cell r="FJ21" t="str">
            <v>Homes Passed</v>
          </cell>
          <cell r="FK21" t="str">
            <v>INTERNET_ACCESS_HOMES_PASSED</v>
          </cell>
          <cell r="FL21"/>
          <cell r="FM21" t="str">
            <v>BOLD</v>
          </cell>
          <cell r="FN21" t="str">
            <v>Gallons/Liters per 100 RPM/RPK</v>
          </cell>
          <cell r="FO21" t="str">
            <v>GALLONS_LITERS_PER_100_RPM</v>
          </cell>
          <cell r="FP21"/>
          <cell r="FQ21" t="str">
            <v>BOLD</v>
          </cell>
          <cell r="FT21"/>
          <cell r="FU21" t="str">
            <v>BOLD</v>
          </cell>
          <cell r="FV21" t="str">
            <v xml:space="preserve">  Worldwide</v>
          </cell>
          <cell r="FW21" t="str">
            <v>AUTO_VEHICLES_PRODUCED_WW</v>
          </cell>
          <cell r="FX21"/>
          <cell r="FY21" t="str">
            <v>NO</v>
          </cell>
          <cell r="GB21"/>
          <cell r="GC21" t="str">
            <v>BOLD</v>
          </cell>
          <cell r="GD21" t="str">
            <v>Number of Refineries</v>
          </cell>
          <cell r="GE21" t="str">
            <v>REFINING_NUMBER_OF_REFINERIES</v>
          </cell>
          <cell r="GF21"/>
          <cell r="GG21" t="str">
            <v>BOLD</v>
          </cell>
          <cell r="GJ21"/>
          <cell r="GK21" t="str">
            <v>BOLD</v>
          </cell>
          <cell r="GL21" t="str">
            <v>Employee Yr change %</v>
          </cell>
          <cell r="GM21" t="str">
            <v>EMPL_GROWTH</v>
          </cell>
          <cell r="GN21"/>
          <cell r="GO21" t="str">
            <v>BOLD</v>
          </cell>
          <cell r="GP21" t="str">
            <v>Free Cash Flow Margin</v>
          </cell>
          <cell r="GQ21" t="str">
            <v>FREE_CASH_FLOW_MARGIN</v>
          </cell>
          <cell r="GR21"/>
          <cell r="GS21" t="str">
            <v>BOLD</v>
          </cell>
          <cell r="GT21" t="str">
            <v xml:space="preserve">  Table Win %</v>
          </cell>
          <cell r="GU21" t="str">
            <v>ENTERT_TABLE_WIN_%</v>
          </cell>
          <cell r="GV21"/>
          <cell r="GW21" t="str">
            <v>NO</v>
          </cell>
          <cell r="GZ21"/>
          <cell r="HA21" t="str">
            <v>BOLD</v>
          </cell>
          <cell r="HB21" t="str">
            <v>Hedge Fund Investments</v>
          </cell>
          <cell r="HC21" t="str">
            <v>ASSET_ALLOC_HEDGE_FUND_INVEST</v>
          </cell>
          <cell r="HD21"/>
          <cell r="HE21" t="str">
            <v>BOLD</v>
          </cell>
          <cell r="HF21" t="str">
            <v>Working Capital</v>
          </cell>
          <cell r="HG21" t="str">
            <v>WORKING_CAPITAL</v>
          </cell>
          <cell r="HH21"/>
          <cell r="HI21" t="str">
            <v>BOLD</v>
          </cell>
          <cell r="HJ21" t="str">
            <v>Methanol Price</v>
          </cell>
          <cell r="HK21" t="str">
            <v>CHEMICALS_METHANOL_PRICE</v>
          </cell>
          <cell r="HL21"/>
          <cell r="HM21" t="str">
            <v>BOLD</v>
          </cell>
          <cell r="HP21"/>
          <cell r="HQ21" t="str">
            <v>BOLD</v>
          </cell>
          <cell r="HR21" t="str">
            <v>Pulp Utilization</v>
          </cell>
          <cell r="HS21" t="str">
            <v>FORESTRY_PULP_UTILIZATION</v>
          </cell>
          <cell r="HT21"/>
          <cell r="HU21" t="str">
            <v>BOLD</v>
          </cell>
          <cell r="HV21" t="str">
            <v>Net Stable Funding Ratio</v>
          </cell>
          <cell r="HW21" t="str">
            <v>ARDR_NET_STABLE_FUNDING_RATIO</v>
          </cell>
          <cell r="HX21"/>
          <cell r="HY21" t="str">
            <v>BOLD</v>
          </cell>
          <cell r="HZ21" t="str">
            <v>AA</v>
          </cell>
          <cell r="IA21" t="str">
            <v>BS_QUALITY_RTG_AA</v>
          </cell>
          <cell r="IB21"/>
          <cell r="IC21" t="str">
            <v>BOLD</v>
          </cell>
          <cell r="ID21" t="str">
            <v>Daily Active Users</v>
          </cell>
          <cell r="IE21" t="str">
            <v>DAILY_ACTIVE_USERS</v>
          </cell>
          <cell r="IF21"/>
          <cell r="IG21" t="str">
            <v>BOLD</v>
          </cell>
          <cell r="IH21" t="str">
            <v>Tier 1 Risk-Based Capital Ratio</v>
          </cell>
          <cell r="II21" t="str">
            <v>BS_TIER1_CAP_RATIO</v>
          </cell>
          <cell r="IJ21"/>
          <cell r="IK21" t="str">
            <v>BOLD</v>
          </cell>
          <cell r="IL21" t="str">
            <v>FFB Production</v>
          </cell>
          <cell r="IM21" t="str">
            <v>BIOFUEL_FFB_PRODUCTION</v>
          </cell>
          <cell r="IN21"/>
          <cell r="IO21" t="str">
            <v>BOLD</v>
          </cell>
          <cell r="IP21" t="str">
            <v>+ Residential</v>
          </cell>
          <cell r="IQ21" t="str">
            <v>ARDR_ELECTRIC_CUST_RESIDENTIAL</v>
          </cell>
          <cell r="IR21"/>
          <cell r="IS21" t="str">
            <v>BOLD</v>
          </cell>
          <cell r="IX21" t="str">
            <v>Net Stable Funding Ratio</v>
          </cell>
          <cell r="IY21" t="str">
            <v>ARDR_NET_STABLE_FUNDING_RATIO</v>
          </cell>
          <cell r="IZ21"/>
          <cell r="JA21" t="str">
            <v>BOLD</v>
          </cell>
          <cell r="JB21" t="str">
            <v>AA</v>
          </cell>
          <cell r="JC21" t="str">
            <v>BS_QUALITY_RTG_AA</v>
          </cell>
          <cell r="JD21"/>
          <cell r="JE21" t="str">
            <v>BOLD</v>
          </cell>
          <cell r="JF21" t="str">
            <v>Cash Conversion Cycle</v>
          </cell>
          <cell r="JG21" t="str">
            <v>CASH_CONVERSION_CYCLE</v>
          </cell>
          <cell r="JH21"/>
          <cell r="JI21" t="str">
            <v>BOLD</v>
          </cell>
          <cell r="JJ21" t="str">
            <v>Retail Space</v>
          </cell>
          <cell r="JK21" t="str">
            <v>LABEL</v>
          </cell>
          <cell r="JL21"/>
          <cell r="JM21" t="str">
            <v>BOLD</v>
          </cell>
          <cell r="JQ21"/>
          <cell r="JR21" t="str">
            <v>BOLD</v>
          </cell>
        </row>
        <row r="22">
          <cell r="A22">
            <v>21</v>
          </cell>
          <cell r="D22"/>
          <cell r="E22" t="str">
            <v>BOLD</v>
          </cell>
          <cell r="H22"/>
          <cell r="I22" t="str">
            <v>BOLD</v>
          </cell>
          <cell r="J22" t="str">
            <v>Copper Production (Tons)</v>
          </cell>
          <cell r="K22" t="str">
            <v>MINING_COPPER_PRODUCTION_ACTUAL</v>
          </cell>
          <cell r="L22"/>
          <cell r="M22" t="str">
            <v>BOLD</v>
          </cell>
          <cell r="N22" t="str">
            <v>Silver Production (oz)</v>
          </cell>
          <cell r="O22" t="str">
            <v>MINING_SILVER_PRODUCTION_ACTUAL</v>
          </cell>
          <cell r="P22"/>
          <cell r="Q22" t="str">
            <v>BOLD</v>
          </cell>
          <cell r="R22" t="str">
            <v>Gold Production (oz)</v>
          </cell>
          <cell r="S22" t="str">
            <v>MINING_GOLD_PRODUCTION_ACTUAL</v>
          </cell>
          <cell r="T22"/>
          <cell r="U22" t="str">
            <v>BOLD</v>
          </cell>
          <cell r="V22" t="str">
            <v>Cobalt ($/lb)</v>
          </cell>
          <cell r="W22" t="str">
            <v>MINING_COBALT_REALIZED_PX</v>
          </cell>
          <cell r="X22"/>
          <cell r="Y22" t="str">
            <v>BOLD</v>
          </cell>
          <cell r="Z22" t="str">
            <v>Vanadium Forecast (Tons)</v>
          </cell>
          <cell r="AA22" t="str">
            <v>MINING_VANADIUM_PROD_PLANNED</v>
          </cell>
          <cell r="AB22"/>
          <cell r="AC22" t="str">
            <v>BOLD</v>
          </cell>
          <cell r="AD22" t="str">
            <v>Cobalt Production (Tons)</v>
          </cell>
          <cell r="AE22" t="str">
            <v>MINING_COBALT_PRODUCTION_ACTUAL</v>
          </cell>
          <cell r="AF22"/>
          <cell r="AG22" t="str">
            <v>BOLD</v>
          </cell>
          <cell r="AH22" t="str">
            <v>Chromium - Ore Volume (Tons)</v>
          </cell>
          <cell r="AI22" t="str">
            <v>MINING_P&amp;P_RSRVS_CHROMIUM_VOLUME</v>
          </cell>
          <cell r="AJ22"/>
          <cell r="AK22" t="str">
            <v>BOLD</v>
          </cell>
          <cell r="AL22" t="str">
            <v>Coal - Ore Volume (Tons)</v>
          </cell>
          <cell r="AM22" t="str">
            <v>MINING_M&amp;I_RESOURCES_COAL_VOLUME</v>
          </cell>
          <cell r="AN22"/>
          <cell r="AO22" t="str">
            <v>BOLD</v>
          </cell>
          <cell r="AP22" t="str">
            <v>Takaful Policyholders Loans</v>
          </cell>
          <cell r="AQ22" t="str">
            <v>BS_TAKAFUL_LOANS</v>
          </cell>
          <cell r="AR22"/>
          <cell r="AS22" t="str">
            <v>BOLD</v>
          </cell>
          <cell r="AV22"/>
          <cell r="AW22" t="str">
            <v>BOLD</v>
          </cell>
          <cell r="AZ22"/>
          <cell r="BA22" t="str">
            <v>BOLD</v>
          </cell>
          <cell r="BD22"/>
          <cell r="BE22" t="str">
            <v>BOLD</v>
          </cell>
          <cell r="BF22" t="str">
            <v>Accretion of Discount</v>
          </cell>
          <cell r="BG22" t="str">
            <v>ACCRETION_OF_DISCOUNT</v>
          </cell>
          <cell r="BH22"/>
          <cell r="BI22" t="str">
            <v>BOLD</v>
          </cell>
          <cell r="BJ22" t="str">
            <v>Production Netback per BOE</v>
          </cell>
          <cell r="BK22" t="str">
            <v>PRODUCTION_NETBACK_PER_BOE</v>
          </cell>
          <cell r="BL22"/>
          <cell r="BM22" t="str">
            <v>BOLD</v>
          </cell>
          <cell r="BN22" t="str">
            <v xml:space="preserve">  NGL (MBBL/Day)</v>
          </cell>
          <cell r="BO22" t="str">
            <v>NGL_PRODUCTION_LAMR_MBBL_DY</v>
          </cell>
          <cell r="BP22"/>
          <cell r="BQ22" t="str">
            <v>NO</v>
          </cell>
          <cell r="BT22"/>
          <cell r="BU22" t="str">
            <v>BOLD</v>
          </cell>
          <cell r="BV22" t="str">
            <v xml:space="preserve">  + Sales</v>
          </cell>
          <cell r="BW22" t="str">
            <v>GAS_SALES_NAMR</v>
          </cell>
          <cell r="BX22"/>
          <cell r="BY22" t="str">
            <v>NO</v>
          </cell>
          <cell r="BZ22" t="str">
            <v xml:space="preserve">  + Production</v>
          </cell>
          <cell r="CA22" t="str">
            <v>OIL_PRODUCTION_NORTH_AMERICA</v>
          </cell>
          <cell r="CB22"/>
          <cell r="CC22" t="str">
            <v>NO</v>
          </cell>
          <cell r="CD22" t="str">
            <v>North America</v>
          </cell>
          <cell r="CE22" t="str">
            <v>LABEL</v>
          </cell>
          <cell r="CF22"/>
          <cell r="CG22" t="str">
            <v>BOLD</v>
          </cell>
          <cell r="CH22" t="str">
            <v>Energy-BOE-Start Yr-Worldwide</v>
          </cell>
          <cell r="CI22" t="str">
            <v>BOE_START_YEAR_WORLD</v>
          </cell>
          <cell r="CJ22"/>
          <cell r="CK22" t="str">
            <v>BOLD</v>
          </cell>
          <cell r="CL22" t="str">
            <v>Years of Production - Aggregates</v>
          </cell>
          <cell r="CM22" t="str">
            <v>YEARS_OF_PRODUCTION_AGGREGATES</v>
          </cell>
          <cell r="CN22"/>
          <cell r="CO22" t="str">
            <v>BOLD</v>
          </cell>
          <cell r="CP22" t="str">
            <v>EV/Valued Reserves</v>
          </cell>
          <cell r="CQ22" t="str">
            <v>LABEL</v>
          </cell>
          <cell r="CR22"/>
          <cell r="CS22" t="str">
            <v>BOLD</v>
          </cell>
          <cell r="CT22" t="str">
            <v>Adj EBITDA per Adjusted Claim</v>
          </cell>
          <cell r="CU22" t="str">
            <v>ADJUSTED_EBITDA_PER_ADJ_CLAIM</v>
          </cell>
          <cell r="CV22"/>
          <cell r="CW22" t="str">
            <v>BOLD</v>
          </cell>
          <cell r="CZ22"/>
          <cell r="DA22" t="str">
            <v>BOLD</v>
          </cell>
          <cell r="DD22"/>
          <cell r="DE22" t="str">
            <v>BOLD</v>
          </cell>
          <cell r="DH22"/>
          <cell r="DI22" t="str">
            <v>BOLD</v>
          </cell>
          <cell r="DJ22" t="str">
            <v>Gaming Revenue</v>
          </cell>
          <cell r="DK22" t="str">
            <v>ENTERT_GAMING_REVENUE</v>
          </cell>
          <cell r="DL22"/>
          <cell r="DM22" t="str">
            <v>BOLD</v>
          </cell>
          <cell r="DN22" t="str">
            <v># of Lots Controlled</v>
          </cell>
          <cell r="DO22" t="str">
            <v>NUMBER_OF_LOTS_CONTROLLED</v>
          </cell>
          <cell r="DP22"/>
          <cell r="DQ22" t="str">
            <v>BOLD</v>
          </cell>
          <cell r="DR22" t="str">
            <v xml:space="preserve">  Admissions</v>
          </cell>
          <cell r="DS22" t="str">
            <v>SAME_HOSPITAL_ADMISSIONS</v>
          </cell>
          <cell r="DT22"/>
          <cell r="DU22" t="str">
            <v>NO</v>
          </cell>
          <cell r="DX22"/>
          <cell r="DY22" t="str">
            <v>BOLD</v>
          </cell>
          <cell r="DZ22" t="str">
            <v>Total Operating Cost Ratio</v>
          </cell>
          <cell r="EA22" t="str">
            <v>MGD_CARE_TOTAL_OPER_COST_RATIO</v>
          </cell>
          <cell r="EB22"/>
          <cell r="EC22" t="str">
            <v>BOLD</v>
          </cell>
          <cell r="ED22" t="str">
            <v>Total Tons</v>
          </cell>
          <cell r="EE22" t="str">
            <v>TOTAL_TONS</v>
          </cell>
          <cell r="EF22"/>
          <cell r="EG22" t="str">
            <v>BOLD</v>
          </cell>
          <cell r="EJ22"/>
          <cell r="EK22" t="str">
            <v>BOLD</v>
          </cell>
          <cell r="EL22" t="str">
            <v xml:space="preserve">  Average Velocity - All Trains</v>
          </cell>
          <cell r="EM22" t="str">
            <v>AVG_VELOCITY_ALL_TRAINS</v>
          </cell>
          <cell r="EN22"/>
          <cell r="EO22" t="str">
            <v>NO</v>
          </cell>
          <cell r="EP22" t="str">
            <v>Client Concentration</v>
          </cell>
          <cell r="EQ22" t="str">
            <v>LABEL</v>
          </cell>
          <cell r="ER22"/>
          <cell r="ES22" t="str">
            <v>BOLD</v>
          </cell>
          <cell r="ET22" t="str">
            <v>Software Related Expenses:</v>
          </cell>
          <cell r="EU22" t="str">
            <v>LABEL</v>
          </cell>
          <cell r="EV22"/>
          <cell r="EW22" t="str">
            <v>BOLD</v>
          </cell>
          <cell r="EX22" t="str">
            <v>Company NAND ASP Change, QoQ (%)</v>
          </cell>
          <cell r="EY22" t="str">
            <v>ARD_NAND_ASP_QOQ</v>
          </cell>
          <cell r="EZ22"/>
          <cell r="FA22" t="str">
            <v>BOLD</v>
          </cell>
          <cell r="FB22" t="str">
            <v>Biotech-Manufacturing Staff</v>
          </cell>
          <cell r="FC22" t="str">
            <v>BIOTECH_MANUFACTURING_STAFF</v>
          </cell>
          <cell r="FD22"/>
          <cell r="FE22" t="str">
            <v>BOLD</v>
          </cell>
          <cell r="FH22"/>
          <cell r="FI22" t="str">
            <v>BOLD</v>
          </cell>
          <cell r="FJ22" t="str">
            <v>Penetration %</v>
          </cell>
          <cell r="FK22" t="str">
            <v>INTERNET_PENETRATION</v>
          </cell>
          <cell r="FL22"/>
          <cell r="FM22" t="str">
            <v>BOLD</v>
          </cell>
          <cell r="FN22" t="str">
            <v>Gallons/Liters per 100 ASM/ASK</v>
          </cell>
          <cell r="FO22" t="str">
            <v>GALLONS_LITERS_PER_100_ASM</v>
          </cell>
          <cell r="FP22"/>
          <cell r="FQ22" t="str">
            <v>BOLD</v>
          </cell>
          <cell r="FT22"/>
          <cell r="FU22" t="str">
            <v>BOLD</v>
          </cell>
          <cell r="FX22"/>
          <cell r="FY22" t="str">
            <v>BOLD</v>
          </cell>
          <cell r="GB22"/>
          <cell r="GC22" t="str">
            <v>BOLD</v>
          </cell>
          <cell r="GF22"/>
          <cell r="GG22" t="str">
            <v>BOLD</v>
          </cell>
          <cell r="GJ22"/>
          <cell r="GK22" t="str">
            <v>BOLD</v>
          </cell>
          <cell r="GL22" t="str">
            <v>Assets/1000 Emp</v>
          </cell>
          <cell r="GM22" t="str">
            <v>ASSET_PER_EMPL</v>
          </cell>
          <cell r="GN22"/>
          <cell r="GO22" t="str">
            <v>BOLD</v>
          </cell>
          <cell r="GR22"/>
          <cell r="GS22" t="str">
            <v>BOLD</v>
          </cell>
          <cell r="GT22" t="str">
            <v>Slot Gaming</v>
          </cell>
          <cell r="GU22" t="str">
            <v>LABEL</v>
          </cell>
          <cell r="GV22"/>
          <cell r="GW22" t="str">
            <v>BOLD</v>
          </cell>
          <cell r="GZ22"/>
          <cell r="HA22" t="str">
            <v>BOLD</v>
          </cell>
          <cell r="HB22" t="str">
            <v>Other Alternative Investments</v>
          </cell>
          <cell r="HC22" t="str">
            <v>AST_ALLOCATION_OTHER_ALT_INVEST</v>
          </cell>
          <cell r="HD22"/>
          <cell r="HE22" t="str">
            <v>BOLD</v>
          </cell>
          <cell r="HF22" t="str">
            <v>Cashflow-Operating Activities</v>
          </cell>
          <cell r="HG22" t="str">
            <v>CF_CASH_FROM_OPER</v>
          </cell>
          <cell r="HH22"/>
          <cell r="HI22" t="str">
            <v>BOLD</v>
          </cell>
          <cell r="HL22"/>
          <cell r="HM22" t="str">
            <v>BOLD</v>
          </cell>
          <cell r="HP22"/>
          <cell r="HQ22" t="str">
            <v>BOLD</v>
          </cell>
          <cell r="HR22" t="str">
            <v>Paper Utilization</v>
          </cell>
          <cell r="HS22" t="str">
            <v>FORESTRY_PAPER_UTILIZATION</v>
          </cell>
          <cell r="HT22"/>
          <cell r="HU22" t="str">
            <v>BOLD</v>
          </cell>
          <cell r="HX22"/>
          <cell r="HY22" t="str">
            <v>BOLD</v>
          </cell>
          <cell r="HZ22" t="str">
            <v>A</v>
          </cell>
          <cell r="IA22" t="str">
            <v>BS_QUALITY_RTG_A</v>
          </cell>
          <cell r="IB22"/>
          <cell r="IC22" t="str">
            <v>BOLD</v>
          </cell>
          <cell r="ID22" t="str">
            <v>Mobile Monthly Active Users</v>
          </cell>
          <cell r="IE22" t="str">
            <v>MOBILE_MONTHLY_ACTIVE_USERS</v>
          </cell>
          <cell r="IF22"/>
          <cell r="IG22" t="str">
            <v>BOLD</v>
          </cell>
          <cell r="IH22" t="str">
            <v>Total Risk-Based Capital Ratio</v>
          </cell>
          <cell r="II22" t="str">
            <v>BS_TOT_CAP_TO_RISK_BASE_CAP</v>
          </cell>
          <cell r="IJ22"/>
          <cell r="IK22" t="str">
            <v>BOLD</v>
          </cell>
          <cell r="IL22" t="str">
            <v>Rubber Production</v>
          </cell>
          <cell r="IM22" t="str">
            <v>BIOFUEL_RUBBER_PRODUCTION</v>
          </cell>
          <cell r="IN22"/>
          <cell r="IO22" t="str">
            <v>BOLD</v>
          </cell>
          <cell r="IP22" t="str">
            <v>+ Commercial</v>
          </cell>
          <cell r="IQ22" t="str">
            <v>ARDR_ELECTRIC_CUST_COMMERCIAL</v>
          </cell>
          <cell r="IR22"/>
          <cell r="IS22" t="str">
            <v>BOLD</v>
          </cell>
          <cell r="IZ22"/>
          <cell r="JA22" t="str">
            <v>BOLD</v>
          </cell>
          <cell r="JB22" t="str">
            <v>A</v>
          </cell>
          <cell r="JC22" t="str">
            <v>BS_QUALITY_RTG_A</v>
          </cell>
          <cell r="JD22"/>
          <cell r="JE22" t="str">
            <v>BOLD</v>
          </cell>
          <cell r="JJ22" t="str">
            <v>Average Retail Square Footage</v>
          </cell>
          <cell r="JK22" t="str">
            <v>AVG_RETAIL_SQUARE_FOOTAGE</v>
          </cell>
          <cell r="JL22"/>
          <cell r="JM22" t="str">
            <v>BOLD</v>
          </cell>
          <cell r="JO22" t="str">
            <v>Annual Subscription Values per Client</v>
          </cell>
          <cell r="JP22" t="str">
            <v>ANNUAL_SUB_VALUES_PER_CLIENT</v>
          </cell>
          <cell r="JQ22"/>
          <cell r="JR22" t="str">
            <v>BOLD</v>
          </cell>
        </row>
        <row r="23">
          <cell r="A23">
            <v>22</v>
          </cell>
          <cell r="D23"/>
          <cell r="E23" t="str">
            <v>BOLD</v>
          </cell>
          <cell r="F23" t="str">
            <v>Operating Metrics</v>
          </cell>
          <cell r="G23" t="str">
            <v>LABEL</v>
          </cell>
          <cell r="H23"/>
          <cell r="I23" t="str">
            <v>BOLD</v>
          </cell>
          <cell r="J23" t="str">
            <v>Copper Production Forecast (Tons)</v>
          </cell>
          <cell r="K23" t="str">
            <v>MINING_COPPER_PRODUCTION_PLANNED</v>
          </cell>
          <cell r="L23"/>
          <cell r="M23" t="str">
            <v>BOLD</v>
          </cell>
          <cell r="N23" t="str">
            <v>Silver Production Forecast (oz)</v>
          </cell>
          <cell r="O23" t="str">
            <v>MINING_SILVER_PRODUCTION_PLANNED</v>
          </cell>
          <cell r="P23"/>
          <cell r="Q23" t="str">
            <v>BOLD</v>
          </cell>
          <cell r="R23" t="str">
            <v>Gold Equivalents Production (oz)</v>
          </cell>
          <cell r="S23" t="str">
            <v>MINING_GOLD_EQUIV_PROD_ACTUAL</v>
          </cell>
          <cell r="T23"/>
          <cell r="U23" t="str">
            <v>BOLD</v>
          </cell>
          <cell r="V23" t="str">
            <v>Copper ($/lb)</v>
          </cell>
          <cell r="W23" t="str">
            <v>MINING_COPPER_REALIZED_PX</v>
          </cell>
          <cell r="X23"/>
          <cell r="Y23" t="str">
            <v>BOLD</v>
          </cell>
          <cell r="Z23" t="str">
            <v>Zinc Forecast (Tons)</v>
          </cell>
          <cell r="AA23" t="str">
            <v>MINING_ZINC_PRODUCTION_PLANNED</v>
          </cell>
          <cell r="AB23"/>
          <cell r="AC23" t="str">
            <v>BOLD</v>
          </cell>
          <cell r="AD23" t="str">
            <v>Copper - Ore Mined (Tons)</v>
          </cell>
          <cell r="AE23" t="str">
            <v>MINING_COPPER_ORE_MINED</v>
          </cell>
          <cell r="AF23"/>
          <cell r="AG23" t="str">
            <v>BOLD</v>
          </cell>
          <cell r="AH23" t="str">
            <v>Chromium - Grade (%)</v>
          </cell>
          <cell r="AI23" t="str">
            <v>MINING_P&amp;P_RSRVS_CHROMIUM_GRADE</v>
          </cell>
          <cell r="AJ23"/>
          <cell r="AK23" t="str">
            <v>BOLD</v>
          </cell>
          <cell r="AL23" t="str">
            <v>Contained Coal (Tons)</v>
          </cell>
          <cell r="AM23" t="str">
            <v>MINING_M&amp;I_RES_CONTAINED_COAL</v>
          </cell>
          <cell r="AN23"/>
          <cell r="AO23" t="str">
            <v>BOLD</v>
          </cell>
          <cell r="AP23" t="str">
            <v>Takaful Fixed Income Securities Policyholders</v>
          </cell>
          <cell r="AQ23" t="str">
            <v>BS_TAKAFUL_FIXED_INCOME</v>
          </cell>
          <cell r="AR23"/>
          <cell r="AS23" t="str">
            <v>BOLD</v>
          </cell>
          <cell r="AT23" t="str">
            <v>Production</v>
          </cell>
          <cell r="AU23" t="str">
            <v>LABEL</v>
          </cell>
          <cell r="AV23"/>
          <cell r="AW23" t="str">
            <v>BOLD</v>
          </cell>
          <cell r="AZ23"/>
          <cell r="BA23" t="str">
            <v>BOLD</v>
          </cell>
          <cell r="BB23" t="str">
            <v xml:space="preserve">  Canada</v>
          </cell>
          <cell r="BC23" t="str">
            <v>LABEL</v>
          </cell>
          <cell r="BD23"/>
          <cell r="BE23" t="str">
            <v>NO</v>
          </cell>
          <cell r="BF23" t="str">
            <v>Income Taxes</v>
          </cell>
          <cell r="BG23" t="str">
            <v>CHG_INCOME_TAX</v>
          </cell>
          <cell r="BH23"/>
          <cell r="BI23" t="str">
            <v>BOLD</v>
          </cell>
          <cell r="BJ23" t="str">
            <v>Recycle Ratio</v>
          </cell>
          <cell r="BK23" t="str">
            <v>RECYCLE_RATIO</v>
          </cell>
          <cell r="BL23"/>
          <cell r="BM23" t="str">
            <v>BOLD</v>
          </cell>
          <cell r="BN23" t="str">
            <v xml:space="preserve">  Total (MBOE/Day)</v>
          </cell>
          <cell r="BO23" t="str">
            <v>TOTAL_PRODUCTION_LAMR_MBOE_DY</v>
          </cell>
          <cell r="BP23"/>
          <cell r="BQ23" t="str">
            <v>NO</v>
          </cell>
          <cell r="BT23"/>
          <cell r="BU23" t="str">
            <v>BOLD</v>
          </cell>
          <cell r="BV23" t="str">
            <v xml:space="preserve">  + Production</v>
          </cell>
          <cell r="BW23" t="str">
            <v>GAS_PRODUCTION_NAMR</v>
          </cell>
          <cell r="BX23"/>
          <cell r="BY23" t="str">
            <v>NO</v>
          </cell>
          <cell r="BZ23" t="str">
            <v xml:space="preserve">  + Other</v>
          </cell>
          <cell r="CA23" t="str">
            <v>OIL_OTHER_CHANGES_NORTH_AMERICA</v>
          </cell>
          <cell r="CB23"/>
          <cell r="CC23" t="str">
            <v>NO</v>
          </cell>
          <cell r="CD23" t="str">
            <v xml:space="preserve">  Start of Year</v>
          </cell>
          <cell r="CE23" t="str">
            <v>BOE_START_YEAR_NAMR</v>
          </cell>
          <cell r="CF23"/>
          <cell r="CG23" t="str">
            <v>NO</v>
          </cell>
          <cell r="CH23" t="str">
            <v>Energy-BOE-Revisions-Worldwide</v>
          </cell>
          <cell r="CI23" t="str">
            <v>BOE_REVISIONS_WORLD</v>
          </cell>
          <cell r="CJ23"/>
          <cell r="CK23" t="str">
            <v>BOLD</v>
          </cell>
          <cell r="CN23"/>
          <cell r="CO23" t="str">
            <v>BOLD</v>
          </cell>
          <cell r="CP23" t="str">
            <v>EV/Valued Reserves</v>
          </cell>
          <cell r="CQ23" t="str">
            <v>EV_TO_CUR_VALUE_OF_MINING_RSRVS</v>
          </cell>
          <cell r="CR23"/>
          <cell r="CS23" t="str">
            <v>BOLD</v>
          </cell>
          <cell r="CT23" t="str">
            <v>Adj EBITDA from Continuing Ops</v>
          </cell>
          <cell r="CU23" t="str">
            <v>ADJUSTED_EBITDA_CONTINUING_OPS</v>
          </cell>
          <cell r="CV23"/>
          <cell r="CW23" t="str">
            <v>BOLD</v>
          </cell>
          <cell r="CZ23"/>
          <cell r="DA23" t="str">
            <v>BOLD</v>
          </cell>
          <cell r="DD23"/>
          <cell r="DE23" t="str">
            <v>BOLD</v>
          </cell>
          <cell r="DH23"/>
          <cell r="DI23" t="str">
            <v>BOLD</v>
          </cell>
          <cell r="DJ23" t="str">
            <v>Gaming Complimentaries</v>
          </cell>
          <cell r="DK23" t="str">
            <v>GAMING_COMPLIMENTARIES</v>
          </cell>
          <cell r="DL23"/>
          <cell r="DM23" t="str">
            <v>BOLD</v>
          </cell>
          <cell r="DN23" t="str">
            <v>Lots Owned</v>
          </cell>
          <cell r="DO23" t="str">
            <v>LOTS_OWNED</v>
          </cell>
          <cell r="DP23"/>
          <cell r="DQ23" t="str">
            <v>BOLD</v>
          </cell>
          <cell r="DR23" t="str">
            <v xml:space="preserve">  Equivalent Admissions</v>
          </cell>
          <cell r="DS23" t="str">
            <v>SAME_HOSPITAL_EQUIV_ADMISSIONS</v>
          </cell>
          <cell r="DT23"/>
          <cell r="DU23" t="str">
            <v>NO</v>
          </cell>
          <cell r="DX23"/>
          <cell r="DY23" t="str">
            <v>BOLD</v>
          </cell>
          <cell r="EB23"/>
          <cell r="EC23" t="str">
            <v>BOLD</v>
          </cell>
          <cell r="ED23" t="str">
            <v>Total Number of Shipments</v>
          </cell>
          <cell r="EE23" t="str">
            <v>TOTAL_NUMBER_OF_SHIPMENTS</v>
          </cell>
          <cell r="EF23"/>
          <cell r="EG23" t="str">
            <v>BOLD</v>
          </cell>
          <cell r="EJ23"/>
          <cell r="EK23" t="str">
            <v>BOLD</v>
          </cell>
          <cell r="EL23" t="str">
            <v xml:space="preserve">  Average Recrews</v>
          </cell>
          <cell r="EM23" t="str">
            <v>AVG_RECREWS</v>
          </cell>
          <cell r="EN23"/>
          <cell r="EO23" t="str">
            <v>NO</v>
          </cell>
          <cell r="EP23" t="str">
            <v>Number of Clients $0MM-$5MM</v>
          </cell>
          <cell r="EQ23" t="str">
            <v>NUMBER_OF_CLIENTS_0_TO_5MM</v>
          </cell>
          <cell r="ER23"/>
          <cell r="ES23" t="str">
            <v>BOLD</v>
          </cell>
          <cell r="ET23" t="str">
            <v>Cost of License Revenue</v>
          </cell>
          <cell r="EU23" t="str">
            <v>COST_OF_LICENSE_REV</v>
          </cell>
          <cell r="EV23"/>
          <cell r="EW23" t="str">
            <v>BOLD</v>
          </cell>
          <cell r="EX23" t="str">
            <v>NAND ASP Change, YoY (%)</v>
          </cell>
          <cell r="EY23" t="str">
            <v>ARD_NAND_ASP_YOY</v>
          </cell>
          <cell r="EZ23"/>
          <cell r="FA23" t="str">
            <v>BOLD</v>
          </cell>
          <cell r="FB23" t="str">
            <v>PhDs on Staff</v>
          </cell>
          <cell r="FC23" t="str">
            <v>BIOTECH_PHDS</v>
          </cell>
          <cell r="FD23"/>
          <cell r="FE23" t="str">
            <v>BOLD</v>
          </cell>
          <cell r="FF23" t="str">
            <v>Churn (%)</v>
          </cell>
          <cell r="FG23" t="str">
            <v>LABEL</v>
          </cell>
          <cell r="FH23"/>
          <cell r="FI23" t="str">
            <v>BOLD</v>
          </cell>
          <cell r="FL23"/>
          <cell r="FM23" t="str">
            <v>BOLD</v>
          </cell>
          <cell r="FP23"/>
          <cell r="FQ23" t="str">
            <v>BOLD</v>
          </cell>
          <cell r="FT23"/>
          <cell r="FU23" t="str">
            <v>BOLD</v>
          </cell>
          <cell r="FV23" t="str">
            <v>Financial Statistics</v>
          </cell>
          <cell r="FW23" t="str">
            <v>LABEL</v>
          </cell>
          <cell r="FX23"/>
          <cell r="FY23" t="str">
            <v>BOLD</v>
          </cell>
          <cell r="GB23"/>
          <cell r="GC23" t="str">
            <v>BOLD</v>
          </cell>
          <cell r="GF23"/>
          <cell r="GG23" t="str">
            <v>BOLD</v>
          </cell>
          <cell r="GJ23"/>
          <cell r="GK23" t="str">
            <v>BOLD</v>
          </cell>
          <cell r="GL23" t="str">
            <v>Sales per Employee</v>
          </cell>
          <cell r="GM23" t="str">
            <v>ACTUAL_SALES_PER_EMPL</v>
          </cell>
          <cell r="GN23"/>
          <cell r="GO23" t="str">
            <v>BOLD</v>
          </cell>
          <cell r="GP23" t="str">
            <v>Other</v>
          </cell>
          <cell r="GQ23" t="str">
            <v>LABEL</v>
          </cell>
          <cell r="GR23"/>
          <cell r="GS23" t="str">
            <v>BOLD</v>
          </cell>
          <cell r="GT23" t="str">
            <v xml:space="preserve">  Number of Slots</v>
          </cell>
          <cell r="GU23" t="str">
            <v>ENTERT_SLOTS</v>
          </cell>
          <cell r="GV23"/>
          <cell r="GW23" t="str">
            <v>NO</v>
          </cell>
          <cell r="GZ23"/>
          <cell r="HA23" t="str">
            <v>BOLD</v>
          </cell>
          <cell r="HB23" t="str">
            <v>Energy &amp; Natural Resources Investments</v>
          </cell>
          <cell r="HC23" t="str">
            <v>AST_ALLOC_ENRGY_&amp;_NAT_RES_INVEST</v>
          </cell>
          <cell r="HD23"/>
          <cell r="HE23" t="str">
            <v>BOLD</v>
          </cell>
          <cell r="HF23" t="str">
            <v>Free Cash Flow</v>
          </cell>
          <cell r="HG23" t="str">
            <v>CF_FREE_CASH_FLOW</v>
          </cell>
          <cell r="HH23"/>
          <cell r="HI23" t="str">
            <v>BOLD</v>
          </cell>
          <cell r="HL23"/>
          <cell r="HM23" t="str">
            <v>BOLD</v>
          </cell>
          <cell r="HP23"/>
          <cell r="HQ23" t="str">
            <v>BOLD</v>
          </cell>
          <cell r="HT23"/>
          <cell r="HU23" t="str">
            <v>BOLD</v>
          </cell>
          <cell r="HV23" t="str">
            <v>Other Capital</v>
          </cell>
          <cell r="HW23" t="str">
            <v>LABEL</v>
          </cell>
          <cell r="HX23"/>
          <cell r="HY23" t="str">
            <v>BOLD</v>
          </cell>
          <cell r="HZ23" t="str">
            <v>AAA/AA/A</v>
          </cell>
          <cell r="IA23" t="str">
            <v>BS_QUALITY_RTG_AAA/AA/A_AMT</v>
          </cell>
          <cell r="IB23"/>
          <cell r="IC23" t="str">
            <v>BOLD</v>
          </cell>
          <cell r="ID23" t="str">
            <v>Number of Ads Delivered YoY% Change</v>
          </cell>
          <cell r="IE23" t="str">
            <v>NUMBER_OF_ADS_DELIVERED_YOY_%</v>
          </cell>
          <cell r="IF23"/>
          <cell r="IG23" t="str">
            <v>BOLD</v>
          </cell>
          <cell r="IH23" t="str">
            <v>Liquidity Coverage Ratio</v>
          </cell>
          <cell r="II23" t="str">
            <v>ARDR_LIQUIDITY_COVERAGE_RATIO</v>
          </cell>
          <cell r="IJ23"/>
          <cell r="IK23" t="str">
            <v>BOLD</v>
          </cell>
          <cell r="IL23" t="str">
            <v>Pricing</v>
          </cell>
          <cell r="IM23" t="str">
            <v>LABEL</v>
          </cell>
          <cell r="IN23"/>
          <cell r="IO23" t="str">
            <v>BOLD</v>
          </cell>
          <cell r="IP23" t="str">
            <v>+ Industrial</v>
          </cell>
          <cell r="IQ23" t="str">
            <v>ARDR_ELECTRIC_CUST_INDUSTRIAL</v>
          </cell>
          <cell r="IR23"/>
          <cell r="IS23" t="str">
            <v>BOLD</v>
          </cell>
          <cell r="IX23" t="str">
            <v>Other Capital</v>
          </cell>
          <cell r="IY23" t="str">
            <v>LABEL</v>
          </cell>
          <cell r="IZ23"/>
          <cell r="JA23" t="str">
            <v>BOLD</v>
          </cell>
          <cell r="JB23" t="str">
            <v>AAA/AA/A</v>
          </cell>
          <cell r="JC23" t="str">
            <v>BS_QUALITY_RTG_AAA/AA/A_AMT</v>
          </cell>
          <cell r="JD23"/>
          <cell r="JE23" t="str">
            <v>BOLD</v>
          </cell>
          <cell r="JJ23" t="str">
            <v>Total Retail Area</v>
          </cell>
          <cell r="JK23" t="str">
            <v>RETAIL_SF_COMPANY_OWNED</v>
          </cell>
          <cell r="JL23"/>
          <cell r="JM23" t="str">
            <v>BOLD</v>
          </cell>
          <cell r="JQ23"/>
          <cell r="JR23" t="str">
            <v>BOLD</v>
          </cell>
        </row>
        <row r="24">
          <cell r="A24">
            <v>23</v>
          </cell>
          <cell r="D24"/>
          <cell r="E24" t="str">
            <v>BOLD</v>
          </cell>
          <cell r="F24" t="str">
            <v>Credit Card Issuer Spending Vol</v>
          </cell>
          <cell r="G24" t="str">
            <v>CRED_CHRG_CARD_ISSR_SPND_VOLUME</v>
          </cell>
          <cell r="H24"/>
          <cell r="I24" t="str">
            <v>BOLD</v>
          </cell>
          <cell r="J24" t="str">
            <v>Copper Sales</v>
          </cell>
          <cell r="K24" t="str">
            <v>LABEL</v>
          </cell>
          <cell r="L24"/>
          <cell r="M24" t="str">
            <v>BOLD</v>
          </cell>
          <cell r="N24" t="str">
            <v>Silver Sales</v>
          </cell>
          <cell r="O24" t="str">
            <v>LABEL</v>
          </cell>
          <cell r="P24"/>
          <cell r="Q24" t="str">
            <v>BOLD</v>
          </cell>
          <cell r="R24" t="str">
            <v>Gold Production Forecast (oz)</v>
          </cell>
          <cell r="S24" t="str">
            <v>MINING_GOLD_PRODUCTION_PLANNED</v>
          </cell>
          <cell r="T24"/>
          <cell r="U24" t="str">
            <v>BOLD</v>
          </cell>
          <cell r="V24" t="str">
            <v>Iron ($/Ton)</v>
          </cell>
          <cell r="W24" t="str">
            <v>MINING_IRON_REALIZED_PX</v>
          </cell>
          <cell r="X24"/>
          <cell r="Y24" t="str">
            <v>BOLD</v>
          </cell>
          <cell r="AB24"/>
          <cell r="AC24" t="str">
            <v>BOLD</v>
          </cell>
          <cell r="AD24" t="str">
            <v>Copper - Grade (%)</v>
          </cell>
          <cell r="AE24" t="str">
            <v>MINING_COPPER_PRODUCTION_GRADE</v>
          </cell>
          <cell r="AF24"/>
          <cell r="AG24" t="str">
            <v>BOLD</v>
          </cell>
          <cell r="AH24" t="str">
            <v>Contained Chromium (Tons)</v>
          </cell>
          <cell r="AI24" t="str">
            <v>MINING_P&amp;P_RSRVS_CONTAINED_CHROM</v>
          </cell>
          <cell r="AJ24"/>
          <cell r="AK24" t="str">
            <v>BOLD</v>
          </cell>
          <cell r="AL24" t="str">
            <v>Cobalt - Ore Volume (Tons)</v>
          </cell>
          <cell r="AM24" t="str">
            <v>MINING_M&amp;I_RES_COBALT_VOLUME</v>
          </cell>
          <cell r="AN24"/>
          <cell r="AO24" t="str">
            <v>BOLD</v>
          </cell>
          <cell r="AP24" t="str">
            <v>Takaful Equity Securities Policyholders</v>
          </cell>
          <cell r="AQ24" t="str">
            <v>BS_TAKAFUL_EQUITY_SECURITIES</v>
          </cell>
          <cell r="AR24"/>
          <cell r="AS24" t="str">
            <v>BOLD</v>
          </cell>
          <cell r="AT24" t="str">
            <v>Gold Concentrate Production</v>
          </cell>
          <cell r="AU24" t="str">
            <v>MINING_GOLD_PRODUCTION_ACTUAL</v>
          </cell>
          <cell r="AV24"/>
          <cell r="AW24" t="str">
            <v>BOLD</v>
          </cell>
          <cell r="AZ24"/>
          <cell r="BA24" t="str">
            <v>BOLD</v>
          </cell>
          <cell r="BB24" t="str">
            <v xml:space="preserve">  Revenues</v>
          </cell>
          <cell r="BC24" t="str">
            <v>E&amp;P_REVENUES_CANADA</v>
          </cell>
          <cell r="BD24"/>
          <cell r="BE24" t="str">
            <v>NO</v>
          </cell>
          <cell r="BF24" t="str">
            <v>Other Changes</v>
          </cell>
          <cell r="BG24" t="str">
            <v>CHG_TIMING_AND_OTHER</v>
          </cell>
          <cell r="BH24"/>
          <cell r="BI24" t="str">
            <v>BOLD</v>
          </cell>
          <cell r="BL24"/>
          <cell r="BM24" t="str">
            <v>BOLD</v>
          </cell>
          <cell r="BP24"/>
          <cell r="BQ24" t="str">
            <v>BOLD</v>
          </cell>
          <cell r="BT24"/>
          <cell r="BU24" t="str">
            <v>BOLD</v>
          </cell>
          <cell r="BV24" t="str">
            <v xml:space="preserve">  + Other</v>
          </cell>
          <cell r="BW24" t="str">
            <v>GAS_OTHER_CHG_NAMR</v>
          </cell>
          <cell r="BX24"/>
          <cell r="BY24" t="str">
            <v>NO</v>
          </cell>
          <cell r="BZ24" t="str">
            <v xml:space="preserve">  End of year</v>
          </cell>
          <cell r="CA24" t="str">
            <v>OIL_RESERVES_END_YR_NA</v>
          </cell>
          <cell r="CB24"/>
          <cell r="CC24" t="str">
            <v>NO</v>
          </cell>
          <cell r="CD24" t="str">
            <v xml:space="preserve">  + Revisions</v>
          </cell>
          <cell r="CE24" t="str">
            <v>BOE_REVISIONS_NAMR</v>
          </cell>
          <cell r="CF24"/>
          <cell r="CG24" t="str">
            <v>NO</v>
          </cell>
          <cell r="CH24" t="str">
            <v>Energy-BOE-Impr Rec-Worldwide</v>
          </cell>
          <cell r="CI24" t="str">
            <v>BOE_IMPROV_REC_WORLD</v>
          </cell>
          <cell r="CJ24"/>
          <cell r="CK24" t="str">
            <v>BOLD</v>
          </cell>
          <cell r="CL24" t="str">
            <v>Ready-Mix Concrete</v>
          </cell>
          <cell r="CM24" t="str">
            <v>LABEL</v>
          </cell>
          <cell r="CN24"/>
          <cell r="CO24" t="str">
            <v>BOLD</v>
          </cell>
          <cell r="CP24" t="str">
            <v>EV/Valued Reserves &amp; Resources</v>
          </cell>
          <cell r="CQ24" t="str">
            <v>EV_TO_CUR_EST_VAL_OF_MINING_R&amp;R</v>
          </cell>
          <cell r="CR24"/>
          <cell r="CS24" t="str">
            <v>BOLD</v>
          </cell>
          <cell r="CV24"/>
          <cell r="CW24" t="str">
            <v>BOLD</v>
          </cell>
          <cell r="CZ24"/>
          <cell r="DA24" t="str">
            <v>BOLD</v>
          </cell>
          <cell r="DD24"/>
          <cell r="DE24" t="str">
            <v>BOLD</v>
          </cell>
          <cell r="DH24"/>
          <cell r="DI24" t="str">
            <v>BOLD</v>
          </cell>
          <cell r="DJ24" t="str">
            <v>Departmental Cost of Promotional Allowances</v>
          </cell>
          <cell r="DK24" t="str">
            <v>DEPTL_CST_PROMNL_ALLOWANCES</v>
          </cell>
          <cell r="DL24"/>
          <cell r="DM24" t="str">
            <v>BOLD</v>
          </cell>
          <cell r="DN24" t="str">
            <v>Lots Optioned</v>
          </cell>
          <cell r="DO24" t="str">
            <v>LOTS_OPTIONED</v>
          </cell>
          <cell r="DP24"/>
          <cell r="DQ24" t="str">
            <v>BOLD</v>
          </cell>
          <cell r="DR24" t="str">
            <v xml:space="preserve">  Revenue per Equivalent Admission</v>
          </cell>
          <cell r="DS24" t="str">
            <v>SAME_HOSPITAL_REV_PER_EQUIV_ADM</v>
          </cell>
          <cell r="DT24"/>
          <cell r="DU24" t="str">
            <v>NO</v>
          </cell>
          <cell r="DX24"/>
          <cell r="DY24" t="str">
            <v>BOLD</v>
          </cell>
          <cell r="DZ24" t="str">
            <v>Other</v>
          </cell>
          <cell r="EA24" t="str">
            <v>LABEL</v>
          </cell>
          <cell r="EB24"/>
          <cell r="EC24" t="str">
            <v>BOLD</v>
          </cell>
          <cell r="ED24" t="str">
            <v>Average Weight per Workday</v>
          </cell>
          <cell r="EE24" t="str">
            <v>AVERAGE_WEIGHT_PER_WORKDAY</v>
          </cell>
          <cell r="EF24"/>
          <cell r="EG24" t="str">
            <v>BOLD</v>
          </cell>
          <cell r="EJ24"/>
          <cell r="EK24" t="str">
            <v>BOLD</v>
          </cell>
          <cell r="EL24" t="str">
            <v xml:space="preserve">  Cross Ties Installed</v>
          </cell>
          <cell r="EM24" t="str">
            <v>CROSS_TIES_INSTALLED</v>
          </cell>
          <cell r="EN24"/>
          <cell r="EO24" t="str">
            <v>NO</v>
          </cell>
          <cell r="EP24" t="str">
            <v>Number of Clients $5+MM-$10MM</v>
          </cell>
          <cell r="EQ24" t="str">
            <v>NUM_CLIENTS_5MM_TO_10MM</v>
          </cell>
          <cell r="ER24"/>
          <cell r="ES24" t="str">
            <v>BOLD</v>
          </cell>
          <cell r="ET24" t="str">
            <v>Cost of License Revenue (TTM)</v>
          </cell>
          <cell r="EU24" t="str">
            <v>T12M_COST_OF_LICENSE_REVENUE</v>
          </cell>
          <cell r="EV24"/>
          <cell r="EW24" t="str">
            <v>BOLD</v>
          </cell>
          <cell r="EX24" t="str">
            <v>NAND Retail ASP Change, QoQ (%)</v>
          </cell>
          <cell r="EY24" t="str">
            <v>ARD_NAND_RETAIL_ASP_QOQ</v>
          </cell>
          <cell r="EZ24"/>
          <cell r="FA24" t="str">
            <v>BOLD</v>
          </cell>
          <cell r="FD24"/>
          <cell r="FE24" t="str">
            <v>BOLD</v>
          </cell>
          <cell r="FF24" t="str">
            <v>Blended</v>
          </cell>
          <cell r="FG24" t="str">
            <v>TELECOM_CELLULAR_CHURN_RATE</v>
          </cell>
          <cell r="FH24"/>
          <cell r="FI24" t="str">
            <v>BOLD</v>
          </cell>
          <cell r="FJ24" t="str">
            <v>Voice</v>
          </cell>
          <cell r="FK24" t="str">
            <v>LABEL</v>
          </cell>
          <cell r="FL24"/>
          <cell r="FM24" t="str">
            <v>BOLD</v>
          </cell>
          <cell r="FN24" t="str">
            <v>Fuel Cost per ASM</v>
          </cell>
          <cell r="FO24" t="str">
            <v>FUEL_COST_PER_AVAIL_SEAT_MILE</v>
          </cell>
          <cell r="FP24"/>
          <cell r="FQ24" t="str">
            <v>BOLD</v>
          </cell>
          <cell r="FT24"/>
          <cell r="FU24" t="str">
            <v>BOLD</v>
          </cell>
          <cell r="FV24" t="str">
            <v>Inv-finished goods</v>
          </cell>
          <cell r="FW24" t="str">
            <v>INVTRY_FINISHED_GOODS</v>
          </cell>
          <cell r="FX24"/>
          <cell r="FY24" t="str">
            <v>BOLD</v>
          </cell>
          <cell r="GB24"/>
          <cell r="GC24" t="str">
            <v>BOLD</v>
          </cell>
          <cell r="GF24"/>
          <cell r="GG24" t="str">
            <v>BOLD</v>
          </cell>
          <cell r="GJ24"/>
          <cell r="GK24" t="str">
            <v>BOLD</v>
          </cell>
          <cell r="GL24" t="str">
            <v>Net Inc/1000 Emp</v>
          </cell>
          <cell r="GM24" t="str">
            <v>NET_INC_PER_EMPL</v>
          </cell>
          <cell r="GN24"/>
          <cell r="GO24" t="str">
            <v>BOLD</v>
          </cell>
          <cell r="GP24" t="str">
            <v>Agriculture-Number of Facilities</v>
          </cell>
          <cell r="GQ24" t="str">
            <v>AGRO_FACILITIES</v>
          </cell>
          <cell r="GR24"/>
          <cell r="GS24" t="str">
            <v>BOLD</v>
          </cell>
          <cell r="GT24" t="str">
            <v xml:space="preserve">  Slots Handle</v>
          </cell>
          <cell r="GU24" t="str">
            <v>ENTERT_SLOTS_HANDLE</v>
          </cell>
          <cell r="GV24"/>
          <cell r="GW24" t="str">
            <v>NO</v>
          </cell>
          <cell r="GZ24"/>
          <cell r="HA24" t="str">
            <v>BOLD</v>
          </cell>
          <cell r="HB24" t="str">
            <v>Real Estate Investments</v>
          </cell>
          <cell r="HC24" t="str">
            <v>AST_ALLOC_REAL_ESTATE_INVEST</v>
          </cell>
          <cell r="HD24"/>
          <cell r="HE24" t="str">
            <v>BOLD</v>
          </cell>
          <cell r="HF24" t="str">
            <v>FCF/Dil shr</v>
          </cell>
          <cell r="HG24" t="str">
            <v>FCF_PER_DIL_SHR</v>
          </cell>
          <cell r="HH24"/>
          <cell r="HI24" t="str">
            <v>BOLD</v>
          </cell>
          <cell r="HL24"/>
          <cell r="HM24" t="str">
            <v>BOLD</v>
          </cell>
          <cell r="HP24"/>
          <cell r="HQ24" t="str">
            <v>BOLD</v>
          </cell>
          <cell r="HT24"/>
          <cell r="HU24" t="str">
            <v>BOLD</v>
          </cell>
          <cell r="HV24" t="str">
            <v>Core Tier 1 Capital Ratio</v>
          </cell>
          <cell r="HW24" t="str">
            <v>BS_CORE_TIER1_CAPITAL_RATIO</v>
          </cell>
          <cell r="HX24"/>
          <cell r="HY24" t="str">
            <v>BOLD</v>
          </cell>
          <cell r="HZ24" t="str">
            <v>BBB</v>
          </cell>
          <cell r="IA24" t="str">
            <v>BS_QUALITY_RTG_BBB</v>
          </cell>
          <cell r="IB24"/>
          <cell r="IC24" t="str">
            <v>BOLD</v>
          </cell>
          <cell r="ID24" t="str">
            <v>Price per Ad YoY% Change</v>
          </cell>
          <cell r="IE24" t="str">
            <v>PRICE_PER_AD_YOY_PERCENTAGE</v>
          </cell>
          <cell r="IF24"/>
          <cell r="IG24" t="str">
            <v>BOLD</v>
          </cell>
          <cell r="IH24" t="str">
            <v>Net Stable Funding Ratio</v>
          </cell>
          <cell r="II24" t="str">
            <v>ARDR_NET_STABLE_FUNDING_RATIO</v>
          </cell>
          <cell r="IJ24"/>
          <cell r="IK24" t="str">
            <v>BOLD</v>
          </cell>
          <cell r="IL24" t="str">
            <v xml:space="preserve">  CPO Price</v>
          </cell>
          <cell r="IM24" t="str">
            <v>BIOFUEL_AVERAGE_PRICE_CPO</v>
          </cell>
          <cell r="IN24"/>
          <cell r="IO24" t="str">
            <v>NO</v>
          </cell>
          <cell r="IP24" t="str">
            <v>+ Other</v>
          </cell>
          <cell r="IQ24" t="str">
            <v>ARDR_ELECTRIC_CUST_OTHER</v>
          </cell>
          <cell r="IR24"/>
          <cell r="IS24" t="str">
            <v>BOLD</v>
          </cell>
          <cell r="IX24" t="str">
            <v>Core Tier 1 Capital Ratio</v>
          </cell>
          <cell r="IY24" t="str">
            <v>BS_CORE_TIER1_CAPITAL_RATIO</v>
          </cell>
          <cell r="IZ24"/>
          <cell r="JA24" t="str">
            <v>BOLD</v>
          </cell>
          <cell r="JB24" t="str">
            <v>BBB</v>
          </cell>
          <cell r="JC24" t="str">
            <v>BS_QUALITY_RTG_BBB</v>
          </cell>
          <cell r="JD24"/>
          <cell r="JE24" t="str">
            <v>BOLD</v>
          </cell>
          <cell r="JJ24" t="str">
            <v>Total Area</v>
          </cell>
          <cell r="JK24" t="str">
            <v>TOTAL_SF_COMPANY_OWNED</v>
          </cell>
          <cell r="JL24"/>
          <cell r="JM24" t="str">
            <v>BOLD</v>
          </cell>
          <cell r="JO24" t="str">
            <v>Number of Users Serviced</v>
          </cell>
          <cell r="JP24" t="str">
            <v>NUMBER_OF_USERS_SERVICED</v>
          </cell>
          <cell r="JQ24"/>
          <cell r="JR24" t="str">
            <v>BOLD</v>
          </cell>
        </row>
        <row r="25">
          <cell r="A25">
            <v>24</v>
          </cell>
          <cell r="D25"/>
          <cell r="E25" t="str">
            <v>BOLD</v>
          </cell>
          <cell r="F25" t="str">
            <v>Debit Card Issuer Spending Vol</v>
          </cell>
          <cell r="G25" t="str">
            <v>DEBIT_CARD_ISSUER_SPND_VOLUME</v>
          </cell>
          <cell r="H25"/>
          <cell r="I25" t="str">
            <v>BOLD</v>
          </cell>
          <cell r="J25" t="str">
            <v>Copper (Tons)</v>
          </cell>
          <cell r="K25" t="str">
            <v>MINING_COPPER_SOLD</v>
          </cell>
          <cell r="L25"/>
          <cell r="M25" t="str">
            <v>BOLD</v>
          </cell>
          <cell r="N25" t="str">
            <v>Silver (oz)</v>
          </cell>
          <cell r="O25" t="str">
            <v>MINING_SILVER_SOLD</v>
          </cell>
          <cell r="P25"/>
          <cell r="Q25" t="str">
            <v>BOLD</v>
          </cell>
          <cell r="R25" t="str">
            <v>Gold Equivalents Forecast (oz)</v>
          </cell>
          <cell r="S25" t="str">
            <v>MINING_GOLD_EQUIV_PROD_PLANNED</v>
          </cell>
          <cell r="T25"/>
          <cell r="U25" t="str">
            <v>BOLD</v>
          </cell>
          <cell r="V25" t="str">
            <v>Lead ($/lb)</v>
          </cell>
          <cell r="W25" t="str">
            <v>MINING_LEAD_REALIZED_PX</v>
          </cell>
          <cell r="X25"/>
          <cell r="Y25" t="str">
            <v>BOLD</v>
          </cell>
          <cell r="AB25"/>
          <cell r="AC25" t="str">
            <v>BOLD</v>
          </cell>
          <cell r="AD25" t="str">
            <v>Copper - Recovery (%)</v>
          </cell>
          <cell r="AE25" t="str">
            <v>MINING_COPPER_PROD_RECOV_PCT</v>
          </cell>
          <cell r="AF25"/>
          <cell r="AG25" t="str">
            <v>BOLD</v>
          </cell>
          <cell r="AH25" t="str">
            <v>Coal - Ore Volume (Tons)</v>
          </cell>
          <cell r="AI25" t="str">
            <v>MINING_P&amp;P_RSRVS_COAL_VOLUME</v>
          </cell>
          <cell r="AJ25"/>
          <cell r="AK25" t="str">
            <v>BOLD</v>
          </cell>
          <cell r="AL25" t="str">
            <v>Cobalt - Grade (%)</v>
          </cell>
          <cell r="AM25" t="str">
            <v>MINING_M&amp;I_RES_COBALT_GRADE</v>
          </cell>
          <cell r="AN25"/>
          <cell r="AO25" t="str">
            <v>BOLD</v>
          </cell>
          <cell r="AP25" t="str">
            <v>Takaful Real Estate Investments (Ijara)</v>
          </cell>
          <cell r="AQ25" t="str">
            <v>BS_TAKAFUL_REAL_ESTATE_INV_IJARA</v>
          </cell>
          <cell r="AR25"/>
          <cell r="AS25" t="str">
            <v>BOLD</v>
          </cell>
          <cell r="AT25" t="str">
            <v>Silver Concentrate Production</v>
          </cell>
          <cell r="AU25" t="str">
            <v>MINING_SILVER_PRODUCTION_ACTUAL</v>
          </cell>
          <cell r="AV25"/>
          <cell r="AW25" t="str">
            <v>BOLD</v>
          </cell>
          <cell r="AZ25"/>
          <cell r="BA25" t="str">
            <v>BOLD</v>
          </cell>
          <cell r="BB25" t="str">
            <v xml:space="preserve">    - Production Costs</v>
          </cell>
          <cell r="BC25" t="str">
            <v>PRODUCTION_COST_CANADA</v>
          </cell>
          <cell r="BD25"/>
          <cell r="BE25" t="str">
            <v>NO</v>
          </cell>
          <cell r="BH25"/>
          <cell r="BI25" t="str">
            <v>BOLD</v>
          </cell>
          <cell r="BL25"/>
          <cell r="BM25" t="str">
            <v>BOLD</v>
          </cell>
          <cell r="BN25" t="str">
            <v>Europe</v>
          </cell>
          <cell r="BO25" t="str">
            <v>LABEL</v>
          </cell>
          <cell r="BP25"/>
          <cell r="BQ25" t="str">
            <v>BOLD</v>
          </cell>
          <cell r="BT25"/>
          <cell r="BU25" t="str">
            <v>BOLD</v>
          </cell>
          <cell r="BV25" t="str">
            <v xml:space="preserve">  End of year</v>
          </cell>
          <cell r="BW25" t="str">
            <v>GAS_END_YEAR_NAMR</v>
          </cell>
          <cell r="BX25"/>
          <cell r="BY25" t="str">
            <v>NO</v>
          </cell>
          <cell r="BZ25" t="str">
            <v xml:space="preserve">  Developed Reserves</v>
          </cell>
          <cell r="CA25" t="str">
            <v>OIL_DEVELOPED_RESERVES_NA</v>
          </cell>
          <cell r="CB25"/>
          <cell r="CC25" t="str">
            <v>NO</v>
          </cell>
          <cell r="CD25" t="str">
            <v xml:space="preserve">  + Improved Recovery</v>
          </cell>
          <cell r="CE25" t="str">
            <v>BOE_IMPROV_REC_NAMR</v>
          </cell>
          <cell r="CF25"/>
          <cell r="CG25" t="str">
            <v>NO</v>
          </cell>
          <cell r="CH25" t="str">
            <v>Energy-BOE-Extensions&amp;Disc-Worldwide</v>
          </cell>
          <cell r="CI25" t="str">
            <v>BOE_EXTENS_DISCOV_WORLD</v>
          </cell>
          <cell r="CJ25"/>
          <cell r="CK25" t="str">
            <v>BOLD</v>
          </cell>
          <cell r="CL25" t="str">
            <v>Ready-Mix Concrete Volumes/Shipments</v>
          </cell>
          <cell r="CM25" t="str">
            <v>READY_MIX_CONCRETE_VOL_SHIPMENTS</v>
          </cell>
          <cell r="CN25"/>
          <cell r="CO25" t="str">
            <v>BOLD</v>
          </cell>
          <cell r="CR25"/>
          <cell r="CS25" t="str">
            <v>BOLD</v>
          </cell>
          <cell r="CT25" t="str">
            <v>Institutional Pharmacy</v>
          </cell>
          <cell r="CU25" t="str">
            <v>LABEL</v>
          </cell>
          <cell r="CV25"/>
          <cell r="CW25" t="str">
            <v>BOLD</v>
          </cell>
          <cell r="CZ25"/>
          <cell r="DA25" t="str">
            <v>BOLD</v>
          </cell>
          <cell r="DD25"/>
          <cell r="DE25" t="str">
            <v>BOLD</v>
          </cell>
          <cell r="DH25"/>
          <cell r="DI25" t="str">
            <v>BOLD</v>
          </cell>
          <cell r="DJ25" t="str">
            <v>Allowance for Doubtful Casino Accounts %</v>
          </cell>
          <cell r="DK25" t="str">
            <v>ALLWNC_FOR_DBTFL_CASINO_ACCT_PCT</v>
          </cell>
          <cell r="DL25"/>
          <cell r="DM25" t="str">
            <v>BOLD</v>
          </cell>
          <cell r="DN25" t="str">
            <v>Year's Supply Total</v>
          </cell>
          <cell r="DO25" t="str">
            <v>YEARS_SUPPLY_TOTAL</v>
          </cell>
          <cell r="DP25"/>
          <cell r="DQ25" t="str">
            <v>BOLD</v>
          </cell>
          <cell r="DR25" t="str">
            <v xml:space="preserve">  Average Length of Stay</v>
          </cell>
          <cell r="DS25" t="str">
            <v>SAME_HOSPITAL_AVG_LENGTH_OF_STAY</v>
          </cell>
          <cell r="DT25"/>
          <cell r="DU25" t="str">
            <v>NO</v>
          </cell>
          <cell r="DX25"/>
          <cell r="DY25" t="str">
            <v>BOLD</v>
          </cell>
          <cell r="DZ25" t="str">
            <v>Medical Cost Trend</v>
          </cell>
          <cell r="EA25" t="str">
            <v>MGD_CARE_MEDICAL_COST_TREND</v>
          </cell>
          <cell r="EB25"/>
          <cell r="EC25" t="str">
            <v>BOLD</v>
          </cell>
          <cell r="ED25" t="str">
            <v>Average Weight per Shipment</v>
          </cell>
          <cell r="EE25" t="str">
            <v>TRUCKING_AVG_LOAD</v>
          </cell>
          <cell r="EF25"/>
          <cell r="EG25" t="str">
            <v>BOLD</v>
          </cell>
          <cell r="EJ25"/>
          <cell r="EK25" t="str">
            <v>BOLD</v>
          </cell>
          <cell r="EL25" t="str">
            <v xml:space="preserve">  Rail Same Store Sales</v>
          </cell>
          <cell r="EM25" t="str">
            <v>ARD_RAIL_SAME_STORE_SALES</v>
          </cell>
          <cell r="EN25"/>
          <cell r="EO25" t="str">
            <v>NO</v>
          </cell>
          <cell r="EP25" t="str">
            <v>Number of Clients $10+MM-$20MM</v>
          </cell>
          <cell r="EQ25" t="str">
            <v>NUM_CLIENTS_10MM_TO_20MM</v>
          </cell>
          <cell r="ER25"/>
          <cell r="ES25" t="str">
            <v>BOLD</v>
          </cell>
          <cell r="EV25"/>
          <cell r="EW25" t="str">
            <v>BOLD</v>
          </cell>
          <cell r="EX25" t="str">
            <v>NAND Bit Cost Growth, QoQ (%)</v>
          </cell>
          <cell r="EY25" t="str">
            <v>ARD_NAND_GB_COST_QOQ</v>
          </cell>
          <cell r="EZ25"/>
          <cell r="FA25" t="str">
            <v>BOLD</v>
          </cell>
          <cell r="FD25"/>
          <cell r="FE25" t="str">
            <v>BOLD</v>
          </cell>
          <cell r="FF25" t="str">
            <v>Postpaid</v>
          </cell>
          <cell r="FG25" t="str">
            <v>WIRELESS_POSTPAID_CHURN</v>
          </cell>
          <cell r="FH25"/>
          <cell r="FI25" t="str">
            <v>BOLD</v>
          </cell>
          <cell r="FJ25" t="str">
            <v>Subscribers</v>
          </cell>
          <cell r="FK25" t="str">
            <v>CABLE_PHONE_SUBSCRIBERS</v>
          </cell>
          <cell r="FL25"/>
          <cell r="FM25" t="str">
            <v>BOLD</v>
          </cell>
          <cell r="FN25" t="str">
            <v>Average Age of Fleet</v>
          </cell>
          <cell r="FO25" t="str">
            <v>AGES_OF_AIRCRAFT_IN_FLT</v>
          </cell>
          <cell r="FP25"/>
          <cell r="FQ25" t="str">
            <v>BOLD</v>
          </cell>
          <cell r="FT25"/>
          <cell r="FU25" t="str">
            <v>BOLD</v>
          </cell>
          <cell r="FV25" t="str">
            <v># OF EMPLOYEES</v>
          </cell>
          <cell r="FW25" t="str">
            <v>NUM_OF_EMPLOYEES</v>
          </cell>
          <cell r="FX25"/>
          <cell r="FY25" t="str">
            <v>BOLD</v>
          </cell>
          <cell r="GB25"/>
          <cell r="GC25" t="str">
            <v>BOLD</v>
          </cell>
          <cell r="GF25"/>
          <cell r="GG25" t="str">
            <v>BOLD</v>
          </cell>
          <cell r="GJ25"/>
          <cell r="GK25" t="str">
            <v>BOLD</v>
          </cell>
          <cell r="GN25"/>
          <cell r="GO25" t="str">
            <v>BOLD</v>
          </cell>
          <cell r="GP25" t="str">
            <v>Agriculture-Production Capacity</v>
          </cell>
          <cell r="GQ25" t="str">
            <v>AGRO_PRODUCTION_CAPACITY</v>
          </cell>
          <cell r="GR25"/>
          <cell r="GS25" t="str">
            <v>BOLD</v>
          </cell>
          <cell r="GT25" t="str">
            <v xml:space="preserve">  Slots Win $</v>
          </cell>
          <cell r="GU25" t="str">
            <v>ENTERT_SLOTS_WINNINGS</v>
          </cell>
          <cell r="GV25"/>
          <cell r="GW25" t="str">
            <v>NO</v>
          </cell>
          <cell r="GZ25"/>
          <cell r="HA25" t="str">
            <v>BOLD</v>
          </cell>
          <cell r="HB25" t="str">
            <v>Derivatives Investments</v>
          </cell>
          <cell r="HC25" t="str">
            <v>AST_ALLOCATION_DERIVATIVE_INVEST</v>
          </cell>
          <cell r="HD25"/>
          <cell r="HE25" t="str">
            <v>BOLD</v>
          </cell>
          <cell r="HH25"/>
          <cell r="HI25" t="str">
            <v>BOLD</v>
          </cell>
          <cell r="HL25"/>
          <cell r="HM25" t="str">
            <v>BOLD</v>
          </cell>
          <cell r="HP25"/>
          <cell r="HQ25" t="str">
            <v>BOLD</v>
          </cell>
          <cell r="HT25"/>
          <cell r="HU25" t="str">
            <v>BOLD</v>
          </cell>
          <cell r="HV25" t="str">
            <v>Leverage Ratio</v>
          </cell>
          <cell r="HW25" t="str">
            <v>BS_LEV_RATIO_TO_TANG_CAP</v>
          </cell>
          <cell r="HX25"/>
          <cell r="HY25" t="str">
            <v>BOLD</v>
          </cell>
          <cell r="HZ25" t="str">
            <v>BB</v>
          </cell>
          <cell r="IA25" t="str">
            <v>BS_QUALITY_RTG_BB_AMT</v>
          </cell>
          <cell r="IB25"/>
          <cell r="IC25" t="str">
            <v>BOLD</v>
          </cell>
          <cell r="ID25" t="str">
            <v>Internet Media Average Revenue per Unit</v>
          </cell>
          <cell r="IE25" t="str">
            <v>INTERNET_MEDIA_ARPU</v>
          </cell>
          <cell r="IF25"/>
          <cell r="IG25" t="str">
            <v>BOLD</v>
          </cell>
          <cell r="IJ25"/>
          <cell r="IK25" t="str">
            <v>BOLD</v>
          </cell>
          <cell r="IL25" t="str">
            <v xml:space="preserve">  PKO Price</v>
          </cell>
          <cell r="IM25" t="str">
            <v>BIOFUEL_AVG_PRICE_PALM_KERNEL</v>
          </cell>
          <cell r="IN25"/>
          <cell r="IO25" t="str">
            <v>NO</v>
          </cell>
          <cell r="IP25" t="str">
            <v>Total Customers</v>
          </cell>
          <cell r="IQ25" t="str">
            <v>ARDR_ELECTRIC_CUST_TOTAL</v>
          </cell>
          <cell r="IR25"/>
          <cell r="IS25" t="str">
            <v>BOLD</v>
          </cell>
          <cell r="IX25" t="str">
            <v>Leverage Ratio</v>
          </cell>
          <cell r="IY25" t="str">
            <v>BS_LEV_RATIO_TO_TANG_CAP</v>
          </cell>
          <cell r="IZ25"/>
          <cell r="JA25" t="str">
            <v>BOLD</v>
          </cell>
          <cell r="JB25" t="str">
            <v>BB</v>
          </cell>
          <cell r="JC25" t="str">
            <v>BS_QUALITY_RTG_BB_AMT</v>
          </cell>
          <cell r="JD25"/>
          <cell r="JE25" t="str">
            <v>BOLD</v>
          </cell>
          <cell r="JL25"/>
          <cell r="JM25" t="str">
            <v>BOLD</v>
          </cell>
          <cell r="JO25" t="str">
            <v>New Users</v>
          </cell>
          <cell r="JP25" t="str">
            <v>NEW_USERS</v>
          </cell>
          <cell r="JQ25"/>
          <cell r="JR25" t="str">
            <v>BOLD</v>
          </cell>
        </row>
        <row r="26">
          <cell r="A26">
            <v>25</v>
          </cell>
          <cell r="D26"/>
          <cell r="E26" t="str">
            <v>BOLD</v>
          </cell>
          <cell r="F26" t="str">
            <v>Card Issuer Sales Vol</v>
          </cell>
          <cell r="G26" t="str">
            <v>CARD_ISSUER_SALES_VOLUME</v>
          </cell>
          <cell r="H26"/>
          <cell r="I26" t="str">
            <v>BOLD</v>
          </cell>
          <cell r="J26" t="str">
            <v>Realized Price ($/lb)</v>
          </cell>
          <cell r="K26" t="str">
            <v>MINING_COPPER_REALIZED_PX</v>
          </cell>
          <cell r="L26"/>
          <cell r="M26" t="str">
            <v>BOLD</v>
          </cell>
          <cell r="N26" t="str">
            <v>Realized Price ($/oz)</v>
          </cell>
          <cell r="O26" t="str">
            <v>MINING_SILVER_REALIZED_PX</v>
          </cell>
          <cell r="P26"/>
          <cell r="Q26" t="str">
            <v>BOLD</v>
          </cell>
          <cell r="R26" t="str">
            <v>Gold Sales</v>
          </cell>
          <cell r="S26" t="str">
            <v>LABEL</v>
          </cell>
          <cell r="T26"/>
          <cell r="U26" t="str">
            <v>BOLD</v>
          </cell>
          <cell r="V26" t="str">
            <v>Manganese ($/lb)</v>
          </cell>
          <cell r="W26" t="str">
            <v>MINING_MANGANESE_REALIZED_PX</v>
          </cell>
          <cell r="X26"/>
          <cell r="Y26" t="str">
            <v>BOLD</v>
          </cell>
          <cell r="AB26"/>
          <cell r="AC26" t="str">
            <v>BOLD</v>
          </cell>
          <cell r="AD26" t="str">
            <v>Copper Production (Tons)</v>
          </cell>
          <cell r="AE26" t="str">
            <v>MINING_COPPER_PRODUCTION_ACTUAL</v>
          </cell>
          <cell r="AF26"/>
          <cell r="AG26" t="str">
            <v>BOLD</v>
          </cell>
          <cell r="AH26" t="str">
            <v>Contained Coal (Tons)</v>
          </cell>
          <cell r="AI26" t="str">
            <v>MINING_P&amp;P_RSRVS_CONTAINED_COAL</v>
          </cell>
          <cell r="AJ26"/>
          <cell r="AK26" t="str">
            <v>BOLD</v>
          </cell>
          <cell r="AL26" t="str">
            <v>Contained Cobalt (Tons)</v>
          </cell>
          <cell r="AM26" t="str">
            <v>MINING_M&amp;I_RES_CONTAINED_COBALT</v>
          </cell>
          <cell r="AN26"/>
          <cell r="AO26" t="str">
            <v>BOLD</v>
          </cell>
          <cell r="AP26" t="str">
            <v>Takaful Other Investments Policyholders</v>
          </cell>
          <cell r="AQ26" t="str">
            <v>BS_TAKAFUL_OTHER_INVESTMENTS</v>
          </cell>
          <cell r="AR26"/>
          <cell r="AS26" t="str">
            <v>BOLD</v>
          </cell>
          <cell r="AV26"/>
          <cell r="AW26" t="str">
            <v>BOLD</v>
          </cell>
          <cell r="AZ26"/>
          <cell r="BA26" t="str">
            <v>BOLD</v>
          </cell>
          <cell r="BB26" t="str">
            <v xml:space="preserve">    - Exploration Expense</v>
          </cell>
          <cell r="BC26" t="str">
            <v>EXPLORATION_EXPENSES_CANADA</v>
          </cell>
          <cell r="BD26"/>
          <cell r="BE26" t="str">
            <v>NO</v>
          </cell>
          <cell r="BH26"/>
          <cell r="BI26" t="str">
            <v>BOLD</v>
          </cell>
          <cell r="BL26"/>
          <cell r="BM26" t="str">
            <v>BOLD</v>
          </cell>
          <cell r="BN26" t="str">
            <v xml:space="preserve">  Oil (MBBL/Day)</v>
          </cell>
          <cell r="BO26" t="str">
            <v>OIL_PRODUCTION_EUROPE_MBBL_DY</v>
          </cell>
          <cell r="BP26"/>
          <cell r="BQ26" t="str">
            <v>NO</v>
          </cell>
          <cell r="BT26"/>
          <cell r="BU26" t="str">
            <v>BOLD</v>
          </cell>
          <cell r="BV26" t="str">
            <v xml:space="preserve">  Developed Reserves</v>
          </cell>
          <cell r="BW26" t="str">
            <v>GAS_DEVEL_RESV_NAMR</v>
          </cell>
          <cell r="BX26"/>
          <cell r="BY26" t="str">
            <v>NO</v>
          </cell>
          <cell r="CB26"/>
          <cell r="CC26" t="str">
            <v>BOLD</v>
          </cell>
          <cell r="CD26" t="str">
            <v xml:space="preserve">  + Extensions &amp; Discoveries</v>
          </cell>
          <cell r="CE26" t="str">
            <v>BOE_EXTENS_DISCOV_NAMR</v>
          </cell>
          <cell r="CF26"/>
          <cell r="CG26" t="str">
            <v>NO</v>
          </cell>
          <cell r="CH26" t="str">
            <v>Energy-BOE-Purchases-Worldwide</v>
          </cell>
          <cell r="CI26" t="str">
            <v>BOE_PURCHASES_WORLD</v>
          </cell>
          <cell r="CJ26"/>
          <cell r="CK26" t="str">
            <v>BOLD</v>
          </cell>
          <cell r="CL26" t="str">
            <v xml:space="preserve">  Ready-Mix Concrete Volume Growth</v>
          </cell>
          <cell r="CM26" t="str">
            <v>READY_MIX_CONCRETE_VOLUME_GROWTH</v>
          </cell>
          <cell r="CN26"/>
          <cell r="CO26" t="str">
            <v>NO</v>
          </cell>
          <cell r="CP26" t="str">
            <v>Operating Statistics</v>
          </cell>
          <cell r="CQ26" t="str">
            <v>LABEL</v>
          </cell>
          <cell r="CR26"/>
          <cell r="CS26" t="str">
            <v>BOLD</v>
          </cell>
          <cell r="CT26" t="str">
            <v>Number of Institutional Pharmacies</v>
          </cell>
          <cell r="CU26" t="str">
            <v>NUMBER_INSTITUTIONAL_PHARMACIES</v>
          </cell>
          <cell r="CV26"/>
          <cell r="CW26" t="str">
            <v>BOLD</v>
          </cell>
          <cell r="CZ26"/>
          <cell r="DA26" t="str">
            <v>BOLD</v>
          </cell>
          <cell r="DD26"/>
          <cell r="DE26" t="str">
            <v>BOLD</v>
          </cell>
          <cell r="DH26"/>
          <cell r="DI26" t="str">
            <v>BOLD</v>
          </cell>
          <cell r="DJ26" t="str">
            <v>Number of Casinos</v>
          </cell>
          <cell r="DK26" t="str">
            <v>ENTERT_CASINOS</v>
          </cell>
          <cell r="DL26"/>
          <cell r="DM26" t="str">
            <v>BOLD</v>
          </cell>
          <cell r="DN26" t="str">
            <v>Year's Supply Owned</v>
          </cell>
          <cell r="DO26" t="str">
            <v>YEARS_SUPPLY_OWNED</v>
          </cell>
          <cell r="DP26"/>
          <cell r="DQ26" t="str">
            <v>BOLD</v>
          </cell>
          <cell r="DR26" t="str">
            <v xml:space="preserve">  Inpatient Surgeries</v>
          </cell>
          <cell r="DS26" t="str">
            <v>SAME_HOSP_INPATIENT_SURGERIES</v>
          </cell>
          <cell r="DT26"/>
          <cell r="DU26" t="str">
            <v>NO</v>
          </cell>
          <cell r="DX26"/>
          <cell r="DY26" t="str">
            <v>BOLD</v>
          </cell>
          <cell r="DZ26" t="str">
            <v>Number of Members</v>
          </cell>
          <cell r="EA26" t="str">
            <v>MGD_CARE_MEMBERS</v>
          </cell>
          <cell r="EB26"/>
          <cell r="EC26" t="str">
            <v>BOLD</v>
          </cell>
          <cell r="ED26" t="str">
            <v>Average Shipments per Workday</v>
          </cell>
          <cell r="EE26" t="str">
            <v>AVERAGE_SHIPMENTS_PER_WORKDAY</v>
          </cell>
          <cell r="EF26"/>
          <cell r="EG26" t="str">
            <v>BOLD</v>
          </cell>
          <cell r="EJ26"/>
          <cell r="EK26" t="str">
            <v>BOLD</v>
          </cell>
          <cell r="EL26" t="str">
            <v xml:space="preserve">  Rail Core Pricing</v>
          </cell>
          <cell r="EM26" t="str">
            <v>ARD_RAIL_CORE_PRICING</v>
          </cell>
          <cell r="EN26"/>
          <cell r="EO26" t="str">
            <v>NO</v>
          </cell>
          <cell r="EP26" t="str">
            <v>Number of Clients $20+MM-$30MM</v>
          </cell>
          <cell r="EQ26" t="str">
            <v>NUM_CLIENTS_20MM_TO_30MM</v>
          </cell>
          <cell r="ER26"/>
          <cell r="ES26" t="str">
            <v>BOLD</v>
          </cell>
          <cell r="ET26" t="str">
            <v>Cost of Maintenance Revenue</v>
          </cell>
          <cell r="EU26" t="str">
            <v>COST_OF_MAINTENANCE_REV</v>
          </cell>
          <cell r="EV26"/>
          <cell r="EW26" t="str">
            <v>BOLD</v>
          </cell>
          <cell r="EX26" t="str">
            <v>NAND Bit Cost Growth, YoY (%)</v>
          </cell>
          <cell r="EY26" t="str">
            <v>ARD_NAND_GB_COST_YOY</v>
          </cell>
          <cell r="EZ26"/>
          <cell r="FA26" t="str">
            <v>BOLD</v>
          </cell>
          <cell r="FD26"/>
          <cell r="FE26" t="str">
            <v>BOLD</v>
          </cell>
          <cell r="FF26" t="str">
            <v>Prepaid</v>
          </cell>
          <cell r="FG26" t="str">
            <v>PREPAID_CHURN_RATE</v>
          </cell>
          <cell r="FH26"/>
          <cell r="FI26" t="str">
            <v>BOLD</v>
          </cell>
          <cell r="FJ26" t="str">
            <v>Subscriber Additions, Net</v>
          </cell>
          <cell r="FK26" t="str">
            <v>CABLE_PHONE_NET_SUBSCRIBER_ADDS</v>
          </cell>
          <cell r="FL26"/>
          <cell r="FM26" t="str">
            <v>BOLD</v>
          </cell>
          <cell r="FP26"/>
          <cell r="FQ26" t="str">
            <v>BOLD</v>
          </cell>
          <cell r="FT26"/>
          <cell r="FU26" t="str">
            <v>BOLD</v>
          </cell>
          <cell r="FV26" t="str">
            <v>Employee Yr change %</v>
          </cell>
          <cell r="FW26" t="str">
            <v>EMPL_GROWTH</v>
          </cell>
          <cell r="FX26"/>
          <cell r="FY26" t="str">
            <v>BOLD</v>
          </cell>
          <cell r="GB26"/>
          <cell r="GC26" t="str">
            <v>BOLD</v>
          </cell>
          <cell r="GF26"/>
          <cell r="GG26" t="str">
            <v>BOLD</v>
          </cell>
          <cell r="GJ26"/>
          <cell r="GK26" t="str">
            <v>BOLD</v>
          </cell>
          <cell r="GL26" t="str">
            <v>Additional Analysis</v>
          </cell>
          <cell r="GM26" t="str">
            <v>LABEL</v>
          </cell>
          <cell r="GN26"/>
          <cell r="GO26" t="str">
            <v>BOLD</v>
          </cell>
          <cell r="GP26" t="str">
            <v>Agricultural Produce</v>
          </cell>
          <cell r="GQ26" t="str">
            <v>AGRICULTURAL_PRODUCE</v>
          </cell>
          <cell r="GR26"/>
          <cell r="GS26" t="str">
            <v>BOLD</v>
          </cell>
          <cell r="GT26" t="str">
            <v xml:space="preserve">  Slots Win %</v>
          </cell>
          <cell r="GU26" t="str">
            <v>ENTERT_SLOTS_WIN_%</v>
          </cell>
          <cell r="GV26"/>
          <cell r="GW26" t="str">
            <v>NO</v>
          </cell>
          <cell r="GZ26"/>
          <cell r="HA26" t="str">
            <v>BOLD</v>
          </cell>
          <cell r="HB26" t="str">
            <v>Commodities Investments</v>
          </cell>
          <cell r="HC26" t="str">
            <v>AST_ALLOCATION_COMMOD_INVEST</v>
          </cell>
          <cell r="HD26"/>
          <cell r="HE26" t="str">
            <v>BOLD</v>
          </cell>
          <cell r="HF26" t="str">
            <v>Other</v>
          </cell>
          <cell r="HG26" t="str">
            <v>LABEL</v>
          </cell>
          <cell r="HH26"/>
          <cell r="HI26" t="str">
            <v>BOLD</v>
          </cell>
          <cell r="HL26"/>
          <cell r="HM26" t="str">
            <v>BOLD</v>
          </cell>
          <cell r="HP26"/>
          <cell r="HQ26" t="str">
            <v>BOLD</v>
          </cell>
          <cell r="HT26"/>
          <cell r="HU26" t="str">
            <v>BOLD</v>
          </cell>
          <cell r="HV26" t="str">
            <v>Common Equity/Total Assets</v>
          </cell>
          <cell r="HW26" t="str">
            <v>COM_EQY_TO_TOT_ASSET</v>
          </cell>
          <cell r="HX26"/>
          <cell r="HY26" t="str">
            <v>BOLD</v>
          </cell>
          <cell r="HZ26" t="str">
            <v>B</v>
          </cell>
          <cell r="IA26" t="str">
            <v>BS_QUALITY_RTG_B_AMT</v>
          </cell>
          <cell r="IB26"/>
          <cell r="IC26" t="str">
            <v>BOLD</v>
          </cell>
          <cell r="ID26" t="str">
            <v>Page Views</v>
          </cell>
          <cell r="IE26" t="str">
            <v>INTERNET_PAGE_VIEWS</v>
          </cell>
          <cell r="IF26"/>
          <cell r="IG26" t="str">
            <v>BOLD</v>
          </cell>
          <cell r="IH26" t="str">
            <v>Other Capital</v>
          </cell>
          <cell r="II26" t="str">
            <v>LABEL</v>
          </cell>
          <cell r="IJ26"/>
          <cell r="IK26" t="str">
            <v>BOLD</v>
          </cell>
          <cell r="IL26" t="str">
            <v xml:space="preserve">  FFB Price</v>
          </cell>
          <cell r="IM26" t="str">
            <v>BIOFUEL_AVERAGE_PRICE_FFB</v>
          </cell>
          <cell r="IN26"/>
          <cell r="IO26" t="str">
            <v>NO</v>
          </cell>
          <cell r="IR26"/>
          <cell r="IS26" t="str">
            <v>BOLD</v>
          </cell>
          <cell r="IX26" t="str">
            <v>Common Equity/Total Assets</v>
          </cell>
          <cell r="IY26" t="str">
            <v>COM_EQY_TO_TOT_ASSET</v>
          </cell>
          <cell r="IZ26"/>
          <cell r="JA26" t="str">
            <v>BOLD</v>
          </cell>
          <cell r="JB26" t="str">
            <v>B</v>
          </cell>
          <cell r="JC26" t="str">
            <v>BS_QUALITY_RTG_B_AMT</v>
          </cell>
          <cell r="JD26"/>
          <cell r="JE26" t="str">
            <v>BOLD</v>
          </cell>
          <cell r="JJ26" t="str">
            <v>Stores</v>
          </cell>
          <cell r="JK26" t="str">
            <v>LABEL</v>
          </cell>
          <cell r="JL26"/>
          <cell r="JM26" t="str">
            <v>BOLD</v>
          </cell>
          <cell r="JQ26"/>
          <cell r="JR26" t="str">
            <v>BOLD</v>
          </cell>
        </row>
        <row r="27">
          <cell r="A27">
            <v>26</v>
          </cell>
          <cell r="D27"/>
          <cell r="E27" t="str">
            <v>BOLD</v>
          </cell>
          <cell r="F27" t="str">
            <v>Credit Card Ntwk Spending Vol</v>
          </cell>
          <cell r="G27" t="str">
            <v>CRED_CHRG_CARD_NTWK_SPND_VOLUME</v>
          </cell>
          <cell r="H27"/>
          <cell r="I27" t="str">
            <v>BOLD</v>
          </cell>
          <cell r="J27" t="str">
            <v>Copper Costs</v>
          </cell>
          <cell r="K27" t="str">
            <v>LABEL</v>
          </cell>
          <cell r="L27"/>
          <cell r="M27" t="str">
            <v>BOLD</v>
          </cell>
          <cell r="N27" t="str">
            <v>Silver Costs</v>
          </cell>
          <cell r="O27" t="str">
            <v>LABEL</v>
          </cell>
          <cell r="P27"/>
          <cell r="Q27" t="str">
            <v>BOLD</v>
          </cell>
          <cell r="R27" t="str">
            <v>Gold (oz)</v>
          </cell>
          <cell r="S27" t="str">
            <v>MINING_GOLD_SOLD</v>
          </cell>
          <cell r="T27"/>
          <cell r="U27" t="str">
            <v>BOLD</v>
          </cell>
          <cell r="V27" t="str">
            <v>Molybdenum ($/lb)</v>
          </cell>
          <cell r="W27" t="str">
            <v>MINING_MOLYBDENUM_REALIZED_PX</v>
          </cell>
          <cell r="X27"/>
          <cell r="Y27" t="str">
            <v>BOLD</v>
          </cell>
          <cell r="AB27"/>
          <cell r="AC27" t="str">
            <v>BOLD</v>
          </cell>
          <cell r="AD27" t="str">
            <v>Iron - Capacity (Tons)</v>
          </cell>
          <cell r="AE27" t="str">
            <v>MINING_IRON_CAPACITY</v>
          </cell>
          <cell r="AF27"/>
          <cell r="AG27" t="str">
            <v>BOLD</v>
          </cell>
          <cell r="AH27" t="str">
            <v>Cobalt - Ore Volume (Tons)</v>
          </cell>
          <cell r="AI27" t="str">
            <v>MINING_P&amp;P_RSRVS_COBALT_VOLUME</v>
          </cell>
          <cell r="AJ27"/>
          <cell r="AK27" t="str">
            <v>BOLD</v>
          </cell>
          <cell r="AL27" t="str">
            <v>Copper - Ore Volume (Tons)</v>
          </cell>
          <cell r="AM27" t="str">
            <v>MINING_M&amp;I_RES_COPPER_VOLUME</v>
          </cell>
          <cell r="AN27"/>
          <cell r="AO27" t="str">
            <v>BOLD</v>
          </cell>
          <cell r="AP27" t="str">
            <v>Takaful Deferred Policy Acq Costs Policyholders</v>
          </cell>
          <cell r="AQ27" t="str">
            <v>BS_TAKAFUL_DEFERRED_POLICY_COSTS</v>
          </cell>
          <cell r="AR27"/>
          <cell r="AS27" t="str">
            <v>BOLD</v>
          </cell>
          <cell r="AT27" t="str">
            <v>Cost</v>
          </cell>
          <cell r="AU27" t="str">
            <v>LABEL</v>
          </cell>
          <cell r="AV27"/>
          <cell r="AW27" t="str">
            <v>BOLD</v>
          </cell>
          <cell r="AZ27"/>
          <cell r="BA27" t="str">
            <v>BOLD</v>
          </cell>
          <cell r="BB27" t="str">
            <v xml:space="preserve">    - DD&amp;A</v>
          </cell>
          <cell r="BC27" t="str">
            <v>DD&amp;A_CANADA</v>
          </cell>
          <cell r="BD27"/>
          <cell r="BE27" t="str">
            <v>NO</v>
          </cell>
          <cell r="BH27"/>
          <cell r="BI27" t="str">
            <v>BOLD</v>
          </cell>
          <cell r="BL27"/>
          <cell r="BM27" t="str">
            <v>BOLD</v>
          </cell>
          <cell r="BN27" t="str">
            <v xml:space="preserve">  Gas (MMCF/Day)</v>
          </cell>
          <cell r="BO27" t="str">
            <v>GAS_PRODUCTION_EUROPE_MMCF_DY</v>
          </cell>
          <cell r="BP27"/>
          <cell r="BQ27" t="str">
            <v>NO</v>
          </cell>
          <cell r="BT27"/>
          <cell r="BU27" t="str">
            <v>BOLD</v>
          </cell>
          <cell r="BX27"/>
          <cell r="BY27" t="str">
            <v>BOLD</v>
          </cell>
          <cell r="BZ27" t="str">
            <v>United States</v>
          </cell>
          <cell r="CA27" t="str">
            <v>LABEL</v>
          </cell>
          <cell r="CB27"/>
          <cell r="CC27" t="str">
            <v>BOLD</v>
          </cell>
          <cell r="CD27" t="str">
            <v xml:space="preserve">  + Purchases</v>
          </cell>
          <cell r="CE27" t="str">
            <v>BOE_PURCHASES_NAMR</v>
          </cell>
          <cell r="CF27"/>
          <cell r="CG27" t="str">
            <v>NO</v>
          </cell>
          <cell r="CH27" t="str">
            <v>Energy-BOE-Sales-Worldwide</v>
          </cell>
          <cell r="CI27" t="str">
            <v>BOE_SALES_WORLD</v>
          </cell>
          <cell r="CJ27"/>
          <cell r="CK27" t="str">
            <v>BOLD</v>
          </cell>
          <cell r="CL27" t="str">
            <v xml:space="preserve">  Ready-Mix Concrete Volume Growth Ratio</v>
          </cell>
          <cell r="CM27" t="str">
            <v>READY_MIX_CONCRETE_VOL_GR_RATIO</v>
          </cell>
          <cell r="CN27"/>
          <cell r="CO27" t="str">
            <v>NO</v>
          </cell>
          <cell r="CP27" t="str">
            <v>Gold Cash Margin</v>
          </cell>
          <cell r="CQ27" t="str">
            <v>GOLD_CASH_MARGIN</v>
          </cell>
          <cell r="CR27"/>
          <cell r="CS27" t="str">
            <v>BOLD</v>
          </cell>
          <cell r="CT27" t="str">
            <v>Prescriptions Dispensed</v>
          </cell>
          <cell r="CU27" t="str">
            <v>PRESCRIPTIONS_DISPENSED</v>
          </cell>
          <cell r="CV27"/>
          <cell r="CW27" t="str">
            <v>BOLD</v>
          </cell>
          <cell r="CZ27"/>
          <cell r="DA27" t="str">
            <v>BOLD</v>
          </cell>
          <cell r="DD27"/>
          <cell r="DE27" t="str">
            <v>BOLD</v>
          </cell>
          <cell r="DH27"/>
          <cell r="DI27" t="str">
            <v>BOLD</v>
          </cell>
          <cell r="DL27"/>
          <cell r="DM27" t="str">
            <v>BOLD</v>
          </cell>
          <cell r="DP27"/>
          <cell r="DQ27" t="str">
            <v>BOLD</v>
          </cell>
          <cell r="DR27" t="str">
            <v xml:space="preserve">  Outpatient Surgeries</v>
          </cell>
          <cell r="DS27" t="str">
            <v>SAME_HOSP_OUTPATIENT_SURGERIES</v>
          </cell>
          <cell r="DT27"/>
          <cell r="DU27" t="str">
            <v>NO</v>
          </cell>
          <cell r="DX27"/>
          <cell r="DY27" t="str">
            <v>BOLD</v>
          </cell>
          <cell r="DZ27" t="str">
            <v>Network Physicians</v>
          </cell>
          <cell r="EA27" t="str">
            <v>MGD_CARE_NETWORK_PHYSICIANS</v>
          </cell>
          <cell r="EB27"/>
          <cell r="EC27" t="str">
            <v>BOLD</v>
          </cell>
          <cell r="EF27"/>
          <cell r="EG27" t="str">
            <v>BOLD</v>
          </cell>
          <cell r="EJ27"/>
          <cell r="EK27" t="str">
            <v>BOLD</v>
          </cell>
          <cell r="EL27" t="str">
            <v xml:space="preserve">  Rail Core Pricing &amp; Mix</v>
          </cell>
          <cell r="EM27" t="str">
            <v>ARD_RAIL_CORE_PRICING_&amp;_MIX</v>
          </cell>
          <cell r="EN27"/>
          <cell r="EO27" t="str">
            <v>NO</v>
          </cell>
          <cell r="EP27" t="str">
            <v>Number of Clients $30+MM-$40MM</v>
          </cell>
          <cell r="EQ27" t="str">
            <v>NUM_CLIENTS_30MM_TO_40MM</v>
          </cell>
          <cell r="ER27"/>
          <cell r="ES27" t="str">
            <v>BOLD</v>
          </cell>
          <cell r="ET27" t="str">
            <v>Cost of Maintenance Revenue (TTM)</v>
          </cell>
          <cell r="EU27" t="str">
            <v>T12M_COST_OF_MAINTENANCE_REVENUE</v>
          </cell>
          <cell r="EV27"/>
          <cell r="EW27" t="str">
            <v>BOLD</v>
          </cell>
          <cell r="EZ27"/>
          <cell r="FA27" t="str">
            <v>BOLD</v>
          </cell>
          <cell r="FD27"/>
          <cell r="FE27" t="str">
            <v>BOLD</v>
          </cell>
          <cell r="FH27"/>
          <cell r="FI27" t="str">
            <v>BOLD</v>
          </cell>
          <cell r="FJ27" t="str">
            <v>Voice ARPU $</v>
          </cell>
          <cell r="FK27" t="str">
            <v>CABLE_PHONE_AVG_REVENUE_PER_USER</v>
          </cell>
          <cell r="FL27"/>
          <cell r="FM27" t="str">
            <v>BOLD</v>
          </cell>
          <cell r="FN27" t="str">
            <v>Profitability</v>
          </cell>
          <cell r="FO27" t="str">
            <v>LABEL</v>
          </cell>
          <cell r="FP27"/>
          <cell r="FQ27" t="str">
            <v>BOLD</v>
          </cell>
          <cell r="FT27"/>
          <cell r="FU27" t="str">
            <v>BOLD</v>
          </cell>
          <cell r="FV27" t="str">
            <v>Net Inc/1000 Emp</v>
          </cell>
          <cell r="FW27" t="str">
            <v>NET_INC_PER_EMPL</v>
          </cell>
          <cell r="FX27"/>
          <cell r="FY27" t="str">
            <v>BOLD</v>
          </cell>
          <cell r="GB27"/>
          <cell r="GC27" t="str">
            <v>BOLD</v>
          </cell>
          <cell r="GF27"/>
          <cell r="GG27" t="str">
            <v>BOLD</v>
          </cell>
          <cell r="GJ27"/>
          <cell r="GK27" t="str">
            <v>BOLD</v>
          </cell>
          <cell r="GL27" t="str">
            <v>Capital Expenditures</v>
          </cell>
          <cell r="GM27" t="str">
            <v>CF_CAP_EXPEND_PRPTY_ADD</v>
          </cell>
          <cell r="GN27"/>
          <cell r="GO27" t="str">
            <v>BOLD</v>
          </cell>
          <cell r="GP27" t="str">
            <v>Cigarette Sales Volume</v>
          </cell>
          <cell r="GQ27" t="str">
            <v>CIGARETTE_SALES_VOLUME</v>
          </cell>
          <cell r="GR27"/>
          <cell r="GS27" t="str">
            <v>BOLD</v>
          </cell>
          <cell r="GT27" t="str">
            <v>Racetracks</v>
          </cell>
          <cell r="GU27" t="str">
            <v>LABEL</v>
          </cell>
          <cell r="GV27"/>
          <cell r="GW27" t="str">
            <v>BOLD</v>
          </cell>
          <cell r="GZ27"/>
          <cell r="HA27" t="str">
            <v>BOLD</v>
          </cell>
          <cell r="HD27"/>
          <cell r="HE27" t="str">
            <v>BOLD</v>
          </cell>
          <cell r="HF27" t="str">
            <v>Number of Locations (Beginning)</v>
          </cell>
          <cell r="HG27" t="str">
            <v>NUM_OF_LOCATIONS_BEGINNING</v>
          </cell>
          <cell r="HH27"/>
          <cell r="HI27" t="str">
            <v>BOLD</v>
          </cell>
          <cell r="HL27"/>
          <cell r="HM27" t="str">
            <v>BOLD</v>
          </cell>
          <cell r="HP27"/>
          <cell r="HQ27" t="str">
            <v>BOLD</v>
          </cell>
          <cell r="HT27"/>
          <cell r="HU27" t="str">
            <v>BOLD</v>
          </cell>
          <cell r="HV27" t="str">
            <v>Assets/Equity</v>
          </cell>
          <cell r="HW27" t="str">
            <v>ASSET_TO_EQY</v>
          </cell>
          <cell r="HX27"/>
          <cell r="HY27" t="str">
            <v>BOLD</v>
          </cell>
          <cell r="HZ27" t="str">
            <v>Investment Grade</v>
          </cell>
          <cell r="IA27" t="str">
            <v>BS_QUALITY_RTG_INV_GRADE</v>
          </cell>
          <cell r="IB27"/>
          <cell r="IC27" t="str">
            <v>BOLD</v>
          </cell>
          <cell r="ID27" t="str">
            <v>Advertising Revenue</v>
          </cell>
          <cell r="IE27" t="str">
            <v>ADVERTISING_REVENUE</v>
          </cell>
          <cell r="IF27"/>
          <cell r="IG27" t="str">
            <v>BOLD</v>
          </cell>
          <cell r="IH27" t="str">
            <v>Core Tier 1 Capital Ratio</v>
          </cell>
          <cell r="II27" t="str">
            <v>BS_CORE_TIER1_CAPITAL_RATIO</v>
          </cell>
          <cell r="IJ27"/>
          <cell r="IK27" t="str">
            <v>BOLD</v>
          </cell>
          <cell r="IL27" t="str">
            <v xml:space="preserve">  Rubber Price</v>
          </cell>
          <cell r="IM27" t="str">
            <v>BIOFUEL_AVERAGE_PRICE_RUBBER</v>
          </cell>
          <cell r="IN27"/>
          <cell r="IO27" t="str">
            <v>NO</v>
          </cell>
          <cell r="IP27" t="str">
            <v>Electricity Generation Capacity (MW)</v>
          </cell>
          <cell r="IQ27" t="str">
            <v>LABEL</v>
          </cell>
          <cell r="IR27"/>
          <cell r="IS27" t="str">
            <v>BOLD</v>
          </cell>
          <cell r="IX27" t="str">
            <v>Assets/Equity</v>
          </cell>
          <cell r="IY27" t="str">
            <v>ASSET_TO_EQY</v>
          </cell>
          <cell r="IZ27"/>
          <cell r="JA27" t="str">
            <v>BOLD</v>
          </cell>
          <cell r="JB27" t="str">
            <v>Investment Grade</v>
          </cell>
          <cell r="JC27" t="str">
            <v>BS_QUALITY_RTG_INV_GRADE</v>
          </cell>
          <cell r="JD27"/>
          <cell r="JE27" t="str">
            <v>BOLD</v>
          </cell>
          <cell r="JJ27" t="str">
            <v>Number of Locations (Beginning)</v>
          </cell>
          <cell r="JK27" t="str">
            <v>NUM_OF_LOCATIONS_BEGINNING</v>
          </cell>
          <cell r="JL27"/>
          <cell r="JM27" t="str">
            <v>BOLD</v>
          </cell>
          <cell r="JO27" t="str">
            <v>Employee Metrics</v>
          </cell>
          <cell r="JP27" t="str">
            <v>LABEL</v>
          </cell>
          <cell r="JQ27"/>
          <cell r="JR27" t="str">
            <v>BOLD</v>
          </cell>
        </row>
        <row r="28">
          <cell r="A28">
            <v>27</v>
          </cell>
          <cell r="D28"/>
          <cell r="E28" t="str">
            <v>BOLD</v>
          </cell>
          <cell r="F28" t="str">
            <v>Debit Card Ntwk Spending Vol</v>
          </cell>
          <cell r="G28" t="str">
            <v>DEBIT_CARD_NTWK_SPND_VOLUME</v>
          </cell>
          <cell r="H28"/>
          <cell r="I28" t="str">
            <v>BOLD</v>
          </cell>
          <cell r="J28" t="str">
            <v>Copper Cash Costs ($/lb) - By-Product</v>
          </cell>
          <cell r="K28" t="str">
            <v>MINING_COPPER_CASH_COSTS_BYPROD</v>
          </cell>
          <cell r="L28"/>
          <cell r="M28" t="str">
            <v>BOLD</v>
          </cell>
          <cell r="N28" t="str">
            <v>Silver Cash Costs ($/oz) - By-Product</v>
          </cell>
          <cell r="O28" t="str">
            <v>MINING_SILVER_CASH_COSTS_BYPROD</v>
          </cell>
          <cell r="P28"/>
          <cell r="Q28" t="str">
            <v>BOLD</v>
          </cell>
          <cell r="R28" t="str">
            <v>Realized Price ($/oz)</v>
          </cell>
          <cell r="S28" t="str">
            <v>MINING_GOLD_REALIZED_PX</v>
          </cell>
          <cell r="T28"/>
          <cell r="U28" t="str">
            <v>BOLD</v>
          </cell>
          <cell r="V28" t="str">
            <v>Nickel ($/lb)</v>
          </cell>
          <cell r="W28" t="str">
            <v>MINING_NICKEL_REALIZED_PX</v>
          </cell>
          <cell r="X28"/>
          <cell r="Y28" t="str">
            <v>BOLD</v>
          </cell>
          <cell r="AB28"/>
          <cell r="AC28" t="str">
            <v>BOLD</v>
          </cell>
          <cell r="AD28" t="str">
            <v>Iron Production (Tons)</v>
          </cell>
          <cell r="AE28" t="str">
            <v>MINING_IRON_PRODUCTION_ACTUAL</v>
          </cell>
          <cell r="AF28"/>
          <cell r="AG28" t="str">
            <v>BOLD</v>
          </cell>
          <cell r="AH28" t="str">
            <v>Cobalt - Grade (%)</v>
          </cell>
          <cell r="AI28" t="str">
            <v>MINING_P&amp;P_RSRVS_COBALT_GRADE</v>
          </cell>
          <cell r="AJ28"/>
          <cell r="AK28" t="str">
            <v>BOLD</v>
          </cell>
          <cell r="AL28" t="str">
            <v>Copper - Grade (%)</v>
          </cell>
          <cell r="AM28" t="str">
            <v>MINING_M&amp;I_RES_COPPER_GRADE</v>
          </cell>
          <cell r="AN28"/>
          <cell r="AO28" t="str">
            <v>BOLD</v>
          </cell>
          <cell r="AP28" t="str">
            <v>Takaful Net Fixed Assets Policyholders</v>
          </cell>
          <cell r="AQ28" t="str">
            <v>BS_TAKAFUL_NET_FIXED_ASSETS</v>
          </cell>
          <cell r="AR28"/>
          <cell r="AS28" t="str">
            <v>BOLD</v>
          </cell>
          <cell r="AV28"/>
          <cell r="AW28" t="str">
            <v>BOLD</v>
          </cell>
          <cell r="AZ28"/>
          <cell r="BA28" t="str">
            <v>BOLD</v>
          </cell>
          <cell r="BB28" t="str">
            <v xml:space="preserve">    - Other Expenses</v>
          </cell>
          <cell r="BC28" t="str">
            <v>OTHER_E&amp;P_EXPENSES_CANADA</v>
          </cell>
          <cell r="BD28"/>
          <cell r="BE28" t="str">
            <v>NO</v>
          </cell>
          <cell r="BH28"/>
          <cell r="BI28" t="str">
            <v>BOLD</v>
          </cell>
          <cell r="BL28"/>
          <cell r="BM28" t="str">
            <v>BOLD</v>
          </cell>
          <cell r="BN28" t="str">
            <v xml:space="preserve">  NGL (MBBL/Day)</v>
          </cell>
          <cell r="BO28" t="str">
            <v>NGL_PRODUCTION_EUROPE_MBBL_DY</v>
          </cell>
          <cell r="BP28"/>
          <cell r="BQ28" t="str">
            <v>NO</v>
          </cell>
          <cell r="BT28"/>
          <cell r="BU28" t="str">
            <v>BOLD</v>
          </cell>
          <cell r="BV28" t="str">
            <v xml:space="preserve">  United States</v>
          </cell>
          <cell r="BW28" t="str">
            <v>LABEL</v>
          </cell>
          <cell r="BX28"/>
          <cell r="BY28" t="str">
            <v>NO</v>
          </cell>
          <cell r="BZ28" t="str">
            <v xml:space="preserve">  Start of Year</v>
          </cell>
          <cell r="CA28" t="str">
            <v>OIL_START_YEAR_UNITED_STATES</v>
          </cell>
          <cell r="CB28"/>
          <cell r="CC28" t="str">
            <v>NO</v>
          </cell>
          <cell r="CD28" t="str">
            <v xml:space="preserve">  + Sales</v>
          </cell>
          <cell r="CE28" t="str">
            <v>BOE_SALES_NAMR</v>
          </cell>
          <cell r="CF28"/>
          <cell r="CG28" t="str">
            <v>NO</v>
          </cell>
          <cell r="CH28" t="str">
            <v>Energy-BOE-Production-Worldwide</v>
          </cell>
          <cell r="CI28" t="str">
            <v>BOE_PRODUCTION_WORLD</v>
          </cell>
          <cell r="CJ28"/>
          <cell r="CK28" t="str">
            <v>BOLD</v>
          </cell>
          <cell r="CL28" t="str">
            <v>Ready-Mix Concrete Price</v>
          </cell>
          <cell r="CM28" t="str">
            <v>READY_MIX_CONCRETE_PRICE</v>
          </cell>
          <cell r="CN28"/>
          <cell r="CO28" t="str">
            <v>BOLD</v>
          </cell>
          <cell r="CP28" t="str">
            <v>Mining - Gold Realized Price</v>
          </cell>
          <cell r="CQ28" t="str">
            <v>MINING_GOLD_REALIZED_PX</v>
          </cell>
          <cell r="CR28"/>
          <cell r="CS28" t="str">
            <v>BOLD</v>
          </cell>
          <cell r="CT28" t="str">
            <v>Revenue per Prescription Dispensed</v>
          </cell>
          <cell r="CU28" t="str">
            <v>REVENUE_PER_RX_DISPENSED</v>
          </cell>
          <cell r="CV28"/>
          <cell r="CW28" t="str">
            <v>BOLD</v>
          </cell>
          <cell r="CZ28"/>
          <cell r="DA28" t="str">
            <v>BOLD</v>
          </cell>
          <cell r="DD28"/>
          <cell r="DE28" t="str">
            <v>BOLD</v>
          </cell>
          <cell r="DH28"/>
          <cell r="DI28" t="str">
            <v>BOLD</v>
          </cell>
          <cell r="DL28"/>
          <cell r="DM28" t="str">
            <v>BOLD</v>
          </cell>
          <cell r="DN28" t="str">
            <v>Other</v>
          </cell>
          <cell r="DO28" t="str">
            <v>LABEL</v>
          </cell>
          <cell r="DP28"/>
          <cell r="DQ28" t="str">
            <v>BOLD</v>
          </cell>
          <cell r="DR28" t="str">
            <v xml:space="preserve">  Emergency Room Visits</v>
          </cell>
          <cell r="DS28" t="str">
            <v>SAME_HOSP_EMERGENCY_ROOM_VISITS</v>
          </cell>
          <cell r="DT28"/>
          <cell r="DU28" t="str">
            <v>NO</v>
          </cell>
          <cell r="DX28"/>
          <cell r="DY28" t="str">
            <v>BOLD</v>
          </cell>
          <cell r="DZ28" t="str">
            <v>Network Hospitals</v>
          </cell>
          <cell r="EA28" t="str">
            <v>MGD_CARE_NETWORK_HOSPITALS</v>
          </cell>
          <cell r="EB28"/>
          <cell r="EC28" t="str">
            <v>BOLD</v>
          </cell>
          <cell r="ED28" t="str">
            <v>Truckload Operating Statistics</v>
          </cell>
          <cell r="EE28" t="str">
            <v>LABEL</v>
          </cell>
          <cell r="EF28"/>
          <cell r="EG28" t="str">
            <v>BOLD</v>
          </cell>
          <cell r="EJ28"/>
          <cell r="EK28" t="str">
            <v>BOLD</v>
          </cell>
          <cell r="EN28"/>
          <cell r="EO28" t="str">
            <v>BOLD</v>
          </cell>
          <cell r="EP28" t="str">
            <v>Number of Clients $40+MM-$50MM</v>
          </cell>
          <cell r="EQ28" t="str">
            <v>NUM_CLIENTS_40MM_TO_50MM</v>
          </cell>
          <cell r="ER28"/>
          <cell r="ES28" t="str">
            <v>BOLD</v>
          </cell>
          <cell r="EV28"/>
          <cell r="EW28" t="str">
            <v>BOLD</v>
          </cell>
          <cell r="EX28" t="str">
            <v>Memory Gross Margin (%)</v>
          </cell>
          <cell r="EY28" t="str">
            <v>GROSS_MARGIN</v>
          </cell>
          <cell r="EZ28"/>
          <cell r="FA28" t="str">
            <v>BOLD</v>
          </cell>
          <cell r="FD28"/>
          <cell r="FE28" t="str">
            <v>BOLD</v>
          </cell>
          <cell r="FF28" t="str">
            <v>Monthly Average Revenue per User</v>
          </cell>
          <cell r="FG28" t="str">
            <v>LABEL</v>
          </cell>
          <cell r="FH28"/>
          <cell r="FI28" t="str">
            <v>BOLD</v>
          </cell>
          <cell r="FJ28" t="str">
            <v>Penetration %</v>
          </cell>
          <cell r="FK28" t="str">
            <v>CABLE_PHONE_PENETRATION</v>
          </cell>
          <cell r="FL28"/>
          <cell r="FM28" t="str">
            <v>BOLD</v>
          </cell>
          <cell r="FN28" t="str">
            <v>Net Income</v>
          </cell>
          <cell r="FO28" t="str">
            <v>NET_INCOME</v>
          </cell>
          <cell r="FP28"/>
          <cell r="FQ28" t="str">
            <v>BOLD</v>
          </cell>
          <cell r="FT28"/>
          <cell r="FU28" t="str">
            <v>BOLD</v>
          </cell>
          <cell r="FV28" t="str">
            <v>Sales per Employee</v>
          </cell>
          <cell r="FW28" t="str">
            <v>ACTUAL_SALES_PER_EMPL</v>
          </cell>
          <cell r="FX28"/>
          <cell r="FY28" t="str">
            <v>BOLD</v>
          </cell>
          <cell r="GB28"/>
          <cell r="GC28" t="str">
            <v>BOLD</v>
          </cell>
          <cell r="GF28"/>
          <cell r="GG28" t="str">
            <v>BOLD</v>
          </cell>
          <cell r="GJ28"/>
          <cell r="GK28" t="str">
            <v>BOLD</v>
          </cell>
          <cell r="GL28" t="str">
            <v>Capital Expenditure to Sales</v>
          </cell>
          <cell r="GM28" t="str">
            <v>CAP_EXPEND_TO_SALES</v>
          </cell>
          <cell r="GN28"/>
          <cell r="GO28" t="str">
            <v>BOLD</v>
          </cell>
          <cell r="GP28" t="str">
            <v>Smokeless Tobacco Sales Volume</v>
          </cell>
          <cell r="GQ28" t="str">
            <v>SMOKELESS_TOBACCO_SALES_VOLUME</v>
          </cell>
          <cell r="GR28"/>
          <cell r="GS28" t="str">
            <v>BOLD</v>
          </cell>
          <cell r="GT28" t="str">
            <v xml:space="preserve">  Racing Revenues</v>
          </cell>
          <cell r="GU28" t="str">
            <v>ENTERT_RACING_REVENUES</v>
          </cell>
          <cell r="GV28"/>
          <cell r="GW28" t="str">
            <v>NO</v>
          </cell>
          <cell r="GZ28"/>
          <cell r="HA28" t="str">
            <v>BOLD</v>
          </cell>
          <cell r="HB28" t="str">
            <v>Limited Partner Target Asset Allocation %</v>
          </cell>
          <cell r="HC28" t="str">
            <v>LABEL</v>
          </cell>
          <cell r="HD28"/>
          <cell r="HE28" t="str">
            <v>BOLD</v>
          </cell>
          <cell r="HF28" t="str">
            <v>Locations Opened/Acquired</v>
          </cell>
          <cell r="HG28" t="str">
            <v>NUM_LOCATIONS_OPENED_ACQUIRED</v>
          </cell>
          <cell r="HH28"/>
          <cell r="HI28" t="str">
            <v>BOLD</v>
          </cell>
          <cell r="HL28"/>
          <cell r="HM28" t="str">
            <v>BOLD</v>
          </cell>
          <cell r="HP28"/>
          <cell r="HQ28" t="str">
            <v>BOLD</v>
          </cell>
          <cell r="HT28"/>
          <cell r="HU28" t="str">
            <v>BOLD</v>
          </cell>
          <cell r="HV28" t="str">
            <v>Average Equity/Average Assets</v>
          </cell>
          <cell r="HW28" t="str">
            <v>AVG_COM_EQY_TO_AVG_ASSET</v>
          </cell>
          <cell r="HX28"/>
          <cell r="HY28" t="str">
            <v>BOLD</v>
          </cell>
          <cell r="HZ28" t="str">
            <v>Below Investment Grade</v>
          </cell>
          <cell r="IA28" t="str">
            <v>BS_QUALITY_RTG_BELOW_INV_GRADE</v>
          </cell>
          <cell r="IB28"/>
          <cell r="IC28" t="str">
            <v>BOLD</v>
          </cell>
          <cell r="ID28" t="str">
            <v>Cost of Advertising Revenue</v>
          </cell>
          <cell r="IE28" t="str">
            <v>COST_OF_ADVERTISING_REVENUE</v>
          </cell>
          <cell r="IF28"/>
          <cell r="IG28" t="str">
            <v>BOLD</v>
          </cell>
          <cell r="IH28" t="str">
            <v>Leverage Ratio - Tangible Capital Ratio</v>
          </cell>
          <cell r="II28" t="str">
            <v>BS_LEV_RATIO_TO_TANG_CAP</v>
          </cell>
          <cell r="IJ28"/>
          <cell r="IK28" t="str">
            <v>BOLD</v>
          </cell>
          <cell r="IL28" t="str">
            <v>Costs &amp; Efficiencies</v>
          </cell>
          <cell r="IM28" t="str">
            <v>LABEL</v>
          </cell>
          <cell r="IN28"/>
          <cell r="IO28" t="str">
            <v>BOLD</v>
          </cell>
          <cell r="IP28" t="str">
            <v>+ Hydro</v>
          </cell>
          <cell r="IQ28" t="str">
            <v>HYDRO_ENERGY_CAPACITY</v>
          </cell>
          <cell r="IR28"/>
          <cell r="IS28" t="str">
            <v>BOLD</v>
          </cell>
          <cell r="IX28" t="str">
            <v>Average Equity/Average Assets</v>
          </cell>
          <cell r="IY28" t="str">
            <v>AVG_COM_EQY_TO_AVG_ASSET</v>
          </cell>
          <cell r="IZ28"/>
          <cell r="JA28" t="str">
            <v>BOLD</v>
          </cell>
          <cell r="JB28" t="str">
            <v>Below Investment Grade</v>
          </cell>
          <cell r="JC28" t="str">
            <v>BS_QUALITY_RTG_BELOW_INV_GRADE</v>
          </cell>
          <cell r="JD28"/>
          <cell r="JE28" t="str">
            <v>BOLD</v>
          </cell>
          <cell r="JJ28" t="str">
            <v>Number of Locations Opened/Acquired</v>
          </cell>
          <cell r="JK28" t="str">
            <v>NUM_LOCATIONS_OPENED_ACQUIRED</v>
          </cell>
          <cell r="JL28"/>
          <cell r="JM28" t="str">
            <v>BOLD</v>
          </cell>
          <cell r="JQ28"/>
          <cell r="JR28" t="str">
            <v>BOLD</v>
          </cell>
        </row>
        <row r="29">
          <cell r="A29">
            <v>28</v>
          </cell>
          <cell r="D29"/>
          <cell r="E29" t="str">
            <v>BOLD</v>
          </cell>
          <cell r="F29" t="str">
            <v>Total Card Ntwk Spending Vol</v>
          </cell>
          <cell r="G29" t="str">
            <v>TOTAL_CARD_NTWK_SPND_VOLUME</v>
          </cell>
          <cell r="H29"/>
          <cell r="I29" t="str">
            <v>BOLD</v>
          </cell>
          <cell r="J29" t="str">
            <v>Copper Cash Costs ($/lb) - Co-Product</v>
          </cell>
          <cell r="K29" t="str">
            <v>MINING_COPPER_CASH_COSTS_COPROD</v>
          </cell>
          <cell r="L29"/>
          <cell r="M29" t="str">
            <v>BOLD</v>
          </cell>
          <cell r="N29" t="str">
            <v>Silver Cash Costs ($/oz) - Co-Product</v>
          </cell>
          <cell r="O29" t="str">
            <v>MINING_SILVER_CASH_COSTS_COPROD</v>
          </cell>
          <cell r="P29"/>
          <cell r="Q29" t="str">
            <v>BOLD</v>
          </cell>
          <cell r="R29" t="str">
            <v>Gold Costs</v>
          </cell>
          <cell r="S29" t="str">
            <v>LABEL</v>
          </cell>
          <cell r="T29"/>
          <cell r="U29" t="str">
            <v>BOLD</v>
          </cell>
          <cell r="V29" t="str">
            <v>Tin ($/lb)</v>
          </cell>
          <cell r="W29" t="str">
            <v>MINING_TIN_REALIZED_PX</v>
          </cell>
          <cell r="X29"/>
          <cell r="Y29" t="str">
            <v>BOLD</v>
          </cell>
          <cell r="AB29"/>
          <cell r="AC29" t="str">
            <v>BOLD</v>
          </cell>
          <cell r="AD29" t="str">
            <v>Lead Production (Tons)</v>
          </cell>
          <cell r="AE29" t="str">
            <v>MINING_LEAD_PRODUCTION_ACTUAL</v>
          </cell>
          <cell r="AF29"/>
          <cell r="AG29" t="str">
            <v>BOLD</v>
          </cell>
          <cell r="AH29" t="str">
            <v>Contained Cobalt (Tons)</v>
          </cell>
          <cell r="AI29" t="str">
            <v>MINING_P&amp;P_RSRV_CONTAINED_COBALT</v>
          </cell>
          <cell r="AJ29"/>
          <cell r="AK29" t="str">
            <v>BOLD</v>
          </cell>
          <cell r="AL29" t="str">
            <v>Contained Copper (Tons)</v>
          </cell>
          <cell r="AM29" t="str">
            <v>MINING_M&amp;I_RES_CONTAINED_COPPER</v>
          </cell>
          <cell r="AN29"/>
          <cell r="AO29" t="str">
            <v>BOLD</v>
          </cell>
          <cell r="AP29" t="str">
            <v>Takaful Other Policyholders' Assets</v>
          </cell>
          <cell r="AQ29" t="str">
            <v>BS_TAKAFUL_OTHER_ASSETS</v>
          </cell>
          <cell r="AR29"/>
          <cell r="AS29" t="str">
            <v>BOLD</v>
          </cell>
          <cell r="AT29" t="str">
            <v>Sales</v>
          </cell>
          <cell r="AU29" t="str">
            <v>LABEL</v>
          </cell>
          <cell r="AV29"/>
          <cell r="AW29" t="str">
            <v>BOLD</v>
          </cell>
          <cell r="AZ29"/>
          <cell r="BA29" t="str">
            <v>BOLD</v>
          </cell>
          <cell r="BB29" t="str">
            <v xml:space="preserve">    - Income Tax</v>
          </cell>
          <cell r="BC29" t="str">
            <v>INCOME_TAX_CANADA</v>
          </cell>
          <cell r="BD29"/>
          <cell r="BE29" t="str">
            <v>NO</v>
          </cell>
          <cell r="BH29"/>
          <cell r="BI29" t="str">
            <v>BOLD</v>
          </cell>
          <cell r="BL29"/>
          <cell r="BM29" t="str">
            <v>BOLD</v>
          </cell>
          <cell r="BN29" t="str">
            <v xml:space="preserve">  Total (MBOE/Day)</v>
          </cell>
          <cell r="BO29" t="str">
            <v>TOTAL_PRODUCTION_EUROPE_MBOE_DY</v>
          </cell>
          <cell r="BP29"/>
          <cell r="BQ29" t="str">
            <v>NO</v>
          </cell>
          <cell r="BT29"/>
          <cell r="BU29" t="str">
            <v>BOLD</v>
          </cell>
          <cell r="BV29" t="str">
            <v xml:space="preserve">    Start of Year</v>
          </cell>
          <cell r="BW29" t="str">
            <v>GAS_START_YEAR_US</v>
          </cell>
          <cell r="BX29"/>
          <cell r="BY29" t="str">
            <v>NO</v>
          </cell>
          <cell r="BZ29" t="str">
            <v xml:space="preserve">  + Revisions</v>
          </cell>
          <cell r="CA29" t="str">
            <v>OIL_REVISIONS_UNITED_STATES</v>
          </cell>
          <cell r="CB29"/>
          <cell r="CC29" t="str">
            <v>NO</v>
          </cell>
          <cell r="CD29" t="str">
            <v xml:space="preserve">  + Production</v>
          </cell>
          <cell r="CE29" t="str">
            <v>BOE_PRODUCTION_NAMR</v>
          </cell>
          <cell r="CF29"/>
          <cell r="CG29" t="str">
            <v>NO</v>
          </cell>
          <cell r="CH29" t="str">
            <v>Energy-BOE-Other Chg-Worldwide</v>
          </cell>
          <cell r="CI29" t="str">
            <v>BOE_OTHER_CHG_WORLD</v>
          </cell>
          <cell r="CJ29"/>
          <cell r="CK29" t="str">
            <v>BOLD</v>
          </cell>
          <cell r="CL29" t="str">
            <v xml:space="preserve">  Ready-Mix Concrete Price Growth</v>
          </cell>
          <cell r="CM29" t="str">
            <v>READY_MIX_CONCRETE_PRICE_GROWTH</v>
          </cell>
          <cell r="CN29"/>
          <cell r="CO29" t="str">
            <v>NO</v>
          </cell>
          <cell r="CP29" t="str">
            <v>Mining - Gold Total Cash Costs - Byproduct</v>
          </cell>
          <cell r="CQ29" t="str">
            <v>MINING_GOLD_CASH_COSTS_BYPROD</v>
          </cell>
          <cell r="CR29"/>
          <cell r="CS29" t="str">
            <v>BOLD</v>
          </cell>
          <cell r="CT29" t="str">
            <v>Gross Profit per Prescription Dispensed</v>
          </cell>
          <cell r="CU29" t="str">
            <v>GROSS_PROFIT_RX_DISPENSED</v>
          </cell>
          <cell r="CV29"/>
          <cell r="CW29" t="str">
            <v>BOLD</v>
          </cell>
          <cell r="CZ29"/>
          <cell r="DA29" t="str">
            <v>BOLD</v>
          </cell>
          <cell r="DD29"/>
          <cell r="DE29" t="str">
            <v>BOLD</v>
          </cell>
          <cell r="DH29"/>
          <cell r="DI29" t="str">
            <v>BOLD</v>
          </cell>
          <cell r="DL29"/>
          <cell r="DM29" t="str">
            <v>BOLD</v>
          </cell>
          <cell r="DN29" t="str">
            <v>Interest: Incurred</v>
          </cell>
          <cell r="DO29" t="str">
            <v>INTEREST_INCURRED</v>
          </cell>
          <cell r="DP29"/>
          <cell r="DQ29" t="str">
            <v>BOLD</v>
          </cell>
          <cell r="DT29"/>
          <cell r="DU29" t="str">
            <v>BOLD</v>
          </cell>
          <cell r="DX29"/>
          <cell r="DY29" t="str">
            <v>BOLD</v>
          </cell>
          <cell r="DZ29" t="str">
            <v>Annual Number of Claims</v>
          </cell>
          <cell r="EA29" t="str">
            <v>MGD_CARE_ANNUAL_CLAIMS</v>
          </cell>
          <cell r="EB29"/>
          <cell r="EC29" t="str">
            <v>BOLD</v>
          </cell>
          <cell r="ED29" t="str">
            <v>Average Miles per Tractor</v>
          </cell>
          <cell r="EE29" t="str">
            <v>AVERAGE_MILES_PER_TRACTOR</v>
          </cell>
          <cell r="EF29"/>
          <cell r="EG29" t="str">
            <v>BOLD</v>
          </cell>
          <cell r="EJ29"/>
          <cell r="EK29" t="str">
            <v>BOLD</v>
          </cell>
          <cell r="EL29" t="str">
            <v>Productivity</v>
          </cell>
          <cell r="EM29" t="str">
            <v>LABEL</v>
          </cell>
          <cell r="EN29"/>
          <cell r="EO29" t="str">
            <v>BOLD</v>
          </cell>
          <cell r="EP29" t="str">
            <v>Number of Clients $50+MM-$100MM</v>
          </cell>
          <cell r="EQ29" t="str">
            <v>NUM_CLIENTS_50MM_TO_100MM</v>
          </cell>
          <cell r="ER29"/>
          <cell r="ES29" t="str">
            <v>BOLD</v>
          </cell>
          <cell r="ET29" t="str">
            <v>Cost of Services Revenue</v>
          </cell>
          <cell r="EU29" t="str">
            <v>COST_OF_PROFESSIONAL_SERVICES</v>
          </cell>
          <cell r="EV29"/>
          <cell r="EW29" t="str">
            <v>BOLD</v>
          </cell>
          <cell r="EX29" t="str">
            <v>Average Rev per Wafer, QoQ (%)</v>
          </cell>
          <cell r="EY29" t="str">
            <v>ARD_AVG_REV_PER_WAFER_QOQ</v>
          </cell>
          <cell r="EZ29"/>
          <cell r="FA29" t="str">
            <v>BOLD</v>
          </cell>
          <cell r="FD29"/>
          <cell r="FE29" t="str">
            <v>BOLD</v>
          </cell>
          <cell r="FF29" t="str">
            <v>Wireless Average Revenue Per Unit (ARPU)</v>
          </cell>
          <cell r="FG29" t="str">
            <v>AVG_REVENUE_PER_CELL_SUBSCRIBER</v>
          </cell>
          <cell r="FH29"/>
          <cell r="FI29" t="str">
            <v>BOLD</v>
          </cell>
          <cell r="FL29"/>
          <cell r="FM29" t="str">
            <v>BOLD</v>
          </cell>
          <cell r="FN29" t="str">
            <v>Normalized Income</v>
          </cell>
          <cell r="FO29" t="str">
            <v>NORMALIZED_INCOME</v>
          </cell>
          <cell r="FP29"/>
          <cell r="FQ29" t="str">
            <v>BOLD</v>
          </cell>
          <cell r="FT29"/>
          <cell r="FU29" t="str">
            <v>BOLD</v>
          </cell>
          <cell r="FV29" t="str">
            <v>Assets/1000 Emp</v>
          </cell>
          <cell r="FW29" t="str">
            <v>ASSET_PER_EMPL</v>
          </cell>
          <cell r="FX29"/>
          <cell r="FY29" t="str">
            <v>BOLD</v>
          </cell>
          <cell r="GB29"/>
          <cell r="GC29" t="str">
            <v>BOLD</v>
          </cell>
          <cell r="GF29"/>
          <cell r="GG29" t="str">
            <v>BOLD</v>
          </cell>
          <cell r="GJ29"/>
          <cell r="GK29" t="str">
            <v>BOLD</v>
          </cell>
          <cell r="GL29" t="str">
            <v>Free Cash Flow Margin</v>
          </cell>
          <cell r="GM29" t="str">
            <v>FREE_CASH_FLOW_MARGIN</v>
          </cell>
          <cell r="GN29"/>
          <cell r="GO29" t="str">
            <v>BOLD</v>
          </cell>
          <cell r="GP29" t="str">
            <v>Excise Taxes - Tobacco</v>
          </cell>
          <cell r="GQ29" t="str">
            <v>EXCISE_TAXES_TOBACCO</v>
          </cell>
          <cell r="GR29"/>
          <cell r="GS29" t="str">
            <v>BOLD</v>
          </cell>
          <cell r="GT29" t="str">
            <v xml:space="preserve">  Number of Racetracks</v>
          </cell>
          <cell r="GU29" t="str">
            <v>ENTERT_RACETRACKS</v>
          </cell>
          <cell r="GV29"/>
          <cell r="GW29" t="str">
            <v>NO</v>
          </cell>
          <cell r="GZ29"/>
          <cell r="HA29" t="str">
            <v>BOLD</v>
          </cell>
          <cell r="HB29" t="str">
            <v>Cash and Cash Equivalents %</v>
          </cell>
          <cell r="HC29" t="str">
            <v>TARGET_ASSET_ALLOCATION_C&amp;CE_%</v>
          </cell>
          <cell r="HD29"/>
          <cell r="HE29" t="str">
            <v>BOLD</v>
          </cell>
          <cell r="HF29" t="str">
            <v>Locations Closed/Sold</v>
          </cell>
          <cell r="HG29" t="str">
            <v>NUM_OF_LOCATIONS_CLOSED_SOLD</v>
          </cell>
          <cell r="HH29"/>
          <cell r="HI29" t="str">
            <v>BOLD</v>
          </cell>
          <cell r="HL29"/>
          <cell r="HM29" t="str">
            <v>BOLD</v>
          </cell>
          <cell r="HP29"/>
          <cell r="HQ29" t="str">
            <v>BOLD</v>
          </cell>
          <cell r="HT29"/>
          <cell r="HU29" t="str">
            <v>BOLD</v>
          </cell>
          <cell r="HV29" t="str">
            <v>Book Value per Share</v>
          </cell>
          <cell r="HW29" t="str">
            <v>BOOK_VAL_PER_SH</v>
          </cell>
          <cell r="HX29"/>
          <cell r="HY29" t="str">
            <v>BOLD</v>
          </cell>
          <cell r="HZ29" t="str">
            <v>Unrated</v>
          </cell>
          <cell r="IA29" t="str">
            <v>BS_QUALITY_RTG_UNRATED</v>
          </cell>
          <cell r="IB29"/>
          <cell r="IC29" t="str">
            <v>BOLD</v>
          </cell>
          <cell r="ID29" t="str">
            <v>Gross Merchandise Volume</v>
          </cell>
          <cell r="IE29" t="str">
            <v>INTERNET_GMV</v>
          </cell>
          <cell r="IF29"/>
          <cell r="IG29" t="str">
            <v>BOLD</v>
          </cell>
          <cell r="IH29" t="str">
            <v>Common Equity/Total Assets</v>
          </cell>
          <cell r="II29" t="str">
            <v>COM_EQY_TO_TOT_ASSET</v>
          </cell>
          <cell r="IJ29"/>
          <cell r="IK29" t="str">
            <v>BOLD</v>
          </cell>
          <cell r="IL29" t="str">
            <v xml:space="preserve">  CPO Average Production Cost</v>
          </cell>
          <cell r="IM29" t="str">
            <v>BIOFUEL_CPO_AVG_PROD_COST</v>
          </cell>
          <cell r="IN29"/>
          <cell r="IO29" t="str">
            <v>NO</v>
          </cell>
          <cell r="IP29" t="str">
            <v>+ Nuclear</v>
          </cell>
          <cell r="IQ29" t="str">
            <v>NUCLEAR_ENERGY_CAPACITY</v>
          </cell>
          <cell r="IR29"/>
          <cell r="IS29" t="str">
            <v>BOLD</v>
          </cell>
          <cell r="IX29" t="str">
            <v>Book Value per Share</v>
          </cell>
          <cell r="IY29" t="str">
            <v>BOOK_VAL_PER_SH</v>
          </cell>
          <cell r="IZ29"/>
          <cell r="JA29" t="str">
            <v>BOLD</v>
          </cell>
          <cell r="JB29" t="str">
            <v>Unrated</v>
          </cell>
          <cell r="JC29" t="str">
            <v>BS_QUALITY_RTG_UNRATED</v>
          </cell>
          <cell r="JD29"/>
          <cell r="JE29" t="str">
            <v>BOLD</v>
          </cell>
          <cell r="JJ29" t="str">
            <v>Number of Locations Closed/Sold</v>
          </cell>
          <cell r="JK29" t="str">
            <v>NUM_OF_LOCATIONS_CLOSED_SOLD</v>
          </cell>
          <cell r="JL29"/>
          <cell r="JM29" t="str">
            <v>BOLD</v>
          </cell>
          <cell r="JO29" t="str">
            <v># OF EMPLOYEES</v>
          </cell>
          <cell r="JP29" t="str">
            <v>NUM_OF_EMPLOYEES</v>
          </cell>
          <cell r="JQ29"/>
          <cell r="JR29" t="str">
            <v>BOLD</v>
          </cell>
        </row>
        <row r="30">
          <cell r="A30">
            <v>29</v>
          </cell>
          <cell r="D30"/>
          <cell r="E30" t="str">
            <v>BOLD</v>
          </cell>
          <cell r="F30" t="str">
            <v>Ntwk Cross Border Vol Growth</v>
          </cell>
          <cell r="G30" t="str">
            <v>NTWK_CROSS_BORDER_VOLUME_GROWTH</v>
          </cell>
          <cell r="H30"/>
          <cell r="I30" t="str">
            <v>BOLD</v>
          </cell>
          <cell r="P30"/>
          <cell r="Q30" t="str">
            <v>BOLD</v>
          </cell>
          <cell r="R30" t="str">
            <v>Gold Cash Costs ($/oz) - By-Product</v>
          </cell>
          <cell r="S30" t="str">
            <v>MINING_GOLD_CASH_COSTS_BYPROD</v>
          </cell>
          <cell r="T30"/>
          <cell r="U30" t="str">
            <v>BOLD</v>
          </cell>
          <cell r="V30" t="str">
            <v>Uranium ($/lb)</v>
          </cell>
          <cell r="W30" t="str">
            <v>MINING_URANIUM_REALIZED_PX</v>
          </cell>
          <cell r="X30"/>
          <cell r="Y30" t="str">
            <v>BOLD</v>
          </cell>
          <cell r="AB30"/>
          <cell r="AC30" t="str">
            <v>BOLD</v>
          </cell>
          <cell r="AD30" t="str">
            <v>Manganese Production (Tons)</v>
          </cell>
          <cell r="AE30" t="str">
            <v>MINING_MANGANESE_PROD_ACTUAL</v>
          </cell>
          <cell r="AF30"/>
          <cell r="AG30" t="str">
            <v>BOLD</v>
          </cell>
          <cell r="AH30" t="str">
            <v>Copper - Ore Volume (Tons)</v>
          </cell>
          <cell r="AI30" t="str">
            <v>MINING_P&amp;P_RSRVS_COPPER_VOLUME</v>
          </cell>
          <cell r="AJ30"/>
          <cell r="AK30" t="str">
            <v>BOLD</v>
          </cell>
          <cell r="AL30" t="str">
            <v>Iron - Ore Volume (Tons)</v>
          </cell>
          <cell r="AM30" t="str">
            <v>MINING_M&amp;I_RESOURCES_IRON_VOLUME</v>
          </cell>
          <cell r="AN30"/>
          <cell r="AO30" t="str">
            <v>BOLD</v>
          </cell>
          <cell r="AP30" t="str">
            <v>Takaful Total Policyholders' Assets</v>
          </cell>
          <cell r="AQ30" t="str">
            <v>BS_TAKAFUL_TOTAL_ASSETS</v>
          </cell>
          <cell r="AR30"/>
          <cell r="AS30" t="str">
            <v>BOLD</v>
          </cell>
          <cell r="AT30" t="str">
            <v>Gold Sales</v>
          </cell>
          <cell r="AU30" t="str">
            <v>MINING_GOLD_SOLD</v>
          </cell>
          <cell r="AV30"/>
          <cell r="AW30" t="str">
            <v>BOLD</v>
          </cell>
          <cell r="AZ30"/>
          <cell r="BA30" t="str">
            <v>BOLD</v>
          </cell>
          <cell r="BB30" t="str">
            <v xml:space="preserve">    + Other Income</v>
          </cell>
          <cell r="BC30" t="str">
            <v>OTHER_E&amp;P_INCOME_CANADA</v>
          </cell>
          <cell r="BD30"/>
          <cell r="BE30" t="str">
            <v>NO</v>
          </cell>
          <cell r="BH30"/>
          <cell r="BI30" t="str">
            <v>BOLD</v>
          </cell>
          <cell r="BL30"/>
          <cell r="BM30" t="str">
            <v>BOLD</v>
          </cell>
          <cell r="BN30" t="str">
            <v xml:space="preserve">    North Sea (MBOE/Day)</v>
          </cell>
          <cell r="BO30" t="str">
            <v>DAILY_PROD_MBOE_NORTH_SEA</v>
          </cell>
          <cell r="BP30"/>
          <cell r="BQ30" t="str">
            <v>NO</v>
          </cell>
          <cell r="BT30"/>
          <cell r="BU30" t="str">
            <v>BOLD</v>
          </cell>
          <cell r="BV30" t="str">
            <v xml:space="preserve">    + Revisions</v>
          </cell>
          <cell r="BW30" t="str">
            <v>GAS_REVISIONS_US</v>
          </cell>
          <cell r="BX30"/>
          <cell r="BY30" t="str">
            <v>NO</v>
          </cell>
          <cell r="BZ30" t="str">
            <v xml:space="preserve">  + Improved Recovery</v>
          </cell>
          <cell r="CA30" t="str">
            <v>OIL_IMPROVED_RECOVERY_US</v>
          </cell>
          <cell r="CB30"/>
          <cell r="CC30" t="str">
            <v>NO</v>
          </cell>
          <cell r="CD30" t="str">
            <v xml:space="preserve">  + Other</v>
          </cell>
          <cell r="CE30" t="str">
            <v>BOE_OTHER_CHG_NAMR</v>
          </cell>
          <cell r="CF30"/>
          <cell r="CG30" t="str">
            <v>NO</v>
          </cell>
          <cell r="CH30" t="str">
            <v>Energy-BOE Reserves-End Year-Worldwide</v>
          </cell>
          <cell r="CI30" t="str">
            <v>BOE_END_YEAR_WORLD</v>
          </cell>
          <cell r="CJ30"/>
          <cell r="CK30" t="str">
            <v>BOLD</v>
          </cell>
          <cell r="CL30" t="str">
            <v xml:space="preserve">  Ready-Mix Concrete Price Growth Ratio</v>
          </cell>
          <cell r="CM30" t="str">
            <v>READY_MIX_CONCRETE_PX_GR_RATIO</v>
          </cell>
          <cell r="CN30"/>
          <cell r="CO30" t="str">
            <v>NO</v>
          </cell>
          <cell r="CP30" t="str">
            <v>Mining - Gold Mined Production</v>
          </cell>
          <cell r="CQ30" t="str">
            <v>MINING_GOLD_PRODUCTION_ACTUAL</v>
          </cell>
          <cell r="CR30"/>
          <cell r="CS30" t="str">
            <v>BOLD</v>
          </cell>
          <cell r="CV30"/>
          <cell r="CW30" t="str">
            <v>BOLD</v>
          </cell>
          <cell r="CZ30"/>
          <cell r="DA30" t="str">
            <v>BOLD</v>
          </cell>
          <cell r="DD30"/>
          <cell r="DE30" t="str">
            <v>BOLD</v>
          </cell>
          <cell r="DH30"/>
          <cell r="DI30" t="str">
            <v>BOLD</v>
          </cell>
          <cell r="DL30"/>
          <cell r="DM30" t="str">
            <v>BOLD</v>
          </cell>
          <cell r="DN30" t="str">
            <v>Interest: Expensed</v>
          </cell>
          <cell r="DO30" t="str">
            <v>INTEREST_EXPENSED</v>
          </cell>
          <cell r="DP30"/>
          <cell r="DQ30" t="str">
            <v>BOLD</v>
          </cell>
          <cell r="DR30" t="str">
            <v>Same Hospital Growth Rates</v>
          </cell>
          <cell r="DS30" t="str">
            <v>LABEL</v>
          </cell>
          <cell r="DT30"/>
          <cell r="DU30" t="str">
            <v>BOLD</v>
          </cell>
          <cell r="DX30"/>
          <cell r="DY30" t="str">
            <v>BOLD</v>
          </cell>
          <cell r="DZ30" t="str">
            <v>Premiums PMPM</v>
          </cell>
          <cell r="EA30" t="str">
            <v>MGD_CARE_PREMIUMS_PMPM</v>
          </cell>
          <cell r="EB30"/>
          <cell r="EC30" t="str">
            <v>BOLD</v>
          </cell>
          <cell r="ED30" t="str">
            <v>Average Length of Haul</v>
          </cell>
          <cell r="EE30" t="str">
            <v>TRUCKING_AVG_HAUL</v>
          </cell>
          <cell r="EF30"/>
          <cell r="EG30" t="str">
            <v>BOLD</v>
          </cell>
          <cell r="EJ30"/>
          <cell r="EK30" t="str">
            <v>BOLD</v>
          </cell>
          <cell r="EL30" t="str">
            <v xml:space="preserve">  Operating Ratio</v>
          </cell>
          <cell r="EM30" t="str">
            <v>OPERATING_RATIO</v>
          </cell>
          <cell r="EN30"/>
          <cell r="EO30" t="str">
            <v>NO</v>
          </cell>
          <cell r="EP30" t="str">
            <v>Number of Clients Over $100MM</v>
          </cell>
          <cell r="EQ30" t="str">
            <v>NUM_OF_CLIENTS_OVER_100MM</v>
          </cell>
          <cell r="ER30"/>
          <cell r="ES30" t="str">
            <v>BOLD</v>
          </cell>
          <cell r="ET30" t="str">
            <v>Cost of Services Revenue (TTM)</v>
          </cell>
          <cell r="EU30" t="str">
            <v>T12M_COST_OF_PRO_SERVICES</v>
          </cell>
          <cell r="EV30"/>
          <cell r="EW30" t="str">
            <v>BOLD</v>
          </cell>
          <cell r="EX30" t="str">
            <v>Wafer Shipments, QoQ Change (%)</v>
          </cell>
          <cell r="EY30" t="str">
            <v>ARD_WAFER_SHIPMENTS_QOQ</v>
          </cell>
          <cell r="EZ30"/>
          <cell r="FA30" t="str">
            <v>BOLD</v>
          </cell>
          <cell r="FD30"/>
          <cell r="FE30" t="str">
            <v>BOLD</v>
          </cell>
          <cell r="FF30" t="str">
            <v>Postpaid ARPU</v>
          </cell>
          <cell r="FG30" t="str">
            <v>POSTPAID_ARPU</v>
          </cell>
          <cell r="FH30"/>
          <cell r="FI30" t="str">
            <v>BOLD</v>
          </cell>
          <cell r="FJ30" t="str">
            <v>Cash Flow</v>
          </cell>
          <cell r="FK30" t="str">
            <v>LABEL</v>
          </cell>
          <cell r="FL30"/>
          <cell r="FM30" t="str">
            <v>BOLD</v>
          </cell>
          <cell r="FP30"/>
          <cell r="FQ30" t="str">
            <v>BOLD</v>
          </cell>
          <cell r="FT30"/>
          <cell r="FU30" t="str">
            <v>BOLD</v>
          </cell>
          <cell r="FV30" t="str">
            <v>R &amp; D expenditures</v>
          </cell>
          <cell r="FW30" t="str">
            <v>IS_RD_EXPEND</v>
          </cell>
          <cell r="FX30"/>
          <cell r="FY30" t="str">
            <v>BOLD</v>
          </cell>
          <cell r="GB30"/>
          <cell r="GC30" t="str">
            <v>BOLD</v>
          </cell>
          <cell r="GF30"/>
          <cell r="GG30" t="str">
            <v>BOLD</v>
          </cell>
          <cell r="GJ30"/>
          <cell r="GK30" t="str">
            <v>BOLD</v>
          </cell>
          <cell r="GL30" t="str">
            <v>Capital Expenditure to Depreciation Expense</v>
          </cell>
          <cell r="GM30" t="str">
            <v>CAPEX_TO_DEPR_EXPN_RATIO</v>
          </cell>
          <cell r="GN30"/>
          <cell r="GO30" t="str">
            <v>BOLD</v>
          </cell>
          <cell r="GP30" t="str">
            <v>Biomass Harvested</v>
          </cell>
          <cell r="GQ30" t="str">
            <v>BIOMASS_HARVESTED</v>
          </cell>
          <cell r="GR30"/>
          <cell r="GS30" t="str">
            <v>BOLD</v>
          </cell>
          <cell r="GT30" t="str">
            <v xml:space="preserve">  Live Race Days</v>
          </cell>
          <cell r="GU30" t="str">
            <v>ENTERT_LIVE_RACE_DAYS</v>
          </cell>
          <cell r="GV30"/>
          <cell r="GW30" t="str">
            <v>NO</v>
          </cell>
          <cell r="GZ30"/>
          <cell r="HA30" t="str">
            <v>BOLD</v>
          </cell>
          <cell r="HB30" t="str">
            <v>Global Equity Investments %</v>
          </cell>
          <cell r="HC30" t="str">
            <v>TGT_AST_ALLOC_GLOB_EQTY_INVEST_%</v>
          </cell>
          <cell r="HD30"/>
          <cell r="HE30" t="str">
            <v>BOLD</v>
          </cell>
          <cell r="HF30" t="str">
            <v>Number of Locations (End)</v>
          </cell>
          <cell r="HG30" t="str">
            <v>NUMBER_OF_LOCATIONS_END</v>
          </cell>
          <cell r="HH30"/>
          <cell r="HI30" t="str">
            <v>BOLD</v>
          </cell>
          <cell r="HL30"/>
          <cell r="HM30" t="str">
            <v>BOLD</v>
          </cell>
          <cell r="HP30"/>
          <cell r="HQ30" t="str">
            <v>BOLD</v>
          </cell>
          <cell r="HT30"/>
          <cell r="HU30" t="str">
            <v>BOLD</v>
          </cell>
          <cell r="HV30" t="str">
            <v>Price/Book Value per Share</v>
          </cell>
          <cell r="HW30" t="str">
            <v>PX_TO_BOOK_RATIO</v>
          </cell>
          <cell r="HX30"/>
          <cell r="HY30" t="str">
            <v>BOLD</v>
          </cell>
          <cell r="IB30"/>
          <cell r="IC30" t="str">
            <v>BOLD</v>
          </cell>
          <cell r="ID30" t="str">
            <v>Direct Revenue</v>
          </cell>
          <cell r="IE30" t="str">
            <v>INTERNET_DIRECT_REVENUE</v>
          </cell>
          <cell r="IF30"/>
          <cell r="IG30" t="str">
            <v>BOLD</v>
          </cell>
          <cell r="IH30" t="str">
            <v>Assets/Equity</v>
          </cell>
          <cell r="II30" t="str">
            <v>ASSET_TO_EQY</v>
          </cell>
          <cell r="IJ30"/>
          <cell r="IK30" t="str">
            <v>BOLD</v>
          </cell>
          <cell r="IL30" t="str">
            <v xml:space="preserve">  CPO Extraction Rate</v>
          </cell>
          <cell r="IM30" t="str">
            <v>BIOFUEL_CPO_EXTRACTION_RATE</v>
          </cell>
          <cell r="IN30"/>
          <cell r="IO30" t="str">
            <v>NO</v>
          </cell>
          <cell r="IP30" t="str">
            <v>+ Thermal</v>
          </cell>
          <cell r="IQ30" t="str">
            <v>FOSSIL_FUELS_ENERGY_CAPACITY</v>
          </cell>
          <cell r="IR30"/>
          <cell r="IS30" t="str">
            <v>BOLD</v>
          </cell>
          <cell r="IX30" t="str">
            <v>Price/Book Value per Share</v>
          </cell>
          <cell r="IY30" t="str">
            <v>PX_TO_BOOK_RATIO</v>
          </cell>
          <cell r="IZ30"/>
          <cell r="JA30" t="str">
            <v>BOLD</v>
          </cell>
          <cell r="JD30"/>
          <cell r="JE30" t="str">
            <v>BOLD</v>
          </cell>
          <cell r="JL30"/>
          <cell r="JM30" t="str">
            <v>BOLD</v>
          </cell>
          <cell r="JO30" t="str">
            <v>Employee Yr change %</v>
          </cell>
          <cell r="JP30" t="str">
            <v>EMPL_GROWTH</v>
          </cell>
          <cell r="JQ30"/>
          <cell r="JR30" t="str">
            <v>BOLD</v>
          </cell>
        </row>
        <row r="31">
          <cell r="A31">
            <v>30</v>
          </cell>
          <cell r="D31"/>
          <cell r="E31" t="str">
            <v>BOLD</v>
          </cell>
          <cell r="F31" t="str">
            <v>Card Ntwk Spending Vol Growth LC</v>
          </cell>
          <cell r="G31" t="str">
            <v>CARD_NETW_SPND_VOLUME_GROWTH_LC</v>
          </cell>
          <cell r="H31"/>
          <cell r="I31" t="str">
            <v>BOLD</v>
          </cell>
          <cell r="P31"/>
          <cell r="Q31" t="str">
            <v>BOLD</v>
          </cell>
          <cell r="R31" t="str">
            <v>Gold Cash Costs ($/oz) - Co-Product</v>
          </cell>
          <cell r="S31" t="str">
            <v>MINING_GOLD_CASH_COSTS_COPROD</v>
          </cell>
          <cell r="T31"/>
          <cell r="U31" t="str">
            <v>BOLD</v>
          </cell>
          <cell r="V31" t="str">
            <v>Vanadium ($/lb)</v>
          </cell>
          <cell r="W31" t="str">
            <v>MINING_VANADIUM_REALIZED_PX</v>
          </cell>
          <cell r="X31"/>
          <cell r="Y31" t="str">
            <v>BOLD</v>
          </cell>
          <cell r="AB31"/>
          <cell r="AC31" t="str">
            <v>BOLD</v>
          </cell>
          <cell r="AD31" t="str">
            <v>Molybdenum Production (Tons)</v>
          </cell>
          <cell r="AE31" t="str">
            <v>MINING_MOLYBDENUM_PROD_ACTUAL</v>
          </cell>
          <cell r="AF31"/>
          <cell r="AG31" t="str">
            <v>BOLD</v>
          </cell>
          <cell r="AH31" t="str">
            <v>Copper - Grade (%)</v>
          </cell>
          <cell r="AI31" t="str">
            <v>MINING_P&amp;P_RSRVS_COPPER_GRADE</v>
          </cell>
          <cell r="AJ31"/>
          <cell r="AK31" t="str">
            <v>BOLD</v>
          </cell>
          <cell r="AL31" t="str">
            <v>Iron - Grade (%)</v>
          </cell>
          <cell r="AM31" t="str">
            <v>MINING_M&amp;I_RESOURCES_IRON_GRADE</v>
          </cell>
          <cell r="AN31"/>
          <cell r="AO31" t="str">
            <v>BOLD</v>
          </cell>
          <cell r="AP31" t="str">
            <v>Takaful Fund for Outstanding Claims and Losses</v>
          </cell>
          <cell r="AQ31" t="str">
            <v>BS_TAKAFUL_OUTSTDG_CLAIMS_LOSSES</v>
          </cell>
          <cell r="AR31"/>
          <cell r="AS31" t="str">
            <v>BOLD</v>
          </cell>
          <cell r="AT31" t="str">
            <v>Silver Sales</v>
          </cell>
          <cell r="AU31" t="str">
            <v>MINING_SILVER_SOLD</v>
          </cell>
          <cell r="AV31"/>
          <cell r="AW31" t="str">
            <v>BOLD</v>
          </cell>
          <cell r="AZ31"/>
          <cell r="BA31" t="str">
            <v>BOLD</v>
          </cell>
          <cell r="BB31" t="str">
            <v xml:space="preserve">    Results of Operations</v>
          </cell>
          <cell r="BC31" t="str">
            <v>RESULTS_OPERATIONS_CANADA</v>
          </cell>
          <cell r="BD31"/>
          <cell r="BE31" t="str">
            <v>NO</v>
          </cell>
          <cell r="BH31"/>
          <cell r="BI31" t="str">
            <v>BOLD</v>
          </cell>
          <cell r="BL31"/>
          <cell r="BM31" t="str">
            <v>BOLD</v>
          </cell>
          <cell r="BN31" t="str">
            <v xml:space="preserve">    Russia (MBOE/Day)</v>
          </cell>
          <cell r="BO31" t="str">
            <v>DAILY_PROD_MBOE_RUSSIA</v>
          </cell>
          <cell r="BP31"/>
          <cell r="BQ31" t="str">
            <v>NO</v>
          </cell>
          <cell r="BT31"/>
          <cell r="BU31" t="str">
            <v>BOLD</v>
          </cell>
          <cell r="BV31" t="str">
            <v xml:space="preserve">    + Improved Recovery</v>
          </cell>
          <cell r="BW31" t="str">
            <v>GAS_IMPROV_REC_US</v>
          </cell>
          <cell r="BX31"/>
          <cell r="BY31" t="str">
            <v>NO</v>
          </cell>
          <cell r="BZ31" t="str">
            <v xml:space="preserve">  + Extensions &amp; Discoveries</v>
          </cell>
          <cell r="CA31" t="str">
            <v>OIL_EXTENSIONS_AND_DISCS_US</v>
          </cell>
          <cell r="CB31"/>
          <cell r="CC31" t="str">
            <v>NO</v>
          </cell>
          <cell r="CD31" t="str">
            <v xml:space="preserve">  End of year</v>
          </cell>
          <cell r="CE31" t="str">
            <v>BOE_END_YEAR_NAMR</v>
          </cell>
          <cell r="CF31"/>
          <cell r="CG31" t="str">
            <v>NO</v>
          </cell>
          <cell r="CJ31"/>
          <cell r="CK31" t="str">
            <v>BOLD</v>
          </cell>
          <cell r="CL31" t="str">
            <v>Number of Ready-Mix Concrete Plants</v>
          </cell>
          <cell r="CM31" t="str">
            <v>NUMBER_READY_MIX_CONCRETE_PLANTS</v>
          </cell>
          <cell r="CN31"/>
          <cell r="CO31" t="str">
            <v>BOLD</v>
          </cell>
          <cell r="CP31" t="str">
            <v>Mining - Gold Sales</v>
          </cell>
          <cell r="CQ31" t="str">
            <v>MINING_GOLD_SOLD</v>
          </cell>
          <cell r="CR31"/>
          <cell r="CS31" t="str">
            <v>BOLD</v>
          </cell>
          <cell r="CV31"/>
          <cell r="CW31" t="str">
            <v>BOLD</v>
          </cell>
          <cell r="CZ31"/>
          <cell r="DA31" t="str">
            <v>BOLD</v>
          </cell>
          <cell r="DD31"/>
          <cell r="DE31" t="str">
            <v>BOLD</v>
          </cell>
          <cell r="DH31"/>
          <cell r="DI31" t="str">
            <v>BOLD</v>
          </cell>
          <cell r="DL31"/>
          <cell r="DM31" t="str">
            <v>BOLD</v>
          </cell>
          <cell r="DN31" t="str">
            <v>Interest Accum'd Capital'd</v>
          </cell>
          <cell r="DO31" t="str">
            <v>INTEREST_ACCUMULATED_CAPITALIZED</v>
          </cell>
          <cell r="DP31"/>
          <cell r="DQ31" t="str">
            <v>BOLD</v>
          </cell>
          <cell r="DR31" t="str">
            <v xml:space="preserve">  Same Hospital Admissions % Change</v>
          </cell>
          <cell r="DS31" t="str">
            <v>ARD_SAME_HOSPITAL_ADMISS_%_CHG</v>
          </cell>
          <cell r="DT31"/>
          <cell r="DU31" t="str">
            <v>NO</v>
          </cell>
          <cell r="DX31"/>
          <cell r="DY31" t="str">
            <v>BOLD</v>
          </cell>
          <cell r="DZ31" t="str">
            <v>Costs PMPM</v>
          </cell>
          <cell r="EA31" t="str">
            <v>MANAGED_CARE_COST_MEMBER_MONTH</v>
          </cell>
          <cell r="EB31"/>
          <cell r="EC31" t="str">
            <v>BOLD</v>
          </cell>
          <cell r="ED31" t="str">
            <v>Miles - Average</v>
          </cell>
          <cell r="EE31" t="str">
            <v>TOTAL_MILES</v>
          </cell>
          <cell r="EF31"/>
          <cell r="EG31" t="str">
            <v>BOLD</v>
          </cell>
          <cell r="EJ31"/>
          <cell r="EK31" t="str">
            <v>BOLD</v>
          </cell>
          <cell r="EL31" t="str">
            <v xml:space="preserve">  Adjusted Operating Ratio</v>
          </cell>
          <cell r="EM31" t="str">
            <v>ADJUSTED_OPERATING_RATIO</v>
          </cell>
          <cell r="EN31"/>
          <cell r="EO31" t="str">
            <v>NO</v>
          </cell>
          <cell r="ER31"/>
          <cell r="ES31" t="str">
            <v>BOLD</v>
          </cell>
          <cell r="EV31"/>
          <cell r="EW31" t="str">
            <v>BOLD</v>
          </cell>
          <cell r="EX31" t="str">
            <v>Book to Bill</v>
          </cell>
          <cell r="EY31" t="str">
            <v>BOOK_TO_BILL</v>
          </cell>
          <cell r="EZ31"/>
          <cell r="FA31" t="str">
            <v>BOLD</v>
          </cell>
          <cell r="FD31"/>
          <cell r="FE31" t="str">
            <v>BOLD</v>
          </cell>
          <cell r="FF31" t="str">
            <v>Prepaid Average Revenue per User</v>
          </cell>
          <cell r="FG31" t="str">
            <v>PREPAID_ARPU</v>
          </cell>
          <cell r="FH31"/>
          <cell r="FI31" t="str">
            <v>BOLD</v>
          </cell>
          <cell r="FJ31" t="str">
            <v>Working Capital</v>
          </cell>
          <cell r="FK31" t="str">
            <v>WORKING_CAPITAL</v>
          </cell>
          <cell r="FL31"/>
          <cell r="FM31" t="str">
            <v>BOLD</v>
          </cell>
          <cell r="FN31" t="str">
            <v>Other</v>
          </cell>
          <cell r="FO31" t="str">
            <v>LABEL</v>
          </cell>
          <cell r="FP31"/>
          <cell r="FQ31" t="str">
            <v>BOLD</v>
          </cell>
          <cell r="FT31"/>
          <cell r="FU31" t="str">
            <v>BOLD</v>
          </cell>
          <cell r="FV31" t="str">
            <v>R &amp; D Expenditure to Net Sales</v>
          </cell>
          <cell r="FW31" t="str">
            <v>RD_EXPEND_TO_NET_SALES</v>
          </cell>
          <cell r="FX31"/>
          <cell r="FY31" t="str">
            <v>BOLD</v>
          </cell>
          <cell r="GB31"/>
          <cell r="GC31" t="str">
            <v>BOLD</v>
          </cell>
          <cell r="GF31"/>
          <cell r="GG31" t="str">
            <v>BOLD</v>
          </cell>
          <cell r="GJ31"/>
          <cell r="GK31" t="str">
            <v>BOLD</v>
          </cell>
          <cell r="GN31"/>
          <cell r="GO31" t="str">
            <v>BOLD</v>
          </cell>
          <cell r="GP31" t="str">
            <v>Biomass in the Sea</v>
          </cell>
          <cell r="GQ31" t="str">
            <v>BIOMASS_IN_THE_SEA</v>
          </cell>
          <cell r="GR31"/>
          <cell r="GS31" t="str">
            <v>BOLD</v>
          </cell>
          <cell r="GT31" t="str">
            <v xml:space="preserve">  Racing Handle</v>
          </cell>
          <cell r="GU31" t="str">
            <v>ENTERT_RACING_HANDLE</v>
          </cell>
          <cell r="GV31"/>
          <cell r="GW31" t="str">
            <v>NO</v>
          </cell>
          <cell r="GZ31"/>
          <cell r="HA31" t="str">
            <v>BOLD</v>
          </cell>
          <cell r="HB31" t="str">
            <v>Global Fixed Income %</v>
          </cell>
          <cell r="HC31" t="str">
            <v>TARGET_AST_ALLOCATION_GLOB_FI_%</v>
          </cell>
          <cell r="HD31"/>
          <cell r="HE31" t="str">
            <v>BOLD</v>
          </cell>
          <cell r="HF31" t="str">
            <v>Company Owned Locations</v>
          </cell>
          <cell r="HG31" t="str">
            <v>CO_OWNED_OPERATED_LOCATIONS</v>
          </cell>
          <cell r="HH31"/>
          <cell r="HI31" t="str">
            <v>BOLD</v>
          </cell>
          <cell r="HL31"/>
          <cell r="HM31" t="str">
            <v>BOLD</v>
          </cell>
          <cell r="HP31"/>
          <cell r="HQ31" t="str">
            <v>BOLD</v>
          </cell>
          <cell r="HT31"/>
          <cell r="HU31" t="str">
            <v>BOLD</v>
          </cell>
          <cell r="HV31" t="str">
            <v>Tangible Book Value per Share</v>
          </cell>
          <cell r="HW31" t="str">
            <v>TANG_BOOK_VAL_PER_SH</v>
          </cell>
          <cell r="HX31"/>
          <cell r="HY31" t="str">
            <v>BOLD</v>
          </cell>
          <cell r="HZ31" t="str">
            <v>Portfolio Credit Quality (NAICS)</v>
          </cell>
          <cell r="IA31" t="str">
            <v>LABEL</v>
          </cell>
          <cell r="IB31"/>
          <cell r="IC31" t="str">
            <v>BOLD</v>
          </cell>
          <cell r="ID31" t="str">
            <v>Indirect Revenue</v>
          </cell>
          <cell r="IE31" t="str">
            <v>INTERNET_INDIRECT_REVENUE</v>
          </cell>
          <cell r="IF31"/>
          <cell r="IG31" t="str">
            <v>BOLD</v>
          </cell>
          <cell r="IH31" t="str">
            <v>Average Equity/Average Assets</v>
          </cell>
          <cell r="II31" t="str">
            <v>AVG_COM_EQY_TO_AVG_ASSET</v>
          </cell>
          <cell r="IJ31"/>
          <cell r="IK31" t="str">
            <v>BOLD</v>
          </cell>
          <cell r="IL31" t="str">
            <v xml:space="preserve">  PKO Extraction Rate</v>
          </cell>
          <cell r="IM31" t="str">
            <v>BIOFUEL_PALM_KERN_OIL_EXT_RT</v>
          </cell>
          <cell r="IN31"/>
          <cell r="IO31" t="str">
            <v>NO</v>
          </cell>
          <cell r="IP31" t="str">
            <v xml:space="preserve">  Coal/Lignite</v>
          </cell>
          <cell r="IQ31" t="str">
            <v>COAL_ENERGY_CAPACITY</v>
          </cell>
          <cell r="IR31"/>
          <cell r="IS31" t="str">
            <v>NO</v>
          </cell>
          <cell r="IX31" t="str">
            <v>Tangible Book Value per Share</v>
          </cell>
          <cell r="IY31" t="str">
            <v>TANG_BOOK_VAL_PER_SH</v>
          </cell>
          <cell r="IZ31"/>
          <cell r="JA31" t="str">
            <v>BOLD</v>
          </cell>
          <cell r="JB31" t="str">
            <v>Portfolio Credit Quality (NAICS)</v>
          </cell>
          <cell r="JC31" t="str">
            <v>LABEL</v>
          </cell>
          <cell r="JD31"/>
          <cell r="JE31" t="str">
            <v>BOLD</v>
          </cell>
          <cell r="JJ31" t="str">
            <v>Number of Locations (End)</v>
          </cell>
          <cell r="JK31" t="str">
            <v>NUMBER_OF_LOCATIONS_END</v>
          </cell>
          <cell r="JL31"/>
          <cell r="JM31" t="str">
            <v>BOLD</v>
          </cell>
          <cell r="JQ31"/>
          <cell r="JR31" t="str">
            <v>BOLD</v>
          </cell>
        </row>
        <row r="32">
          <cell r="A32">
            <v>31</v>
          </cell>
          <cell r="D32"/>
          <cell r="E32" t="str">
            <v>BOLD</v>
          </cell>
          <cell r="F32" t="str">
            <v>Credit Card Spending per Avg Acct</v>
          </cell>
          <cell r="G32" t="str">
            <v>CREDIT_AND_CHARGE_CARD_SPENDING</v>
          </cell>
          <cell r="H32"/>
          <cell r="I32" t="str">
            <v>BOLD</v>
          </cell>
          <cell r="P32"/>
          <cell r="Q32" t="str">
            <v>BOLD</v>
          </cell>
          <cell r="T32"/>
          <cell r="U32" t="str">
            <v>BOLD</v>
          </cell>
          <cell r="V32" t="str">
            <v>Zinc ($/lb)</v>
          </cell>
          <cell r="W32" t="str">
            <v>MINING_ZINC_REALIZED_PX</v>
          </cell>
          <cell r="X32"/>
          <cell r="Y32" t="str">
            <v>BOLD</v>
          </cell>
          <cell r="AB32"/>
          <cell r="AC32" t="str">
            <v>BOLD</v>
          </cell>
          <cell r="AD32" t="str">
            <v>Nickel Production (Tons)</v>
          </cell>
          <cell r="AE32" t="str">
            <v>MINING_NICKEL_PRODUCTION_ACTUAL</v>
          </cell>
          <cell r="AF32"/>
          <cell r="AG32" t="str">
            <v>BOLD</v>
          </cell>
          <cell r="AH32" t="str">
            <v>Contained Copper (Tons)</v>
          </cell>
          <cell r="AI32" t="str">
            <v>MINING_P&amp;P_RSRV_CONTAINED_COPPER</v>
          </cell>
          <cell r="AJ32"/>
          <cell r="AK32" t="str">
            <v>BOLD</v>
          </cell>
          <cell r="AL32" t="str">
            <v>Lead - Ore Volume (Tons)</v>
          </cell>
          <cell r="AM32" t="str">
            <v>MINING_M&amp;I_RESOURCES_LEAD_VOLUME</v>
          </cell>
          <cell r="AN32"/>
          <cell r="AO32" t="str">
            <v>BOLD</v>
          </cell>
          <cell r="AP32" t="str">
            <v>Takaful Premium Reserves</v>
          </cell>
          <cell r="AQ32" t="str">
            <v>BS_TAKAFUL_PREMIUM_RESERVES</v>
          </cell>
          <cell r="AR32"/>
          <cell r="AS32" t="str">
            <v>BOLD</v>
          </cell>
          <cell r="AV32"/>
          <cell r="AW32" t="str">
            <v>BOLD</v>
          </cell>
          <cell r="AZ32"/>
          <cell r="BA32" t="str">
            <v>BOLD</v>
          </cell>
          <cell r="BD32"/>
          <cell r="BE32" t="str">
            <v>BOLD</v>
          </cell>
          <cell r="BH32"/>
          <cell r="BI32" t="str">
            <v>BOLD</v>
          </cell>
          <cell r="BL32"/>
          <cell r="BM32" t="str">
            <v>BOLD</v>
          </cell>
          <cell r="BP32"/>
          <cell r="BQ32" t="str">
            <v>BOLD</v>
          </cell>
          <cell r="BT32"/>
          <cell r="BU32" t="str">
            <v>BOLD</v>
          </cell>
          <cell r="BV32" t="str">
            <v xml:space="preserve">    + Extensions &amp; Discoveries</v>
          </cell>
          <cell r="BW32" t="str">
            <v>GAS_EXTENS_DISCOV_US</v>
          </cell>
          <cell r="BX32"/>
          <cell r="BY32" t="str">
            <v>NO</v>
          </cell>
          <cell r="BZ32" t="str">
            <v xml:space="preserve">  + Purchases</v>
          </cell>
          <cell r="CA32" t="str">
            <v>OIL_PURCHASES_UNITED_STATES</v>
          </cell>
          <cell r="CB32"/>
          <cell r="CC32" t="str">
            <v>NO</v>
          </cell>
          <cell r="CD32" t="str">
            <v xml:space="preserve">  Developed Reserves</v>
          </cell>
          <cell r="CE32" t="str">
            <v>BOE_DEVEL_RESV_NAMR</v>
          </cell>
          <cell r="CF32"/>
          <cell r="CG32" t="str">
            <v>NO</v>
          </cell>
          <cell r="CH32" t="str">
            <v>% Reserves Developed</v>
          </cell>
          <cell r="CI32" t="str">
            <v>PCT_RESERVES_DEVELOPED_WORLD</v>
          </cell>
          <cell r="CJ32"/>
          <cell r="CK32" t="str">
            <v>BOLD</v>
          </cell>
          <cell r="CN32"/>
          <cell r="CO32" t="str">
            <v>BOLD</v>
          </cell>
          <cell r="CP32" t="str">
            <v>Silver Cash Margin</v>
          </cell>
          <cell r="CQ32" t="str">
            <v>SILVER_CASH_MARGIN</v>
          </cell>
          <cell r="CR32"/>
          <cell r="CS32" t="str">
            <v>BOLD</v>
          </cell>
          <cell r="CV32"/>
          <cell r="CW32" t="str">
            <v>BOLD</v>
          </cell>
          <cell r="CZ32"/>
          <cell r="DA32" t="str">
            <v>BOLD</v>
          </cell>
          <cell r="DD32"/>
          <cell r="DE32" t="str">
            <v>BOLD</v>
          </cell>
          <cell r="DH32"/>
          <cell r="DI32" t="str">
            <v>BOLD</v>
          </cell>
          <cell r="DL32"/>
          <cell r="DM32" t="str">
            <v>BOLD</v>
          </cell>
          <cell r="DN32" t="str">
            <v>Trailing 12M Homes Closed/Delivered</v>
          </cell>
          <cell r="DO32" t="str">
            <v>TRAIL_12M_HOMES_CLOSED_DELIVERED</v>
          </cell>
          <cell r="DP32"/>
          <cell r="DQ32" t="str">
            <v>BOLD</v>
          </cell>
          <cell r="DR32" t="str">
            <v xml:space="preserve">  Same Hospital Adj Admissions % Change</v>
          </cell>
          <cell r="DS32" t="str">
            <v>ARD_SAME_HOSP_ADJ_ADMISS_%_CHG</v>
          </cell>
          <cell r="DT32"/>
          <cell r="DU32" t="str">
            <v>NO</v>
          </cell>
          <cell r="DX32"/>
          <cell r="DY32" t="str">
            <v>BOLD</v>
          </cell>
          <cell r="DZ32" t="str">
            <v>Total Risk Membership</v>
          </cell>
          <cell r="EA32" t="str">
            <v>TOTAL_RISK_MEMBERSHIP</v>
          </cell>
          <cell r="EB32"/>
          <cell r="EC32" t="str">
            <v>BOLD</v>
          </cell>
          <cell r="ED32" t="str">
            <v>Loaded Miles - Average</v>
          </cell>
          <cell r="EE32" t="str">
            <v>TOTAL_NUMBER_OF_LOADED_MILES</v>
          </cell>
          <cell r="EF32"/>
          <cell r="EG32" t="str">
            <v>BOLD</v>
          </cell>
          <cell r="EJ32"/>
          <cell r="EK32" t="str">
            <v>BOLD</v>
          </cell>
          <cell r="EL32" t="str">
            <v xml:space="preserve">  Rail Freight Revenue per Revenue Ton Miles</v>
          </cell>
          <cell r="EM32" t="str">
            <v>RAIL_FREIGHT_REVENUE_PER_RTM</v>
          </cell>
          <cell r="EN32"/>
          <cell r="EO32" t="str">
            <v>NO</v>
          </cell>
          <cell r="EP32" t="str">
            <v>Bookings Metrics</v>
          </cell>
          <cell r="EQ32" t="str">
            <v>LABEL</v>
          </cell>
          <cell r="ER32"/>
          <cell r="ES32" t="str">
            <v>BOLD</v>
          </cell>
          <cell r="ET32" t="str">
            <v>Research &amp; Development</v>
          </cell>
          <cell r="EU32" t="str">
            <v>IS_RD_EXPEND</v>
          </cell>
          <cell r="EV32"/>
          <cell r="EW32" t="str">
            <v>BOLD</v>
          </cell>
          <cell r="EX32" t="str">
            <v>Utilization Rate</v>
          </cell>
          <cell r="EY32" t="str">
            <v>ARD_SEMICON_UTILIZATION_RATE</v>
          </cell>
          <cell r="EZ32"/>
          <cell r="FA32" t="str">
            <v>BOLD</v>
          </cell>
          <cell r="FD32"/>
          <cell r="FE32" t="str">
            <v>BOLD</v>
          </cell>
          <cell r="FF32" t="str">
            <v>Wireless Data ARPU</v>
          </cell>
          <cell r="FG32" t="str">
            <v>WIRELESS_DATA_ARPU</v>
          </cell>
          <cell r="FH32"/>
          <cell r="FI32" t="str">
            <v>BOLD</v>
          </cell>
          <cell r="FJ32" t="str">
            <v>Cashflow-Operating Activities</v>
          </cell>
          <cell r="FK32" t="str">
            <v>CF_CASH_FROM_OPER</v>
          </cell>
          <cell r="FL32"/>
          <cell r="FM32" t="str">
            <v>BOLD</v>
          </cell>
          <cell r="FN32" t="str">
            <v>Revenue Passengers Carried</v>
          </cell>
          <cell r="FO32" t="str">
            <v>REV_PASS_CARRIED</v>
          </cell>
          <cell r="FP32"/>
          <cell r="FQ32" t="str">
            <v>BOLD</v>
          </cell>
          <cell r="FT32"/>
          <cell r="FU32" t="str">
            <v>BOLD</v>
          </cell>
          <cell r="FV32" t="str">
            <v>Capital Expenditures</v>
          </cell>
          <cell r="FW32" t="str">
            <v>CAPITAL_EXPEND</v>
          </cell>
          <cell r="FX32"/>
          <cell r="FY32" t="str">
            <v>BOLD</v>
          </cell>
          <cell r="GB32"/>
          <cell r="GC32" t="str">
            <v>BOLD</v>
          </cell>
          <cell r="GF32"/>
          <cell r="GG32" t="str">
            <v>BOLD</v>
          </cell>
          <cell r="GJ32"/>
          <cell r="GK32" t="str">
            <v>BOLD</v>
          </cell>
          <cell r="GN32"/>
          <cell r="GO32" t="str">
            <v>BOLD</v>
          </cell>
          <cell r="GP32" t="str">
            <v>Number of Manufacturing Facilities</v>
          </cell>
          <cell r="GQ32" t="str">
            <v>NUM_MANUFACTURING_FACILITIES</v>
          </cell>
          <cell r="GR32"/>
          <cell r="GS32" t="str">
            <v>BOLD</v>
          </cell>
          <cell r="GT32" t="str">
            <v xml:space="preserve">  Racing Commission %</v>
          </cell>
          <cell r="GU32" t="str">
            <v>ENTERT_RACING_COMMISSION_%</v>
          </cell>
          <cell r="GV32"/>
          <cell r="GW32" t="str">
            <v>NO</v>
          </cell>
          <cell r="GZ32"/>
          <cell r="HA32" t="str">
            <v>BOLD</v>
          </cell>
          <cell r="HB32" t="str">
            <v>Alternative Investments %</v>
          </cell>
          <cell r="HC32" t="str">
            <v>TARGET_AST_ALLOC_ALT_INVEST_%</v>
          </cell>
          <cell r="HD32"/>
          <cell r="HE32" t="str">
            <v>BOLD</v>
          </cell>
          <cell r="HF32" t="str">
            <v>No. of Franchise Locations</v>
          </cell>
          <cell r="HG32" t="str">
            <v>NUMBER_OF_FRANCHISE_LOCATIONS</v>
          </cell>
          <cell r="HH32"/>
          <cell r="HI32" t="str">
            <v>BOLD</v>
          </cell>
          <cell r="HL32"/>
          <cell r="HM32" t="str">
            <v>BOLD</v>
          </cell>
          <cell r="HP32"/>
          <cell r="HQ32" t="str">
            <v>BOLD</v>
          </cell>
          <cell r="HT32"/>
          <cell r="HU32" t="str">
            <v>BOLD</v>
          </cell>
          <cell r="HV32" t="str">
            <v>Price/Tangible Book Value per Share</v>
          </cell>
          <cell r="HW32" t="str">
            <v>PX_TO_TANG_BOOK_VAL_PER_SH</v>
          </cell>
          <cell r="HX32"/>
          <cell r="HY32" t="str">
            <v>BOLD</v>
          </cell>
          <cell r="HZ32" t="str">
            <v>NAIC 1</v>
          </cell>
          <cell r="IA32" t="str">
            <v>BS_NAIC_RATING_1_AMOUNT</v>
          </cell>
          <cell r="IB32"/>
          <cell r="IC32" t="str">
            <v>BOLD</v>
          </cell>
          <cell r="ID32" t="str">
            <v>Gross Bookings</v>
          </cell>
          <cell r="IE32" t="str">
            <v>INTERNET_GROSS_BOOKINGS</v>
          </cell>
          <cell r="IF32"/>
          <cell r="IG32" t="str">
            <v>BOLD</v>
          </cell>
          <cell r="IH32" t="str">
            <v>Book Value per Share</v>
          </cell>
          <cell r="II32" t="str">
            <v>BOOK_VAL_PER_SH</v>
          </cell>
          <cell r="IJ32"/>
          <cell r="IK32" t="str">
            <v>BOLD</v>
          </cell>
          <cell r="IL32" t="str">
            <v xml:space="preserve">  FFB Yield per Mature Hectare</v>
          </cell>
          <cell r="IM32" t="str">
            <v>BIOFUEL_FFB_YIELD_PER_MAT_HECT</v>
          </cell>
          <cell r="IN32"/>
          <cell r="IO32" t="str">
            <v>NO</v>
          </cell>
          <cell r="IP32" t="str">
            <v xml:space="preserve">    Coal</v>
          </cell>
          <cell r="IQ32" t="str">
            <v>ELEC_GEN_CAP_THERM_COAL/LC_MW</v>
          </cell>
          <cell r="IR32"/>
          <cell r="IS32" t="str">
            <v>NO</v>
          </cell>
          <cell r="IX32" t="str">
            <v>Price/Tangible Book Value per Share</v>
          </cell>
          <cell r="IY32" t="str">
            <v>PX_TO_TANG_BOOK_VAL_PER_SH</v>
          </cell>
          <cell r="IZ32"/>
          <cell r="JA32" t="str">
            <v>BOLD</v>
          </cell>
          <cell r="JB32" t="str">
            <v>NAIC 1</v>
          </cell>
          <cell r="JC32" t="str">
            <v>BS_NAIC_RATING_1_AMOUNT</v>
          </cell>
          <cell r="JD32"/>
          <cell r="JE32" t="str">
            <v>BOLD</v>
          </cell>
          <cell r="JL32"/>
          <cell r="JM32" t="str">
            <v>BOLD</v>
          </cell>
          <cell r="JO32" t="str">
            <v>Net Employee Additions</v>
          </cell>
          <cell r="JP32" t="str">
            <v>NET_EMPLOYEE_ADDITIONS</v>
          </cell>
          <cell r="JQ32"/>
          <cell r="JR32" t="str">
            <v>BOLD</v>
          </cell>
        </row>
        <row r="33">
          <cell r="A33">
            <v>32</v>
          </cell>
          <cell r="D33"/>
          <cell r="E33" t="str">
            <v>BOLD</v>
          </cell>
          <cell r="F33" t="str">
            <v>Issuer Spending Growth</v>
          </cell>
          <cell r="G33" t="str">
            <v>ISSUER_SPENDING_GROWTH_LC</v>
          </cell>
          <cell r="H33"/>
          <cell r="I33" t="str">
            <v>BOLD</v>
          </cell>
          <cell r="P33"/>
          <cell r="Q33" t="str">
            <v>BOLD</v>
          </cell>
          <cell r="T33"/>
          <cell r="U33" t="str">
            <v>BOLD</v>
          </cell>
          <cell r="X33"/>
          <cell r="Y33" t="str">
            <v>BOLD</v>
          </cell>
          <cell r="AB33"/>
          <cell r="AC33" t="str">
            <v>BOLD</v>
          </cell>
          <cell r="AD33" t="str">
            <v>Tin Production (Tons)</v>
          </cell>
          <cell r="AE33" t="str">
            <v>MINING_TIN_PRODUTION_ACTUAL</v>
          </cell>
          <cell r="AF33"/>
          <cell r="AG33" t="str">
            <v>BOLD</v>
          </cell>
          <cell r="AH33" t="str">
            <v>Lead - Ore Volume (Tons)</v>
          </cell>
          <cell r="AI33" t="str">
            <v>MINING_P&amp;P_RSRVS_LEAD_VOLUME</v>
          </cell>
          <cell r="AJ33"/>
          <cell r="AK33" t="str">
            <v>BOLD</v>
          </cell>
          <cell r="AL33" t="str">
            <v>Lead - Grade (%)</v>
          </cell>
          <cell r="AM33" t="str">
            <v>MINING_M&amp;I_RESOURCES_LEAD_GRADE</v>
          </cell>
          <cell r="AN33"/>
          <cell r="AO33" t="str">
            <v>BOLD</v>
          </cell>
          <cell r="AP33" t="str">
            <v>Amount Due to Retakaful and Takaful Insurers</v>
          </cell>
          <cell r="AQ33" t="str">
            <v>BS_TAKAFUL_DUE_INSURERS</v>
          </cell>
          <cell r="AR33"/>
          <cell r="AS33" t="str">
            <v>BOLD</v>
          </cell>
          <cell r="AV33"/>
          <cell r="AW33" t="str">
            <v>BOLD</v>
          </cell>
          <cell r="AZ33"/>
          <cell r="BA33" t="str">
            <v>BOLD</v>
          </cell>
          <cell r="BB33" t="str">
            <v>Latin America</v>
          </cell>
          <cell r="BC33" t="str">
            <v>LABEL</v>
          </cell>
          <cell r="BD33"/>
          <cell r="BE33" t="str">
            <v>BOLD</v>
          </cell>
          <cell r="BH33"/>
          <cell r="BI33" t="str">
            <v>BOLD</v>
          </cell>
          <cell r="BL33"/>
          <cell r="BM33" t="str">
            <v>BOLD</v>
          </cell>
          <cell r="BN33" t="str">
            <v>Africa</v>
          </cell>
          <cell r="BO33" t="str">
            <v>LABEL</v>
          </cell>
          <cell r="BP33"/>
          <cell r="BQ33" t="str">
            <v>BOLD</v>
          </cell>
          <cell r="BT33"/>
          <cell r="BU33" t="str">
            <v>BOLD</v>
          </cell>
          <cell r="BV33" t="str">
            <v xml:space="preserve">    + Purchases</v>
          </cell>
          <cell r="BW33" t="str">
            <v>GAS_PURCHASES_US</v>
          </cell>
          <cell r="BX33"/>
          <cell r="BY33" t="str">
            <v>NO</v>
          </cell>
          <cell r="BZ33" t="str">
            <v xml:space="preserve">  + Sales</v>
          </cell>
          <cell r="CA33" t="str">
            <v>OIL_SALES_UNITED_STATES</v>
          </cell>
          <cell r="CB33"/>
          <cell r="CC33" t="str">
            <v>NO</v>
          </cell>
          <cell r="CF33"/>
          <cell r="CG33" t="str">
            <v>BOLD</v>
          </cell>
          <cell r="CH33" t="str">
            <v>US Percentage of World Reserves</v>
          </cell>
          <cell r="CI33" t="str">
            <v>US_PERCENTAGE_WORLD_RESERVES</v>
          </cell>
          <cell r="CJ33"/>
          <cell r="CK33" t="str">
            <v>BOLD</v>
          </cell>
          <cell r="CL33" t="str">
            <v>Asphalt</v>
          </cell>
          <cell r="CM33" t="str">
            <v>LABEL</v>
          </cell>
          <cell r="CN33"/>
          <cell r="CO33" t="str">
            <v>BOLD</v>
          </cell>
          <cell r="CP33" t="str">
            <v>Mining - Silver Realized Price</v>
          </cell>
          <cell r="CQ33" t="str">
            <v>MINING_SILVER_REALIZED_PX</v>
          </cell>
          <cell r="CR33"/>
          <cell r="CS33" t="str">
            <v>BOLD</v>
          </cell>
          <cell r="CV33"/>
          <cell r="CW33" t="str">
            <v>BOLD</v>
          </cell>
          <cell r="CZ33"/>
          <cell r="DA33" t="str">
            <v>BOLD</v>
          </cell>
          <cell r="DD33"/>
          <cell r="DE33" t="str">
            <v>BOLD</v>
          </cell>
          <cell r="DH33"/>
          <cell r="DI33" t="str">
            <v>BOLD</v>
          </cell>
          <cell r="DL33"/>
          <cell r="DM33" t="str">
            <v>BOLD</v>
          </cell>
          <cell r="DN33" t="str">
            <v>Trailing 12M Homes Ordered</v>
          </cell>
          <cell r="DO33" t="str">
            <v>TRAIL_12M_HOMES_ORDERED</v>
          </cell>
          <cell r="DP33"/>
          <cell r="DQ33" t="str">
            <v>BOLD</v>
          </cell>
          <cell r="DR33" t="str">
            <v xml:space="preserve">  Same Hospital Rev Equiv Admiss % Change</v>
          </cell>
          <cell r="DS33" t="str">
            <v>ARD_SAME_HOSP_REV_EQUIV_%_CHG</v>
          </cell>
          <cell r="DT33"/>
          <cell r="DU33" t="str">
            <v>NO</v>
          </cell>
          <cell r="DX33"/>
          <cell r="DY33" t="str">
            <v>BOLD</v>
          </cell>
          <cell r="DZ33" t="str">
            <v>Total Commercial Enrollment</v>
          </cell>
          <cell r="EA33" t="str">
            <v>TOTAL_COMMERCIAL_ENROLLMENT</v>
          </cell>
          <cell r="EB33"/>
          <cell r="EC33" t="str">
            <v>BOLD</v>
          </cell>
          <cell r="ED33" t="str">
            <v>Empty Mile Factor</v>
          </cell>
          <cell r="EE33" t="str">
            <v>EMPTY_MILE_FACTOR</v>
          </cell>
          <cell r="EF33"/>
          <cell r="EG33" t="str">
            <v>BOLD</v>
          </cell>
          <cell r="EJ33"/>
          <cell r="EK33" t="str">
            <v>BOLD</v>
          </cell>
          <cell r="EL33" t="str">
            <v xml:space="preserve">  Operating Expenses per Gross Ton Miles</v>
          </cell>
          <cell r="EM33" t="str">
            <v>OPERATING_EXPENSES_PER_GTM</v>
          </cell>
          <cell r="EN33"/>
          <cell r="EO33" t="str">
            <v>NO</v>
          </cell>
          <cell r="EP33" t="str">
            <v>New Contract Bookings</v>
          </cell>
          <cell r="EQ33" t="str">
            <v>NEW_CONTRACT_BOOKINGS</v>
          </cell>
          <cell r="ER33"/>
          <cell r="ES33" t="str">
            <v>BOLD</v>
          </cell>
          <cell r="ET33" t="str">
            <v>Research &amp; Development (% of Sales)</v>
          </cell>
          <cell r="EU33" t="str">
            <v>RD_EXPEND_TO_NET_SALES</v>
          </cell>
          <cell r="EV33"/>
          <cell r="EW33" t="str">
            <v>BOLD</v>
          </cell>
          <cell r="EZ33"/>
          <cell r="FA33" t="str">
            <v>BOLD</v>
          </cell>
          <cell r="FD33"/>
          <cell r="FE33" t="str">
            <v>BOLD</v>
          </cell>
          <cell r="FH33"/>
          <cell r="FI33" t="str">
            <v>BOLD</v>
          </cell>
          <cell r="FJ33" t="str">
            <v>Free Cash Flow</v>
          </cell>
          <cell r="FK33" t="str">
            <v>CF_FREE_CASH_FLOW</v>
          </cell>
          <cell r="FL33"/>
          <cell r="FM33" t="str">
            <v>BOLD</v>
          </cell>
          <cell r="FN33" t="str">
            <v xml:space="preserve">  Mainline Passenger Revenue</v>
          </cell>
          <cell r="FO33" t="str">
            <v>MAINLINE_PASSENGER_REVENUE</v>
          </cell>
          <cell r="FP33"/>
          <cell r="FQ33" t="str">
            <v>NO</v>
          </cell>
          <cell r="FT33"/>
          <cell r="FU33" t="str">
            <v>BOLD</v>
          </cell>
          <cell r="FV33" t="str">
            <v>Inventory Growth To Sales Growth</v>
          </cell>
          <cell r="FW33" t="str">
            <v>INVENTORY_GROWTH_TO_SALES_GROWTH</v>
          </cell>
          <cell r="FX33"/>
          <cell r="FY33" t="str">
            <v>BOLD</v>
          </cell>
          <cell r="GB33"/>
          <cell r="GC33" t="str">
            <v>BOLD</v>
          </cell>
          <cell r="GF33"/>
          <cell r="GG33" t="str">
            <v>BOLD</v>
          </cell>
          <cell r="GJ33"/>
          <cell r="GK33" t="str">
            <v>BOLD</v>
          </cell>
          <cell r="GN33"/>
          <cell r="GO33" t="str">
            <v>BOLD</v>
          </cell>
          <cell r="GP33" t="str">
            <v>Number of Distribution Facilities</v>
          </cell>
          <cell r="GQ33" t="str">
            <v>NUM_DISTRIBUTION_FACILITIES</v>
          </cell>
          <cell r="GR33"/>
          <cell r="GS33" t="str">
            <v>BOLD</v>
          </cell>
          <cell r="GT33" t="str">
            <v>Gaming Machine Manufacturers</v>
          </cell>
          <cell r="GV33"/>
          <cell r="GW33" t="str">
            <v>BOLD</v>
          </cell>
          <cell r="GZ33"/>
          <cell r="HA33" t="str">
            <v>BOLD</v>
          </cell>
          <cell r="HB33" t="str">
            <v>Other Investments/Other Assets %</v>
          </cell>
          <cell r="HC33" t="str">
            <v>ARD_TGT_AST_ALC_OT_INV_OT_AST_%</v>
          </cell>
          <cell r="HD33"/>
          <cell r="HE33" t="str">
            <v>BOLD</v>
          </cell>
          <cell r="HF33" t="str">
            <v>Remodeled/Expanded/Relocated</v>
          </cell>
          <cell r="HG33" t="str">
            <v>NUM_OF_LOC_REMODEL_EXPAND_RELOC</v>
          </cell>
          <cell r="HH33"/>
          <cell r="HI33" t="str">
            <v>BOLD</v>
          </cell>
          <cell r="HL33"/>
          <cell r="HM33" t="str">
            <v>BOLD</v>
          </cell>
          <cell r="HP33"/>
          <cell r="HQ33" t="str">
            <v>BOLD</v>
          </cell>
          <cell r="HT33"/>
          <cell r="HU33" t="str">
            <v>BOLD</v>
          </cell>
          <cell r="HV33" t="str">
            <v>Tangible Common Equity</v>
          </cell>
          <cell r="HW33" t="str">
            <v>TANGIBLE_COMMON_EQUITY</v>
          </cell>
          <cell r="HX33"/>
          <cell r="HY33" t="str">
            <v>BOLD</v>
          </cell>
          <cell r="HZ33" t="str">
            <v>NAIC 2</v>
          </cell>
          <cell r="IA33" t="str">
            <v>BS_NAIC_RATING_2_AMOUNT</v>
          </cell>
          <cell r="IB33"/>
          <cell r="IC33" t="str">
            <v>BOLD</v>
          </cell>
          <cell r="ID33" t="str">
            <v>Airline Tickets Sold</v>
          </cell>
          <cell r="IE33" t="str">
            <v>INTERNET_AIRLINE_TICKETS_SOLD</v>
          </cell>
          <cell r="IF33"/>
          <cell r="IG33" t="str">
            <v>BOLD</v>
          </cell>
          <cell r="IH33" t="str">
            <v>Price/Book Value per Share</v>
          </cell>
          <cell r="II33" t="str">
            <v>PX_TO_BOOK_RATIO</v>
          </cell>
          <cell r="IJ33"/>
          <cell r="IK33" t="str">
            <v>BOLD</v>
          </cell>
          <cell r="IL33" t="str">
            <v xml:space="preserve">  Rubber Yield per Mature Hectare</v>
          </cell>
          <cell r="IM33" t="str">
            <v>BIOFUEL_RUBBER_YIELD_MAT_HECTARE</v>
          </cell>
          <cell r="IN33"/>
          <cell r="IO33" t="str">
            <v>NO</v>
          </cell>
          <cell r="IP33" t="str">
            <v xml:space="preserve">    Lignite</v>
          </cell>
          <cell r="IQ33" t="str">
            <v>ELEC_GEN_CAP_THERM_COAL/LIG_MW</v>
          </cell>
          <cell r="IR33"/>
          <cell r="IS33" t="str">
            <v>NO</v>
          </cell>
          <cell r="IX33" t="str">
            <v>Tangible Common Equity</v>
          </cell>
          <cell r="IY33" t="str">
            <v>TANGIBLE_COMMON_EQUITY</v>
          </cell>
          <cell r="IZ33"/>
          <cell r="JA33" t="str">
            <v>BOLD</v>
          </cell>
          <cell r="JB33" t="str">
            <v>NAIC 2</v>
          </cell>
          <cell r="JC33" t="str">
            <v>BS_NAIC_RATING_2_AMOUNT</v>
          </cell>
          <cell r="JD33"/>
          <cell r="JE33" t="str">
            <v>BOLD</v>
          </cell>
          <cell r="JJ33" t="str">
            <v>Number of Franchise Locations</v>
          </cell>
          <cell r="JK33" t="str">
            <v>NUMBER_OF_FRANCHISE_LOCATIONS</v>
          </cell>
          <cell r="JL33"/>
          <cell r="JM33" t="str">
            <v>BOLD</v>
          </cell>
        </row>
        <row r="34">
          <cell r="A34">
            <v>33</v>
          </cell>
          <cell r="D34"/>
          <cell r="E34" t="str">
            <v>BOLD</v>
          </cell>
          <cell r="F34" t="str">
            <v>Charges at Third Parties</v>
          </cell>
          <cell r="G34" t="str">
            <v>CHARGES_AT_THIRD_PARTIES</v>
          </cell>
          <cell r="H34"/>
          <cell r="I34" t="str">
            <v>BOLD</v>
          </cell>
          <cell r="P34"/>
          <cell r="Q34" t="str">
            <v>BOLD</v>
          </cell>
          <cell r="T34"/>
          <cell r="U34" t="str">
            <v>BOLD</v>
          </cell>
          <cell r="X34"/>
          <cell r="Y34" t="str">
            <v>BOLD</v>
          </cell>
          <cell r="AB34"/>
          <cell r="AC34" t="str">
            <v>BOLD</v>
          </cell>
          <cell r="AD34" t="str">
            <v>Uranium Production (Tons)</v>
          </cell>
          <cell r="AE34" t="str">
            <v>MINING_URANIUM_PRODUCTION_ACTUAL</v>
          </cell>
          <cell r="AF34"/>
          <cell r="AG34" t="str">
            <v>BOLD</v>
          </cell>
          <cell r="AH34" t="str">
            <v>Lead - Grade (%)</v>
          </cell>
          <cell r="AI34" t="str">
            <v>MINING_P&amp;P_RSRVS_LEAD_GRADE</v>
          </cell>
          <cell r="AJ34"/>
          <cell r="AK34" t="str">
            <v>BOLD</v>
          </cell>
          <cell r="AL34" t="str">
            <v>Contained Lead (Tons)</v>
          </cell>
          <cell r="AM34" t="str">
            <v>MINING_M&amp;I_RES_CONTAINED_LEAD</v>
          </cell>
          <cell r="AN34"/>
          <cell r="AO34" t="str">
            <v>BOLD</v>
          </cell>
          <cell r="AP34" t="str">
            <v>Takaful Total Policyholders' Liabilities</v>
          </cell>
          <cell r="AQ34" t="str">
            <v>BS_TAKAFUL_TOTAL_LIABILITIES</v>
          </cell>
          <cell r="AR34"/>
          <cell r="AS34" t="str">
            <v>BOLD</v>
          </cell>
          <cell r="AV34"/>
          <cell r="AW34" t="str">
            <v>BOLD</v>
          </cell>
          <cell r="AZ34"/>
          <cell r="BA34" t="str">
            <v>BOLD</v>
          </cell>
          <cell r="BB34" t="str">
            <v xml:space="preserve">  Revenues</v>
          </cell>
          <cell r="BC34" t="str">
            <v>E&amp;P_REVENUES_LAMR</v>
          </cell>
          <cell r="BD34"/>
          <cell r="BE34" t="str">
            <v>NO</v>
          </cell>
          <cell r="BH34"/>
          <cell r="BI34" t="str">
            <v>BOLD</v>
          </cell>
          <cell r="BL34"/>
          <cell r="BM34" t="str">
            <v>BOLD</v>
          </cell>
          <cell r="BN34" t="str">
            <v xml:space="preserve">  Oil (MBBL/Day)</v>
          </cell>
          <cell r="BO34" t="str">
            <v>OIL_PRODUCTION_AFRICA_MBBL_DY</v>
          </cell>
          <cell r="BP34"/>
          <cell r="BQ34" t="str">
            <v>NO</v>
          </cell>
          <cell r="BT34"/>
          <cell r="BU34" t="str">
            <v>BOLD</v>
          </cell>
          <cell r="BV34" t="str">
            <v xml:space="preserve">    + Sales</v>
          </cell>
          <cell r="BW34" t="str">
            <v>GAS_SALES_US</v>
          </cell>
          <cell r="BX34"/>
          <cell r="BY34" t="str">
            <v>NO</v>
          </cell>
          <cell r="BZ34" t="str">
            <v xml:space="preserve">  + Production</v>
          </cell>
          <cell r="CA34" t="str">
            <v>OIL_PRODUCTION_UNITED_STATES</v>
          </cell>
          <cell r="CB34"/>
          <cell r="CC34" t="str">
            <v>NO</v>
          </cell>
          <cell r="CD34" t="str">
            <v xml:space="preserve">  United States</v>
          </cell>
          <cell r="CE34" t="str">
            <v>LABEL</v>
          </cell>
          <cell r="CF34"/>
          <cell r="CG34" t="str">
            <v>NO</v>
          </cell>
          <cell r="CH34" t="str">
            <v>Crude Oil % of Total Reserves</v>
          </cell>
          <cell r="CI34" t="str">
            <v>OIL_RESERVES</v>
          </cell>
          <cell r="CJ34"/>
          <cell r="CK34" t="str">
            <v>BOLD</v>
          </cell>
          <cell r="CL34" t="str">
            <v>Asphalt Volumes/Shipments</v>
          </cell>
          <cell r="CM34" t="str">
            <v>ASPHALT_VOLUMES_SHIPMENTS</v>
          </cell>
          <cell r="CN34"/>
          <cell r="CO34" t="str">
            <v>BOLD</v>
          </cell>
          <cell r="CP34" t="str">
            <v>Mining - Silver Total Cash Costs - Byproduct</v>
          </cell>
          <cell r="CQ34" t="str">
            <v>MINING_SILVER_CASH_COSTS_BYPROD</v>
          </cell>
          <cell r="CR34"/>
          <cell r="CS34" t="str">
            <v>BOLD</v>
          </cell>
          <cell r="CV34"/>
          <cell r="CW34" t="str">
            <v>BOLD</v>
          </cell>
          <cell r="CZ34"/>
          <cell r="DA34" t="str">
            <v>BOLD</v>
          </cell>
          <cell r="DD34"/>
          <cell r="DE34" t="str">
            <v>BOLD</v>
          </cell>
          <cell r="DH34"/>
          <cell r="DI34" t="str">
            <v>BOLD</v>
          </cell>
          <cell r="DL34"/>
          <cell r="DM34" t="str">
            <v>BOLD</v>
          </cell>
          <cell r="DP34"/>
          <cell r="DQ34" t="str">
            <v>BOLD</v>
          </cell>
          <cell r="DR34" t="str">
            <v xml:space="preserve">  Same Hospital Inpatient Surgeries % Change</v>
          </cell>
          <cell r="DS34" t="str">
            <v>ARD_SAME_HOSP_INPAT_SURG_%_CHG</v>
          </cell>
          <cell r="DT34"/>
          <cell r="DU34" t="str">
            <v>NO</v>
          </cell>
          <cell r="DX34"/>
          <cell r="DY34" t="str">
            <v>BOLD</v>
          </cell>
          <cell r="EB34"/>
          <cell r="EC34" t="str">
            <v>BOLD</v>
          </cell>
          <cell r="ED34" t="str">
            <v>Loads - Average</v>
          </cell>
          <cell r="EE34" t="str">
            <v>TRUCKING_LOADS</v>
          </cell>
          <cell r="EF34"/>
          <cell r="EG34" t="str">
            <v>BOLD</v>
          </cell>
          <cell r="EJ34"/>
          <cell r="EK34" t="str">
            <v>BOLD</v>
          </cell>
          <cell r="EL34" t="str">
            <v xml:space="preserve">  Fuel Price per Gallon (Litre)</v>
          </cell>
          <cell r="EM34" t="str">
            <v>FUEL_PRICE_PER_GALLON_LITRE</v>
          </cell>
          <cell r="EN34"/>
          <cell r="EO34" t="str">
            <v>NO</v>
          </cell>
          <cell r="EP34" t="str">
            <v>New Contract Bookings T12M</v>
          </cell>
          <cell r="EQ34" t="str">
            <v>NEW_CONTRACT_BOOKINGS_T12M</v>
          </cell>
          <cell r="ER34"/>
          <cell r="ES34" t="str">
            <v>BOLD</v>
          </cell>
          <cell r="EV34"/>
          <cell r="EW34" t="str">
            <v>BOLD</v>
          </cell>
          <cell r="EX34" t="str">
            <v>Company Data</v>
          </cell>
          <cell r="EY34" t="str">
            <v>LABEL</v>
          </cell>
          <cell r="EZ34"/>
          <cell r="FA34" t="str">
            <v>BOLD</v>
          </cell>
          <cell r="FD34"/>
          <cell r="FE34" t="str">
            <v>BOLD</v>
          </cell>
          <cell r="FF34" t="str">
            <v>Other Data</v>
          </cell>
          <cell r="FG34" t="str">
            <v>LABEL</v>
          </cell>
          <cell r="FH34"/>
          <cell r="FI34" t="str">
            <v>BOLD</v>
          </cell>
          <cell r="FJ34" t="str">
            <v>FCF/share</v>
          </cell>
          <cell r="FK34" t="str">
            <v>FREE_CASH_FLOW_PER_SH</v>
          </cell>
          <cell r="FL34"/>
          <cell r="FM34" t="str">
            <v>BOLD</v>
          </cell>
          <cell r="FN34" t="str">
            <v xml:space="preserve">  Regional Passenger Revenue</v>
          </cell>
          <cell r="FO34" t="str">
            <v>REGIONAL_PASSENGER_REVENUE</v>
          </cell>
          <cell r="FP34"/>
          <cell r="FQ34" t="str">
            <v>NO</v>
          </cell>
          <cell r="FT34"/>
          <cell r="FU34" t="str">
            <v>BOLD</v>
          </cell>
          <cell r="FV34" t="str">
            <v>Inv. turnover</v>
          </cell>
          <cell r="FW34" t="str">
            <v>INVENT_TURN</v>
          </cell>
          <cell r="FX34"/>
          <cell r="FY34" t="str">
            <v>BOLD</v>
          </cell>
          <cell r="GB34"/>
          <cell r="GC34" t="str">
            <v>BOLD</v>
          </cell>
          <cell r="GF34"/>
          <cell r="GG34" t="str">
            <v>BOLD</v>
          </cell>
          <cell r="GJ34"/>
          <cell r="GK34" t="str">
            <v>BOLD</v>
          </cell>
          <cell r="GN34"/>
          <cell r="GO34" t="str">
            <v>BOLD</v>
          </cell>
          <cell r="GP34" t="str">
            <v>Gallons Sold Non-Alcoholic Beverages</v>
          </cell>
          <cell r="GQ34" t="str">
            <v>VOL_SOLD_NON-ALCOHOLIC_BEV</v>
          </cell>
          <cell r="GR34"/>
          <cell r="GS34" t="str">
            <v>BOLD</v>
          </cell>
          <cell r="GT34" t="str">
            <v xml:space="preserve">  End of Period Installed Base</v>
          </cell>
          <cell r="GU34" t="str">
            <v>END_PERIOD_INSTALLED_BASE</v>
          </cell>
          <cell r="GV34"/>
          <cell r="GW34" t="str">
            <v>NO</v>
          </cell>
          <cell r="GZ34"/>
          <cell r="HA34" t="str">
            <v>BOLD</v>
          </cell>
          <cell r="HD34"/>
          <cell r="HE34" t="str">
            <v>BOLD</v>
          </cell>
          <cell r="HF34" t="str">
            <v>Number of Store Names</v>
          </cell>
          <cell r="HG34" t="str">
            <v>NUMBER_OF_STORE_NAMES</v>
          </cell>
          <cell r="HH34"/>
          <cell r="HI34" t="str">
            <v>BOLD</v>
          </cell>
          <cell r="HL34"/>
          <cell r="HM34" t="str">
            <v>BOLD</v>
          </cell>
          <cell r="HP34"/>
          <cell r="HQ34" t="str">
            <v>BOLD</v>
          </cell>
          <cell r="HT34"/>
          <cell r="HU34" t="str">
            <v>BOLD</v>
          </cell>
          <cell r="HV34" t="str">
            <v>Tangible Common Equity Ratio</v>
          </cell>
          <cell r="HW34" t="str">
            <v>TCE_RATIO</v>
          </cell>
          <cell r="HX34"/>
          <cell r="HY34" t="str">
            <v>BOLD</v>
          </cell>
          <cell r="HZ34" t="str">
            <v>NAIC 3</v>
          </cell>
          <cell r="IA34" t="str">
            <v>BS_NAIC_RATING_3_AMOUNT</v>
          </cell>
          <cell r="IB34"/>
          <cell r="IC34" t="str">
            <v>BOLD</v>
          </cell>
          <cell r="ID34" t="str">
            <v>Hotel Room Nights</v>
          </cell>
          <cell r="IE34" t="str">
            <v>INTERNET_HOTEL_ROOM_NIGHTS</v>
          </cell>
          <cell r="IF34"/>
          <cell r="IG34" t="str">
            <v>BOLD</v>
          </cell>
          <cell r="IH34" t="str">
            <v>Tangible Book Value per Share</v>
          </cell>
          <cell r="II34" t="str">
            <v>TANG_BOOK_VAL_PER_SH</v>
          </cell>
          <cell r="IJ34"/>
          <cell r="IK34" t="str">
            <v>BOLD</v>
          </cell>
          <cell r="IL34" t="str">
            <v xml:space="preserve">  Area Planted</v>
          </cell>
          <cell r="IM34" t="str">
            <v>BIOFUEL_AREA_PLANTED</v>
          </cell>
          <cell r="IN34"/>
          <cell r="IO34" t="str">
            <v>NO</v>
          </cell>
          <cell r="IP34" t="str">
            <v xml:space="preserve">  Gas</v>
          </cell>
          <cell r="IQ34" t="str">
            <v>GAS_ENERGY_CAPACITY</v>
          </cell>
          <cell r="IR34"/>
          <cell r="IS34" t="str">
            <v>NO</v>
          </cell>
          <cell r="IX34" t="str">
            <v>Tangible Common Equity Ratio</v>
          </cell>
          <cell r="IY34" t="str">
            <v>TCE_RATIO</v>
          </cell>
          <cell r="IZ34"/>
          <cell r="JA34" t="str">
            <v>BOLD</v>
          </cell>
          <cell r="JB34" t="str">
            <v>NAIC 3</v>
          </cell>
          <cell r="JC34" t="str">
            <v>BS_NAIC_RATING_3_AMOUNT</v>
          </cell>
          <cell r="JD34"/>
          <cell r="JE34" t="str">
            <v>BOLD</v>
          </cell>
          <cell r="JJ34" t="str">
            <v>Number of Company Owned Locations</v>
          </cell>
          <cell r="JK34" t="str">
            <v>CO_OWNED_OPERATED_LOCATIONS</v>
          </cell>
          <cell r="JL34"/>
          <cell r="JM34" t="str">
            <v>BOLD</v>
          </cell>
        </row>
        <row r="35">
          <cell r="A35">
            <v>34</v>
          </cell>
          <cell r="D35"/>
          <cell r="E35" t="str">
            <v>BOLD</v>
          </cell>
          <cell r="F35" t="str">
            <v>Merchant Svcs to Total Net Pmt Vol</v>
          </cell>
          <cell r="G35" t="str">
            <v>MERCHANT_SVCS_TO_TOT_NET_PMT_VOL</v>
          </cell>
          <cell r="H35"/>
          <cell r="I35" t="str">
            <v>BOLD</v>
          </cell>
          <cell r="P35"/>
          <cell r="Q35" t="str">
            <v>BOLD</v>
          </cell>
          <cell r="T35"/>
          <cell r="U35" t="str">
            <v>BOLD</v>
          </cell>
          <cell r="X35"/>
          <cell r="Y35" t="str">
            <v>BOLD</v>
          </cell>
          <cell r="AB35"/>
          <cell r="AC35" t="str">
            <v>BOLD</v>
          </cell>
          <cell r="AD35" t="str">
            <v>Vanadium Production (Tons)</v>
          </cell>
          <cell r="AE35" t="str">
            <v>MINING_VANADIUM_PROD_ACTUAL</v>
          </cell>
          <cell r="AF35"/>
          <cell r="AG35" t="str">
            <v>BOLD</v>
          </cell>
          <cell r="AH35" t="str">
            <v>Contained Lead (Tons)</v>
          </cell>
          <cell r="AI35" t="str">
            <v>MINING_P&amp;P_RSRVS_CONTAINED_LEAD</v>
          </cell>
          <cell r="AJ35"/>
          <cell r="AK35" t="str">
            <v>BOLD</v>
          </cell>
          <cell r="AL35" t="str">
            <v>Manganese - Ore Volume (Tons)</v>
          </cell>
          <cell r="AM35" t="str">
            <v>MINING_M&amp;I_RES_MANGANESE_VOLUME</v>
          </cell>
          <cell r="AN35"/>
          <cell r="AO35" t="str">
            <v>BOLD</v>
          </cell>
          <cell r="AP35" t="str">
            <v>Takaful Policyholders' Surplus</v>
          </cell>
          <cell r="AQ35" t="str">
            <v>BS_TAKAFUL_POLICYHOLDER_SURPLUS</v>
          </cell>
          <cell r="AR35"/>
          <cell r="AS35" t="str">
            <v>BOLD</v>
          </cell>
          <cell r="AV35"/>
          <cell r="AW35" t="str">
            <v>BOLD</v>
          </cell>
          <cell r="AZ35"/>
          <cell r="BA35" t="str">
            <v>BOLD</v>
          </cell>
          <cell r="BB35" t="str">
            <v xml:space="preserve">  - Production Costs</v>
          </cell>
          <cell r="BC35" t="str">
            <v>PRODUCTION_COSTS_LAMR</v>
          </cell>
          <cell r="BD35"/>
          <cell r="BE35" t="str">
            <v>NO</v>
          </cell>
          <cell r="BH35"/>
          <cell r="BI35" t="str">
            <v>BOLD</v>
          </cell>
          <cell r="BL35"/>
          <cell r="BM35" t="str">
            <v>BOLD</v>
          </cell>
          <cell r="BN35" t="str">
            <v xml:space="preserve">  Gas (MMCF/Day)</v>
          </cell>
          <cell r="BO35" t="str">
            <v>GAS_PRODUCTION_AFRICA_MMCF_DY</v>
          </cell>
          <cell r="BP35"/>
          <cell r="BQ35" t="str">
            <v>NO</v>
          </cell>
          <cell r="BT35"/>
          <cell r="BU35" t="str">
            <v>BOLD</v>
          </cell>
          <cell r="BV35" t="str">
            <v xml:space="preserve">    + Production</v>
          </cell>
          <cell r="BW35" t="str">
            <v>GAS_PRODUCTION_US</v>
          </cell>
          <cell r="BX35"/>
          <cell r="BY35" t="str">
            <v>NO</v>
          </cell>
          <cell r="BZ35" t="str">
            <v xml:space="preserve">  + Other</v>
          </cell>
          <cell r="CA35" t="str">
            <v>OIL_OTHER_CHANGES_UNITED_STATES</v>
          </cell>
          <cell r="CB35"/>
          <cell r="CC35" t="str">
            <v>NO</v>
          </cell>
          <cell r="CD35" t="str">
            <v xml:space="preserve">    Start of Year</v>
          </cell>
          <cell r="CE35" t="str">
            <v>BOE_START_YEAR_US</v>
          </cell>
          <cell r="CF35"/>
          <cell r="CG35" t="str">
            <v>NO</v>
          </cell>
          <cell r="CH35" t="str">
            <v>Reserves Per Share - BOE</v>
          </cell>
          <cell r="CI35" t="str">
            <v>RESERVES_PER_SHARE_BOE</v>
          </cell>
          <cell r="CJ35"/>
          <cell r="CK35" t="str">
            <v>BOLD</v>
          </cell>
          <cell r="CL35" t="str">
            <v xml:space="preserve">  Asphalt Volume Growth</v>
          </cell>
          <cell r="CM35" t="str">
            <v>ASPHALT_VOLUME_GROWTH</v>
          </cell>
          <cell r="CN35"/>
          <cell r="CO35" t="str">
            <v>NO</v>
          </cell>
          <cell r="CP35" t="str">
            <v>Mining - Silver Mined Production</v>
          </cell>
          <cell r="CQ35" t="str">
            <v>MINING_SILVER_PRODUCTION_ACTUAL</v>
          </cell>
          <cell r="CR35"/>
          <cell r="CS35" t="str">
            <v>BOLD</v>
          </cell>
          <cell r="CV35"/>
          <cell r="CW35" t="str">
            <v>BOLD</v>
          </cell>
          <cell r="CZ35"/>
          <cell r="DA35" t="str">
            <v>BOLD</v>
          </cell>
          <cell r="DD35"/>
          <cell r="DE35" t="str">
            <v>BOLD</v>
          </cell>
          <cell r="DH35"/>
          <cell r="DI35" t="str">
            <v>BOLD</v>
          </cell>
          <cell r="DL35"/>
          <cell r="DM35" t="str">
            <v>BOLD</v>
          </cell>
          <cell r="DP35"/>
          <cell r="DQ35" t="str">
            <v>BOLD</v>
          </cell>
          <cell r="DR35" t="str">
            <v xml:space="preserve">  Same Hospital Outpatient Surgeries % Change</v>
          </cell>
          <cell r="DS35" t="str">
            <v>ARD_SAME_HOSP_OUTPAT_SURG_%_CHG</v>
          </cell>
          <cell r="DT35"/>
          <cell r="DU35" t="str">
            <v>NO</v>
          </cell>
          <cell r="DX35"/>
          <cell r="DY35" t="str">
            <v>BOLD</v>
          </cell>
          <cell r="EB35"/>
          <cell r="EC35" t="str">
            <v>BOLD</v>
          </cell>
          <cell r="EF35"/>
          <cell r="EG35" t="str">
            <v>BOLD</v>
          </cell>
          <cell r="EJ35"/>
          <cell r="EK35" t="str">
            <v>BOLD</v>
          </cell>
          <cell r="EL35" t="str">
            <v xml:space="preserve">  Fuel Gallons Consumed per 1000 Gross Ton Miles</v>
          </cell>
          <cell r="EM35" t="str">
            <v>FUEL_GALLONS_CONSUMED_PER_GTM</v>
          </cell>
          <cell r="EN35"/>
          <cell r="EO35" t="str">
            <v>NO</v>
          </cell>
          <cell r="EP35" t="str">
            <v>IT Services - 1 Year Bookings Growth</v>
          </cell>
          <cell r="EQ35" t="str">
            <v>IT_SERVICES_1_YR_BOOKINGS_GROWTH</v>
          </cell>
          <cell r="ER35"/>
          <cell r="ES35" t="str">
            <v>BOLD</v>
          </cell>
          <cell r="EV35"/>
          <cell r="EW35" t="str">
            <v>BOLD</v>
          </cell>
          <cell r="EX35" t="str">
            <v>TTM Sales</v>
          </cell>
          <cell r="EY35" t="str">
            <v>TRAIL_12M_NET_SALES</v>
          </cell>
          <cell r="EZ35"/>
          <cell r="FA35" t="str">
            <v>BOLD</v>
          </cell>
          <cell r="FD35"/>
          <cell r="FE35" t="str">
            <v>BOLD</v>
          </cell>
          <cell r="FF35" t="str">
            <v>Wireless Subscriber Acquisition Cost (SAC)</v>
          </cell>
          <cell r="FG35" t="str">
            <v>WIRELESS_SUBSCRIBER_ACQ_COST</v>
          </cell>
          <cell r="FH35"/>
          <cell r="FI35" t="str">
            <v>BOLD</v>
          </cell>
          <cell r="FL35"/>
          <cell r="FM35" t="str">
            <v>BOLD</v>
          </cell>
          <cell r="FP35"/>
          <cell r="FQ35" t="str">
            <v>BOLD</v>
          </cell>
          <cell r="FT35"/>
          <cell r="FU35" t="str">
            <v>BOLD</v>
          </cell>
          <cell r="FV35" t="str">
            <v>T12 Inv turn-days</v>
          </cell>
          <cell r="FW35" t="str">
            <v>INVENT_DAYS</v>
          </cell>
          <cell r="FX35"/>
          <cell r="FY35" t="str">
            <v>BOLD</v>
          </cell>
          <cell r="GB35"/>
          <cell r="GC35" t="str">
            <v>BOLD</v>
          </cell>
          <cell r="GF35"/>
          <cell r="GG35" t="str">
            <v>BOLD</v>
          </cell>
          <cell r="GJ35"/>
          <cell r="GK35" t="str">
            <v>BOLD</v>
          </cell>
          <cell r="GN35"/>
          <cell r="GO35" t="str">
            <v>BOLD</v>
          </cell>
          <cell r="GP35" t="str">
            <v>Number of Distribution Vehicles</v>
          </cell>
          <cell r="GQ35" t="str">
            <v>NUM_DISTRIBUTION_VEHICLES</v>
          </cell>
          <cell r="GR35"/>
          <cell r="GS35" t="str">
            <v>BOLD</v>
          </cell>
          <cell r="GT35" t="str">
            <v xml:space="preserve">  Change in Installed Base</v>
          </cell>
          <cell r="GU35" t="str">
            <v>CHANGE_INSTALLED_BASE</v>
          </cell>
          <cell r="GV35"/>
          <cell r="GW35" t="str">
            <v>NO</v>
          </cell>
          <cell r="GZ35"/>
          <cell r="HA35" t="str">
            <v>BOLD</v>
          </cell>
          <cell r="HB35" t="str">
            <v>Total Alternative Investments Target Allocation %</v>
          </cell>
          <cell r="HC35" t="str">
            <v>LABEL</v>
          </cell>
          <cell r="HD35"/>
          <cell r="HE35" t="str">
            <v>BOLD</v>
          </cell>
          <cell r="HH35"/>
          <cell r="HI35" t="str">
            <v>BOLD</v>
          </cell>
          <cell r="HL35"/>
          <cell r="HM35" t="str">
            <v>BOLD</v>
          </cell>
          <cell r="HP35"/>
          <cell r="HQ35" t="str">
            <v>BOLD</v>
          </cell>
          <cell r="HT35"/>
          <cell r="HU35" t="str">
            <v>BOLD</v>
          </cell>
          <cell r="HV35" t="str">
            <v>Tang Com Equity/Risk-Wtd Assets</v>
          </cell>
          <cell r="HW35" t="str">
            <v>TCE_TO_RWA</v>
          </cell>
          <cell r="HX35"/>
          <cell r="HY35" t="str">
            <v>BOLD</v>
          </cell>
          <cell r="HZ35" t="str">
            <v>NAIC 4</v>
          </cell>
          <cell r="IA35" t="str">
            <v>BS_NAIC_RATING_4_AMOUNT</v>
          </cell>
          <cell r="IB35"/>
          <cell r="IC35" t="str">
            <v>BOLD</v>
          </cell>
          <cell r="ID35" t="str">
            <v>Rental Car Days</v>
          </cell>
          <cell r="IE35" t="str">
            <v>INTERNET_RENTAL_CAR_DAYS</v>
          </cell>
          <cell r="IF35"/>
          <cell r="IG35" t="str">
            <v>BOLD</v>
          </cell>
          <cell r="IH35" t="str">
            <v>Price/Tangible Book Value per Share</v>
          </cell>
          <cell r="II35" t="str">
            <v>PX_TO_TANG_BOOK_VAL_PER_SH</v>
          </cell>
          <cell r="IJ35"/>
          <cell r="IK35" t="str">
            <v>BOLD</v>
          </cell>
          <cell r="IL35" t="str">
            <v xml:space="preserve">  Mature Area Planted</v>
          </cell>
          <cell r="IM35" t="str">
            <v>BIOFUEL_MATURE_AREA_PLANTED</v>
          </cell>
          <cell r="IN35"/>
          <cell r="IO35" t="str">
            <v>NO</v>
          </cell>
          <cell r="IP35" t="str">
            <v xml:space="preserve">  Oil</v>
          </cell>
          <cell r="IQ35" t="str">
            <v>ELECTRICITY_GEN_CAP_THERM_OIL_MW</v>
          </cell>
          <cell r="IR35"/>
          <cell r="IS35" t="str">
            <v>NO</v>
          </cell>
          <cell r="IX35" t="str">
            <v>Tang Com Equity/Risk-Wtd Assets</v>
          </cell>
          <cell r="IY35" t="str">
            <v>TCE_TO_RWA</v>
          </cell>
          <cell r="IZ35"/>
          <cell r="JA35" t="str">
            <v>BOLD</v>
          </cell>
          <cell r="JB35" t="str">
            <v>NAIC 4</v>
          </cell>
          <cell r="JC35" t="str">
            <v>BS_NAIC_RATING_4_AMOUNT</v>
          </cell>
          <cell r="JD35"/>
          <cell r="JE35" t="str">
            <v>BOLD</v>
          </cell>
          <cell r="JL35"/>
          <cell r="JM35" t="str">
            <v>BOLD</v>
          </cell>
        </row>
        <row r="36">
          <cell r="A36">
            <v>35</v>
          </cell>
          <cell r="D36"/>
          <cell r="E36" t="str">
            <v>BOLD</v>
          </cell>
          <cell r="F36" t="str">
            <v>Bill Me Later to Total Net Pmt Vol</v>
          </cell>
          <cell r="G36" t="str">
            <v>BILL_ME_LATER_TO_TOT_NET_PMT_VOL</v>
          </cell>
          <cell r="H36"/>
          <cell r="I36" t="str">
            <v>BOLD</v>
          </cell>
          <cell r="P36"/>
          <cell r="Q36" t="str">
            <v>BOLD</v>
          </cell>
          <cell r="T36"/>
          <cell r="U36" t="str">
            <v>BOLD</v>
          </cell>
          <cell r="X36"/>
          <cell r="Y36" t="str">
            <v>BOLD</v>
          </cell>
          <cell r="AB36"/>
          <cell r="AC36" t="str">
            <v>BOLD</v>
          </cell>
          <cell r="AD36" t="str">
            <v>Zinc Production (Tons)</v>
          </cell>
          <cell r="AE36" t="str">
            <v>MINING_ZINC_PRODUCTION_ACTUAL</v>
          </cell>
          <cell r="AF36"/>
          <cell r="AG36" t="str">
            <v>BOLD</v>
          </cell>
          <cell r="AH36" t="str">
            <v>Manganese - Ore Volume (Tons)</v>
          </cell>
          <cell r="AI36" t="str">
            <v>MINING_P&amp;P_RSRV_MANGANESE_VOLUME</v>
          </cell>
          <cell r="AJ36"/>
          <cell r="AK36" t="str">
            <v>BOLD</v>
          </cell>
          <cell r="AL36" t="str">
            <v>Manganese - Grade (%)</v>
          </cell>
          <cell r="AM36" t="str">
            <v>MINING_M&amp;I_RES_MANGANESE_GRADE</v>
          </cell>
          <cell r="AN36"/>
          <cell r="AO36" t="str">
            <v>BOLD</v>
          </cell>
          <cell r="AP36" t="str">
            <v>Retained Takaful Surplus</v>
          </cell>
          <cell r="AQ36" t="str">
            <v>BS_TAKAFUL_RETAINED_SURPLUS</v>
          </cell>
          <cell r="AR36"/>
          <cell r="AS36" t="str">
            <v>BOLD</v>
          </cell>
          <cell r="AV36"/>
          <cell r="AW36" t="str">
            <v>BOLD</v>
          </cell>
          <cell r="AZ36"/>
          <cell r="BA36" t="str">
            <v>BOLD</v>
          </cell>
          <cell r="BB36" t="str">
            <v xml:space="preserve">  - Exploration Expense</v>
          </cell>
          <cell r="BC36" t="str">
            <v>EXPLORATION_EXPENSES_LAMR</v>
          </cell>
          <cell r="BD36"/>
          <cell r="BE36" t="str">
            <v>NO</v>
          </cell>
          <cell r="BH36"/>
          <cell r="BI36" t="str">
            <v>BOLD</v>
          </cell>
          <cell r="BL36"/>
          <cell r="BM36" t="str">
            <v>BOLD</v>
          </cell>
          <cell r="BN36" t="str">
            <v xml:space="preserve">  NGL (MBBL/Day)</v>
          </cell>
          <cell r="BO36" t="str">
            <v>NGL_PRODUCTION_AFRICA_MBBL_DY</v>
          </cell>
          <cell r="BP36"/>
          <cell r="BQ36" t="str">
            <v>NO</v>
          </cell>
          <cell r="BT36"/>
          <cell r="BU36" t="str">
            <v>BOLD</v>
          </cell>
          <cell r="BV36" t="str">
            <v xml:space="preserve">    + Other</v>
          </cell>
          <cell r="BW36" t="str">
            <v>GAS_OTHER_CHANGES_US</v>
          </cell>
          <cell r="BX36"/>
          <cell r="BY36" t="str">
            <v>NO</v>
          </cell>
          <cell r="BZ36" t="str">
            <v xml:space="preserve">  End of year</v>
          </cell>
          <cell r="CA36" t="str">
            <v>OIL_RESERVES_END_YR_US</v>
          </cell>
          <cell r="CB36"/>
          <cell r="CC36" t="str">
            <v>NO</v>
          </cell>
          <cell r="CD36" t="str">
            <v xml:space="preserve">    + Revisions</v>
          </cell>
          <cell r="CE36" t="str">
            <v>BOE_REVISIONS_US</v>
          </cell>
          <cell r="CF36"/>
          <cell r="CG36" t="str">
            <v>NO</v>
          </cell>
          <cell r="CJ36"/>
          <cell r="CK36" t="str">
            <v>BOLD</v>
          </cell>
          <cell r="CL36" t="str">
            <v xml:space="preserve">  Asphalt Volume Growth Ratio</v>
          </cell>
          <cell r="CM36" t="str">
            <v>ASPHALT_VOLUME_GROWTH_RATIO</v>
          </cell>
          <cell r="CN36"/>
          <cell r="CO36" t="str">
            <v>NO</v>
          </cell>
          <cell r="CP36" t="str">
            <v>Mining - Silver Sales</v>
          </cell>
          <cell r="CQ36" t="str">
            <v>MINING_SILVER_SOLD</v>
          </cell>
          <cell r="CR36"/>
          <cell r="CS36" t="str">
            <v>BOLD</v>
          </cell>
          <cell r="CV36"/>
          <cell r="CW36" t="str">
            <v>BOLD</v>
          </cell>
          <cell r="CZ36"/>
          <cell r="DA36" t="str">
            <v>BOLD</v>
          </cell>
          <cell r="DD36"/>
          <cell r="DE36" t="str">
            <v>BOLD</v>
          </cell>
          <cell r="DH36"/>
          <cell r="DI36" t="str">
            <v>BOLD</v>
          </cell>
          <cell r="DL36"/>
          <cell r="DM36" t="str">
            <v>BOLD</v>
          </cell>
          <cell r="DP36"/>
          <cell r="DQ36" t="str">
            <v>BOLD</v>
          </cell>
          <cell r="DR36" t="str">
            <v xml:space="preserve">  Same Hospital Emergency Room Visits % Change</v>
          </cell>
          <cell r="DS36" t="str">
            <v>ARD_SAME_HOSP_EMERG_VISITS_%_CHG</v>
          </cell>
          <cell r="DT36"/>
          <cell r="DU36" t="str">
            <v>NO</v>
          </cell>
          <cell r="DX36"/>
          <cell r="DY36" t="str">
            <v>BOLD</v>
          </cell>
          <cell r="EB36"/>
          <cell r="EC36" t="str">
            <v>BOLD</v>
          </cell>
          <cell r="ED36" t="str">
            <v>Equipment</v>
          </cell>
          <cell r="EE36" t="str">
            <v>LABEL</v>
          </cell>
          <cell r="EF36"/>
          <cell r="EG36" t="str">
            <v>BOLD</v>
          </cell>
          <cell r="EJ36"/>
          <cell r="EK36" t="str">
            <v>BOLD</v>
          </cell>
          <cell r="EL36" t="str">
            <v xml:space="preserve">  Fuel Gallons (Litres)</v>
          </cell>
          <cell r="EM36" t="str">
            <v>FUEL_GALLONS_LITRES</v>
          </cell>
          <cell r="EN36"/>
          <cell r="EO36" t="str">
            <v>NO</v>
          </cell>
          <cell r="EP36" t="str">
            <v>1 Yr Bookings Growth: Constant Currency</v>
          </cell>
          <cell r="EQ36" t="str">
            <v>1_YR_BOOKINGS_GROWTH_CC</v>
          </cell>
          <cell r="ER36"/>
          <cell r="ES36" t="str">
            <v>BOLD</v>
          </cell>
          <cell r="EV36"/>
          <cell r="EW36" t="str">
            <v>BOLD</v>
          </cell>
          <cell r="EX36" t="str">
            <v>TTM Cost of Goods Sold</v>
          </cell>
          <cell r="EY36" t="str">
            <v>TRAIL_12M_COGS</v>
          </cell>
          <cell r="EZ36"/>
          <cell r="FA36" t="str">
            <v>BOLD</v>
          </cell>
          <cell r="FD36"/>
          <cell r="FE36" t="str">
            <v>BOLD</v>
          </cell>
          <cell r="FF36" t="str">
            <v>Connected Device Subscribers</v>
          </cell>
          <cell r="FG36" t="str">
            <v>CONNECTED_DEVICE_SUBSCRIBERS</v>
          </cell>
          <cell r="FH36"/>
          <cell r="FI36" t="str">
            <v>BOLD</v>
          </cell>
          <cell r="FJ36" t="str">
            <v>Satellite</v>
          </cell>
          <cell r="FK36" t="str">
            <v>LABEL</v>
          </cell>
          <cell r="FL36"/>
          <cell r="FM36" t="str">
            <v>BOLD</v>
          </cell>
          <cell r="FN36" t="str">
            <v>Revenue Passenger Miles/Kms</v>
          </cell>
          <cell r="FO36" t="str">
            <v>REV_PASS_MILES_KM</v>
          </cell>
          <cell r="FP36"/>
          <cell r="FQ36" t="str">
            <v>BOLD</v>
          </cell>
          <cell r="FT36"/>
          <cell r="FU36" t="str">
            <v>BOLD</v>
          </cell>
          <cell r="FX36"/>
          <cell r="FY36" t="str">
            <v>BOLD</v>
          </cell>
          <cell r="GB36"/>
          <cell r="GC36" t="str">
            <v>BOLD</v>
          </cell>
          <cell r="GF36"/>
          <cell r="GG36" t="str">
            <v>BOLD</v>
          </cell>
          <cell r="GJ36"/>
          <cell r="GK36" t="str">
            <v>BOLD</v>
          </cell>
          <cell r="GN36"/>
          <cell r="GO36" t="str">
            <v>BOLD</v>
          </cell>
          <cell r="GP36" t="str">
            <v>Brewery - Total Beverage Vol Produced</v>
          </cell>
          <cell r="GQ36" t="str">
            <v>TOTAL_BEVERAGE_VOLUME_PRODUCED</v>
          </cell>
          <cell r="GR36"/>
          <cell r="GS36" t="str">
            <v>BOLD</v>
          </cell>
          <cell r="GT36" t="str">
            <v xml:space="preserve">  Total Gaming Units Sold</v>
          </cell>
          <cell r="GU36" t="str">
            <v>TOTAL_GAMING_UNITS_SOLD</v>
          </cell>
          <cell r="GV36"/>
          <cell r="GW36" t="str">
            <v>NO</v>
          </cell>
          <cell r="GZ36"/>
          <cell r="HA36" t="str">
            <v>BOLD</v>
          </cell>
          <cell r="HB36" t="str">
            <v>Private Equity %</v>
          </cell>
          <cell r="HC36" t="str">
            <v>TARGET_ASSET_ALLOCATION_PE_%</v>
          </cell>
          <cell r="HD36"/>
          <cell r="HE36" t="str">
            <v>BOLD</v>
          </cell>
          <cell r="HF36" t="str">
            <v>Average Sales per Location</v>
          </cell>
          <cell r="HG36" t="str">
            <v>AVG_SALES_PER_COMPANY_OWNED_LOC</v>
          </cell>
          <cell r="HH36"/>
          <cell r="HI36" t="str">
            <v>BOLD</v>
          </cell>
          <cell r="HL36"/>
          <cell r="HM36" t="str">
            <v>BOLD</v>
          </cell>
          <cell r="HP36"/>
          <cell r="HQ36" t="str">
            <v>BOLD</v>
          </cell>
          <cell r="HT36"/>
          <cell r="HU36" t="str">
            <v>BOLD</v>
          </cell>
          <cell r="HV36" t="str">
            <v>Tier 1 Common Equity</v>
          </cell>
          <cell r="HW36" t="str">
            <v>BS_TIER1_COMMON_EQUITY</v>
          </cell>
          <cell r="HX36"/>
          <cell r="HY36" t="str">
            <v>BOLD</v>
          </cell>
          <cell r="HZ36" t="str">
            <v>NAIC 5</v>
          </cell>
          <cell r="IA36" t="str">
            <v>BS_NAIC_RATING_5_AMOUNT</v>
          </cell>
          <cell r="IB36"/>
          <cell r="IC36" t="str">
            <v>BOLD</v>
          </cell>
          <cell r="ID36" t="str">
            <v>Paid Clicks YoY % Change</v>
          </cell>
          <cell r="IE36" t="str">
            <v>PAID_CLICKS_YOY_PCT_CHG</v>
          </cell>
          <cell r="IF36"/>
          <cell r="IG36" t="str">
            <v>BOLD</v>
          </cell>
          <cell r="IH36" t="str">
            <v>Tangible Common Equity</v>
          </cell>
          <cell r="II36" t="str">
            <v>TANGIBLE_COMMON_EQUITY</v>
          </cell>
          <cell r="IJ36"/>
          <cell r="IK36" t="str">
            <v>BOLD</v>
          </cell>
          <cell r="IL36" t="str">
            <v xml:space="preserve">  Total Titled Area</v>
          </cell>
          <cell r="IM36" t="str">
            <v>BIOFUEL_TOTAL_TITLED_AREA</v>
          </cell>
          <cell r="IN36"/>
          <cell r="IO36" t="str">
            <v>NO</v>
          </cell>
          <cell r="IP36" t="str">
            <v xml:space="preserve">  CHP</v>
          </cell>
          <cell r="IQ36" t="str">
            <v>ELECTRICITY_GEN_CAP_THERM_CHP_MW</v>
          </cell>
          <cell r="IR36"/>
          <cell r="IS36" t="str">
            <v>NO</v>
          </cell>
          <cell r="IX36" t="str">
            <v>Tier 1 Common Equity</v>
          </cell>
          <cell r="IY36" t="str">
            <v>BS_TIER1_COMMON_EQUITY</v>
          </cell>
          <cell r="IZ36"/>
          <cell r="JA36" t="str">
            <v>BOLD</v>
          </cell>
          <cell r="JB36" t="str">
            <v>NAIC 5</v>
          </cell>
          <cell r="JC36" t="str">
            <v>BS_NAIC_RATING_5_AMOUNT</v>
          </cell>
          <cell r="JD36"/>
          <cell r="JE36" t="str">
            <v>BOLD</v>
          </cell>
          <cell r="JL36"/>
          <cell r="JM36" t="str">
            <v>BOLD</v>
          </cell>
        </row>
        <row r="37">
          <cell r="A37">
            <v>36</v>
          </cell>
          <cell r="D37"/>
          <cell r="E37" t="str">
            <v>BOLD</v>
          </cell>
          <cell r="F37" t="str">
            <v>Transaction Revenue Rate</v>
          </cell>
          <cell r="G37" t="str">
            <v>TRANSACTION_REVENUE_RATE</v>
          </cell>
          <cell r="H37"/>
          <cell r="I37" t="str">
            <v>BOLD</v>
          </cell>
          <cell r="P37"/>
          <cell r="Q37" t="str">
            <v>BOLD</v>
          </cell>
          <cell r="T37"/>
          <cell r="U37" t="str">
            <v>BOLD</v>
          </cell>
          <cell r="X37"/>
          <cell r="Y37" t="str">
            <v>BOLD</v>
          </cell>
          <cell r="AB37"/>
          <cell r="AC37" t="str">
            <v>BOLD</v>
          </cell>
          <cell r="AD37" t="str">
            <v>Total Cash Costs  (By-Product Method)</v>
          </cell>
          <cell r="AE37" t="str">
            <v>LABEL</v>
          </cell>
          <cell r="AF37"/>
          <cell r="AG37" t="str">
            <v>BOLD</v>
          </cell>
          <cell r="AH37" t="str">
            <v>Manganese - Grade (%)</v>
          </cell>
          <cell r="AI37" t="str">
            <v>MINING_P&amp;P_RSRVS_MANGANESE_GRADE</v>
          </cell>
          <cell r="AJ37"/>
          <cell r="AK37" t="str">
            <v>BOLD</v>
          </cell>
          <cell r="AL37" t="str">
            <v>Contained Manganese (Tons)</v>
          </cell>
          <cell r="AM37" t="str">
            <v>MINING_M&amp;I_RES_CONTAIN_MANGANESE</v>
          </cell>
          <cell r="AN37"/>
          <cell r="AO37" t="str">
            <v>BOLD</v>
          </cell>
          <cell r="AP37" t="str">
            <v>Unclaimed Takaful Surplus</v>
          </cell>
          <cell r="AQ37" t="str">
            <v>BS_TAKAFUL_UNCLAIMED_SURPLUS</v>
          </cell>
          <cell r="AR37"/>
          <cell r="AS37" t="str">
            <v>BOLD</v>
          </cell>
          <cell r="AV37"/>
          <cell r="AW37" t="str">
            <v>BOLD</v>
          </cell>
          <cell r="AZ37"/>
          <cell r="BA37" t="str">
            <v>BOLD</v>
          </cell>
          <cell r="BB37" t="str">
            <v xml:space="preserve">  - DD&amp;A</v>
          </cell>
          <cell r="BC37" t="str">
            <v>DD&amp;A_LAMR</v>
          </cell>
          <cell r="BD37"/>
          <cell r="BE37" t="str">
            <v>NO</v>
          </cell>
          <cell r="BH37"/>
          <cell r="BI37" t="str">
            <v>BOLD</v>
          </cell>
          <cell r="BL37"/>
          <cell r="BM37" t="str">
            <v>BOLD</v>
          </cell>
          <cell r="BN37" t="str">
            <v xml:space="preserve">  Total (MBOE/Day)</v>
          </cell>
          <cell r="BO37" t="str">
            <v>TOTAL_PRODUCTION_AFRICA_MBOE_DY</v>
          </cell>
          <cell r="BP37"/>
          <cell r="BQ37" t="str">
            <v>NO</v>
          </cell>
          <cell r="BT37"/>
          <cell r="BU37" t="str">
            <v>BOLD</v>
          </cell>
          <cell r="BV37" t="str">
            <v xml:space="preserve">    End of year</v>
          </cell>
          <cell r="BW37" t="str">
            <v>GAS_RESERVES_END_YR_US</v>
          </cell>
          <cell r="BX37"/>
          <cell r="BY37" t="str">
            <v>NO</v>
          </cell>
          <cell r="BZ37" t="str">
            <v xml:space="preserve">  Developed Reserves</v>
          </cell>
          <cell r="CA37" t="str">
            <v>OIL_DEVELOPED_RESERVES_US</v>
          </cell>
          <cell r="CB37"/>
          <cell r="CC37" t="str">
            <v>NO</v>
          </cell>
          <cell r="CD37" t="str">
            <v xml:space="preserve">    + Improved Recovery</v>
          </cell>
          <cell r="CE37" t="str">
            <v>BOE_IMPROV_REC_US</v>
          </cell>
          <cell r="CF37"/>
          <cell r="CG37" t="str">
            <v>NO</v>
          </cell>
          <cell r="CH37" t="str">
            <v>Pricing Data</v>
          </cell>
          <cell r="CI37" t="str">
            <v>LABEL</v>
          </cell>
          <cell r="CJ37"/>
          <cell r="CK37" t="str">
            <v>BOLD</v>
          </cell>
          <cell r="CL37" t="str">
            <v>Asphalt Price per Ton</v>
          </cell>
          <cell r="CM37" t="str">
            <v>ASPHALT_PRICE_PER_TON</v>
          </cell>
          <cell r="CN37"/>
          <cell r="CO37" t="str">
            <v>BOLD</v>
          </cell>
          <cell r="CP37" t="str">
            <v>Mining - Platinum Realized Price</v>
          </cell>
          <cell r="CQ37" t="str">
            <v>MINING_PLATINUM_REALIZED_PX</v>
          </cell>
          <cell r="CR37"/>
          <cell r="CS37" t="str">
            <v>BOLD</v>
          </cell>
          <cell r="CV37"/>
          <cell r="CW37" t="str">
            <v>BOLD</v>
          </cell>
          <cell r="CZ37"/>
          <cell r="DA37" t="str">
            <v>BOLD</v>
          </cell>
          <cell r="DD37"/>
          <cell r="DE37" t="str">
            <v>BOLD</v>
          </cell>
          <cell r="DH37"/>
          <cell r="DI37" t="str">
            <v>BOLD</v>
          </cell>
          <cell r="DL37"/>
          <cell r="DM37" t="str">
            <v>BOLD</v>
          </cell>
          <cell r="DP37"/>
          <cell r="DQ37" t="str">
            <v>BOLD</v>
          </cell>
          <cell r="DT37"/>
          <cell r="DU37" t="str">
            <v>BOLD</v>
          </cell>
          <cell r="DX37"/>
          <cell r="DY37" t="str">
            <v>BOLD</v>
          </cell>
          <cell r="EB37"/>
          <cell r="EC37" t="str">
            <v>BOLD</v>
          </cell>
          <cell r="ED37" t="str">
            <v>Trailers - Average</v>
          </cell>
          <cell r="EE37" t="str">
            <v>TOTAL_TRAILERS</v>
          </cell>
          <cell r="EF37"/>
          <cell r="EG37" t="str">
            <v>BOLD</v>
          </cell>
          <cell r="EJ37"/>
          <cell r="EK37" t="str">
            <v>BOLD</v>
          </cell>
          <cell r="EN37"/>
          <cell r="EO37" t="str">
            <v>BOLD</v>
          </cell>
          <cell r="EP37" t="str">
            <v>Consulting Bookings</v>
          </cell>
          <cell r="EQ37" t="str">
            <v>CONSULTING_BOOKINGS</v>
          </cell>
          <cell r="ER37"/>
          <cell r="ES37" t="str">
            <v>BOLD</v>
          </cell>
          <cell r="EV37"/>
          <cell r="EW37" t="str">
            <v>BOLD</v>
          </cell>
          <cell r="EX37" t="str">
            <v>TTM SG&amp;A Expenses</v>
          </cell>
          <cell r="EY37" t="str">
            <v>TRAILING_12M_OPEX</v>
          </cell>
          <cell r="EZ37"/>
          <cell r="FA37" t="str">
            <v>BOLD</v>
          </cell>
          <cell r="FD37"/>
          <cell r="FE37" t="str">
            <v>BOLD</v>
          </cell>
          <cell r="FF37" t="str">
            <v>Fourth Generation Markets</v>
          </cell>
          <cell r="FG37" t="str">
            <v>4G_MARKETS</v>
          </cell>
          <cell r="FH37"/>
          <cell r="FI37" t="str">
            <v>BOLD</v>
          </cell>
          <cell r="FJ37" t="str">
            <v>Subscriber Acquisition Costs</v>
          </cell>
          <cell r="FK37" t="str">
            <v>SAT_AVG_SUB_ACQ_COSTS_PER_SUBSCR</v>
          </cell>
          <cell r="FL37"/>
          <cell r="FM37" t="str">
            <v>BOLD</v>
          </cell>
          <cell r="FN37" t="str">
            <v xml:space="preserve">  Mainline Revenue Passenger Mile/Km</v>
          </cell>
          <cell r="FO37" t="str">
            <v>MAINLINE_REVENUE_PASSENGER_MILE</v>
          </cell>
          <cell r="FP37"/>
          <cell r="FQ37" t="str">
            <v>NO</v>
          </cell>
          <cell r="FT37"/>
          <cell r="FU37" t="str">
            <v>BOLD</v>
          </cell>
          <cell r="FV37" t="str">
            <v>Market Share</v>
          </cell>
          <cell r="FW37" t="str">
            <v>LABEL</v>
          </cell>
          <cell r="FX37"/>
          <cell r="FY37" t="str">
            <v>BOLD</v>
          </cell>
          <cell r="GB37"/>
          <cell r="GC37" t="str">
            <v>BOLD</v>
          </cell>
          <cell r="GF37"/>
          <cell r="GG37" t="str">
            <v>BOLD</v>
          </cell>
          <cell r="GJ37"/>
          <cell r="GK37" t="str">
            <v>BOLD</v>
          </cell>
          <cell r="GN37"/>
          <cell r="GO37" t="str">
            <v>BOLD</v>
          </cell>
          <cell r="GP37" t="str">
            <v>Brewery - Annual Brewing Capacity</v>
          </cell>
          <cell r="GQ37" t="str">
            <v>ANNUAL_BREWING_CAPACITY</v>
          </cell>
          <cell r="GR37"/>
          <cell r="GS37" t="str">
            <v>BOLD</v>
          </cell>
          <cell r="GT37" t="str">
            <v xml:space="preserve">  Total Gaming Units Shipped</v>
          </cell>
          <cell r="GU37" t="str">
            <v>TOTAL_GAMING_UNITS_SHIPPED</v>
          </cell>
          <cell r="GV37"/>
          <cell r="GW37" t="str">
            <v>NO</v>
          </cell>
          <cell r="GZ37"/>
          <cell r="HA37" t="str">
            <v>BOLD</v>
          </cell>
          <cell r="HB37" t="str">
            <v>Hedge Fund Investment%</v>
          </cell>
          <cell r="HC37" t="str">
            <v>TARGET_AST_ALLOC_HF_INVEST_%</v>
          </cell>
          <cell r="HD37"/>
          <cell r="HE37" t="str">
            <v>BOLD</v>
          </cell>
          <cell r="HF37" t="str">
            <v>Average Square Foot per Location</v>
          </cell>
          <cell r="HG37" t="str">
            <v>AVG_RETAIL_SF_PER_CO_OWN_LOC</v>
          </cell>
          <cell r="HH37"/>
          <cell r="HI37" t="str">
            <v>BOLD</v>
          </cell>
          <cell r="HL37"/>
          <cell r="HM37" t="str">
            <v>BOLD</v>
          </cell>
          <cell r="HP37"/>
          <cell r="HQ37" t="str">
            <v>BOLD</v>
          </cell>
          <cell r="HT37"/>
          <cell r="HU37" t="str">
            <v>BOLD</v>
          </cell>
          <cell r="HV37" t="str">
            <v>Core Tier 1 Capital</v>
          </cell>
          <cell r="HW37" t="str">
            <v>BS_CORE_TIER1_CAPITAL</v>
          </cell>
          <cell r="HX37"/>
          <cell r="HY37" t="str">
            <v>BOLD</v>
          </cell>
          <cell r="HZ37" t="str">
            <v>NAIC 6</v>
          </cell>
          <cell r="IA37" t="str">
            <v>BS_NAIC_RATING_6_AMOUNT</v>
          </cell>
          <cell r="IB37"/>
          <cell r="IC37" t="str">
            <v>BOLD</v>
          </cell>
          <cell r="ID37" t="str">
            <v>Cost-per-Click YoY % Change</v>
          </cell>
          <cell r="IE37" t="str">
            <v>COST_PER_CLICK_YOY_PCT_CHG</v>
          </cell>
          <cell r="IF37"/>
          <cell r="IG37" t="str">
            <v>BOLD</v>
          </cell>
          <cell r="IH37" t="str">
            <v>Tangible Common Equity Ratio</v>
          </cell>
          <cell r="II37" t="str">
            <v>TCE_RATIO</v>
          </cell>
          <cell r="IJ37"/>
          <cell r="IK37" t="str">
            <v>BOLD</v>
          </cell>
          <cell r="IL37" t="str">
            <v xml:space="preserve">  Enterprise Value/Area Planted</v>
          </cell>
          <cell r="IM37" t="str">
            <v>EV_AREA_PLANTED</v>
          </cell>
          <cell r="IN37"/>
          <cell r="IO37" t="str">
            <v>NO</v>
          </cell>
          <cell r="IP37" t="str">
            <v xml:space="preserve">  Multi</v>
          </cell>
          <cell r="IQ37" t="str">
            <v>ELEC_GEN_CAP_THERM_MULTIFUEL_MW</v>
          </cell>
          <cell r="IR37"/>
          <cell r="IS37" t="str">
            <v>NO</v>
          </cell>
          <cell r="IX37" t="str">
            <v>Core Tier 1 Capital</v>
          </cell>
          <cell r="IY37" t="str">
            <v>BS_CORE_TIER1_CAPITAL</v>
          </cell>
          <cell r="IZ37"/>
          <cell r="JA37" t="str">
            <v>BOLD</v>
          </cell>
          <cell r="JB37" t="str">
            <v>NAIC 6</v>
          </cell>
          <cell r="JC37" t="str">
            <v>BS_NAIC_RATING_6_AMOUNT</v>
          </cell>
          <cell r="JD37"/>
          <cell r="JE37" t="str">
            <v>BOLD</v>
          </cell>
          <cell r="JL37"/>
          <cell r="JM37" t="str">
            <v>BOLD</v>
          </cell>
        </row>
        <row r="38">
          <cell r="A38">
            <v>37</v>
          </cell>
          <cell r="D38"/>
          <cell r="E38" t="str">
            <v>BOLD</v>
          </cell>
          <cell r="F38" t="str">
            <v>Transaction Processing Exp Rate</v>
          </cell>
          <cell r="G38" t="str">
            <v>TRANS_PROCESSING_EXPENSE_RT</v>
          </cell>
          <cell r="H38"/>
          <cell r="I38" t="str">
            <v>BOLD</v>
          </cell>
          <cell r="P38"/>
          <cell r="Q38" t="str">
            <v>BOLD</v>
          </cell>
          <cell r="T38"/>
          <cell r="U38" t="str">
            <v>BOLD</v>
          </cell>
          <cell r="X38"/>
          <cell r="Y38" t="str">
            <v>BOLD</v>
          </cell>
          <cell r="AB38"/>
          <cell r="AC38" t="str">
            <v>BOLD</v>
          </cell>
          <cell r="AD38" t="str">
            <v>Gold ($/oz)</v>
          </cell>
          <cell r="AE38" t="str">
            <v>MINING_GOLD_CASH_COSTS_BYPROD</v>
          </cell>
          <cell r="AF38"/>
          <cell r="AG38" t="str">
            <v>BOLD</v>
          </cell>
          <cell r="AH38" t="str">
            <v>Contained Manganese (Tons)</v>
          </cell>
          <cell r="AI38" t="str">
            <v>MINING_P&amp;P_RSRVS_CONT_MANGANESE</v>
          </cell>
          <cell r="AJ38"/>
          <cell r="AK38" t="str">
            <v>BOLD</v>
          </cell>
          <cell r="AL38" t="str">
            <v>Molybdenum - Ore Volume (Tons)</v>
          </cell>
          <cell r="AM38" t="str">
            <v>MINING_M&amp;I_RES_MOLYBDENUM_VOLUME</v>
          </cell>
          <cell r="AN38"/>
          <cell r="AO38" t="str">
            <v>BOLD</v>
          </cell>
          <cell r="AP38" t="str">
            <v>Takaful Total Policyholders' Liabs and Surplus</v>
          </cell>
          <cell r="AQ38" t="str">
            <v>BS_TAKAFUL_TOTAL_LIAB_SURPLUS</v>
          </cell>
          <cell r="AR38"/>
          <cell r="AS38" t="str">
            <v>BOLD</v>
          </cell>
          <cell r="AV38"/>
          <cell r="AW38" t="str">
            <v>BOLD</v>
          </cell>
          <cell r="AZ38"/>
          <cell r="BA38" t="str">
            <v>BOLD</v>
          </cell>
          <cell r="BB38" t="str">
            <v xml:space="preserve">  - Other Expenses</v>
          </cell>
          <cell r="BC38" t="str">
            <v>OTHER_E&amp;P_EXPENSES_LAMR</v>
          </cell>
          <cell r="BD38"/>
          <cell r="BE38" t="str">
            <v>NO</v>
          </cell>
          <cell r="BH38"/>
          <cell r="BI38" t="str">
            <v>BOLD</v>
          </cell>
          <cell r="BL38"/>
          <cell r="BM38" t="str">
            <v>BOLD</v>
          </cell>
          <cell r="BN38" t="str">
            <v xml:space="preserve">    West Africa (MBOE/Day)</v>
          </cell>
          <cell r="BO38" t="str">
            <v>DAILY_PROD_MBOE_WEST_AFRICA</v>
          </cell>
          <cell r="BP38"/>
          <cell r="BQ38" t="str">
            <v>NO</v>
          </cell>
          <cell r="BT38"/>
          <cell r="BU38" t="str">
            <v>BOLD</v>
          </cell>
          <cell r="BV38" t="str">
            <v xml:space="preserve">    Developed Reserves</v>
          </cell>
          <cell r="BW38" t="str">
            <v>GAS_DEVEL_RESV_US</v>
          </cell>
          <cell r="BX38"/>
          <cell r="BY38" t="str">
            <v>NO</v>
          </cell>
          <cell r="CB38"/>
          <cell r="CC38" t="str">
            <v>BOLD</v>
          </cell>
          <cell r="CD38" t="str">
            <v xml:space="preserve">    + Extensions &amp; Discoveries</v>
          </cell>
          <cell r="CE38" t="str">
            <v>BOE_EXTENS_DISCOV_US</v>
          </cell>
          <cell r="CF38"/>
          <cell r="CG38" t="str">
            <v>NO</v>
          </cell>
          <cell r="CH38" t="str">
            <v>Energy-Avg $/BBL-Oil (Hedged)</v>
          </cell>
          <cell r="CI38" t="str">
            <v>AVG_SALE_PRICE_OIL_HEDGED</v>
          </cell>
          <cell r="CJ38"/>
          <cell r="CK38" t="str">
            <v>BOLD</v>
          </cell>
          <cell r="CL38" t="str">
            <v xml:space="preserve">  Asphalt Price Growth</v>
          </cell>
          <cell r="CM38" t="str">
            <v>ASPHALT_PRICE_GROWTH</v>
          </cell>
          <cell r="CN38"/>
          <cell r="CO38" t="str">
            <v>NO</v>
          </cell>
          <cell r="CP38" t="str">
            <v>Mining - Platinum Total Cash Costs</v>
          </cell>
          <cell r="CQ38" t="str">
            <v>MINING_PLATINUM_TOTAL_CASH_COSTS</v>
          </cell>
          <cell r="CR38"/>
          <cell r="CS38" t="str">
            <v>BOLD</v>
          </cell>
          <cell r="CV38"/>
          <cell r="CW38" t="str">
            <v>BOLD</v>
          </cell>
          <cell r="CZ38"/>
          <cell r="DA38" t="str">
            <v>BOLD</v>
          </cell>
          <cell r="DD38"/>
          <cell r="DE38" t="str">
            <v>BOLD</v>
          </cell>
          <cell r="DH38"/>
          <cell r="DI38" t="str">
            <v>BOLD</v>
          </cell>
          <cell r="DL38"/>
          <cell r="DM38" t="str">
            <v>BOLD</v>
          </cell>
          <cell r="DP38"/>
          <cell r="DQ38" t="str">
            <v>BOLD</v>
          </cell>
          <cell r="DR38" t="str">
            <v>Physician Recruitment</v>
          </cell>
          <cell r="DS38" t="str">
            <v>LABEL</v>
          </cell>
          <cell r="DT38"/>
          <cell r="DU38" t="str">
            <v>BOLD</v>
          </cell>
          <cell r="DX38"/>
          <cell r="DY38" t="str">
            <v>BOLD</v>
          </cell>
          <cell r="EB38"/>
          <cell r="EC38" t="str">
            <v>BOLD</v>
          </cell>
          <cell r="ED38" t="str">
            <v>Average Age of Trailers</v>
          </cell>
          <cell r="EE38" t="str">
            <v>AVERAGE_AGE_OF_TRAILERS</v>
          </cell>
          <cell r="EF38"/>
          <cell r="EG38" t="str">
            <v>BOLD</v>
          </cell>
          <cell r="EJ38"/>
          <cell r="EK38" t="str">
            <v>BOLD</v>
          </cell>
          <cell r="EL38" t="str">
            <v>Safety Indicators</v>
          </cell>
          <cell r="EM38" t="str">
            <v>LABEL</v>
          </cell>
          <cell r="EN38"/>
          <cell r="EO38" t="str">
            <v>BOLD</v>
          </cell>
          <cell r="EP38" t="str">
            <v>Outsourcing Bookings</v>
          </cell>
          <cell r="EQ38" t="str">
            <v>OUTSOURCING_BOOKINGS</v>
          </cell>
          <cell r="ER38"/>
          <cell r="ES38" t="str">
            <v>BOLD</v>
          </cell>
          <cell r="EV38"/>
          <cell r="EW38" t="str">
            <v>BOLD</v>
          </cell>
          <cell r="EX38" t="str">
            <v>TTM R&amp;D Expenses</v>
          </cell>
          <cell r="EY38" t="str">
            <v>TRAIL_12M_RD_EXPEND</v>
          </cell>
          <cell r="EZ38"/>
          <cell r="FA38" t="str">
            <v>BOLD</v>
          </cell>
          <cell r="FD38"/>
          <cell r="FE38" t="str">
            <v>BOLD</v>
          </cell>
          <cell r="FH38"/>
          <cell r="FI38" t="str">
            <v>BOLD</v>
          </cell>
          <cell r="FJ38" t="str">
            <v>Churn %</v>
          </cell>
          <cell r="FK38" t="str">
            <v>CHURN_RATE_CABLE_TV</v>
          </cell>
          <cell r="FL38"/>
          <cell r="FM38" t="str">
            <v>BOLD</v>
          </cell>
          <cell r="FN38" t="str">
            <v xml:space="preserve">  Regional Revenue Passenger Mile/km</v>
          </cell>
          <cell r="FO38" t="str">
            <v>REGIONAL_REVENUE_PASSENGER_MILE</v>
          </cell>
          <cell r="FP38"/>
          <cell r="FQ38" t="str">
            <v>NO</v>
          </cell>
          <cell r="FT38"/>
          <cell r="FU38" t="str">
            <v>BOLD</v>
          </cell>
          <cell r="FV38" t="str">
            <v xml:space="preserve">    Local</v>
          </cell>
          <cell r="FW38" t="str">
            <v>AUTO_MARKET_SHARE_LOCAL</v>
          </cell>
          <cell r="FX38"/>
          <cell r="FY38" t="str">
            <v>NO</v>
          </cell>
          <cell r="GB38"/>
          <cell r="GC38" t="str">
            <v>BOLD</v>
          </cell>
          <cell r="GF38"/>
          <cell r="GG38" t="str">
            <v>BOLD</v>
          </cell>
          <cell r="GJ38"/>
          <cell r="GK38" t="str">
            <v>BOLD</v>
          </cell>
          <cell r="GN38"/>
          <cell r="GO38" t="str">
            <v>BOLD</v>
          </cell>
          <cell r="GP38" t="str">
            <v>Brewery - Capacity Utilization</v>
          </cell>
          <cell r="GQ38" t="str">
            <v>CAPACITY_UTILIZATION_BREWERY</v>
          </cell>
          <cell r="GR38"/>
          <cell r="GS38" t="str">
            <v>BOLD</v>
          </cell>
          <cell r="GV38"/>
          <cell r="GW38" t="str">
            <v>BOLD</v>
          </cell>
          <cell r="GZ38"/>
          <cell r="HA38" t="str">
            <v>BOLD</v>
          </cell>
          <cell r="HB38" t="str">
            <v>Real Estate Investment %</v>
          </cell>
          <cell r="HC38" t="str">
            <v>TARGET_AST_ALLOC_RE_INVEST_%</v>
          </cell>
          <cell r="HD38"/>
          <cell r="HE38" t="str">
            <v>BOLD</v>
          </cell>
          <cell r="HH38"/>
          <cell r="HI38" t="str">
            <v>BOLD</v>
          </cell>
          <cell r="HL38"/>
          <cell r="HM38" t="str">
            <v>BOLD</v>
          </cell>
          <cell r="HP38"/>
          <cell r="HQ38" t="str">
            <v>BOLD</v>
          </cell>
          <cell r="HT38"/>
          <cell r="HU38" t="str">
            <v>BOLD</v>
          </cell>
          <cell r="HV38" t="str">
            <v>Tier 1 Capital</v>
          </cell>
          <cell r="HW38" t="str">
            <v>BS_TIER1_CAPITAL</v>
          </cell>
          <cell r="HX38"/>
          <cell r="HY38" t="str">
            <v>BOLD</v>
          </cell>
          <cell r="HZ38" t="str">
            <v>Unrated</v>
          </cell>
          <cell r="IA38" t="str">
            <v>BS_NAIC_UNRATED_AMOUNT</v>
          </cell>
          <cell r="IB38"/>
          <cell r="IC38" t="str">
            <v>BOLD</v>
          </cell>
          <cell r="ID38" t="str">
            <v>Page Views YoY % Change</v>
          </cell>
          <cell r="IE38" t="str">
            <v>PAGE_VIEWS_YOY_PCT_CHG</v>
          </cell>
          <cell r="IF38"/>
          <cell r="IG38" t="str">
            <v>BOLD</v>
          </cell>
          <cell r="IH38" t="str">
            <v>Tang Com Equity/Risk-Wtd Assets</v>
          </cell>
          <cell r="II38" t="str">
            <v>TCE_TO_RWA</v>
          </cell>
          <cell r="IJ38"/>
          <cell r="IK38" t="str">
            <v>BOLD</v>
          </cell>
          <cell r="IN38"/>
          <cell r="IO38" t="str">
            <v>BOLD</v>
          </cell>
          <cell r="IP38" t="str">
            <v>+ Renewables</v>
          </cell>
          <cell r="IQ38" t="str">
            <v>TOTAL_RENEWABLES_ENERGY_CAPACITY</v>
          </cell>
          <cell r="IR38"/>
          <cell r="IS38" t="str">
            <v>BOLD</v>
          </cell>
          <cell r="IX38" t="str">
            <v>Tier 1 Capital</v>
          </cell>
          <cell r="IY38" t="str">
            <v>BS_TIER1_CAPITAL</v>
          </cell>
          <cell r="IZ38"/>
          <cell r="JA38" t="str">
            <v>BOLD</v>
          </cell>
          <cell r="JB38" t="str">
            <v>Unrated</v>
          </cell>
          <cell r="JC38" t="str">
            <v>BS_NAIC_UNRATED_AMOUNT</v>
          </cell>
          <cell r="JD38"/>
          <cell r="JE38" t="str">
            <v>BOLD</v>
          </cell>
          <cell r="JL38"/>
          <cell r="JM38" t="str">
            <v>BOLD</v>
          </cell>
        </row>
        <row r="39">
          <cell r="A39">
            <v>38</v>
          </cell>
          <cell r="D39"/>
          <cell r="E39" t="str">
            <v>BOLD</v>
          </cell>
          <cell r="F39" t="str">
            <v>Ntwk Processed Trans - Cash</v>
          </cell>
          <cell r="G39" t="str">
            <v>NTWK_PROCESSED_TRANS_CASH</v>
          </cell>
          <cell r="H39"/>
          <cell r="I39" t="str">
            <v>BOLD</v>
          </cell>
          <cell r="P39"/>
          <cell r="Q39" t="str">
            <v>BOLD</v>
          </cell>
          <cell r="T39"/>
          <cell r="U39" t="str">
            <v>BOLD</v>
          </cell>
          <cell r="X39"/>
          <cell r="Y39" t="str">
            <v>BOLD</v>
          </cell>
          <cell r="AB39"/>
          <cell r="AC39" t="str">
            <v>BOLD</v>
          </cell>
          <cell r="AD39" t="str">
            <v>Silver ($/oz)</v>
          </cell>
          <cell r="AE39" t="str">
            <v>MINING_SILVER_CASH_COSTS_BYPROD</v>
          </cell>
          <cell r="AF39"/>
          <cell r="AG39" t="str">
            <v>BOLD</v>
          </cell>
          <cell r="AH39" t="str">
            <v>Molybdenum - Ore Volume (Tons)</v>
          </cell>
          <cell r="AI39" t="str">
            <v>MINING_P&amp;P_RSRVS_MOLYBDENUM_VOL</v>
          </cell>
          <cell r="AJ39"/>
          <cell r="AK39" t="str">
            <v>BOLD</v>
          </cell>
          <cell r="AL39" t="str">
            <v>Molybdenum - Grade (%)</v>
          </cell>
          <cell r="AM39" t="str">
            <v>MINING_M&amp;I_RES_MOLYBDENUM_GRADE</v>
          </cell>
          <cell r="AN39"/>
          <cell r="AO39" t="str">
            <v>BOLD</v>
          </cell>
          <cell r="AP39" t="str">
            <v>Cash Flow (Policyholders)</v>
          </cell>
          <cell r="AQ39" t="str">
            <v>LABEL</v>
          </cell>
          <cell r="AR39"/>
          <cell r="AS39" t="str">
            <v>BOLD</v>
          </cell>
          <cell r="AV39"/>
          <cell r="AW39" t="str">
            <v>BOLD</v>
          </cell>
          <cell r="AZ39"/>
          <cell r="BA39" t="str">
            <v>BOLD</v>
          </cell>
          <cell r="BB39" t="str">
            <v xml:space="preserve">  - Income Tax</v>
          </cell>
          <cell r="BC39" t="str">
            <v>INCOME_TAX_LAMR</v>
          </cell>
          <cell r="BD39"/>
          <cell r="BE39" t="str">
            <v>NO</v>
          </cell>
          <cell r="BH39"/>
          <cell r="BI39" t="str">
            <v>BOLD</v>
          </cell>
          <cell r="BL39"/>
          <cell r="BM39" t="str">
            <v>BOLD</v>
          </cell>
          <cell r="BP39"/>
          <cell r="BQ39" t="str">
            <v>BOLD</v>
          </cell>
          <cell r="BT39"/>
          <cell r="BU39" t="str">
            <v>BOLD</v>
          </cell>
          <cell r="BX39"/>
          <cell r="BY39" t="str">
            <v>BOLD</v>
          </cell>
          <cell r="BZ39" t="str">
            <v>Canada</v>
          </cell>
          <cell r="CA39" t="str">
            <v>LABEL</v>
          </cell>
          <cell r="CB39"/>
          <cell r="CC39" t="str">
            <v>BOLD</v>
          </cell>
          <cell r="CD39" t="str">
            <v xml:space="preserve">    + Purchases</v>
          </cell>
          <cell r="CE39" t="str">
            <v>BOE_PURCHASES_US</v>
          </cell>
          <cell r="CF39"/>
          <cell r="CG39" t="str">
            <v>NO</v>
          </cell>
          <cell r="CH39" t="str">
            <v>Energy-Avg $/MCF-Gas (Hedged)</v>
          </cell>
          <cell r="CI39" t="str">
            <v>AVG_SALE_PRICE_GAS_HEDGED</v>
          </cell>
          <cell r="CJ39"/>
          <cell r="CK39" t="str">
            <v>BOLD</v>
          </cell>
          <cell r="CL39" t="str">
            <v xml:space="preserve">  Asphalt Price Growth Ratio</v>
          </cell>
          <cell r="CM39" t="str">
            <v>ASPHALT_PRICE_GROWTH_RATIO</v>
          </cell>
          <cell r="CN39"/>
          <cell r="CO39" t="str">
            <v>NO</v>
          </cell>
          <cell r="CP39" t="str">
            <v>Mining - Platinum Mined Production</v>
          </cell>
          <cell r="CQ39" t="str">
            <v>MINING_PLATINUM_PROD_ACTUAL</v>
          </cell>
          <cell r="CR39"/>
          <cell r="CS39" t="str">
            <v>BOLD</v>
          </cell>
          <cell r="CV39"/>
          <cell r="CW39" t="str">
            <v>BOLD</v>
          </cell>
          <cell r="CZ39"/>
          <cell r="DA39" t="str">
            <v>BOLD</v>
          </cell>
          <cell r="DD39"/>
          <cell r="DE39" t="str">
            <v>BOLD</v>
          </cell>
          <cell r="DH39"/>
          <cell r="DI39" t="str">
            <v>BOLD</v>
          </cell>
          <cell r="DL39"/>
          <cell r="DM39" t="str">
            <v>BOLD</v>
          </cell>
          <cell r="DP39"/>
          <cell r="DQ39" t="str">
            <v>BOLD</v>
          </cell>
          <cell r="DR39" t="str">
            <v xml:space="preserve">  Physicians Recruited</v>
          </cell>
          <cell r="DS39" t="str">
            <v>PHYSICIANS_RECRUITED</v>
          </cell>
          <cell r="DT39"/>
          <cell r="DU39" t="str">
            <v>NO</v>
          </cell>
          <cell r="DX39"/>
          <cell r="DY39" t="str">
            <v>BOLD</v>
          </cell>
          <cell r="EB39"/>
          <cell r="EC39" t="str">
            <v>BOLD</v>
          </cell>
          <cell r="ED39" t="str">
            <v>Truck Fleet - Average</v>
          </cell>
          <cell r="EE39" t="str">
            <v>TRUCKING_FLEET</v>
          </cell>
          <cell r="EF39"/>
          <cell r="EG39" t="str">
            <v>BOLD</v>
          </cell>
          <cell r="EJ39"/>
          <cell r="EK39" t="str">
            <v>BOLD</v>
          </cell>
          <cell r="EL39" t="str">
            <v xml:space="preserve">  Personal Injury Frequency</v>
          </cell>
          <cell r="EM39" t="str">
            <v>PERSONAL_INJURY_FREQUENCY</v>
          </cell>
          <cell r="EN39"/>
          <cell r="EO39" t="str">
            <v>NO</v>
          </cell>
          <cell r="ER39"/>
          <cell r="ES39" t="str">
            <v>BOLD</v>
          </cell>
          <cell r="EV39"/>
          <cell r="EW39" t="str">
            <v>BOLD</v>
          </cell>
          <cell r="EX39" t="str">
            <v>TTM Capex</v>
          </cell>
          <cell r="EY39" t="str">
            <v>TRAIL_12M_CAP_EXPEND</v>
          </cell>
          <cell r="EZ39"/>
          <cell r="FA39" t="str">
            <v>BOLD</v>
          </cell>
          <cell r="FD39"/>
          <cell r="FE39" t="str">
            <v>BOLD</v>
          </cell>
          <cell r="FF39" t="str">
            <v>Financial Data</v>
          </cell>
          <cell r="FG39" t="str">
            <v>LABEL</v>
          </cell>
          <cell r="FH39"/>
          <cell r="FI39" t="str">
            <v>BOLD</v>
          </cell>
          <cell r="FL39"/>
          <cell r="FM39" t="str">
            <v>BOLD</v>
          </cell>
          <cell r="FP39"/>
          <cell r="FQ39" t="str">
            <v>BOLD</v>
          </cell>
          <cell r="FT39"/>
          <cell r="FU39" t="str">
            <v>BOLD</v>
          </cell>
          <cell r="FV39" t="str">
            <v xml:space="preserve">  North America</v>
          </cell>
          <cell r="FW39" t="str">
            <v>AUTO_MARKET_SHARE_NA</v>
          </cell>
          <cell r="FX39"/>
          <cell r="FY39" t="str">
            <v>NO</v>
          </cell>
          <cell r="GB39"/>
          <cell r="GC39" t="str">
            <v>BOLD</v>
          </cell>
          <cell r="GF39"/>
          <cell r="GG39" t="str">
            <v>BOLD</v>
          </cell>
          <cell r="GJ39"/>
          <cell r="GK39" t="str">
            <v>BOLD</v>
          </cell>
          <cell r="GN39"/>
          <cell r="GO39" t="str">
            <v>BOLD</v>
          </cell>
          <cell r="GP39" t="str">
            <v>Brewery - Excise Taxes</v>
          </cell>
          <cell r="GQ39" t="str">
            <v>EXCISE_TAXES_BREWERY</v>
          </cell>
          <cell r="GR39"/>
          <cell r="GS39" t="str">
            <v>BOLD</v>
          </cell>
          <cell r="GT39" t="str">
            <v>Hotels</v>
          </cell>
          <cell r="GU39" t="str">
            <v>LABEL</v>
          </cell>
          <cell r="GV39"/>
          <cell r="GW39" t="str">
            <v>BOLD</v>
          </cell>
          <cell r="GZ39"/>
          <cell r="HA39" t="str">
            <v>BOLD</v>
          </cell>
          <cell r="HB39" t="str">
            <v>Other Alternative Investments %</v>
          </cell>
          <cell r="HC39" t="str">
            <v>ARD_TGT_AST_ALLOC_OTH_ALT_INVT_%</v>
          </cell>
          <cell r="HD39"/>
          <cell r="HE39" t="str">
            <v>BOLD</v>
          </cell>
          <cell r="HF39" t="str">
            <v>Retail Square Footage</v>
          </cell>
          <cell r="HG39" t="str">
            <v>RETAIL_SF_COMPANY_OWNED</v>
          </cell>
          <cell r="HH39"/>
          <cell r="HI39" t="str">
            <v>BOLD</v>
          </cell>
          <cell r="HL39"/>
          <cell r="HM39" t="str">
            <v>BOLD</v>
          </cell>
          <cell r="HP39"/>
          <cell r="HQ39" t="str">
            <v>BOLD</v>
          </cell>
          <cell r="HT39"/>
          <cell r="HU39" t="str">
            <v>BOLD</v>
          </cell>
          <cell r="HV39" t="str">
            <v>Total Risk Based Capital</v>
          </cell>
          <cell r="HW39" t="str">
            <v>BS_TOT_CAP_FUND</v>
          </cell>
          <cell r="HX39"/>
          <cell r="HY39" t="str">
            <v>BOLD</v>
          </cell>
          <cell r="IB39"/>
          <cell r="IC39" t="str">
            <v>BOLD</v>
          </cell>
          <cell r="ID39" t="str">
            <v>Revenue per Page View YoY % Change</v>
          </cell>
          <cell r="IE39" t="str">
            <v>REV_PAGE_VIEW_YOY_PCT_CHG</v>
          </cell>
          <cell r="IF39"/>
          <cell r="IG39" t="str">
            <v>BOLD</v>
          </cell>
          <cell r="IH39" t="str">
            <v>Tier 1 Common Equity</v>
          </cell>
          <cell r="II39" t="str">
            <v>BS_TIER1_COMMON_EQUITY</v>
          </cell>
          <cell r="IJ39"/>
          <cell r="IK39" t="str">
            <v>BOLD</v>
          </cell>
          <cell r="IL39" t="str">
            <v>Biodiesel</v>
          </cell>
          <cell r="IM39" t="str">
            <v>LABEL</v>
          </cell>
          <cell r="IN39"/>
          <cell r="IO39" t="str">
            <v>BOLD</v>
          </cell>
          <cell r="IP39" t="str">
            <v xml:space="preserve">  Wind</v>
          </cell>
          <cell r="IQ39" t="str">
            <v>WIND_ENERGY_CAPACITY</v>
          </cell>
          <cell r="IR39"/>
          <cell r="IS39" t="str">
            <v>NO</v>
          </cell>
          <cell r="IX39" t="str">
            <v>Total Risk Based Capital</v>
          </cell>
          <cell r="IY39" t="str">
            <v>BS_TOT_CAP_FUND</v>
          </cell>
          <cell r="IZ39"/>
          <cell r="JA39" t="str">
            <v>BOLD</v>
          </cell>
          <cell r="JD39"/>
          <cell r="JE39" t="str">
            <v>BOLD</v>
          </cell>
          <cell r="JL39"/>
          <cell r="JM39" t="str">
            <v>BOLD</v>
          </cell>
        </row>
        <row r="40">
          <cell r="A40">
            <v>39</v>
          </cell>
          <cell r="D40"/>
          <cell r="E40" t="str">
            <v>BOLD</v>
          </cell>
          <cell r="F40" t="str">
            <v>Ntwk Processed Trans - Purchase</v>
          </cell>
          <cell r="G40" t="str">
            <v>NTWK_PROCESSED_TRANS_PURCH</v>
          </cell>
          <cell r="H40"/>
          <cell r="I40" t="str">
            <v>BOLD</v>
          </cell>
          <cell r="P40"/>
          <cell r="Q40" t="str">
            <v>BOLD</v>
          </cell>
          <cell r="T40"/>
          <cell r="U40" t="str">
            <v>BOLD</v>
          </cell>
          <cell r="X40"/>
          <cell r="Y40" t="str">
            <v>BOLD</v>
          </cell>
          <cell r="AB40"/>
          <cell r="AC40" t="str">
            <v>BOLD</v>
          </cell>
          <cell r="AD40" t="str">
            <v>Palladium ($/oz)</v>
          </cell>
          <cell r="AE40" t="str">
            <v>MINING_PALLADIUM_TOTAL_CASH_COST</v>
          </cell>
          <cell r="AF40"/>
          <cell r="AG40" t="str">
            <v>BOLD</v>
          </cell>
          <cell r="AH40" t="str">
            <v>Molybdenum - Grade (%)</v>
          </cell>
          <cell r="AI40" t="str">
            <v>MINING_P&amp;P_RSRV_MOLYBDENUM_GRADE</v>
          </cell>
          <cell r="AJ40"/>
          <cell r="AK40" t="str">
            <v>BOLD</v>
          </cell>
          <cell r="AL40" t="str">
            <v>Contained Molybdenum (Tons)</v>
          </cell>
          <cell r="AM40" t="str">
            <v>MINING_M&amp;I_RES_CONT_MOLYBDENUM</v>
          </cell>
          <cell r="AN40"/>
          <cell r="AO40" t="str">
            <v>BOLD</v>
          </cell>
          <cell r="AP40" t="str">
            <v>Takaful Total Cash Flows from Ops Policyholders</v>
          </cell>
          <cell r="AQ40" t="str">
            <v>CF_TAKAFUL_CASH_FROM_OPERATIONS</v>
          </cell>
          <cell r="AR40"/>
          <cell r="AS40" t="str">
            <v>BOLD</v>
          </cell>
          <cell r="AV40"/>
          <cell r="AW40" t="str">
            <v>BOLD</v>
          </cell>
          <cell r="AZ40"/>
          <cell r="BA40" t="str">
            <v>BOLD</v>
          </cell>
          <cell r="BB40" t="str">
            <v xml:space="preserve">  + Other Income</v>
          </cell>
          <cell r="BC40" t="str">
            <v>OTHER_E&amp;P_INCOME_LAMR</v>
          </cell>
          <cell r="BD40"/>
          <cell r="BE40" t="str">
            <v>NO</v>
          </cell>
          <cell r="BH40"/>
          <cell r="BI40" t="str">
            <v>BOLD</v>
          </cell>
          <cell r="BL40"/>
          <cell r="BM40" t="str">
            <v>BOLD</v>
          </cell>
          <cell r="BN40" t="str">
            <v>Mideast</v>
          </cell>
          <cell r="BO40" t="str">
            <v>LABEL</v>
          </cell>
          <cell r="BP40"/>
          <cell r="BQ40" t="str">
            <v>BOLD</v>
          </cell>
          <cell r="BT40"/>
          <cell r="BU40" t="str">
            <v>BOLD</v>
          </cell>
          <cell r="BV40" t="str">
            <v xml:space="preserve">  Canada</v>
          </cell>
          <cell r="BW40" t="str">
            <v>LABEL</v>
          </cell>
          <cell r="BX40"/>
          <cell r="BY40" t="str">
            <v>NO</v>
          </cell>
          <cell r="BZ40" t="str">
            <v xml:space="preserve">  Start of Year</v>
          </cell>
          <cell r="CA40" t="str">
            <v>OIL_START_YR_CANADA</v>
          </cell>
          <cell r="CB40"/>
          <cell r="CC40" t="str">
            <v>NO</v>
          </cell>
          <cell r="CD40" t="str">
            <v xml:space="preserve">    + Sales</v>
          </cell>
          <cell r="CE40" t="str">
            <v>BOE_SALES_US</v>
          </cell>
          <cell r="CF40"/>
          <cell r="CG40" t="str">
            <v>NO</v>
          </cell>
          <cell r="CJ40"/>
          <cell r="CK40" t="str">
            <v>BOLD</v>
          </cell>
          <cell r="CL40" t="str">
            <v>Number of Asphalt Plants</v>
          </cell>
          <cell r="CM40" t="str">
            <v>NUMBER_OF_ASPHALT_PLANTS</v>
          </cell>
          <cell r="CN40"/>
          <cell r="CO40" t="str">
            <v>BOLD</v>
          </cell>
          <cell r="CP40" t="str">
            <v>Mining - Platinum Sales</v>
          </cell>
          <cell r="CQ40" t="str">
            <v>MINING_PLATINUM_SOLD</v>
          </cell>
          <cell r="CR40"/>
          <cell r="CS40" t="str">
            <v>BOLD</v>
          </cell>
          <cell r="CV40"/>
          <cell r="CW40" t="str">
            <v>BOLD</v>
          </cell>
          <cell r="CZ40"/>
          <cell r="DA40" t="str">
            <v>BOLD</v>
          </cell>
          <cell r="DD40"/>
          <cell r="DE40" t="str">
            <v>BOLD</v>
          </cell>
          <cell r="DH40"/>
          <cell r="DI40" t="str">
            <v>BOLD</v>
          </cell>
          <cell r="DL40"/>
          <cell r="DM40" t="str">
            <v>BOLD</v>
          </cell>
          <cell r="DP40"/>
          <cell r="DQ40" t="str">
            <v>BOLD</v>
          </cell>
          <cell r="DR40" t="str">
            <v xml:space="preserve">  Physicians Recruitment - Annual Target</v>
          </cell>
          <cell r="DS40" t="str">
            <v>PHYSICIANS_RECRUIT_ANNUAL_TARGET</v>
          </cell>
          <cell r="DT40"/>
          <cell r="DU40" t="str">
            <v>NO</v>
          </cell>
          <cell r="DX40"/>
          <cell r="DY40" t="str">
            <v>BOLD</v>
          </cell>
          <cell r="EB40"/>
          <cell r="EC40" t="str">
            <v>BOLD</v>
          </cell>
          <cell r="ED40" t="str">
            <v>Company Oper Tractors - Average</v>
          </cell>
          <cell r="EE40" t="str">
            <v>TRUCKING_TRACTORS_OWNED</v>
          </cell>
          <cell r="EF40"/>
          <cell r="EG40" t="str">
            <v>BOLD</v>
          </cell>
          <cell r="EJ40"/>
          <cell r="EK40" t="str">
            <v>BOLD</v>
          </cell>
          <cell r="EL40" t="str">
            <v xml:space="preserve">  Train Accident Frequency</v>
          </cell>
          <cell r="EM40" t="str">
            <v>TRAIN_ACCIDENT_FREQUENCY</v>
          </cell>
          <cell r="EN40"/>
          <cell r="EO40" t="str">
            <v>NO</v>
          </cell>
          <cell r="EP40" t="str">
            <v>Contract Type</v>
          </cell>
          <cell r="EQ40" t="str">
            <v>LABEL</v>
          </cell>
          <cell r="ER40"/>
          <cell r="ES40" t="str">
            <v>BOLD</v>
          </cell>
          <cell r="EV40"/>
          <cell r="EW40" t="str">
            <v>BOLD</v>
          </cell>
          <cell r="EZ40"/>
          <cell r="FA40" t="str">
            <v>BOLD</v>
          </cell>
          <cell r="FD40"/>
          <cell r="FE40" t="str">
            <v>BOLD</v>
          </cell>
          <cell r="FF40" t="str">
            <v>Wireless Cost Of Service</v>
          </cell>
          <cell r="FG40" t="str">
            <v>COST_OF_SERVICE_CELLULAR_TELECOM</v>
          </cell>
          <cell r="FH40"/>
          <cell r="FI40" t="str">
            <v>BOLD</v>
          </cell>
          <cell r="FL40"/>
          <cell r="FM40" t="str">
            <v>BOLD</v>
          </cell>
          <cell r="FN40" t="str">
            <v>Available Seat Miles/Kms</v>
          </cell>
          <cell r="FO40" t="str">
            <v>AVAIL_SEAT_MILES_KM</v>
          </cell>
          <cell r="FP40"/>
          <cell r="FQ40" t="str">
            <v>BOLD</v>
          </cell>
          <cell r="FT40"/>
          <cell r="FU40" t="str">
            <v>BOLD</v>
          </cell>
          <cell r="FV40" t="str">
            <v xml:space="preserve">    United States</v>
          </cell>
          <cell r="FW40" t="str">
            <v>AUTO_MARKET_SHARE_US</v>
          </cell>
          <cell r="FX40"/>
          <cell r="FY40" t="str">
            <v>NO</v>
          </cell>
          <cell r="GB40"/>
          <cell r="GC40" t="str">
            <v>BOLD</v>
          </cell>
          <cell r="GF40"/>
          <cell r="GG40" t="str">
            <v>BOLD</v>
          </cell>
          <cell r="GJ40"/>
          <cell r="GK40" t="str">
            <v>BOLD</v>
          </cell>
          <cell r="GN40"/>
          <cell r="GO40" t="str">
            <v>BOLD</v>
          </cell>
          <cell r="GR40"/>
          <cell r="GS40" t="str">
            <v>BOLD</v>
          </cell>
          <cell r="GT40" t="str">
            <v>Hotel Room Revenues</v>
          </cell>
          <cell r="GU40" t="str">
            <v>IS_HOTEL_ROOM_REVENUES</v>
          </cell>
          <cell r="GV40"/>
          <cell r="GW40" t="str">
            <v>BOLD</v>
          </cell>
          <cell r="GZ40"/>
          <cell r="HA40" t="str">
            <v>BOLD</v>
          </cell>
          <cell r="HB40" t="str">
            <v>Commodities %</v>
          </cell>
          <cell r="HC40" t="str">
            <v>ARD_TARGET_AST_ALLOC_COMMOD_%</v>
          </cell>
          <cell r="HD40"/>
          <cell r="HE40" t="str">
            <v>BOLD</v>
          </cell>
          <cell r="HH40"/>
          <cell r="HI40" t="str">
            <v>BOLD</v>
          </cell>
          <cell r="HL40"/>
          <cell r="HM40" t="str">
            <v>BOLD</v>
          </cell>
          <cell r="HP40"/>
          <cell r="HQ40" t="str">
            <v>BOLD</v>
          </cell>
          <cell r="HT40"/>
          <cell r="HU40" t="str">
            <v>BOLD</v>
          </cell>
          <cell r="HV40" t="str">
            <v>Risk-Weighted Assets</v>
          </cell>
          <cell r="HW40" t="str">
            <v>BS_RISK_WEIGHTED_ASSETS</v>
          </cell>
          <cell r="HX40"/>
          <cell r="HY40" t="str">
            <v>BOLD</v>
          </cell>
          <cell r="HZ40" t="str">
            <v>Portfolio by Type of Security</v>
          </cell>
          <cell r="IA40" t="str">
            <v>LABEL</v>
          </cell>
          <cell r="IB40"/>
          <cell r="IC40" t="str">
            <v>BOLD</v>
          </cell>
          <cell r="IH40" t="str">
            <v>Core Tier 1 Capital</v>
          </cell>
          <cell r="II40" t="str">
            <v>BS_CORE_TIER1_CAPITAL</v>
          </cell>
          <cell r="IJ40"/>
          <cell r="IK40" t="str">
            <v>BOLD</v>
          </cell>
          <cell r="IL40" t="str">
            <v>Capacity</v>
          </cell>
          <cell r="IM40" t="str">
            <v>BIOFUEL_BIODIESEL_CAPACITY</v>
          </cell>
          <cell r="IN40"/>
          <cell r="IO40" t="str">
            <v>BOLD</v>
          </cell>
          <cell r="IP40" t="str">
            <v xml:space="preserve">  Solar</v>
          </cell>
          <cell r="IQ40" t="str">
            <v>SOLAR_ENERGY_CAPACITY</v>
          </cell>
          <cell r="IR40"/>
          <cell r="IS40" t="str">
            <v>NO</v>
          </cell>
          <cell r="IX40" t="str">
            <v>Risk-Weighted Assets</v>
          </cell>
          <cell r="IY40" t="str">
            <v>BS_RISK_WEIGHTED_ASSETS</v>
          </cell>
          <cell r="IZ40"/>
          <cell r="JA40" t="str">
            <v>BOLD</v>
          </cell>
          <cell r="JB40" t="str">
            <v>Portfolio by Type of Security</v>
          </cell>
          <cell r="JC40" t="str">
            <v>LABEL</v>
          </cell>
          <cell r="JD40"/>
          <cell r="JE40" t="str">
            <v>BOLD</v>
          </cell>
          <cell r="JL40"/>
          <cell r="JM40" t="str">
            <v>BOLD</v>
          </cell>
        </row>
        <row r="41">
          <cell r="A41">
            <v>40</v>
          </cell>
          <cell r="D41"/>
          <cell r="E41" t="str">
            <v>BOLD</v>
          </cell>
          <cell r="F41" t="str">
            <v>Network Processed Trans - Total</v>
          </cell>
          <cell r="G41" t="str">
            <v>NTWK_PROCESSED_TRANS_TOTAL</v>
          </cell>
          <cell r="H41"/>
          <cell r="I41" t="str">
            <v>BOLD</v>
          </cell>
          <cell r="P41"/>
          <cell r="Q41" t="str">
            <v>BOLD</v>
          </cell>
          <cell r="T41"/>
          <cell r="U41" t="str">
            <v>BOLD</v>
          </cell>
          <cell r="X41"/>
          <cell r="Y41" t="str">
            <v>BOLD</v>
          </cell>
          <cell r="AB41"/>
          <cell r="AC41" t="str">
            <v>BOLD</v>
          </cell>
          <cell r="AD41" t="str">
            <v>Platinum ($/oz)</v>
          </cell>
          <cell r="AE41" t="str">
            <v>MINING_PLATINUM_TOTAL_CASH_COSTS</v>
          </cell>
          <cell r="AF41"/>
          <cell r="AG41" t="str">
            <v>BOLD</v>
          </cell>
          <cell r="AH41" t="str">
            <v>Contained Molybdenum (Tons)</v>
          </cell>
          <cell r="AI41" t="str">
            <v>MINING_P&amp;P_RSRV_CONT_MOLYBDENUM</v>
          </cell>
          <cell r="AJ41"/>
          <cell r="AK41" t="str">
            <v>BOLD</v>
          </cell>
          <cell r="AL41" t="str">
            <v>Nickel - Ore Volume (Tons)</v>
          </cell>
          <cell r="AM41" t="str">
            <v>MINING_M&amp;I_RES_NICKEL_VOLUME</v>
          </cell>
          <cell r="AN41"/>
          <cell r="AO41" t="str">
            <v>BOLD</v>
          </cell>
          <cell r="AP41" t="str">
            <v>Takaful Cash from Investing Activities Policyhldrs</v>
          </cell>
          <cell r="AQ41" t="str">
            <v>CF_TAKAFUL_CASH_FROM_INVESTING</v>
          </cell>
          <cell r="AR41"/>
          <cell r="AS41" t="str">
            <v>BOLD</v>
          </cell>
          <cell r="AV41"/>
          <cell r="AW41" t="str">
            <v>BOLD</v>
          </cell>
          <cell r="AZ41"/>
          <cell r="BA41" t="str">
            <v>BOLD</v>
          </cell>
          <cell r="BB41" t="str">
            <v xml:space="preserve">  Results of Operations</v>
          </cell>
          <cell r="BC41" t="str">
            <v>RESULTS_OPERATIONS_LAMR</v>
          </cell>
          <cell r="BD41"/>
          <cell r="BE41" t="str">
            <v>NO</v>
          </cell>
          <cell r="BH41"/>
          <cell r="BI41" t="str">
            <v>BOLD</v>
          </cell>
          <cell r="BL41"/>
          <cell r="BM41" t="str">
            <v>BOLD</v>
          </cell>
          <cell r="BN41" t="str">
            <v xml:space="preserve">  Oil (MBBL/Day)</v>
          </cell>
          <cell r="BO41" t="str">
            <v>OIL_PRODUCTION_MIDEAST_MBBL_DY</v>
          </cell>
          <cell r="BP41"/>
          <cell r="BQ41" t="str">
            <v>NO</v>
          </cell>
          <cell r="BT41"/>
          <cell r="BU41" t="str">
            <v>BOLD</v>
          </cell>
          <cell r="BV41" t="str">
            <v xml:space="preserve">    Start of Year</v>
          </cell>
          <cell r="BW41" t="str">
            <v>GAS_START_YEAR_CANADA</v>
          </cell>
          <cell r="BX41"/>
          <cell r="BY41" t="str">
            <v>NO</v>
          </cell>
          <cell r="BZ41" t="str">
            <v xml:space="preserve">  + Revisions</v>
          </cell>
          <cell r="CA41" t="str">
            <v>OIL_REVIS_CANADA</v>
          </cell>
          <cell r="CB41"/>
          <cell r="CC41" t="str">
            <v>NO</v>
          </cell>
          <cell r="CD41" t="str">
            <v xml:space="preserve">    + Production</v>
          </cell>
          <cell r="CE41" t="str">
            <v>BOE_PRODUCTION_US</v>
          </cell>
          <cell r="CF41"/>
          <cell r="CG41" t="str">
            <v>NO</v>
          </cell>
          <cell r="CH41" t="str">
            <v>Production</v>
          </cell>
          <cell r="CI41" t="str">
            <v>LABEL</v>
          </cell>
          <cell r="CJ41"/>
          <cell r="CK41" t="str">
            <v>BOLD</v>
          </cell>
          <cell r="CN41"/>
          <cell r="CO41" t="str">
            <v>BOLD</v>
          </cell>
          <cell r="CP41" t="str">
            <v>Mining - Palladium Mined Production</v>
          </cell>
          <cell r="CQ41" t="str">
            <v>MINING_PALLADIUM_PROD_ACTUAL</v>
          </cell>
          <cell r="CR41"/>
          <cell r="CS41" t="str">
            <v>BOLD</v>
          </cell>
          <cell r="CV41"/>
          <cell r="CW41" t="str">
            <v>BOLD</v>
          </cell>
          <cell r="CZ41"/>
          <cell r="DA41" t="str">
            <v>BOLD</v>
          </cell>
          <cell r="DD41"/>
          <cell r="DE41" t="str">
            <v>BOLD</v>
          </cell>
          <cell r="DH41"/>
          <cell r="DI41" t="str">
            <v>BOLD</v>
          </cell>
          <cell r="DL41"/>
          <cell r="DM41" t="str">
            <v>BOLD</v>
          </cell>
          <cell r="DP41"/>
          <cell r="DQ41" t="str">
            <v>BOLD</v>
          </cell>
          <cell r="DT41"/>
          <cell r="DU41" t="str">
            <v>BOLD</v>
          </cell>
          <cell r="DX41"/>
          <cell r="DY41" t="str">
            <v>BOLD</v>
          </cell>
          <cell r="EB41"/>
          <cell r="EC41" t="str">
            <v>BOLD</v>
          </cell>
          <cell r="ED41" t="str">
            <v>Average Age of Tractors</v>
          </cell>
          <cell r="EE41" t="str">
            <v>AVERAGE_AGE_OF_TRACTORS</v>
          </cell>
          <cell r="EF41"/>
          <cell r="EG41" t="str">
            <v>BOLD</v>
          </cell>
          <cell r="EJ41"/>
          <cell r="EK41" t="str">
            <v>BOLD</v>
          </cell>
          <cell r="EL41" t="str">
            <v xml:space="preserve">  Rail Trip Plan Compliance Index</v>
          </cell>
          <cell r="EM41" t="str">
            <v>ARD_RAIL_TRIP_PLAN_CMPL_INDEX</v>
          </cell>
          <cell r="EN41"/>
          <cell r="EO41" t="str">
            <v>NO</v>
          </cell>
          <cell r="EP41" t="str">
            <v>Fixed Price Projects</v>
          </cell>
          <cell r="EQ41" t="str">
            <v>FIXED_PRICE_PROJECTS</v>
          </cell>
          <cell r="ER41"/>
          <cell r="ES41" t="str">
            <v>BOLD</v>
          </cell>
          <cell r="EV41"/>
          <cell r="EW41" t="str">
            <v>BOLD</v>
          </cell>
          <cell r="EX41" t="str">
            <v>Ratio</v>
          </cell>
          <cell r="EY41" t="str">
            <v>LABEL</v>
          </cell>
          <cell r="EZ41"/>
          <cell r="FA41" t="str">
            <v>BOLD</v>
          </cell>
          <cell r="FD41"/>
          <cell r="FE41" t="str">
            <v>BOLD</v>
          </cell>
          <cell r="FF41" t="str">
            <v>Wireless Cost Of Equipment</v>
          </cell>
          <cell r="FG41" t="str">
            <v>COST_OF_EQUIPMENT_CELLULAR_TELEC</v>
          </cell>
          <cell r="FH41"/>
          <cell r="FI41" t="str">
            <v>BOLD</v>
          </cell>
          <cell r="FL41"/>
          <cell r="FM41" t="str">
            <v>BOLD</v>
          </cell>
          <cell r="FN41" t="str">
            <v xml:space="preserve">  Mainline Available Seat Miles/Kms</v>
          </cell>
          <cell r="FP41"/>
          <cell r="FQ41" t="str">
            <v>NO</v>
          </cell>
          <cell r="FT41"/>
          <cell r="FU41" t="str">
            <v>BOLD</v>
          </cell>
          <cell r="FV41" t="str">
            <v xml:space="preserve">  Europe</v>
          </cell>
          <cell r="FW41" t="str">
            <v>AUTO_MARKET_SHARE_EUROPE</v>
          </cell>
          <cell r="FX41"/>
          <cell r="FY41" t="str">
            <v>NO</v>
          </cell>
          <cell r="GB41"/>
          <cell r="GC41" t="str">
            <v>BOLD</v>
          </cell>
          <cell r="GF41"/>
          <cell r="GG41" t="str">
            <v>BOLD</v>
          </cell>
          <cell r="GJ41"/>
          <cell r="GK41" t="str">
            <v>BOLD</v>
          </cell>
          <cell r="GN41"/>
          <cell r="GO41" t="str">
            <v>BOLD</v>
          </cell>
          <cell r="GR41"/>
          <cell r="GS41" t="str">
            <v>BOLD</v>
          </cell>
          <cell r="GT41" t="str">
            <v>Average Occupancy %</v>
          </cell>
          <cell r="GU41" t="str">
            <v>HOTEL_AVG_OCCUPANCY</v>
          </cell>
          <cell r="GV41"/>
          <cell r="GW41" t="str">
            <v>BOLD</v>
          </cell>
          <cell r="GZ41"/>
          <cell r="HA41" t="str">
            <v>BOLD</v>
          </cell>
          <cell r="HB41" t="str">
            <v>Energy and Natural Resources Investments %</v>
          </cell>
          <cell r="HC41" t="str">
            <v>ARD_TGT_AST_ALC_EGY_NAT_RES_INV</v>
          </cell>
          <cell r="HD41"/>
          <cell r="HE41" t="str">
            <v>BOLD</v>
          </cell>
          <cell r="HH41"/>
          <cell r="HI41" t="str">
            <v>BOLD</v>
          </cell>
          <cell r="HL41"/>
          <cell r="HM41" t="str">
            <v>BOLD</v>
          </cell>
          <cell r="HP41"/>
          <cell r="HQ41" t="str">
            <v>BOLD</v>
          </cell>
          <cell r="HT41"/>
          <cell r="HU41" t="str">
            <v>BOLD</v>
          </cell>
          <cell r="HV41" t="str">
            <v>Adjusted Average Total Assets</v>
          </cell>
          <cell r="HW41" t="str">
            <v>BS_ADJ_AVERAGE_TOTAL_ASSETS</v>
          </cell>
          <cell r="HX41"/>
          <cell r="HY41" t="str">
            <v>BOLD</v>
          </cell>
          <cell r="HZ41" t="str">
            <v>US Treasury and Agency AFS</v>
          </cell>
          <cell r="IA41" t="str">
            <v>BS_AFS_US_TSY_AND_OTH_GOV_AGCY</v>
          </cell>
          <cell r="IB41"/>
          <cell r="IC41" t="str">
            <v>BOLD</v>
          </cell>
          <cell r="IH41" t="str">
            <v>Tier 1 Capital</v>
          </cell>
          <cell r="II41" t="str">
            <v>BS_TIER1_CAPITAL</v>
          </cell>
          <cell r="IJ41"/>
          <cell r="IK41" t="str">
            <v>BOLD</v>
          </cell>
          <cell r="IL41" t="str">
            <v>Production</v>
          </cell>
          <cell r="IM41" t="str">
            <v>BIOFUEL_BIODIESEL_PRODUCTION</v>
          </cell>
          <cell r="IN41"/>
          <cell r="IO41" t="str">
            <v>BOLD</v>
          </cell>
          <cell r="IP41" t="str">
            <v xml:space="preserve">  Biomass</v>
          </cell>
          <cell r="IQ41" t="str">
            <v>BIOMASS_ENERGY_CAPACITY</v>
          </cell>
          <cell r="IR41"/>
          <cell r="IS41" t="str">
            <v>NO</v>
          </cell>
          <cell r="IX41" t="str">
            <v>Adjusted Average Total Assets</v>
          </cell>
          <cell r="IY41" t="str">
            <v>BS_ADJ_AVERAGE_TOTAL_ASSETS</v>
          </cell>
          <cell r="IZ41"/>
          <cell r="JA41" t="str">
            <v>BOLD</v>
          </cell>
          <cell r="JB41" t="str">
            <v>US Treasury and Agency AFS</v>
          </cell>
          <cell r="JC41" t="str">
            <v>BS_AFS_US_TSY_AND_OTH_GOV_AGCY</v>
          </cell>
          <cell r="JD41"/>
          <cell r="JE41" t="str">
            <v>BOLD</v>
          </cell>
          <cell r="JL41"/>
          <cell r="JM41" t="str">
            <v>BOLD</v>
          </cell>
        </row>
        <row r="42">
          <cell r="A42">
            <v>41</v>
          </cell>
          <cell r="D42"/>
          <cell r="E42" t="str">
            <v>BOLD</v>
          </cell>
          <cell r="F42" t="str">
            <v>Acquired Vol Growth</v>
          </cell>
          <cell r="G42" t="str">
            <v>ACQUIRED_VOLUME_GROWTH_LC</v>
          </cell>
          <cell r="H42"/>
          <cell r="I42" t="str">
            <v>BOLD</v>
          </cell>
          <cell r="P42"/>
          <cell r="Q42" t="str">
            <v>BOLD</v>
          </cell>
          <cell r="T42"/>
          <cell r="U42" t="str">
            <v>BOLD</v>
          </cell>
          <cell r="X42"/>
          <cell r="Y42" t="str">
            <v>BOLD</v>
          </cell>
          <cell r="AB42"/>
          <cell r="AC42" t="str">
            <v>BOLD</v>
          </cell>
          <cell r="AD42" t="str">
            <v>Bismuth ($/lb)</v>
          </cell>
          <cell r="AE42" t="str">
            <v>MINING_BISMUTH_TOTAL_CASH_COSTS</v>
          </cell>
          <cell r="AF42"/>
          <cell r="AG42" t="str">
            <v>BOLD</v>
          </cell>
          <cell r="AH42" t="str">
            <v>Nickel - Ore Volume (Tons)</v>
          </cell>
          <cell r="AI42" t="str">
            <v>MINING_P&amp;P_RSRVS_NICKEL_VOLUME</v>
          </cell>
          <cell r="AJ42"/>
          <cell r="AK42" t="str">
            <v>BOLD</v>
          </cell>
          <cell r="AL42" t="str">
            <v>Nickel - Grade (%)</v>
          </cell>
          <cell r="AM42" t="str">
            <v>MINING_M&amp;I_RES_NICKEL_GRADE</v>
          </cell>
          <cell r="AN42"/>
          <cell r="AO42" t="str">
            <v>BOLD</v>
          </cell>
          <cell r="AP42" t="str">
            <v>Takaful Cash from Financing Activities Policyhldrs</v>
          </cell>
          <cell r="AQ42" t="str">
            <v>CF_TAKAFUL_CASH_FROM_FINANCING</v>
          </cell>
          <cell r="AR42"/>
          <cell r="AS42" t="str">
            <v>BOLD</v>
          </cell>
          <cell r="AV42"/>
          <cell r="AW42" t="str">
            <v>BOLD</v>
          </cell>
          <cell r="AZ42"/>
          <cell r="BA42" t="str">
            <v>BOLD</v>
          </cell>
          <cell r="BD42"/>
          <cell r="BE42" t="str">
            <v>BOLD</v>
          </cell>
          <cell r="BH42"/>
          <cell r="BI42" t="str">
            <v>BOLD</v>
          </cell>
          <cell r="BL42"/>
          <cell r="BM42" t="str">
            <v>BOLD</v>
          </cell>
          <cell r="BN42" t="str">
            <v xml:space="preserve">  Gas (MMCF/Day)</v>
          </cell>
          <cell r="BO42" t="str">
            <v>GAS_PRODUCTION_MIDEAST_MMCF_DY</v>
          </cell>
          <cell r="BP42"/>
          <cell r="BQ42" t="str">
            <v>NO</v>
          </cell>
          <cell r="BT42"/>
          <cell r="BU42" t="str">
            <v>BOLD</v>
          </cell>
          <cell r="BV42" t="str">
            <v xml:space="preserve">    + Revisions</v>
          </cell>
          <cell r="BW42" t="str">
            <v>GAS_REVISIONS_CANADA</v>
          </cell>
          <cell r="BX42"/>
          <cell r="BY42" t="str">
            <v>NO</v>
          </cell>
          <cell r="BZ42" t="str">
            <v xml:space="preserve">  + Improved Recovery</v>
          </cell>
          <cell r="CA42" t="str">
            <v>OIL_IMPROVED_RECOVERY_CANADA</v>
          </cell>
          <cell r="CB42"/>
          <cell r="CC42" t="str">
            <v>NO</v>
          </cell>
          <cell r="CD42" t="str">
            <v xml:space="preserve">    + Other</v>
          </cell>
          <cell r="CE42" t="str">
            <v>BOE_OTHER_CHG_US</v>
          </cell>
          <cell r="CF42"/>
          <cell r="CG42" t="str">
            <v>NO</v>
          </cell>
          <cell r="CH42" t="str">
            <v>Energy-MBBL/D-Oil-Worldwide</v>
          </cell>
          <cell r="CI42" t="str">
            <v>OIL_PRODUCTION_WORLD_MBBL_DY</v>
          </cell>
          <cell r="CJ42"/>
          <cell r="CK42" t="str">
            <v>BOLD</v>
          </cell>
          <cell r="CL42" t="str">
            <v>Gypsum Wallboard</v>
          </cell>
          <cell r="CM42" t="str">
            <v>LABEL</v>
          </cell>
          <cell r="CN42"/>
          <cell r="CO42" t="str">
            <v>BOLD</v>
          </cell>
          <cell r="CP42" t="str">
            <v>Mining - Palladium Sales</v>
          </cell>
          <cell r="CQ42" t="str">
            <v>MINING_PALLADIUM_SOLD</v>
          </cell>
          <cell r="CR42"/>
          <cell r="CS42" t="str">
            <v>BOLD</v>
          </cell>
          <cell r="CV42"/>
          <cell r="CW42" t="str">
            <v>BOLD</v>
          </cell>
          <cell r="CZ42"/>
          <cell r="DA42" t="str">
            <v>BOLD</v>
          </cell>
          <cell r="DD42"/>
          <cell r="DE42" t="str">
            <v>BOLD</v>
          </cell>
          <cell r="DH42"/>
          <cell r="DI42" t="str">
            <v>BOLD</v>
          </cell>
          <cell r="DL42"/>
          <cell r="DM42" t="str">
            <v>BOLD</v>
          </cell>
          <cell r="DP42"/>
          <cell r="DQ42" t="str">
            <v>BOLD</v>
          </cell>
          <cell r="DR42" t="str">
            <v>Payer Mix</v>
          </cell>
          <cell r="DS42" t="str">
            <v>LABEL</v>
          </cell>
          <cell r="DT42"/>
          <cell r="DU42" t="str">
            <v>BOLD</v>
          </cell>
          <cell r="DX42"/>
          <cell r="DY42" t="str">
            <v>BOLD</v>
          </cell>
          <cell r="EB42"/>
          <cell r="EC42" t="str">
            <v>BOLD</v>
          </cell>
          <cell r="ED42" t="str">
            <v>Number of Terminals</v>
          </cell>
          <cell r="EE42" t="str">
            <v>NUMBER_OF_TERMINALS</v>
          </cell>
          <cell r="EF42"/>
          <cell r="EG42" t="str">
            <v>BOLD</v>
          </cell>
          <cell r="EJ42"/>
          <cell r="EK42" t="str">
            <v>BOLD</v>
          </cell>
          <cell r="EL42" t="str">
            <v xml:space="preserve">  Rail Customer Satisfaction Index</v>
          </cell>
          <cell r="EM42" t="str">
            <v>ARD_RAIL_CSTMR_SATISFACTION_INDX</v>
          </cell>
          <cell r="EN42"/>
          <cell r="EO42" t="str">
            <v>NO</v>
          </cell>
          <cell r="EP42" t="str">
            <v>Time &amp; Materials Projects</v>
          </cell>
          <cell r="EQ42" t="str">
            <v>TIME_&amp;_MATERIALS_PROJECTS</v>
          </cell>
          <cell r="ER42"/>
          <cell r="ES42" t="str">
            <v>BOLD</v>
          </cell>
          <cell r="EV42"/>
          <cell r="EW42" t="str">
            <v>BOLD</v>
          </cell>
          <cell r="EX42" t="str">
            <v>TTM COGS/Sales (%)</v>
          </cell>
          <cell r="EY42" t="str">
            <v>COST_OF_REVENUES_%_SALES</v>
          </cell>
          <cell r="EZ42"/>
          <cell r="FA42" t="str">
            <v>BOLD</v>
          </cell>
          <cell r="FD42"/>
          <cell r="FE42" t="str">
            <v>BOLD</v>
          </cell>
          <cell r="FF42" t="str">
            <v>EBITDA</v>
          </cell>
          <cell r="FG42" t="str">
            <v>EBITDA</v>
          </cell>
          <cell r="FH42"/>
          <cell r="FI42" t="str">
            <v>BOLD</v>
          </cell>
          <cell r="FL42"/>
          <cell r="FM42" t="str">
            <v>BOLD</v>
          </cell>
          <cell r="FN42" t="str">
            <v xml:space="preserve">  Regional Available Seat Miles/Kms</v>
          </cell>
          <cell r="FO42" t="str">
            <v>REGIONAL_AVAILABLE_SEAT_MILES</v>
          </cell>
          <cell r="FP42"/>
          <cell r="FQ42" t="str">
            <v>NO</v>
          </cell>
          <cell r="FT42"/>
          <cell r="FU42" t="str">
            <v>BOLD</v>
          </cell>
          <cell r="FV42" t="str">
            <v xml:space="preserve">  Asia Pacific</v>
          </cell>
          <cell r="FW42" t="str">
            <v>AUTO_MARKET_SHARE_ASIA_PACIFIC</v>
          </cell>
          <cell r="FX42"/>
          <cell r="FY42" t="str">
            <v>NO</v>
          </cell>
          <cell r="GB42"/>
          <cell r="GC42" t="str">
            <v>BOLD</v>
          </cell>
          <cell r="GF42"/>
          <cell r="GG42" t="str">
            <v>BOLD</v>
          </cell>
          <cell r="GJ42"/>
          <cell r="GK42" t="str">
            <v>BOLD</v>
          </cell>
          <cell r="GN42"/>
          <cell r="GO42" t="str">
            <v>BOLD</v>
          </cell>
          <cell r="GR42"/>
          <cell r="GS42" t="str">
            <v>BOLD</v>
          </cell>
          <cell r="GT42" t="str">
            <v>Average Daily Rate (ADR)</v>
          </cell>
          <cell r="GU42" t="str">
            <v>HOTEL_AVG_DAILY_RATE</v>
          </cell>
          <cell r="GV42"/>
          <cell r="GW42" t="str">
            <v>BOLD</v>
          </cell>
          <cell r="GZ42"/>
          <cell r="HA42" t="str">
            <v>BOLD</v>
          </cell>
          <cell r="HD42"/>
          <cell r="HE42" t="str">
            <v>BOLD</v>
          </cell>
          <cell r="HH42"/>
          <cell r="HI42" t="str">
            <v>BOLD</v>
          </cell>
          <cell r="HL42"/>
          <cell r="HM42" t="str">
            <v>BOLD</v>
          </cell>
          <cell r="HP42"/>
          <cell r="HQ42" t="str">
            <v>BOLD</v>
          </cell>
          <cell r="HT42"/>
          <cell r="HU42" t="str">
            <v>BOLD</v>
          </cell>
          <cell r="HX42"/>
          <cell r="HY42" t="str">
            <v>BOLD</v>
          </cell>
          <cell r="HZ42" t="str">
            <v>US Treasury and Agency HTM</v>
          </cell>
          <cell r="IA42" t="str">
            <v>BS_HTM_US_TSY_AND_OTH_GOV_AGCY</v>
          </cell>
          <cell r="IB42"/>
          <cell r="IC42" t="str">
            <v>BOLD</v>
          </cell>
          <cell r="IH42" t="str">
            <v>Total Risk Based Capital</v>
          </cell>
          <cell r="II42" t="str">
            <v>BS_TOT_CAP_FUND</v>
          </cell>
          <cell r="IJ42"/>
          <cell r="IK42" t="str">
            <v>BOLD</v>
          </cell>
          <cell r="IP42" t="str">
            <v xml:space="preserve">  Geothermal</v>
          </cell>
          <cell r="IQ42" t="str">
            <v>ELEC_GEN_CAP_RENEW_GEOTHERMAL_MW</v>
          </cell>
          <cell r="IR42"/>
          <cell r="IS42" t="str">
            <v>NO</v>
          </cell>
          <cell r="IZ42"/>
          <cell r="JA42" t="str">
            <v>BOLD</v>
          </cell>
          <cell r="JB42" t="str">
            <v>US Treasury and Agency HTM</v>
          </cell>
          <cell r="JC42" t="str">
            <v>BS_HTM_US_TSY_AND_OTH_GOV_AGCY</v>
          </cell>
          <cell r="JD42"/>
          <cell r="JE42" t="str">
            <v>BOLD</v>
          </cell>
          <cell r="JL42"/>
          <cell r="JM42" t="str">
            <v>BOLD</v>
          </cell>
        </row>
        <row r="43">
          <cell r="A43">
            <v>42</v>
          </cell>
          <cell r="D43"/>
          <cell r="E43" t="str">
            <v>BOLD</v>
          </cell>
          <cell r="F43" t="str">
            <v>Electronic Pmt Ntwk - # of Trans</v>
          </cell>
          <cell r="G43" t="str">
            <v>ELEC_PAYMENT_NTWK_NUM_TRANS</v>
          </cell>
          <cell r="H43"/>
          <cell r="I43" t="str">
            <v>BOLD</v>
          </cell>
          <cell r="P43"/>
          <cell r="Q43" t="str">
            <v>BOLD</v>
          </cell>
          <cell r="T43"/>
          <cell r="U43" t="str">
            <v>BOLD</v>
          </cell>
          <cell r="X43"/>
          <cell r="Y43" t="str">
            <v>BOLD</v>
          </cell>
          <cell r="AB43"/>
          <cell r="AC43" t="str">
            <v>BOLD</v>
          </cell>
          <cell r="AD43" t="str">
            <v>Chromium ($/lb)</v>
          </cell>
          <cell r="AE43" t="str">
            <v>MINING_CHROMIUM_TOTAL_CASH_COSTS</v>
          </cell>
          <cell r="AF43"/>
          <cell r="AG43" t="str">
            <v>BOLD</v>
          </cell>
          <cell r="AH43" t="str">
            <v>Nickel - Grade (%)</v>
          </cell>
          <cell r="AI43" t="str">
            <v>MINING_P&amp;P_RSRVS_NICKEL_GRADE</v>
          </cell>
          <cell r="AJ43"/>
          <cell r="AK43" t="str">
            <v>BOLD</v>
          </cell>
          <cell r="AL43" t="str">
            <v>Contained Nickel (Tons)</v>
          </cell>
          <cell r="AM43" t="str">
            <v>MINING_M&amp;I_RES_CONTAINED_NICKEL</v>
          </cell>
          <cell r="AN43"/>
          <cell r="AO43" t="str">
            <v>BOLD</v>
          </cell>
          <cell r="AP43" t="str">
            <v>Takaful Net Change in Cash Policyholders</v>
          </cell>
          <cell r="AQ43" t="str">
            <v>CF_TAKAFUL_NET_CHANGE_IN_CASH</v>
          </cell>
          <cell r="AR43"/>
          <cell r="AS43" t="str">
            <v>BOLD</v>
          </cell>
          <cell r="AV43"/>
          <cell r="AW43" t="str">
            <v>BOLD</v>
          </cell>
          <cell r="AZ43"/>
          <cell r="BA43" t="str">
            <v>BOLD</v>
          </cell>
          <cell r="BB43" t="str">
            <v>Europe</v>
          </cell>
          <cell r="BC43" t="str">
            <v>LABEL</v>
          </cell>
          <cell r="BD43"/>
          <cell r="BE43" t="str">
            <v>BOLD</v>
          </cell>
          <cell r="BH43"/>
          <cell r="BI43" t="str">
            <v>BOLD</v>
          </cell>
          <cell r="BL43"/>
          <cell r="BM43" t="str">
            <v>BOLD</v>
          </cell>
          <cell r="BN43" t="str">
            <v xml:space="preserve">  NGL (MBBL/Day)</v>
          </cell>
          <cell r="BO43" t="str">
            <v>NGL_PRODUCTION_MIDEAST_MBBL_DY</v>
          </cell>
          <cell r="BP43"/>
          <cell r="BQ43" t="str">
            <v>NO</v>
          </cell>
          <cell r="BT43"/>
          <cell r="BU43" t="str">
            <v>BOLD</v>
          </cell>
          <cell r="BV43" t="str">
            <v xml:space="preserve">    + Improved Recovery</v>
          </cell>
          <cell r="BW43" t="str">
            <v>GAS_IMPROV_REC_CANADA</v>
          </cell>
          <cell r="BX43"/>
          <cell r="BY43" t="str">
            <v>NO</v>
          </cell>
          <cell r="BZ43" t="str">
            <v xml:space="preserve">  + Extensions &amp; Discoveries</v>
          </cell>
          <cell r="CA43" t="str">
            <v>OIL_EXTENSIONS_AND_DISCS_CANADA</v>
          </cell>
          <cell r="CB43"/>
          <cell r="CC43" t="str">
            <v>NO</v>
          </cell>
          <cell r="CD43" t="str">
            <v xml:space="preserve">    End of year</v>
          </cell>
          <cell r="CE43" t="str">
            <v>BOE_RESERVES_END_YR_US</v>
          </cell>
          <cell r="CF43"/>
          <cell r="CG43" t="str">
            <v>NO</v>
          </cell>
          <cell r="CH43" t="str">
            <v>Energy-MBBL/D-NGL-Worldwide</v>
          </cell>
          <cell r="CI43" t="str">
            <v>NGL_PRODUCTION_WORLD_MBBL_DY</v>
          </cell>
          <cell r="CJ43"/>
          <cell r="CK43" t="str">
            <v>BOLD</v>
          </cell>
          <cell r="CL43" t="str">
            <v>Gypsum Capacity</v>
          </cell>
          <cell r="CM43" t="str">
            <v>GYPSUM_CAPACITY</v>
          </cell>
          <cell r="CN43"/>
          <cell r="CO43" t="str">
            <v>BOLD</v>
          </cell>
          <cell r="CP43" t="str">
            <v>Copper Cash Margin</v>
          </cell>
          <cell r="CQ43" t="str">
            <v>COPPER_CASH_MARGIN</v>
          </cell>
          <cell r="CR43"/>
          <cell r="CS43" t="str">
            <v>BOLD</v>
          </cell>
          <cell r="CV43"/>
          <cell r="CW43" t="str">
            <v>BOLD</v>
          </cell>
          <cell r="CZ43"/>
          <cell r="DA43" t="str">
            <v>BOLD</v>
          </cell>
          <cell r="DD43"/>
          <cell r="DE43" t="str">
            <v>BOLD</v>
          </cell>
          <cell r="DH43"/>
          <cell r="DI43" t="str">
            <v>BOLD</v>
          </cell>
          <cell r="DL43"/>
          <cell r="DM43" t="str">
            <v>BOLD</v>
          </cell>
          <cell r="DP43"/>
          <cell r="DQ43" t="str">
            <v>BOLD</v>
          </cell>
          <cell r="DR43" t="str">
            <v xml:space="preserve">  Medicare Revenue Percentage</v>
          </cell>
          <cell r="DS43" t="str">
            <v>MEDICARE_REVENUE_%</v>
          </cell>
          <cell r="DT43"/>
          <cell r="DU43" t="str">
            <v>NO</v>
          </cell>
          <cell r="DX43"/>
          <cell r="DY43" t="str">
            <v>BOLD</v>
          </cell>
          <cell r="EB43"/>
          <cell r="EC43" t="str">
            <v>BOLD</v>
          </cell>
          <cell r="ED43" t="str">
            <v>Drivers</v>
          </cell>
          <cell r="EE43" t="str">
            <v>TRUCKING_DRIVERS</v>
          </cell>
          <cell r="EF43"/>
          <cell r="EG43" t="str">
            <v>BOLD</v>
          </cell>
          <cell r="EJ43"/>
          <cell r="EK43" t="str">
            <v>BOLD</v>
          </cell>
          <cell r="EN43"/>
          <cell r="EO43" t="str">
            <v>BOLD</v>
          </cell>
          <cell r="ER43"/>
          <cell r="ES43" t="str">
            <v>BOLD</v>
          </cell>
          <cell r="EV43"/>
          <cell r="EW43" t="str">
            <v>BOLD</v>
          </cell>
          <cell r="EX43" t="str">
            <v>TTM SG&amp;A/Sales (%)</v>
          </cell>
          <cell r="EY43" t="str">
            <v>T12M_OPEX_%_SALES</v>
          </cell>
          <cell r="EZ43"/>
          <cell r="FA43" t="str">
            <v>BOLD</v>
          </cell>
          <cell r="FD43"/>
          <cell r="FE43" t="str">
            <v>BOLD</v>
          </cell>
          <cell r="FF43" t="str">
            <v>Operating Income</v>
          </cell>
          <cell r="FG43" t="str">
            <v>ARD_OPERATING_INCOME</v>
          </cell>
          <cell r="FH43"/>
          <cell r="FI43" t="str">
            <v>BOLD</v>
          </cell>
          <cell r="FL43"/>
          <cell r="FM43" t="str">
            <v>BOLD</v>
          </cell>
          <cell r="FP43"/>
          <cell r="FQ43" t="str">
            <v>BOLD</v>
          </cell>
          <cell r="FT43"/>
          <cell r="FU43" t="str">
            <v>BOLD</v>
          </cell>
          <cell r="FV43" t="str">
            <v xml:space="preserve">  Latin America</v>
          </cell>
          <cell r="FW43" t="str">
            <v>AUTO_MARKET_SHARE_LATAM</v>
          </cell>
          <cell r="FX43"/>
          <cell r="FY43" t="str">
            <v>NO</v>
          </cell>
          <cell r="GB43"/>
          <cell r="GC43" t="str">
            <v>BOLD</v>
          </cell>
          <cell r="GF43"/>
          <cell r="GG43" t="str">
            <v>BOLD</v>
          </cell>
          <cell r="GJ43"/>
          <cell r="GK43" t="str">
            <v>BOLD</v>
          </cell>
          <cell r="GN43"/>
          <cell r="GO43" t="str">
            <v>BOLD</v>
          </cell>
          <cell r="GR43"/>
          <cell r="GS43" t="str">
            <v>BOLD</v>
          </cell>
          <cell r="GT43" t="str">
            <v>Revenue per Available Room (REVPAR)</v>
          </cell>
          <cell r="GU43" t="str">
            <v>HOTEL_REV_PER_AVAILABLE_ROOM</v>
          </cell>
          <cell r="GV43"/>
          <cell r="GW43" t="str">
            <v>BOLD</v>
          </cell>
          <cell r="GZ43"/>
          <cell r="HA43" t="str">
            <v>BOLD</v>
          </cell>
          <cell r="HB43" t="str">
            <v>Limited Partner Target Asset Allocation Max/Min % Range</v>
          </cell>
          <cell r="HC43" t="str">
            <v>LABEL</v>
          </cell>
          <cell r="HD43"/>
          <cell r="HE43" t="str">
            <v>BOLD</v>
          </cell>
          <cell r="HH43"/>
          <cell r="HI43" t="str">
            <v>BOLD</v>
          </cell>
          <cell r="HL43"/>
          <cell r="HM43" t="str">
            <v>BOLD</v>
          </cell>
          <cell r="HP43"/>
          <cell r="HQ43" t="str">
            <v>BOLD</v>
          </cell>
          <cell r="HT43"/>
          <cell r="HU43" t="str">
            <v>BOLD</v>
          </cell>
          <cell r="HV43" t="str">
            <v>Credit Quality</v>
          </cell>
          <cell r="HW43" t="str">
            <v>LABEL</v>
          </cell>
          <cell r="HX43"/>
          <cell r="HY43" t="str">
            <v>BOLD</v>
          </cell>
          <cell r="HZ43" t="str">
            <v>Foreign Government Investments</v>
          </cell>
          <cell r="IA43" t="str">
            <v>BS_FOREIGN_GOV_INV</v>
          </cell>
          <cell r="IB43"/>
          <cell r="IC43" t="str">
            <v>BOLD</v>
          </cell>
          <cell r="IH43" t="str">
            <v>Risk-Weighted Assets</v>
          </cell>
          <cell r="II43" t="str">
            <v>BS_RISK_WEIGHTED_ASSETS</v>
          </cell>
          <cell r="IJ43"/>
          <cell r="IK43" t="str">
            <v>BOLD</v>
          </cell>
          <cell r="IP43" t="str">
            <v xml:space="preserve">  Waste</v>
          </cell>
          <cell r="IQ43" t="str">
            <v>WASTE_ENERGY_CAPACITY</v>
          </cell>
          <cell r="IR43"/>
          <cell r="IS43" t="str">
            <v>NO</v>
          </cell>
          <cell r="IX43" t="str">
            <v>Credit Quality</v>
          </cell>
          <cell r="IY43" t="str">
            <v>LABEL</v>
          </cell>
          <cell r="IZ43"/>
          <cell r="JA43" t="str">
            <v>BOLD</v>
          </cell>
          <cell r="JB43" t="str">
            <v>Foreign Government Investments</v>
          </cell>
          <cell r="JC43" t="str">
            <v>BS_FOREIGN_GOV_INV</v>
          </cell>
          <cell r="JD43"/>
          <cell r="JE43" t="str">
            <v>BOLD</v>
          </cell>
          <cell r="JL43"/>
          <cell r="JM43" t="str">
            <v>BOLD</v>
          </cell>
        </row>
        <row r="44">
          <cell r="A44">
            <v>43</v>
          </cell>
          <cell r="D44"/>
          <cell r="E44" t="str">
            <v>BOLD</v>
          </cell>
          <cell r="F44" t="str">
            <v>Electronic Pmt Ntwk Vol</v>
          </cell>
          <cell r="G44" t="str">
            <v>ELECTRONIC_PMT_NTWK_VOLUME</v>
          </cell>
          <cell r="H44"/>
          <cell r="I44" t="str">
            <v>BOLD</v>
          </cell>
          <cell r="P44"/>
          <cell r="Q44" t="str">
            <v>BOLD</v>
          </cell>
          <cell r="T44"/>
          <cell r="U44" t="str">
            <v>BOLD</v>
          </cell>
          <cell r="X44"/>
          <cell r="Y44" t="str">
            <v>BOLD</v>
          </cell>
          <cell r="AB44"/>
          <cell r="AC44" t="str">
            <v>BOLD</v>
          </cell>
          <cell r="AD44" t="str">
            <v>Coal ($/Ton)</v>
          </cell>
          <cell r="AE44" t="str">
            <v>MINING_COAL_TOTAL_CASH_COSTS</v>
          </cell>
          <cell r="AF44"/>
          <cell r="AG44" t="str">
            <v>BOLD</v>
          </cell>
          <cell r="AH44" t="str">
            <v>Contained Nickel (Tons)</v>
          </cell>
          <cell r="AI44" t="str">
            <v>MINING_P&amp;P_RSRV_CONTAINED_NICKEL</v>
          </cell>
          <cell r="AJ44"/>
          <cell r="AK44" t="str">
            <v>BOLD</v>
          </cell>
          <cell r="AL44" t="str">
            <v>Tin - Ore Volume (Tons)</v>
          </cell>
          <cell r="AM44" t="str">
            <v>MINING_M&amp;I_RESOURCES_TIN_VOLUME</v>
          </cell>
          <cell r="AN44"/>
          <cell r="AO44" t="str">
            <v>BOLD</v>
          </cell>
          <cell r="AR44"/>
          <cell r="AS44" t="str">
            <v>BOLD</v>
          </cell>
          <cell r="AV44"/>
          <cell r="AW44" t="str">
            <v>BOLD</v>
          </cell>
          <cell r="AZ44"/>
          <cell r="BA44" t="str">
            <v>BOLD</v>
          </cell>
          <cell r="BB44" t="str">
            <v xml:space="preserve">  Revenues</v>
          </cell>
          <cell r="BC44" t="str">
            <v>E&amp;P_REVENUES_EUROPE</v>
          </cell>
          <cell r="BD44"/>
          <cell r="BE44" t="str">
            <v>NO</v>
          </cell>
          <cell r="BH44"/>
          <cell r="BI44" t="str">
            <v>BOLD</v>
          </cell>
          <cell r="BL44"/>
          <cell r="BM44" t="str">
            <v>BOLD</v>
          </cell>
          <cell r="BN44" t="str">
            <v xml:space="preserve">  Total (MBOE/Day)</v>
          </cell>
          <cell r="BO44" t="str">
            <v>TOTAL_PRODUCTION_MIDEAST_MBOE_DY</v>
          </cell>
          <cell r="BP44"/>
          <cell r="BQ44" t="str">
            <v>NO</v>
          </cell>
          <cell r="BT44"/>
          <cell r="BU44" t="str">
            <v>BOLD</v>
          </cell>
          <cell r="BV44" t="str">
            <v xml:space="preserve">    + Extensions &amp; Discoveries</v>
          </cell>
          <cell r="BW44" t="str">
            <v>GAS_EXTENS_DISCOV_CANADA</v>
          </cell>
          <cell r="BX44"/>
          <cell r="BY44" t="str">
            <v>NO</v>
          </cell>
          <cell r="BZ44" t="str">
            <v xml:space="preserve">  + Purchases</v>
          </cell>
          <cell r="CA44" t="str">
            <v>OIL_PURCH_CANADA</v>
          </cell>
          <cell r="CB44"/>
          <cell r="CC44" t="str">
            <v>NO</v>
          </cell>
          <cell r="CD44" t="str">
            <v xml:space="preserve">    Developed Reserves</v>
          </cell>
          <cell r="CE44" t="str">
            <v>BOE_DEVEL_RESV_US</v>
          </cell>
          <cell r="CF44"/>
          <cell r="CG44" t="str">
            <v>NO</v>
          </cell>
          <cell r="CH44" t="str">
            <v>Energy-MMCF/D-Gas-Worldwide</v>
          </cell>
          <cell r="CI44" t="str">
            <v>GAS_PRODUCTION_WORLD_MMCF_DY</v>
          </cell>
          <cell r="CJ44"/>
          <cell r="CK44" t="str">
            <v>BOLD</v>
          </cell>
          <cell r="CL44" t="str">
            <v>Gypsum Production</v>
          </cell>
          <cell r="CM44" t="str">
            <v>GYPSUM_PRODUCTION</v>
          </cell>
          <cell r="CN44"/>
          <cell r="CO44" t="str">
            <v>BOLD</v>
          </cell>
          <cell r="CP44" t="str">
            <v>Mining - Copper Realized Price</v>
          </cell>
          <cell r="CQ44" t="str">
            <v>MINING_COPPER_REALIZED_PX</v>
          </cell>
          <cell r="CR44"/>
          <cell r="CS44" t="str">
            <v>BOLD</v>
          </cell>
          <cell r="CV44"/>
          <cell r="CW44" t="str">
            <v>BOLD</v>
          </cell>
          <cell r="CZ44"/>
          <cell r="DA44" t="str">
            <v>BOLD</v>
          </cell>
          <cell r="DD44"/>
          <cell r="DE44" t="str">
            <v>BOLD</v>
          </cell>
          <cell r="DH44"/>
          <cell r="DI44" t="str">
            <v>BOLD</v>
          </cell>
          <cell r="DL44"/>
          <cell r="DM44" t="str">
            <v>BOLD</v>
          </cell>
          <cell r="DP44"/>
          <cell r="DQ44" t="str">
            <v>BOLD</v>
          </cell>
          <cell r="DR44" t="str">
            <v xml:space="preserve">  Medicaid Revenue Percentage</v>
          </cell>
          <cell r="DS44" t="str">
            <v>MEDICAID_REVENUE_%</v>
          </cell>
          <cell r="DT44"/>
          <cell r="DU44" t="str">
            <v>NO</v>
          </cell>
          <cell r="DX44"/>
          <cell r="DY44" t="str">
            <v>BOLD</v>
          </cell>
          <cell r="EB44"/>
          <cell r="EC44" t="str">
            <v>BOLD</v>
          </cell>
          <cell r="EF44"/>
          <cell r="EG44" t="str">
            <v>BOLD</v>
          </cell>
          <cell r="EJ44"/>
          <cell r="EK44" t="str">
            <v>BOLD</v>
          </cell>
          <cell r="EL44" t="str">
            <v>Resources</v>
          </cell>
          <cell r="EM44" t="str">
            <v>LABEL</v>
          </cell>
          <cell r="EN44"/>
          <cell r="EO44" t="str">
            <v>BOLD</v>
          </cell>
          <cell r="ER44"/>
          <cell r="ES44" t="str">
            <v>BOLD</v>
          </cell>
          <cell r="EV44"/>
          <cell r="EW44" t="str">
            <v>BOLD</v>
          </cell>
          <cell r="EX44" t="str">
            <v>TTM R&amp;D/Sales (%)</v>
          </cell>
          <cell r="EY44" t="str">
            <v>TRAILING_12M_R&amp;D_%_SALES</v>
          </cell>
          <cell r="EZ44"/>
          <cell r="FA44" t="str">
            <v>BOLD</v>
          </cell>
          <cell r="FD44"/>
          <cell r="FE44" t="str">
            <v>BOLD</v>
          </cell>
          <cell r="FF44" t="str">
            <v>Capital Expenditures</v>
          </cell>
          <cell r="FG44" t="str">
            <v>CF_CAP_EXPEND_PRPTY_ADD</v>
          </cell>
          <cell r="FH44"/>
          <cell r="FI44" t="str">
            <v>BOLD</v>
          </cell>
          <cell r="FL44"/>
          <cell r="FM44" t="str">
            <v>BOLD</v>
          </cell>
          <cell r="FN44" t="str">
            <v>Total Operating Expenses</v>
          </cell>
          <cell r="FO44" t="str">
            <v>ARD_TOTAL_OPERATING_EXPENSES</v>
          </cell>
          <cell r="FP44"/>
          <cell r="FQ44" t="str">
            <v>BOLD</v>
          </cell>
          <cell r="FT44"/>
          <cell r="FU44" t="str">
            <v>BOLD</v>
          </cell>
          <cell r="FV44" t="str">
            <v xml:space="preserve">  Africa/Middle East</v>
          </cell>
          <cell r="FW44" t="str">
            <v>AUTO_MARKET_SHARE_AME</v>
          </cell>
          <cell r="FX44"/>
          <cell r="FY44" t="str">
            <v>NO</v>
          </cell>
          <cell r="GB44"/>
          <cell r="GC44" t="str">
            <v>BOLD</v>
          </cell>
          <cell r="GF44"/>
          <cell r="GG44" t="str">
            <v>BOLD</v>
          </cell>
          <cell r="GJ44"/>
          <cell r="GK44" t="str">
            <v>BOLD</v>
          </cell>
          <cell r="GN44"/>
          <cell r="GO44" t="str">
            <v>BOLD</v>
          </cell>
          <cell r="GR44"/>
          <cell r="GS44" t="str">
            <v>BOLD</v>
          </cell>
          <cell r="GV44"/>
          <cell r="GW44" t="str">
            <v>BOLD</v>
          </cell>
          <cell r="GZ44"/>
          <cell r="HA44" t="str">
            <v>BOLD</v>
          </cell>
          <cell r="HB44" t="str">
            <v>Minimum - Cash and Cash Equivalents %</v>
          </cell>
          <cell r="HC44" t="str">
            <v>ASSET_ALLOCATION_MINIMUM_C&amp;CE_%</v>
          </cell>
          <cell r="HD44"/>
          <cell r="HE44" t="str">
            <v>BOLD</v>
          </cell>
          <cell r="HH44"/>
          <cell r="HI44" t="str">
            <v>BOLD</v>
          </cell>
          <cell r="HL44"/>
          <cell r="HM44" t="str">
            <v>BOLD</v>
          </cell>
          <cell r="HP44"/>
          <cell r="HQ44" t="str">
            <v>BOLD</v>
          </cell>
          <cell r="HT44"/>
          <cell r="HU44" t="str">
            <v>BOLD</v>
          </cell>
          <cell r="HV44" t="str">
            <v>T12M Net Chg Offs/Avg Tot Loans</v>
          </cell>
          <cell r="HW44" t="str">
            <v>T12M_NET_CHRG_OFF_TO_AVG_TOT_LN</v>
          </cell>
          <cell r="HX44"/>
          <cell r="HY44" t="str">
            <v>BOLD</v>
          </cell>
          <cell r="HZ44" t="str">
            <v>Corporate Bonds Available for Sale</v>
          </cell>
          <cell r="IA44" t="str">
            <v>BS_AFS_CORP_BONDS</v>
          </cell>
          <cell r="IB44"/>
          <cell r="IC44" t="str">
            <v>BOLD</v>
          </cell>
          <cell r="IH44" t="str">
            <v>Adjusted Average Total Assets</v>
          </cell>
          <cell r="II44" t="str">
            <v>BS_ADJ_AVERAGE_TOTAL_ASSETS</v>
          </cell>
          <cell r="IJ44"/>
          <cell r="IK44" t="str">
            <v>BOLD</v>
          </cell>
          <cell r="IP44" t="str">
            <v xml:space="preserve">  Other</v>
          </cell>
          <cell r="IQ44" t="str">
            <v>OTHER_RENEWABLES_ENERGY_CAPACITY</v>
          </cell>
          <cell r="IR44"/>
          <cell r="IS44" t="str">
            <v>NO</v>
          </cell>
          <cell r="IX44" t="str">
            <v>T12M Net Chg Offs/Avg Tot Loans</v>
          </cell>
          <cell r="IY44" t="str">
            <v>T12M_NET_CHRG_OFF_TO_AVG_TOT_LN</v>
          </cell>
          <cell r="IZ44"/>
          <cell r="JA44" t="str">
            <v>BOLD</v>
          </cell>
          <cell r="JB44" t="str">
            <v>Corporate Bonds Available for Sale</v>
          </cell>
          <cell r="JC44" t="str">
            <v>BS_AFS_CORP_BONDS</v>
          </cell>
          <cell r="JD44"/>
          <cell r="JE44" t="str">
            <v>BOLD</v>
          </cell>
          <cell r="JL44"/>
          <cell r="JM44" t="str">
            <v>BOLD</v>
          </cell>
        </row>
        <row r="45">
          <cell r="A45">
            <v>44</v>
          </cell>
          <cell r="D45"/>
          <cell r="E45" t="str">
            <v>BOLD</v>
          </cell>
          <cell r="F45" t="str">
            <v># of Credit Card Accounts</v>
          </cell>
          <cell r="G45" t="str">
            <v>NUM_CRED_CHRG_CARD_ACCNTS</v>
          </cell>
          <cell r="H45"/>
          <cell r="I45" t="str">
            <v>BOLD</v>
          </cell>
          <cell r="P45"/>
          <cell r="Q45" t="str">
            <v>BOLD</v>
          </cell>
          <cell r="T45"/>
          <cell r="U45" t="str">
            <v>BOLD</v>
          </cell>
          <cell r="X45"/>
          <cell r="Y45" t="str">
            <v>BOLD</v>
          </cell>
          <cell r="AB45"/>
          <cell r="AC45" t="str">
            <v>BOLD</v>
          </cell>
          <cell r="AD45" t="str">
            <v>Cobalt ($/lb)</v>
          </cell>
          <cell r="AE45" t="str">
            <v>MINING_COBALT_TOTAL_CASH_COSTS</v>
          </cell>
          <cell r="AF45"/>
          <cell r="AG45" t="str">
            <v>BOLD</v>
          </cell>
          <cell r="AH45" t="str">
            <v>Tin - Ore Volume (Tons)</v>
          </cell>
          <cell r="AI45" t="str">
            <v>MINING_P&amp;P_RSRVS_TIN_VOLUME</v>
          </cell>
          <cell r="AJ45"/>
          <cell r="AK45" t="str">
            <v>BOLD</v>
          </cell>
          <cell r="AL45" t="str">
            <v>Tin - Grade (%)</v>
          </cell>
          <cell r="AM45" t="str">
            <v>MINING_M&amp;I_RESOURCES_TIN_GRADE</v>
          </cell>
          <cell r="AN45"/>
          <cell r="AO45" t="str">
            <v>BOLD</v>
          </cell>
          <cell r="AR45"/>
          <cell r="AS45" t="str">
            <v>BOLD</v>
          </cell>
          <cell r="AV45"/>
          <cell r="AW45" t="str">
            <v>BOLD</v>
          </cell>
          <cell r="AZ45"/>
          <cell r="BA45" t="str">
            <v>BOLD</v>
          </cell>
          <cell r="BB45" t="str">
            <v xml:space="preserve">  - Production Costs</v>
          </cell>
          <cell r="BC45" t="str">
            <v>PRODUCTION_COSTS_EUROPE</v>
          </cell>
          <cell r="BD45"/>
          <cell r="BE45" t="str">
            <v>NO</v>
          </cell>
          <cell r="BH45"/>
          <cell r="BI45" t="str">
            <v>BOLD</v>
          </cell>
          <cell r="BL45"/>
          <cell r="BM45" t="str">
            <v>BOLD</v>
          </cell>
          <cell r="BP45"/>
          <cell r="BQ45" t="str">
            <v>BOLD</v>
          </cell>
          <cell r="BT45"/>
          <cell r="BU45" t="str">
            <v>BOLD</v>
          </cell>
          <cell r="BV45" t="str">
            <v xml:space="preserve">    + Purchases</v>
          </cell>
          <cell r="BW45" t="str">
            <v>GAS_PURCHASES_CANADA</v>
          </cell>
          <cell r="BX45"/>
          <cell r="BY45" t="str">
            <v>NO</v>
          </cell>
          <cell r="BZ45" t="str">
            <v xml:space="preserve">  + Sales</v>
          </cell>
          <cell r="CA45" t="str">
            <v>OIL_SLS_CANADA</v>
          </cell>
          <cell r="CB45"/>
          <cell r="CC45" t="str">
            <v>NO</v>
          </cell>
          <cell r="CF45"/>
          <cell r="CG45" t="str">
            <v>BOLD</v>
          </cell>
          <cell r="CH45" t="str">
            <v>Production Mix Oil Percent</v>
          </cell>
          <cell r="CI45" t="str">
            <v>PRODUCTION_MIX_OIL_PERCENT</v>
          </cell>
          <cell r="CJ45"/>
          <cell r="CK45" t="str">
            <v>BOLD</v>
          </cell>
          <cell r="CL45" t="str">
            <v>Gypsum Capacity Utilization Ratio</v>
          </cell>
          <cell r="CM45" t="str">
            <v>GYPSUM_CAPACITY_UTIL_RATIO</v>
          </cell>
          <cell r="CN45"/>
          <cell r="CO45" t="str">
            <v>BOLD</v>
          </cell>
          <cell r="CP45" t="str">
            <v>Mining - Copper Total Cash Costs - Byproduct</v>
          </cell>
          <cell r="CQ45" t="str">
            <v>MINING_COPPER_CASH_COSTS_BYPROD</v>
          </cell>
          <cell r="CR45"/>
          <cell r="CS45" t="str">
            <v>BOLD</v>
          </cell>
          <cell r="CV45"/>
          <cell r="CW45" t="str">
            <v>BOLD</v>
          </cell>
          <cell r="CZ45"/>
          <cell r="DA45" t="str">
            <v>BOLD</v>
          </cell>
          <cell r="DD45"/>
          <cell r="DE45" t="str">
            <v>BOLD</v>
          </cell>
          <cell r="DH45"/>
          <cell r="DI45" t="str">
            <v>BOLD</v>
          </cell>
          <cell r="DL45"/>
          <cell r="DM45" t="str">
            <v>BOLD</v>
          </cell>
          <cell r="DP45"/>
          <cell r="DQ45" t="str">
            <v>BOLD</v>
          </cell>
          <cell r="DR45" t="str">
            <v xml:space="preserve">  Managed Care &amp; Other Revenue Percentage</v>
          </cell>
          <cell r="DS45" t="str">
            <v>MANAGED_CARE_&amp;_OTHER_REV_%</v>
          </cell>
          <cell r="DT45"/>
          <cell r="DU45" t="str">
            <v>NO</v>
          </cell>
          <cell r="DX45"/>
          <cell r="DY45" t="str">
            <v>BOLD</v>
          </cell>
          <cell r="EB45"/>
          <cell r="EC45" t="str">
            <v>BOLD</v>
          </cell>
          <cell r="EF45"/>
          <cell r="EG45" t="str">
            <v>BOLD</v>
          </cell>
          <cell r="EJ45"/>
          <cell r="EK45" t="str">
            <v>BOLD</v>
          </cell>
          <cell r="EL45" t="str">
            <v xml:space="preserve">  Rail Network (Miles Of Track)</v>
          </cell>
          <cell r="EM45" t="str">
            <v>RAIL_NETWORK_MILES_OF_TRACK</v>
          </cell>
          <cell r="EN45"/>
          <cell r="EO45" t="str">
            <v>NO</v>
          </cell>
          <cell r="ER45"/>
          <cell r="ES45" t="str">
            <v>BOLD</v>
          </cell>
          <cell r="EV45"/>
          <cell r="EW45" t="str">
            <v>BOLD</v>
          </cell>
          <cell r="EX45" t="str">
            <v>Capex to Depreciation (x)</v>
          </cell>
          <cell r="EY45" t="str">
            <v>CAPEX_TO_DEPR_EXPN_RATIO</v>
          </cell>
          <cell r="EZ45"/>
          <cell r="FA45" t="str">
            <v>BOLD</v>
          </cell>
          <cell r="FD45"/>
          <cell r="FE45" t="str">
            <v>BOLD</v>
          </cell>
          <cell r="FH45"/>
          <cell r="FI45" t="str">
            <v>BOLD</v>
          </cell>
          <cell r="FL45"/>
          <cell r="FM45" t="str">
            <v>BOLD</v>
          </cell>
          <cell r="FN45" t="str">
            <v xml:space="preserve">  Mainline Operating Costs</v>
          </cell>
          <cell r="FO45" t="str">
            <v>MAINLINE_OPERATING_COSTS</v>
          </cell>
          <cell r="FP45"/>
          <cell r="FQ45" t="str">
            <v>NO</v>
          </cell>
          <cell r="FT45"/>
          <cell r="FU45" t="str">
            <v>BOLD</v>
          </cell>
          <cell r="FV45" t="str">
            <v xml:space="preserve">  Worldwide</v>
          </cell>
          <cell r="FW45" t="str">
            <v>AUTO_MARKET_SHARE_WW</v>
          </cell>
          <cell r="FX45"/>
          <cell r="FY45" t="str">
            <v>NO</v>
          </cell>
          <cell r="GB45"/>
          <cell r="GC45" t="str">
            <v>BOLD</v>
          </cell>
          <cell r="GF45"/>
          <cell r="GG45" t="str">
            <v>BOLD</v>
          </cell>
          <cell r="GJ45"/>
          <cell r="GK45" t="str">
            <v>BOLD</v>
          </cell>
          <cell r="GN45"/>
          <cell r="GO45" t="str">
            <v>BOLD</v>
          </cell>
          <cell r="GR45"/>
          <cell r="GS45" t="str">
            <v>BOLD</v>
          </cell>
          <cell r="GT45" t="str">
            <v>Number of Locations (Begin)</v>
          </cell>
          <cell r="GU45" t="str">
            <v>NUM_HOTEL_LOCATIONS_BEGINNING</v>
          </cell>
          <cell r="GV45"/>
          <cell r="GW45" t="str">
            <v>BOLD</v>
          </cell>
          <cell r="GZ45"/>
          <cell r="HA45" t="str">
            <v>BOLD</v>
          </cell>
          <cell r="HB45" t="str">
            <v>Maximum - Cash and Cash Equivalents %</v>
          </cell>
          <cell r="HC45" t="str">
            <v>ASSET_ALLOCATION_MAXIMUM_C&amp;CE_%</v>
          </cell>
          <cell r="HD45"/>
          <cell r="HE45" t="str">
            <v>BOLD</v>
          </cell>
          <cell r="HH45"/>
          <cell r="HI45" t="str">
            <v>BOLD</v>
          </cell>
          <cell r="HL45"/>
          <cell r="HM45" t="str">
            <v>BOLD</v>
          </cell>
          <cell r="HP45"/>
          <cell r="HQ45" t="str">
            <v>BOLD</v>
          </cell>
          <cell r="HT45"/>
          <cell r="HU45" t="str">
            <v>BOLD</v>
          </cell>
          <cell r="HV45" t="str">
            <v>Annualized Net Chg-Offs/Avg Tot Loans</v>
          </cell>
          <cell r="HW45" t="str">
            <v>ANN_NET_CHRG_OFF_TO_AVG_TOT_LOAN</v>
          </cell>
          <cell r="HX45"/>
          <cell r="HY45" t="str">
            <v>BOLD</v>
          </cell>
          <cell r="HZ45" t="str">
            <v>Corporate Bonds Held to Maturity</v>
          </cell>
          <cell r="IA45" t="str">
            <v>BS_HTM_CORP_BONDS</v>
          </cell>
          <cell r="IB45"/>
          <cell r="IC45" t="str">
            <v>BOLD</v>
          </cell>
          <cell r="IJ45"/>
          <cell r="IK45" t="str">
            <v>BOLD</v>
          </cell>
          <cell r="IP45" t="str">
            <v>+ Other</v>
          </cell>
          <cell r="IQ45" t="str">
            <v>ELEC_GEN_CAP_TH_OTH_N_RENEW_MW</v>
          </cell>
          <cell r="IR45"/>
          <cell r="IS45" t="str">
            <v>BOLD</v>
          </cell>
          <cell r="IX45" t="str">
            <v>Annualized Net Chg-Offs/Avg Tot Loans</v>
          </cell>
          <cell r="IY45" t="str">
            <v>ANN_NET_CHRG_OFF_TO_AVG_TOT_LOAN</v>
          </cell>
          <cell r="IZ45"/>
          <cell r="JA45" t="str">
            <v>BOLD</v>
          </cell>
          <cell r="JB45" t="str">
            <v>Corporate Bonds Held to Maturity</v>
          </cell>
          <cell r="JC45" t="str">
            <v>BS_HTM_CORP_BONDS</v>
          </cell>
          <cell r="JD45"/>
          <cell r="JE45" t="str">
            <v>BOLD</v>
          </cell>
          <cell r="JL45"/>
          <cell r="JM45" t="str">
            <v>BOLD</v>
          </cell>
        </row>
        <row r="46">
          <cell r="A46">
            <v>45</v>
          </cell>
          <cell r="D46"/>
          <cell r="E46" t="str">
            <v>BOLD</v>
          </cell>
          <cell r="F46" t="str">
            <v># of Debit Card Accounts</v>
          </cell>
          <cell r="G46" t="str">
            <v>NUM_DEBIT_CARD_ACCOUNTS</v>
          </cell>
          <cell r="H46"/>
          <cell r="I46" t="str">
            <v>BOLD</v>
          </cell>
          <cell r="P46"/>
          <cell r="Q46" t="str">
            <v>BOLD</v>
          </cell>
          <cell r="T46"/>
          <cell r="U46" t="str">
            <v>BOLD</v>
          </cell>
          <cell r="X46"/>
          <cell r="Y46" t="str">
            <v>BOLD</v>
          </cell>
          <cell r="AB46"/>
          <cell r="AC46" t="str">
            <v>BOLD</v>
          </cell>
          <cell r="AD46" t="str">
            <v>Copper ($/lb)</v>
          </cell>
          <cell r="AE46" t="str">
            <v>MINING_COPPER_CASH_COSTS_BYPROD</v>
          </cell>
          <cell r="AF46"/>
          <cell r="AG46" t="str">
            <v>BOLD</v>
          </cell>
          <cell r="AH46" t="str">
            <v>Tin - Grade (%)</v>
          </cell>
          <cell r="AI46" t="str">
            <v>MINING_P&amp;P_RSRVS_TIN_GRADE</v>
          </cell>
          <cell r="AJ46"/>
          <cell r="AK46" t="str">
            <v>BOLD</v>
          </cell>
          <cell r="AL46" t="str">
            <v>Contained Tin (Tons)</v>
          </cell>
          <cell r="AM46" t="str">
            <v>MINING_M&amp;I_RES_CONTAINED_TIN</v>
          </cell>
          <cell r="AN46"/>
          <cell r="AO46" t="str">
            <v>BOLD</v>
          </cell>
          <cell r="AR46"/>
          <cell r="AS46" t="str">
            <v>BOLD</v>
          </cell>
          <cell r="AV46"/>
          <cell r="AW46" t="str">
            <v>BOLD</v>
          </cell>
          <cell r="AZ46"/>
          <cell r="BA46" t="str">
            <v>BOLD</v>
          </cell>
          <cell r="BB46" t="str">
            <v xml:space="preserve">  - Exploration Expense</v>
          </cell>
          <cell r="BC46" t="str">
            <v>EXPLORATION_EXPENSES_EUROPE</v>
          </cell>
          <cell r="BD46"/>
          <cell r="BE46" t="str">
            <v>NO</v>
          </cell>
          <cell r="BH46"/>
          <cell r="BI46" t="str">
            <v>BOLD</v>
          </cell>
          <cell r="BL46"/>
          <cell r="BM46" t="str">
            <v>BOLD</v>
          </cell>
          <cell r="BN46" t="str">
            <v>Asia</v>
          </cell>
          <cell r="BO46" t="str">
            <v>LABEL</v>
          </cell>
          <cell r="BP46"/>
          <cell r="BQ46" t="str">
            <v>BOLD</v>
          </cell>
          <cell r="BT46"/>
          <cell r="BU46" t="str">
            <v>BOLD</v>
          </cell>
          <cell r="BV46" t="str">
            <v xml:space="preserve">    + Sales</v>
          </cell>
          <cell r="BW46" t="str">
            <v>GAS_SALES_CANADA</v>
          </cell>
          <cell r="BX46"/>
          <cell r="BY46" t="str">
            <v>NO</v>
          </cell>
          <cell r="BZ46" t="str">
            <v xml:space="preserve">  + Production</v>
          </cell>
          <cell r="CA46" t="str">
            <v>OIL_PROD_CANADA</v>
          </cell>
          <cell r="CB46"/>
          <cell r="CC46" t="str">
            <v>NO</v>
          </cell>
          <cell r="CD46" t="str">
            <v xml:space="preserve">  Canada</v>
          </cell>
          <cell r="CE46" t="str">
            <v>LABEL</v>
          </cell>
          <cell r="CF46"/>
          <cell r="CG46" t="str">
            <v>NO</v>
          </cell>
          <cell r="CJ46"/>
          <cell r="CK46" t="str">
            <v>BOLD</v>
          </cell>
          <cell r="CL46" t="str">
            <v>Gypsum Volumes/Shipments</v>
          </cell>
          <cell r="CM46" t="str">
            <v>GYPSUM_VOLUMES_SHIPMENTS</v>
          </cell>
          <cell r="CN46"/>
          <cell r="CO46" t="str">
            <v>BOLD</v>
          </cell>
          <cell r="CP46" t="str">
            <v>Mining - Copper Treatment/Refining Charge</v>
          </cell>
          <cell r="CQ46" t="str">
            <v>MINING_COPPER_TRTMT_REF_CH</v>
          </cell>
          <cell r="CR46"/>
          <cell r="CS46" t="str">
            <v>BOLD</v>
          </cell>
          <cell r="CV46"/>
          <cell r="CW46" t="str">
            <v>BOLD</v>
          </cell>
          <cell r="CZ46"/>
          <cell r="DA46" t="str">
            <v>BOLD</v>
          </cell>
          <cell r="DD46"/>
          <cell r="DE46" t="str">
            <v>BOLD</v>
          </cell>
          <cell r="DH46"/>
          <cell r="DI46" t="str">
            <v>BOLD</v>
          </cell>
          <cell r="DL46"/>
          <cell r="DM46" t="str">
            <v>BOLD</v>
          </cell>
          <cell r="DP46"/>
          <cell r="DQ46" t="str">
            <v>BOLD</v>
          </cell>
          <cell r="DR46" t="str">
            <v xml:space="preserve">  Self Pay Revenue Percentage</v>
          </cell>
          <cell r="DS46" t="str">
            <v>SELF_PAY_REVENUE_%</v>
          </cell>
          <cell r="DT46"/>
          <cell r="DU46" t="str">
            <v>NO</v>
          </cell>
          <cell r="DX46"/>
          <cell r="DY46" t="str">
            <v>BOLD</v>
          </cell>
          <cell r="EB46"/>
          <cell r="EC46" t="str">
            <v>BOLD</v>
          </cell>
          <cell r="EF46"/>
          <cell r="EG46" t="str">
            <v>BOLD</v>
          </cell>
          <cell r="EJ46"/>
          <cell r="EK46" t="str">
            <v>BOLD</v>
          </cell>
          <cell r="EL46" t="str">
            <v xml:space="preserve">  Total Freight Cars Owned or Leased</v>
          </cell>
          <cell r="EM46" t="str">
            <v>RAIL_TOTAL_FREIGHT_CARS</v>
          </cell>
          <cell r="EN46"/>
          <cell r="EO46" t="str">
            <v>NO</v>
          </cell>
          <cell r="ER46"/>
          <cell r="ES46" t="str">
            <v>BOLD</v>
          </cell>
          <cell r="EV46"/>
          <cell r="EW46" t="str">
            <v>BOLD</v>
          </cell>
          <cell r="EX46" t="str">
            <v>Capex to Sales (%)</v>
          </cell>
          <cell r="EY46" t="str">
            <v>CAP_EXPEND_TO_SALES</v>
          </cell>
          <cell r="EZ46"/>
          <cell r="FA46" t="str">
            <v>BOLD</v>
          </cell>
          <cell r="FD46"/>
          <cell r="FE46" t="str">
            <v>BOLD</v>
          </cell>
          <cell r="FF46" t="str">
            <v>Wireline</v>
          </cell>
          <cell r="FG46" t="str">
            <v>LABEL</v>
          </cell>
          <cell r="FH46"/>
          <cell r="FI46" t="str">
            <v>BOLD</v>
          </cell>
          <cell r="FL46"/>
          <cell r="FM46" t="str">
            <v>BOLD</v>
          </cell>
          <cell r="FN46" t="str">
            <v xml:space="preserve">  Regional Operating Costs</v>
          </cell>
          <cell r="FO46" t="str">
            <v>REGIONAL_OPERATING_COSTS</v>
          </cell>
          <cell r="FP46"/>
          <cell r="FQ46" t="str">
            <v>NO</v>
          </cell>
          <cell r="FT46"/>
          <cell r="FU46" t="str">
            <v>BOLD</v>
          </cell>
          <cell r="FX46"/>
          <cell r="FY46" t="str">
            <v>BOLD</v>
          </cell>
          <cell r="GB46"/>
          <cell r="GC46" t="str">
            <v>BOLD</v>
          </cell>
          <cell r="GF46"/>
          <cell r="GG46" t="str">
            <v>BOLD</v>
          </cell>
          <cell r="GJ46"/>
          <cell r="GK46" t="str">
            <v>BOLD</v>
          </cell>
          <cell r="GN46"/>
          <cell r="GO46" t="str">
            <v>BOLD</v>
          </cell>
          <cell r="GR46"/>
          <cell r="GS46" t="str">
            <v>BOLD</v>
          </cell>
          <cell r="GT46" t="str">
            <v xml:space="preserve">  + Locations Opened/Acquired</v>
          </cell>
          <cell r="GU46" t="str">
            <v>NUM_HOTEL_LOCATIONS_OPENED_ACQRD</v>
          </cell>
          <cell r="GV46"/>
          <cell r="GW46" t="str">
            <v>NO</v>
          </cell>
          <cell r="GZ46"/>
          <cell r="HA46" t="str">
            <v>BOLD</v>
          </cell>
          <cell r="HB46" t="str">
            <v>Minimum - Global Equity Investments %</v>
          </cell>
          <cell r="HC46" t="str">
            <v>AST_ALLOC_MIN_GLOB_EQTY_INVEST_%</v>
          </cell>
          <cell r="HD46"/>
          <cell r="HE46" t="str">
            <v>BOLD</v>
          </cell>
          <cell r="HH46"/>
          <cell r="HI46" t="str">
            <v>BOLD</v>
          </cell>
          <cell r="HL46"/>
          <cell r="HM46" t="str">
            <v>BOLD</v>
          </cell>
          <cell r="HP46"/>
          <cell r="HQ46" t="str">
            <v>BOLD</v>
          </cell>
          <cell r="HT46"/>
          <cell r="HU46" t="str">
            <v>BOLD</v>
          </cell>
          <cell r="HV46" t="str">
            <v>Prov Loan Losses/Total Loans</v>
          </cell>
          <cell r="HW46" t="str">
            <v>PROV_FOR_LOAN_LOSS_TO_TOT_LOAN</v>
          </cell>
          <cell r="HX46"/>
          <cell r="HY46" t="str">
            <v>BOLD</v>
          </cell>
          <cell r="HZ46" t="str">
            <v>GSE Guar CMO and MBS AFS</v>
          </cell>
          <cell r="IA46" t="str">
            <v>BS_AFS_GSE_GTD_CMO_MBS</v>
          </cell>
          <cell r="IB46"/>
          <cell r="IC46" t="str">
            <v>BOLD</v>
          </cell>
          <cell r="IH46" t="str">
            <v>Tangible Common Equity</v>
          </cell>
          <cell r="II46" t="str">
            <v>LABEL</v>
          </cell>
          <cell r="IJ46"/>
          <cell r="IK46" t="str">
            <v>BOLD</v>
          </cell>
          <cell r="IP46" t="str">
            <v>Total Generation Capacity</v>
          </cell>
          <cell r="IQ46" t="str">
            <v>ELECTRICITY_GEN_CAPACITY_TOT_MW</v>
          </cell>
          <cell r="IR46"/>
          <cell r="IS46" t="str">
            <v>BOLD</v>
          </cell>
          <cell r="IX46" t="str">
            <v>Prov Loan Losses/Total Loans</v>
          </cell>
          <cell r="IY46" t="str">
            <v>PROV_FOR_LOAN_LOSS_TO_TOT_LOAN</v>
          </cell>
          <cell r="IZ46"/>
          <cell r="JA46" t="str">
            <v>BOLD</v>
          </cell>
          <cell r="JB46" t="str">
            <v>GSE Guar CMO and MBS AFS</v>
          </cell>
          <cell r="JC46" t="str">
            <v>BS_AFS_GSE_GTD_CMO_MBS</v>
          </cell>
          <cell r="JD46"/>
          <cell r="JE46" t="str">
            <v>BOLD</v>
          </cell>
          <cell r="JL46"/>
          <cell r="JM46" t="str">
            <v>BOLD</v>
          </cell>
        </row>
        <row r="47">
          <cell r="A47">
            <v>46</v>
          </cell>
          <cell r="D47"/>
          <cell r="E47" t="str">
            <v>BOLD</v>
          </cell>
          <cell r="F47" t="str">
            <v># of Active Accounts</v>
          </cell>
          <cell r="G47" t="str">
            <v>NUM_ACTIVE_ACCOUNTS</v>
          </cell>
          <cell r="H47"/>
          <cell r="I47" t="str">
            <v>BOLD</v>
          </cell>
          <cell r="P47"/>
          <cell r="Q47" t="str">
            <v>BOLD</v>
          </cell>
          <cell r="T47"/>
          <cell r="U47" t="str">
            <v>BOLD</v>
          </cell>
          <cell r="X47"/>
          <cell r="Y47" t="str">
            <v>BOLD</v>
          </cell>
          <cell r="AB47"/>
          <cell r="AC47" t="str">
            <v>BOLD</v>
          </cell>
          <cell r="AD47" t="str">
            <v>Lead ($/lb)</v>
          </cell>
          <cell r="AE47" t="str">
            <v>MINING_LEAD_TOTAL_CASH_COSTS</v>
          </cell>
          <cell r="AF47"/>
          <cell r="AG47" t="str">
            <v>BOLD</v>
          </cell>
          <cell r="AH47" t="str">
            <v>Contained Tin (Tons)</v>
          </cell>
          <cell r="AI47" t="str">
            <v>MINING_P&amp;P_RSRVS_CONTAINED_TIN</v>
          </cell>
          <cell r="AJ47"/>
          <cell r="AK47" t="str">
            <v>BOLD</v>
          </cell>
          <cell r="AL47" t="str">
            <v>Uranium - Ore Volume (Tons)</v>
          </cell>
          <cell r="AM47" t="str">
            <v>MINING_M&amp;I_RES_URANIUM_VOLUME</v>
          </cell>
          <cell r="AN47"/>
          <cell r="AO47" t="str">
            <v>BOLD</v>
          </cell>
          <cell r="AR47"/>
          <cell r="AS47" t="str">
            <v>BOLD</v>
          </cell>
          <cell r="AV47"/>
          <cell r="AW47" t="str">
            <v>BOLD</v>
          </cell>
          <cell r="AZ47"/>
          <cell r="BA47" t="str">
            <v>BOLD</v>
          </cell>
          <cell r="BB47" t="str">
            <v xml:space="preserve">  - DD&amp;A</v>
          </cell>
          <cell r="BC47" t="str">
            <v>DD&amp;A_EUROPE</v>
          </cell>
          <cell r="BD47"/>
          <cell r="BE47" t="str">
            <v>NO</v>
          </cell>
          <cell r="BH47"/>
          <cell r="BI47" t="str">
            <v>BOLD</v>
          </cell>
          <cell r="BL47"/>
          <cell r="BM47" t="str">
            <v>BOLD</v>
          </cell>
          <cell r="BN47" t="str">
            <v xml:space="preserve">  Oil (MBBL/Day)</v>
          </cell>
          <cell r="BO47" t="str">
            <v>OIL_PRODUCTION_ASIA_PAC_MBBL_DY</v>
          </cell>
          <cell r="BP47"/>
          <cell r="BQ47" t="str">
            <v>NO</v>
          </cell>
          <cell r="BT47"/>
          <cell r="BU47" t="str">
            <v>BOLD</v>
          </cell>
          <cell r="BV47" t="str">
            <v xml:space="preserve">    + Production</v>
          </cell>
          <cell r="BW47" t="str">
            <v>GAS_PRODUCTION_CANADA</v>
          </cell>
          <cell r="BX47"/>
          <cell r="BY47" t="str">
            <v>NO</v>
          </cell>
          <cell r="BZ47" t="str">
            <v xml:space="preserve">  + Other</v>
          </cell>
          <cell r="CA47" t="str">
            <v>OIL_OTHER_CHANGES_CANADA</v>
          </cell>
          <cell r="CB47"/>
          <cell r="CC47" t="str">
            <v>NO</v>
          </cell>
          <cell r="CD47" t="str">
            <v xml:space="preserve">    Start of Year</v>
          </cell>
          <cell r="CE47" t="str">
            <v>BOE_START_YEAR_CANADA</v>
          </cell>
          <cell r="CF47"/>
          <cell r="CG47" t="str">
            <v>NO</v>
          </cell>
          <cell r="CH47" t="str">
            <v>Net Acreage</v>
          </cell>
          <cell r="CI47" t="str">
            <v>LABEL</v>
          </cell>
          <cell r="CJ47"/>
          <cell r="CK47" t="str">
            <v>BOLD</v>
          </cell>
          <cell r="CL47" t="str">
            <v xml:space="preserve">  Gypsum Volume Growth Ratio</v>
          </cell>
          <cell r="CM47" t="str">
            <v>GYPSUM_VOLUME_GROWTH_RATIO</v>
          </cell>
          <cell r="CN47"/>
          <cell r="CO47" t="str">
            <v>NO</v>
          </cell>
          <cell r="CP47" t="str">
            <v>Mining - Copper Mined Production</v>
          </cell>
          <cell r="CQ47" t="str">
            <v>MINING_COPPER_PRODUCTION_ACTUAL</v>
          </cell>
          <cell r="CR47"/>
          <cell r="CS47" t="str">
            <v>BOLD</v>
          </cell>
          <cell r="CV47"/>
          <cell r="CW47" t="str">
            <v>BOLD</v>
          </cell>
          <cell r="CZ47"/>
          <cell r="DA47" t="str">
            <v>BOLD</v>
          </cell>
          <cell r="DD47"/>
          <cell r="DE47" t="str">
            <v>BOLD</v>
          </cell>
          <cell r="DH47"/>
          <cell r="DI47" t="str">
            <v>BOLD</v>
          </cell>
          <cell r="DL47"/>
          <cell r="DM47" t="str">
            <v>BOLD</v>
          </cell>
          <cell r="DP47"/>
          <cell r="DQ47" t="str">
            <v>BOLD</v>
          </cell>
          <cell r="DT47"/>
          <cell r="DU47" t="str">
            <v>BOLD</v>
          </cell>
          <cell r="DX47"/>
          <cell r="DY47" t="str">
            <v>BOLD</v>
          </cell>
          <cell r="EB47"/>
          <cell r="EC47" t="str">
            <v>BOLD</v>
          </cell>
          <cell r="EF47"/>
          <cell r="EG47" t="str">
            <v>BOLD</v>
          </cell>
          <cell r="EJ47"/>
          <cell r="EK47" t="str">
            <v>BOLD</v>
          </cell>
          <cell r="EL47" t="str">
            <v xml:space="preserve">  Total Locomotives Owned or Leased</v>
          </cell>
          <cell r="EM47" t="str">
            <v>TOTAL_LOCOMOTIVES</v>
          </cell>
          <cell r="EN47"/>
          <cell r="EO47" t="str">
            <v>NO</v>
          </cell>
          <cell r="ER47"/>
          <cell r="ES47" t="str">
            <v>BOLD</v>
          </cell>
          <cell r="EV47"/>
          <cell r="EW47" t="str">
            <v>BOLD</v>
          </cell>
          <cell r="EZ47"/>
          <cell r="FA47" t="str">
            <v>BOLD</v>
          </cell>
          <cell r="FD47"/>
          <cell r="FE47" t="str">
            <v>BOLD</v>
          </cell>
          <cell r="FF47" t="str">
            <v>Revenues</v>
          </cell>
          <cell r="FG47" t="str">
            <v>LABEL</v>
          </cell>
          <cell r="FH47"/>
          <cell r="FI47" t="str">
            <v>BOLD</v>
          </cell>
          <cell r="FL47"/>
          <cell r="FM47" t="str">
            <v>BOLD</v>
          </cell>
          <cell r="FP47"/>
          <cell r="FQ47" t="str">
            <v>BOLD</v>
          </cell>
          <cell r="FT47"/>
          <cell r="FU47" t="str">
            <v>BOLD</v>
          </cell>
          <cell r="FV47" t="str">
            <v>Total Passenger Vehicles Sold</v>
          </cell>
          <cell r="FW47" t="str">
            <v>AUTO_TOTAL_PASS_VEHICLES_SOLD</v>
          </cell>
          <cell r="FX47"/>
          <cell r="FY47" t="str">
            <v>BOLD</v>
          </cell>
          <cell r="GB47"/>
          <cell r="GC47" t="str">
            <v>BOLD</v>
          </cell>
          <cell r="GF47"/>
          <cell r="GG47" t="str">
            <v>BOLD</v>
          </cell>
          <cell r="GJ47"/>
          <cell r="GK47" t="str">
            <v>BOLD</v>
          </cell>
          <cell r="GN47"/>
          <cell r="GO47" t="str">
            <v>BOLD</v>
          </cell>
          <cell r="GR47"/>
          <cell r="GS47" t="str">
            <v>BOLD</v>
          </cell>
          <cell r="GT47" t="str">
            <v xml:space="preserve">  - Locations Closed/Sold</v>
          </cell>
          <cell r="GU47" t="str">
            <v>NUM_HOTEL_LOCATIONS_CLOSED_SOLD</v>
          </cell>
          <cell r="GV47"/>
          <cell r="GW47" t="str">
            <v>NO</v>
          </cell>
          <cell r="GZ47"/>
          <cell r="HA47" t="str">
            <v>BOLD</v>
          </cell>
          <cell r="HB47" t="str">
            <v>Maximum - Global Equity Investments %</v>
          </cell>
          <cell r="HC47" t="str">
            <v>AST_ALLOC_MAX_GLOB_EQTY_INVEST_%</v>
          </cell>
          <cell r="HD47"/>
          <cell r="HE47" t="str">
            <v>BOLD</v>
          </cell>
          <cell r="HH47"/>
          <cell r="HI47" t="str">
            <v>BOLD</v>
          </cell>
          <cell r="HL47"/>
          <cell r="HM47" t="str">
            <v>BOLD</v>
          </cell>
          <cell r="HP47"/>
          <cell r="HQ47" t="str">
            <v>BOLD</v>
          </cell>
          <cell r="HT47"/>
          <cell r="HU47" t="str">
            <v>BOLD</v>
          </cell>
          <cell r="HV47" t="str">
            <v>Provision for Loan Losses</v>
          </cell>
          <cell r="HW47" t="str">
            <v>IS_PROV_FOR_LOAN_LOSS</v>
          </cell>
          <cell r="HX47"/>
          <cell r="HY47" t="str">
            <v>BOLD</v>
          </cell>
          <cell r="HZ47" t="str">
            <v>GSE Guar CMO and MBS HTM</v>
          </cell>
          <cell r="IA47" t="str">
            <v>BS_HTM_GSE_GTD_CMO_MBS</v>
          </cell>
          <cell r="IB47"/>
          <cell r="IC47" t="str">
            <v>BOLD</v>
          </cell>
          <cell r="IH47" t="str">
            <v>Total Common Equity</v>
          </cell>
          <cell r="II47" t="str">
            <v>TOT_COMMON_EQY</v>
          </cell>
          <cell r="IJ47"/>
          <cell r="IK47" t="str">
            <v>BOLD</v>
          </cell>
          <cell r="IR47"/>
          <cell r="IS47" t="str">
            <v>BOLD</v>
          </cell>
          <cell r="IX47" t="str">
            <v>Provision for Loan Losses</v>
          </cell>
          <cell r="IY47" t="str">
            <v>IS_PROV_FOR_LOAN_LOSS</v>
          </cell>
          <cell r="IZ47"/>
          <cell r="JA47" t="str">
            <v>BOLD</v>
          </cell>
          <cell r="JB47" t="str">
            <v>GSE Guar CMO and MBS HTM</v>
          </cell>
          <cell r="JC47" t="str">
            <v>BS_HTM_GSE_GTD_CMO_MBS</v>
          </cell>
          <cell r="JD47"/>
          <cell r="JE47" t="str">
            <v>BOLD</v>
          </cell>
          <cell r="JL47"/>
          <cell r="JM47" t="str">
            <v>BOLD</v>
          </cell>
        </row>
        <row r="48">
          <cell r="A48">
            <v>47</v>
          </cell>
          <cell r="D48"/>
          <cell r="E48" t="str">
            <v>BOLD</v>
          </cell>
          <cell r="F48" t="str">
            <v>Avg # of Active Accounts</v>
          </cell>
          <cell r="G48" t="str">
            <v>AVG_NUM_ACTIVE_ACCOUNTS</v>
          </cell>
          <cell r="H48"/>
          <cell r="I48" t="str">
            <v>BOLD</v>
          </cell>
          <cell r="P48"/>
          <cell r="Q48" t="str">
            <v>BOLD</v>
          </cell>
          <cell r="T48"/>
          <cell r="U48" t="str">
            <v>BOLD</v>
          </cell>
          <cell r="X48"/>
          <cell r="Y48" t="str">
            <v>BOLD</v>
          </cell>
          <cell r="AB48"/>
          <cell r="AC48" t="str">
            <v>BOLD</v>
          </cell>
          <cell r="AD48" t="str">
            <v>Manganese ($/lb)</v>
          </cell>
          <cell r="AE48" t="str">
            <v>MINING_MANGANESE_TOTAL_CASH_COST</v>
          </cell>
          <cell r="AF48"/>
          <cell r="AG48" t="str">
            <v>BOLD</v>
          </cell>
          <cell r="AH48" t="str">
            <v>Uranium - Ore Volume (Tons)</v>
          </cell>
          <cell r="AI48" t="str">
            <v>MINING_P&amp;P_RSRVS_URANIUM_VOLUME</v>
          </cell>
          <cell r="AJ48"/>
          <cell r="AK48" t="str">
            <v>BOLD</v>
          </cell>
          <cell r="AL48" t="str">
            <v>Uranium - Grade (%)</v>
          </cell>
          <cell r="AM48" t="str">
            <v>MINING_M&amp;I_RES_URANIUM_GRADE</v>
          </cell>
          <cell r="AN48"/>
          <cell r="AO48" t="str">
            <v>BOLD</v>
          </cell>
          <cell r="AR48"/>
          <cell r="AS48" t="str">
            <v>BOLD</v>
          </cell>
          <cell r="AV48"/>
          <cell r="AW48" t="str">
            <v>BOLD</v>
          </cell>
          <cell r="AZ48"/>
          <cell r="BA48" t="str">
            <v>BOLD</v>
          </cell>
          <cell r="BB48" t="str">
            <v xml:space="preserve">  - Other Expenses</v>
          </cell>
          <cell r="BC48" t="str">
            <v>OTHER_E&amp;P_EXPENSES_EUROPE</v>
          </cell>
          <cell r="BD48"/>
          <cell r="BE48" t="str">
            <v>NO</v>
          </cell>
          <cell r="BH48"/>
          <cell r="BI48" t="str">
            <v>BOLD</v>
          </cell>
          <cell r="BL48"/>
          <cell r="BM48" t="str">
            <v>BOLD</v>
          </cell>
          <cell r="BN48" t="str">
            <v xml:space="preserve">  Gas (MMCF/Day)</v>
          </cell>
          <cell r="BO48" t="str">
            <v>GAS_PRODUCTION_ASIA_PAC_MMCF_DY</v>
          </cell>
          <cell r="BP48"/>
          <cell r="BQ48" t="str">
            <v>NO</v>
          </cell>
          <cell r="BT48"/>
          <cell r="BU48" t="str">
            <v>BOLD</v>
          </cell>
          <cell r="BV48" t="str">
            <v xml:space="preserve">    + Other</v>
          </cell>
          <cell r="BW48" t="str">
            <v>GAS_OTHER_CHANGES_CANADA</v>
          </cell>
          <cell r="BX48"/>
          <cell r="BY48" t="str">
            <v>NO</v>
          </cell>
          <cell r="BZ48" t="str">
            <v xml:space="preserve">  End of year</v>
          </cell>
          <cell r="CA48" t="str">
            <v>OIL_RESERVES_END_YEAR_CANADA</v>
          </cell>
          <cell r="CB48"/>
          <cell r="CC48" t="str">
            <v>NO</v>
          </cell>
          <cell r="CD48" t="str">
            <v xml:space="preserve">    + Revisions</v>
          </cell>
          <cell r="CE48" t="str">
            <v>BOE_REVISIONS_CANADA</v>
          </cell>
          <cell r="CF48"/>
          <cell r="CG48" t="str">
            <v>NO</v>
          </cell>
          <cell r="CH48" t="str">
            <v>Developed Acreage per Share</v>
          </cell>
          <cell r="CI48" t="str">
            <v>DEVELOPED_ACREAGE_PER_SHARE</v>
          </cell>
          <cell r="CJ48"/>
          <cell r="CK48" t="str">
            <v>BOLD</v>
          </cell>
          <cell r="CL48" t="str">
            <v>Gypsum Price</v>
          </cell>
          <cell r="CM48" t="str">
            <v>GYPSUM_PRICE</v>
          </cell>
          <cell r="CN48"/>
          <cell r="CO48" t="str">
            <v>BOLD</v>
          </cell>
          <cell r="CP48" t="str">
            <v>Mining - Copper Sales</v>
          </cell>
          <cell r="CQ48" t="str">
            <v>MINING_COPPER_SOLD</v>
          </cell>
          <cell r="CR48"/>
          <cell r="CS48" t="str">
            <v>BOLD</v>
          </cell>
          <cell r="CV48"/>
          <cell r="CW48" t="str">
            <v>BOLD</v>
          </cell>
          <cell r="CZ48"/>
          <cell r="DA48" t="str">
            <v>BOLD</v>
          </cell>
          <cell r="DD48"/>
          <cell r="DE48" t="str">
            <v>BOLD</v>
          </cell>
          <cell r="DH48"/>
          <cell r="DI48" t="str">
            <v>BOLD</v>
          </cell>
          <cell r="DL48"/>
          <cell r="DM48" t="str">
            <v>BOLD</v>
          </cell>
          <cell r="DP48"/>
          <cell r="DQ48" t="str">
            <v>BOLD</v>
          </cell>
          <cell r="DR48" t="str">
            <v>Revenue Data</v>
          </cell>
          <cell r="DS48" t="str">
            <v>LABEL</v>
          </cell>
          <cell r="DT48"/>
          <cell r="DU48" t="str">
            <v>BOLD</v>
          </cell>
          <cell r="DX48"/>
          <cell r="DY48" t="str">
            <v>BOLD</v>
          </cell>
          <cell r="EB48"/>
          <cell r="EC48" t="str">
            <v>BOLD</v>
          </cell>
          <cell r="EF48"/>
          <cell r="EG48" t="str">
            <v>BOLD</v>
          </cell>
          <cell r="EJ48"/>
          <cell r="EK48" t="str">
            <v>BOLD</v>
          </cell>
          <cell r="EL48" t="str">
            <v xml:space="preserve">  Owned Freight Cars</v>
          </cell>
          <cell r="EM48" t="str">
            <v>OWNED_FREIGHT_CARS</v>
          </cell>
          <cell r="EN48"/>
          <cell r="EO48" t="str">
            <v>NO</v>
          </cell>
          <cell r="ER48"/>
          <cell r="ES48" t="str">
            <v>BOLD</v>
          </cell>
          <cell r="EV48"/>
          <cell r="EW48" t="str">
            <v>BOLD</v>
          </cell>
          <cell r="EX48" t="str">
            <v>Turnover</v>
          </cell>
          <cell r="EY48" t="str">
            <v>LABEL</v>
          </cell>
          <cell r="EZ48"/>
          <cell r="FA48" t="str">
            <v>BOLD</v>
          </cell>
          <cell r="FD48"/>
          <cell r="FE48" t="str">
            <v>BOLD</v>
          </cell>
          <cell r="FF48" t="str">
            <v>Wireline Revenue</v>
          </cell>
          <cell r="FG48" t="str">
            <v>WIRELINE_REVENUE</v>
          </cell>
          <cell r="FH48"/>
          <cell r="FI48" t="str">
            <v>BOLD</v>
          </cell>
          <cell r="FL48"/>
          <cell r="FM48" t="str">
            <v>BOLD</v>
          </cell>
          <cell r="FN48" t="str">
            <v>Cost per Available Seat Mile/Km Ex-Fuel</v>
          </cell>
          <cell r="FO48" t="str">
            <v>CONS_COST_PER_ASM_EX_FUEL</v>
          </cell>
          <cell r="FP48"/>
          <cell r="FQ48" t="str">
            <v>BOLD</v>
          </cell>
          <cell r="FT48"/>
          <cell r="FU48" t="str">
            <v>BOLD</v>
          </cell>
          <cell r="FV48" t="str">
            <v>Total Light Commercial Vehicles Sold</v>
          </cell>
          <cell r="FW48" t="str">
            <v>AUTO_TOTAL_LIGHT_COMM_VEH_SOLD</v>
          </cell>
          <cell r="FX48"/>
          <cell r="FY48" t="str">
            <v>BOLD</v>
          </cell>
          <cell r="GB48"/>
          <cell r="GC48" t="str">
            <v>BOLD</v>
          </cell>
          <cell r="GF48"/>
          <cell r="GG48" t="str">
            <v>BOLD</v>
          </cell>
          <cell r="GJ48"/>
          <cell r="GK48" t="str">
            <v>BOLD</v>
          </cell>
          <cell r="GN48"/>
          <cell r="GO48" t="str">
            <v>BOLD</v>
          </cell>
          <cell r="GR48"/>
          <cell r="GS48" t="str">
            <v>BOLD</v>
          </cell>
          <cell r="GT48" t="str">
            <v>Number of Locations (End)</v>
          </cell>
          <cell r="GU48" t="str">
            <v>NUM_HOTEL_LOCATIONS_END</v>
          </cell>
          <cell r="GV48"/>
          <cell r="GW48" t="str">
            <v>BOLD</v>
          </cell>
          <cell r="GZ48"/>
          <cell r="HA48" t="str">
            <v>BOLD</v>
          </cell>
          <cell r="HB48" t="str">
            <v>Minimum - Global Fixed Income %</v>
          </cell>
          <cell r="HC48" t="str">
            <v>ASSET_ALLOCATION_MIN_GLOBAL_FI_%</v>
          </cell>
          <cell r="HD48"/>
          <cell r="HE48" t="str">
            <v>BOLD</v>
          </cell>
          <cell r="HH48"/>
          <cell r="HI48" t="str">
            <v>BOLD</v>
          </cell>
          <cell r="HL48"/>
          <cell r="HM48" t="str">
            <v>BOLD</v>
          </cell>
          <cell r="HP48"/>
          <cell r="HQ48" t="str">
            <v>BOLD</v>
          </cell>
          <cell r="HT48"/>
          <cell r="HU48" t="str">
            <v>BOLD</v>
          </cell>
          <cell r="HV48" t="str">
            <v>Actual Loan Losses (Net)</v>
          </cell>
          <cell r="HW48" t="str">
            <v>IS_ACT_LOAN_LOSS_NET</v>
          </cell>
          <cell r="HX48"/>
          <cell r="HY48" t="str">
            <v>BOLD</v>
          </cell>
          <cell r="HZ48" t="str">
            <v>Non-GSE Guar CMO and MBS AFS</v>
          </cell>
          <cell r="IA48" t="str">
            <v>BS_AFS_NON_GSE_GTD_CMO_MBS</v>
          </cell>
          <cell r="IB48"/>
          <cell r="IC48" t="str">
            <v>BOLD</v>
          </cell>
          <cell r="IH48" t="str">
            <v>Disclosed Intangibles</v>
          </cell>
          <cell r="II48" t="str">
            <v>BS_DISCLOSED_INTANGIBLES</v>
          </cell>
          <cell r="IJ48"/>
          <cell r="IK48" t="str">
            <v>BOLD</v>
          </cell>
          <cell r="IP48" t="str">
            <v>Electricity Sources</v>
          </cell>
          <cell r="IQ48" t="str">
            <v>LABEL</v>
          </cell>
          <cell r="IR48"/>
          <cell r="IS48" t="str">
            <v>BOLD</v>
          </cell>
          <cell r="IX48" t="str">
            <v>Actual Loan Losses (Net)</v>
          </cell>
          <cell r="IY48" t="str">
            <v>IS_ACT_LOAN_LOSS_NET</v>
          </cell>
          <cell r="IZ48"/>
          <cell r="JA48" t="str">
            <v>BOLD</v>
          </cell>
          <cell r="JB48" t="str">
            <v>Non-GSE Guar CMO and MBS AFS</v>
          </cell>
          <cell r="JC48" t="str">
            <v>BS_AFS_NON_GSE_GTD_CMO_MBS</v>
          </cell>
          <cell r="JD48"/>
          <cell r="JE48" t="str">
            <v>BOLD</v>
          </cell>
          <cell r="JL48"/>
          <cell r="JM48" t="str">
            <v>BOLD</v>
          </cell>
        </row>
        <row r="49">
          <cell r="A49">
            <v>48</v>
          </cell>
          <cell r="D49"/>
          <cell r="E49" t="str">
            <v>BOLD</v>
          </cell>
          <cell r="F49" t="str">
            <v>New Accounts</v>
          </cell>
          <cell r="G49" t="str">
            <v>NEW_ACCOUNTS</v>
          </cell>
          <cell r="H49"/>
          <cell r="I49" t="str">
            <v>BOLD</v>
          </cell>
          <cell r="P49"/>
          <cell r="Q49" t="str">
            <v>BOLD</v>
          </cell>
          <cell r="T49"/>
          <cell r="U49" t="str">
            <v>BOLD</v>
          </cell>
          <cell r="X49"/>
          <cell r="Y49" t="str">
            <v>BOLD</v>
          </cell>
          <cell r="AB49"/>
          <cell r="AC49" t="str">
            <v>BOLD</v>
          </cell>
          <cell r="AD49" t="str">
            <v>Molybdenum ($/lb)</v>
          </cell>
          <cell r="AE49" t="str">
            <v>MINING_MOLYBDENUM_TOT_CASH_COSTS</v>
          </cell>
          <cell r="AF49"/>
          <cell r="AG49" t="str">
            <v>BOLD</v>
          </cell>
          <cell r="AH49" t="str">
            <v>Uranium - Grade (%)</v>
          </cell>
          <cell r="AI49" t="str">
            <v>MINING_P&amp;P_RSRVS_URANIUM_GRADE</v>
          </cell>
          <cell r="AJ49"/>
          <cell r="AK49" t="str">
            <v>BOLD</v>
          </cell>
          <cell r="AL49" t="str">
            <v>Contained Uranium (Tons)</v>
          </cell>
          <cell r="AM49" t="str">
            <v>MINING_M&amp;I_RES_CONTAINED_URANIUM</v>
          </cell>
          <cell r="AN49"/>
          <cell r="AO49" t="str">
            <v>BOLD</v>
          </cell>
          <cell r="AR49"/>
          <cell r="AS49" t="str">
            <v>BOLD</v>
          </cell>
          <cell r="AV49"/>
          <cell r="AW49" t="str">
            <v>BOLD</v>
          </cell>
          <cell r="AZ49"/>
          <cell r="BA49" t="str">
            <v>BOLD</v>
          </cell>
          <cell r="BB49" t="str">
            <v xml:space="preserve">  - Income Tax</v>
          </cell>
          <cell r="BC49" t="str">
            <v>INCOME_TAX_EUROPE</v>
          </cell>
          <cell r="BD49"/>
          <cell r="BE49" t="str">
            <v>NO</v>
          </cell>
          <cell r="BH49"/>
          <cell r="BI49" t="str">
            <v>BOLD</v>
          </cell>
          <cell r="BL49"/>
          <cell r="BM49" t="str">
            <v>BOLD</v>
          </cell>
          <cell r="BN49" t="str">
            <v xml:space="preserve">  NGL (MBBL/Day)</v>
          </cell>
          <cell r="BO49" t="str">
            <v>NGL_PRODUCTION_ASIA_PAC_MBBL_DY</v>
          </cell>
          <cell r="BP49"/>
          <cell r="BQ49" t="str">
            <v>NO</v>
          </cell>
          <cell r="BT49"/>
          <cell r="BU49" t="str">
            <v>BOLD</v>
          </cell>
          <cell r="BV49" t="str">
            <v xml:space="preserve">    End of year</v>
          </cell>
          <cell r="BW49" t="str">
            <v>GAS_RESERVES_END_YR_CANADA</v>
          </cell>
          <cell r="BX49"/>
          <cell r="BY49" t="str">
            <v>NO</v>
          </cell>
          <cell r="BZ49" t="str">
            <v xml:space="preserve">  Developed Reserves</v>
          </cell>
          <cell r="CA49" t="str">
            <v>OIL_DEVELOPED_RESERVES_CANADA</v>
          </cell>
          <cell r="CB49"/>
          <cell r="CC49" t="str">
            <v>NO</v>
          </cell>
          <cell r="CD49" t="str">
            <v xml:space="preserve">    + Improved Recovery</v>
          </cell>
          <cell r="CE49" t="str">
            <v>BOE_IMPROV_REC_CANADA</v>
          </cell>
          <cell r="CF49"/>
          <cell r="CG49" t="str">
            <v>NO</v>
          </cell>
          <cell r="CH49" t="str">
            <v>Undeveloped Acreage per Share</v>
          </cell>
          <cell r="CI49" t="str">
            <v>UNDEVELOPED_ACREAGE_PER_SHARE</v>
          </cell>
          <cell r="CJ49"/>
          <cell r="CK49" t="str">
            <v>BOLD</v>
          </cell>
          <cell r="CL49" t="str">
            <v xml:space="preserve">  Gypsum Price Growth Ratio</v>
          </cell>
          <cell r="CM49" t="str">
            <v>GYPSUM_PRICE_GROWTH_RATIO</v>
          </cell>
          <cell r="CN49"/>
          <cell r="CO49" t="str">
            <v>NO</v>
          </cell>
          <cell r="CP49" t="str">
            <v>Mining - Alumina Capacity</v>
          </cell>
          <cell r="CQ49" t="str">
            <v>MINING_ALUMINA_CAPACITY</v>
          </cell>
          <cell r="CR49"/>
          <cell r="CS49" t="str">
            <v>BOLD</v>
          </cell>
          <cell r="CV49"/>
          <cell r="CW49" t="str">
            <v>BOLD</v>
          </cell>
          <cell r="CZ49"/>
          <cell r="DA49" t="str">
            <v>BOLD</v>
          </cell>
          <cell r="DD49"/>
          <cell r="DE49" t="str">
            <v>BOLD</v>
          </cell>
          <cell r="DH49"/>
          <cell r="DI49" t="str">
            <v>BOLD</v>
          </cell>
          <cell r="DL49"/>
          <cell r="DM49" t="str">
            <v>BOLD</v>
          </cell>
          <cell r="DP49"/>
          <cell r="DQ49" t="str">
            <v>BOLD</v>
          </cell>
          <cell r="DR49" t="str">
            <v xml:space="preserve">  Inpatient Revenue</v>
          </cell>
          <cell r="DS49" t="str">
            <v>INPATIENT_REVENUE</v>
          </cell>
          <cell r="DT49"/>
          <cell r="DU49" t="str">
            <v>NO</v>
          </cell>
          <cell r="DX49"/>
          <cell r="DY49" t="str">
            <v>BOLD</v>
          </cell>
          <cell r="EB49"/>
          <cell r="EC49" t="str">
            <v>BOLD</v>
          </cell>
          <cell r="EF49"/>
          <cell r="EG49" t="str">
            <v>BOLD</v>
          </cell>
          <cell r="EJ49"/>
          <cell r="EK49" t="str">
            <v>BOLD</v>
          </cell>
          <cell r="EL49" t="str">
            <v xml:space="preserve">  Owned Locomotives</v>
          </cell>
          <cell r="EM49" t="str">
            <v>OWNED_LOCOMOTIVES</v>
          </cell>
          <cell r="EN49"/>
          <cell r="EO49" t="str">
            <v>NO</v>
          </cell>
          <cell r="ER49"/>
          <cell r="ES49" t="str">
            <v>BOLD</v>
          </cell>
          <cell r="EV49"/>
          <cell r="EW49" t="str">
            <v>BOLD</v>
          </cell>
          <cell r="EX49" t="str">
            <v>Inv. turnover</v>
          </cell>
          <cell r="EY49" t="str">
            <v>INVENT_TURN</v>
          </cell>
          <cell r="EZ49"/>
          <cell r="FA49" t="str">
            <v>BOLD</v>
          </cell>
          <cell r="FD49"/>
          <cell r="FE49" t="str">
            <v>BOLD</v>
          </cell>
          <cell r="FF49" t="str">
            <v>Wireline Voice Revenue</v>
          </cell>
          <cell r="FG49" t="str">
            <v>WIRELINE_VOICE_REVENUE</v>
          </cell>
          <cell r="FH49"/>
          <cell r="FI49" t="str">
            <v>BOLD</v>
          </cell>
          <cell r="FL49"/>
          <cell r="FM49" t="str">
            <v>BOLD</v>
          </cell>
          <cell r="FN49" t="str">
            <v xml:space="preserve">  Mainline Cost per Available Seat Mile/Km Ex-Fuel</v>
          </cell>
          <cell r="FO49" t="str">
            <v>MAINLINE_COST_PER_ASM_EX_FUEL</v>
          </cell>
          <cell r="FP49"/>
          <cell r="FQ49" t="str">
            <v>NO</v>
          </cell>
          <cell r="FT49"/>
          <cell r="FU49" t="str">
            <v>BOLD</v>
          </cell>
          <cell r="FV49" t="str">
            <v>Total Light Trucks Sold</v>
          </cell>
          <cell r="FW49" t="str">
            <v>AUTO_TOTAL_LIGHT_TRUCKS_SOLD</v>
          </cell>
          <cell r="FX49"/>
          <cell r="FY49" t="str">
            <v>BOLD</v>
          </cell>
          <cell r="GB49"/>
          <cell r="GC49" t="str">
            <v>BOLD</v>
          </cell>
          <cell r="GF49"/>
          <cell r="GG49" t="str">
            <v>BOLD</v>
          </cell>
          <cell r="GJ49"/>
          <cell r="GK49" t="str">
            <v>BOLD</v>
          </cell>
          <cell r="GN49"/>
          <cell r="GO49" t="str">
            <v>BOLD</v>
          </cell>
          <cell r="GR49"/>
          <cell r="GS49" t="str">
            <v>BOLD</v>
          </cell>
          <cell r="GT49" t="str">
            <v xml:space="preserve">    Company Owned Locations</v>
          </cell>
          <cell r="GU49" t="str">
            <v>HOTEL_COMPANY_OWNED_LOCATIONS</v>
          </cell>
          <cell r="GV49"/>
          <cell r="GW49" t="str">
            <v>NO</v>
          </cell>
          <cell r="GZ49"/>
          <cell r="HA49" t="str">
            <v>BOLD</v>
          </cell>
          <cell r="HB49" t="str">
            <v>Maximum - Global Fixed Income %</v>
          </cell>
          <cell r="HC49" t="str">
            <v>AST_ALLOCATION_MAXIMUM_GLOB_FI_%</v>
          </cell>
          <cell r="HD49"/>
          <cell r="HE49" t="str">
            <v>BOLD</v>
          </cell>
          <cell r="HH49"/>
          <cell r="HI49" t="str">
            <v>BOLD</v>
          </cell>
          <cell r="HL49"/>
          <cell r="HM49" t="str">
            <v>BOLD</v>
          </cell>
          <cell r="HP49"/>
          <cell r="HQ49" t="str">
            <v>BOLD</v>
          </cell>
          <cell r="HT49"/>
          <cell r="HU49" t="str">
            <v>BOLD</v>
          </cell>
          <cell r="HV49" t="str">
            <v>Trailing 12M Actual Loan Losses (Net)</v>
          </cell>
          <cell r="HW49" t="str">
            <v>TRAIL_12M_ACT_LOAN_LOSS_NET</v>
          </cell>
          <cell r="HX49"/>
          <cell r="HY49" t="str">
            <v>BOLD</v>
          </cell>
          <cell r="HZ49" t="str">
            <v>Non-GSE Guar CMO and MBS HTM</v>
          </cell>
          <cell r="IA49" t="str">
            <v>BS_HTM_NON_GSE_GTD_CMO_MBS</v>
          </cell>
          <cell r="IB49"/>
          <cell r="IC49" t="str">
            <v>BOLD</v>
          </cell>
          <cell r="IH49" t="str">
            <v>Tangible Common Equity</v>
          </cell>
          <cell r="II49" t="str">
            <v>TANGIBLE_COMMON_EQUITY</v>
          </cell>
          <cell r="IJ49"/>
          <cell r="IK49" t="str">
            <v>BOLD</v>
          </cell>
          <cell r="IP49" t="str">
            <v>Own Production</v>
          </cell>
          <cell r="IQ49" t="str">
            <v>TOTAL_POWER_GENERATED</v>
          </cell>
          <cell r="IR49"/>
          <cell r="IS49" t="str">
            <v>BOLD</v>
          </cell>
          <cell r="IX49" t="str">
            <v>Trailing 12M Actual Loan Losses (Net)</v>
          </cell>
          <cell r="IY49" t="str">
            <v>TRAIL_12M_ACT_LOAN_LOSS_NET</v>
          </cell>
          <cell r="IZ49"/>
          <cell r="JA49" t="str">
            <v>BOLD</v>
          </cell>
          <cell r="JB49" t="str">
            <v>Non-GSE Guar CMO and MBS HTM</v>
          </cell>
          <cell r="JC49" t="str">
            <v>BS_HTM_NON_GSE_GTD_CMO_MBS</v>
          </cell>
          <cell r="JD49"/>
          <cell r="JE49" t="str">
            <v>BOLD</v>
          </cell>
          <cell r="JL49"/>
          <cell r="JM49" t="str">
            <v>BOLD</v>
          </cell>
        </row>
        <row r="50">
          <cell r="A50">
            <v>49</v>
          </cell>
          <cell r="D50"/>
          <cell r="E50" t="str">
            <v>BOLD</v>
          </cell>
          <cell r="F50" t="str">
            <v>Net New Card Accounts</v>
          </cell>
          <cell r="G50" t="str">
            <v>NET_NEW_CARD_ACCOUNTS</v>
          </cell>
          <cell r="H50"/>
          <cell r="I50" t="str">
            <v>BOLD</v>
          </cell>
          <cell r="P50"/>
          <cell r="Q50" t="str">
            <v>BOLD</v>
          </cell>
          <cell r="T50"/>
          <cell r="U50" t="str">
            <v>BOLD</v>
          </cell>
          <cell r="X50"/>
          <cell r="Y50" t="str">
            <v>BOLD</v>
          </cell>
          <cell r="AB50"/>
          <cell r="AC50" t="str">
            <v>BOLD</v>
          </cell>
          <cell r="AD50" t="str">
            <v>Nickel ($/lb)</v>
          </cell>
          <cell r="AE50" t="str">
            <v>MINING_NICKEL_TOTAL_CASH_COSTS</v>
          </cell>
          <cell r="AF50"/>
          <cell r="AG50" t="str">
            <v>BOLD</v>
          </cell>
          <cell r="AH50" t="str">
            <v>Contained Uranium (Tons)</v>
          </cell>
          <cell r="AI50" t="str">
            <v>MINING_P&amp;P_RSRVS_CONTAIN_URANIUM</v>
          </cell>
          <cell r="AJ50"/>
          <cell r="AK50" t="str">
            <v>BOLD</v>
          </cell>
          <cell r="AL50" t="str">
            <v>Vanadium - Ore Volume (Tons)</v>
          </cell>
          <cell r="AM50" t="str">
            <v>MINING_M&amp;I_RES_VANADIUM_VOLUME</v>
          </cell>
          <cell r="AN50"/>
          <cell r="AO50" t="str">
            <v>BOLD</v>
          </cell>
          <cell r="AR50"/>
          <cell r="AS50" t="str">
            <v>BOLD</v>
          </cell>
          <cell r="AV50"/>
          <cell r="AW50" t="str">
            <v>BOLD</v>
          </cell>
          <cell r="AZ50"/>
          <cell r="BA50" t="str">
            <v>BOLD</v>
          </cell>
          <cell r="BB50" t="str">
            <v xml:space="preserve">  + Other Income</v>
          </cell>
          <cell r="BC50" t="str">
            <v>OTHER_E&amp;P_INCOME_EUROPE</v>
          </cell>
          <cell r="BD50"/>
          <cell r="BE50" t="str">
            <v>NO</v>
          </cell>
          <cell r="BH50"/>
          <cell r="BI50" t="str">
            <v>BOLD</v>
          </cell>
          <cell r="BL50"/>
          <cell r="BM50" t="str">
            <v>BOLD</v>
          </cell>
          <cell r="BN50" t="str">
            <v xml:space="preserve">  Total (MBOE/Day)</v>
          </cell>
          <cell r="BO50" t="str">
            <v>TOTAL_PRODUCTION_ASIA_PAC_MBOE_D</v>
          </cell>
          <cell r="BP50"/>
          <cell r="BQ50" t="str">
            <v>NO</v>
          </cell>
          <cell r="BT50"/>
          <cell r="BU50" t="str">
            <v>BOLD</v>
          </cell>
          <cell r="BV50" t="str">
            <v xml:space="preserve">    Developed Reserves</v>
          </cell>
          <cell r="BW50" t="str">
            <v>GAS_DEVEL_RESV_CANADA</v>
          </cell>
          <cell r="BX50"/>
          <cell r="BY50" t="str">
            <v>NO</v>
          </cell>
          <cell r="CB50"/>
          <cell r="CC50" t="str">
            <v>BOLD</v>
          </cell>
          <cell r="CD50" t="str">
            <v xml:space="preserve">    + Extensions &amp; Discoveries</v>
          </cell>
          <cell r="CE50" t="str">
            <v>BOE_EXTENS_DISCOV_CANADA</v>
          </cell>
          <cell r="CF50"/>
          <cell r="CG50" t="str">
            <v>NO</v>
          </cell>
          <cell r="CH50" t="str">
            <v>Developed Percentage of Undeveloped Acreage</v>
          </cell>
          <cell r="CI50" t="str">
            <v>DEVELOPED_%_UNDEVELOPED_ACREAGE</v>
          </cell>
          <cell r="CJ50"/>
          <cell r="CK50" t="str">
            <v>BOLD</v>
          </cell>
          <cell r="CL50" t="str">
            <v>Gypsum Reserves</v>
          </cell>
          <cell r="CM50" t="str">
            <v>GYPSUM_RESERVES</v>
          </cell>
          <cell r="CN50"/>
          <cell r="CO50" t="str">
            <v>BOLD</v>
          </cell>
          <cell r="CP50" t="str">
            <v>Mining - Alumina Production</v>
          </cell>
          <cell r="CQ50" t="str">
            <v>MINING_ALUMINA_PROD_ACT</v>
          </cell>
          <cell r="CR50"/>
          <cell r="CS50" t="str">
            <v>BOLD</v>
          </cell>
          <cell r="CV50"/>
          <cell r="CW50" t="str">
            <v>BOLD</v>
          </cell>
          <cell r="CZ50"/>
          <cell r="DA50" t="str">
            <v>BOLD</v>
          </cell>
          <cell r="DD50"/>
          <cell r="DE50" t="str">
            <v>BOLD</v>
          </cell>
          <cell r="DH50"/>
          <cell r="DI50" t="str">
            <v>BOLD</v>
          </cell>
          <cell r="DL50"/>
          <cell r="DM50" t="str">
            <v>BOLD</v>
          </cell>
          <cell r="DP50"/>
          <cell r="DQ50" t="str">
            <v>BOLD</v>
          </cell>
          <cell r="DR50" t="str">
            <v xml:space="preserve">  Outpatient Revenue</v>
          </cell>
          <cell r="DS50" t="str">
            <v>OUTPATIENT_REVENUE</v>
          </cell>
          <cell r="DT50"/>
          <cell r="DU50" t="str">
            <v>NO</v>
          </cell>
          <cell r="DX50"/>
          <cell r="DY50" t="str">
            <v>BOLD</v>
          </cell>
          <cell r="EB50"/>
          <cell r="EC50" t="str">
            <v>BOLD</v>
          </cell>
          <cell r="EF50"/>
          <cell r="EG50" t="str">
            <v>BOLD</v>
          </cell>
          <cell r="EJ50"/>
          <cell r="EK50" t="str">
            <v>BOLD</v>
          </cell>
          <cell r="EL50" t="str">
            <v xml:space="preserve">  Leased Freight Cars</v>
          </cell>
          <cell r="EM50" t="str">
            <v>LEASED_FREIGHT_CARS</v>
          </cell>
          <cell r="EN50"/>
          <cell r="EO50" t="str">
            <v>NO</v>
          </cell>
          <cell r="ER50"/>
          <cell r="ES50" t="str">
            <v>BOLD</v>
          </cell>
          <cell r="EV50"/>
          <cell r="EW50" t="str">
            <v>BOLD</v>
          </cell>
          <cell r="EX50" t="str">
            <v>A/R turnover</v>
          </cell>
          <cell r="EY50" t="str">
            <v>ACCT_RCV_TURN</v>
          </cell>
          <cell r="EZ50"/>
          <cell r="FA50" t="str">
            <v>BOLD</v>
          </cell>
          <cell r="FD50"/>
          <cell r="FE50" t="str">
            <v>BOLD</v>
          </cell>
          <cell r="FF50" t="str">
            <v>Internet/Data Revenue</v>
          </cell>
          <cell r="FG50" t="str">
            <v>INTERNET_DATA_REVENUE</v>
          </cell>
          <cell r="FH50"/>
          <cell r="FI50" t="str">
            <v>BOLD</v>
          </cell>
          <cell r="FL50"/>
          <cell r="FM50" t="str">
            <v>BOLD</v>
          </cell>
          <cell r="FN50" t="str">
            <v xml:space="preserve">  Regional Cost per Available Seat Mile/Km Ex-Fuel</v>
          </cell>
          <cell r="FO50" t="str">
            <v>REGIONAL_COST_PER_ASM_EX_FUEL</v>
          </cell>
          <cell r="FP50"/>
          <cell r="FQ50" t="str">
            <v>NO</v>
          </cell>
          <cell r="FT50"/>
          <cell r="FU50" t="str">
            <v>BOLD</v>
          </cell>
          <cell r="FX50"/>
          <cell r="FY50" t="str">
            <v>BOLD</v>
          </cell>
          <cell r="GB50"/>
          <cell r="GC50" t="str">
            <v>BOLD</v>
          </cell>
          <cell r="GF50"/>
          <cell r="GG50" t="str">
            <v>BOLD</v>
          </cell>
          <cell r="GJ50"/>
          <cell r="GK50" t="str">
            <v>BOLD</v>
          </cell>
          <cell r="GN50"/>
          <cell r="GO50" t="str">
            <v>BOLD</v>
          </cell>
          <cell r="GR50"/>
          <cell r="GS50" t="str">
            <v>BOLD</v>
          </cell>
          <cell r="GT50" t="str">
            <v xml:space="preserve">    Leased Locations</v>
          </cell>
          <cell r="GU50" t="str">
            <v>HOTEL_LEASED_LOCATIONS</v>
          </cell>
          <cell r="GV50"/>
          <cell r="GW50" t="str">
            <v>NO</v>
          </cell>
          <cell r="GZ50"/>
          <cell r="HA50" t="str">
            <v>BOLD</v>
          </cell>
          <cell r="HB50" t="str">
            <v>Minimum - Alternative Investments %</v>
          </cell>
          <cell r="HC50" t="str">
            <v>AST_ALLOCATION_MIN_ALT_INVEST_%</v>
          </cell>
          <cell r="HD50"/>
          <cell r="HE50" t="str">
            <v>BOLD</v>
          </cell>
          <cell r="HH50"/>
          <cell r="HI50" t="str">
            <v>BOLD</v>
          </cell>
          <cell r="HL50"/>
          <cell r="HM50" t="str">
            <v>BOLD</v>
          </cell>
          <cell r="HP50"/>
          <cell r="HQ50" t="str">
            <v>BOLD</v>
          </cell>
          <cell r="HT50"/>
          <cell r="HU50" t="str">
            <v>BOLD</v>
          </cell>
          <cell r="HV50" t="str">
            <v>Actual Loan Losses/Provisions</v>
          </cell>
          <cell r="HW50" t="str">
            <v>ACT_LOAN_LOSS_TO_PROV_LOAN_LOSS</v>
          </cell>
          <cell r="HX50"/>
          <cell r="HY50" t="str">
            <v>BOLD</v>
          </cell>
          <cell r="HZ50" t="str">
            <v>Asset Backed Securities AFS</v>
          </cell>
          <cell r="IA50" t="str">
            <v>BS_AFS_ABS</v>
          </cell>
          <cell r="IB50"/>
          <cell r="IC50" t="str">
            <v>BOLD</v>
          </cell>
          <cell r="IH50" t="str">
            <v>Total Assets</v>
          </cell>
          <cell r="II50" t="str">
            <v>BS_TOT_ASSET</v>
          </cell>
          <cell r="IJ50"/>
          <cell r="IK50" t="str">
            <v>BOLD</v>
          </cell>
          <cell r="IP50" t="str">
            <v>+ Hydro</v>
          </cell>
          <cell r="IQ50" t="str">
            <v>HYDRO_ENERGY_PRODUCTION</v>
          </cell>
          <cell r="IR50"/>
          <cell r="IS50" t="str">
            <v>BOLD</v>
          </cell>
          <cell r="IX50" t="str">
            <v>Actual Loan Losses/Provisions</v>
          </cell>
          <cell r="IY50" t="str">
            <v>ACT_LOAN_LOSS_TO_PROV_LOAN_LOSS</v>
          </cell>
          <cell r="IZ50"/>
          <cell r="JA50" t="str">
            <v>BOLD</v>
          </cell>
          <cell r="JB50" t="str">
            <v>Asset Backed Securities AFS</v>
          </cell>
          <cell r="JC50" t="str">
            <v>BS_AFS_ABS</v>
          </cell>
          <cell r="JD50"/>
          <cell r="JE50" t="str">
            <v>BOLD</v>
          </cell>
          <cell r="JL50"/>
          <cell r="JM50" t="str">
            <v>BOLD</v>
          </cell>
        </row>
        <row r="51">
          <cell r="A51">
            <v>50</v>
          </cell>
          <cell r="D51"/>
          <cell r="E51" t="str">
            <v>BOLD</v>
          </cell>
          <cell r="F51" t="str">
            <v># of Credit &amp; Charge Cards Out</v>
          </cell>
          <cell r="G51" t="str">
            <v>NUM_CRED_CHRG_CARDS_OUTSTDG</v>
          </cell>
          <cell r="H51"/>
          <cell r="I51" t="str">
            <v>BOLD</v>
          </cell>
          <cell r="P51"/>
          <cell r="Q51" t="str">
            <v>BOLD</v>
          </cell>
          <cell r="T51"/>
          <cell r="U51" t="str">
            <v>BOLD</v>
          </cell>
          <cell r="X51"/>
          <cell r="Y51" t="str">
            <v>BOLD</v>
          </cell>
          <cell r="AB51"/>
          <cell r="AC51" t="str">
            <v>BOLD</v>
          </cell>
          <cell r="AD51" t="str">
            <v>Tin ($/lb)</v>
          </cell>
          <cell r="AE51" t="str">
            <v>MINING_TIN_TOTAL_CASH_COSTS</v>
          </cell>
          <cell r="AF51"/>
          <cell r="AG51" t="str">
            <v>BOLD</v>
          </cell>
          <cell r="AH51" t="str">
            <v>Vanadium - Ore Volume (Tons)</v>
          </cell>
          <cell r="AI51" t="str">
            <v>MINING_P&amp;P_RSRVS_VANADIUM_VOLUME</v>
          </cell>
          <cell r="AJ51"/>
          <cell r="AK51" t="str">
            <v>BOLD</v>
          </cell>
          <cell r="AL51" t="str">
            <v>Vanadium - Grade (%)</v>
          </cell>
          <cell r="AM51" t="str">
            <v>MINING_M&amp;I_RES_VANADIUM_GRADE</v>
          </cell>
          <cell r="AN51"/>
          <cell r="AO51" t="str">
            <v>BOLD</v>
          </cell>
          <cell r="AR51"/>
          <cell r="AS51" t="str">
            <v>BOLD</v>
          </cell>
          <cell r="AV51"/>
          <cell r="AW51" t="str">
            <v>BOLD</v>
          </cell>
          <cell r="AZ51"/>
          <cell r="BA51" t="str">
            <v>BOLD</v>
          </cell>
          <cell r="BB51" t="str">
            <v xml:space="preserve">  Results of Operations</v>
          </cell>
          <cell r="BC51" t="str">
            <v>RESULTS_OPERATIONS_EUROPE</v>
          </cell>
          <cell r="BD51"/>
          <cell r="BE51" t="str">
            <v>NO</v>
          </cell>
          <cell r="BH51"/>
          <cell r="BI51" t="str">
            <v>BOLD</v>
          </cell>
          <cell r="BL51"/>
          <cell r="BM51" t="str">
            <v>BOLD</v>
          </cell>
          <cell r="BN51" t="str">
            <v xml:space="preserve">    Australia (MBOE/Day)</v>
          </cell>
          <cell r="BO51" t="str">
            <v>DAILY_PROD_MBOE_AUSTRALIA</v>
          </cell>
          <cell r="BP51"/>
          <cell r="BQ51" t="str">
            <v>NO</v>
          </cell>
          <cell r="BT51"/>
          <cell r="BU51" t="str">
            <v>BOLD</v>
          </cell>
          <cell r="BX51"/>
          <cell r="BY51" t="str">
            <v>BOLD</v>
          </cell>
          <cell r="BZ51" t="str">
            <v>Latin America</v>
          </cell>
          <cell r="CA51" t="str">
            <v>LABEL</v>
          </cell>
          <cell r="CB51"/>
          <cell r="CC51" t="str">
            <v>BOLD</v>
          </cell>
          <cell r="CD51" t="str">
            <v xml:space="preserve">    + Purchases</v>
          </cell>
          <cell r="CE51" t="str">
            <v>BOE_PURCHASES_CANADA</v>
          </cell>
          <cell r="CF51"/>
          <cell r="CG51" t="str">
            <v>NO</v>
          </cell>
          <cell r="CJ51"/>
          <cell r="CK51" t="str">
            <v>BOLD</v>
          </cell>
          <cell r="CL51" t="str">
            <v>Gypsum Plants</v>
          </cell>
          <cell r="CM51" t="str">
            <v>GYPSUM_PLANTS</v>
          </cell>
          <cell r="CN51"/>
          <cell r="CO51" t="str">
            <v>BOLD</v>
          </cell>
          <cell r="CP51" t="str">
            <v>Mining - Primary Aluminum Capacity</v>
          </cell>
          <cell r="CQ51" t="str">
            <v>MINING_PRIMARY_ALUMINUM_CAPACITY</v>
          </cell>
          <cell r="CR51"/>
          <cell r="CS51" t="str">
            <v>BOLD</v>
          </cell>
          <cell r="CV51"/>
          <cell r="CW51" t="str">
            <v>BOLD</v>
          </cell>
          <cell r="CZ51"/>
          <cell r="DA51" t="str">
            <v>BOLD</v>
          </cell>
          <cell r="DD51"/>
          <cell r="DE51" t="str">
            <v>BOLD</v>
          </cell>
          <cell r="DH51"/>
          <cell r="DI51" t="str">
            <v>BOLD</v>
          </cell>
          <cell r="DL51"/>
          <cell r="DM51" t="str">
            <v>BOLD</v>
          </cell>
          <cell r="DP51"/>
          <cell r="DQ51" t="str">
            <v>BOLD</v>
          </cell>
          <cell r="DT51"/>
          <cell r="DU51" t="str">
            <v>BOLD</v>
          </cell>
          <cell r="DX51"/>
          <cell r="DY51" t="str">
            <v>BOLD</v>
          </cell>
          <cell r="EB51"/>
          <cell r="EC51" t="str">
            <v>BOLD</v>
          </cell>
          <cell r="EF51"/>
          <cell r="EG51" t="str">
            <v>BOLD</v>
          </cell>
          <cell r="EJ51"/>
          <cell r="EK51" t="str">
            <v>BOLD</v>
          </cell>
          <cell r="EL51" t="str">
            <v xml:space="preserve">  Leased Locomotives</v>
          </cell>
          <cell r="EM51" t="str">
            <v>LEASED_LOCOMOTIVES</v>
          </cell>
          <cell r="EN51"/>
          <cell r="EO51" t="str">
            <v>NO</v>
          </cell>
          <cell r="ER51"/>
          <cell r="ES51" t="str">
            <v>BOLD</v>
          </cell>
          <cell r="EV51"/>
          <cell r="EW51" t="str">
            <v>BOLD</v>
          </cell>
          <cell r="EX51" t="str">
            <v>Accounts Payable Turnover</v>
          </cell>
          <cell r="EY51" t="str">
            <v>ACCOUNTS_PAYABLE_TURNOVER</v>
          </cell>
          <cell r="EZ51"/>
          <cell r="FA51" t="str">
            <v>BOLD</v>
          </cell>
          <cell r="FD51"/>
          <cell r="FE51" t="str">
            <v>BOLD</v>
          </cell>
          <cell r="FF51" t="str">
            <v>Wireline Residential Revenue</v>
          </cell>
          <cell r="FG51" t="str">
            <v>WIRELINE_RESIDENTIAL_REVENUE</v>
          </cell>
          <cell r="FH51"/>
          <cell r="FI51" t="str">
            <v>BOLD</v>
          </cell>
          <cell r="FL51"/>
          <cell r="FM51" t="str">
            <v>BOLD</v>
          </cell>
          <cell r="FP51"/>
          <cell r="FQ51" t="str">
            <v>BOLD</v>
          </cell>
          <cell r="FT51"/>
          <cell r="FU51" t="str">
            <v>BOLD</v>
          </cell>
          <cell r="FV51" t="str">
            <v>Capacity Utilization</v>
          </cell>
          <cell r="FW51" t="str">
            <v>REFINERY_CAPACITY_UTILIZATION</v>
          </cell>
          <cell r="FX51"/>
          <cell r="FY51" t="str">
            <v>BOLD</v>
          </cell>
          <cell r="GB51"/>
          <cell r="GC51" t="str">
            <v>BOLD</v>
          </cell>
          <cell r="GF51"/>
          <cell r="GG51" t="str">
            <v>BOLD</v>
          </cell>
          <cell r="GJ51"/>
          <cell r="GK51" t="str">
            <v>BOLD</v>
          </cell>
          <cell r="GN51"/>
          <cell r="GO51" t="str">
            <v>BOLD</v>
          </cell>
          <cell r="GR51"/>
          <cell r="GS51" t="str">
            <v>BOLD</v>
          </cell>
          <cell r="GV51"/>
          <cell r="GW51" t="str">
            <v>BOLD</v>
          </cell>
          <cell r="GZ51"/>
          <cell r="HA51" t="str">
            <v>BOLD</v>
          </cell>
          <cell r="HB51" t="str">
            <v>Maximum - Alternative Investments %</v>
          </cell>
          <cell r="HC51" t="str">
            <v>AST_ALLOCATION_MAX_ALT_INVEST_%</v>
          </cell>
          <cell r="HD51"/>
          <cell r="HE51" t="str">
            <v>BOLD</v>
          </cell>
          <cell r="HH51"/>
          <cell r="HI51" t="str">
            <v>BOLD</v>
          </cell>
          <cell r="HL51"/>
          <cell r="HM51" t="str">
            <v>BOLD</v>
          </cell>
          <cell r="HP51"/>
          <cell r="HQ51" t="str">
            <v>BOLD</v>
          </cell>
          <cell r="HT51"/>
          <cell r="HU51" t="str">
            <v>BOLD</v>
          </cell>
          <cell r="HV51" t="str">
            <v>Loan Loss Coverage</v>
          </cell>
          <cell r="HW51" t="str">
            <v>LOAN_LOSS_COVERAGE</v>
          </cell>
          <cell r="HX51"/>
          <cell r="HY51" t="str">
            <v>BOLD</v>
          </cell>
          <cell r="HZ51" t="str">
            <v>Asset Backed Securities HTM</v>
          </cell>
          <cell r="IA51" t="str">
            <v>BS_HTM_ABS</v>
          </cell>
          <cell r="IB51"/>
          <cell r="IC51" t="str">
            <v>BOLD</v>
          </cell>
          <cell r="IH51" t="str">
            <v>Tangible Assets</v>
          </cell>
          <cell r="II51" t="str">
            <v>TANGIBLE_ASSETS</v>
          </cell>
          <cell r="IJ51"/>
          <cell r="IK51" t="str">
            <v>BOLD</v>
          </cell>
          <cell r="IP51" t="str">
            <v>+ Nuclear</v>
          </cell>
          <cell r="IQ51" t="str">
            <v>NUCLEAR_ENERGY_PRODUCTION</v>
          </cell>
          <cell r="IR51"/>
          <cell r="IS51" t="str">
            <v>BOLD</v>
          </cell>
          <cell r="IX51" t="str">
            <v>Loan Loss Coverage</v>
          </cell>
          <cell r="IY51" t="str">
            <v>LOAN_LOSS_COVERAGE</v>
          </cell>
          <cell r="IZ51"/>
          <cell r="JA51" t="str">
            <v>BOLD</v>
          </cell>
          <cell r="JB51" t="str">
            <v>Asset Backed Securities HTM</v>
          </cell>
          <cell r="JC51" t="str">
            <v>BS_HTM_ABS</v>
          </cell>
          <cell r="JD51"/>
          <cell r="JE51" t="str">
            <v>BOLD</v>
          </cell>
          <cell r="JL51"/>
          <cell r="JM51" t="str">
            <v>BOLD</v>
          </cell>
        </row>
        <row r="52">
          <cell r="A52">
            <v>51</v>
          </cell>
          <cell r="D52"/>
          <cell r="E52" t="str">
            <v>BOLD</v>
          </cell>
          <cell r="F52" t="str">
            <v># of Debit Cards Outstanding</v>
          </cell>
          <cell r="G52" t="str">
            <v>NUMBER_DEBIT_CARDS_OUTSTDG</v>
          </cell>
          <cell r="H52"/>
          <cell r="I52" t="str">
            <v>BOLD</v>
          </cell>
          <cell r="P52"/>
          <cell r="Q52" t="str">
            <v>BOLD</v>
          </cell>
          <cell r="T52"/>
          <cell r="U52" t="str">
            <v>BOLD</v>
          </cell>
          <cell r="X52"/>
          <cell r="Y52" t="str">
            <v>BOLD</v>
          </cell>
          <cell r="AB52"/>
          <cell r="AC52" t="str">
            <v>BOLD</v>
          </cell>
          <cell r="AD52" t="str">
            <v>Uranium ($/lb)</v>
          </cell>
          <cell r="AE52" t="str">
            <v>MINING_URANIUM_TOTAL_CASH_COSTS</v>
          </cell>
          <cell r="AF52"/>
          <cell r="AG52" t="str">
            <v>BOLD</v>
          </cell>
          <cell r="AH52" t="str">
            <v>Vanadium - Grade (%)</v>
          </cell>
          <cell r="AI52" t="str">
            <v>MINING_P&amp;P_RSRVS_VANADIUM_GRADE</v>
          </cell>
          <cell r="AJ52"/>
          <cell r="AK52" t="str">
            <v>BOLD</v>
          </cell>
          <cell r="AL52" t="str">
            <v>Contained Vanadium (Tons)</v>
          </cell>
          <cell r="AM52" t="str">
            <v>MINING_M&amp;I_RES_CONTAIN_VANADIUM</v>
          </cell>
          <cell r="AN52"/>
          <cell r="AO52" t="str">
            <v>BOLD</v>
          </cell>
          <cell r="AR52"/>
          <cell r="AS52" t="str">
            <v>BOLD</v>
          </cell>
          <cell r="AV52"/>
          <cell r="AW52" t="str">
            <v>BOLD</v>
          </cell>
          <cell r="AZ52"/>
          <cell r="BA52" t="str">
            <v>BOLD</v>
          </cell>
          <cell r="BD52"/>
          <cell r="BE52" t="str">
            <v>BOLD</v>
          </cell>
          <cell r="BH52"/>
          <cell r="BI52" t="str">
            <v>BOLD</v>
          </cell>
          <cell r="BL52"/>
          <cell r="BM52" t="str">
            <v>BOLD</v>
          </cell>
          <cell r="BP52"/>
          <cell r="BQ52" t="str">
            <v>BOLD</v>
          </cell>
          <cell r="BT52"/>
          <cell r="BU52" t="str">
            <v>BOLD</v>
          </cell>
          <cell r="BV52" t="str">
            <v>Latin America</v>
          </cell>
          <cell r="BW52" t="str">
            <v>LABEL</v>
          </cell>
          <cell r="BX52"/>
          <cell r="BY52" t="str">
            <v>BOLD</v>
          </cell>
          <cell r="BZ52" t="str">
            <v xml:space="preserve">  Start of Year</v>
          </cell>
          <cell r="CA52" t="str">
            <v>OIL_START_YEAR_LATIN_AMERICA</v>
          </cell>
          <cell r="CB52"/>
          <cell r="CC52" t="str">
            <v>NO</v>
          </cell>
          <cell r="CD52" t="str">
            <v xml:space="preserve">    + Sales</v>
          </cell>
          <cell r="CE52" t="str">
            <v>BOE_SALES_CANADA</v>
          </cell>
          <cell r="CF52"/>
          <cell r="CG52" t="str">
            <v>NO</v>
          </cell>
          <cell r="CH52" t="str">
            <v>MMBOE Reserves</v>
          </cell>
          <cell r="CI52" t="str">
            <v>LABEL</v>
          </cell>
          <cell r="CJ52"/>
          <cell r="CK52" t="str">
            <v>BOLD</v>
          </cell>
          <cell r="CN52"/>
          <cell r="CO52" t="str">
            <v>BOLD</v>
          </cell>
          <cell r="CP52" t="str">
            <v>Mining - Primary Aluminum Production</v>
          </cell>
          <cell r="CQ52" t="str">
            <v>MINING_PRIMARY_ALUMINUM_PROD_ACT</v>
          </cell>
          <cell r="CR52"/>
          <cell r="CS52" t="str">
            <v>BOLD</v>
          </cell>
          <cell r="CV52"/>
          <cell r="CW52" t="str">
            <v>BOLD</v>
          </cell>
          <cell r="CZ52"/>
          <cell r="DA52" t="str">
            <v>BOLD</v>
          </cell>
          <cell r="DD52"/>
          <cell r="DE52" t="str">
            <v>BOLD</v>
          </cell>
          <cell r="DH52"/>
          <cell r="DI52" t="str">
            <v>BOLD</v>
          </cell>
          <cell r="DL52"/>
          <cell r="DM52" t="str">
            <v>BOLD</v>
          </cell>
          <cell r="DP52"/>
          <cell r="DQ52" t="str">
            <v>BOLD</v>
          </cell>
          <cell r="DR52" t="str">
            <v>Uncompensated Care</v>
          </cell>
          <cell r="DS52" t="str">
            <v>LABEL</v>
          </cell>
          <cell r="DT52"/>
          <cell r="DU52" t="str">
            <v>BOLD</v>
          </cell>
          <cell r="DX52"/>
          <cell r="DY52" t="str">
            <v>BOLD</v>
          </cell>
          <cell r="EB52"/>
          <cell r="EC52" t="str">
            <v>BOLD</v>
          </cell>
          <cell r="EF52"/>
          <cell r="EG52" t="str">
            <v>BOLD</v>
          </cell>
          <cell r="EJ52"/>
          <cell r="EK52" t="str">
            <v>BOLD</v>
          </cell>
          <cell r="EL52" t="str">
            <v xml:space="preserve">  Stored Freight Cars</v>
          </cell>
          <cell r="EM52" t="str">
            <v>ARD_STORED_FREIGHT_CARS</v>
          </cell>
          <cell r="EN52"/>
          <cell r="EO52" t="str">
            <v>NO</v>
          </cell>
          <cell r="ER52"/>
          <cell r="ES52" t="str">
            <v>BOLD</v>
          </cell>
          <cell r="EV52"/>
          <cell r="EW52" t="str">
            <v>BOLD</v>
          </cell>
          <cell r="EX52" t="str">
            <v>Cash Conversion Cycle</v>
          </cell>
          <cell r="EY52" t="str">
            <v>CASH_CONVERSION_CYCLE</v>
          </cell>
          <cell r="EZ52"/>
          <cell r="FA52" t="str">
            <v>BOLD</v>
          </cell>
          <cell r="FD52"/>
          <cell r="FE52" t="str">
            <v>BOLD</v>
          </cell>
          <cell r="FF52" t="str">
            <v>Wireline Business Revenue</v>
          </cell>
          <cell r="FG52" t="str">
            <v>WIRELINE_BUSINESS_REVENUE</v>
          </cell>
          <cell r="FH52"/>
          <cell r="FI52" t="str">
            <v>BOLD</v>
          </cell>
          <cell r="FL52"/>
          <cell r="FM52" t="str">
            <v>BOLD</v>
          </cell>
          <cell r="FN52" t="str">
            <v>Fuel Gallons (Litres)</v>
          </cell>
          <cell r="FO52" t="str">
            <v>FUEL_GALLONS_LITRES</v>
          </cell>
          <cell r="FP52"/>
          <cell r="FQ52" t="str">
            <v>BOLD</v>
          </cell>
          <cell r="FT52"/>
          <cell r="FU52" t="str">
            <v>BOLD</v>
          </cell>
          <cell r="FX52"/>
          <cell r="FY52" t="str">
            <v>BOLD</v>
          </cell>
          <cell r="GB52"/>
          <cell r="GC52" t="str">
            <v>BOLD</v>
          </cell>
          <cell r="GF52"/>
          <cell r="GG52" t="str">
            <v>BOLD</v>
          </cell>
          <cell r="GJ52"/>
          <cell r="GK52" t="str">
            <v>BOLD</v>
          </cell>
          <cell r="GN52"/>
          <cell r="GO52" t="str">
            <v>BOLD</v>
          </cell>
          <cell r="GR52"/>
          <cell r="GS52" t="str">
            <v>BOLD</v>
          </cell>
          <cell r="GT52" t="str">
            <v>Number of Hotel Rooms</v>
          </cell>
          <cell r="GU52" t="str">
            <v>NUMBER_HOTEL_ROOMS</v>
          </cell>
          <cell r="GV52"/>
          <cell r="GW52" t="str">
            <v>BOLD</v>
          </cell>
          <cell r="GZ52"/>
          <cell r="HA52" t="str">
            <v>BOLD</v>
          </cell>
          <cell r="HB52" t="str">
            <v>Minimum - Other Investments/Other Assets %</v>
          </cell>
          <cell r="HC52" t="str">
            <v>ARD_AST_ALC_MIN_OT_INV_OT_AST_%</v>
          </cell>
          <cell r="HD52"/>
          <cell r="HE52" t="str">
            <v>BOLD</v>
          </cell>
          <cell r="HH52"/>
          <cell r="HI52" t="str">
            <v>BOLD</v>
          </cell>
          <cell r="HL52"/>
          <cell r="HM52" t="str">
            <v>BOLD</v>
          </cell>
          <cell r="HP52"/>
          <cell r="HQ52" t="str">
            <v>BOLD</v>
          </cell>
          <cell r="HT52"/>
          <cell r="HU52" t="str">
            <v>BOLD</v>
          </cell>
          <cell r="HV52" t="str">
            <v>Reserve for Loan Losses</v>
          </cell>
          <cell r="HW52" t="str">
            <v>BS_RSRV_LOAN_LOSS</v>
          </cell>
          <cell r="HX52"/>
          <cell r="HY52" t="str">
            <v>BOLD</v>
          </cell>
          <cell r="HZ52" t="str">
            <v>Municipal Bonds</v>
          </cell>
          <cell r="IA52" t="str">
            <v>BS_MUNICIPAL_BONDS</v>
          </cell>
          <cell r="IB52"/>
          <cell r="IC52" t="str">
            <v>BOLD</v>
          </cell>
          <cell r="IH52" t="str">
            <v>Tangible Common Equity Ratio</v>
          </cell>
          <cell r="II52" t="str">
            <v>TCE_RATIO</v>
          </cell>
          <cell r="IJ52"/>
          <cell r="IK52" t="str">
            <v>BOLD</v>
          </cell>
          <cell r="IP52" t="str">
            <v>+ Thermal</v>
          </cell>
          <cell r="IQ52" t="str">
            <v>FOSSIL_FUELS_ENERGY_PRODUCTION</v>
          </cell>
          <cell r="IR52"/>
          <cell r="IS52" t="str">
            <v>BOLD</v>
          </cell>
          <cell r="IX52" t="str">
            <v>Reserve for Loan Losses</v>
          </cell>
          <cell r="IY52" t="str">
            <v>BS_RSRV_LOAN_LOSS</v>
          </cell>
          <cell r="IZ52"/>
          <cell r="JA52" t="str">
            <v>BOLD</v>
          </cell>
          <cell r="JB52" t="str">
            <v>Municipal Bonds</v>
          </cell>
          <cell r="JC52" t="str">
            <v>BS_MUNICIPAL_BONDS</v>
          </cell>
          <cell r="JD52"/>
          <cell r="JE52" t="str">
            <v>BOLD</v>
          </cell>
          <cell r="JL52"/>
          <cell r="JM52" t="str">
            <v>BOLD</v>
          </cell>
        </row>
        <row r="53">
          <cell r="A53">
            <v>52</v>
          </cell>
          <cell r="D53"/>
          <cell r="E53" t="str">
            <v>BOLD</v>
          </cell>
          <cell r="F53" t="str">
            <v># of Total Cards Outstanding</v>
          </cell>
          <cell r="G53" t="str">
            <v>NUMBER_TOTAL_CARDS_OUTSTDG</v>
          </cell>
          <cell r="H53"/>
          <cell r="I53" t="str">
            <v>BOLD</v>
          </cell>
          <cell r="P53"/>
          <cell r="Q53" t="str">
            <v>BOLD</v>
          </cell>
          <cell r="T53"/>
          <cell r="U53" t="str">
            <v>BOLD</v>
          </cell>
          <cell r="X53"/>
          <cell r="Y53" t="str">
            <v>BOLD</v>
          </cell>
          <cell r="AB53"/>
          <cell r="AC53" t="str">
            <v>BOLD</v>
          </cell>
          <cell r="AD53" t="str">
            <v>Vanadium ($/lb)</v>
          </cell>
          <cell r="AE53" t="str">
            <v>MINING_VANADIUM_TOTAL_CASH_COSTS</v>
          </cell>
          <cell r="AF53"/>
          <cell r="AG53" t="str">
            <v>BOLD</v>
          </cell>
          <cell r="AH53" t="str">
            <v>Contained Vanadium (Tons)</v>
          </cell>
          <cell r="AI53" t="str">
            <v>MINING_P&amp;P_RSRV_CONTAIN_VANADIUM</v>
          </cell>
          <cell r="AJ53"/>
          <cell r="AK53" t="str">
            <v>BOLD</v>
          </cell>
          <cell r="AL53" t="str">
            <v>Zinc - Ore Volume (Tons)</v>
          </cell>
          <cell r="AM53" t="str">
            <v>MINING_M&amp;I_RESOURCES_ZINC_VOLUME</v>
          </cell>
          <cell r="AN53"/>
          <cell r="AO53" t="str">
            <v>BOLD</v>
          </cell>
          <cell r="AR53"/>
          <cell r="AS53" t="str">
            <v>BOLD</v>
          </cell>
          <cell r="AV53"/>
          <cell r="AW53" t="str">
            <v>BOLD</v>
          </cell>
          <cell r="AZ53"/>
          <cell r="BA53" t="str">
            <v>BOLD</v>
          </cell>
          <cell r="BB53" t="str">
            <v>Africa</v>
          </cell>
          <cell r="BC53" t="str">
            <v>LABEL</v>
          </cell>
          <cell r="BD53"/>
          <cell r="BE53" t="str">
            <v>BOLD</v>
          </cell>
          <cell r="BH53"/>
          <cell r="BI53" t="str">
            <v>BOLD</v>
          </cell>
          <cell r="BL53"/>
          <cell r="BM53" t="str">
            <v>BOLD</v>
          </cell>
          <cell r="BP53"/>
          <cell r="BQ53" t="str">
            <v>BOLD</v>
          </cell>
          <cell r="BT53"/>
          <cell r="BU53" t="str">
            <v>BOLD</v>
          </cell>
          <cell r="BV53" t="str">
            <v xml:space="preserve">  Start of Year</v>
          </cell>
          <cell r="BW53" t="str">
            <v>GAS_START_YEAR_LAMR</v>
          </cell>
          <cell r="BX53"/>
          <cell r="BY53" t="str">
            <v>NO</v>
          </cell>
          <cell r="BZ53" t="str">
            <v xml:space="preserve">  + Revisions</v>
          </cell>
          <cell r="CA53" t="str">
            <v>OIL_REVISIONS_LATIN_AMERICA</v>
          </cell>
          <cell r="CB53"/>
          <cell r="CC53" t="str">
            <v>NO</v>
          </cell>
          <cell r="CD53" t="str">
            <v xml:space="preserve">    + Production</v>
          </cell>
          <cell r="CE53" t="str">
            <v>BOE_PRODUCTION_CANADA</v>
          </cell>
          <cell r="CF53"/>
          <cell r="CG53" t="str">
            <v>NO</v>
          </cell>
          <cell r="CH53" t="str">
            <v xml:space="preserve">  Oil Reserves (MMBBL)</v>
          </cell>
          <cell r="CJ53"/>
          <cell r="CK53" t="str">
            <v>NO</v>
          </cell>
          <cell r="CN53"/>
          <cell r="CO53" t="str">
            <v>BOLD</v>
          </cell>
          <cell r="CP53" t="str">
            <v>Mining - Aluminum Realized Price</v>
          </cell>
          <cell r="CQ53" t="str">
            <v>MINING_ALUMINUM_REALIZED_PX</v>
          </cell>
          <cell r="CR53"/>
          <cell r="CS53" t="str">
            <v>BOLD</v>
          </cell>
          <cell r="CV53"/>
          <cell r="CW53" t="str">
            <v>BOLD</v>
          </cell>
          <cell r="CZ53"/>
          <cell r="DA53" t="str">
            <v>BOLD</v>
          </cell>
          <cell r="DD53"/>
          <cell r="DE53" t="str">
            <v>BOLD</v>
          </cell>
          <cell r="DH53"/>
          <cell r="DI53" t="str">
            <v>BOLD</v>
          </cell>
          <cell r="DL53"/>
          <cell r="DM53" t="str">
            <v>BOLD</v>
          </cell>
          <cell r="DP53"/>
          <cell r="DQ53" t="str">
            <v>BOLD</v>
          </cell>
          <cell r="DR53" t="str">
            <v xml:space="preserve">  Provision For Doubtful Accounts</v>
          </cell>
          <cell r="DS53" t="str">
            <v>ARD_PROV_FOR_DOUBTFUL_ACCTS</v>
          </cell>
          <cell r="DT53"/>
          <cell r="DU53" t="str">
            <v>NO</v>
          </cell>
          <cell r="DX53"/>
          <cell r="DY53" t="str">
            <v>BOLD</v>
          </cell>
          <cell r="EB53"/>
          <cell r="EC53" t="str">
            <v>BOLD</v>
          </cell>
          <cell r="EF53"/>
          <cell r="EG53" t="str">
            <v>BOLD</v>
          </cell>
          <cell r="EJ53"/>
          <cell r="EK53" t="str">
            <v>BOLD</v>
          </cell>
          <cell r="EL53" t="str">
            <v xml:space="preserve">  Stored Locomotives</v>
          </cell>
          <cell r="EM53" t="str">
            <v>ARD_STORED_LOCOMOTIVES</v>
          </cell>
          <cell r="EN53"/>
          <cell r="EO53" t="str">
            <v>NO</v>
          </cell>
          <cell r="ER53"/>
          <cell r="ES53" t="str">
            <v>BOLD</v>
          </cell>
          <cell r="EV53"/>
          <cell r="EW53" t="str">
            <v>BOLD</v>
          </cell>
          <cell r="EZ53"/>
          <cell r="FA53" t="str">
            <v>BOLD</v>
          </cell>
          <cell r="FD53"/>
          <cell r="FE53" t="str">
            <v>BOLD</v>
          </cell>
          <cell r="FF53" t="str">
            <v>Strategic Services Revenue</v>
          </cell>
          <cell r="FG53" t="str">
            <v>STRATEGIC_SERVICES_REVENUE</v>
          </cell>
          <cell r="FH53"/>
          <cell r="FI53" t="str">
            <v>BOLD</v>
          </cell>
          <cell r="FL53"/>
          <cell r="FM53" t="str">
            <v>BOLD</v>
          </cell>
          <cell r="FN53" t="str">
            <v xml:space="preserve">  Mainline Fuel Gallons/Litres</v>
          </cell>
          <cell r="FO53" t="str">
            <v>MAINLINE_FUEL_GALLONS</v>
          </cell>
          <cell r="FP53"/>
          <cell r="FQ53" t="str">
            <v>NO</v>
          </cell>
          <cell r="FT53"/>
          <cell r="FU53" t="str">
            <v>BOLD</v>
          </cell>
          <cell r="FX53"/>
          <cell r="FY53" t="str">
            <v>BOLD</v>
          </cell>
          <cell r="GB53"/>
          <cell r="GC53" t="str">
            <v>BOLD</v>
          </cell>
          <cell r="GF53"/>
          <cell r="GG53" t="str">
            <v>BOLD</v>
          </cell>
          <cell r="GJ53"/>
          <cell r="GK53" t="str">
            <v>BOLD</v>
          </cell>
          <cell r="GN53"/>
          <cell r="GO53" t="str">
            <v>BOLD</v>
          </cell>
          <cell r="GR53"/>
          <cell r="GS53" t="str">
            <v>BOLD</v>
          </cell>
          <cell r="GT53" t="str">
            <v>Room Nights Available</v>
          </cell>
          <cell r="GU53" t="str">
            <v>HOTEL_ROOM_NIGHTS</v>
          </cell>
          <cell r="GV53"/>
          <cell r="GW53" t="str">
            <v>BOLD</v>
          </cell>
          <cell r="GZ53"/>
          <cell r="HA53" t="str">
            <v>BOLD</v>
          </cell>
          <cell r="HB53" t="str">
            <v>Maximum - Other Investments/Other Assets %</v>
          </cell>
          <cell r="HC53" t="str">
            <v>ARD_AST_ALC_MAX_OT_INV_OT_AST_%</v>
          </cell>
          <cell r="HD53"/>
          <cell r="HE53" t="str">
            <v>BOLD</v>
          </cell>
          <cell r="HH53"/>
          <cell r="HI53" t="str">
            <v>BOLD</v>
          </cell>
          <cell r="HL53"/>
          <cell r="HM53" t="str">
            <v>BOLD</v>
          </cell>
          <cell r="HP53"/>
          <cell r="HQ53" t="str">
            <v>BOLD</v>
          </cell>
          <cell r="HT53"/>
          <cell r="HU53" t="str">
            <v>BOLD</v>
          </cell>
          <cell r="HV53" t="str">
            <v>Res for Loan Losses/Tot Loans</v>
          </cell>
          <cell r="HW53" t="str">
            <v>RSRV_FOR_LOAN_LOSS_TO_TOT_LOAN</v>
          </cell>
          <cell r="HX53"/>
          <cell r="HY53" t="str">
            <v>BOLD</v>
          </cell>
          <cell r="HZ53" t="str">
            <v>Other Fixed Income Invt AFS</v>
          </cell>
          <cell r="IA53" t="str">
            <v>BS_AFS_OTHER_FIXED_INC_INV</v>
          </cell>
          <cell r="IB53"/>
          <cell r="IC53" t="str">
            <v>BOLD</v>
          </cell>
          <cell r="IH53" t="str">
            <v>Tangible Book Value per Share</v>
          </cell>
          <cell r="II53" t="str">
            <v>TANG_BOOK_VAL_PER_SH</v>
          </cell>
          <cell r="IJ53"/>
          <cell r="IK53" t="str">
            <v>BOLD</v>
          </cell>
          <cell r="IP53" t="str">
            <v xml:space="preserve">  Coal/Lignite</v>
          </cell>
          <cell r="IQ53" t="str">
            <v>COAL_ENERGY_PRODUCTION</v>
          </cell>
          <cell r="IR53"/>
          <cell r="IS53" t="str">
            <v>NO</v>
          </cell>
          <cell r="IX53" t="str">
            <v>Res for Loan Losses/Tot Loans</v>
          </cell>
          <cell r="IY53" t="str">
            <v>RSRV_FOR_LOAN_LOSS_TO_TOT_LOAN</v>
          </cell>
          <cell r="IZ53"/>
          <cell r="JA53" t="str">
            <v>BOLD</v>
          </cell>
          <cell r="JB53" t="str">
            <v>Other Fixed Income Invt AFS</v>
          </cell>
          <cell r="JC53" t="str">
            <v>BS_AFS_OTHER_FIXED_INC_INV</v>
          </cell>
          <cell r="JD53"/>
          <cell r="JE53" t="str">
            <v>BOLD</v>
          </cell>
          <cell r="JL53"/>
          <cell r="JM53" t="str">
            <v>BOLD</v>
          </cell>
        </row>
        <row r="54">
          <cell r="A54">
            <v>53</v>
          </cell>
          <cell r="D54"/>
          <cell r="E54" t="str">
            <v>BOLD</v>
          </cell>
          <cell r="F54" t="str">
            <v>Balance per Credit Card Account</v>
          </cell>
          <cell r="G54" t="str">
            <v>BALANCE_PER_CREDIT_CARD_ACCOUNT</v>
          </cell>
          <cell r="H54"/>
          <cell r="I54" t="str">
            <v>BOLD</v>
          </cell>
          <cell r="P54"/>
          <cell r="Q54" t="str">
            <v>BOLD</v>
          </cell>
          <cell r="T54"/>
          <cell r="U54" t="str">
            <v>BOLD</v>
          </cell>
          <cell r="X54"/>
          <cell r="Y54" t="str">
            <v>BOLD</v>
          </cell>
          <cell r="AB54"/>
          <cell r="AC54" t="str">
            <v>BOLD</v>
          </cell>
          <cell r="AD54" t="str">
            <v>Zinc ($/lb)</v>
          </cell>
          <cell r="AE54" t="str">
            <v>MINING_ZINC_TOTAL_CASH_COSTS</v>
          </cell>
          <cell r="AF54"/>
          <cell r="AG54" t="str">
            <v>BOLD</v>
          </cell>
          <cell r="AH54" t="str">
            <v>Zinc - Ore Volume (Tons)</v>
          </cell>
          <cell r="AI54" t="str">
            <v>MINING_P&amp;P_RSRVS_ZINC_VOLUME</v>
          </cell>
          <cell r="AJ54"/>
          <cell r="AK54" t="str">
            <v>BOLD</v>
          </cell>
          <cell r="AL54" t="str">
            <v>Zinc - Grade (%)</v>
          </cell>
          <cell r="AM54" t="str">
            <v>MINING_M&amp;I_RESOURCES_ZINC_GRADE</v>
          </cell>
          <cell r="AN54"/>
          <cell r="AO54" t="str">
            <v>BOLD</v>
          </cell>
          <cell r="AR54"/>
          <cell r="AS54" t="str">
            <v>BOLD</v>
          </cell>
          <cell r="AV54"/>
          <cell r="AW54" t="str">
            <v>BOLD</v>
          </cell>
          <cell r="AZ54"/>
          <cell r="BA54" t="str">
            <v>BOLD</v>
          </cell>
          <cell r="BB54" t="str">
            <v xml:space="preserve">  Revenues</v>
          </cell>
          <cell r="BC54" t="str">
            <v>E&amp;P_REVENUES_AFRICA</v>
          </cell>
          <cell r="BD54"/>
          <cell r="BE54" t="str">
            <v>NO</v>
          </cell>
          <cell r="BH54"/>
          <cell r="BI54" t="str">
            <v>BOLD</v>
          </cell>
          <cell r="BL54"/>
          <cell r="BM54" t="str">
            <v>BOLD</v>
          </cell>
          <cell r="BP54"/>
          <cell r="BQ54" t="str">
            <v>BOLD</v>
          </cell>
          <cell r="BT54"/>
          <cell r="BU54" t="str">
            <v>BOLD</v>
          </cell>
          <cell r="BV54" t="str">
            <v xml:space="preserve">  + Revisions</v>
          </cell>
          <cell r="BW54" t="str">
            <v>GAS_REVISIONS_LAMR</v>
          </cell>
          <cell r="BX54"/>
          <cell r="BY54" t="str">
            <v>NO</v>
          </cell>
          <cell r="BZ54" t="str">
            <v xml:space="preserve">  + Improved Recovery</v>
          </cell>
          <cell r="CA54" t="str">
            <v>OIL_IMPROVED_RECOVERY_LATAM</v>
          </cell>
          <cell r="CB54"/>
          <cell r="CC54" t="str">
            <v>NO</v>
          </cell>
          <cell r="CD54" t="str">
            <v xml:space="preserve">    + Other</v>
          </cell>
          <cell r="CE54" t="str">
            <v>BOE_OTHER_CHG_CANADA</v>
          </cell>
          <cell r="CF54"/>
          <cell r="CG54" t="str">
            <v>NO</v>
          </cell>
          <cell r="CH54" t="str">
            <v xml:space="preserve">  Gas Reserves (BCF)</v>
          </cell>
          <cell r="CJ54"/>
          <cell r="CK54" t="str">
            <v>NO</v>
          </cell>
          <cell r="CN54"/>
          <cell r="CO54" t="str">
            <v>BOLD</v>
          </cell>
          <cell r="CR54"/>
          <cell r="CS54" t="str">
            <v>BOLD</v>
          </cell>
          <cell r="CV54"/>
          <cell r="CW54" t="str">
            <v>BOLD</v>
          </cell>
          <cell r="CZ54"/>
          <cell r="DA54" t="str">
            <v>BOLD</v>
          </cell>
          <cell r="DD54"/>
          <cell r="DE54" t="str">
            <v>BOLD</v>
          </cell>
          <cell r="DH54"/>
          <cell r="DI54" t="str">
            <v>BOLD</v>
          </cell>
          <cell r="DL54"/>
          <cell r="DM54" t="str">
            <v>BOLD</v>
          </cell>
          <cell r="DP54"/>
          <cell r="DQ54" t="str">
            <v>BOLD</v>
          </cell>
          <cell r="DT54"/>
          <cell r="DU54" t="str">
            <v>BOLD</v>
          </cell>
          <cell r="DX54"/>
          <cell r="DY54" t="str">
            <v>BOLD</v>
          </cell>
          <cell r="EB54"/>
          <cell r="EC54" t="str">
            <v>BOLD</v>
          </cell>
          <cell r="EF54"/>
          <cell r="EG54" t="str">
            <v>BOLD</v>
          </cell>
          <cell r="EJ54"/>
          <cell r="EK54" t="str">
            <v>BOLD</v>
          </cell>
          <cell r="EL54" t="str">
            <v xml:space="preserve">  Average Age of Freight Cars</v>
          </cell>
          <cell r="EM54" t="str">
            <v>ARD_AVERAGE_AGE_OF_FREIGHT_CARS</v>
          </cell>
          <cell r="EN54"/>
          <cell r="EO54" t="str">
            <v>NO</v>
          </cell>
          <cell r="ER54"/>
          <cell r="ES54" t="str">
            <v>BOLD</v>
          </cell>
          <cell r="EV54"/>
          <cell r="EW54" t="str">
            <v>BOLD</v>
          </cell>
          <cell r="EX54" t="str">
            <v>Employee Data</v>
          </cell>
          <cell r="EY54" t="str">
            <v>LABEL</v>
          </cell>
          <cell r="EZ54"/>
          <cell r="FA54" t="str">
            <v>BOLD</v>
          </cell>
          <cell r="FD54"/>
          <cell r="FE54" t="str">
            <v>BOLD</v>
          </cell>
          <cell r="FH54"/>
          <cell r="FI54" t="str">
            <v>BOLD</v>
          </cell>
          <cell r="FL54"/>
          <cell r="FM54" t="str">
            <v>BOLD</v>
          </cell>
          <cell r="FN54" t="str">
            <v xml:space="preserve">  Regional Fuel Gallons/Litres</v>
          </cell>
          <cell r="FO54" t="str">
            <v>REGIONAL_FUEL_GALLONS</v>
          </cell>
          <cell r="FP54"/>
          <cell r="FQ54" t="str">
            <v>NO</v>
          </cell>
          <cell r="FT54"/>
          <cell r="FU54" t="str">
            <v>BOLD</v>
          </cell>
          <cell r="FX54"/>
          <cell r="FY54" t="str">
            <v>BOLD</v>
          </cell>
          <cell r="GB54"/>
          <cell r="GC54" t="str">
            <v>BOLD</v>
          </cell>
          <cell r="GF54"/>
          <cell r="GG54" t="str">
            <v>BOLD</v>
          </cell>
          <cell r="GJ54"/>
          <cell r="GK54" t="str">
            <v>BOLD</v>
          </cell>
          <cell r="GN54"/>
          <cell r="GO54" t="str">
            <v>BOLD</v>
          </cell>
          <cell r="GR54"/>
          <cell r="GS54" t="str">
            <v>BOLD</v>
          </cell>
          <cell r="GT54" t="str">
            <v>Number of Trade Names</v>
          </cell>
          <cell r="GU54" t="str">
            <v>HOTEL_NUMBER_OF_TRADE_NAMES</v>
          </cell>
          <cell r="GV54"/>
          <cell r="GW54" t="str">
            <v>BOLD</v>
          </cell>
          <cell r="GZ54"/>
          <cell r="HA54" t="str">
            <v>BOLD</v>
          </cell>
          <cell r="HD54"/>
          <cell r="HE54" t="str">
            <v>BOLD</v>
          </cell>
          <cell r="HH54"/>
          <cell r="HI54" t="str">
            <v>BOLD</v>
          </cell>
          <cell r="HL54"/>
          <cell r="HM54" t="str">
            <v>BOLD</v>
          </cell>
          <cell r="HP54"/>
          <cell r="HQ54" t="str">
            <v>BOLD</v>
          </cell>
          <cell r="HT54"/>
          <cell r="HU54" t="str">
            <v>BOLD</v>
          </cell>
          <cell r="HV54" t="str">
            <v>Loan Loss Res/Non-Perf Assets</v>
          </cell>
          <cell r="HW54" t="str">
            <v>LOAN_LOSS_RES_TO_NON_PERF_ASSET</v>
          </cell>
          <cell r="HX54"/>
          <cell r="HY54" t="str">
            <v>BOLD</v>
          </cell>
          <cell r="HZ54" t="str">
            <v>Other Fixed Income Invt HTM</v>
          </cell>
          <cell r="IA54" t="str">
            <v>BS_HTM_OTHER_FIXED_INC_INV</v>
          </cell>
          <cell r="IB54"/>
          <cell r="IC54" t="str">
            <v>BOLD</v>
          </cell>
          <cell r="IJ54"/>
          <cell r="IK54" t="str">
            <v>BOLD</v>
          </cell>
          <cell r="IP54" t="str">
            <v xml:space="preserve">    Coal</v>
          </cell>
          <cell r="IQ54" t="str">
            <v>ELEC_PROD_THERM_COAL/LC_GWH</v>
          </cell>
          <cell r="IR54"/>
          <cell r="IS54" t="str">
            <v>NO</v>
          </cell>
          <cell r="IX54" t="str">
            <v>Loan Loss Res/Non-Perf Assets</v>
          </cell>
          <cell r="IY54" t="str">
            <v>LOAN_LOSS_RES_TO_NON_PERF_ASSET</v>
          </cell>
          <cell r="IZ54"/>
          <cell r="JA54" t="str">
            <v>BOLD</v>
          </cell>
          <cell r="JB54" t="str">
            <v>Other Fixed Income Invt HTM</v>
          </cell>
          <cell r="JC54" t="str">
            <v>BS_HTM_OTHER_FIXED_INC_INV</v>
          </cell>
          <cell r="JD54"/>
          <cell r="JE54" t="str">
            <v>BOLD</v>
          </cell>
          <cell r="JL54"/>
          <cell r="JM54" t="str">
            <v>BOLD</v>
          </cell>
        </row>
        <row r="55">
          <cell r="A55">
            <v>54</v>
          </cell>
          <cell r="D55"/>
          <cell r="E55" t="str">
            <v>BOLD</v>
          </cell>
          <cell r="F55" t="str">
            <v>Avg Discount Rate</v>
          </cell>
          <cell r="G55" t="str">
            <v>AVG_DISCOUNT_RATE</v>
          </cell>
          <cell r="H55"/>
          <cell r="I55" t="str">
            <v>BOLD</v>
          </cell>
          <cell r="P55"/>
          <cell r="Q55" t="str">
            <v>BOLD</v>
          </cell>
          <cell r="T55"/>
          <cell r="U55" t="str">
            <v>BOLD</v>
          </cell>
          <cell r="X55"/>
          <cell r="Y55" t="str">
            <v>BOLD</v>
          </cell>
          <cell r="AB55"/>
          <cell r="AC55" t="str">
            <v>BOLD</v>
          </cell>
          <cell r="AF55"/>
          <cell r="AG55" t="str">
            <v>BOLD</v>
          </cell>
          <cell r="AH55" t="str">
            <v>Zinc - Grade (%)</v>
          </cell>
          <cell r="AI55" t="str">
            <v>MINING_P&amp;P_RSRVS_ZINC_GRADE</v>
          </cell>
          <cell r="AJ55"/>
          <cell r="AK55" t="str">
            <v>BOLD</v>
          </cell>
          <cell r="AL55" t="str">
            <v>Contained Zinc (Tons)</v>
          </cell>
          <cell r="AM55" t="str">
            <v>MINING_M&amp;I_RES_CONTAINED_ZINC</v>
          </cell>
          <cell r="AN55"/>
          <cell r="AO55" t="str">
            <v>BOLD</v>
          </cell>
          <cell r="AR55"/>
          <cell r="AS55" t="str">
            <v>BOLD</v>
          </cell>
          <cell r="AV55"/>
          <cell r="AW55" t="str">
            <v>BOLD</v>
          </cell>
          <cell r="AZ55"/>
          <cell r="BA55" t="str">
            <v>BOLD</v>
          </cell>
          <cell r="BB55" t="str">
            <v xml:space="preserve">  - Production Costs</v>
          </cell>
          <cell r="BC55" t="str">
            <v>PRODUCTION_COSTS_AFRICA</v>
          </cell>
          <cell r="BD55"/>
          <cell r="BE55" t="str">
            <v>NO</v>
          </cell>
          <cell r="BH55"/>
          <cell r="BI55" t="str">
            <v>BOLD</v>
          </cell>
          <cell r="BL55"/>
          <cell r="BM55" t="str">
            <v>BOLD</v>
          </cell>
          <cell r="BP55"/>
          <cell r="BQ55" t="str">
            <v>BOLD</v>
          </cell>
          <cell r="BT55"/>
          <cell r="BU55" t="str">
            <v>BOLD</v>
          </cell>
          <cell r="BV55" t="str">
            <v xml:space="preserve">  + Improved Recovery</v>
          </cell>
          <cell r="BW55" t="str">
            <v>GAS_IMPROV_REC_LAMR</v>
          </cell>
          <cell r="BX55"/>
          <cell r="BY55" t="str">
            <v>NO</v>
          </cell>
          <cell r="BZ55" t="str">
            <v xml:space="preserve">  + Extensions &amp; Discoveries</v>
          </cell>
          <cell r="CA55" t="str">
            <v>OIL_EXTENSIONS_AND_DISCS_LATAM</v>
          </cell>
          <cell r="CB55"/>
          <cell r="CC55" t="str">
            <v>NO</v>
          </cell>
          <cell r="CD55" t="str">
            <v xml:space="preserve">    End of year</v>
          </cell>
          <cell r="CE55" t="str">
            <v>BOE_RESERVES_END_YR_CANADA</v>
          </cell>
          <cell r="CF55"/>
          <cell r="CG55" t="str">
            <v>NO</v>
          </cell>
          <cell r="CJ55"/>
          <cell r="CK55" t="str">
            <v>BOLD</v>
          </cell>
          <cell r="CN55"/>
          <cell r="CO55" t="str">
            <v>BOLD</v>
          </cell>
          <cell r="CP55" t="str">
            <v>Reserves &amp; Resources</v>
          </cell>
          <cell r="CQ55" t="str">
            <v>LABEL</v>
          </cell>
          <cell r="CR55"/>
          <cell r="CS55" t="str">
            <v>BOLD</v>
          </cell>
          <cell r="CV55"/>
          <cell r="CW55" t="str">
            <v>BOLD</v>
          </cell>
          <cell r="CZ55"/>
          <cell r="DA55" t="str">
            <v>BOLD</v>
          </cell>
          <cell r="DD55"/>
          <cell r="DE55" t="str">
            <v>BOLD</v>
          </cell>
          <cell r="DH55"/>
          <cell r="DI55" t="str">
            <v>BOLD</v>
          </cell>
          <cell r="DL55"/>
          <cell r="DM55" t="str">
            <v>BOLD</v>
          </cell>
          <cell r="DP55"/>
          <cell r="DQ55" t="str">
            <v>BOLD</v>
          </cell>
          <cell r="DR55" t="str">
            <v>Bed Count</v>
          </cell>
          <cell r="DS55" t="str">
            <v>LABEL</v>
          </cell>
          <cell r="DT55"/>
          <cell r="DU55" t="str">
            <v>BOLD</v>
          </cell>
          <cell r="DX55"/>
          <cell r="DY55" t="str">
            <v>BOLD</v>
          </cell>
          <cell r="EB55"/>
          <cell r="EC55" t="str">
            <v>BOLD</v>
          </cell>
          <cell r="EF55"/>
          <cell r="EG55" t="str">
            <v>BOLD</v>
          </cell>
          <cell r="EJ55"/>
          <cell r="EK55" t="str">
            <v>BOLD</v>
          </cell>
          <cell r="EL55" t="str">
            <v xml:space="preserve">  Average Age of Locomotives</v>
          </cell>
          <cell r="EM55" t="str">
            <v>ARD_AVERAGE_AGE_OF_LOCOMOTIVES</v>
          </cell>
          <cell r="EN55"/>
          <cell r="EO55" t="str">
            <v>NO</v>
          </cell>
          <cell r="ER55"/>
          <cell r="ES55" t="str">
            <v>BOLD</v>
          </cell>
          <cell r="EV55"/>
          <cell r="EW55" t="str">
            <v>BOLD</v>
          </cell>
          <cell r="EX55" t="str">
            <v># OF EMPLOYEES</v>
          </cell>
          <cell r="EY55" t="str">
            <v>NUM_OF_EMPLOYEES</v>
          </cell>
          <cell r="EZ55"/>
          <cell r="FA55" t="str">
            <v>BOLD</v>
          </cell>
          <cell r="FD55"/>
          <cell r="FE55" t="str">
            <v>BOLD</v>
          </cell>
          <cell r="FF55" t="str">
            <v>Subscribers</v>
          </cell>
          <cell r="FG55" t="str">
            <v>LABEL</v>
          </cell>
          <cell r="FH55"/>
          <cell r="FI55" t="str">
            <v>BOLD</v>
          </cell>
          <cell r="FL55"/>
          <cell r="FM55" t="str">
            <v>BOLD</v>
          </cell>
          <cell r="FN55" t="str">
            <v>Fuel Price per Gallon (Litre)</v>
          </cell>
          <cell r="FO55" t="str">
            <v>FUEL_PRICE_PER_GALLON_LITRE</v>
          </cell>
          <cell r="FP55"/>
          <cell r="FQ55" t="str">
            <v>BOLD</v>
          </cell>
          <cell r="FT55"/>
          <cell r="FU55" t="str">
            <v>BOLD</v>
          </cell>
          <cell r="FX55"/>
          <cell r="FY55" t="str">
            <v>BOLD</v>
          </cell>
          <cell r="GB55"/>
          <cell r="GC55" t="str">
            <v>BOLD</v>
          </cell>
          <cell r="GF55"/>
          <cell r="GG55" t="str">
            <v>BOLD</v>
          </cell>
          <cell r="GJ55"/>
          <cell r="GK55" t="str">
            <v>BOLD</v>
          </cell>
          <cell r="GN55"/>
          <cell r="GO55" t="str">
            <v>BOLD</v>
          </cell>
          <cell r="GR55"/>
          <cell r="GS55" t="str">
            <v>BOLD</v>
          </cell>
          <cell r="GV55"/>
          <cell r="GW55" t="str">
            <v>BOLD</v>
          </cell>
          <cell r="GZ55"/>
          <cell r="HA55" t="str">
            <v>BOLD</v>
          </cell>
          <cell r="HB55" t="str">
            <v>Total Alternative Investments Max/Min % Range</v>
          </cell>
          <cell r="HC55" t="str">
            <v>LABEL</v>
          </cell>
          <cell r="HD55"/>
          <cell r="HE55" t="str">
            <v>BOLD</v>
          </cell>
          <cell r="HH55"/>
          <cell r="HI55" t="str">
            <v>BOLD</v>
          </cell>
          <cell r="HL55"/>
          <cell r="HM55" t="str">
            <v>BOLD</v>
          </cell>
          <cell r="HP55"/>
          <cell r="HQ55" t="str">
            <v>BOLD</v>
          </cell>
          <cell r="HT55"/>
          <cell r="HU55" t="str">
            <v>BOLD</v>
          </cell>
          <cell r="HV55" t="str">
            <v>Non-Performing Loans</v>
          </cell>
          <cell r="HW55" t="str">
            <v>BS_NON_PERFORM_LOANS</v>
          </cell>
          <cell r="HX55"/>
          <cell r="HY55" t="str">
            <v>BOLD</v>
          </cell>
          <cell r="HZ55" t="str">
            <v>Equity securities</v>
          </cell>
          <cell r="IA55" t="str">
            <v>BS_EQY_SEC</v>
          </cell>
          <cell r="IB55"/>
          <cell r="IC55" t="str">
            <v>BOLD</v>
          </cell>
          <cell r="IH55" t="str">
            <v>Credit Quality</v>
          </cell>
          <cell r="II55" t="str">
            <v>LABEL</v>
          </cell>
          <cell r="IJ55"/>
          <cell r="IK55" t="str">
            <v>BOLD</v>
          </cell>
          <cell r="IP55" t="str">
            <v xml:space="preserve">    Lignite</v>
          </cell>
          <cell r="IQ55" t="str">
            <v>ELEC_PROD_THERM_COAL/LIG_GWH</v>
          </cell>
          <cell r="IR55"/>
          <cell r="IS55" t="str">
            <v>NO</v>
          </cell>
          <cell r="IX55" t="str">
            <v>Non-Performing Loans</v>
          </cell>
          <cell r="IY55" t="str">
            <v>BS_NON_PERFORM_LOANS</v>
          </cell>
          <cell r="IZ55"/>
          <cell r="JA55" t="str">
            <v>BOLD</v>
          </cell>
          <cell r="JB55" t="str">
            <v>Equity securities</v>
          </cell>
          <cell r="JC55" t="str">
            <v>BS_EQY_SEC</v>
          </cell>
          <cell r="JD55"/>
          <cell r="JE55" t="str">
            <v>BOLD</v>
          </cell>
          <cell r="JL55"/>
          <cell r="JM55" t="str">
            <v>BOLD</v>
          </cell>
        </row>
        <row r="56">
          <cell r="A56">
            <v>55</v>
          </cell>
          <cell r="D56"/>
          <cell r="E56" t="str">
            <v>BOLD</v>
          </cell>
          <cell r="F56" t="str">
            <v>Avg Balance per Active Credit Card</v>
          </cell>
          <cell r="G56" t="str">
            <v>AVG_BAL_PER_ACTIVE_CRED_CARD</v>
          </cell>
          <cell r="H56"/>
          <cell r="I56" t="str">
            <v>BOLD</v>
          </cell>
          <cell r="P56"/>
          <cell r="Q56" t="str">
            <v>BOLD</v>
          </cell>
          <cell r="T56"/>
          <cell r="U56" t="str">
            <v>BOLD</v>
          </cell>
          <cell r="X56"/>
          <cell r="Y56" t="str">
            <v>BOLD</v>
          </cell>
          <cell r="AB56"/>
          <cell r="AC56" t="str">
            <v>BOLD</v>
          </cell>
          <cell r="AD56" t="str">
            <v>Gold ($/oz) - Co-Product Method</v>
          </cell>
          <cell r="AE56" t="str">
            <v>MINING_GOLD_CASH_COSTS_COPROD</v>
          </cell>
          <cell r="AF56"/>
          <cell r="AG56" t="str">
            <v>BOLD</v>
          </cell>
          <cell r="AH56" t="str">
            <v>Contained Zinc (Tons)</v>
          </cell>
          <cell r="AI56" t="str">
            <v>MINING_P&amp;P_RSRVS_CONTAINED_ZINC</v>
          </cell>
          <cell r="AJ56"/>
          <cell r="AK56" t="str">
            <v>BOLD</v>
          </cell>
          <cell r="AL56" t="str">
            <v>Inferred Resources</v>
          </cell>
          <cell r="AM56" t="str">
            <v>LABEL</v>
          </cell>
          <cell r="AN56"/>
          <cell r="AO56" t="str">
            <v>BOLD</v>
          </cell>
          <cell r="AR56"/>
          <cell r="AS56" t="str">
            <v>BOLD</v>
          </cell>
          <cell r="AV56"/>
          <cell r="AW56" t="str">
            <v>BOLD</v>
          </cell>
          <cell r="AZ56"/>
          <cell r="BA56" t="str">
            <v>BOLD</v>
          </cell>
          <cell r="BB56" t="str">
            <v xml:space="preserve">  - Exploration Expense</v>
          </cell>
          <cell r="BC56" t="str">
            <v>EXPLORATION_EXPENSES_AFRICA</v>
          </cell>
          <cell r="BD56"/>
          <cell r="BE56" t="str">
            <v>NO</v>
          </cell>
          <cell r="BH56"/>
          <cell r="BI56" t="str">
            <v>BOLD</v>
          </cell>
          <cell r="BL56"/>
          <cell r="BM56" t="str">
            <v>BOLD</v>
          </cell>
          <cell r="BP56"/>
          <cell r="BQ56" t="str">
            <v>BOLD</v>
          </cell>
          <cell r="BT56"/>
          <cell r="BU56" t="str">
            <v>BOLD</v>
          </cell>
          <cell r="BV56" t="str">
            <v xml:space="preserve">  + Extensions &amp; Discoveries</v>
          </cell>
          <cell r="BW56" t="str">
            <v>GAS_EXTENS_DISCOV_LAMR</v>
          </cell>
          <cell r="BX56"/>
          <cell r="BY56" t="str">
            <v>NO</v>
          </cell>
          <cell r="BZ56" t="str">
            <v xml:space="preserve">  + Purchases</v>
          </cell>
          <cell r="CA56" t="str">
            <v>OIL_PURCHASES_LATIN_AMERICA</v>
          </cell>
          <cell r="CB56"/>
          <cell r="CC56" t="str">
            <v>NO</v>
          </cell>
          <cell r="CD56" t="str">
            <v xml:space="preserve">    Developed Reserves</v>
          </cell>
          <cell r="CE56" t="str">
            <v>BOE_DEVEL_RESV_CANADA</v>
          </cell>
          <cell r="CF56"/>
          <cell r="CG56" t="str">
            <v>NO</v>
          </cell>
          <cell r="CH56" t="str">
            <v>Production &amp; Prices</v>
          </cell>
          <cell r="CI56" t="str">
            <v>LABEL</v>
          </cell>
          <cell r="CJ56"/>
          <cell r="CK56" t="str">
            <v>BOLD</v>
          </cell>
          <cell r="CN56"/>
          <cell r="CO56" t="str">
            <v>BOLD</v>
          </cell>
          <cell r="CP56" t="str">
            <v>Periodic Enterprise Value to Gold Reserves</v>
          </cell>
          <cell r="CQ56" t="str">
            <v>EV_TO_GOLD_RESERVES</v>
          </cell>
          <cell r="CR56"/>
          <cell r="CS56" t="str">
            <v>BOLD</v>
          </cell>
          <cell r="CV56"/>
          <cell r="CW56" t="str">
            <v>BOLD</v>
          </cell>
          <cell r="CZ56"/>
          <cell r="DA56" t="str">
            <v>BOLD</v>
          </cell>
          <cell r="DD56"/>
          <cell r="DE56" t="str">
            <v>BOLD</v>
          </cell>
          <cell r="DH56"/>
          <cell r="DI56" t="str">
            <v>BOLD</v>
          </cell>
          <cell r="DL56"/>
          <cell r="DM56" t="str">
            <v>BOLD</v>
          </cell>
          <cell r="DP56"/>
          <cell r="DQ56" t="str">
            <v>BOLD</v>
          </cell>
          <cell r="DR56" t="str">
            <v xml:space="preserve">  Number of Licensed Beds</v>
          </cell>
          <cell r="DS56" t="str">
            <v>NUMBER_OF_LICENSED_BEDS</v>
          </cell>
          <cell r="DT56"/>
          <cell r="DU56" t="str">
            <v>NO</v>
          </cell>
          <cell r="DX56"/>
          <cell r="DY56" t="str">
            <v>BOLD</v>
          </cell>
          <cell r="EB56"/>
          <cell r="EC56" t="str">
            <v>BOLD</v>
          </cell>
          <cell r="EF56"/>
          <cell r="EG56" t="str">
            <v>BOLD</v>
          </cell>
          <cell r="EJ56"/>
          <cell r="EK56" t="str">
            <v>BOLD</v>
          </cell>
          <cell r="EL56" t="str">
            <v xml:space="preserve">  Car Miles per Day</v>
          </cell>
          <cell r="EM56" t="str">
            <v>CAR_MILES_PER_DAY</v>
          </cell>
          <cell r="EN56"/>
          <cell r="EO56" t="str">
            <v>NO</v>
          </cell>
          <cell r="ER56"/>
          <cell r="ES56" t="str">
            <v>BOLD</v>
          </cell>
          <cell r="EV56"/>
          <cell r="EW56" t="str">
            <v>BOLD</v>
          </cell>
          <cell r="EX56" t="str">
            <v>Employee Yr change %</v>
          </cell>
          <cell r="EY56" t="str">
            <v>EMPL_GROWTH</v>
          </cell>
          <cell r="EZ56"/>
          <cell r="FA56" t="str">
            <v>BOLD</v>
          </cell>
          <cell r="FD56"/>
          <cell r="FE56" t="str">
            <v>BOLD</v>
          </cell>
          <cell r="FF56" t="str">
            <v>Total Wireline Subscribers (RGU)</v>
          </cell>
          <cell r="FG56" t="str">
            <v>NUMBER_OF_WIRELINE_SUBSCRIBERS</v>
          </cell>
          <cell r="FH56"/>
          <cell r="FI56" t="str">
            <v>BOLD</v>
          </cell>
          <cell r="FL56"/>
          <cell r="FM56" t="str">
            <v>BOLD</v>
          </cell>
          <cell r="FN56" t="str">
            <v>Fuel Expenses</v>
          </cell>
          <cell r="FO56" t="str">
            <v>FUEL_EXPENSES</v>
          </cell>
          <cell r="FP56"/>
          <cell r="FQ56" t="str">
            <v>BOLD</v>
          </cell>
          <cell r="FT56"/>
          <cell r="FU56" t="str">
            <v>BOLD</v>
          </cell>
          <cell r="FX56"/>
          <cell r="FY56" t="str">
            <v>BOLD</v>
          </cell>
          <cell r="GB56"/>
          <cell r="GC56" t="str">
            <v>BOLD</v>
          </cell>
          <cell r="GF56"/>
          <cell r="GG56" t="str">
            <v>BOLD</v>
          </cell>
          <cell r="GJ56"/>
          <cell r="GK56" t="str">
            <v>BOLD</v>
          </cell>
          <cell r="GN56"/>
          <cell r="GO56" t="str">
            <v>BOLD</v>
          </cell>
          <cell r="GR56"/>
          <cell r="GS56" t="str">
            <v>BOLD</v>
          </cell>
          <cell r="GT56" t="str">
            <v>Family Entertainment</v>
          </cell>
          <cell r="GU56" t="str">
            <v>LABEL</v>
          </cell>
          <cell r="GV56"/>
          <cell r="GW56" t="str">
            <v>BOLD</v>
          </cell>
          <cell r="GZ56"/>
          <cell r="HA56" t="str">
            <v>BOLD</v>
          </cell>
          <cell r="HB56" t="str">
            <v>Minimum - Private Equity %</v>
          </cell>
          <cell r="HC56" t="str">
            <v>ASSET_ALLOCATION_MINIMUM_PE_%</v>
          </cell>
          <cell r="HD56"/>
          <cell r="HE56" t="str">
            <v>BOLD</v>
          </cell>
          <cell r="HH56"/>
          <cell r="HI56" t="str">
            <v>BOLD</v>
          </cell>
          <cell r="HL56"/>
          <cell r="HM56" t="str">
            <v>BOLD</v>
          </cell>
          <cell r="HP56"/>
          <cell r="HQ56" t="str">
            <v>BOLD</v>
          </cell>
          <cell r="HT56"/>
          <cell r="HU56" t="str">
            <v>BOLD</v>
          </cell>
          <cell r="HV56" t="str">
            <v>Other Real Estate Owned</v>
          </cell>
          <cell r="HW56" t="str">
            <v>BS_OTHER_REAL_ESTATE_OWNED</v>
          </cell>
          <cell r="HX56"/>
          <cell r="HY56" t="str">
            <v>BOLD</v>
          </cell>
          <cell r="HZ56" t="str">
            <v>Short-Term Investments</v>
          </cell>
          <cell r="IA56" t="str">
            <v>ARD_ST_INVEST</v>
          </cell>
          <cell r="IB56"/>
          <cell r="IC56" t="str">
            <v>BOLD</v>
          </cell>
          <cell r="IH56" t="str">
            <v>T12M Net Chg Offs/Avg Tot Loans</v>
          </cell>
          <cell r="II56" t="str">
            <v>T12M_NET_CHRG_OFF_TO_AVG_TOT_LN</v>
          </cell>
          <cell r="IJ56"/>
          <cell r="IK56" t="str">
            <v>BOLD</v>
          </cell>
          <cell r="IP56" t="str">
            <v xml:space="preserve">  Gas</v>
          </cell>
          <cell r="IQ56" t="str">
            <v>GAS_ENERGY_PRODUCTION</v>
          </cell>
          <cell r="IR56"/>
          <cell r="IS56" t="str">
            <v>NO</v>
          </cell>
          <cell r="IX56" t="str">
            <v>Other Real Estate Owned</v>
          </cell>
          <cell r="IY56" t="str">
            <v>BS_OTHER_REAL_ESTATE_OWNED</v>
          </cell>
          <cell r="IZ56"/>
          <cell r="JA56" t="str">
            <v>BOLD</v>
          </cell>
          <cell r="JB56" t="str">
            <v>Short-Term Investments</v>
          </cell>
          <cell r="JC56" t="str">
            <v>ARD_ST_INVEST</v>
          </cell>
          <cell r="JD56"/>
          <cell r="JE56" t="str">
            <v>BOLD</v>
          </cell>
          <cell r="JL56"/>
          <cell r="JM56" t="str">
            <v>BOLD</v>
          </cell>
        </row>
        <row r="57">
          <cell r="A57">
            <v>56</v>
          </cell>
          <cell r="D57"/>
          <cell r="E57" t="str">
            <v>BOLD</v>
          </cell>
          <cell r="F57" t="str">
            <v>Avg Spending per Account</v>
          </cell>
          <cell r="G57" t="str">
            <v>AVERAGE_SPENDING_PER_ACCOUNT</v>
          </cell>
          <cell r="H57"/>
          <cell r="I57" t="str">
            <v>BOLD</v>
          </cell>
          <cell r="P57"/>
          <cell r="Q57" t="str">
            <v>BOLD</v>
          </cell>
          <cell r="T57"/>
          <cell r="U57" t="str">
            <v>BOLD</v>
          </cell>
          <cell r="X57"/>
          <cell r="Y57" t="str">
            <v>BOLD</v>
          </cell>
          <cell r="AB57"/>
          <cell r="AC57" t="str">
            <v>BOLD</v>
          </cell>
          <cell r="AD57" t="str">
            <v>Silver ($/oz) - Co-Product Method</v>
          </cell>
          <cell r="AE57" t="str">
            <v>MINING_SILVER_CASH_COSTS_COPROD</v>
          </cell>
          <cell r="AF57"/>
          <cell r="AG57" t="str">
            <v>BOLD</v>
          </cell>
          <cell r="AH57" t="str">
            <v>Iron - Ore Volume (Tons)</v>
          </cell>
          <cell r="AI57" t="str">
            <v>MINING_P&amp;P_RSRVS_IRON_VOLUME</v>
          </cell>
          <cell r="AJ57"/>
          <cell r="AK57" t="str">
            <v>BOLD</v>
          </cell>
          <cell r="AL57" t="str">
            <v>Gold - Ore Volume (Tons)</v>
          </cell>
          <cell r="AM57" t="str">
            <v>MINING_INFERRED_RES_GOLD_VOLUME</v>
          </cell>
          <cell r="AN57"/>
          <cell r="AO57" t="str">
            <v>BOLD</v>
          </cell>
          <cell r="AR57"/>
          <cell r="AS57" t="str">
            <v>BOLD</v>
          </cell>
          <cell r="AV57"/>
          <cell r="AW57" t="str">
            <v>BOLD</v>
          </cell>
          <cell r="AZ57"/>
          <cell r="BA57" t="str">
            <v>BOLD</v>
          </cell>
          <cell r="BB57" t="str">
            <v xml:space="preserve">  - DD&amp;A</v>
          </cell>
          <cell r="BC57" t="str">
            <v>DD&amp;A_AFRICA</v>
          </cell>
          <cell r="BD57"/>
          <cell r="BE57" t="str">
            <v>NO</v>
          </cell>
          <cell r="BH57"/>
          <cell r="BI57" t="str">
            <v>BOLD</v>
          </cell>
          <cell r="BL57"/>
          <cell r="BM57" t="str">
            <v>BOLD</v>
          </cell>
          <cell r="BP57"/>
          <cell r="BQ57" t="str">
            <v>BOLD</v>
          </cell>
          <cell r="BT57"/>
          <cell r="BU57" t="str">
            <v>BOLD</v>
          </cell>
          <cell r="BV57" t="str">
            <v xml:space="preserve">  + Purchases</v>
          </cell>
          <cell r="BW57" t="str">
            <v>GAS_PURCHASES_LAMR</v>
          </cell>
          <cell r="BX57"/>
          <cell r="BY57" t="str">
            <v>NO</v>
          </cell>
          <cell r="BZ57" t="str">
            <v xml:space="preserve">  + Sales</v>
          </cell>
          <cell r="CA57" t="str">
            <v>OIL_SALES_LATIN_AMERICA</v>
          </cell>
          <cell r="CB57"/>
          <cell r="CC57" t="str">
            <v>NO</v>
          </cell>
          <cell r="CF57"/>
          <cell r="CG57" t="str">
            <v>BOLD</v>
          </cell>
          <cell r="CH57" t="str">
            <v xml:space="preserve">  Geo Production</v>
          </cell>
          <cell r="CI57" t="str">
            <v>LABEL</v>
          </cell>
          <cell r="CJ57"/>
          <cell r="CK57" t="str">
            <v>NO</v>
          </cell>
          <cell r="CN57"/>
          <cell r="CO57" t="str">
            <v>BOLD</v>
          </cell>
          <cell r="CP57" t="str">
            <v>Periodic EV to Gold Reserves plus M&amp;I</v>
          </cell>
          <cell r="CQ57" t="str">
            <v>EV_TO_GOLD_RSRVS_PLUS_M&amp;I</v>
          </cell>
          <cell r="CR57"/>
          <cell r="CS57" t="str">
            <v>BOLD</v>
          </cell>
          <cell r="CV57"/>
          <cell r="CW57" t="str">
            <v>BOLD</v>
          </cell>
          <cell r="CZ57"/>
          <cell r="DA57" t="str">
            <v>BOLD</v>
          </cell>
          <cell r="DD57"/>
          <cell r="DE57" t="str">
            <v>BOLD</v>
          </cell>
          <cell r="DH57"/>
          <cell r="DI57" t="str">
            <v>BOLD</v>
          </cell>
          <cell r="DL57"/>
          <cell r="DM57" t="str">
            <v>BOLD</v>
          </cell>
          <cell r="DP57"/>
          <cell r="DQ57" t="str">
            <v>BOLD</v>
          </cell>
          <cell r="DR57" t="str">
            <v xml:space="preserve">  Number of Beds in Service</v>
          </cell>
          <cell r="DS57" t="str">
            <v>NUMBER_OF_BEDS_IN_SERVICE</v>
          </cell>
          <cell r="DT57"/>
          <cell r="DU57" t="str">
            <v>NO</v>
          </cell>
          <cell r="DX57"/>
          <cell r="DY57" t="str">
            <v>BOLD</v>
          </cell>
          <cell r="EB57"/>
          <cell r="EC57" t="str">
            <v>BOLD</v>
          </cell>
          <cell r="EF57"/>
          <cell r="EG57" t="str">
            <v>BOLD</v>
          </cell>
          <cell r="EJ57"/>
          <cell r="EK57" t="str">
            <v>BOLD</v>
          </cell>
          <cell r="EL57" t="str">
            <v xml:space="preserve">  Average Total Cars Online</v>
          </cell>
          <cell r="EM57" t="str">
            <v>AVG_TOTAL_CARS_ONLINE</v>
          </cell>
          <cell r="EN57"/>
          <cell r="EO57" t="str">
            <v>NO</v>
          </cell>
          <cell r="ER57"/>
          <cell r="ES57" t="str">
            <v>BOLD</v>
          </cell>
          <cell r="EV57"/>
          <cell r="EW57" t="str">
            <v>BOLD</v>
          </cell>
          <cell r="EX57" t="str">
            <v>Sales/1000 Emp</v>
          </cell>
          <cell r="EY57" t="str">
            <v>SALES_PER_EMPL</v>
          </cell>
          <cell r="EZ57"/>
          <cell r="FA57" t="str">
            <v>BOLD</v>
          </cell>
          <cell r="FD57"/>
          <cell r="FE57" t="str">
            <v>BOLD</v>
          </cell>
          <cell r="FF57" t="str">
            <v>Residential Access Lines</v>
          </cell>
          <cell r="FG57" t="str">
            <v>RESIDENTIAL_ACCESS_LINES</v>
          </cell>
          <cell r="FH57"/>
          <cell r="FI57" t="str">
            <v>BOLD</v>
          </cell>
          <cell r="FL57"/>
          <cell r="FM57" t="str">
            <v>BOLD</v>
          </cell>
          <cell r="FN57" t="str">
            <v xml:space="preserve">  Mainline Fuel Expense</v>
          </cell>
          <cell r="FO57" t="str">
            <v>MAINLINE_FUEL_EXPENSE</v>
          </cell>
          <cell r="FP57"/>
          <cell r="FQ57" t="str">
            <v>NO</v>
          </cell>
          <cell r="FT57"/>
          <cell r="FU57" t="str">
            <v>BOLD</v>
          </cell>
          <cell r="FX57"/>
          <cell r="FY57" t="str">
            <v>BOLD</v>
          </cell>
          <cell r="GB57"/>
          <cell r="GC57" t="str">
            <v>BOLD</v>
          </cell>
          <cell r="GF57"/>
          <cell r="GG57" t="str">
            <v>BOLD</v>
          </cell>
          <cell r="GJ57"/>
          <cell r="GK57" t="str">
            <v>BOLD</v>
          </cell>
          <cell r="GN57"/>
          <cell r="GO57" t="str">
            <v>BOLD</v>
          </cell>
          <cell r="GR57"/>
          <cell r="GS57" t="str">
            <v>BOLD</v>
          </cell>
          <cell r="GT57" t="str">
            <v>Movie Theaters</v>
          </cell>
          <cell r="GU57" t="str">
            <v>LABEL</v>
          </cell>
          <cell r="GV57"/>
          <cell r="GW57" t="str">
            <v>BOLD</v>
          </cell>
          <cell r="GZ57"/>
          <cell r="HA57" t="str">
            <v>BOLD</v>
          </cell>
          <cell r="HB57" t="str">
            <v>Maximum - Private Equity %</v>
          </cell>
          <cell r="HC57" t="str">
            <v>ASSET_ALLOCATION_MAXIMUM_PE_%</v>
          </cell>
          <cell r="HD57"/>
          <cell r="HE57" t="str">
            <v>BOLD</v>
          </cell>
          <cell r="HH57"/>
          <cell r="HI57" t="str">
            <v>BOLD</v>
          </cell>
          <cell r="HL57"/>
          <cell r="HM57" t="str">
            <v>BOLD</v>
          </cell>
          <cell r="HP57"/>
          <cell r="HQ57" t="str">
            <v>BOLD</v>
          </cell>
          <cell r="HT57"/>
          <cell r="HU57" t="str">
            <v>BOLD</v>
          </cell>
          <cell r="HV57" t="str">
            <v>Non-Performing Assets</v>
          </cell>
          <cell r="HW57" t="str">
            <v>BS_NON_PERFORM_ASSET</v>
          </cell>
          <cell r="HX57"/>
          <cell r="HY57" t="str">
            <v>BOLD</v>
          </cell>
          <cell r="HZ57" t="str">
            <v>Cash &amp; Near Cash</v>
          </cell>
          <cell r="IA57" t="str">
            <v>BS_CASH_NEAR_CASH_ITEM</v>
          </cell>
          <cell r="IB57"/>
          <cell r="IC57" t="str">
            <v>BOLD</v>
          </cell>
          <cell r="IH57" t="str">
            <v>Annualized Net Chg-Offs/Avg Tot Loans</v>
          </cell>
          <cell r="II57" t="str">
            <v>ANN_NET_CHRG_OFF_TO_AVG_TOT_LOAN</v>
          </cell>
          <cell r="IJ57"/>
          <cell r="IK57" t="str">
            <v>BOLD</v>
          </cell>
          <cell r="IP57" t="str">
            <v xml:space="preserve">  Oil</v>
          </cell>
          <cell r="IQ57" t="str">
            <v>ELECTRICITY_PROD_THERM_OIL_GWH</v>
          </cell>
          <cell r="IR57"/>
          <cell r="IS57" t="str">
            <v>NO</v>
          </cell>
          <cell r="IX57" t="str">
            <v>Non-Performing Assets</v>
          </cell>
          <cell r="IY57" t="str">
            <v>BS_NON_PERFORM_ASSET</v>
          </cell>
          <cell r="IZ57"/>
          <cell r="JA57" t="str">
            <v>BOLD</v>
          </cell>
          <cell r="JB57" t="str">
            <v>Cash &amp; Near Cash</v>
          </cell>
          <cell r="JC57" t="str">
            <v>BS_CASH_NEAR_CASH_ITEM</v>
          </cell>
          <cell r="JD57"/>
          <cell r="JE57" t="str">
            <v>BOLD</v>
          </cell>
          <cell r="JL57"/>
          <cell r="JM57" t="str">
            <v>BOLD</v>
          </cell>
        </row>
        <row r="58">
          <cell r="A58">
            <v>57</v>
          </cell>
          <cell r="D58"/>
          <cell r="E58" t="str">
            <v>BOLD</v>
          </cell>
          <cell r="F58" t="str">
            <v>Avg Fee per Card</v>
          </cell>
          <cell r="G58" t="str">
            <v>AVERAGE_FEE_PER_CARD</v>
          </cell>
          <cell r="H58"/>
          <cell r="I58" t="str">
            <v>BOLD</v>
          </cell>
          <cell r="P58"/>
          <cell r="Q58" t="str">
            <v>BOLD</v>
          </cell>
          <cell r="T58"/>
          <cell r="U58" t="str">
            <v>BOLD</v>
          </cell>
          <cell r="X58"/>
          <cell r="Y58" t="str">
            <v>BOLD</v>
          </cell>
          <cell r="AB58"/>
          <cell r="AC58" t="str">
            <v>BOLD</v>
          </cell>
          <cell r="AD58" t="str">
            <v>Copper ($/lb) - Co-Product Method</v>
          </cell>
          <cell r="AE58" t="str">
            <v>MINING_COPPER_CASH_COSTS_COPROD</v>
          </cell>
          <cell r="AF58"/>
          <cell r="AG58" t="str">
            <v>BOLD</v>
          </cell>
          <cell r="AH58" t="str">
            <v>Iron - Grade (%)</v>
          </cell>
          <cell r="AI58" t="str">
            <v>MINING_P&amp;P_RSRVS_IRON_GRADE</v>
          </cell>
          <cell r="AJ58"/>
          <cell r="AK58" t="str">
            <v>BOLD</v>
          </cell>
          <cell r="AL58" t="str">
            <v>Gold - Grade (oz/Ton)</v>
          </cell>
          <cell r="AM58" t="str">
            <v>MINING_INFERRED_RES_GOLD_GRADE</v>
          </cell>
          <cell r="AN58"/>
          <cell r="AO58" t="str">
            <v>BOLD</v>
          </cell>
          <cell r="AR58"/>
          <cell r="AS58" t="str">
            <v>BOLD</v>
          </cell>
          <cell r="AV58"/>
          <cell r="AW58" t="str">
            <v>BOLD</v>
          </cell>
          <cell r="AZ58"/>
          <cell r="BA58" t="str">
            <v>BOLD</v>
          </cell>
          <cell r="BB58" t="str">
            <v xml:space="preserve">  - Other Expenses</v>
          </cell>
          <cell r="BC58" t="str">
            <v>OTHER_E&amp;P_EXPENSES_AFRICA</v>
          </cell>
          <cell r="BD58"/>
          <cell r="BE58" t="str">
            <v>NO</v>
          </cell>
          <cell r="BH58"/>
          <cell r="BI58" t="str">
            <v>BOLD</v>
          </cell>
          <cell r="BL58"/>
          <cell r="BM58" t="str">
            <v>BOLD</v>
          </cell>
          <cell r="BP58"/>
          <cell r="BQ58" t="str">
            <v>BOLD</v>
          </cell>
          <cell r="BT58"/>
          <cell r="BU58" t="str">
            <v>BOLD</v>
          </cell>
          <cell r="BV58" t="str">
            <v xml:space="preserve">  + Sales</v>
          </cell>
          <cell r="BW58" t="str">
            <v>GAS_SALES_LAMR</v>
          </cell>
          <cell r="BX58"/>
          <cell r="BY58" t="str">
            <v>NO</v>
          </cell>
          <cell r="BZ58" t="str">
            <v xml:space="preserve">  + Production</v>
          </cell>
          <cell r="CA58" t="str">
            <v>OIL_PRODUCTION_LATIN_AMERICA</v>
          </cell>
          <cell r="CB58"/>
          <cell r="CC58" t="str">
            <v>NO</v>
          </cell>
          <cell r="CD58" t="str">
            <v>Latin America</v>
          </cell>
          <cell r="CE58" t="str">
            <v>LABEL</v>
          </cell>
          <cell r="CF58"/>
          <cell r="CG58" t="str">
            <v>BOLD</v>
          </cell>
          <cell r="CH58" t="str">
            <v xml:space="preserve">  Geo Results</v>
          </cell>
          <cell r="CI58" t="str">
            <v>LABEL</v>
          </cell>
          <cell r="CJ58"/>
          <cell r="CK58" t="str">
            <v>NO</v>
          </cell>
          <cell r="CN58"/>
          <cell r="CO58" t="str">
            <v>BOLD</v>
          </cell>
          <cell r="CP58" t="str">
            <v>Gold Reserves per Share</v>
          </cell>
          <cell r="CQ58" t="str">
            <v>GOLD_RESERVES_PER_SHARE</v>
          </cell>
          <cell r="CR58"/>
          <cell r="CS58" t="str">
            <v>BOLD</v>
          </cell>
          <cell r="CV58"/>
          <cell r="CW58" t="str">
            <v>BOLD</v>
          </cell>
          <cell r="CZ58"/>
          <cell r="DA58" t="str">
            <v>BOLD</v>
          </cell>
          <cell r="DD58"/>
          <cell r="DE58" t="str">
            <v>BOLD</v>
          </cell>
          <cell r="DH58"/>
          <cell r="DI58" t="str">
            <v>BOLD</v>
          </cell>
          <cell r="DL58"/>
          <cell r="DM58" t="str">
            <v>BOLD</v>
          </cell>
          <cell r="DP58"/>
          <cell r="DQ58" t="str">
            <v>BOLD</v>
          </cell>
          <cell r="DR58" t="str">
            <v xml:space="preserve">  Number of Retirement Licensed Beds</v>
          </cell>
          <cell r="DS58" t="str">
            <v>NUM_OF_LICENSED_BEDS_RETIREMENT</v>
          </cell>
          <cell r="DT58"/>
          <cell r="DU58" t="str">
            <v>NO</v>
          </cell>
          <cell r="DX58"/>
          <cell r="DY58" t="str">
            <v>BOLD</v>
          </cell>
          <cell r="EB58"/>
          <cell r="EC58" t="str">
            <v>BOLD</v>
          </cell>
          <cell r="EF58"/>
          <cell r="EG58" t="str">
            <v>BOLD</v>
          </cell>
          <cell r="EJ58"/>
          <cell r="EK58" t="str">
            <v>BOLD</v>
          </cell>
          <cell r="EN58"/>
          <cell r="EO58" t="str">
            <v>BOLD</v>
          </cell>
          <cell r="ER58"/>
          <cell r="ES58" t="str">
            <v>BOLD</v>
          </cell>
          <cell r="EV58"/>
          <cell r="EW58" t="str">
            <v>BOLD</v>
          </cell>
          <cell r="EX58" t="str">
            <v>Net Inc/1000 Emp</v>
          </cell>
          <cell r="EY58" t="str">
            <v>NET_INC_PER_EMPL</v>
          </cell>
          <cell r="EZ58"/>
          <cell r="FA58" t="str">
            <v>BOLD</v>
          </cell>
          <cell r="FD58"/>
          <cell r="FE58" t="str">
            <v>BOLD</v>
          </cell>
          <cell r="FF58" t="str">
            <v>Business Access Lines</v>
          </cell>
          <cell r="FG58" t="str">
            <v>BUSINESS_ACCESS_LINES</v>
          </cell>
          <cell r="FH58"/>
          <cell r="FI58" t="str">
            <v>BOLD</v>
          </cell>
          <cell r="FL58"/>
          <cell r="FM58" t="str">
            <v>BOLD</v>
          </cell>
          <cell r="FN58" t="str">
            <v xml:space="preserve">  Regional Fuel Expense</v>
          </cell>
          <cell r="FO58" t="str">
            <v>REGIONAL_FUEL_EXPENSE</v>
          </cell>
          <cell r="FP58"/>
          <cell r="FQ58" t="str">
            <v>NO</v>
          </cell>
          <cell r="FT58"/>
          <cell r="FU58" t="str">
            <v>BOLD</v>
          </cell>
          <cell r="FX58"/>
          <cell r="FY58" t="str">
            <v>BOLD</v>
          </cell>
          <cell r="GB58"/>
          <cell r="GC58" t="str">
            <v>BOLD</v>
          </cell>
          <cell r="GF58"/>
          <cell r="GG58" t="str">
            <v>BOLD</v>
          </cell>
          <cell r="GJ58"/>
          <cell r="GK58" t="str">
            <v>BOLD</v>
          </cell>
          <cell r="GN58"/>
          <cell r="GO58" t="str">
            <v>BOLD</v>
          </cell>
          <cell r="GR58"/>
          <cell r="GS58" t="str">
            <v>BOLD</v>
          </cell>
          <cell r="GT58" t="str">
            <v xml:space="preserve">  Number of Theaters</v>
          </cell>
          <cell r="GU58" t="str">
            <v>ENTERT_THEATERS</v>
          </cell>
          <cell r="GV58"/>
          <cell r="GW58" t="str">
            <v>NO</v>
          </cell>
          <cell r="GZ58"/>
          <cell r="HA58" t="str">
            <v>BOLD</v>
          </cell>
          <cell r="HB58" t="str">
            <v>Minimum - Hedge Fund Investment %</v>
          </cell>
          <cell r="HC58" t="str">
            <v>ASSET_ALLOCATION_MIN_HF_INVEST_%</v>
          </cell>
          <cell r="HD58"/>
          <cell r="HE58" t="str">
            <v>BOLD</v>
          </cell>
          <cell r="HH58"/>
          <cell r="HI58" t="str">
            <v>BOLD</v>
          </cell>
          <cell r="HL58"/>
          <cell r="HM58" t="str">
            <v>BOLD</v>
          </cell>
          <cell r="HP58"/>
          <cell r="HQ58" t="str">
            <v>BOLD</v>
          </cell>
          <cell r="HT58"/>
          <cell r="HU58" t="str">
            <v>BOLD</v>
          </cell>
          <cell r="HV58" t="str">
            <v>Non-Perf Assets/Total Assets</v>
          </cell>
          <cell r="HW58" t="str">
            <v>NON_PERF_ASSET_TO_TOT_ASSET</v>
          </cell>
          <cell r="HX58"/>
          <cell r="HY58" t="str">
            <v>BOLD</v>
          </cell>
          <cell r="HZ58" t="str">
            <v>Other Investment Portfolio Assets</v>
          </cell>
          <cell r="IA58" t="str">
            <v>BS_OTHER_INV_PORTFOLIO_ASSETS</v>
          </cell>
          <cell r="IB58"/>
          <cell r="IC58" t="str">
            <v>BOLD</v>
          </cell>
          <cell r="IH58" t="str">
            <v>Provision for Loan Losses</v>
          </cell>
          <cell r="II58" t="str">
            <v>IS_PROV_FOR_LOAN_LOSS</v>
          </cell>
          <cell r="IJ58"/>
          <cell r="IK58" t="str">
            <v>BOLD</v>
          </cell>
          <cell r="IP58" t="str">
            <v xml:space="preserve">  CHP</v>
          </cell>
          <cell r="IQ58" t="str">
            <v>ELECTRICITY_PROD_THERM_CHP_GWH</v>
          </cell>
          <cell r="IR58"/>
          <cell r="IS58" t="str">
            <v>NO</v>
          </cell>
          <cell r="IX58" t="str">
            <v>Non-Perf Assets/Total Assets</v>
          </cell>
          <cell r="IY58" t="str">
            <v>NON_PERF_ASSET_TO_TOT_ASSET</v>
          </cell>
          <cell r="IZ58"/>
          <cell r="JA58" t="str">
            <v>BOLD</v>
          </cell>
          <cell r="JB58" t="str">
            <v>Other Investment Portfolio Assets</v>
          </cell>
          <cell r="JC58" t="str">
            <v>BS_OTHER_INV_PORTFOLIO_ASSETS</v>
          </cell>
          <cell r="JD58"/>
          <cell r="JE58" t="str">
            <v>BOLD</v>
          </cell>
          <cell r="JL58"/>
          <cell r="JM58" t="str">
            <v>BOLD</v>
          </cell>
        </row>
        <row r="59">
          <cell r="A59">
            <v>58</v>
          </cell>
          <cell r="D59"/>
          <cell r="E59" t="str">
            <v>BOLD</v>
          </cell>
          <cell r="F59" t="str">
            <v># of Merchants</v>
          </cell>
          <cell r="G59" t="str">
            <v>NUM_OF_MERCHANTS</v>
          </cell>
          <cell r="H59"/>
          <cell r="I59" t="str">
            <v>BOLD</v>
          </cell>
          <cell r="P59"/>
          <cell r="Q59" t="str">
            <v>BOLD</v>
          </cell>
          <cell r="T59"/>
          <cell r="U59" t="str">
            <v>BOLD</v>
          </cell>
          <cell r="X59"/>
          <cell r="Y59" t="str">
            <v>BOLD</v>
          </cell>
          <cell r="AB59"/>
          <cell r="AC59" t="str">
            <v>BOLD</v>
          </cell>
          <cell r="AF59"/>
          <cell r="AG59" t="str">
            <v>BOLD</v>
          </cell>
          <cell r="AJ59"/>
          <cell r="AK59" t="str">
            <v>BOLD</v>
          </cell>
          <cell r="AL59" t="str">
            <v>Contained Gold (oz)</v>
          </cell>
          <cell r="AM59" t="str">
            <v>MINING_INFERRED_RES_CONTAIN_GOLD</v>
          </cell>
          <cell r="AN59"/>
          <cell r="AO59" t="str">
            <v>BOLD</v>
          </cell>
          <cell r="AR59"/>
          <cell r="AS59" t="str">
            <v>BOLD</v>
          </cell>
          <cell r="AV59"/>
          <cell r="AW59" t="str">
            <v>BOLD</v>
          </cell>
          <cell r="AZ59"/>
          <cell r="BA59" t="str">
            <v>BOLD</v>
          </cell>
          <cell r="BB59" t="str">
            <v xml:space="preserve">  - Income Tax</v>
          </cell>
          <cell r="BC59" t="str">
            <v>INCOME_TAX_AFRICA</v>
          </cell>
          <cell r="BD59"/>
          <cell r="BE59" t="str">
            <v>NO</v>
          </cell>
          <cell r="BH59"/>
          <cell r="BI59" t="str">
            <v>BOLD</v>
          </cell>
          <cell r="BL59"/>
          <cell r="BM59" t="str">
            <v>BOLD</v>
          </cell>
          <cell r="BP59"/>
          <cell r="BQ59" t="str">
            <v>BOLD</v>
          </cell>
          <cell r="BT59"/>
          <cell r="BU59" t="str">
            <v>BOLD</v>
          </cell>
          <cell r="BV59" t="str">
            <v xml:space="preserve">  + Production</v>
          </cell>
          <cell r="BW59" t="str">
            <v>GAS_PRODUCTION_LAMR</v>
          </cell>
          <cell r="BX59"/>
          <cell r="BY59" t="str">
            <v>NO</v>
          </cell>
          <cell r="BZ59" t="str">
            <v xml:space="preserve">  + Other</v>
          </cell>
          <cell r="CA59" t="str">
            <v>OIL_OTHER_CHANGES_LATIN_AMERICA</v>
          </cell>
          <cell r="CB59"/>
          <cell r="CC59" t="str">
            <v>NO</v>
          </cell>
          <cell r="CD59" t="str">
            <v xml:space="preserve">  Start of Year</v>
          </cell>
          <cell r="CE59" t="str">
            <v>BOE_START_YEAR_LAMR</v>
          </cell>
          <cell r="CF59"/>
          <cell r="CG59" t="str">
            <v>NO</v>
          </cell>
          <cell r="CH59" t="str">
            <v>Results of Operations</v>
          </cell>
          <cell r="CI59" t="str">
            <v>RESULTS_OPERATIONS_WORLD</v>
          </cell>
          <cell r="CJ59"/>
          <cell r="CK59" t="str">
            <v>BOLD</v>
          </cell>
          <cell r="CN59"/>
          <cell r="CO59" t="str">
            <v>BOLD</v>
          </cell>
          <cell r="CP59" t="str">
            <v>Gold Estimated Reserves and Resources per Share</v>
          </cell>
          <cell r="CQ59" t="str">
            <v>GOLD_EST_R&amp;R_PER_SHARE</v>
          </cell>
          <cell r="CR59"/>
          <cell r="CS59" t="str">
            <v>BOLD</v>
          </cell>
          <cell r="CV59"/>
          <cell r="CW59" t="str">
            <v>BOLD</v>
          </cell>
          <cell r="CZ59"/>
          <cell r="DA59" t="str">
            <v>BOLD</v>
          </cell>
          <cell r="DD59"/>
          <cell r="DE59" t="str">
            <v>BOLD</v>
          </cell>
          <cell r="DH59"/>
          <cell r="DI59" t="str">
            <v>BOLD</v>
          </cell>
          <cell r="DL59"/>
          <cell r="DM59" t="str">
            <v>BOLD</v>
          </cell>
          <cell r="DP59"/>
          <cell r="DQ59" t="str">
            <v>BOLD</v>
          </cell>
          <cell r="DR59" t="str">
            <v xml:space="preserve">  Weighted Average Licensed Beds</v>
          </cell>
          <cell r="DS59" t="str">
            <v>WTD_AVG_LICENSED_BEDS_HOSPITAL</v>
          </cell>
          <cell r="DT59"/>
          <cell r="DU59" t="str">
            <v>NO</v>
          </cell>
          <cell r="DX59"/>
          <cell r="DY59" t="str">
            <v>BOLD</v>
          </cell>
          <cell r="EB59"/>
          <cell r="EC59" t="str">
            <v>BOLD</v>
          </cell>
          <cell r="EF59"/>
          <cell r="EG59" t="str">
            <v>BOLD</v>
          </cell>
          <cell r="EJ59"/>
          <cell r="EK59" t="str">
            <v>BOLD</v>
          </cell>
          <cell r="EN59"/>
          <cell r="EO59" t="str">
            <v>BOLD</v>
          </cell>
          <cell r="ER59"/>
          <cell r="ES59" t="str">
            <v>BOLD</v>
          </cell>
          <cell r="EV59"/>
          <cell r="EW59" t="str">
            <v>BOLD</v>
          </cell>
          <cell r="EX59" t="str">
            <v>Assets/1000 Emp</v>
          </cell>
          <cell r="EY59" t="str">
            <v>ASSET_PER_EMPL</v>
          </cell>
          <cell r="EZ59"/>
          <cell r="FA59" t="str">
            <v>BOLD</v>
          </cell>
          <cell r="FD59"/>
          <cell r="FE59" t="str">
            <v>BOLD</v>
          </cell>
          <cell r="FF59" t="str">
            <v>Total Cable Subscribers</v>
          </cell>
          <cell r="FG59" t="str">
            <v>TOTAL_CABLE_SUBSCRIBERS</v>
          </cell>
          <cell r="FH59"/>
          <cell r="FI59" t="str">
            <v>BOLD</v>
          </cell>
          <cell r="FL59"/>
          <cell r="FM59" t="str">
            <v>BOLD</v>
          </cell>
          <cell r="FN59" t="str">
            <v>Fuel % of Oper Exp</v>
          </cell>
          <cell r="FO59" t="str">
            <v>FUEL_PCT_OF_OP_EXP</v>
          </cell>
          <cell r="FP59"/>
          <cell r="FQ59" t="str">
            <v>BOLD</v>
          </cell>
          <cell r="FT59"/>
          <cell r="FU59" t="str">
            <v>BOLD</v>
          </cell>
          <cell r="FX59"/>
          <cell r="FY59" t="str">
            <v>BOLD</v>
          </cell>
          <cell r="GB59"/>
          <cell r="GC59" t="str">
            <v>BOLD</v>
          </cell>
          <cell r="GF59"/>
          <cell r="GG59" t="str">
            <v>BOLD</v>
          </cell>
          <cell r="GJ59"/>
          <cell r="GK59" t="str">
            <v>BOLD</v>
          </cell>
          <cell r="GN59"/>
          <cell r="GO59" t="str">
            <v>BOLD</v>
          </cell>
          <cell r="GR59"/>
          <cell r="GS59" t="str">
            <v>BOLD</v>
          </cell>
          <cell r="GT59" t="str">
            <v xml:space="preserve">  Number of Screens</v>
          </cell>
          <cell r="GU59" t="str">
            <v>ENTERT_SCREENS</v>
          </cell>
          <cell r="GV59"/>
          <cell r="GW59" t="str">
            <v>NO</v>
          </cell>
          <cell r="GZ59"/>
          <cell r="HA59" t="str">
            <v>BOLD</v>
          </cell>
          <cell r="HB59" t="str">
            <v>Maximum - Hedge Fund Investment %</v>
          </cell>
          <cell r="HC59" t="str">
            <v>AST_ALLOCATION_MAX_HF_INVEST_%</v>
          </cell>
          <cell r="HD59"/>
          <cell r="HE59" t="str">
            <v>BOLD</v>
          </cell>
          <cell r="HH59"/>
          <cell r="HI59" t="str">
            <v>BOLD</v>
          </cell>
          <cell r="HL59"/>
          <cell r="HM59" t="str">
            <v>BOLD</v>
          </cell>
          <cell r="HP59"/>
          <cell r="HQ59" t="str">
            <v>BOLD</v>
          </cell>
          <cell r="HT59"/>
          <cell r="HU59" t="str">
            <v>BOLD</v>
          </cell>
          <cell r="HV59" t="str">
            <v>Non-Perf Assets/Total Loans</v>
          </cell>
          <cell r="HW59" t="str">
            <v>NON_PERFORM_ASSET_TO_TOT_LOAN</v>
          </cell>
          <cell r="HX59"/>
          <cell r="HY59" t="str">
            <v>BOLD</v>
          </cell>
          <cell r="IB59"/>
          <cell r="IC59" t="str">
            <v>BOLD</v>
          </cell>
          <cell r="IH59" t="str">
            <v>Prov Loan Losses/Total Loans</v>
          </cell>
          <cell r="II59" t="str">
            <v>PROV_FOR_LOAN_LOSS_TO_TOT_LOAN</v>
          </cell>
          <cell r="IJ59"/>
          <cell r="IK59" t="str">
            <v>BOLD</v>
          </cell>
          <cell r="IP59" t="str">
            <v xml:space="preserve">  Multi</v>
          </cell>
          <cell r="IQ59" t="str">
            <v>ELEC_PROD_THERM_MULTIFUEL_GWH</v>
          </cell>
          <cell r="IR59"/>
          <cell r="IS59" t="str">
            <v>NO</v>
          </cell>
          <cell r="IX59" t="str">
            <v>Non-Perf Assets/Total Loans</v>
          </cell>
          <cell r="IY59" t="str">
            <v>NON_PERFORM_ASSET_TO_TOT_LOAN</v>
          </cell>
          <cell r="IZ59"/>
          <cell r="JA59" t="str">
            <v>BOLD</v>
          </cell>
          <cell r="JD59"/>
          <cell r="JE59" t="str">
            <v>BOLD</v>
          </cell>
          <cell r="JL59"/>
          <cell r="JM59" t="str">
            <v>BOLD</v>
          </cell>
        </row>
        <row r="60">
          <cell r="A60">
            <v>59</v>
          </cell>
          <cell r="D60"/>
          <cell r="E60" t="str">
            <v>BOLD</v>
          </cell>
          <cell r="F60" t="str">
            <v>Payment Processing Transactions</v>
          </cell>
          <cell r="G60" t="str">
            <v>PAYMENT_PROCESSING_TRANS</v>
          </cell>
          <cell r="H60"/>
          <cell r="I60" t="str">
            <v>BOLD</v>
          </cell>
          <cell r="P60"/>
          <cell r="Q60" t="str">
            <v>BOLD</v>
          </cell>
          <cell r="T60"/>
          <cell r="U60" t="str">
            <v>BOLD</v>
          </cell>
          <cell r="X60"/>
          <cell r="Y60" t="str">
            <v>BOLD</v>
          </cell>
          <cell r="AB60"/>
          <cell r="AC60" t="str">
            <v>BOLD</v>
          </cell>
          <cell r="AF60"/>
          <cell r="AG60" t="str">
            <v>BOLD</v>
          </cell>
          <cell r="AJ60"/>
          <cell r="AK60" t="str">
            <v>BOLD</v>
          </cell>
          <cell r="AL60" t="str">
            <v>Silver - Ore Volume (Tons)</v>
          </cell>
          <cell r="AM60" t="str">
            <v>MINING_INFERRED_RES_SILVER_VOL</v>
          </cell>
          <cell r="AN60"/>
          <cell r="AO60" t="str">
            <v>BOLD</v>
          </cell>
          <cell r="AR60"/>
          <cell r="AS60" t="str">
            <v>BOLD</v>
          </cell>
          <cell r="AV60"/>
          <cell r="AW60" t="str">
            <v>BOLD</v>
          </cell>
          <cell r="AZ60"/>
          <cell r="BA60" t="str">
            <v>BOLD</v>
          </cell>
          <cell r="BB60" t="str">
            <v xml:space="preserve">  + Other Income</v>
          </cell>
          <cell r="BC60" t="str">
            <v>OTHER_E&amp;P_INCOME_AFRICA</v>
          </cell>
          <cell r="BD60"/>
          <cell r="BE60" t="str">
            <v>NO</v>
          </cell>
          <cell r="BH60"/>
          <cell r="BI60" t="str">
            <v>BOLD</v>
          </cell>
          <cell r="BL60"/>
          <cell r="BM60" t="str">
            <v>BOLD</v>
          </cell>
          <cell r="BP60"/>
          <cell r="BQ60" t="str">
            <v>BOLD</v>
          </cell>
          <cell r="BT60"/>
          <cell r="BU60" t="str">
            <v>BOLD</v>
          </cell>
          <cell r="BV60" t="str">
            <v xml:space="preserve">  + Other</v>
          </cell>
          <cell r="BW60" t="str">
            <v>GAS_OTHER_CHG_LAMR</v>
          </cell>
          <cell r="BX60"/>
          <cell r="BY60" t="str">
            <v>NO</v>
          </cell>
          <cell r="BZ60" t="str">
            <v xml:space="preserve">  End of year</v>
          </cell>
          <cell r="CA60" t="str">
            <v>OIL_RESERVES_END_YEAR_LATAM</v>
          </cell>
          <cell r="CB60"/>
          <cell r="CC60" t="str">
            <v>NO</v>
          </cell>
          <cell r="CD60" t="str">
            <v xml:space="preserve">  + Revisions</v>
          </cell>
          <cell r="CE60" t="str">
            <v>BOE_REVISIONS_LAMR</v>
          </cell>
          <cell r="CF60"/>
          <cell r="CG60" t="str">
            <v>NO</v>
          </cell>
          <cell r="CH60" t="str">
            <v>Finding Cost</v>
          </cell>
          <cell r="CI60" t="str">
            <v>FINDING_COST_BOE</v>
          </cell>
          <cell r="CJ60"/>
          <cell r="CK60" t="str">
            <v>BOLD</v>
          </cell>
          <cell r="CN60"/>
          <cell r="CO60" t="str">
            <v>BOLD</v>
          </cell>
          <cell r="CP60" t="str">
            <v>Mining - P&amp;P Reserves Contained Gold</v>
          </cell>
          <cell r="CQ60" t="str">
            <v>MINING_P&amp;P_RSRVS_CONTAINED_GOLD</v>
          </cell>
          <cell r="CR60"/>
          <cell r="CS60" t="str">
            <v>BOLD</v>
          </cell>
          <cell r="CV60"/>
          <cell r="CW60" t="str">
            <v>BOLD</v>
          </cell>
          <cell r="CZ60"/>
          <cell r="DA60" t="str">
            <v>BOLD</v>
          </cell>
          <cell r="DD60"/>
          <cell r="DE60" t="str">
            <v>BOLD</v>
          </cell>
          <cell r="DH60"/>
          <cell r="DI60" t="str">
            <v>BOLD</v>
          </cell>
          <cell r="DL60"/>
          <cell r="DM60" t="str">
            <v>BOLD</v>
          </cell>
          <cell r="DP60"/>
          <cell r="DQ60" t="str">
            <v>BOLD</v>
          </cell>
          <cell r="DR60" t="str">
            <v xml:space="preserve">  Available Beds (Start of Period)</v>
          </cell>
          <cell r="DS60" t="str">
            <v>AVAILABLE_BEDS_START_OF_PERIOD</v>
          </cell>
          <cell r="DT60"/>
          <cell r="DU60" t="str">
            <v>NO</v>
          </cell>
          <cell r="DX60"/>
          <cell r="DY60" t="str">
            <v>BOLD</v>
          </cell>
          <cell r="EB60"/>
          <cell r="EC60" t="str">
            <v>BOLD</v>
          </cell>
          <cell r="EF60"/>
          <cell r="EG60" t="str">
            <v>BOLD</v>
          </cell>
          <cell r="EJ60"/>
          <cell r="EK60" t="str">
            <v>BOLD</v>
          </cell>
          <cell r="EN60"/>
          <cell r="EO60" t="str">
            <v>BOLD</v>
          </cell>
          <cell r="ER60"/>
          <cell r="ES60" t="str">
            <v>BOLD</v>
          </cell>
          <cell r="EV60"/>
          <cell r="EW60" t="str">
            <v>BOLD</v>
          </cell>
          <cell r="EZ60"/>
          <cell r="FA60" t="str">
            <v>BOLD</v>
          </cell>
          <cell r="FD60"/>
          <cell r="FE60" t="str">
            <v>BOLD</v>
          </cell>
          <cell r="FF60" t="str">
            <v>Broadband Internet Subscribers</v>
          </cell>
          <cell r="FG60" t="str">
            <v>BROADBAND_HSI_SUBSCRIBERS</v>
          </cell>
          <cell r="FH60"/>
          <cell r="FI60" t="str">
            <v>BOLD</v>
          </cell>
          <cell r="FL60"/>
          <cell r="FM60" t="str">
            <v>BOLD</v>
          </cell>
          <cell r="FP60"/>
          <cell r="FQ60" t="str">
            <v>BOLD</v>
          </cell>
          <cell r="FT60"/>
          <cell r="FU60" t="str">
            <v>BOLD</v>
          </cell>
          <cell r="FX60"/>
          <cell r="FY60" t="str">
            <v>BOLD</v>
          </cell>
          <cell r="GB60"/>
          <cell r="GC60" t="str">
            <v>BOLD</v>
          </cell>
          <cell r="GF60"/>
          <cell r="GG60" t="str">
            <v>BOLD</v>
          </cell>
          <cell r="GJ60"/>
          <cell r="GK60" t="str">
            <v>BOLD</v>
          </cell>
          <cell r="GN60"/>
          <cell r="GO60" t="str">
            <v>BOLD</v>
          </cell>
          <cell r="GR60"/>
          <cell r="GS60" t="str">
            <v>BOLD</v>
          </cell>
          <cell r="GT60" t="str">
            <v xml:space="preserve">  Movie Attendance</v>
          </cell>
          <cell r="GU60" t="str">
            <v>ENTERT_MOVIE_ATTENDANCE</v>
          </cell>
          <cell r="GV60"/>
          <cell r="GW60" t="str">
            <v>NO</v>
          </cell>
          <cell r="GZ60"/>
          <cell r="HA60" t="str">
            <v>BOLD</v>
          </cell>
          <cell r="HB60" t="str">
            <v>Minimum - Real Estate Investment %</v>
          </cell>
          <cell r="HC60" t="str">
            <v>AST_ALLOC_MIN_RE_INVEST_%</v>
          </cell>
          <cell r="HD60"/>
          <cell r="HE60" t="str">
            <v>BOLD</v>
          </cell>
          <cell r="HH60"/>
          <cell r="HI60" t="str">
            <v>BOLD</v>
          </cell>
          <cell r="HL60"/>
          <cell r="HM60" t="str">
            <v>BOLD</v>
          </cell>
          <cell r="HP60"/>
          <cell r="HQ60" t="str">
            <v>BOLD</v>
          </cell>
          <cell r="HT60"/>
          <cell r="HU60" t="str">
            <v>BOLD</v>
          </cell>
          <cell r="HV60" t="str">
            <v>Non-Perf Loans/Total Loans</v>
          </cell>
          <cell r="HW60" t="str">
            <v>NPLS_TO_TOTAL_LOANS</v>
          </cell>
          <cell r="HX60"/>
          <cell r="HY60" t="str">
            <v>BOLD</v>
          </cell>
          <cell r="HZ60" t="str">
            <v>Fair Value of Assets</v>
          </cell>
          <cell r="IA60" t="str">
            <v>LABEL</v>
          </cell>
          <cell r="IB60"/>
          <cell r="IC60" t="str">
            <v>BOLD</v>
          </cell>
          <cell r="IH60" t="str">
            <v>Actual Loan Losses (Net)</v>
          </cell>
          <cell r="II60" t="str">
            <v>IS_ACT_LOAN_LOSS_NET</v>
          </cell>
          <cell r="IJ60"/>
          <cell r="IK60" t="str">
            <v>BOLD</v>
          </cell>
          <cell r="IP60" t="str">
            <v>+ Renewables</v>
          </cell>
          <cell r="IQ60" t="str">
            <v>TOTAL_RENEWABLES_ENERGY_PROD</v>
          </cell>
          <cell r="IR60"/>
          <cell r="IS60" t="str">
            <v>BOLD</v>
          </cell>
          <cell r="IX60" t="str">
            <v>Non-Perf Loans/Total Loans</v>
          </cell>
          <cell r="IY60" t="str">
            <v>NPLS_TO_TOTAL_LOANS</v>
          </cell>
          <cell r="IZ60"/>
          <cell r="JA60" t="str">
            <v>BOLD</v>
          </cell>
          <cell r="JB60" t="str">
            <v>Fair Value of Assets</v>
          </cell>
          <cell r="JC60" t="str">
            <v>LABEL</v>
          </cell>
          <cell r="JD60"/>
          <cell r="JE60" t="str">
            <v>BOLD</v>
          </cell>
          <cell r="JL60"/>
          <cell r="JM60" t="str">
            <v>BOLD</v>
          </cell>
        </row>
        <row r="61">
          <cell r="A61">
            <v>60</v>
          </cell>
          <cell r="D61"/>
          <cell r="E61" t="str">
            <v>BOLD</v>
          </cell>
          <cell r="F61" t="str">
            <v>Gallons per Pmt Processing Trans</v>
          </cell>
          <cell r="G61" t="str">
            <v>GALLONS_PER_PMT_PRCSS_TRANS</v>
          </cell>
          <cell r="H61"/>
          <cell r="I61" t="str">
            <v>BOLD</v>
          </cell>
          <cell r="P61"/>
          <cell r="Q61" t="str">
            <v>BOLD</v>
          </cell>
          <cell r="T61"/>
          <cell r="U61" t="str">
            <v>BOLD</v>
          </cell>
          <cell r="X61"/>
          <cell r="Y61" t="str">
            <v>BOLD</v>
          </cell>
          <cell r="AB61"/>
          <cell r="AC61" t="str">
            <v>BOLD</v>
          </cell>
          <cell r="AF61"/>
          <cell r="AG61" t="str">
            <v>BOLD</v>
          </cell>
          <cell r="AJ61"/>
          <cell r="AK61" t="str">
            <v>BOLD</v>
          </cell>
          <cell r="AL61" t="str">
            <v>Silver - Grade (oz/Ton)</v>
          </cell>
          <cell r="AM61" t="str">
            <v>MINING_INFERRED_RES_SILVER_GRADE</v>
          </cell>
          <cell r="AN61"/>
          <cell r="AO61" t="str">
            <v>BOLD</v>
          </cell>
          <cell r="AR61"/>
          <cell r="AS61" t="str">
            <v>BOLD</v>
          </cell>
          <cell r="AV61"/>
          <cell r="AW61" t="str">
            <v>BOLD</v>
          </cell>
          <cell r="AZ61"/>
          <cell r="BA61" t="str">
            <v>BOLD</v>
          </cell>
          <cell r="BB61" t="str">
            <v xml:space="preserve">  Results of Operations</v>
          </cell>
          <cell r="BC61" t="str">
            <v>RESULTS_OPERATIONS_AFRICA</v>
          </cell>
          <cell r="BD61"/>
          <cell r="BE61" t="str">
            <v>NO</v>
          </cell>
          <cell r="BH61"/>
          <cell r="BI61" t="str">
            <v>BOLD</v>
          </cell>
          <cell r="BL61"/>
          <cell r="BM61" t="str">
            <v>BOLD</v>
          </cell>
          <cell r="BP61"/>
          <cell r="BQ61" t="str">
            <v>BOLD</v>
          </cell>
          <cell r="BT61"/>
          <cell r="BU61" t="str">
            <v>BOLD</v>
          </cell>
          <cell r="BV61" t="str">
            <v xml:space="preserve">  End of year</v>
          </cell>
          <cell r="BW61" t="str">
            <v>GAS_END_YEAR_LAMR</v>
          </cell>
          <cell r="BX61"/>
          <cell r="BY61" t="str">
            <v>NO</v>
          </cell>
          <cell r="BZ61" t="str">
            <v xml:space="preserve">  Developed Reserves</v>
          </cell>
          <cell r="CA61" t="str">
            <v>OIL_DEVELOPED_RESERVES_LATAM</v>
          </cell>
          <cell r="CB61"/>
          <cell r="CC61" t="str">
            <v>NO</v>
          </cell>
          <cell r="CD61" t="str">
            <v xml:space="preserve">  + Improved Recovery</v>
          </cell>
          <cell r="CE61" t="str">
            <v>BOE_IMPROV_REC_LAMR</v>
          </cell>
          <cell r="CF61"/>
          <cell r="CG61" t="str">
            <v>NO</v>
          </cell>
          <cell r="CH61" t="str">
            <v>Lifting Cost</v>
          </cell>
          <cell r="CI61" t="str">
            <v>LIFTING_COST_BOE</v>
          </cell>
          <cell r="CJ61"/>
          <cell r="CK61" t="str">
            <v>BOLD</v>
          </cell>
          <cell r="CN61"/>
          <cell r="CO61" t="str">
            <v>BOLD</v>
          </cell>
          <cell r="CP61" t="str">
            <v>Mining - P&amp;P Reserves-Gold Ore Volume</v>
          </cell>
          <cell r="CQ61" t="str">
            <v>MINING_P&amp;P_RSRVS_GOLD_VOLUME</v>
          </cell>
          <cell r="CR61"/>
          <cell r="CS61" t="str">
            <v>BOLD</v>
          </cell>
          <cell r="CV61"/>
          <cell r="CW61" t="str">
            <v>BOLD</v>
          </cell>
          <cell r="CZ61"/>
          <cell r="DA61" t="str">
            <v>BOLD</v>
          </cell>
          <cell r="DD61"/>
          <cell r="DE61" t="str">
            <v>BOLD</v>
          </cell>
          <cell r="DH61"/>
          <cell r="DI61" t="str">
            <v>BOLD</v>
          </cell>
          <cell r="DL61"/>
          <cell r="DM61" t="str">
            <v>BOLD</v>
          </cell>
          <cell r="DP61"/>
          <cell r="DQ61" t="str">
            <v>BOLD</v>
          </cell>
          <cell r="DR61" t="str">
            <v xml:space="preserve">  Number of Beds Added through Organic Growth</v>
          </cell>
          <cell r="DS61" t="str">
            <v>NUMBER_BEDS_ADDED_ORGANIC_GROWTH</v>
          </cell>
          <cell r="DT61"/>
          <cell r="DU61" t="str">
            <v>NO</v>
          </cell>
          <cell r="DX61"/>
          <cell r="DY61" t="str">
            <v>BOLD</v>
          </cell>
          <cell r="EB61"/>
          <cell r="EC61" t="str">
            <v>BOLD</v>
          </cell>
          <cell r="EF61"/>
          <cell r="EG61" t="str">
            <v>BOLD</v>
          </cell>
          <cell r="EJ61"/>
          <cell r="EK61" t="str">
            <v>BOLD</v>
          </cell>
          <cell r="EN61"/>
          <cell r="EO61" t="str">
            <v>BOLD</v>
          </cell>
          <cell r="ER61"/>
          <cell r="ES61" t="str">
            <v>BOLD</v>
          </cell>
          <cell r="EV61"/>
          <cell r="EW61" t="str">
            <v>BOLD</v>
          </cell>
          <cell r="EX61" t="str">
            <v>Other</v>
          </cell>
          <cell r="EY61" t="str">
            <v>LABEL</v>
          </cell>
          <cell r="EZ61"/>
          <cell r="FA61" t="str">
            <v>BOLD</v>
          </cell>
          <cell r="FD61"/>
          <cell r="FE61" t="str">
            <v>BOLD</v>
          </cell>
          <cell r="FH61"/>
          <cell r="FI61" t="str">
            <v>BOLD</v>
          </cell>
          <cell r="FL61"/>
          <cell r="FM61" t="str">
            <v>BOLD</v>
          </cell>
          <cell r="FN61" t="str">
            <v>Current Fuel Hedge Percentage</v>
          </cell>
          <cell r="FO61" t="str">
            <v>CURRENT_FUEL_HEDGE_PERC</v>
          </cell>
          <cell r="FP61"/>
          <cell r="FQ61" t="str">
            <v>BOLD</v>
          </cell>
          <cell r="FT61"/>
          <cell r="FU61" t="str">
            <v>BOLD</v>
          </cell>
          <cell r="FX61"/>
          <cell r="FY61" t="str">
            <v>BOLD</v>
          </cell>
          <cell r="GB61"/>
          <cell r="GC61" t="str">
            <v>BOLD</v>
          </cell>
          <cell r="GF61"/>
          <cell r="GG61" t="str">
            <v>BOLD</v>
          </cell>
          <cell r="GJ61"/>
          <cell r="GK61" t="str">
            <v>BOLD</v>
          </cell>
          <cell r="GN61"/>
          <cell r="GO61" t="str">
            <v>BOLD</v>
          </cell>
          <cell r="GR61"/>
          <cell r="GS61" t="str">
            <v>BOLD</v>
          </cell>
          <cell r="GT61" t="str">
            <v xml:space="preserve">  Screens per Location</v>
          </cell>
          <cell r="GU61" t="str">
            <v>ENTERT_SCREENS_PER_LOCATION</v>
          </cell>
          <cell r="GV61"/>
          <cell r="GW61" t="str">
            <v>NO</v>
          </cell>
          <cell r="GZ61"/>
          <cell r="HA61" t="str">
            <v>BOLD</v>
          </cell>
          <cell r="HB61" t="str">
            <v>Maximum - Real Estate Investment %</v>
          </cell>
          <cell r="HC61" t="str">
            <v>AST_ALLOC_MAX_RE_INVEST_%</v>
          </cell>
          <cell r="HD61"/>
          <cell r="HE61" t="str">
            <v>BOLD</v>
          </cell>
          <cell r="HH61"/>
          <cell r="HI61" t="str">
            <v>BOLD</v>
          </cell>
          <cell r="HL61"/>
          <cell r="HM61" t="str">
            <v>BOLD</v>
          </cell>
          <cell r="HP61"/>
          <cell r="HQ61" t="str">
            <v>BOLD</v>
          </cell>
          <cell r="HT61"/>
          <cell r="HU61" t="str">
            <v>BOLD</v>
          </cell>
          <cell r="HX61"/>
          <cell r="HY61" t="str">
            <v>BOLD</v>
          </cell>
          <cell r="HZ61" t="str">
            <v>Recurring - Level 1</v>
          </cell>
          <cell r="IA61" t="str">
            <v>BS_FV_ASSETS_REC_LEVEL_1</v>
          </cell>
          <cell r="IB61"/>
          <cell r="IC61" t="str">
            <v>BOLD</v>
          </cell>
          <cell r="IH61" t="str">
            <v>Trailing 12M Actual Loan Losses (Net)</v>
          </cell>
          <cell r="II61" t="str">
            <v>TRAIL_12M_ACT_LOAN_LOSS_NET</v>
          </cell>
          <cell r="IJ61"/>
          <cell r="IK61" t="str">
            <v>BOLD</v>
          </cell>
          <cell r="IP61" t="str">
            <v xml:space="preserve">  Wind</v>
          </cell>
          <cell r="IQ61" t="str">
            <v>WIND_ENERGY_PRODUCTION</v>
          </cell>
          <cell r="IR61"/>
          <cell r="IS61" t="str">
            <v>NO</v>
          </cell>
          <cell r="IZ61"/>
          <cell r="JA61" t="str">
            <v>BOLD</v>
          </cell>
          <cell r="JB61" t="str">
            <v>Recurring - Level 1</v>
          </cell>
          <cell r="JC61" t="str">
            <v>BS_FV_ASSETS_REC_LEVEL_1</v>
          </cell>
          <cell r="JD61"/>
          <cell r="JE61" t="str">
            <v>BOLD</v>
          </cell>
          <cell r="JL61"/>
          <cell r="JM61" t="str">
            <v>BOLD</v>
          </cell>
        </row>
        <row r="62">
          <cell r="A62">
            <v>61</v>
          </cell>
          <cell r="D62"/>
          <cell r="E62" t="str">
            <v>BOLD</v>
          </cell>
          <cell r="F62" t="str">
            <v>Pmt Processing Gallons of Fuel</v>
          </cell>
          <cell r="G62" t="str">
            <v>PMT_PRCSS_TOTAL_GALLONS_FUEL</v>
          </cell>
          <cell r="H62"/>
          <cell r="I62" t="str">
            <v>BOLD</v>
          </cell>
          <cell r="P62"/>
          <cell r="Q62" t="str">
            <v>BOLD</v>
          </cell>
          <cell r="T62"/>
          <cell r="U62" t="str">
            <v>BOLD</v>
          </cell>
          <cell r="X62"/>
          <cell r="Y62" t="str">
            <v>BOLD</v>
          </cell>
          <cell r="AB62"/>
          <cell r="AC62" t="str">
            <v>BOLD</v>
          </cell>
          <cell r="AF62"/>
          <cell r="AG62" t="str">
            <v>BOLD</v>
          </cell>
          <cell r="AJ62"/>
          <cell r="AK62" t="str">
            <v>BOLD</v>
          </cell>
          <cell r="AL62" t="str">
            <v>Contained Silver (oz)</v>
          </cell>
          <cell r="AM62" t="str">
            <v>MINING_INFERRED_RES_CONT_SILVER</v>
          </cell>
          <cell r="AN62"/>
          <cell r="AO62" t="str">
            <v>BOLD</v>
          </cell>
          <cell r="AR62"/>
          <cell r="AS62" t="str">
            <v>BOLD</v>
          </cell>
          <cell r="AV62"/>
          <cell r="AW62" t="str">
            <v>BOLD</v>
          </cell>
          <cell r="AZ62"/>
          <cell r="BA62" t="str">
            <v>BOLD</v>
          </cell>
          <cell r="BD62"/>
          <cell r="BE62" t="str">
            <v>BOLD</v>
          </cell>
          <cell r="BH62"/>
          <cell r="BI62" t="str">
            <v>BOLD</v>
          </cell>
          <cell r="BL62"/>
          <cell r="BM62" t="str">
            <v>BOLD</v>
          </cell>
          <cell r="BP62"/>
          <cell r="BQ62" t="str">
            <v>BOLD</v>
          </cell>
          <cell r="BT62"/>
          <cell r="BU62" t="str">
            <v>BOLD</v>
          </cell>
          <cell r="BV62" t="str">
            <v xml:space="preserve">  Developed Reserves</v>
          </cell>
          <cell r="BW62" t="str">
            <v>GAS_DEVEL_RESV_LAMR</v>
          </cell>
          <cell r="BX62"/>
          <cell r="BY62" t="str">
            <v>NO</v>
          </cell>
          <cell r="CB62"/>
          <cell r="CC62" t="str">
            <v>BOLD</v>
          </cell>
          <cell r="CD62" t="str">
            <v xml:space="preserve">  + Extensions &amp; Discoveries</v>
          </cell>
          <cell r="CE62" t="str">
            <v>BOE_EXTENS_DISCOV_LAMR</v>
          </cell>
          <cell r="CF62"/>
          <cell r="CG62" t="str">
            <v>NO</v>
          </cell>
          <cell r="CJ62"/>
          <cell r="CK62" t="str">
            <v>BOLD</v>
          </cell>
          <cell r="CN62"/>
          <cell r="CO62" t="str">
            <v>BOLD</v>
          </cell>
          <cell r="CP62" t="str">
            <v>Gold Reserves Implied Grade</v>
          </cell>
          <cell r="CQ62" t="str">
            <v>GOLD_RSRVS_IMPLIED_GRADE</v>
          </cell>
          <cell r="CR62"/>
          <cell r="CS62" t="str">
            <v>BOLD</v>
          </cell>
          <cell r="CV62"/>
          <cell r="CW62" t="str">
            <v>BOLD</v>
          </cell>
          <cell r="CZ62"/>
          <cell r="DA62" t="str">
            <v>BOLD</v>
          </cell>
          <cell r="DD62"/>
          <cell r="DE62" t="str">
            <v>BOLD</v>
          </cell>
          <cell r="DH62"/>
          <cell r="DI62" t="str">
            <v>BOLD</v>
          </cell>
          <cell r="DL62"/>
          <cell r="DM62" t="str">
            <v>BOLD</v>
          </cell>
          <cell r="DP62"/>
          <cell r="DQ62" t="str">
            <v>BOLD</v>
          </cell>
          <cell r="DR62" t="str">
            <v xml:space="preserve">  Number of Beds Added through Acquisition</v>
          </cell>
          <cell r="DS62" t="str">
            <v>NUMBER_BEDS_ADDED_ACQUISITION</v>
          </cell>
          <cell r="DT62"/>
          <cell r="DU62" t="str">
            <v>NO</v>
          </cell>
          <cell r="DX62"/>
          <cell r="DY62" t="str">
            <v>BOLD</v>
          </cell>
          <cell r="EB62"/>
          <cell r="EC62" t="str">
            <v>BOLD</v>
          </cell>
          <cell r="EF62"/>
          <cell r="EG62" t="str">
            <v>BOLD</v>
          </cell>
          <cell r="EJ62"/>
          <cell r="EK62" t="str">
            <v>BOLD</v>
          </cell>
          <cell r="EN62"/>
          <cell r="EO62" t="str">
            <v>BOLD</v>
          </cell>
          <cell r="ER62"/>
          <cell r="ES62" t="str">
            <v>BOLD</v>
          </cell>
          <cell r="EV62"/>
          <cell r="EW62" t="str">
            <v>BOLD</v>
          </cell>
          <cell r="EX62" t="str">
            <v>Semiconductors-Capacity</v>
          </cell>
          <cell r="EY62" t="str">
            <v>SEMICON_CAPACITY</v>
          </cell>
          <cell r="EZ62"/>
          <cell r="FA62" t="str">
            <v>BOLD</v>
          </cell>
          <cell r="FD62"/>
          <cell r="FE62" t="str">
            <v>BOLD</v>
          </cell>
          <cell r="FF62" t="str">
            <v>Subscriber Additions</v>
          </cell>
          <cell r="FG62" t="str">
            <v>LABEL</v>
          </cell>
          <cell r="FH62"/>
          <cell r="FI62" t="str">
            <v>BOLD</v>
          </cell>
          <cell r="FL62"/>
          <cell r="FM62" t="str">
            <v>BOLD</v>
          </cell>
          <cell r="FN62" t="str">
            <v xml:space="preserve">  Fuel Hedge Percentage Year 1</v>
          </cell>
          <cell r="FO62" t="str">
            <v>FUEL_HEDGE_PERCENT_YR1</v>
          </cell>
          <cell r="FP62"/>
          <cell r="FQ62" t="str">
            <v>NO</v>
          </cell>
          <cell r="FT62"/>
          <cell r="FU62" t="str">
            <v>BOLD</v>
          </cell>
          <cell r="FX62"/>
          <cell r="FY62" t="str">
            <v>BOLD</v>
          </cell>
          <cell r="GB62"/>
          <cell r="GC62" t="str">
            <v>BOLD</v>
          </cell>
          <cell r="GF62"/>
          <cell r="GG62" t="str">
            <v>BOLD</v>
          </cell>
          <cell r="GJ62"/>
          <cell r="GK62" t="str">
            <v>BOLD</v>
          </cell>
          <cell r="GN62"/>
          <cell r="GO62" t="str">
            <v>BOLD</v>
          </cell>
          <cell r="GR62"/>
          <cell r="GS62" t="str">
            <v>BOLD</v>
          </cell>
          <cell r="GT62" t="str">
            <v xml:space="preserve">  Revenue per Screen</v>
          </cell>
          <cell r="GU62" t="str">
            <v>ENTERT_REVENUE_PER_SCREEN</v>
          </cell>
          <cell r="GV62"/>
          <cell r="GW62" t="str">
            <v>NO</v>
          </cell>
          <cell r="GZ62"/>
          <cell r="HA62" t="str">
            <v>BOLD</v>
          </cell>
          <cell r="HB62" t="str">
            <v>Minimum - Other Alternative Investments %</v>
          </cell>
          <cell r="HC62" t="str">
            <v>ARD_AST_ALLOC_MIN_OTH_ALT_INVT_%</v>
          </cell>
          <cell r="HD62"/>
          <cell r="HE62" t="str">
            <v>BOLD</v>
          </cell>
          <cell r="HH62"/>
          <cell r="HI62" t="str">
            <v>BOLD</v>
          </cell>
          <cell r="HL62"/>
          <cell r="HM62" t="str">
            <v>BOLD</v>
          </cell>
          <cell r="HP62"/>
          <cell r="HQ62" t="str">
            <v>BOLD</v>
          </cell>
          <cell r="HT62"/>
          <cell r="HU62" t="str">
            <v>BOLD</v>
          </cell>
          <cell r="HV62" t="str">
            <v>Liquidity</v>
          </cell>
          <cell r="HW62" t="str">
            <v>LABEL</v>
          </cell>
          <cell r="HX62"/>
          <cell r="HY62" t="str">
            <v>BOLD</v>
          </cell>
          <cell r="HZ62" t="str">
            <v>Recurring - Level 2</v>
          </cell>
          <cell r="IA62" t="str">
            <v>BS_FV_ASSETS_REC_LEVEL_2</v>
          </cell>
          <cell r="IB62"/>
          <cell r="IC62" t="str">
            <v>BOLD</v>
          </cell>
          <cell r="IH62" t="str">
            <v>Reserve for Loan Losses</v>
          </cell>
          <cell r="II62" t="str">
            <v>BS_RSRV_LOAN_LOSS</v>
          </cell>
          <cell r="IJ62"/>
          <cell r="IK62" t="str">
            <v>BOLD</v>
          </cell>
          <cell r="IP62" t="str">
            <v xml:space="preserve">  Solar</v>
          </cell>
          <cell r="IQ62" t="str">
            <v>SOLAR_ENERGY_PRODUCTION</v>
          </cell>
          <cell r="IR62"/>
          <cell r="IS62" t="str">
            <v>NO</v>
          </cell>
          <cell r="IX62" t="str">
            <v>Liquidity</v>
          </cell>
          <cell r="IY62" t="str">
            <v>LABEL</v>
          </cell>
          <cell r="IZ62"/>
          <cell r="JA62" t="str">
            <v>BOLD</v>
          </cell>
          <cell r="JB62" t="str">
            <v>Recurring - Level 2</v>
          </cell>
          <cell r="JC62" t="str">
            <v>BS_FV_ASSETS_REC_LEVEL_2</v>
          </cell>
          <cell r="JD62"/>
          <cell r="JE62" t="str">
            <v>BOLD</v>
          </cell>
        </row>
        <row r="63">
          <cell r="A63">
            <v>62</v>
          </cell>
          <cell r="D63"/>
          <cell r="E63" t="str">
            <v>BOLD</v>
          </cell>
          <cell r="F63" t="str">
            <v>Avg Fuel Price</v>
          </cell>
          <cell r="G63" t="str">
            <v>AVERAGE_FUEL_PRICE</v>
          </cell>
          <cell r="H63"/>
          <cell r="I63" t="str">
            <v>BOLD</v>
          </cell>
          <cell r="P63"/>
          <cell r="Q63" t="str">
            <v>BOLD</v>
          </cell>
          <cell r="T63"/>
          <cell r="U63" t="str">
            <v>BOLD</v>
          </cell>
          <cell r="X63"/>
          <cell r="Y63" t="str">
            <v>BOLD</v>
          </cell>
          <cell r="AB63"/>
          <cell r="AC63" t="str">
            <v>BOLD</v>
          </cell>
          <cell r="AF63"/>
          <cell r="AG63" t="str">
            <v>BOLD</v>
          </cell>
          <cell r="AJ63"/>
          <cell r="AK63" t="str">
            <v>BOLD</v>
          </cell>
          <cell r="AL63" t="str">
            <v>Palladium - Ore Volume (Tons)</v>
          </cell>
          <cell r="AM63" t="str">
            <v>MINING_INFER_RES_PALLADIUM_VOL</v>
          </cell>
          <cell r="AN63"/>
          <cell r="AO63" t="str">
            <v>BOLD</v>
          </cell>
          <cell r="AR63"/>
          <cell r="AS63" t="str">
            <v>BOLD</v>
          </cell>
          <cell r="AV63"/>
          <cell r="AW63" t="str">
            <v>BOLD</v>
          </cell>
          <cell r="AZ63"/>
          <cell r="BA63" t="str">
            <v>BOLD</v>
          </cell>
          <cell r="BB63" t="str">
            <v>Mideast</v>
          </cell>
          <cell r="BC63" t="str">
            <v>LABEL</v>
          </cell>
          <cell r="BD63"/>
          <cell r="BE63" t="str">
            <v>BOLD</v>
          </cell>
          <cell r="BH63"/>
          <cell r="BI63" t="str">
            <v>BOLD</v>
          </cell>
          <cell r="BL63"/>
          <cell r="BM63" t="str">
            <v>BOLD</v>
          </cell>
          <cell r="BP63"/>
          <cell r="BQ63" t="str">
            <v>BOLD</v>
          </cell>
          <cell r="BT63"/>
          <cell r="BU63" t="str">
            <v>BOLD</v>
          </cell>
          <cell r="BX63"/>
          <cell r="BY63" t="str">
            <v>BOLD</v>
          </cell>
          <cell r="BZ63" t="str">
            <v>Europe</v>
          </cell>
          <cell r="CA63" t="str">
            <v>LABEL</v>
          </cell>
          <cell r="CB63"/>
          <cell r="CC63" t="str">
            <v>BOLD</v>
          </cell>
          <cell r="CD63" t="str">
            <v xml:space="preserve">  + Purchases</v>
          </cell>
          <cell r="CE63" t="str">
            <v>BOE_PURCHASES_LAMR</v>
          </cell>
          <cell r="CF63"/>
          <cell r="CG63" t="str">
            <v>NO</v>
          </cell>
          <cell r="CH63" t="str">
            <v>Costs &amp; Ratios</v>
          </cell>
          <cell r="CI63" t="str">
            <v>LABEL</v>
          </cell>
          <cell r="CJ63"/>
          <cell r="CK63" t="str">
            <v>BOLD</v>
          </cell>
          <cell r="CN63"/>
          <cell r="CO63" t="str">
            <v>BOLD</v>
          </cell>
          <cell r="CP63" t="str">
            <v>Mining - M&amp;I Resources Contained Gold</v>
          </cell>
          <cell r="CQ63" t="str">
            <v>MINING_M&amp;I_RES_CONTAINED_GOLD</v>
          </cell>
          <cell r="CR63"/>
          <cell r="CS63" t="str">
            <v>BOLD</v>
          </cell>
          <cell r="CV63"/>
          <cell r="CW63" t="str">
            <v>BOLD</v>
          </cell>
          <cell r="CZ63"/>
          <cell r="DA63" t="str">
            <v>BOLD</v>
          </cell>
          <cell r="DD63"/>
          <cell r="DE63" t="str">
            <v>BOLD</v>
          </cell>
          <cell r="DH63"/>
          <cell r="DI63" t="str">
            <v>BOLD</v>
          </cell>
          <cell r="DL63"/>
          <cell r="DM63" t="str">
            <v>BOLD</v>
          </cell>
          <cell r="DP63"/>
          <cell r="DQ63" t="str">
            <v>BOLD</v>
          </cell>
          <cell r="DR63" t="str">
            <v xml:space="preserve">  Available Beds (End of Period)</v>
          </cell>
          <cell r="DS63" t="str">
            <v>AVAILABLE_BEDS_END_OF_PERIOD</v>
          </cell>
          <cell r="DT63"/>
          <cell r="DU63" t="str">
            <v>NO</v>
          </cell>
          <cell r="DX63"/>
          <cell r="DY63" t="str">
            <v>BOLD</v>
          </cell>
          <cell r="EB63"/>
          <cell r="EC63" t="str">
            <v>BOLD</v>
          </cell>
          <cell r="EF63"/>
          <cell r="EG63" t="str">
            <v>BOLD</v>
          </cell>
          <cell r="EJ63"/>
          <cell r="EK63" t="str">
            <v>BOLD</v>
          </cell>
          <cell r="EN63"/>
          <cell r="EO63" t="str">
            <v>BOLD</v>
          </cell>
          <cell r="ER63"/>
          <cell r="ES63" t="str">
            <v>BOLD</v>
          </cell>
          <cell r="EV63"/>
          <cell r="EW63" t="str">
            <v>BOLD</v>
          </cell>
          <cell r="EX63" t="str">
            <v>Semiconductors-Production</v>
          </cell>
          <cell r="EY63" t="str">
            <v>SEMICON_PRODUCTION</v>
          </cell>
          <cell r="EZ63"/>
          <cell r="FA63" t="str">
            <v>BOLD</v>
          </cell>
          <cell r="FD63"/>
          <cell r="FE63" t="str">
            <v>BOLD</v>
          </cell>
          <cell r="FF63" t="str">
            <v>Total Cable Subscriber Additions</v>
          </cell>
          <cell r="FG63" t="str">
            <v>TOTAL_CABLE_SUBSCRIBER_ADDS</v>
          </cell>
          <cell r="FH63"/>
          <cell r="FI63" t="str">
            <v>BOLD</v>
          </cell>
          <cell r="FL63"/>
          <cell r="FM63" t="str">
            <v>BOLD</v>
          </cell>
          <cell r="FN63" t="str">
            <v xml:space="preserve">  Fuel Hedge Percentage Year 2</v>
          </cell>
          <cell r="FO63" t="str">
            <v>FUEL_HEDGE_PERCENT_YR2</v>
          </cell>
          <cell r="FP63"/>
          <cell r="FQ63" t="str">
            <v>NO</v>
          </cell>
          <cell r="FT63"/>
          <cell r="FU63" t="str">
            <v>BOLD</v>
          </cell>
          <cell r="FX63"/>
          <cell r="FY63" t="str">
            <v>BOLD</v>
          </cell>
          <cell r="GB63"/>
          <cell r="GC63" t="str">
            <v>BOLD</v>
          </cell>
          <cell r="GF63"/>
          <cell r="GG63" t="str">
            <v>BOLD</v>
          </cell>
          <cell r="GJ63"/>
          <cell r="GK63" t="str">
            <v>BOLD</v>
          </cell>
          <cell r="GN63"/>
          <cell r="GO63" t="str">
            <v>BOLD</v>
          </cell>
          <cell r="GR63"/>
          <cell r="GS63" t="str">
            <v>BOLD</v>
          </cell>
          <cell r="GT63" t="str">
            <v xml:space="preserve">  Revenue per Patron</v>
          </cell>
          <cell r="GU63" t="str">
            <v>ENTERT_REVENUE_PER_PATRON</v>
          </cell>
          <cell r="GV63"/>
          <cell r="GW63" t="str">
            <v>NO</v>
          </cell>
          <cell r="GZ63"/>
          <cell r="HA63" t="str">
            <v>BOLD</v>
          </cell>
          <cell r="HB63" t="str">
            <v>Maximum - Other Alternative Investments %</v>
          </cell>
          <cell r="HC63" t="str">
            <v>ARD_AST_ALLOC_MAX_OTH_ALT_INVT_%</v>
          </cell>
          <cell r="HD63"/>
          <cell r="HE63" t="str">
            <v>BOLD</v>
          </cell>
          <cell r="HH63"/>
          <cell r="HI63" t="str">
            <v>BOLD</v>
          </cell>
          <cell r="HL63"/>
          <cell r="HM63" t="str">
            <v>BOLD</v>
          </cell>
          <cell r="HP63"/>
          <cell r="HQ63" t="str">
            <v>BOLD</v>
          </cell>
          <cell r="HT63"/>
          <cell r="HU63" t="str">
            <v>BOLD</v>
          </cell>
          <cell r="HV63" t="str">
            <v>Total Loans/Total Deposits</v>
          </cell>
          <cell r="HW63" t="str">
            <v>TOT_LOAN_TO_TOT_DPST</v>
          </cell>
          <cell r="HX63"/>
          <cell r="HY63" t="str">
            <v>BOLD</v>
          </cell>
          <cell r="HZ63" t="str">
            <v>Recurring - Level 3</v>
          </cell>
          <cell r="IA63" t="str">
            <v>BS_FV_ASSETS_REC_LEVEL_3</v>
          </cell>
          <cell r="IB63"/>
          <cell r="IC63" t="str">
            <v>BOLD</v>
          </cell>
          <cell r="IH63" t="str">
            <v>Loan Loss Res/Non-Perf Assets</v>
          </cell>
          <cell r="II63" t="str">
            <v>LOAN_LOSS_RES_TO_NON_PERF_ASSET</v>
          </cell>
          <cell r="IJ63"/>
          <cell r="IK63" t="str">
            <v>BOLD</v>
          </cell>
          <cell r="IP63" t="str">
            <v xml:space="preserve">  Biomass</v>
          </cell>
          <cell r="IQ63" t="str">
            <v>BIOMASS_ENERGY_PRODUCTION</v>
          </cell>
          <cell r="IR63"/>
          <cell r="IS63" t="str">
            <v>NO</v>
          </cell>
          <cell r="IX63" t="str">
            <v>Total Loans/Total Deposits</v>
          </cell>
          <cell r="IY63" t="str">
            <v>TOT_LOAN_TO_TOT_DPST</v>
          </cell>
          <cell r="IZ63"/>
          <cell r="JA63" t="str">
            <v>BOLD</v>
          </cell>
          <cell r="JB63" t="str">
            <v>Recurring - Level 3</v>
          </cell>
          <cell r="JC63" t="str">
            <v>BS_FV_ASSETS_REC_LEVEL_3</v>
          </cell>
          <cell r="JD63"/>
          <cell r="JE63" t="str">
            <v>BOLD</v>
          </cell>
        </row>
        <row r="64">
          <cell r="A64">
            <v>63</v>
          </cell>
          <cell r="D64"/>
          <cell r="E64" t="str">
            <v>BOLD</v>
          </cell>
          <cell r="F64" t="str">
            <v>Payment Processing Value of Fuel</v>
          </cell>
          <cell r="G64" t="str">
            <v>PMT_PROCESSING_VALUE_OF_FUEL</v>
          </cell>
          <cell r="H64"/>
          <cell r="I64" t="str">
            <v>BOLD</v>
          </cell>
          <cell r="P64"/>
          <cell r="Q64" t="str">
            <v>BOLD</v>
          </cell>
          <cell r="T64"/>
          <cell r="U64" t="str">
            <v>BOLD</v>
          </cell>
          <cell r="X64"/>
          <cell r="Y64" t="str">
            <v>BOLD</v>
          </cell>
          <cell r="AB64"/>
          <cell r="AC64" t="str">
            <v>BOLD</v>
          </cell>
          <cell r="AF64"/>
          <cell r="AG64" t="str">
            <v>BOLD</v>
          </cell>
          <cell r="AJ64"/>
          <cell r="AK64" t="str">
            <v>BOLD</v>
          </cell>
          <cell r="AL64" t="str">
            <v>Palladium - Grade (oz/Ton)</v>
          </cell>
          <cell r="AM64" t="str">
            <v>MINING_INFER_RES_PALLADIUM_GRADE</v>
          </cell>
          <cell r="AN64"/>
          <cell r="AO64" t="str">
            <v>BOLD</v>
          </cell>
          <cell r="AR64"/>
          <cell r="AS64" t="str">
            <v>BOLD</v>
          </cell>
          <cell r="AV64"/>
          <cell r="AW64" t="str">
            <v>BOLD</v>
          </cell>
          <cell r="AZ64"/>
          <cell r="BA64" t="str">
            <v>BOLD</v>
          </cell>
          <cell r="BB64" t="str">
            <v xml:space="preserve">  Revenues</v>
          </cell>
          <cell r="BC64" t="str">
            <v>E&amp;P_REVENUES_MIDEAST</v>
          </cell>
          <cell r="BD64"/>
          <cell r="BE64" t="str">
            <v>NO</v>
          </cell>
          <cell r="BH64"/>
          <cell r="BI64" t="str">
            <v>BOLD</v>
          </cell>
          <cell r="BL64"/>
          <cell r="BM64" t="str">
            <v>BOLD</v>
          </cell>
          <cell r="BP64"/>
          <cell r="BQ64" t="str">
            <v>BOLD</v>
          </cell>
          <cell r="BT64"/>
          <cell r="BU64" t="str">
            <v>BOLD</v>
          </cell>
          <cell r="BV64" t="str">
            <v>Europe</v>
          </cell>
          <cell r="BW64" t="str">
            <v>LABEL</v>
          </cell>
          <cell r="BX64"/>
          <cell r="BY64" t="str">
            <v>BOLD</v>
          </cell>
          <cell r="BZ64" t="str">
            <v xml:space="preserve">  Start of Year</v>
          </cell>
          <cell r="CA64" t="str">
            <v>OIL_START_YR_EUROPE</v>
          </cell>
          <cell r="CB64"/>
          <cell r="CC64" t="str">
            <v>NO</v>
          </cell>
          <cell r="CD64" t="str">
            <v xml:space="preserve">  + Sales</v>
          </cell>
          <cell r="CE64" t="str">
            <v>BOE_SALES_LAMR</v>
          </cell>
          <cell r="CF64"/>
          <cell r="CG64" t="str">
            <v>NO</v>
          </cell>
          <cell r="CH64" t="str">
            <v>Capitalized Costs</v>
          </cell>
          <cell r="CI64" t="str">
            <v>NET_CAPITALIZED_COSTS</v>
          </cell>
          <cell r="CJ64"/>
          <cell r="CK64" t="str">
            <v>BOLD</v>
          </cell>
          <cell r="CN64"/>
          <cell r="CO64" t="str">
            <v>BOLD</v>
          </cell>
          <cell r="CP64" t="str">
            <v>Mining - Inferred Resources Contained Gold</v>
          </cell>
          <cell r="CQ64" t="str">
            <v>MINING_INFERRED_RES_CONTAIN_GOLD</v>
          </cell>
          <cell r="CR64"/>
          <cell r="CS64" t="str">
            <v>BOLD</v>
          </cell>
          <cell r="CV64"/>
          <cell r="CW64" t="str">
            <v>BOLD</v>
          </cell>
          <cell r="CZ64"/>
          <cell r="DA64" t="str">
            <v>BOLD</v>
          </cell>
          <cell r="DD64"/>
          <cell r="DE64" t="str">
            <v>BOLD</v>
          </cell>
          <cell r="DH64"/>
          <cell r="DI64" t="str">
            <v>BOLD</v>
          </cell>
          <cell r="DL64"/>
          <cell r="DM64" t="str">
            <v>BOLD</v>
          </cell>
          <cell r="DP64"/>
          <cell r="DQ64" t="str">
            <v>BOLD</v>
          </cell>
          <cell r="DT64"/>
          <cell r="DU64" t="str">
            <v>BOLD</v>
          </cell>
          <cell r="DX64"/>
          <cell r="DY64" t="str">
            <v>BOLD</v>
          </cell>
          <cell r="EB64"/>
          <cell r="EC64" t="str">
            <v>BOLD</v>
          </cell>
          <cell r="EF64"/>
          <cell r="EG64" t="str">
            <v>BOLD</v>
          </cell>
          <cell r="EJ64"/>
          <cell r="EK64" t="str">
            <v>BOLD</v>
          </cell>
          <cell r="EN64"/>
          <cell r="EO64" t="str">
            <v>BOLD</v>
          </cell>
          <cell r="ER64"/>
          <cell r="ES64" t="str">
            <v>BOLD</v>
          </cell>
          <cell r="EV64"/>
          <cell r="EW64" t="str">
            <v>BOLD</v>
          </cell>
          <cell r="EX64" t="str">
            <v>Semiconductors-Sales</v>
          </cell>
          <cell r="EY64" t="str">
            <v>SEMICON_SALES</v>
          </cell>
          <cell r="EZ64"/>
          <cell r="FA64" t="str">
            <v>BOLD</v>
          </cell>
          <cell r="FD64"/>
          <cell r="FE64" t="str">
            <v>BOLD</v>
          </cell>
          <cell r="FF64" t="str">
            <v>Broadband Net Subscriber Adds</v>
          </cell>
          <cell r="FG64" t="str">
            <v>BROADBAND_HSI_NET_SUBSCRIB_ADDS</v>
          </cell>
          <cell r="FH64"/>
          <cell r="FI64" t="str">
            <v>BOLD</v>
          </cell>
          <cell r="FL64"/>
          <cell r="FM64" t="str">
            <v>BOLD</v>
          </cell>
          <cell r="FP64"/>
          <cell r="FQ64" t="str">
            <v>BOLD</v>
          </cell>
          <cell r="FT64"/>
          <cell r="FU64" t="str">
            <v>BOLD</v>
          </cell>
          <cell r="FX64"/>
          <cell r="FY64" t="str">
            <v>BOLD</v>
          </cell>
          <cell r="GB64"/>
          <cell r="GC64" t="str">
            <v>BOLD</v>
          </cell>
          <cell r="GF64"/>
          <cell r="GG64" t="str">
            <v>BOLD</v>
          </cell>
          <cell r="GJ64"/>
          <cell r="GK64" t="str">
            <v>BOLD</v>
          </cell>
          <cell r="GN64"/>
          <cell r="GO64" t="str">
            <v>BOLD</v>
          </cell>
          <cell r="GR64"/>
          <cell r="GS64" t="str">
            <v>BOLD</v>
          </cell>
          <cell r="GT64" t="str">
            <v xml:space="preserve">  Average Ticket Price</v>
          </cell>
          <cell r="GU64" t="str">
            <v>ENTERT_AVG_TICKET_PRICE</v>
          </cell>
          <cell r="GV64"/>
          <cell r="GW64" t="str">
            <v>NO</v>
          </cell>
          <cell r="GZ64"/>
          <cell r="HA64" t="str">
            <v>BOLD</v>
          </cell>
          <cell r="HB64" t="str">
            <v>Minimum - Commodities %</v>
          </cell>
          <cell r="HC64" t="str">
            <v>ARD_AST_ALLOCATION_MIN_COMMOD_%</v>
          </cell>
          <cell r="HD64"/>
          <cell r="HE64" t="str">
            <v>BOLD</v>
          </cell>
          <cell r="HH64"/>
          <cell r="HI64" t="str">
            <v>BOLD</v>
          </cell>
          <cell r="HL64"/>
          <cell r="HM64" t="str">
            <v>BOLD</v>
          </cell>
          <cell r="HP64"/>
          <cell r="HQ64" t="str">
            <v>BOLD</v>
          </cell>
          <cell r="HT64"/>
          <cell r="HU64" t="str">
            <v>BOLD</v>
          </cell>
          <cell r="HV64" t="str">
            <v>Total Loans/Total Assets</v>
          </cell>
          <cell r="HW64" t="str">
            <v>TOT_LOAN_TO_TOT_ASSET</v>
          </cell>
          <cell r="HX64"/>
          <cell r="HY64" t="str">
            <v>BOLD</v>
          </cell>
          <cell r="HZ64" t="str">
            <v>Recurring - Total</v>
          </cell>
          <cell r="IA64" t="str">
            <v>BS_FV_ASSETS_REC_TOTAL</v>
          </cell>
          <cell r="IB64"/>
          <cell r="IC64" t="str">
            <v>BOLD</v>
          </cell>
          <cell r="IH64" t="str">
            <v>Non-Performing Loans</v>
          </cell>
          <cell r="II64" t="str">
            <v>BS_NON_PERFORM_LOANS</v>
          </cell>
          <cell r="IJ64"/>
          <cell r="IK64" t="str">
            <v>BOLD</v>
          </cell>
          <cell r="IP64" t="str">
            <v xml:space="preserve">  Geothermal</v>
          </cell>
          <cell r="IQ64" t="str">
            <v>ELEC_PROD_RENEW_GEOTHERMAL_GWH</v>
          </cell>
          <cell r="IR64"/>
          <cell r="IS64" t="str">
            <v>NO</v>
          </cell>
          <cell r="IX64" t="str">
            <v>Total Loans/Total Assets</v>
          </cell>
          <cell r="IY64" t="str">
            <v>TOT_LOAN_TO_TOT_ASSET</v>
          </cell>
          <cell r="IZ64"/>
          <cell r="JA64" t="str">
            <v>BOLD</v>
          </cell>
          <cell r="JB64" t="str">
            <v>Recurring - Total</v>
          </cell>
          <cell r="JC64" t="str">
            <v>BS_FV_ASSETS_REC_TOTAL</v>
          </cell>
          <cell r="JD64"/>
          <cell r="JE64" t="str">
            <v>BOLD</v>
          </cell>
        </row>
        <row r="65">
          <cell r="A65">
            <v>64</v>
          </cell>
          <cell r="D65"/>
          <cell r="E65" t="str">
            <v>BOLD</v>
          </cell>
          <cell r="F65" t="str">
            <v>Net Payment Processing Rate</v>
          </cell>
          <cell r="G65" t="str">
            <v>NET_PAYMENT_PROCESSING_RATE</v>
          </cell>
          <cell r="H65"/>
          <cell r="I65" t="str">
            <v>BOLD</v>
          </cell>
          <cell r="P65"/>
          <cell r="Q65" t="str">
            <v>BOLD</v>
          </cell>
          <cell r="T65"/>
          <cell r="U65" t="str">
            <v>BOLD</v>
          </cell>
          <cell r="X65"/>
          <cell r="Y65" t="str">
            <v>BOLD</v>
          </cell>
          <cell r="AB65"/>
          <cell r="AC65" t="str">
            <v>BOLD</v>
          </cell>
          <cell r="AF65"/>
          <cell r="AG65" t="str">
            <v>BOLD</v>
          </cell>
          <cell r="AJ65"/>
          <cell r="AK65" t="str">
            <v>BOLD</v>
          </cell>
          <cell r="AL65" t="str">
            <v>Contained Palladium (oz)</v>
          </cell>
          <cell r="AM65" t="str">
            <v>MINING_INFER_RES_CONT_PALLADIUM</v>
          </cell>
          <cell r="AN65"/>
          <cell r="AO65" t="str">
            <v>BOLD</v>
          </cell>
          <cell r="AR65"/>
          <cell r="AS65" t="str">
            <v>BOLD</v>
          </cell>
          <cell r="AV65"/>
          <cell r="AW65" t="str">
            <v>BOLD</v>
          </cell>
          <cell r="AZ65"/>
          <cell r="BA65" t="str">
            <v>BOLD</v>
          </cell>
          <cell r="BB65" t="str">
            <v xml:space="preserve">  - Production Costs</v>
          </cell>
          <cell r="BC65" t="str">
            <v>PRODUCTION_COSTS_MIDEAST</v>
          </cell>
          <cell r="BD65"/>
          <cell r="BE65" t="str">
            <v>NO</v>
          </cell>
          <cell r="BH65"/>
          <cell r="BI65" t="str">
            <v>BOLD</v>
          </cell>
          <cell r="BL65"/>
          <cell r="BM65" t="str">
            <v>BOLD</v>
          </cell>
          <cell r="BP65"/>
          <cell r="BQ65" t="str">
            <v>BOLD</v>
          </cell>
          <cell r="BT65"/>
          <cell r="BU65" t="str">
            <v>BOLD</v>
          </cell>
          <cell r="BV65" t="str">
            <v xml:space="preserve">  Start of Year</v>
          </cell>
          <cell r="BW65" t="str">
            <v>GAS_START_YEAR_EUROPE</v>
          </cell>
          <cell r="BX65"/>
          <cell r="BY65" t="str">
            <v>NO</v>
          </cell>
          <cell r="BZ65" t="str">
            <v xml:space="preserve">  + Revisions</v>
          </cell>
          <cell r="CA65" t="str">
            <v>OIL_REVIS_EUROPE</v>
          </cell>
          <cell r="CB65"/>
          <cell r="CC65" t="str">
            <v>NO</v>
          </cell>
          <cell r="CD65" t="str">
            <v xml:space="preserve">  + Production</v>
          </cell>
          <cell r="CE65" t="str">
            <v>BOE_PRODUCTION_LAMR</v>
          </cell>
          <cell r="CF65"/>
          <cell r="CG65" t="str">
            <v>NO</v>
          </cell>
          <cell r="CJ65"/>
          <cell r="CK65" t="str">
            <v>BOLD</v>
          </cell>
          <cell r="CN65"/>
          <cell r="CO65" t="str">
            <v>BOLD</v>
          </cell>
          <cell r="CP65" t="str">
            <v>Silver Reserves per Share</v>
          </cell>
          <cell r="CQ65" t="str">
            <v>SILVER_RESERVES_PER_SHARE</v>
          </cell>
          <cell r="CR65"/>
          <cell r="CS65" t="str">
            <v>BOLD</v>
          </cell>
          <cell r="CV65"/>
          <cell r="CW65" t="str">
            <v>BOLD</v>
          </cell>
          <cell r="CZ65"/>
          <cell r="DA65" t="str">
            <v>BOLD</v>
          </cell>
          <cell r="DD65"/>
          <cell r="DE65" t="str">
            <v>BOLD</v>
          </cell>
          <cell r="DH65"/>
          <cell r="DI65" t="str">
            <v>BOLD</v>
          </cell>
          <cell r="DL65"/>
          <cell r="DM65" t="str">
            <v>BOLD</v>
          </cell>
          <cell r="DP65"/>
          <cell r="DQ65" t="str">
            <v>BOLD</v>
          </cell>
          <cell r="DR65" t="str">
            <v>Occupancy Levels</v>
          </cell>
          <cell r="DS65" t="str">
            <v>LABEL</v>
          </cell>
          <cell r="DT65"/>
          <cell r="DU65" t="str">
            <v>BOLD</v>
          </cell>
          <cell r="DX65"/>
          <cell r="DY65" t="str">
            <v>BOLD</v>
          </cell>
          <cell r="EB65"/>
          <cell r="EC65" t="str">
            <v>BOLD</v>
          </cell>
          <cell r="EF65"/>
          <cell r="EG65" t="str">
            <v>BOLD</v>
          </cell>
          <cell r="EJ65"/>
          <cell r="EK65" t="str">
            <v>BOLD</v>
          </cell>
          <cell r="EN65"/>
          <cell r="EO65" t="str">
            <v>BOLD</v>
          </cell>
          <cell r="ER65"/>
          <cell r="ES65" t="str">
            <v>BOLD</v>
          </cell>
          <cell r="EV65"/>
          <cell r="EW65" t="str">
            <v>BOLD</v>
          </cell>
          <cell r="EX65" t="str">
            <v>Semiconductors-Utilization Rate</v>
          </cell>
          <cell r="EY65" t="str">
            <v>SEMICON_UTILIZATION</v>
          </cell>
          <cell r="EZ65"/>
          <cell r="FA65" t="str">
            <v>BOLD</v>
          </cell>
          <cell r="FD65"/>
          <cell r="FE65" t="str">
            <v>BOLD</v>
          </cell>
          <cell r="FH65"/>
          <cell r="FI65" t="str">
            <v>BOLD</v>
          </cell>
          <cell r="FL65"/>
          <cell r="FM65" t="str">
            <v>BOLD</v>
          </cell>
          <cell r="FN65" t="str">
            <v>Avg Number of Employees</v>
          </cell>
          <cell r="FO65" t="str">
            <v>AVG_NUM_EMPLOYEES</v>
          </cell>
          <cell r="FP65"/>
          <cell r="FQ65" t="str">
            <v>BOLD</v>
          </cell>
          <cell r="FT65"/>
          <cell r="FU65" t="str">
            <v>BOLD</v>
          </cell>
          <cell r="FX65"/>
          <cell r="FY65" t="str">
            <v>BOLD</v>
          </cell>
          <cell r="GB65"/>
          <cell r="GC65" t="str">
            <v>BOLD</v>
          </cell>
          <cell r="GF65"/>
          <cell r="GG65" t="str">
            <v>BOLD</v>
          </cell>
          <cell r="GJ65"/>
          <cell r="GK65" t="str">
            <v>BOLD</v>
          </cell>
          <cell r="GN65"/>
          <cell r="GO65" t="str">
            <v>BOLD</v>
          </cell>
          <cell r="GR65"/>
          <cell r="GS65" t="str">
            <v>BOLD</v>
          </cell>
          <cell r="GT65" t="str">
            <v xml:space="preserve">  Concessions per Patron</v>
          </cell>
          <cell r="GU65" t="str">
            <v>ENTERT_CONCESSIONS_PER_PATRON</v>
          </cell>
          <cell r="GV65"/>
          <cell r="GW65" t="str">
            <v>NO</v>
          </cell>
          <cell r="GZ65"/>
          <cell r="HA65" t="str">
            <v>BOLD</v>
          </cell>
          <cell r="HB65" t="str">
            <v>Maximum - Commodities %</v>
          </cell>
          <cell r="HC65" t="str">
            <v>ARD_AST_ALLOCATION_MAX_COMMOD_%</v>
          </cell>
          <cell r="HD65"/>
          <cell r="HE65" t="str">
            <v>BOLD</v>
          </cell>
          <cell r="HH65"/>
          <cell r="HI65" t="str">
            <v>BOLD</v>
          </cell>
          <cell r="HL65"/>
          <cell r="HM65" t="str">
            <v>BOLD</v>
          </cell>
          <cell r="HP65"/>
          <cell r="HQ65" t="str">
            <v>BOLD</v>
          </cell>
          <cell r="HT65"/>
          <cell r="HU65" t="str">
            <v>BOLD</v>
          </cell>
          <cell r="HV65" t="str">
            <v>Deposits/Assets</v>
          </cell>
          <cell r="HW65" t="str">
            <v>DEPOSITS_TO_ASSETS</v>
          </cell>
          <cell r="HX65"/>
          <cell r="HY65" t="str">
            <v>BOLD</v>
          </cell>
          <cell r="HZ65" t="str">
            <v>Ex Separate Accounts - Level 1</v>
          </cell>
          <cell r="IA65" t="str">
            <v>FV_RECUR_AST_EX_SEP_ACCT_LEVL_1</v>
          </cell>
          <cell r="IB65"/>
          <cell r="IC65" t="str">
            <v>BOLD</v>
          </cell>
          <cell r="IJ65"/>
          <cell r="IK65" t="str">
            <v>BOLD</v>
          </cell>
          <cell r="IP65" t="str">
            <v xml:space="preserve">  Waste</v>
          </cell>
          <cell r="IQ65" t="str">
            <v>WASTE_ENERGY_PRODUCTION</v>
          </cell>
          <cell r="IR65"/>
          <cell r="IS65" t="str">
            <v>NO</v>
          </cell>
          <cell r="IX65" t="str">
            <v>Deposits/Assets</v>
          </cell>
          <cell r="IY65" t="str">
            <v>DEPOSITS_TO_ASSETS</v>
          </cell>
          <cell r="IZ65"/>
          <cell r="JA65" t="str">
            <v>BOLD</v>
          </cell>
          <cell r="JB65" t="str">
            <v>Ex Separate Accounts - Level 1</v>
          </cell>
          <cell r="JC65" t="str">
            <v>FV_RECUR_AST_EX_SEP_ACCT_LEVL_1</v>
          </cell>
          <cell r="JD65"/>
          <cell r="JE65" t="str">
            <v>BOLD</v>
          </cell>
        </row>
        <row r="66">
          <cell r="A66">
            <v>65</v>
          </cell>
          <cell r="D66"/>
          <cell r="E66" t="str">
            <v>BOLD</v>
          </cell>
          <cell r="F66" t="str">
            <v>Bankcard Net Interchange Rate</v>
          </cell>
          <cell r="G66" t="str">
            <v>BANKCARD_NET_INTERCHANGE_RT</v>
          </cell>
          <cell r="H66"/>
          <cell r="I66" t="str">
            <v>BOLD</v>
          </cell>
          <cell r="P66"/>
          <cell r="Q66" t="str">
            <v>BOLD</v>
          </cell>
          <cell r="T66"/>
          <cell r="U66" t="str">
            <v>BOLD</v>
          </cell>
          <cell r="X66"/>
          <cell r="Y66" t="str">
            <v>BOLD</v>
          </cell>
          <cell r="AB66"/>
          <cell r="AC66" t="str">
            <v>BOLD</v>
          </cell>
          <cell r="AF66"/>
          <cell r="AG66" t="str">
            <v>BOLD</v>
          </cell>
          <cell r="AJ66"/>
          <cell r="AK66" t="str">
            <v>BOLD</v>
          </cell>
          <cell r="AL66" t="str">
            <v>Platinum - Ore Volume (Tons)</v>
          </cell>
          <cell r="AM66" t="str">
            <v>MINING_INFERRED_RES_PLATINUM_VOL</v>
          </cell>
          <cell r="AN66"/>
          <cell r="AO66" t="str">
            <v>BOLD</v>
          </cell>
          <cell r="AR66"/>
          <cell r="AS66" t="str">
            <v>BOLD</v>
          </cell>
          <cell r="AV66"/>
          <cell r="AW66" t="str">
            <v>BOLD</v>
          </cell>
          <cell r="AZ66"/>
          <cell r="BA66" t="str">
            <v>BOLD</v>
          </cell>
          <cell r="BB66" t="str">
            <v xml:space="preserve">  - Exploration Expense</v>
          </cell>
          <cell r="BC66" t="str">
            <v>EXPLORATION_EXPENSES_MIDEAST</v>
          </cell>
          <cell r="BD66"/>
          <cell r="BE66" t="str">
            <v>NO</v>
          </cell>
          <cell r="BH66"/>
          <cell r="BI66" t="str">
            <v>BOLD</v>
          </cell>
          <cell r="BL66"/>
          <cell r="BM66" t="str">
            <v>BOLD</v>
          </cell>
          <cell r="BP66"/>
          <cell r="BQ66" t="str">
            <v>BOLD</v>
          </cell>
          <cell r="BT66"/>
          <cell r="BU66" t="str">
            <v>BOLD</v>
          </cell>
          <cell r="BV66" t="str">
            <v xml:space="preserve">  + Revisions</v>
          </cell>
          <cell r="BW66" t="str">
            <v>GAS_REVISIONS_EUROPE</v>
          </cell>
          <cell r="BX66"/>
          <cell r="BY66" t="str">
            <v>NO</v>
          </cell>
          <cell r="BZ66" t="str">
            <v xml:space="preserve">  + Improved Recovery</v>
          </cell>
          <cell r="CA66" t="str">
            <v>OIL_IMPROVED_RECOVERY_EUROPE</v>
          </cell>
          <cell r="CB66"/>
          <cell r="CC66" t="str">
            <v>NO</v>
          </cell>
          <cell r="CD66" t="str">
            <v xml:space="preserve">  + Other</v>
          </cell>
          <cell r="CE66" t="str">
            <v>BOE_OTHER_CHG_LAMR</v>
          </cell>
          <cell r="CF66"/>
          <cell r="CG66" t="str">
            <v>NO</v>
          </cell>
          <cell r="CH66" t="str">
            <v>Discounted Cashflow</v>
          </cell>
          <cell r="CI66" t="str">
            <v>LABEL</v>
          </cell>
          <cell r="CJ66"/>
          <cell r="CK66" t="str">
            <v>BOLD</v>
          </cell>
          <cell r="CN66"/>
          <cell r="CO66" t="str">
            <v>BOLD</v>
          </cell>
          <cell r="CP66" t="str">
            <v>Silver Estimated Reserves and Resources per Share</v>
          </cell>
          <cell r="CQ66" t="str">
            <v>SILVER_EST_R&amp;R_PER_SHARE</v>
          </cell>
          <cell r="CR66"/>
          <cell r="CS66" t="str">
            <v>BOLD</v>
          </cell>
          <cell r="CV66"/>
          <cell r="CW66" t="str">
            <v>BOLD</v>
          </cell>
          <cell r="CZ66"/>
          <cell r="DA66" t="str">
            <v>BOLD</v>
          </cell>
          <cell r="DD66"/>
          <cell r="DE66" t="str">
            <v>BOLD</v>
          </cell>
          <cell r="DH66"/>
          <cell r="DI66" t="str">
            <v>BOLD</v>
          </cell>
          <cell r="DL66"/>
          <cell r="DM66" t="str">
            <v>BOLD</v>
          </cell>
          <cell r="DP66"/>
          <cell r="DQ66" t="str">
            <v>BOLD</v>
          </cell>
          <cell r="DR66" t="str">
            <v xml:space="preserve">  Number of Hospitals</v>
          </cell>
          <cell r="DS66" t="str">
            <v>NUMBER_OF_HOSPITALS</v>
          </cell>
          <cell r="DT66"/>
          <cell r="DU66" t="str">
            <v>NO</v>
          </cell>
          <cell r="DX66"/>
          <cell r="DY66" t="str">
            <v>BOLD</v>
          </cell>
          <cell r="EB66"/>
          <cell r="EC66" t="str">
            <v>BOLD</v>
          </cell>
          <cell r="EF66"/>
          <cell r="EG66" t="str">
            <v>BOLD</v>
          </cell>
          <cell r="EJ66"/>
          <cell r="EK66" t="str">
            <v>BOLD</v>
          </cell>
          <cell r="EN66"/>
          <cell r="EO66" t="str">
            <v>BOLD</v>
          </cell>
          <cell r="ER66"/>
          <cell r="ES66" t="str">
            <v>BOLD</v>
          </cell>
          <cell r="EV66"/>
          <cell r="EW66" t="str">
            <v>BOLD</v>
          </cell>
          <cell r="EX66" t="str">
            <v>Semiconductors-Bookings</v>
          </cell>
          <cell r="EY66" t="str">
            <v>SEMICON_BOOKINGS</v>
          </cell>
          <cell r="EZ66"/>
          <cell r="FA66" t="str">
            <v>BOLD</v>
          </cell>
          <cell r="FD66"/>
          <cell r="FE66" t="str">
            <v>BOLD</v>
          </cell>
          <cell r="FF66" t="str">
            <v>IPTV &amp; Broadband</v>
          </cell>
          <cell r="FG66" t="str">
            <v>LABEL</v>
          </cell>
          <cell r="FH66"/>
          <cell r="FI66" t="str">
            <v>BOLD</v>
          </cell>
          <cell r="FL66"/>
          <cell r="FM66" t="str">
            <v>BOLD</v>
          </cell>
          <cell r="FN66" t="str">
            <v xml:space="preserve">  ASM (ASK) per Employee</v>
          </cell>
          <cell r="FO66" t="str">
            <v>ASM_ASK_PER_EMPLOYEE</v>
          </cell>
          <cell r="FP66"/>
          <cell r="FQ66" t="str">
            <v>NO</v>
          </cell>
          <cell r="FT66"/>
          <cell r="FU66" t="str">
            <v>BOLD</v>
          </cell>
          <cell r="FX66"/>
          <cell r="FY66" t="str">
            <v>BOLD</v>
          </cell>
          <cell r="GB66"/>
          <cell r="GC66" t="str">
            <v>BOLD</v>
          </cell>
          <cell r="GF66"/>
          <cell r="GG66" t="str">
            <v>BOLD</v>
          </cell>
          <cell r="GJ66"/>
          <cell r="GK66" t="str">
            <v>BOLD</v>
          </cell>
          <cell r="GN66"/>
          <cell r="GO66" t="str">
            <v>BOLD</v>
          </cell>
          <cell r="GR66"/>
          <cell r="GS66" t="str">
            <v>BOLD</v>
          </cell>
          <cell r="GT66" t="str">
            <v>Theme Parks</v>
          </cell>
          <cell r="GU66" t="str">
            <v>LABEL</v>
          </cell>
          <cell r="GV66"/>
          <cell r="GW66" t="str">
            <v>BOLD</v>
          </cell>
          <cell r="GZ66"/>
          <cell r="HA66" t="str">
            <v>BOLD</v>
          </cell>
          <cell r="HB66" t="str">
            <v>Minimum - Energy and Natural Resources Investments %</v>
          </cell>
          <cell r="HC66" t="str">
            <v>ARD_AST_ALC_MIN_EGY_NAT_RES_INV</v>
          </cell>
          <cell r="HD66"/>
          <cell r="HE66" t="str">
            <v>BOLD</v>
          </cell>
          <cell r="HH66"/>
          <cell r="HI66" t="str">
            <v>BOLD</v>
          </cell>
          <cell r="HL66"/>
          <cell r="HM66" t="str">
            <v>BOLD</v>
          </cell>
          <cell r="HP66"/>
          <cell r="HQ66" t="str">
            <v>BOLD</v>
          </cell>
          <cell r="HT66"/>
          <cell r="HU66" t="str">
            <v>BOLD</v>
          </cell>
          <cell r="HV66" t="str">
            <v>Deposits/Funding</v>
          </cell>
          <cell r="HW66" t="str">
            <v>DEPOSITS_TO_FUNDING</v>
          </cell>
          <cell r="HX66"/>
          <cell r="HY66" t="str">
            <v>BOLD</v>
          </cell>
          <cell r="HZ66" t="str">
            <v>Ex Separate Accounts - Level 2</v>
          </cell>
          <cell r="IA66" t="str">
            <v>FV_RECUR_AST_EX_SEP_ACCT_LEVL_2</v>
          </cell>
          <cell r="IB66"/>
          <cell r="IC66" t="str">
            <v>BOLD</v>
          </cell>
          <cell r="IH66" t="str">
            <v>Liquidity</v>
          </cell>
          <cell r="II66" t="str">
            <v>LABEL</v>
          </cell>
          <cell r="IJ66"/>
          <cell r="IK66" t="str">
            <v>BOLD</v>
          </cell>
          <cell r="IP66" t="str">
            <v xml:space="preserve">  Other</v>
          </cell>
          <cell r="IQ66" t="str">
            <v>OTHER_RENEWABLES_ENERGY_PROD</v>
          </cell>
          <cell r="IR66"/>
          <cell r="IS66" t="str">
            <v>NO</v>
          </cell>
          <cell r="IX66" t="str">
            <v>Deposits/Funding</v>
          </cell>
          <cell r="IY66" t="str">
            <v>DEPOSITS_TO_FUNDING</v>
          </cell>
          <cell r="IZ66"/>
          <cell r="JA66" t="str">
            <v>BOLD</v>
          </cell>
          <cell r="JB66" t="str">
            <v>Ex Separate Accounts - Level 2</v>
          </cell>
          <cell r="JC66" t="str">
            <v>FV_RECUR_AST_EX_SEP_ACCT_LEVL_2</v>
          </cell>
          <cell r="JD66"/>
          <cell r="JE66" t="str">
            <v>BOLD</v>
          </cell>
        </row>
        <row r="67">
          <cell r="A67">
            <v>66</v>
          </cell>
          <cell r="D67"/>
          <cell r="E67" t="str">
            <v>BOLD</v>
          </cell>
          <cell r="F67" t="str">
            <v>Bankcard Pmt Processing Vol</v>
          </cell>
          <cell r="G67" t="str">
            <v>BANKCARD_PMT_PRCSS_VOLUME</v>
          </cell>
          <cell r="H67"/>
          <cell r="I67" t="str">
            <v>BOLD</v>
          </cell>
          <cell r="P67"/>
          <cell r="Q67" t="str">
            <v>BOLD</v>
          </cell>
          <cell r="T67"/>
          <cell r="U67" t="str">
            <v>BOLD</v>
          </cell>
          <cell r="X67"/>
          <cell r="Y67" t="str">
            <v>BOLD</v>
          </cell>
          <cell r="AB67"/>
          <cell r="AC67" t="str">
            <v>BOLD</v>
          </cell>
          <cell r="AF67"/>
          <cell r="AG67" t="str">
            <v>BOLD</v>
          </cell>
          <cell r="AJ67"/>
          <cell r="AK67" t="str">
            <v>BOLD</v>
          </cell>
          <cell r="AL67" t="str">
            <v>Platinum - Grade (oz/Ton)</v>
          </cell>
          <cell r="AM67" t="str">
            <v>MINING_INFER_RES_PLATINUM_GRADE</v>
          </cell>
          <cell r="AN67"/>
          <cell r="AO67" t="str">
            <v>BOLD</v>
          </cell>
          <cell r="AR67"/>
          <cell r="AS67" t="str">
            <v>BOLD</v>
          </cell>
          <cell r="AV67"/>
          <cell r="AW67" t="str">
            <v>BOLD</v>
          </cell>
          <cell r="AZ67"/>
          <cell r="BA67" t="str">
            <v>BOLD</v>
          </cell>
          <cell r="BB67" t="str">
            <v xml:space="preserve">  - DD&amp;A</v>
          </cell>
          <cell r="BC67" t="str">
            <v>DD&amp;A_MIDEAST</v>
          </cell>
          <cell r="BD67"/>
          <cell r="BE67" t="str">
            <v>NO</v>
          </cell>
          <cell r="BH67"/>
          <cell r="BI67" t="str">
            <v>BOLD</v>
          </cell>
          <cell r="BL67"/>
          <cell r="BM67" t="str">
            <v>BOLD</v>
          </cell>
          <cell r="BP67"/>
          <cell r="BQ67" t="str">
            <v>BOLD</v>
          </cell>
          <cell r="BT67"/>
          <cell r="BU67" t="str">
            <v>BOLD</v>
          </cell>
          <cell r="BV67" t="str">
            <v xml:space="preserve">  + Improved Recovery</v>
          </cell>
          <cell r="BW67" t="str">
            <v>GAS_IMPROV_REC_EUROPE</v>
          </cell>
          <cell r="BX67"/>
          <cell r="BY67" t="str">
            <v>NO</v>
          </cell>
          <cell r="BZ67" t="str">
            <v xml:space="preserve">  + Extensions &amp; Discoveries</v>
          </cell>
          <cell r="CA67" t="str">
            <v>OIL_EXTENSIONS_AND_DISCS_EUR</v>
          </cell>
          <cell r="CB67"/>
          <cell r="CC67" t="str">
            <v>NO</v>
          </cell>
          <cell r="CD67" t="str">
            <v xml:space="preserve">  End of year</v>
          </cell>
          <cell r="CE67" t="str">
            <v>BOE_END_YEAR_LAMR</v>
          </cell>
          <cell r="CF67"/>
          <cell r="CG67" t="str">
            <v>NO</v>
          </cell>
          <cell r="CH67" t="str">
            <v>Standardized Measure</v>
          </cell>
          <cell r="CI67" t="str">
            <v>DISC_FUTURE_CASHFLOWS</v>
          </cell>
          <cell r="CJ67"/>
          <cell r="CK67" t="str">
            <v>BOLD</v>
          </cell>
          <cell r="CN67"/>
          <cell r="CO67" t="str">
            <v>BOLD</v>
          </cell>
          <cell r="CP67" t="str">
            <v>Mining - P&amp;P Reserves Contained Silver</v>
          </cell>
          <cell r="CQ67" t="str">
            <v>MINING_P&amp;P_RSRV_CONTAINED_SILVER</v>
          </cell>
          <cell r="CR67"/>
          <cell r="CS67" t="str">
            <v>BOLD</v>
          </cell>
          <cell r="CV67"/>
          <cell r="CW67" t="str">
            <v>BOLD</v>
          </cell>
          <cell r="CZ67"/>
          <cell r="DA67" t="str">
            <v>BOLD</v>
          </cell>
          <cell r="DD67"/>
          <cell r="DE67" t="str">
            <v>BOLD</v>
          </cell>
          <cell r="DH67"/>
          <cell r="DI67" t="str">
            <v>BOLD</v>
          </cell>
          <cell r="DL67"/>
          <cell r="DM67" t="str">
            <v>BOLD</v>
          </cell>
          <cell r="DP67"/>
          <cell r="DQ67" t="str">
            <v>BOLD</v>
          </cell>
          <cell r="DR67" t="str">
            <v xml:space="preserve">  Patient Days</v>
          </cell>
          <cell r="DS67" t="str">
            <v>PATIENT_DAYS</v>
          </cell>
          <cell r="DT67"/>
          <cell r="DU67" t="str">
            <v>NO</v>
          </cell>
          <cell r="DX67"/>
          <cell r="DY67" t="str">
            <v>BOLD</v>
          </cell>
          <cell r="EB67"/>
          <cell r="EC67" t="str">
            <v>BOLD</v>
          </cell>
          <cell r="EF67"/>
          <cell r="EG67" t="str">
            <v>BOLD</v>
          </cell>
          <cell r="EJ67"/>
          <cell r="EK67" t="str">
            <v>BOLD</v>
          </cell>
          <cell r="EN67"/>
          <cell r="EO67" t="str">
            <v>BOLD</v>
          </cell>
          <cell r="ER67"/>
          <cell r="ES67" t="str">
            <v>BOLD</v>
          </cell>
          <cell r="EV67"/>
          <cell r="EW67" t="str">
            <v>BOLD</v>
          </cell>
          <cell r="EX67" t="str">
            <v>Semiconductors-Shipments</v>
          </cell>
          <cell r="EY67" t="str">
            <v>SEMICON_SHIPMENTS</v>
          </cell>
          <cell r="EZ67"/>
          <cell r="FA67" t="str">
            <v>BOLD</v>
          </cell>
          <cell r="FD67"/>
          <cell r="FE67" t="str">
            <v>BOLD</v>
          </cell>
          <cell r="FF67" t="str">
            <v>Digital Cable Revenue</v>
          </cell>
          <cell r="FG67" t="str">
            <v>DIGITAL_CABLE_REVENUE</v>
          </cell>
          <cell r="FH67"/>
          <cell r="FI67" t="str">
            <v>BOLD</v>
          </cell>
          <cell r="FL67"/>
          <cell r="FM67" t="str">
            <v>BOLD</v>
          </cell>
          <cell r="FN67" t="str">
            <v xml:space="preserve">  Revenue per Employee</v>
          </cell>
          <cell r="FO67" t="str">
            <v>REV_PER_EMPLOYEE</v>
          </cell>
          <cell r="FP67"/>
          <cell r="FQ67" t="str">
            <v>NO</v>
          </cell>
          <cell r="FT67"/>
          <cell r="FU67" t="str">
            <v>BOLD</v>
          </cell>
          <cell r="FX67"/>
          <cell r="FY67" t="str">
            <v>BOLD</v>
          </cell>
          <cell r="GB67"/>
          <cell r="GC67" t="str">
            <v>BOLD</v>
          </cell>
          <cell r="GF67"/>
          <cell r="GG67" t="str">
            <v>BOLD</v>
          </cell>
          <cell r="GJ67"/>
          <cell r="GK67" t="str">
            <v>BOLD</v>
          </cell>
          <cell r="GN67"/>
          <cell r="GO67" t="str">
            <v>BOLD</v>
          </cell>
          <cell r="GR67"/>
          <cell r="GS67" t="str">
            <v>BOLD</v>
          </cell>
          <cell r="GT67" t="str">
            <v xml:space="preserve">  Number of Theme Parks</v>
          </cell>
          <cell r="GU67" t="str">
            <v>ENTERT_THEME_PARKS</v>
          </cell>
          <cell r="GV67"/>
          <cell r="GW67" t="str">
            <v>NO</v>
          </cell>
          <cell r="GZ67"/>
          <cell r="HA67" t="str">
            <v>BOLD</v>
          </cell>
          <cell r="HB67" t="str">
            <v>Maximum - Energy and Natural Resources Investments%</v>
          </cell>
          <cell r="HC67" t="str">
            <v>ARD_AST_ALC_MAX_EGY_NAT_RES_INV</v>
          </cell>
          <cell r="HD67"/>
          <cell r="HE67" t="str">
            <v>BOLD</v>
          </cell>
          <cell r="HH67"/>
          <cell r="HI67" t="str">
            <v>BOLD</v>
          </cell>
          <cell r="HL67"/>
          <cell r="HM67" t="str">
            <v>BOLD</v>
          </cell>
          <cell r="HP67"/>
          <cell r="HQ67" t="str">
            <v>BOLD</v>
          </cell>
          <cell r="HT67"/>
          <cell r="HU67" t="str">
            <v>BOLD</v>
          </cell>
          <cell r="HV67" t="str">
            <v>Free Funding</v>
          </cell>
          <cell r="HW67" t="str">
            <v>FREE_FUNDING</v>
          </cell>
          <cell r="HX67"/>
          <cell r="HY67" t="str">
            <v>BOLD</v>
          </cell>
          <cell r="HZ67" t="str">
            <v>Ex Separate Accounts - Level 3</v>
          </cell>
          <cell r="IA67" t="str">
            <v>FV_RECUR_AST_EX_SEP_ACCT_LEVL_3</v>
          </cell>
          <cell r="IB67"/>
          <cell r="IC67" t="str">
            <v>BOLD</v>
          </cell>
          <cell r="IH67" t="str">
            <v>Total Loans/Total Assets</v>
          </cell>
          <cell r="II67" t="str">
            <v>TOT_LOAN_TO_TOT_ASSET</v>
          </cell>
          <cell r="IJ67"/>
          <cell r="IK67" t="str">
            <v>BOLD</v>
          </cell>
          <cell r="IP67" t="str">
            <v>+ Other</v>
          </cell>
          <cell r="IQ67" t="str">
            <v>ELEC_PROD_THERM_OTH_N_RENEW_GWH</v>
          </cell>
          <cell r="IR67"/>
          <cell r="IS67" t="str">
            <v>BOLD</v>
          </cell>
          <cell r="IX67" t="str">
            <v>Free Funding</v>
          </cell>
          <cell r="IY67" t="str">
            <v>FREE_FUNDING</v>
          </cell>
          <cell r="IZ67"/>
          <cell r="JA67" t="str">
            <v>BOLD</v>
          </cell>
          <cell r="JB67" t="str">
            <v>Ex Separate Accounts - Level 3</v>
          </cell>
          <cell r="JC67" t="str">
            <v>FV_RECUR_AST_EX_SEP_ACCT_LEVL_3</v>
          </cell>
          <cell r="JD67"/>
          <cell r="JE67" t="str">
            <v>BOLD</v>
          </cell>
        </row>
        <row r="68">
          <cell r="A68">
            <v>67</v>
          </cell>
          <cell r="D68"/>
          <cell r="E68" t="str">
            <v>BOLD</v>
          </cell>
          <cell r="F68" t="str">
            <v>Reward Miles Issued</v>
          </cell>
          <cell r="G68" t="str">
            <v>REWARD_MILES_ISSUED</v>
          </cell>
          <cell r="H68"/>
          <cell r="I68" t="str">
            <v>BOLD</v>
          </cell>
          <cell r="P68"/>
          <cell r="Q68" t="str">
            <v>BOLD</v>
          </cell>
          <cell r="T68"/>
          <cell r="U68" t="str">
            <v>BOLD</v>
          </cell>
          <cell r="X68"/>
          <cell r="Y68" t="str">
            <v>BOLD</v>
          </cell>
          <cell r="AB68"/>
          <cell r="AC68" t="str">
            <v>BOLD</v>
          </cell>
          <cell r="AF68"/>
          <cell r="AG68" t="str">
            <v>BOLD</v>
          </cell>
          <cell r="AJ68"/>
          <cell r="AK68" t="str">
            <v>BOLD</v>
          </cell>
          <cell r="AL68" t="str">
            <v>Contained Platinum (oz)</v>
          </cell>
          <cell r="AM68" t="str">
            <v>MINING_INFER_RES_CONT_PLATINUM</v>
          </cell>
          <cell r="AN68"/>
          <cell r="AO68" t="str">
            <v>BOLD</v>
          </cell>
          <cell r="AR68"/>
          <cell r="AS68" t="str">
            <v>BOLD</v>
          </cell>
          <cell r="AV68"/>
          <cell r="AW68" t="str">
            <v>BOLD</v>
          </cell>
          <cell r="AZ68"/>
          <cell r="BA68" t="str">
            <v>BOLD</v>
          </cell>
          <cell r="BB68" t="str">
            <v xml:space="preserve">  - Other Expenses</v>
          </cell>
          <cell r="BC68" t="str">
            <v>OTHER_E&amp;P_EXPENSES_MIDEAST</v>
          </cell>
          <cell r="BD68"/>
          <cell r="BE68" t="str">
            <v>NO</v>
          </cell>
          <cell r="BH68"/>
          <cell r="BI68" t="str">
            <v>BOLD</v>
          </cell>
          <cell r="BL68"/>
          <cell r="BM68" t="str">
            <v>BOLD</v>
          </cell>
          <cell r="BP68"/>
          <cell r="BQ68" t="str">
            <v>BOLD</v>
          </cell>
          <cell r="BT68"/>
          <cell r="BU68" t="str">
            <v>BOLD</v>
          </cell>
          <cell r="BV68" t="str">
            <v xml:space="preserve">  + Extensions &amp; Discoveries</v>
          </cell>
          <cell r="BW68" t="str">
            <v>GAS_EXTENS_DISCOV_EUROPE</v>
          </cell>
          <cell r="BX68"/>
          <cell r="BY68" t="str">
            <v>NO</v>
          </cell>
          <cell r="BZ68" t="str">
            <v xml:space="preserve">  + Purchases</v>
          </cell>
          <cell r="CA68" t="str">
            <v>OIL_PURCH_EUROPE</v>
          </cell>
          <cell r="CB68"/>
          <cell r="CC68" t="str">
            <v>NO</v>
          </cell>
          <cell r="CD68" t="str">
            <v xml:space="preserve">  Developed Reserves</v>
          </cell>
          <cell r="CE68" t="str">
            <v>BOE_DEVEL_RESV_LAMR</v>
          </cell>
          <cell r="CF68"/>
          <cell r="CG68" t="str">
            <v>NO</v>
          </cell>
          <cell r="CH68" t="str">
            <v>Pre-Tax DCF (PV-10)</v>
          </cell>
          <cell r="CI68" t="str">
            <v>PRE_TAX_DISC_FUTURE_CASHFLOWS</v>
          </cell>
          <cell r="CJ68"/>
          <cell r="CK68" t="str">
            <v>BOLD</v>
          </cell>
          <cell r="CN68"/>
          <cell r="CO68" t="str">
            <v>BOLD</v>
          </cell>
          <cell r="CP68" t="str">
            <v>Mining - M&amp;I Resources Contained Silver</v>
          </cell>
          <cell r="CQ68" t="str">
            <v>MINING_M&amp;I_RES_CONTAINED_SILVER</v>
          </cell>
          <cell r="CR68"/>
          <cell r="CS68" t="str">
            <v>BOLD</v>
          </cell>
          <cell r="CV68"/>
          <cell r="CW68" t="str">
            <v>BOLD</v>
          </cell>
          <cell r="CZ68"/>
          <cell r="DA68" t="str">
            <v>BOLD</v>
          </cell>
          <cell r="DD68"/>
          <cell r="DE68" t="str">
            <v>BOLD</v>
          </cell>
          <cell r="DH68"/>
          <cell r="DI68" t="str">
            <v>BOLD</v>
          </cell>
          <cell r="DL68"/>
          <cell r="DM68" t="str">
            <v>BOLD</v>
          </cell>
          <cell r="DP68"/>
          <cell r="DQ68" t="str">
            <v>BOLD</v>
          </cell>
          <cell r="DR68" t="str">
            <v xml:space="preserve">  Average Daily Census</v>
          </cell>
          <cell r="DS68" t="str">
            <v>AVG_DAILY_CENSUS_HOSPITAL</v>
          </cell>
          <cell r="DT68"/>
          <cell r="DU68" t="str">
            <v>NO</v>
          </cell>
          <cell r="DX68"/>
          <cell r="DY68" t="str">
            <v>BOLD</v>
          </cell>
          <cell r="EB68"/>
          <cell r="EC68" t="str">
            <v>BOLD</v>
          </cell>
          <cell r="EF68"/>
          <cell r="EG68" t="str">
            <v>BOLD</v>
          </cell>
          <cell r="EJ68"/>
          <cell r="EK68" t="str">
            <v>BOLD</v>
          </cell>
          <cell r="EN68"/>
          <cell r="EO68" t="str">
            <v>BOLD</v>
          </cell>
          <cell r="ER68"/>
          <cell r="ES68" t="str">
            <v>BOLD</v>
          </cell>
          <cell r="EV68"/>
          <cell r="EW68" t="str">
            <v>BOLD</v>
          </cell>
          <cell r="EZ68"/>
          <cell r="FA68" t="str">
            <v>BOLD</v>
          </cell>
          <cell r="FD68"/>
          <cell r="FE68" t="str">
            <v>BOLD</v>
          </cell>
          <cell r="FF68" t="str">
            <v>Total Cable Subscribers</v>
          </cell>
          <cell r="FG68" t="str">
            <v>TOTAL_CABLE_SUBSCRIBERS</v>
          </cell>
          <cell r="FH68"/>
          <cell r="FI68" t="str">
            <v>BOLD</v>
          </cell>
          <cell r="FL68"/>
          <cell r="FM68" t="str">
            <v>BOLD</v>
          </cell>
          <cell r="FN68" t="str">
            <v xml:space="preserve">  Value Added per Employee</v>
          </cell>
          <cell r="FO68" t="str">
            <v>VALUE_ADDED_PER_EMPLOYEE</v>
          </cell>
          <cell r="FP68"/>
          <cell r="FQ68" t="str">
            <v>NO</v>
          </cell>
          <cell r="FT68"/>
          <cell r="FU68" t="str">
            <v>BOLD</v>
          </cell>
          <cell r="FX68"/>
          <cell r="FY68" t="str">
            <v>BOLD</v>
          </cell>
          <cell r="GB68"/>
          <cell r="GC68" t="str">
            <v>BOLD</v>
          </cell>
          <cell r="GF68"/>
          <cell r="GG68" t="str">
            <v>BOLD</v>
          </cell>
          <cell r="GJ68"/>
          <cell r="GK68" t="str">
            <v>BOLD</v>
          </cell>
          <cell r="GN68"/>
          <cell r="GO68" t="str">
            <v>BOLD</v>
          </cell>
          <cell r="GR68"/>
          <cell r="GS68" t="str">
            <v>BOLD</v>
          </cell>
          <cell r="GT68" t="str">
            <v xml:space="preserve">  Theme Park Attendance</v>
          </cell>
          <cell r="GU68" t="str">
            <v>ENTERT_THEME_PARK_ATTENDANCE</v>
          </cell>
          <cell r="GV68"/>
          <cell r="GW68" t="str">
            <v>NO</v>
          </cell>
          <cell r="GZ68"/>
          <cell r="HA68" t="str">
            <v>BOLD</v>
          </cell>
          <cell r="HD68"/>
          <cell r="HE68" t="str">
            <v>BOLD</v>
          </cell>
          <cell r="HH68"/>
          <cell r="HI68" t="str">
            <v>BOLD</v>
          </cell>
          <cell r="HL68"/>
          <cell r="HM68" t="str">
            <v>BOLD</v>
          </cell>
          <cell r="HP68"/>
          <cell r="HQ68" t="str">
            <v>BOLD</v>
          </cell>
          <cell r="HT68"/>
          <cell r="HU68" t="str">
            <v>BOLD</v>
          </cell>
          <cell r="HV68" t="str">
            <v>Large Deposits/Earning Assets</v>
          </cell>
          <cell r="HW68" t="str">
            <v>LARGE_DPST_TO_EARN_ASSET</v>
          </cell>
          <cell r="HX68"/>
          <cell r="HY68" t="str">
            <v>BOLD</v>
          </cell>
          <cell r="HZ68" t="str">
            <v>Ex Separate Accounts - Total</v>
          </cell>
          <cell r="IA68" t="str">
            <v>FV_RECURRING_AST_EX_SEP_ACCT_TOT</v>
          </cell>
          <cell r="IB68"/>
          <cell r="IC68" t="str">
            <v>BOLD</v>
          </cell>
          <cell r="IH68" t="str">
            <v>Total Assets</v>
          </cell>
          <cell r="II68" t="str">
            <v>BS_TOT_ASSET</v>
          </cell>
          <cell r="IJ68"/>
          <cell r="IK68" t="str">
            <v>BOLD</v>
          </cell>
          <cell r="IP68" t="str">
            <v>Purchases</v>
          </cell>
          <cell r="IQ68" t="str">
            <v>PURCHASED_ELECTRICITY</v>
          </cell>
          <cell r="IR68"/>
          <cell r="IS68" t="str">
            <v>BOLD</v>
          </cell>
          <cell r="IX68" t="str">
            <v>Large Deposits/Earning Assets</v>
          </cell>
          <cell r="IY68" t="str">
            <v>LARGE_DPST_TO_EARN_ASSET</v>
          </cell>
          <cell r="IZ68"/>
          <cell r="JA68" t="str">
            <v>BOLD</v>
          </cell>
          <cell r="JB68" t="str">
            <v>Ex Separate Accounts - Total</v>
          </cell>
          <cell r="JC68" t="str">
            <v>FV_RECURRING_AST_EX_SEP_ACCT_TOT</v>
          </cell>
          <cell r="JD68"/>
          <cell r="JE68" t="str">
            <v>BOLD</v>
          </cell>
        </row>
        <row r="69">
          <cell r="A69">
            <v>68</v>
          </cell>
          <cell r="D69"/>
          <cell r="E69" t="str">
            <v>BOLD</v>
          </cell>
          <cell r="F69" t="str">
            <v>Reward Miles Redeemed</v>
          </cell>
          <cell r="G69" t="str">
            <v>REWARD_MILES_REDEEMED</v>
          </cell>
          <cell r="H69"/>
          <cell r="I69" t="str">
            <v>BOLD</v>
          </cell>
          <cell r="P69"/>
          <cell r="Q69" t="str">
            <v>BOLD</v>
          </cell>
          <cell r="T69"/>
          <cell r="U69" t="str">
            <v>BOLD</v>
          </cell>
          <cell r="X69"/>
          <cell r="Y69" t="str">
            <v>BOLD</v>
          </cell>
          <cell r="AB69"/>
          <cell r="AC69" t="str">
            <v>BOLD</v>
          </cell>
          <cell r="AF69"/>
          <cell r="AG69" t="str">
            <v>BOLD</v>
          </cell>
          <cell r="AJ69"/>
          <cell r="AK69" t="str">
            <v>BOLD</v>
          </cell>
          <cell r="AL69" t="str">
            <v>Bismuth - Ore Volume (Tons)</v>
          </cell>
          <cell r="AM69" t="str">
            <v>MINING_INFERRED_RES_BISMUTH_VOL</v>
          </cell>
          <cell r="AN69"/>
          <cell r="AO69" t="str">
            <v>BOLD</v>
          </cell>
          <cell r="AR69"/>
          <cell r="AS69" t="str">
            <v>BOLD</v>
          </cell>
          <cell r="AV69"/>
          <cell r="AW69" t="str">
            <v>BOLD</v>
          </cell>
          <cell r="AZ69"/>
          <cell r="BA69" t="str">
            <v>BOLD</v>
          </cell>
          <cell r="BB69" t="str">
            <v xml:space="preserve">  - Income Tax</v>
          </cell>
          <cell r="BC69" t="str">
            <v>INCOME_TAX_MIDEAST</v>
          </cell>
          <cell r="BD69"/>
          <cell r="BE69" t="str">
            <v>NO</v>
          </cell>
          <cell r="BH69"/>
          <cell r="BI69" t="str">
            <v>BOLD</v>
          </cell>
          <cell r="BL69"/>
          <cell r="BM69" t="str">
            <v>BOLD</v>
          </cell>
          <cell r="BP69"/>
          <cell r="BQ69" t="str">
            <v>BOLD</v>
          </cell>
          <cell r="BT69"/>
          <cell r="BU69" t="str">
            <v>BOLD</v>
          </cell>
          <cell r="BV69" t="str">
            <v xml:space="preserve">  + Purchases</v>
          </cell>
          <cell r="BW69" t="str">
            <v>GAS_PURCHASES_EUROPE</v>
          </cell>
          <cell r="BX69"/>
          <cell r="BY69" t="str">
            <v>NO</v>
          </cell>
          <cell r="BZ69" t="str">
            <v xml:space="preserve">  + Sales</v>
          </cell>
          <cell r="CA69" t="str">
            <v>OIL_SLS_EUROPE</v>
          </cell>
          <cell r="CB69"/>
          <cell r="CC69" t="str">
            <v>NO</v>
          </cell>
          <cell r="CF69"/>
          <cell r="CG69" t="str">
            <v>BOLD</v>
          </cell>
          <cell r="CJ69"/>
          <cell r="CK69" t="str">
            <v>BOLD</v>
          </cell>
          <cell r="CN69"/>
          <cell r="CO69" t="str">
            <v>BOLD</v>
          </cell>
          <cell r="CP69" t="str">
            <v>Mining - Inferred Resources Contained Silver</v>
          </cell>
          <cell r="CQ69" t="str">
            <v>MINING_INFERRED_RES_CONT_SILVER</v>
          </cell>
          <cell r="CR69"/>
          <cell r="CS69" t="str">
            <v>BOLD</v>
          </cell>
          <cell r="CV69"/>
          <cell r="CW69" t="str">
            <v>BOLD</v>
          </cell>
          <cell r="CZ69"/>
          <cell r="DA69" t="str">
            <v>BOLD</v>
          </cell>
          <cell r="DD69"/>
          <cell r="DE69" t="str">
            <v>BOLD</v>
          </cell>
          <cell r="DH69"/>
          <cell r="DI69" t="str">
            <v>BOLD</v>
          </cell>
          <cell r="DL69"/>
          <cell r="DM69" t="str">
            <v>BOLD</v>
          </cell>
          <cell r="DP69"/>
          <cell r="DQ69" t="str">
            <v>BOLD</v>
          </cell>
          <cell r="DR69" t="str">
            <v xml:space="preserve">  Number of Occupied Beds</v>
          </cell>
          <cell r="DS69" t="str">
            <v>NUMBER_OCCUPIED_BEDS</v>
          </cell>
          <cell r="DT69"/>
          <cell r="DU69" t="str">
            <v>NO</v>
          </cell>
          <cell r="DX69"/>
          <cell r="DY69" t="str">
            <v>BOLD</v>
          </cell>
          <cell r="EB69"/>
          <cell r="EC69" t="str">
            <v>BOLD</v>
          </cell>
          <cell r="EF69"/>
          <cell r="EG69" t="str">
            <v>BOLD</v>
          </cell>
          <cell r="EJ69"/>
          <cell r="EK69" t="str">
            <v>BOLD</v>
          </cell>
          <cell r="EN69"/>
          <cell r="EO69" t="str">
            <v>BOLD</v>
          </cell>
          <cell r="ER69"/>
          <cell r="ES69" t="str">
            <v>BOLD</v>
          </cell>
          <cell r="EV69"/>
          <cell r="EW69" t="str">
            <v>BOLD</v>
          </cell>
          <cell r="EZ69"/>
          <cell r="FA69" t="str">
            <v>BOLD</v>
          </cell>
          <cell r="FD69"/>
          <cell r="FE69" t="str">
            <v>BOLD</v>
          </cell>
          <cell r="FF69" t="str">
            <v>Total Cable Subscriber Additions</v>
          </cell>
          <cell r="FG69" t="str">
            <v>TOTAL_CABLE_SUBSCRIBER_ADDS</v>
          </cell>
          <cell r="FH69"/>
          <cell r="FI69" t="str">
            <v>BOLD</v>
          </cell>
          <cell r="FL69"/>
          <cell r="FM69" t="str">
            <v>BOLD</v>
          </cell>
          <cell r="FP69"/>
          <cell r="FQ69" t="str">
            <v>BOLD</v>
          </cell>
          <cell r="FT69"/>
          <cell r="FU69" t="str">
            <v>BOLD</v>
          </cell>
          <cell r="FX69"/>
          <cell r="FY69" t="str">
            <v>BOLD</v>
          </cell>
          <cell r="GB69"/>
          <cell r="GC69" t="str">
            <v>BOLD</v>
          </cell>
          <cell r="GF69"/>
          <cell r="GG69" t="str">
            <v>BOLD</v>
          </cell>
          <cell r="GJ69"/>
          <cell r="GK69" t="str">
            <v>BOLD</v>
          </cell>
          <cell r="GN69"/>
          <cell r="GO69" t="str">
            <v>BOLD</v>
          </cell>
          <cell r="GR69"/>
          <cell r="GS69" t="str">
            <v>BOLD</v>
          </cell>
          <cell r="GT69" t="str">
            <v xml:space="preserve">  Change in Attendance</v>
          </cell>
          <cell r="GU69" t="str">
            <v>ARD_CHG_THEME_PARK_ATTENDANCE</v>
          </cell>
          <cell r="GV69"/>
          <cell r="GW69" t="str">
            <v>NO</v>
          </cell>
          <cell r="GZ69"/>
          <cell r="HA69" t="str">
            <v>BOLD</v>
          </cell>
          <cell r="HD69"/>
          <cell r="HE69" t="str">
            <v>BOLD</v>
          </cell>
          <cell r="HH69"/>
          <cell r="HI69" t="str">
            <v>BOLD</v>
          </cell>
          <cell r="HL69"/>
          <cell r="HM69" t="str">
            <v>BOLD</v>
          </cell>
          <cell r="HP69"/>
          <cell r="HQ69" t="str">
            <v>BOLD</v>
          </cell>
          <cell r="HT69"/>
          <cell r="HU69" t="str">
            <v>BOLD</v>
          </cell>
          <cell r="HV69" t="str">
            <v>Total Assets</v>
          </cell>
          <cell r="HW69" t="str">
            <v>BS_TOT_ASSET</v>
          </cell>
          <cell r="HX69"/>
          <cell r="HY69" t="str">
            <v>BOLD</v>
          </cell>
          <cell r="HZ69" t="str">
            <v>Separate Accounts - Level 1</v>
          </cell>
          <cell r="IA69" t="str">
            <v>ARDR_SEPARATE_ACCT_LEVEL_1_AMT</v>
          </cell>
          <cell r="IB69"/>
          <cell r="IC69" t="str">
            <v>BOLD</v>
          </cell>
          <cell r="IH69" t="str">
            <v>Total Loans</v>
          </cell>
          <cell r="II69" t="str">
            <v>BS_TOT_LOAN</v>
          </cell>
          <cell r="IJ69"/>
          <cell r="IK69" t="str">
            <v>BOLD</v>
          </cell>
          <cell r="IP69" t="str">
            <v>Total Electricity Sources</v>
          </cell>
          <cell r="IQ69" t="str">
            <v>TOTAL_ELECTRIC_SALES</v>
          </cell>
          <cell r="IR69"/>
          <cell r="IS69" t="str">
            <v>BOLD</v>
          </cell>
          <cell r="IX69" t="str">
            <v>Total Assets</v>
          </cell>
          <cell r="IY69" t="str">
            <v>BS_TOT_ASSET</v>
          </cell>
          <cell r="IZ69"/>
          <cell r="JA69" t="str">
            <v>BOLD</v>
          </cell>
          <cell r="JB69" t="str">
            <v>Separate Accounts - Level 1</v>
          </cell>
          <cell r="JC69" t="str">
            <v>ARDR_SEPARATE_ACCT_LEVEL_1_AMT</v>
          </cell>
          <cell r="JD69"/>
          <cell r="JE69" t="str">
            <v>BOLD</v>
          </cell>
        </row>
        <row r="70">
          <cell r="A70">
            <v>69</v>
          </cell>
          <cell r="D70"/>
          <cell r="E70" t="str">
            <v>BOLD</v>
          </cell>
          <cell r="F70" t="str">
            <v>Private Label Statements Generated</v>
          </cell>
          <cell r="G70" t="str">
            <v>PVT_LABEL_STATEMENTS_GENERATED</v>
          </cell>
          <cell r="H70"/>
          <cell r="I70" t="str">
            <v>BOLD</v>
          </cell>
          <cell r="P70"/>
          <cell r="Q70" t="str">
            <v>BOLD</v>
          </cell>
          <cell r="T70"/>
          <cell r="U70" t="str">
            <v>BOLD</v>
          </cell>
          <cell r="X70"/>
          <cell r="Y70" t="str">
            <v>BOLD</v>
          </cell>
          <cell r="AB70"/>
          <cell r="AC70" t="str">
            <v>BOLD</v>
          </cell>
          <cell r="AF70"/>
          <cell r="AG70" t="str">
            <v>BOLD</v>
          </cell>
          <cell r="AJ70"/>
          <cell r="AK70" t="str">
            <v>BOLD</v>
          </cell>
          <cell r="AL70" t="str">
            <v>Bismuth - Grade (%)</v>
          </cell>
          <cell r="AM70" t="str">
            <v>MINING_INFER_RES_BISMUTH_GRADE</v>
          </cell>
          <cell r="AN70"/>
          <cell r="AO70" t="str">
            <v>BOLD</v>
          </cell>
          <cell r="AR70"/>
          <cell r="AS70" t="str">
            <v>BOLD</v>
          </cell>
          <cell r="AV70"/>
          <cell r="AW70" t="str">
            <v>BOLD</v>
          </cell>
          <cell r="AZ70"/>
          <cell r="BA70" t="str">
            <v>BOLD</v>
          </cell>
          <cell r="BB70" t="str">
            <v xml:space="preserve">  + Other Income</v>
          </cell>
          <cell r="BC70" t="str">
            <v>OTHER_E&amp;P_INCOME_MIDEAST</v>
          </cell>
          <cell r="BD70"/>
          <cell r="BE70" t="str">
            <v>NO</v>
          </cell>
          <cell r="BH70"/>
          <cell r="BI70" t="str">
            <v>BOLD</v>
          </cell>
          <cell r="BL70"/>
          <cell r="BM70" t="str">
            <v>BOLD</v>
          </cell>
          <cell r="BP70"/>
          <cell r="BQ70" t="str">
            <v>BOLD</v>
          </cell>
          <cell r="BT70"/>
          <cell r="BU70" t="str">
            <v>BOLD</v>
          </cell>
          <cell r="BV70" t="str">
            <v xml:space="preserve">  + Sales</v>
          </cell>
          <cell r="BW70" t="str">
            <v>GAS_SALES_EUROPE</v>
          </cell>
          <cell r="BX70"/>
          <cell r="BY70" t="str">
            <v>NO</v>
          </cell>
          <cell r="BZ70" t="str">
            <v xml:space="preserve">  + Production</v>
          </cell>
          <cell r="CA70" t="str">
            <v>OIL_PROD_EUROPE</v>
          </cell>
          <cell r="CB70"/>
          <cell r="CC70" t="str">
            <v>NO</v>
          </cell>
          <cell r="CD70" t="str">
            <v>Europe</v>
          </cell>
          <cell r="CE70" t="str">
            <v>LABEL</v>
          </cell>
          <cell r="CF70"/>
          <cell r="CG70" t="str">
            <v>BOLD</v>
          </cell>
          <cell r="CH70" t="str">
            <v>Drilling Activity</v>
          </cell>
          <cell r="CI70" t="str">
            <v>LABEL</v>
          </cell>
          <cell r="CJ70"/>
          <cell r="CK70" t="str">
            <v>BOLD</v>
          </cell>
          <cell r="CN70"/>
          <cell r="CO70" t="str">
            <v>BOLD</v>
          </cell>
          <cell r="CP70" t="str">
            <v>Mining - P&amp;P Reserves Contained Platinum</v>
          </cell>
          <cell r="CQ70" t="str">
            <v>MINING_P&amp;P_RSRV_CONTAIN_PLATINUM</v>
          </cell>
          <cell r="CR70"/>
          <cell r="CS70" t="str">
            <v>BOLD</v>
          </cell>
          <cell r="CV70"/>
          <cell r="CW70" t="str">
            <v>BOLD</v>
          </cell>
          <cell r="CZ70"/>
          <cell r="DA70" t="str">
            <v>BOLD</v>
          </cell>
          <cell r="DD70"/>
          <cell r="DE70" t="str">
            <v>BOLD</v>
          </cell>
          <cell r="DH70"/>
          <cell r="DI70" t="str">
            <v>BOLD</v>
          </cell>
          <cell r="DL70"/>
          <cell r="DM70" t="str">
            <v>BOLD</v>
          </cell>
          <cell r="DP70"/>
          <cell r="DQ70" t="str">
            <v>BOLD</v>
          </cell>
          <cell r="DR70" t="str">
            <v xml:space="preserve">  Occupancy Level (Average %)</v>
          </cell>
          <cell r="DS70" t="str">
            <v>OCCUPANCY_LEVEL_AVG_%</v>
          </cell>
          <cell r="DT70"/>
          <cell r="DU70" t="str">
            <v>NO</v>
          </cell>
          <cell r="DX70"/>
          <cell r="DY70" t="str">
            <v>BOLD</v>
          </cell>
          <cell r="EB70"/>
          <cell r="EC70" t="str">
            <v>BOLD</v>
          </cell>
          <cell r="EF70"/>
          <cell r="EG70" t="str">
            <v>BOLD</v>
          </cell>
          <cell r="EJ70"/>
          <cell r="EK70" t="str">
            <v>BOLD</v>
          </cell>
          <cell r="EN70"/>
          <cell r="EO70" t="str">
            <v>BOLD</v>
          </cell>
          <cell r="ER70"/>
          <cell r="ES70" t="str">
            <v>BOLD</v>
          </cell>
          <cell r="EV70"/>
          <cell r="EW70" t="str">
            <v>BOLD</v>
          </cell>
          <cell r="EZ70"/>
          <cell r="FA70" t="str">
            <v>BOLD</v>
          </cell>
          <cell r="FD70"/>
          <cell r="FE70" t="str">
            <v>BOLD</v>
          </cell>
          <cell r="FF70" t="str">
            <v>Broadband/High Speed Internet Subscribers</v>
          </cell>
          <cell r="FG70" t="str">
            <v>BROADBAND_HSI_SUBSCRIBERS</v>
          </cell>
          <cell r="FH70"/>
          <cell r="FI70" t="str">
            <v>BOLD</v>
          </cell>
          <cell r="FL70"/>
          <cell r="FM70" t="str">
            <v>BOLD</v>
          </cell>
          <cell r="FN70" t="str">
            <v>Actual Size of Fleet</v>
          </cell>
          <cell r="FO70" t="str">
            <v>SIZE_OF_FLEET</v>
          </cell>
          <cell r="FP70"/>
          <cell r="FQ70" t="str">
            <v>BOLD</v>
          </cell>
          <cell r="FT70"/>
          <cell r="FU70" t="str">
            <v>BOLD</v>
          </cell>
          <cell r="FX70"/>
          <cell r="FY70" t="str">
            <v>BOLD</v>
          </cell>
          <cell r="GB70"/>
          <cell r="GC70" t="str">
            <v>BOLD</v>
          </cell>
          <cell r="GF70"/>
          <cell r="GG70" t="str">
            <v>BOLD</v>
          </cell>
          <cell r="GJ70"/>
          <cell r="GK70" t="str">
            <v>BOLD</v>
          </cell>
          <cell r="GN70"/>
          <cell r="GO70" t="str">
            <v>BOLD</v>
          </cell>
          <cell r="GR70"/>
          <cell r="GS70" t="str">
            <v>BOLD</v>
          </cell>
          <cell r="GT70" t="str">
            <v xml:space="preserve">  Per Capita Guest Spending</v>
          </cell>
          <cell r="GU70" t="str">
            <v>PER_CAPITA_GUEST_SPENDING</v>
          </cell>
          <cell r="GV70"/>
          <cell r="GW70" t="str">
            <v>NO</v>
          </cell>
          <cell r="GZ70"/>
          <cell r="HA70" t="str">
            <v>BOLD</v>
          </cell>
          <cell r="HD70"/>
          <cell r="HE70" t="str">
            <v>BOLD</v>
          </cell>
          <cell r="HH70"/>
          <cell r="HI70" t="str">
            <v>BOLD</v>
          </cell>
          <cell r="HL70"/>
          <cell r="HM70" t="str">
            <v>BOLD</v>
          </cell>
          <cell r="HP70"/>
          <cell r="HQ70" t="str">
            <v>BOLD</v>
          </cell>
          <cell r="HT70"/>
          <cell r="HU70" t="str">
            <v>BOLD</v>
          </cell>
          <cell r="HV70" t="str">
            <v>Total Loans</v>
          </cell>
          <cell r="HW70" t="str">
            <v>BS_TOT_LOAN</v>
          </cell>
          <cell r="HX70"/>
          <cell r="HY70" t="str">
            <v>BOLD</v>
          </cell>
          <cell r="HZ70" t="str">
            <v>Separate Accounts - Level 2</v>
          </cell>
          <cell r="IA70" t="str">
            <v>ARDR_SEPARATE_ACCT_LEVEL_2_AMT</v>
          </cell>
          <cell r="IB70"/>
          <cell r="IC70" t="str">
            <v>BOLD</v>
          </cell>
          <cell r="IH70" t="str">
            <v>Earning Assets</v>
          </cell>
          <cell r="II70" t="str">
            <v>EARN_ASSET</v>
          </cell>
          <cell r="IJ70"/>
          <cell r="IK70" t="str">
            <v>BOLD</v>
          </cell>
          <cell r="IR70"/>
          <cell r="IS70" t="str">
            <v>BOLD</v>
          </cell>
          <cell r="IX70" t="str">
            <v>Total Loans</v>
          </cell>
          <cell r="IY70" t="str">
            <v>BS_TOT_LOAN</v>
          </cell>
          <cell r="IZ70"/>
          <cell r="JA70" t="str">
            <v>BOLD</v>
          </cell>
          <cell r="JB70" t="str">
            <v>Separate Accounts - Level 2</v>
          </cell>
          <cell r="JC70" t="str">
            <v>ARDR_SEPARATE_ACCT_LEVEL_2_AMT</v>
          </cell>
          <cell r="JD70"/>
          <cell r="JE70" t="str">
            <v>BOLD</v>
          </cell>
        </row>
        <row r="71">
          <cell r="A71">
            <v>70</v>
          </cell>
          <cell r="D71"/>
          <cell r="E71" t="str">
            <v>BOLD</v>
          </cell>
          <cell r="F71" t="str">
            <v>Online Bill Payment Transactions</v>
          </cell>
          <cell r="G71" t="str">
            <v>ONLINE_BILL_PAYMENT_TRANS</v>
          </cell>
          <cell r="H71"/>
          <cell r="I71" t="str">
            <v>BOLD</v>
          </cell>
          <cell r="P71"/>
          <cell r="Q71" t="str">
            <v>BOLD</v>
          </cell>
          <cell r="T71"/>
          <cell r="U71" t="str">
            <v>BOLD</v>
          </cell>
          <cell r="X71"/>
          <cell r="Y71" t="str">
            <v>BOLD</v>
          </cell>
          <cell r="AB71"/>
          <cell r="AC71" t="str">
            <v>BOLD</v>
          </cell>
          <cell r="AF71"/>
          <cell r="AG71" t="str">
            <v>BOLD</v>
          </cell>
          <cell r="AJ71"/>
          <cell r="AK71" t="str">
            <v>BOLD</v>
          </cell>
          <cell r="AL71" t="str">
            <v>Contained Bismuth (Tons)</v>
          </cell>
          <cell r="AM71" t="str">
            <v>MINING_INFER_RES_CONTAIN_BISMUTH</v>
          </cell>
          <cell r="AN71"/>
          <cell r="AO71" t="str">
            <v>BOLD</v>
          </cell>
          <cell r="AR71"/>
          <cell r="AS71" t="str">
            <v>BOLD</v>
          </cell>
          <cell r="AV71"/>
          <cell r="AW71" t="str">
            <v>BOLD</v>
          </cell>
          <cell r="AZ71"/>
          <cell r="BA71" t="str">
            <v>BOLD</v>
          </cell>
          <cell r="BB71" t="str">
            <v xml:space="preserve">  Results of Operations</v>
          </cell>
          <cell r="BC71" t="str">
            <v>RESULTS_OPERATIONS_MIDEAST</v>
          </cell>
          <cell r="BD71"/>
          <cell r="BE71" t="str">
            <v>NO</v>
          </cell>
          <cell r="BH71"/>
          <cell r="BI71" t="str">
            <v>BOLD</v>
          </cell>
          <cell r="BL71"/>
          <cell r="BM71" t="str">
            <v>BOLD</v>
          </cell>
          <cell r="BP71"/>
          <cell r="BQ71" t="str">
            <v>BOLD</v>
          </cell>
          <cell r="BT71"/>
          <cell r="BU71" t="str">
            <v>BOLD</v>
          </cell>
          <cell r="BV71" t="str">
            <v xml:space="preserve">  + Production</v>
          </cell>
          <cell r="BW71" t="str">
            <v>GAS_PRODUCTION_EUROPE</v>
          </cell>
          <cell r="BX71"/>
          <cell r="BY71" t="str">
            <v>NO</v>
          </cell>
          <cell r="BZ71" t="str">
            <v xml:space="preserve">  + Other</v>
          </cell>
          <cell r="CA71" t="str">
            <v>OIL_OTHER_CHANGES_EUROPE</v>
          </cell>
          <cell r="CB71"/>
          <cell r="CC71" t="str">
            <v>NO</v>
          </cell>
          <cell r="CD71" t="str">
            <v xml:space="preserve">  Start of Year</v>
          </cell>
          <cell r="CE71" t="str">
            <v>BOE_START_YEAR_EUROPE</v>
          </cell>
          <cell r="CF71"/>
          <cell r="CG71" t="str">
            <v>NO</v>
          </cell>
          <cell r="CH71" t="str">
            <v>Total Net Acreage</v>
          </cell>
          <cell r="CI71" t="str">
            <v>TOTAL_NET_ACREAGE_WORLD</v>
          </cell>
          <cell r="CJ71"/>
          <cell r="CK71" t="str">
            <v>BOLD</v>
          </cell>
          <cell r="CN71"/>
          <cell r="CO71" t="str">
            <v>BOLD</v>
          </cell>
          <cell r="CP71" t="str">
            <v>Mining - P&amp;P Reserves Contained Palladium</v>
          </cell>
          <cell r="CQ71" t="str">
            <v>MINING_P&amp;P_RSRVS_CONT_PALLADIUM</v>
          </cell>
          <cell r="CR71"/>
          <cell r="CS71" t="str">
            <v>BOLD</v>
          </cell>
          <cell r="CV71"/>
          <cell r="CW71" t="str">
            <v>BOLD</v>
          </cell>
          <cell r="CZ71"/>
          <cell r="DA71" t="str">
            <v>BOLD</v>
          </cell>
          <cell r="DD71"/>
          <cell r="DE71" t="str">
            <v>BOLD</v>
          </cell>
          <cell r="DH71"/>
          <cell r="DI71" t="str">
            <v>BOLD</v>
          </cell>
          <cell r="DL71"/>
          <cell r="DM71" t="str">
            <v>BOLD</v>
          </cell>
          <cell r="DP71"/>
          <cell r="DQ71" t="str">
            <v>BOLD</v>
          </cell>
          <cell r="DR71" t="str">
            <v xml:space="preserve">  Mature Occupancy Level (%)</v>
          </cell>
          <cell r="DS71" t="str">
            <v>MATURE_OCCUPANCY_LEVEL_%</v>
          </cell>
          <cell r="DT71"/>
          <cell r="DU71" t="str">
            <v>NO</v>
          </cell>
          <cell r="DX71"/>
          <cell r="DY71" t="str">
            <v>BOLD</v>
          </cell>
          <cell r="EB71"/>
          <cell r="EC71" t="str">
            <v>BOLD</v>
          </cell>
          <cell r="EF71"/>
          <cell r="EG71" t="str">
            <v>BOLD</v>
          </cell>
          <cell r="EJ71"/>
          <cell r="EK71" t="str">
            <v>BOLD</v>
          </cell>
          <cell r="EN71"/>
          <cell r="EO71" t="str">
            <v>BOLD</v>
          </cell>
          <cell r="ER71"/>
          <cell r="ES71" t="str">
            <v>BOLD</v>
          </cell>
          <cell r="EV71"/>
          <cell r="EW71" t="str">
            <v>BOLD</v>
          </cell>
          <cell r="EZ71"/>
          <cell r="FA71" t="str">
            <v>BOLD</v>
          </cell>
          <cell r="FD71"/>
          <cell r="FE71" t="str">
            <v>BOLD</v>
          </cell>
          <cell r="FF71" t="str">
            <v>Broadband/High Speed Internet Net Subscriber Adds</v>
          </cell>
          <cell r="FG71" t="str">
            <v>BROADBAND_HSI_NET_SUBSCRIB_ADDS</v>
          </cell>
          <cell r="FH71"/>
          <cell r="FI71" t="str">
            <v>BOLD</v>
          </cell>
          <cell r="FL71"/>
          <cell r="FM71" t="str">
            <v>BOLD</v>
          </cell>
          <cell r="FN71" t="str">
            <v xml:space="preserve">  Avg Size of Fleet</v>
          </cell>
          <cell r="FO71" t="str">
            <v>AVG_SIZE_OF_FLEET</v>
          </cell>
          <cell r="FP71"/>
          <cell r="FQ71" t="str">
            <v>NO</v>
          </cell>
          <cell r="FT71"/>
          <cell r="FU71" t="str">
            <v>BOLD</v>
          </cell>
          <cell r="FX71"/>
          <cell r="FY71" t="str">
            <v>BOLD</v>
          </cell>
          <cell r="GB71"/>
          <cell r="GC71" t="str">
            <v>BOLD</v>
          </cell>
          <cell r="GF71"/>
          <cell r="GG71" t="str">
            <v>BOLD</v>
          </cell>
          <cell r="GJ71"/>
          <cell r="GK71" t="str">
            <v>BOLD</v>
          </cell>
          <cell r="GN71"/>
          <cell r="GO71" t="str">
            <v>BOLD</v>
          </cell>
          <cell r="GR71"/>
          <cell r="GS71" t="str">
            <v>BOLD</v>
          </cell>
          <cell r="GT71" t="str">
            <v xml:space="preserve">  Change in Per Capita Guest Spending</v>
          </cell>
          <cell r="GU71" t="str">
            <v>ARD_CHG_PER_CAPITA_GUEST_SPEND</v>
          </cell>
          <cell r="GV71"/>
          <cell r="GW71" t="str">
            <v>NO</v>
          </cell>
          <cell r="GZ71"/>
          <cell r="HA71" t="str">
            <v>BOLD</v>
          </cell>
          <cell r="HD71"/>
          <cell r="HE71" t="str">
            <v>BOLD</v>
          </cell>
          <cell r="HH71"/>
          <cell r="HI71" t="str">
            <v>BOLD</v>
          </cell>
          <cell r="HL71"/>
          <cell r="HM71" t="str">
            <v>BOLD</v>
          </cell>
          <cell r="HP71"/>
          <cell r="HQ71" t="str">
            <v>BOLD</v>
          </cell>
          <cell r="HT71"/>
          <cell r="HU71" t="str">
            <v>BOLD</v>
          </cell>
          <cell r="HV71" t="str">
            <v>Customer Deposits</v>
          </cell>
          <cell r="HW71" t="str">
            <v>BS_CUSTOMER_DEPOSITS</v>
          </cell>
          <cell r="HX71"/>
          <cell r="HY71" t="str">
            <v>BOLD</v>
          </cell>
          <cell r="HZ71" t="str">
            <v>Separate Accounts - Level 3</v>
          </cell>
          <cell r="IA71" t="str">
            <v>ARDR_SEPARATE_ACCT_LEVEL_3_AMT</v>
          </cell>
          <cell r="IB71"/>
          <cell r="IC71" t="str">
            <v>BOLD</v>
          </cell>
          <cell r="IH71" t="str">
            <v>Earning Assets/Int Bear Liab</v>
          </cell>
          <cell r="II71" t="str">
            <v>EARN_ASSET_TO_INT_BEAR_LIAB</v>
          </cell>
          <cell r="IJ71"/>
          <cell r="IK71" t="str">
            <v>BOLD</v>
          </cell>
          <cell r="IP71" t="str">
            <v>Fuel Used in Electricity Generation</v>
          </cell>
          <cell r="IQ71" t="str">
            <v>LABEL</v>
          </cell>
          <cell r="IR71"/>
          <cell r="IS71" t="str">
            <v>BOLD</v>
          </cell>
          <cell r="IX71" t="str">
            <v>Customer Deposits</v>
          </cell>
          <cell r="IY71" t="str">
            <v>BS_CUSTOMER_DEPOSITS</v>
          </cell>
          <cell r="IZ71"/>
          <cell r="JA71" t="str">
            <v>BOLD</v>
          </cell>
          <cell r="JB71" t="str">
            <v>Separate Accounts - Level 3</v>
          </cell>
          <cell r="JC71" t="str">
            <v>ARDR_SEPARATE_ACCT_LEVEL_3_AMT</v>
          </cell>
          <cell r="JD71"/>
          <cell r="JE71" t="str">
            <v>BOLD</v>
          </cell>
        </row>
        <row r="72">
          <cell r="A72">
            <v>71</v>
          </cell>
          <cell r="D72"/>
          <cell r="E72" t="str">
            <v>BOLD</v>
          </cell>
          <cell r="F72" t="str">
            <v>E-Bills Delivered</v>
          </cell>
          <cell r="G72" t="str">
            <v>EBILLS_DELIVERED</v>
          </cell>
          <cell r="H72"/>
          <cell r="I72" t="str">
            <v>BOLD</v>
          </cell>
          <cell r="P72"/>
          <cell r="Q72" t="str">
            <v>BOLD</v>
          </cell>
          <cell r="T72"/>
          <cell r="U72" t="str">
            <v>BOLD</v>
          </cell>
          <cell r="X72"/>
          <cell r="Y72" t="str">
            <v>BOLD</v>
          </cell>
          <cell r="AB72"/>
          <cell r="AC72" t="str">
            <v>BOLD</v>
          </cell>
          <cell r="AF72"/>
          <cell r="AG72" t="str">
            <v>BOLD</v>
          </cell>
          <cell r="AJ72"/>
          <cell r="AK72" t="str">
            <v>BOLD</v>
          </cell>
          <cell r="AL72" t="str">
            <v>Chromium - Ore Volume (Tons)</v>
          </cell>
          <cell r="AM72" t="str">
            <v>MINING_INFERRED_RES_CHROMIUM_VOL</v>
          </cell>
          <cell r="AN72"/>
          <cell r="AO72" t="str">
            <v>BOLD</v>
          </cell>
          <cell r="AR72"/>
          <cell r="AS72" t="str">
            <v>BOLD</v>
          </cell>
          <cell r="AV72"/>
          <cell r="AW72" t="str">
            <v>BOLD</v>
          </cell>
          <cell r="AZ72"/>
          <cell r="BA72" t="str">
            <v>BOLD</v>
          </cell>
          <cell r="BD72"/>
          <cell r="BE72" t="str">
            <v>BOLD</v>
          </cell>
          <cell r="BH72"/>
          <cell r="BI72" t="str">
            <v>BOLD</v>
          </cell>
          <cell r="BL72"/>
          <cell r="BM72" t="str">
            <v>BOLD</v>
          </cell>
          <cell r="BP72"/>
          <cell r="BQ72" t="str">
            <v>BOLD</v>
          </cell>
          <cell r="BT72"/>
          <cell r="BU72" t="str">
            <v>BOLD</v>
          </cell>
          <cell r="BV72" t="str">
            <v xml:space="preserve">  + Other</v>
          </cell>
          <cell r="BW72" t="str">
            <v>GAS_OTHER_CHG_EUROPE</v>
          </cell>
          <cell r="BX72"/>
          <cell r="BY72" t="str">
            <v>NO</v>
          </cell>
          <cell r="BZ72" t="str">
            <v xml:space="preserve">  End of year</v>
          </cell>
          <cell r="CA72" t="str">
            <v>OIL_RESERVES_END_YEAR_EUROPE</v>
          </cell>
          <cell r="CB72"/>
          <cell r="CC72" t="str">
            <v>NO</v>
          </cell>
          <cell r="CD72" t="str">
            <v xml:space="preserve">  + Revisions</v>
          </cell>
          <cell r="CE72" t="str">
            <v>BOE_REVISIONS_EUROPE</v>
          </cell>
          <cell r="CF72"/>
          <cell r="CG72" t="str">
            <v>NO</v>
          </cell>
          <cell r="CH72" t="str">
            <v>Success Rate</v>
          </cell>
          <cell r="CI72" t="str">
            <v>SUCCESS_RATE</v>
          </cell>
          <cell r="CJ72"/>
          <cell r="CK72" t="str">
            <v>BOLD</v>
          </cell>
          <cell r="CN72"/>
          <cell r="CO72" t="str">
            <v>BOLD</v>
          </cell>
          <cell r="CP72" t="str">
            <v>Mining - M&amp;I Resources Contained Platinum</v>
          </cell>
          <cell r="CQ72" t="str">
            <v>MINING_M&amp;I_RES_CONTAIN_PLATINUM</v>
          </cell>
          <cell r="CR72"/>
          <cell r="CS72" t="str">
            <v>BOLD</v>
          </cell>
          <cell r="CV72"/>
          <cell r="CW72" t="str">
            <v>BOLD</v>
          </cell>
          <cell r="CZ72"/>
          <cell r="DA72" t="str">
            <v>BOLD</v>
          </cell>
          <cell r="DD72"/>
          <cell r="DE72" t="str">
            <v>BOLD</v>
          </cell>
          <cell r="DH72"/>
          <cell r="DI72" t="str">
            <v>BOLD</v>
          </cell>
          <cell r="DL72"/>
          <cell r="DM72" t="str">
            <v>BOLD</v>
          </cell>
          <cell r="DP72"/>
          <cell r="DQ72" t="str">
            <v>BOLD</v>
          </cell>
          <cell r="DR72" t="str">
            <v xml:space="preserve">  % Occupancy Rate (Beds in Service)</v>
          </cell>
          <cell r="DS72" t="str">
            <v>OCCUPANCY_RATE_HOSPITAL</v>
          </cell>
          <cell r="DT72"/>
          <cell r="DU72" t="str">
            <v>NO</v>
          </cell>
          <cell r="DX72"/>
          <cell r="DY72" t="str">
            <v>BOLD</v>
          </cell>
          <cell r="EB72"/>
          <cell r="EC72" t="str">
            <v>BOLD</v>
          </cell>
          <cell r="EF72"/>
          <cell r="EG72" t="str">
            <v>BOLD</v>
          </cell>
          <cell r="EJ72"/>
          <cell r="EK72" t="str">
            <v>BOLD</v>
          </cell>
          <cell r="EN72"/>
          <cell r="EO72" t="str">
            <v>BOLD</v>
          </cell>
          <cell r="ER72"/>
          <cell r="ES72" t="str">
            <v>BOLD</v>
          </cell>
          <cell r="EV72"/>
          <cell r="EW72" t="str">
            <v>BOLD</v>
          </cell>
          <cell r="EZ72"/>
          <cell r="FA72" t="str">
            <v>BOLD</v>
          </cell>
          <cell r="FD72"/>
          <cell r="FE72" t="str">
            <v>BOLD</v>
          </cell>
          <cell r="FF72" t="str">
            <v>Video ARPU</v>
          </cell>
          <cell r="FG72" t="str">
            <v>VIDEO_ARPU</v>
          </cell>
          <cell r="FH72"/>
          <cell r="FI72" t="str">
            <v>BOLD</v>
          </cell>
          <cell r="FL72"/>
          <cell r="FM72" t="str">
            <v>BOLD</v>
          </cell>
          <cell r="FN72" t="str">
            <v xml:space="preserve">  Avg Aircraft Flight Length</v>
          </cell>
          <cell r="FO72" t="str">
            <v>AVG_AIRCRAFT_FLIGHT_LEN</v>
          </cell>
          <cell r="FP72"/>
          <cell r="FQ72" t="str">
            <v>NO</v>
          </cell>
          <cell r="FT72"/>
          <cell r="FU72" t="str">
            <v>BOLD</v>
          </cell>
          <cell r="FX72"/>
          <cell r="FY72" t="str">
            <v>BOLD</v>
          </cell>
          <cell r="GB72"/>
          <cell r="GC72" t="str">
            <v>BOLD</v>
          </cell>
          <cell r="GF72"/>
          <cell r="GG72" t="str">
            <v>BOLD</v>
          </cell>
          <cell r="GJ72"/>
          <cell r="GK72" t="str">
            <v>BOLD</v>
          </cell>
          <cell r="GN72"/>
          <cell r="GO72" t="str">
            <v>BOLD</v>
          </cell>
          <cell r="GR72"/>
          <cell r="GS72" t="str">
            <v>BOLD</v>
          </cell>
          <cell r="GV72"/>
          <cell r="GW72" t="str">
            <v>BOLD</v>
          </cell>
          <cell r="GZ72"/>
          <cell r="HA72" t="str">
            <v>BOLD</v>
          </cell>
          <cell r="HD72"/>
          <cell r="HE72" t="str">
            <v>BOLD</v>
          </cell>
          <cell r="HH72"/>
          <cell r="HI72" t="str">
            <v>BOLD</v>
          </cell>
          <cell r="HL72"/>
          <cell r="HM72" t="str">
            <v>BOLD</v>
          </cell>
          <cell r="HP72"/>
          <cell r="HQ72" t="str">
            <v>BOLD</v>
          </cell>
          <cell r="HT72"/>
          <cell r="HU72" t="str">
            <v>BOLD</v>
          </cell>
          <cell r="HV72" t="str">
            <v>Core Deposits</v>
          </cell>
          <cell r="HW72" t="str">
            <v>BS_CORE_DPST</v>
          </cell>
          <cell r="HX72"/>
          <cell r="HY72" t="str">
            <v>BOLD</v>
          </cell>
          <cell r="HZ72" t="str">
            <v>Separate Accounts - Total</v>
          </cell>
          <cell r="IA72" t="str">
            <v>ARDR_SEPARATE_ACCOUNTS_TOTAL_AMT</v>
          </cell>
          <cell r="IB72"/>
          <cell r="IC72" t="str">
            <v>BOLD</v>
          </cell>
          <cell r="IJ72"/>
          <cell r="IK72" t="str">
            <v>BOLD</v>
          </cell>
          <cell r="IP72" t="str">
            <v>Coal (kt)</v>
          </cell>
          <cell r="IQ72" t="str">
            <v>COAL_USED</v>
          </cell>
          <cell r="IR72"/>
          <cell r="IS72" t="str">
            <v>BOLD</v>
          </cell>
          <cell r="IX72" t="str">
            <v>Core Deposits</v>
          </cell>
          <cell r="IY72" t="str">
            <v>BS_CORE_DPST</v>
          </cell>
          <cell r="IZ72"/>
          <cell r="JA72" t="str">
            <v>BOLD</v>
          </cell>
          <cell r="JB72" t="str">
            <v>Separate Accounts - Total</v>
          </cell>
          <cell r="JC72" t="str">
            <v>ARDR_SEPARATE_ACCOUNTS_TOTAL_AMT</v>
          </cell>
          <cell r="JD72"/>
          <cell r="JE72" t="str">
            <v>BOLD</v>
          </cell>
        </row>
        <row r="73">
          <cell r="A73">
            <v>72</v>
          </cell>
          <cell r="D73"/>
          <cell r="E73" t="str">
            <v>BOLD</v>
          </cell>
          <cell r="F73" t="str">
            <v>SME Transaction Processing Vol</v>
          </cell>
          <cell r="G73" t="str">
            <v>SME_TRANS_PROCESSING_VOLUME</v>
          </cell>
          <cell r="H73"/>
          <cell r="I73" t="str">
            <v>BOLD</v>
          </cell>
          <cell r="P73"/>
          <cell r="Q73" t="str">
            <v>BOLD</v>
          </cell>
          <cell r="T73"/>
          <cell r="U73" t="str">
            <v>BOLD</v>
          </cell>
          <cell r="X73"/>
          <cell r="Y73" t="str">
            <v>BOLD</v>
          </cell>
          <cell r="AB73"/>
          <cell r="AC73" t="str">
            <v>BOLD</v>
          </cell>
          <cell r="AF73"/>
          <cell r="AG73" t="str">
            <v>BOLD</v>
          </cell>
          <cell r="AJ73"/>
          <cell r="AK73" t="str">
            <v>BOLD</v>
          </cell>
          <cell r="AL73" t="str">
            <v>Chromium - Grade (%)</v>
          </cell>
          <cell r="AM73" t="str">
            <v>MINING_INFER_RES_CHROMIUM_GRADE</v>
          </cell>
          <cell r="AN73"/>
          <cell r="AO73" t="str">
            <v>BOLD</v>
          </cell>
          <cell r="AR73"/>
          <cell r="AS73" t="str">
            <v>BOLD</v>
          </cell>
          <cell r="AV73"/>
          <cell r="AW73" t="str">
            <v>BOLD</v>
          </cell>
          <cell r="AZ73"/>
          <cell r="BA73" t="str">
            <v>BOLD</v>
          </cell>
          <cell r="BB73" t="str">
            <v>Asia</v>
          </cell>
          <cell r="BC73" t="str">
            <v>LABEL</v>
          </cell>
          <cell r="BD73"/>
          <cell r="BE73" t="str">
            <v>BOLD</v>
          </cell>
          <cell r="BH73"/>
          <cell r="BI73" t="str">
            <v>BOLD</v>
          </cell>
          <cell r="BL73"/>
          <cell r="BM73" t="str">
            <v>BOLD</v>
          </cell>
          <cell r="BP73"/>
          <cell r="BQ73" t="str">
            <v>BOLD</v>
          </cell>
          <cell r="BT73"/>
          <cell r="BU73" t="str">
            <v>BOLD</v>
          </cell>
          <cell r="BV73" t="str">
            <v xml:space="preserve">  End of year</v>
          </cell>
          <cell r="BW73" t="str">
            <v>GAS_END_YEAR_EUROPE</v>
          </cell>
          <cell r="BX73"/>
          <cell r="BY73" t="str">
            <v>NO</v>
          </cell>
          <cell r="BZ73" t="str">
            <v xml:space="preserve">  Developed Reserves</v>
          </cell>
          <cell r="CA73" t="str">
            <v>OIL_DEVELOPED_RESERVES_EUROPE</v>
          </cell>
          <cell r="CB73"/>
          <cell r="CC73" t="str">
            <v>NO</v>
          </cell>
          <cell r="CD73" t="str">
            <v xml:space="preserve">  + Improved Recovery</v>
          </cell>
          <cell r="CE73" t="str">
            <v>BOE_IMPROV_REC_EUROPE</v>
          </cell>
          <cell r="CF73"/>
          <cell r="CG73" t="str">
            <v>NO</v>
          </cell>
          <cell r="CJ73"/>
          <cell r="CK73" t="str">
            <v>BOLD</v>
          </cell>
          <cell r="CN73"/>
          <cell r="CO73" t="str">
            <v>BOLD</v>
          </cell>
          <cell r="CP73" t="str">
            <v>Mining - M&amp;I Resources Contained Palladium</v>
          </cell>
          <cell r="CQ73" t="str">
            <v>MINING_M&amp;I_RES_CONTAIN_PALLADIUM</v>
          </cell>
          <cell r="CR73"/>
          <cell r="CS73" t="str">
            <v>BOLD</v>
          </cell>
          <cell r="CV73"/>
          <cell r="CW73" t="str">
            <v>BOLD</v>
          </cell>
          <cell r="CZ73"/>
          <cell r="DA73" t="str">
            <v>BOLD</v>
          </cell>
          <cell r="DD73"/>
          <cell r="DE73" t="str">
            <v>BOLD</v>
          </cell>
          <cell r="DH73"/>
          <cell r="DI73" t="str">
            <v>BOLD</v>
          </cell>
          <cell r="DL73"/>
          <cell r="DM73" t="str">
            <v>BOLD</v>
          </cell>
          <cell r="DP73"/>
          <cell r="DQ73" t="str">
            <v>BOLD</v>
          </cell>
          <cell r="DR73" t="str">
            <v xml:space="preserve">  Retirement Care - Occupancy Rate</v>
          </cell>
          <cell r="DS73" t="str">
            <v>OCCUPANCY_RATE_RETIREMENT_CARE</v>
          </cell>
          <cell r="DT73"/>
          <cell r="DU73" t="str">
            <v>NO</v>
          </cell>
          <cell r="DX73"/>
          <cell r="DY73" t="str">
            <v>BOLD</v>
          </cell>
          <cell r="EB73"/>
          <cell r="EC73" t="str">
            <v>BOLD</v>
          </cell>
          <cell r="EF73"/>
          <cell r="EG73" t="str">
            <v>BOLD</v>
          </cell>
          <cell r="EJ73"/>
          <cell r="EK73" t="str">
            <v>BOLD</v>
          </cell>
          <cell r="EN73"/>
          <cell r="EO73" t="str">
            <v>BOLD</v>
          </cell>
          <cell r="ER73"/>
          <cell r="ES73" t="str">
            <v>BOLD</v>
          </cell>
          <cell r="EV73"/>
          <cell r="EW73" t="str">
            <v>BOLD</v>
          </cell>
          <cell r="EZ73"/>
          <cell r="FA73" t="str">
            <v>BOLD</v>
          </cell>
          <cell r="FD73"/>
          <cell r="FE73" t="str">
            <v>BOLD</v>
          </cell>
          <cell r="FF73" t="str">
            <v>Total Cable Penetration</v>
          </cell>
          <cell r="FG73" t="str">
            <v>TOTAL_CABLE_PENETRATION</v>
          </cell>
          <cell r="FH73"/>
          <cell r="FI73" t="str">
            <v>BOLD</v>
          </cell>
          <cell r="FL73"/>
          <cell r="FM73" t="str">
            <v>BOLD</v>
          </cell>
          <cell r="FN73" t="str">
            <v xml:space="preserve">  Avg Aircraft Utilization</v>
          </cell>
          <cell r="FO73" t="str">
            <v>AVG_AIRCRAFT_UTIL</v>
          </cell>
          <cell r="FP73"/>
          <cell r="FQ73" t="str">
            <v>NO</v>
          </cell>
          <cell r="FT73"/>
          <cell r="FU73" t="str">
            <v>BOLD</v>
          </cell>
          <cell r="FX73"/>
          <cell r="FY73" t="str">
            <v>BOLD</v>
          </cell>
          <cell r="GB73"/>
          <cell r="GC73" t="str">
            <v>BOLD</v>
          </cell>
          <cell r="GF73"/>
          <cell r="GG73" t="str">
            <v>BOLD</v>
          </cell>
          <cell r="GJ73"/>
          <cell r="GK73" t="str">
            <v>BOLD</v>
          </cell>
          <cell r="GN73"/>
          <cell r="GO73" t="str">
            <v>BOLD</v>
          </cell>
          <cell r="GR73"/>
          <cell r="GS73" t="str">
            <v>BOLD</v>
          </cell>
          <cell r="GV73"/>
          <cell r="GW73" t="str">
            <v>BOLD</v>
          </cell>
          <cell r="GZ73"/>
          <cell r="HA73" t="str">
            <v>BOLD</v>
          </cell>
          <cell r="HD73"/>
          <cell r="HE73" t="str">
            <v>BOLD</v>
          </cell>
          <cell r="HH73"/>
          <cell r="HI73" t="str">
            <v>BOLD</v>
          </cell>
          <cell r="HL73"/>
          <cell r="HM73" t="str">
            <v>BOLD</v>
          </cell>
          <cell r="HP73"/>
          <cell r="HQ73" t="str">
            <v>BOLD</v>
          </cell>
          <cell r="HT73"/>
          <cell r="HU73" t="str">
            <v>BOLD</v>
          </cell>
          <cell r="HV73" t="str">
            <v>Earning Assets</v>
          </cell>
          <cell r="HW73" t="str">
            <v>EARN_ASSET</v>
          </cell>
          <cell r="HX73"/>
          <cell r="HY73" t="str">
            <v>BOLD</v>
          </cell>
          <cell r="IB73"/>
          <cell r="IC73" t="str">
            <v>BOLD</v>
          </cell>
          <cell r="IH73" t="str">
            <v>Growth Analysis</v>
          </cell>
          <cell r="II73" t="str">
            <v>LABEL</v>
          </cell>
          <cell r="IJ73"/>
          <cell r="IK73" t="str">
            <v>BOLD</v>
          </cell>
          <cell r="IP73" t="str">
            <v>Natural Gas (GWh)</v>
          </cell>
          <cell r="IQ73" t="str">
            <v>FUEL_USED_IN_ELEC_GEN_NATGAS_GWH</v>
          </cell>
          <cell r="IR73"/>
          <cell r="IS73" t="str">
            <v>BOLD</v>
          </cell>
          <cell r="IX73" t="str">
            <v>Earning Assets</v>
          </cell>
          <cell r="IY73" t="str">
            <v>EARN_ASSET</v>
          </cell>
          <cell r="IZ73"/>
          <cell r="JA73" t="str">
            <v>BOLD</v>
          </cell>
          <cell r="JD73"/>
          <cell r="JE73" t="str">
            <v>BOLD</v>
          </cell>
        </row>
        <row r="74">
          <cell r="A74">
            <v>73</v>
          </cell>
          <cell r="D74"/>
          <cell r="E74" t="str">
            <v>BOLD</v>
          </cell>
          <cell r="F74" t="str">
            <v>New Margin Installed</v>
          </cell>
          <cell r="G74" t="str">
            <v>NEW_MARGIN_INSTALLED</v>
          </cell>
          <cell r="H74"/>
          <cell r="I74" t="str">
            <v>BOLD</v>
          </cell>
          <cell r="P74"/>
          <cell r="Q74" t="str">
            <v>BOLD</v>
          </cell>
          <cell r="T74"/>
          <cell r="U74" t="str">
            <v>BOLD</v>
          </cell>
          <cell r="X74"/>
          <cell r="Y74" t="str">
            <v>BOLD</v>
          </cell>
          <cell r="AB74"/>
          <cell r="AC74" t="str">
            <v>BOLD</v>
          </cell>
          <cell r="AF74"/>
          <cell r="AG74" t="str">
            <v>BOLD</v>
          </cell>
          <cell r="AJ74"/>
          <cell r="AK74" t="str">
            <v>BOLD</v>
          </cell>
          <cell r="AL74" t="str">
            <v>Contained Chromium (Tons)</v>
          </cell>
          <cell r="AM74" t="str">
            <v>MINING_INFER_RES_CONT_CHROMIUM</v>
          </cell>
          <cell r="AN74"/>
          <cell r="AO74" t="str">
            <v>BOLD</v>
          </cell>
          <cell r="AR74"/>
          <cell r="AS74" t="str">
            <v>BOLD</v>
          </cell>
          <cell r="AV74"/>
          <cell r="AW74" t="str">
            <v>BOLD</v>
          </cell>
          <cell r="AZ74"/>
          <cell r="BA74" t="str">
            <v>BOLD</v>
          </cell>
          <cell r="BB74" t="str">
            <v xml:space="preserve">  Revenues</v>
          </cell>
          <cell r="BC74" t="str">
            <v>E&amp;P_REVENUES_ASIA_PAC</v>
          </cell>
          <cell r="BD74"/>
          <cell r="BE74" t="str">
            <v>NO</v>
          </cell>
          <cell r="BH74"/>
          <cell r="BI74" t="str">
            <v>BOLD</v>
          </cell>
          <cell r="BL74"/>
          <cell r="BM74" t="str">
            <v>BOLD</v>
          </cell>
          <cell r="BP74"/>
          <cell r="BQ74" t="str">
            <v>BOLD</v>
          </cell>
          <cell r="BT74"/>
          <cell r="BU74" t="str">
            <v>BOLD</v>
          </cell>
          <cell r="BV74" t="str">
            <v xml:space="preserve">  Developed Reserves</v>
          </cell>
          <cell r="BW74" t="str">
            <v>GAS_DEVEL_RESV_EUROPE</v>
          </cell>
          <cell r="BX74"/>
          <cell r="BY74" t="str">
            <v>NO</v>
          </cell>
          <cell r="CB74"/>
          <cell r="CC74" t="str">
            <v>BOLD</v>
          </cell>
          <cell r="CD74" t="str">
            <v xml:space="preserve">  + Extensions &amp; Discoveries</v>
          </cell>
          <cell r="CE74" t="str">
            <v>BOE_EXTENS_DISCOV_EUROPE</v>
          </cell>
          <cell r="CF74"/>
          <cell r="CG74" t="str">
            <v>NO</v>
          </cell>
          <cell r="CJ74"/>
          <cell r="CK74" t="str">
            <v>BOLD</v>
          </cell>
          <cell r="CN74"/>
          <cell r="CO74" t="str">
            <v>BOLD</v>
          </cell>
          <cell r="CP74" t="str">
            <v>Mining - Inferred Resources Contained Platinum</v>
          </cell>
          <cell r="CQ74" t="str">
            <v>MINING_INFER_RES_CONT_PLATINUM</v>
          </cell>
          <cell r="CR74"/>
          <cell r="CS74" t="str">
            <v>BOLD</v>
          </cell>
          <cell r="CV74"/>
          <cell r="CW74" t="str">
            <v>BOLD</v>
          </cell>
          <cell r="CZ74"/>
          <cell r="DA74" t="str">
            <v>BOLD</v>
          </cell>
          <cell r="DD74"/>
          <cell r="DE74" t="str">
            <v>BOLD</v>
          </cell>
          <cell r="DH74"/>
          <cell r="DI74" t="str">
            <v>BOLD</v>
          </cell>
          <cell r="DL74"/>
          <cell r="DM74" t="str">
            <v>BOLD</v>
          </cell>
          <cell r="DP74"/>
          <cell r="DQ74" t="str">
            <v>BOLD</v>
          </cell>
          <cell r="DT74"/>
          <cell r="DU74" t="str">
            <v>BOLD</v>
          </cell>
          <cell r="DX74"/>
          <cell r="DY74" t="str">
            <v>BOLD</v>
          </cell>
          <cell r="EB74"/>
          <cell r="EC74" t="str">
            <v>BOLD</v>
          </cell>
          <cell r="EF74"/>
          <cell r="EG74" t="str">
            <v>BOLD</v>
          </cell>
          <cell r="EJ74"/>
          <cell r="EK74" t="str">
            <v>BOLD</v>
          </cell>
          <cell r="EN74"/>
          <cell r="EO74" t="str">
            <v>BOLD</v>
          </cell>
          <cell r="ER74"/>
          <cell r="ES74" t="str">
            <v>BOLD</v>
          </cell>
          <cell r="EV74"/>
          <cell r="EW74" t="str">
            <v>BOLD</v>
          </cell>
          <cell r="EZ74"/>
          <cell r="FA74" t="str">
            <v>BOLD</v>
          </cell>
          <cell r="FD74"/>
          <cell r="FE74" t="str">
            <v>BOLD</v>
          </cell>
          <cell r="FH74"/>
          <cell r="FI74" t="str">
            <v>BOLD</v>
          </cell>
          <cell r="FL74"/>
          <cell r="FM74" t="str">
            <v>BOLD</v>
          </cell>
          <cell r="FN74" t="str">
            <v xml:space="preserve">  Types of Aircraft in Fleet</v>
          </cell>
          <cell r="FO74" t="str">
            <v>TYPES_OF_AIRCRAFT_IN_FLT</v>
          </cell>
          <cell r="FP74"/>
          <cell r="FQ74" t="str">
            <v>NO</v>
          </cell>
          <cell r="FT74"/>
          <cell r="FU74" t="str">
            <v>BOLD</v>
          </cell>
          <cell r="FX74"/>
          <cell r="FY74" t="str">
            <v>BOLD</v>
          </cell>
          <cell r="GB74"/>
          <cell r="GC74" t="str">
            <v>BOLD</v>
          </cell>
          <cell r="GF74"/>
          <cell r="GG74" t="str">
            <v>BOLD</v>
          </cell>
          <cell r="GJ74"/>
          <cell r="GK74" t="str">
            <v>BOLD</v>
          </cell>
          <cell r="GN74"/>
          <cell r="GO74" t="str">
            <v>BOLD</v>
          </cell>
          <cell r="GR74"/>
          <cell r="GS74" t="str">
            <v>BOLD</v>
          </cell>
          <cell r="GV74"/>
          <cell r="GW74" t="str">
            <v>BOLD</v>
          </cell>
          <cell r="GZ74"/>
          <cell r="HA74" t="str">
            <v>BOLD</v>
          </cell>
          <cell r="HD74"/>
          <cell r="HE74" t="str">
            <v>BOLD</v>
          </cell>
          <cell r="HH74"/>
          <cell r="HI74" t="str">
            <v>BOLD</v>
          </cell>
          <cell r="HL74"/>
          <cell r="HM74" t="str">
            <v>BOLD</v>
          </cell>
          <cell r="HP74"/>
          <cell r="HQ74" t="str">
            <v>BOLD</v>
          </cell>
          <cell r="HT74"/>
          <cell r="HU74" t="str">
            <v>BOLD</v>
          </cell>
          <cell r="HV74" t="str">
            <v>Earning Assets/Int Bear Liab</v>
          </cell>
          <cell r="HW74" t="str">
            <v>EARN_ASSET_TO_INT_BEAR_LIAB</v>
          </cell>
          <cell r="HX74"/>
          <cell r="HY74" t="str">
            <v>BOLD</v>
          </cell>
          <cell r="HZ74" t="str">
            <v>Earnings Quality</v>
          </cell>
          <cell r="IA74" t="str">
            <v>LABEL</v>
          </cell>
          <cell r="IB74"/>
          <cell r="IC74" t="str">
            <v>BOLD</v>
          </cell>
          <cell r="IH74" t="str">
            <v>Deposit Growth</v>
          </cell>
          <cell r="II74" t="str">
            <v>GROWTH_IN_TOT_DPST</v>
          </cell>
          <cell r="IJ74"/>
          <cell r="IK74" t="str">
            <v>BOLD</v>
          </cell>
          <cell r="IP74" t="str">
            <v>Fuel Oil (kt)</v>
          </cell>
          <cell r="IQ74" t="str">
            <v>FUEL_USED_ELEC_GEN_FUEL_OIL_K_MT</v>
          </cell>
          <cell r="IR74"/>
          <cell r="IS74" t="str">
            <v>BOLD</v>
          </cell>
          <cell r="IX74" t="str">
            <v>Earning Assets/Int Bear Liab</v>
          </cell>
          <cell r="IY74" t="str">
            <v>EARN_ASSET_TO_INT_BEAR_LIAB</v>
          </cell>
          <cell r="IZ74"/>
          <cell r="JA74" t="str">
            <v>BOLD</v>
          </cell>
          <cell r="JB74" t="str">
            <v>Earnings Quality</v>
          </cell>
          <cell r="JC74" t="str">
            <v>LABEL</v>
          </cell>
          <cell r="JD74"/>
          <cell r="JE74" t="str">
            <v>BOLD</v>
          </cell>
        </row>
        <row r="75">
          <cell r="A75">
            <v>74</v>
          </cell>
          <cell r="D75"/>
          <cell r="E75" t="str">
            <v>BOLD</v>
          </cell>
          <cell r="F75" t="str">
            <v># of Payroll Customers</v>
          </cell>
          <cell r="G75" t="str">
            <v>NUMBER_OF_PAYROLL_CUSTOMERS</v>
          </cell>
          <cell r="H75"/>
          <cell r="I75" t="str">
            <v>BOLD</v>
          </cell>
          <cell r="P75"/>
          <cell r="Q75" t="str">
            <v>BOLD</v>
          </cell>
          <cell r="T75"/>
          <cell r="U75" t="str">
            <v>BOLD</v>
          </cell>
          <cell r="X75"/>
          <cell r="Y75" t="str">
            <v>BOLD</v>
          </cell>
          <cell r="AB75"/>
          <cell r="AC75" t="str">
            <v>BOLD</v>
          </cell>
          <cell r="AF75"/>
          <cell r="AG75" t="str">
            <v>BOLD</v>
          </cell>
          <cell r="AJ75"/>
          <cell r="AK75" t="str">
            <v>BOLD</v>
          </cell>
          <cell r="AL75" t="str">
            <v>Coal - Ore Volume (Tons)</v>
          </cell>
          <cell r="AM75" t="str">
            <v>MINING_INFERRED_RES_COAL_VOLUME</v>
          </cell>
          <cell r="AN75"/>
          <cell r="AO75" t="str">
            <v>BOLD</v>
          </cell>
          <cell r="AR75"/>
          <cell r="AS75" t="str">
            <v>BOLD</v>
          </cell>
          <cell r="AV75"/>
          <cell r="AW75" t="str">
            <v>BOLD</v>
          </cell>
          <cell r="AZ75"/>
          <cell r="BA75" t="str">
            <v>BOLD</v>
          </cell>
          <cell r="BB75" t="str">
            <v xml:space="preserve">  - Production Costs</v>
          </cell>
          <cell r="BC75" t="str">
            <v>PRODUCTION_COSTS_ASIA_PAC</v>
          </cell>
          <cell r="BD75"/>
          <cell r="BE75" t="str">
            <v>NO</v>
          </cell>
          <cell r="BH75"/>
          <cell r="BI75" t="str">
            <v>BOLD</v>
          </cell>
          <cell r="BL75"/>
          <cell r="BM75" t="str">
            <v>BOLD</v>
          </cell>
          <cell r="BP75"/>
          <cell r="BQ75" t="str">
            <v>BOLD</v>
          </cell>
          <cell r="BT75"/>
          <cell r="BU75" t="str">
            <v>BOLD</v>
          </cell>
          <cell r="BV75" t="str">
            <v xml:space="preserve">  Reserves (North Sea)</v>
          </cell>
          <cell r="BW75" t="str">
            <v>GAS_RESERVES_END_YR_NORTH_SEA</v>
          </cell>
          <cell r="BX75"/>
          <cell r="BY75" t="str">
            <v>NO</v>
          </cell>
          <cell r="BZ75" t="str">
            <v>Africa</v>
          </cell>
          <cell r="CA75" t="str">
            <v>LABEL</v>
          </cell>
          <cell r="CB75"/>
          <cell r="CC75" t="str">
            <v>BOLD</v>
          </cell>
          <cell r="CD75" t="str">
            <v xml:space="preserve">  + Purchases</v>
          </cell>
          <cell r="CE75" t="str">
            <v>BOE_PURCHASES_EUROPE</v>
          </cell>
          <cell r="CF75"/>
          <cell r="CG75" t="str">
            <v>NO</v>
          </cell>
          <cell r="CJ75"/>
          <cell r="CK75" t="str">
            <v>BOLD</v>
          </cell>
          <cell r="CN75"/>
          <cell r="CO75" t="str">
            <v>BOLD</v>
          </cell>
          <cell r="CP75" t="str">
            <v>Mining - Inferred Resources Contained Palladium</v>
          </cell>
          <cell r="CQ75" t="str">
            <v>MINING_INFER_RES_CONT_PALLADIUM</v>
          </cell>
          <cell r="CR75"/>
          <cell r="CS75" t="str">
            <v>BOLD</v>
          </cell>
          <cell r="CV75"/>
          <cell r="CW75" t="str">
            <v>BOLD</v>
          </cell>
          <cell r="CZ75"/>
          <cell r="DA75" t="str">
            <v>BOLD</v>
          </cell>
          <cell r="DD75"/>
          <cell r="DE75" t="str">
            <v>BOLD</v>
          </cell>
          <cell r="DH75"/>
          <cell r="DI75" t="str">
            <v>BOLD</v>
          </cell>
          <cell r="DL75"/>
          <cell r="DM75" t="str">
            <v>BOLD</v>
          </cell>
          <cell r="DP75"/>
          <cell r="DQ75" t="str">
            <v>BOLD</v>
          </cell>
          <cell r="DT75"/>
          <cell r="DU75" t="str">
            <v>BOLD</v>
          </cell>
          <cell r="DX75"/>
          <cell r="DY75" t="str">
            <v>BOLD</v>
          </cell>
          <cell r="EB75"/>
          <cell r="EC75" t="str">
            <v>BOLD</v>
          </cell>
          <cell r="EF75"/>
          <cell r="EG75" t="str">
            <v>BOLD</v>
          </cell>
          <cell r="EJ75"/>
          <cell r="EK75" t="str">
            <v>BOLD</v>
          </cell>
          <cell r="EN75"/>
          <cell r="EO75" t="str">
            <v>BOLD</v>
          </cell>
          <cell r="ER75"/>
          <cell r="ES75" t="str">
            <v>BOLD</v>
          </cell>
          <cell r="EV75"/>
          <cell r="EW75" t="str">
            <v>BOLD</v>
          </cell>
          <cell r="EZ75"/>
          <cell r="FA75" t="str">
            <v>BOLD</v>
          </cell>
          <cell r="FD75"/>
          <cell r="FE75" t="str">
            <v>BOLD</v>
          </cell>
          <cell r="FF75" t="str">
            <v>Financial Data</v>
          </cell>
          <cell r="FG75" t="str">
            <v>LABEL</v>
          </cell>
          <cell r="FH75"/>
          <cell r="FI75" t="str">
            <v>BOLD</v>
          </cell>
          <cell r="FL75"/>
          <cell r="FM75" t="str">
            <v>BOLD</v>
          </cell>
          <cell r="FN75" t="str">
            <v xml:space="preserve">  Average Age of Fleet</v>
          </cell>
          <cell r="FO75" t="str">
            <v>AGES_OF_AIRCRAFT_IN_FLT</v>
          </cell>
          <cell r="FP75"/>
          <cell r="FQ75" t="str">
            <v>NO</v>
          </cell>
          <cell r="FT75"/>
          <cell r="FU75" t="str">
            <v>BOLD</v>
          </cell>
          <cell r="FX75"/>
          <cell r="FY75" t="str">
            <v>BOLD</v>
          </cell>
          <cell r="GB75"/>
          <cell r="GC75" t="str">
            <v>BOLD</v>
          </cell>
          <cell r="GF75"/>
          <cell r="GG75" t="str">
            <v>BOLD</v>
          </cell>
          <cell r="GJ75"/>
          <cell r="GK75" t="str">
            <v>BOLD</v>
          </cell>
          <cell r="GN75"/>
          <cell r="GO75" t="str">
            <v>BOLD</v>
          </cell>
          <cell r="GR75"/>
          <cell r="GS75" t="str">
            <v>BOLD</v>
          </cell>
          <cell r="GV75"/>
          <cell r="GW75" t="str">
            <v>BOLD</v>
          </cell>
          <cell r="GZ75"/>
          <cell r="HA75" t="str">
            <v>BOLD</v>
          </cell>
          <cell r="HD75"/>
          <cell r="HE75" t="str">
            <v>BOLD</v>
          </cell>
          <cell r="HH75"/>
          <cell r="HI75" t="str">
            <v>BOLD</v>
          </cell>
          <cell r="HL75"/>
          <cell r="HM75" t="str">
            <v>BOLD</v>
          </cell>
          <cell r="HP75"/>
          <cell r="HQ75" t="str">
            <v>BOLD</v>
          </cell>
          <cell r="HT75"/>
          <cell r="HU75" t="str">
            <v>BOLD</v>
          </cell>
          <cell r="HX75"/>
          <cell r="HY75" t="str">
            <v>BOLD</v>
          </cell>
          <cell r="HZ75" t="str">
            <v>Current Year Reserve Development</v>
          </cell>
          <cell r="IA75" t="str">
            <v>BS_CURR_YEAR_RESERVE_DEVELOPMENT</v>
          </cell>
          <cell r="IB75"/>
          <cell r="IC75" t="str">
            <v>BOLD</v>
          </cell>
          <cell r="IH75" t="str">
            <v>Core Deposits Growth</v>
          </cell>
          <cell r="II75" t="str">
            <v>CORE_DPST_GROWTH</v>
          </cell>
          <cell r="IJ75"/>
          <cell r="IK75" t="str">
            <v>BOLD</v>
          </cell>
          <cell r="IP75" t="str">
            <v>Biomass (kt)</v>
          </cell>
          <cell r="IQ75" t="str">
            <v>FUEL_USED_ELEC_GEN_BIOMASS_K_MT</v>
          </cell>
          <cell r="IR75"/>
          <cell r="IS75" t="str">
            <v>BOLD</v>
          </cell>
          <cell r="IZ75"/>
          <cell r="JA75" t="str">
            <v>BOLD</v>
          </cell>
          <cell r="JB75" t="str">
            <v>Current Year Reserve Development</v>
          </cell>
          <cell r="JC75" t="str">
            <v>BS_CURR_YEAR_RESERVE_DEVELOPMENT</v>
          </cell>
          <cell r="JD75"/>
          <cell r="JE75" t="str">
            <v>BOLD</v>
          </cell>
        </row>
        <row r="76">
          <cell r="A76">
            <v>75</v>
          </cell>
          <cell r="D76"/>
          <cell r="E76" t="str">
            <v>BOLD</v>
          </cell>
          <cell r="H76"/>
          <cell r="I76" t="str">
            <v>BOLD</v>
          </cell>
          <cell r="P76"/>
          <cell r="Q76" t="str">
            <v>BOLD</v>
          </cell>
          <cell r="T76"/>
          <cell r="U76" t="str">
            <v>BOLD</v>
          </cell>
          <cell r="X76"/>
          <cell r="Y76" t="str">
            <v>BOLD</v>
          </cell>
          <cell r="AB76"/>
          <cell r="AC76" t="str">
            <v>BOLD</v>
          </cell>
          <cell r="AF76"/>
          <cell r="AG76" t="str">
            <v>BOLD</v>
          </cell>
          <cell r="AJ76"/>
          <cell r="AK76" t="str">
            <v>BOLD</v>
          </cell>
          <cell r="AL76" t="str">
            <v>Contained Coal (Tons)</v>
          </cell>
          <cell r="AM76" t="str">
            <v>MINING_INFER_RES_CONTAINED_COAL</v>
          </cell>
          <cell r="AN76"/>
          <cell r="AO76" t="str">
            <v>BOLD</v>
          </cell>
          <cell r="AR76"/>
          <cell r="AS76" t="str">
            <v>BOLD</v>
          </cell>
          <cell r="AV76"/>
          <cell r="AW76" t="str">
            <v>BOLD</v>
          </cell>
          <cell r="AZ76"/>
          <cell r="BA76" t="str">
            <v>BOLD</v>
          </cell>
          <cell r="BB76" t="str">
            <v xml:space="preserve">  - Exploration Expense</v>
          </cell>
          <cell r="BC76" t="str">
            <v>EXPLORATION_EXPENSES_ASIA_PAC</v>
          </cell>
          <cell r="BD76"/>
          <cell r="BE76" t="str">
            <v>NO</v>
          </cell>
          <cell r="BH76"/>
          <cell r="BI76" t="str">
            <v>BOLD</v>
          </cell>
          <cell r="BL76"/>
          <cell r="BM76" t="str">
            <v>BOLD</v>
          </cell>
          <cell r="BP76"/>
          <cell r="BQ76" t="str">
            <v>BOLD</v>
          </cell>
          <cell r="BT76"/>
          <cell r="BU76" t="str">
            <v>BOLD</v>
          </cell>
          <cell r="BV76" t="str">
            <v xml:space="preserve">  Reserves (Russia)</v>
          </cell>
          <cell r="BW76" t="str">
            <v>GAS_RESERVES_END_YR_RUSSIA</v>
          </cell>
          <cell r="BX76"/>
          <cell r="BY76" t="str">
            <v>NO</v>
          </cell>
          <cell r="BZ76" t="str">
            <v xml:space="preserve">  Start of Year</v>
          </cell>
          <cell r="CA76" t="str">
            <v>OIL_START_YR_AFRICA</v>
          </cell>
          <cell r="CB76"/>
          <cell r="CC76" t="str">
            <v>NO</v>
          </cell>
          <cell r="CD76" t="str">
            <v xml:space="preserve">  + Sales</v>
          </cell>
          <cell r="CE76" t="str">
            <v>BOE_SALES_EUROPE</v>
          </cell>
          <cell r="CF76"/>
          <cell r="CG76" t="str">
            <v>NO</v>
          </cell>
          <cell r="CJ76"/>
          <cell r="CK76" t="str">
            <v>BOLD</v>
          </cell>
          <cell r="CN76"/>
          <cell r="CO76" t="str">
            <v>BOLD</v>
          </cell>
          <cell r="CP76" t="str">
            <v>Periodic Enterprise Value to Copper Reserves</v>
          </cell>
          <cell r="CQ76" t="str">
            <v>EV_TO_COPPER_RESERVES</v>
          </cell>
          <cell r="CR76"/>
          <cell r="CS76" t="str">
            <v>BOLD</v>
          </cell>
          <cell r="CV76"/>
          <cell r="CW76" t="str">
            <v>BOLD</v>
          </cell>
          <cell r="CZ76"/>
          <cell r="DA76" t="str">
            <v>BOLD</v>
          </cell>
          <cell r="DD76"/>
          <cell r="DE76" t="str">
            <v>BOLD</v>
          </cell>
          <cell r="DH76"/>
          <cell r="DI76" t="str">
            <v>BOLD</v>
          </cell>
          <cell r="DL76"/>
          <cell r="DM76" t="str">
            <v>BOLD</v>
          </cell>
          <cell r="DP76"/>
          <cell r="DQ76" t="str">
            <v>BOLD</v>
          </cell>
          <cell r="DT76"/>
          <cell r="DU76" t="str">
            <v>BOLD</v>
          </cell>
          <cell r="DX76"/>
          <cell r="DY76" t="str">
            <v>BOLD</v>
          </cell>
          <cell r="EB76"/>
          <cell r="EC76" t="str">
            <v>BOLD</v>
          </cell>
          <cell r="EF76"/>
          <cell r="EG76" t="str">
            <v>BOLD</v>
          </cell>
          <cell r="EJ76"/>
          <cell r="EK76" t="str">
            <v>BOLD</v>
          </cell>
          <cell r="EN76"/>
          <cell r="EO76" t="str">
            <v>BOLD</v>
          </cell>
          <cell r="ER76"/>
          <cell r="ES76" t="str">
            <v>BOLD</v>
          </cell>
          <cell r="EV76"/>
          <cell r="EW76" t="str">
            <v>BOLD</v>
          </cell>
          <cell r="EZ76"/>
          <cell r="FA76" t="str">
            <v>BOLD</v>
          </cell>
          <cell r="FD76"/>
          <cell r="FE76" t="str">
            <v>BOLD</v>
          </cell>
          <cell r="FF76" t="str">
            <v>Cost of Revenue</v>
          </cell>
          <cell r="FG76" t="str">
            <v>IS_COGS_TO_FE_AND_PP_AND_G</v>
          </cell>
          <cell r="FH76"/>
          <cell r="FI76" t="str">
            <v>BOLD</v>
          </cell>
          <cell r="FL76"/>
          <cell r="FM76" t="str">
            <v>BOLD</v>
          </cell>
          <cell r="FN76" t="str">
            <v xml:space="preserve">  Number of Flight Hours</v>
          </cell>
          <cell r="FO76" t="str">
            <v>NUM_OF_FLIGHT_HOURS</v>
          </cell>
          <cell r="FP76"/>
          <cell r="FQ76" t="str">
            <v>NO</v>
          </cell>
          <cell r="FT76"/>
          <cell r="FU76" t="str">
            <v>BOLD</v>
          </cell>
          <cell r="FX76"/>
          <cell r="FY76" t="str">
            <v>BOLD</v>
          </cell>
          <cell r="GB76"/>
          <cell r="GC76" t="str">
            <v>BOLD</v>
          </cell>
          <cell r="GF76"/>
          <cell r="GG76" t="str">
            <v>BOLD</v>
          </cell>
          <cell r="GJ76"/>
          <cell r="GK76" t="str">
            <v>BOLD</v>
          </cell>
          <cell r="GN76"/>
          <cell r="GO76" t="str">
            <v>BOLD</v>
          </cell>
          <cell r="GR76"/>
          <cell r="GS76" t="str">
            <v>BOLD</v>
          </cell>
          <cell r="GV76"/>
          <cell r="GW76" t="str">
            <v>BOLD</v>
          </cell>
          <cell r="GZ76"/>
          <cell r="HA76" t="str">
            <v>BOLD</v>
          </cell>
          <cell r="HD76"/>
          <cell r="HE76" t="str">
            <v>BOLD</v>
          </cell>
          <cell r="HH76"/>
          <cell r="HI76" t="str">
            <v>BOLD</v>
          </cell>
          <cell r="HL76"/>
          <cell r="HM76" t="str">
            <v>BOLD</v>
          </cell>
          <cell r="HP76"/>
          <cell r="HQ76" t="str">
            <v>BOLD</v>
          </cell>
          <cell r="HT76"/>
          <cell r="HU76" t="str">
            <v>BOLD</v>
          </cell>
          <cell r="HV76" t="str">
            <v>Analyst Income Statement</v>
          </cell>
          <cell r="HW76" t="str">
            <v>LABEL</v>
          </cell>
          <cell r="HX76"/>
          <cell r="HY76" t="str">
            <v>BOLD</v>
          </cell>
          <cell r="HZ76" t="str">
            <v>Reserve Development as % of Net Premiums Earned</v>
          </cell>
          <cell r="IA76" t="str">
            <v>RESERVE_DVLP_%_NPE</v>
          </cell>
          <cell r="IB76"/>
          <cell r="IC76" t="str">
            <v>BOLD</v>
          </cell>
          <cell r="IH76" t="str">
            <v>Earning Assets Growth</v>
          </cell>
          <cell r="II76" t="str">
            <v>EARN_ASSET_GROWTH</v>
          </cell>
          <cell r="IJ76"/>
          <cell r="IK76" t="str">
            <v>BOLD</v>
          </cell>
          <cell r="IP76" t="str">
            <v>Carbon Balance (mt)</v>
          </cell>
          <cell r="IQ76" t="str">
            <v>CO2_EM_LES_ALLOW_MIL_MT_U_EU_ETS</v>
          </cell>
          <cell r="IR76"/>
          <cell r="IS76" t="str">
            <v>BOLD</v>
          </cell>
          <cell r="IX76" t="str">
            <v>Tangible Common Equity</v>
          </cell>
          <cell r="IY76" t="str">
            <v>LABEL</v>
          </cell>
          <cell r="IZ76"/>
          <cell r="JA76" t="str">
            <v>BOLD</v>
          </cell>
          <cell r="JB76" t="str">
            <v>Reserve Development as % of Net Premiums Earned</v>
          </cell>
          <cell r="JC76" t="str">
            <v>RESERVE_DVLP_%_NPE</v>
          </cell>
          <cell r="JD76"/>
          <cell r="JE76" t="str">
            <v>BOLD</v>
          </cell>
        </row>
        <row r="77">
          <cell r="A77">
            <v>76</v>
          </cell>
          <cell r="D77"/>
          <cell r="E77" t="str">
            <v>BOLD</v>
          </cell>
          <cell r="F77" t="str">
            <v>Financial Metrics</v>
          </cell>
          <cell r="G77" t="str">
            <v>LABEL</v>
          </cell>
          <cell r="H77"/>
          <cell r="I77" t="str">
            <v>BOLD</v>
          </cell>
          <cell r="P77"/>
          <cell r="Q77" t="str">
            <v>BOLD</v>
          </cell>
          <cell r="T77"/>
          <cell r="U77" t="str">
            <v>BOLD</v>
          </cell>
          <cell r="X77"/>
          <cell r="Y77" t="str">
            <v>BOLD</v>
          </cell>
          <cell r="AB77"/>
          <cell r="AC77" t="str">
            <v>BOLD</v>
          </cell>
          <cell r="AF77"/>
          <cell r="AG77" t="str">
            <v>BOLD</v>
          </cell>
          <cell r="AJ77"/>
          <cell r="AK77" t="str">
            <v>BOLD</v>
          </cell>
          <cell r="AL77" t="str">
            <v>Cobalt - Ore Volume (Tons)</v>
          </cell>
          <cell r="AM77" t="str">
            <v>MINING_INFERRED_RES_COBALT_VOL</v>
          </cell>
          <cell r="AN77"/>
          <cell r="AO77" t="str">
            <v>BOLD</v>
          </cell>
          <cell r="AR77"/>
          <cell r="AS77" t="str">
            <v>BOLD</v>
          </cell>
          <cell r="AV77"/>
          <cell r="AW77" t="str">
            <v>BOLD</v>
          </cell>
          <cell r="AZ77"/>
          <cell r="BA77" t="str">
            <v>BOLD</v>
          </cell>
          <cell r="BB77" t="str">
            <v xml:space="preserve">  - DD&amp;A</v>
          </cell>
          <cell r="BC77" t="str">
            <v>DD&amp;A_ASIA_PAC</v>
          </cell>
          <cell r="BD77"/>
          <cell r="BE77" t="str">
            <v>NO</v>
          </cell>
          <cell r="BH77"/>
          <cell r="BI77" t="str">
            <v>BOLD</v>
          </cell>
          <cell r="BL77"/>
          <cell r="BM77" t="str">
            <v>BOLD</v>
          </cell>
          <cell r="BP77"/>
          <cell r="BQ77" t="str">
            <v>BOLD</v>
          </cell>
          <cell r="BT77"/>
          <cell r="BU77" t="str">
            <v>BOLD</v>
          </cell>
          <cell r="BX77"/>
          <cell r="BY77" t="str">
            <v>BOLD</v>
          </cell>
          <cell r="BZ77" t="str">
            <v xml:space="preserve">  + Revisions</v>
          </cell>
          <cell r="CA77" t="str">
            <v>OIL_REVIS_AFRICA</v>
          </cell>
          <cell r="CB77"/>
          <cell r="CC77" t="str">
            <v>NO</v>
          </cell>
          <cell r="CD77" t="str">
            <v xml:space="preserve">  + Production</v>
          </cell>
          <cell r="CE77" t="str">
            <v>BOE_PRODUCTION_EUROPE</v>
          </cell>
          <cell r="CF77"/>
          <cell r="CG77" t="str">
            <v>NO</v>
          </cell>
          <cell r="CJ77"/>
          <cell r="CK77" t="str">
            <v>BOLD</v>
          </cell>
          <cell r="CN77"/>
          <cell r="CO77" t="str">
            <v>BOLD</v>
          </cell>
          <cell r="CP77" t="str">
            <v>Periodic Enterprise Value to Copper Reserves &amp; M&amp;I</v>
          </cell>
          <cell r="CQ77" t="str">
            <v>EV_TO_COPPER_RSRVS_PLUS_M&amp;I</v>
          </cell>
          <cell r="CR77"/>
          <cell r="CS77" t="str">
            <v>BOLD</v>
          </cell>
          <cell r="CV77"/>
          <cell r="CW77" t="str">
            <v>BOLD</v>
          </cell>
          <cell r="CZ77"/>
          <cell r="DA77" t="str">
            <v>BOLD</v>
          </cell>
          <cell r="DD77"/>
          <cell r="DE77" t="str">
            <v>BOLD</v>
          </cell>
          <cell r="DH77"/>
          <cell r="DI77" t="str">
            <v>BOLD</v>
          </cell>
          <cell r="DL77"/>
          <cell r="DM77" t="str">
            <v>BOLD</v>
          </cell>
          <cell r="DP77"/>
          <cell r="DQ77" t="str">
            <v>BOLD</v>
          </cell>
          <cell r="DT77"/>
          <cell r="DU77" t="str">
            <v>BOLD</v>
          </cell>
          <cell r="DX77"/>
          <cell r="DY77" t="str">
            <v>BOLD</v>
          </cell>
          <cell r="EB77"/>
          <cell r="EC77" t="str">
            <v>BOLD</v>
          </cell>
          <cell r="EF77"/>
          <cell r="EG77" t="str">
            <v>BOLD</v>
          </cell>
          <cell r="EJ77"/>
          <cell r="EK77" t="str">
            <v>BOLD</v>
          </cell>
          <cell r="EN77"/>
          <cell r="EO77" t="str">
            <v>BOLD</v>
          </cell>
          <cell r="ER77"/>
          <cell r="ES77" t="str">
            <v>BOLD</v>
          </cell>
          <cell r="EV77"/>
          <cell r="EW77" t="str">
            <v>BOLD</v>
          </cell>
          <cell r="EZ77"/>
          <cell r="FA77" t="str">
            <v>BOLD</v>
          </cell>
          <cell r="FD77"/>
          <cell r="FE77" t="str">
            <v>BOLD</v>
          </cell>
          <cell r="FF77" t="str">
            <v>Gross Profit</v>
          </cell>
          <cell r="FG77" t="str">
            <v>GROSS_PROFIT</v>
          </cell>
          <cell r="FH77"/>
          <cell r="FI77" t="str">
            <v>BOLD</v>
          </cell>
          <cell r="FL77"/>
          <cell r="FM77" t="str">
            <v>BOLD</v>
          </cell>
          <cell r="FP77"/>
          <cell r="FQ77" t="str">
            <v>BOLD</v>
          </cell>
          <cell r="FT77"/>
          <cell r="FU77" t="str">
            <v>BOLD</v>
          </cell>
          <cell r="FX77"/>
          <cell r="FY77" t="str">
            <v>BOLD</v>
          </cell>
          <cell r="GB77"/>
          <cell r="GC77" t="str">
            <v>BOLD</v>
          </cell>
          <cell r="GF77"/>
          <cell r="GG77" t="str">
            <v>BOLD</v>
          </cell>
          <cell r="GJ77"/>
          <cell r="GK77" t="str">
            <v>BOLD</v>
          </cell>
          <cell r="GN77"/>
          <cell r="GO77" t="str">
            <v>BOLD</v>
          </cell>
          <cell r="GR77"/>
          <cell r="GS77" t="str">
            <v>BOLD</v>
          </cell>
          <cell r="GV77"/>
          <cell r="GW77" t="str">
            <v>BOLD</v>
          </cell>
          <cell r="GZ77"/>
          <cell r="HA77" t="str">
            <v>BOLD</v>
          </cell>
          <cell r="HD77"/>
          <cell r="HE77" t="str">
            <v>BOLD</v>
          </cell>
          <cell r="HH77"/>
          <cell r="HI77" t="str">
            <v>BOLD</v>
          </cell>
          <cell r="HL77"/>
          <cell r="HM77" t="str">
            <v>BOLD</v>
          </cell>
          <cell r="HP77"/>
          <cell r="HQ77" t="str">
            <v>BOLD</v>
          </cell>
          <cell r="HT77"/>
          <cell r="HU77" t="str">
            <v>BOLD</v>
          </cell>
          <cell r="HV77" t="str">
            <v xml:space="preserve">  Net Interest Income</v>
          </cell>
          <cell r="HW77" t="str">
            <v>NET_INT_INC</v>
          </cell>
          <cell r="HX77"/>
          <cell r="HY77" t="str">
            <v>NO</v>
          </cell>
          <cell r="HZ77" t="str">
            <v>Diluted EPS Volatility</v>
          </cell>
          <cell r="IA77" t="str">
            <v>R_SQUARED_DILUTED_EPS</v>
          </cell>
          <cell r="IB77" t="str">
            <v>EPS</v>
          </cell>
          <cell r="IC77" t="str">
            <v>BOLDEPS</v>
          </cell>
          <cell r="IH77" t="str">
            <v>Assets Growth</v>
          </cell>
          <cell r="II77" t="str">
            <v>ASSET_GROWTH</v>
          </cell>
          <cell r="IJ77"/>
          <cell r="IK77" t="str">
            <v>BOLD</v>
          </cell>
          <cell r="IP77" t="str">
            <v>Allowances (mt)</v>
          </cell>
          <cell r="IQ77" t="str">
            <v>CO2_ALLOW_MIL_MT_UNDER_EU_ETS</v>
          </cell>
          <cell r="IR77"/>
          <cell r="IS77" t="str">
            <v>BOLD</v>
          </cell>
          <cell r="IX77" t="str">
            <v>Total Common Equity</v>
          </cell>
          <cell r="IY77" t="str">
            <v>TOT_COMMON_EQY</v>
          </cell>
          <cell r="IZ77"/>
          <cell r="JA77" t="str">
            <v>BOLD</v>
          </cell>
          <cell r="JB77" t="str">
            <v>Diluted EPS Volatility</v>
          </cell>
          <cell r="JC77" t="str">
            <v>R_SQUARED_DILUTED_EPS</v>
          </cell>
          <cell r="JD77" t="str">
            <v>EPS</v>
          </cell>
          <cell r="JE77" t="str">
            <v>BOLDEPS</v>
          </cell>
        </row>
        <row r="78">
          <cell r="A78">
            <v>77</v>
          </cell>
          <cell r="D78"/>
          <cell r="E78" t="str">
            <v>BOLD</v>
          </cell>
          <cell r="F78" t="str">
            <v>Card Managed Net Interest Income</v>
          </cell>
          <cell r="G78" t="str">
            <v>CARD_MANAGED_NET_INT_INCOME</v>
          </cell>
          <cell r="H78"/>
          <cell r="I78" t="str">
            <v>BOLD</v>
          </cell>
          <cell r="P78"/>
          <cell r="Q78" t="str">
            <v>BOLD</v>
          </cell>
          <cell r="T78"/>
          <cell r="U78" t="str">
            <v>BOLD</v>
          </cell>
          <cell r="X78"/>
          <cell r="Y78" t="str">
            <v>BOLD</v>
          </cell>
          <cell r="AB78"/>
          <cell r="AC78" t="str">
            <v>BOLD</v>
          </cell>
          <cell r="AF78"/>
          <cell r="AG78" t="str">
            <v>BOLD</v>
          </cell>
          <cell r="AJ78"/>
          <cell r="AK78" t="str">
            <v>BOLD</v>
          </cell>
          <cell r="AL78" t="str">
            <v>Cobalt - Grade (%)</v>
          </cell>
          <cell r="AM78" t="str">
            <v>MINING_INFERRED_RES_COBALT_GRADE</v>
          </cell>
          <cell r="AN78"/>
          <cell r="AO78" t="str">
            <v>BOLD</v>
          </cell>
          <cell r="AR78"/>
          <cell r="AS78" t="str">
            <v>BOLD</v>
          </cell>
          <cell r="AV78"/>
          <cell r="AW78" t="str">
            <v>BOLD</v>
          </cell>
          <cell r="AZ78"/>
          <cell r="BA78" t="str">
            <v>BOLD</v>
          </cell>
          <cell r="BB78" t="str">
            <v xml:space="preserve">  - Other Expenses</v>
          </cell>
          <cell r="BC78" t="str">
            <v>OTHER_E&amp;P_EXPENSES_ASIA_PAC</v>
          </cell>
          <cell r="BD78"/>
          <cell r="BE78" t="str">
            <v>NO</v>
          </cell>
          <cell r="BH78"/>
          <cell r="BI78" t="str">
            <v>BOLD</v>
          </cell>
          <cell r="BL78"/>
          <cell r="BM78" t="str">
            <v>BOLD</v>
          </cell>
          <cell r="BP78"/>
          <cell r="BQ78" t="str">
            <v>BOLD</v>
          </cell>
          <cell r="BT78"/>
          <cell r="BU78" t="str">
            <v>BOLD</v>
          </cell>
          <cell r="BV78" t="str">
            <v>Africa</v>
          </cell>
          <cell r="BW78" t="str">
            <v>LABEL</v>
          </cell>
          <cell r="BX78"/>
          <cell r="BY78" t="str">
            <v>BOLD</v>
          </cell>
          <cell r="BZ78" t="str">
            <v xml:space="preserve">  + Improved Recovery</v>
          </cell>
          <cell r="CA78" t="str">
            <v>OIL_IMPROVED_RECOVERY_AFRICA</v>
          </cell>
          <cell r="CB78"/>
          <cell r="CC78" t="str">
            <v>NO</v>
          </cell>
          <cell r="CD78" t="str">
            <v xml:space="preserve">  + Other</v>
          </cell>
          <cell r="CE78" t="str">
            <v>BOE_OTHER_CHG_EUROPE</v>
          </cell>
          <cell r="CF78"/>
          <cell r="CG78" t="str">
            <v>NO</v>
          </cell>
          <cell r="CJ78"/>
          <cell r="CK78" t="str">
            <v>BOLD</v>
          </cell>
          <cell r="CN78"/>
          <cell r="CO78" t="str">
            <v>BOLD</v>
          </cell>
          <cell r="CP78" t="str">
            <v>Copper Reserves per Share</v>
          </cell>
          <cell r="CQ78" t="str">
            <v>COPPER_RESERVES_PER_SHARE</v>
          </cell>
          <cell r="CR78"/>
          <cell r="CS78" t="str">
            <v>BOLD</v>
          </cell>
          <cell r="CV78"/>
          <cell r="CW78" t="str">
            <v>BOLD</v>
          </cell>
          <cell r="CZ78"/>
          <cell r="DA78" t="str">
            <v>BOLD</v>
          </cell>
          <cell r="DD78"/>
          <cell r="DE78" t="str">
            <v>BOLD</v>
          </cell>
          <cell r="DH78"/>
          <cell r="DI78" t="str">
            <v>BOLD</v>
          </cell>
          <cell r="DL78"/>
          <cell r="DM78" t="str">
            <v>BOLD</v>
          </cell>
          <cell r="DP78"/>
          <cell r="DQ78" t="str">
            <v>BOLD</v>
          </cell>
          <cell r="DT78"/>
          <cell r="DU78" t="str">
            <v>BOLD</v>
          </cell>
          <cell r="DX78"/>
          <cell r="DY78" t="str">
            <v>BOLD</v>
          </cell>
          <cell r="EB78"/>
          <cell r="EC78" t="str">
            <v>BOLD</v>
          </cell>
          <cell r="EF78"/>
          <cell r="EG78" t="str">
            <v>BOLD</v>
          </cell>
          <cell r="EJ78"/>
          <cell r="EK78" t="str">
            <v>BOLD</v>
          </cell>
          <cell r="EN78"/>
          <cell r="EO78" t="str">
            <v>BOLD</v>
          </cell>
          <cell r="ER78"/>
          <cell r="ES78" t="str">
            <v>BOLD</v>
          </cell>
          <cell r="EV78"/>
          <cell r="EW78" t="str">
            <v>BOLD</v>
          </cell>
          <cell r="EZ78"/>
          <cell r="FA78" t="str">
            <v>BOLD</v>
          </cell>
          <cell r="FD78"/>
          <cell r="FE78" t="str">
            <v>BOLD</v>
          </cell>
          <cell r="FF78" t="str">
            <v>EBITDA</v>
          </cell>
          <cell r="FG78" t="str">
            <v>EBITDA</v>
          </cell>
          <cell r="FH78"/>
          <cell r="FI78" t="str">
            <v>BOLD</v>
          </cell>
          <cell r="FL78"/>
          <cell r="FM78" t="str">
            <v>BOLD</v>
          </cell>
          <cell r="FN78" t="str">
            <v>Cargo Ton Miles (Km)</v>
          </cell>
          <cell r="FO78" t="str">
            <v>CARGO_TON_MILES_KM</v>
          </cell>
          <cell r="FP78"/>
          <cell r="FQ78" t="str">
            <v>BOLD</v>
          </cell>
          <cell r="FT78"/>
          <cell r="FU78" t="str">
            <v>BOLD</v>
          </cell>
          <cell r="FX78"/>
          <cell r="FY78" t="str">
            <v>BOLD</v>
          </cell>
          <cell r="GB78"/>
          <cell r="GC78" t="str">
            <v>BOLD</v>
          </cell>
          <cell r="GF78"/>
          <cell r="GG78" t="str">
            <v>BOLD</v>
          </cell>
          <cell r="GJ78"/>
          <cell r="GK78" t="str">
            <v>BOLD</v>
          </cell>
          <cell r="GN78"/>
          <cell r="GO78" t="str">
            <v>BOLD</v>
          </cell>
          <cell r="GR78"/>
          <cell r="GS78" t="str">
            <v>BOLD</v>
          </cell>
          <cell r="GV78"/>
          <cell r="GW78" t="str">
            <v>BOLD</v>
          </cell>
          <cell r="GZ78"/>
          <cell r="HA78" t="str">
            <v>BOLD</v>
          </cell>
          <cell r="HD78"/>
          <cell r="HE78" t="str">
            <v>BOLD</v>
          </cell>
          <cell r="HH78"/>
          <cell r="HI78" t="str">
            <v>BOLD</v>
          </cell>
          <cell r="HL78"/>
          <cell r="HM78" t="str">
            <v>BOLD</v>
          </cell>
          <cell r="HP78"/>
          <cell r="HQ78" t="str">
            <v>BOLD</v>
          </cell>
          <cell r="HT78"/>
          <cell r="HU78" t="str">
            <v>BOLD</v>
          </cell>
          <cell r="HV78" t="str">
            <v>+ Non-Interest Income</v>
          </cell>
          <cell r="HW78" t="str">
            <v>NON_INT_INC</v>
          </cell>
          <cell r="HX78"/>
          <cell r="HY78" t="str">
            <v>BOLD</v>
          </cell>
          <cell r="HZ78" t="str">
            <v>Diluted EPS from Cont Ops Volatility</v>
          </cell>
          <cell r="IA78" t="str">
            <v>R_SQUARED_DIL_EPS_CONT_OPS</v>
          </cell>
          <cell r="IB78" t="str">
            <v>EPS</v>
          </cell>
          <cell r="IC78" t="str">
            <v>BOLDEPS</v>
          </cell>
          <cell r="IH78" t="str">
            <v>Net Worth Growth</v>
          </cell>
          <cell r="II78" t="str">
            <v>NET_WORTH_GROWTH</v>
          </cell>
          <cell r="IJ78"/>
          <cell r="IK78" t="str">
            <v>BOLD</v>
          </cell>
          <cell r="IP78" t="str">
            <v>Emissions (mt)</v>
          </cell>
          <cell r="IQ78" t="str">
            <v>CO2_EM_MIL_MT_UNDER_EU_ETS</v>
          </cell>
          <cell r="IR78"/>
          <cell r="IS78" t="str">
            <v>BOLD</v>
          </cell>
          <cell r="IX78" t="str">
            <v>Disclosed Intangibles</v>
          </cell>
          <cell r="IY78" t="str">
            <v>BS_DISCLOSED_INTANGIBLES</v>
          </cell>
          <cell r="IZ78"/>
          <cell r="JA78" t="str">
            <v>BOLD</v>
          </cell>
          <cell r="JB78" t="str">
            <v>Diluted EPS from Cont Ops Volatility</v>
          </cell>
          <cell r="JC78" t="str">
            <v>R_SQUARED_DIL_EPS_CONT_OPS</v>
          </cell>
          <cell r="JD78" t="str">
            <v>EPS</v>
          </cell>
          <cell r="JE78" t="str">
            <v>BOLDEPS</v>
          </cell>
        </row>
        <row r="79">
          <cell r="A79">
            <v>78</v>
          </cell>
          <cell r="D79"/>
          <cell r="E79" t="str">
            <v>BOLD</v>
          </cell>
          <cell r="F79" t="str">
            <v>Card Managed Fee Income</v>
          </cell>
          <cell r="G79" t="str">
            <v>CARD_MANAGED_FEE_INCOME</v>
          </cell>
          <cell r="H79"/>
          <cell r="I79" t="str">
            <v>BOLD</v>
          </cell>
          <cell r="P79"/>
          <cell r="Q79" t="str">
            <v>BOLD</v>
          </cell>
          <cell r="T79"/>
          <cell r="U79" t="str">
            <v>BOLD</v>
          </cell>
          <cell r="X79"/>
          <cell r="Y79" t="str">
            <v>BOLD</v>
          </cell>
          <cell r="AB79"/>
          <cell r="AC79" t="str">
            <v>BOLD</v>
          </cell>
          <cell r="AF79"/>
          <cell r="AG79" t="str">
            <v>BOLD</v>
          </cell>
          <cell r="AJ79"/>
          <cell r="AK79" t="str">
            <v>BOLD</v>
          </cell>
          <cell r="AL79" t="str">
            <v>Contained Cobalt (Tons)</v>
          </cell>
          <cell r="AM79" t="str">
            <v>MINING_INFER_RES_CONTAIN_COBALT</v>
          </cell>
          <cell r="AN79"/>
          <cell r="AO79" t="str">
            <v>BOLD</v>
          </cell>
          <cell r="AR79"/>
          <cell r="AS79" t="str">
            <v>BOLD</v>
          </cell>
          <cell r="AV79"/>
          <cell r="AW79" t="str">
            <v>BOLD</v>
          </cell>
          <cell r="AZ79"/>
          <cell r="BA79" t="str">
            <v>BOLD</v>
          </cell>
          <cell r="BB79" t="str">
            <v xml:space="preserve">  - Income Tax</v>
          </cell>
          <cell r="BC79" t="str">
            <v>INCOME_TAX_ASIA_PAC</v>
          </cell>
          <cell r="BD79"/>
          <cell r="BE79" t="str">
            <v>NO</v>
          </cell>
          <cell r="BH79"/>
          <cell r="BI79" t="str">
            <v>BOLD</v>
          </cell>
          <cell r="BL79"/>
          <cell r="BM79" t="str">
            <v>BOLD</v>
          </cell>
          <cell r="BP79"/>
          <cell r="BQ79" t="str">
            <v>BOLD</v>
          </cell>
          <cell r="BT79"/>
          <cell r="BU79" t="str">
            <v>BOLD</v>
          </cell>
          <cell r="BV79" t="str">
            <v xml:space="preserve">  Start of Year</v>
          </cell>
          <cell r="BW79" t="str">
            <v>GAS_START_YEAR_AFRICA</v>
          </cell>
          <cell r="BX79"/>
          <cell r="BY79" t="str">
            <v>NO</v>
          </cell>
          <cell r="BZ79" t="str">
            <v xml:space="preserve">  + Extensions &amp; Discoveries</v>
          </cell>
          <cell r="CA79" t="str">
            <v>OIL_EXTENSIONS_AND_DISCS_AFRICA</v>
          </cell>
          <cell r="CB79"/>
          <cell r="CC79" t="str">
            <v>NO</v>
          </cell>
          <cell r="CD79" t="str">
            <v xml:space="preserve">  End of year</v>
          </cell>
          <cell r="CE79" t="str">
            <v>BOE_END_YEAR_EUROPE</v>
          </cell>
          <cell r="CF79"/>
          <cell r="CG79" t="str">
            <v>NO</v>
          </cell>
          <cell r="CJ79"/>
          <cell r="CK79" t="str">
            <v>BOLD</v>
          </cell>
          <cell r="CN79"/>
          <cell r="CO79" t="str">
            <v>BOLD</v>
          </cell>
          <cell r="CP79" t="str">
            <v>Copper Estimated Reserves and Resources per Share</v>
          </cell>
          <cell r="CQ79" t="str">
            <v>COPPER_EST_R&amp;R_PER_SHARE</v>
          </cell>
          <cell r="CR79"/>
          <cell r="CS79" t="str">
            <v>BOLD</v>
          </cell>
          <cell r="CV79"/>
          <cell r="CW79" t="str">
            <v>BOLD</v>
          </cell>
          <cell r="CZ79"/>
          <cell r="DA79" t="str">
            <v>BOLD</v>
          </cell>
          <cell r="DD79"/>
          <cell r="DE79" t="str">
            <v>BOLD</v>
          </cell>
          <cell r="DH79"/>
          <cell r="DI79" t="str">
            <v>BOLD</v>
          </cell>
          <cell r="DL79"/>
          <cell r="DM79" t="str">
            <v>BOLD</v>
          </cell>
          <cell r="DP79"/>
          <cell r="DQ79" t="str">
            <v>BOLD</v>
          </cell>
          <cell r="DT79"/>
          <cell r="DU79" t="str">
            <v>BOLD</v>
          </cell>
          <cell r="DX79"/>
          <cell r="DY79" t="str">
            <v>BOLD</v>
          </cell>
          <cell r="EB79"/>
          <cell r="EC79" t="str">
            <v>BOLD</v>
          </cell>
          <cell r="EF79"/>
          <cell r="EG79" t="str">
            <v>BOLD</v>
          </cell>
          <cell r="EJ79"/>
          <cell r="EK79" t="str">
            <v>BOLD</v>
          </cell>
          <cell r="EN79"/>
          <cell r="EO79" t="str">
            <v>BOLD</v>
          </cell>
          <cell r="ER79"/>
          <cell r="ES79" t="str">
            <v>BOLD</v>
          </cell>
          <cell r="EV79"/>
          <cell r="EW79" t="str">
            <v>BOLD</v>
          </cell>
          <cell r="EZ79"/>
          <cell r="FA79" t="str">
            <v>BOLD</v>
          </cell>
          <cell r="FD79"/>
          <cell r="FE79" t="str">
            <v>BOLD</v>
          </cell>
          <cell r="FF79" t="str">
            <v>Operating Income</v>
          </cell>
          <cell r="FG79" t="str">
            <v>IS_OPER_INC</v>
          </cell>
          <cell r="FH79"/>
          <cell r="FI79" t="str">
            <v>BOLD</v>
          </cell>
          <cell r="FL79"/>
          <cell r="FM79" t="str">
            <v>BOLD</v>
          </cell>
          <cell r="FN79" t="str">
            <v>Cargo Ton Miles (Km) Yield</v>
          </cell>
          <cell r="FO79" t="str">
            <v>CARGO_TON_MILE_KM_YIELD</v>
          </cell>
          <cell r="FP79"/>
          <cell r="FQ79" t="str">
            <v>BOLD</v>
          </cell>
          <cell r="FT79"/>
          <cell r="FU79" t="str">
            <v>BOLD</v>
          </cell>
          <cell r="FX79"/>
          <cell r="FY79" t="str">
            <v>BOLD</v>
          </cell>
          <cell r="GB79"/>
          <cell r="GC79" t="str">
            <v>BOLD</v>
          </cell>
          <cell r="GF79"/>
          <cell r="GG79" t="str">
            <v>BOLD</v>
          </cell>
          <cell r="GJ79"/>
          <cell r="GK79" t="str">
            <v>BOLD</v>
          </cell>
          <cell r="GN79"/>
          <cell r="GO79" t="str">
            <v>BOLD</v>
          </cell>
          <cell r="GR79"/>
          <cell r="GS79" t="str">
            <v>BOLD</v>
          </cell>
          <cell r="GV79"/>
          <cell r="GW79" t="str">
            <v>BOLD</v>
          </cell>
          <cell r="GZ79"/>
          <cell r="HA79" t="str">
            <v>BOLD</v>
          </cell>
          <cell r="HD79"/>
          <cell r="HE79" t="str">
            <v>BOLD</v>
          </cell>
          <cell r="HH79"/>
          <cell r="HI79" t="str">
            <v>BOLD</v>
          </cell>
          <cell r="HL79"/>
          <cell r="HM79" t="str">
            <v>BOLD</v>
          </cell>
          <cell r="HP79"/>
          <cell r="HQ79" t="str">
            <v>BOLD</v>
          </cell>
          <cell r="HT79"/>
          <cell r="HU79" t="str">
            <v>BOLD</v>
          </cell>
          <cell r="HV79" t="str">
            <v xml:space="preserve">  Net Revenue</v>
          </cell>
          <cell r="HW79" t="str">
            <v>NET_REV</v>
          </cell>
          <cell r="HX79"/>
          <cell r="HY79" t="str">
            <v>NO</v>
          </cell>
          <cell r="IB79"/>
          <cell r="IC79" t="str">
            <v>BOLD</v>
          </cell>
          <cell r="IH79" t="str">
            <v>Net Interest Income Growth</v>
          </cell>
          <cell r="II79" t="str">
            <v>NET_INT_INC_GROWTH</v>
          </cell>
          <cell r="IJ79"/>
          <cell r="IK79" t="str">
            <v>BOLD</v>
          </cell>
          <cell r="IR79"/>
          <cell r="IS79" t="str">
            <v>BOLD</v>
          </cell>
          <cell r="IX79" t="str">
            <v>Tangible Common Equity</v>
          </cell>
          <cell r="IY79" t="str">
            <v>TANGIBLE_COMMON_EQUITY</v>
          </cell>
          <cell r="IZ79"/>
          <cell r="JA79" t="str">
            <v>BOLD</v>
          </cell>
          <cell r="JD79"/>
          <cell r="JE79" t="str">
            <v>BOLD</v>
          </cell>
        </row>
        <row r="80">
          <cell r="A80">
            <v>79</v>
          </cell>
          <cell r="D80"/>
          <cell r="E80" t="str">
            <v>BOLD</v>
          </cell>
          <cell r="F80" t="str">
            <v>Card Managed Non-Interest Income</v>
          </cell>
          <cell r="G80" t="str">
            <v>CARD_MANAGED_NON_INT_INCOME</v>
          </cell>
          <cell r="H80"/>
          <cell r="I80" t="str">
            <v>BOLD</v>
          </cell>
          <cell r="P80"/>
          <cell r="Q80" t="str">
            <v>BOLD</v>
          </cell>
          <cell r="T80"/>
          <cell r="U80" t="str">
            <v>BOLD</v>
          </cell>
          <cell r="X80"/>
          <cell r="Y80" t="str">
            <v>BOLD</v>
          </cell>
          <cell r="AB80"/>
          <cell r="AC80" t="str">
            <v>BOLD</v>
          </cell>
          <cell r="AF80"/>
          <cell r="AG80" t="str">
            <v>BOLD</v>
          </cell>
          <cell r="AJ80"/>
          <cell r="AK80" t="str">
            <v>BOLD</v>
          </cell>
          <cell r="AL80" t="str">
            <v>Copper - Ore Volume (Tons)</v>
          </cell>
          <cell r="AM80" t="str">
            <v>MINING_INFERRED_RES_COPPER_VOL</v>
          </cell>
          <cell r="AN80"/>
          <cell r="AO80" t="str">
            <v>BOLD</v>
          </cell>
          <cell r="AR80"/>
          <cell r="AS80" t="str">
            <v>BOLD</v>
          </cell>
          <cell r="AV80"/>
          <cell r="AW80" t="str">
            <v>BOLD</v>
          </cell>
          <cell r="AZ80"/>
          <cell r="BA80" t="str">
            <v>BOLD</v>
          </cell>
          <cell r="BB80" t="str">
            <v xml:space="preserve">  + Other Income</v>
          </cell>
          <cell r="BC80" t="str">
            <v>OTHER_E&amp;P_INCOME_ASIA_PAC</v>
          </cell>
          <cell r="BD80"/>
          <cell r="BE80" t="str">
            <v>NO</v>
          </cell>
          <cell r="BH80"/>
          <cell r="BI80" t="str">
            <v>BOLD</v>
          </cell>
          <cell r="BL80"/>
          <cell r="BM80" t="str">
            <v>BOLD</v>
          </cell>
          <cell r="BP80"/>
          <cell r="BQ80" t="str">
            <v>BOLD</v>
          </cell>
          <cell r="BT80"/>
          <cell r="BU80" t="str">
            <v>BOLD</v>
          </cell>
          <cell r="BV80" t="str">
            <v xml:space="preserve">  + Revisions</v>
          </cell>
          <cell r="BW80" t="str">
            <v>GAS_REVISIONS_AFRICA</v>
          </cell>
          <cell r="BX80"/>
          <cell r="BY80" t="str">
            <v>NO</v>
          </cell>
          <cell r="BZ80" t="str">
            <v xml:space="preserve">  + Purchases</v>
          </cell>
          <cell r="CA80" t="str">
            <v>OIL_PURCH_AFRICA</v>
          </cell>
          <cell r="CB80"/>
          <cell r="CC80" t="str">
            <v>NO</v>
          </cell>
          <cell r="CD80" t="str">
            <v xml:space="preserve">  Developed Reserves</v>
          </cell>
          <cell r="CE80" t="str">
            <v>BOE_DEVEL_RESV_EUROPE</v>
          </cell>
          <cell r="CF80"/>
          <cell r="CG80" t="str">
            <v>NO</v>
          </cell>
          <cell r="CJ80"/>
          <cell r="CK80" t="str">
            <v>BOLD</v>
          </cell>
          <cell r="CN80"/>
          <cell r="CO80" t="str">
            <v>BOLD</v>
          </cell>
          <cell r="CP80" t="str">
            <v>Mining - P&amp;P Reserves Contained Copper</v>
          </cell>
          <cell r="CQ80" t="str">
            <v>MINING_P&amp;P_RSRV_CONTAINED_COPPER</v>
          </cell>
          <cell r="CR80"/>
          <cell r="CS80" t="str">
            <v>BOLD</v>
          </cell>
          <cell r="CV80"/>
          <cell r="CW80" t="str">
            <v>BOLD</v>
          </cell>
          <cell r="CZ80"/>
          <cell r="DA80" t="str">
            <v>BOLD</v>
          </cell>
          <cell r="DD80"/>
          <cell r="DE80" t="str">
            <v>BOLD</v>
          </cell>
          <cell r="DH80"/>
          <cell r="DI80" t="str">
            <v>BOLD</v>
          </cell>
          <cell r="DL80"/>
          <cell r="DM80" t="str">
            <v>BOLD</v>
          </cell>
          <cell r="DP80"/>
          <cell r="DQ80" t="str">
            <v>BOLD</v>
          </cell>
          <cell r="DT80"/>
          <cell r="DU80" t="str">
            <v>BOLD</v>
          </cell>
          <cell r="DX80"/>
          <cell r="DY80" t="str">
            <v>BOLD</v>
          </cell>
          <cell r="EB80"/>
          <cell r="EC80" t="str">
            <v>BOLD</v>
          </cell>
          <cell r="EF80"/>
          <cell r="EG80" t="str">
            <v>BOLD</v>
          </cell>
          <cell r="EJ80"/>
          <cell r="EK80" t="str">
            <v>BOLD</v>
          </cell>
          <cell r="EN80"/>
          <cell r="EO80" t="str">
            <v>BOLD</v>
          </cell>
          <cell r="ER80"/>
          <cell r="ES80" t="str">
            <v>BOLD</v>
          </cell>
          <cell r="EV80"/>
          <cell r="EW80" t="str">
            <v>BOLD</v>
          </cell>
          <cell r="EZ80"/>
          <cell r="FA80" t="str">
            <v>BOLD</v>
          </cell>
          <cell r="FD80"/>
          <cell r="FE80" t="str">
            <v>BOLD</v>
          </cell>
          <cell r="FF80" t="str">
            <v>Capital Expenditures</v>
          </cell>
          <cell r="FG80" t="str">
            <v>CF_CAP_EXPEND_PRPTY_ADD</v>
          </cell>
          <cell r="FH80"/>
          <cell r="FI80" t="str">
            <v>BOLD</v>
          </cell>
          <cell r="FL80"/>
          <cell r="FM80" t="str">
            <v>BOLD</v>
          </cell>
          <cell r="FP80"/>
          <cell r="FQ80" t="str">
            <v>BOLD</v>
          </cell>
          <cell r="FT80"/>
          <cell r="FU80" t="str">
            <v>BOLD</v>
          </cell>
          <cell r="FX80"/>
          <cell r="FY80" t="str">
            <v>BOLD</v>
          </cell>
          <cell r="GB80"/>
          <cell r="GC80" t="str">
            <v>BOLD</v>
          </cell>
          <cell r="GF80"/>
          <cell r="GG80" t="str">
            <v>BOLD</v>
          </cell>
          <cell r="GJ80"/>
          <cell r="GK80" t="str">
            <v>BOLD</v>
          </cell>
          <cell r="GN80"/>
          <cell r="GO80" t="str">
            <v>BOLD</v>
          </cell>
          <cell r="GR80"/>
          <cell r="GS80" t="str">
            <v>BOLD</v>
          </cell>
          <cell r="GV80"/>
          <cell r="GW80" t="str">
            <v>BOLD</v>
          </cell>
          <cell r="GZ80"/>
          <cell r="HA80" t="str">
            <v>BOLD</v>
          </cell>
          <cell r="HD80"/>
          <cell r="HE80" t="str">
            <v>BOLD</v>
          </cell>
          <cell r="HH80"/>
          <cell r="HI80" t="str">
            <v>BOLD</v>
          </cell>
          <cell r="HL80"/>
          <cell r="HM80" t="str">
            <v>BOLD</v>
          </cell>
          <cell r="HP80"/>
          <cell r="HQ80" t="str">
            <v>BOLD</v>
          </cell>
          <cell r="HT80"/>
          <cell r="HU80" t="str">
            <v>BOLD</v>
          </cell>
          <cell r="HV80" t="str">
            <v>- Non-Interest Expense</v>
          </cell>
          <cell r="HW80" t="str">
            <v>NON_INT_EXP</v>
          </cell>
          <cell r="HX80"/>
          <cell r="HY80" t="str">
            <v>BOLD</v>
          </cell>
          <cell r="HZ80" t="str">
            <v>Premiums &amp; Expenses</v>
          </cell>
          <cell r="IA80" t="str">
            <v>LABEL</v>
          </cell>
          <cell r="IB80"/>
          <cell r="IC80" t="str">
            <v>BOLD</v>
          </cell>
          <cell r="IH80" t="str">
            <v>Net Inc Growth</v>
          </cell>
          <cell r="II80" t="str">
            <v>NET_INC_GROWTH</v>
          </cell>
          <cell r="IJ80"/>
          <cell r="IK80" t="str">
            <v>BOLD</v>
          </cell>
          <cell r="IP80" t="str">
            <v>Gas Sales Volume</v>
          </cell>
          <cell r="IQ80" t="str">
            <v>LABEL</v>
          </cell>
          <cell r="IR80"/>
          <cell r="IS80" t="str">
            <v>BOLD</v>
          </cell>
          <cell r="IX80" t="str">
            <v>Total Assets</v>
          </cell>
          <cell r="IY80" t="str">
            <v>BS_TOT_ASSET</v>
          </cell>
          <cell r="IZ80"/>
          <cell r="JA80" t="str">
            <v>BOLD</v>
          </cell>
          <cell r="JB80" t="str">
            <v>Premiums &amp; Expenses</v>
          </cell>
          <cell r="JC80" t="str">
            <v>LABEL</v>
          </cell>
          <cell r="JD80"/>
          <cell r="JE80" t="str">
            <v>BOLD</v>
          </cell>
        </row>
        <row r="81">
          <cell r="A81">
            <v>80</v>
          </cell>
          <cell r="D81"/>
          <cell r="E81" t="str">
            <v>BOLD</v>
          </cell>
          <cell r="F81" t="str">
            <v>Card Managed Revenue</v>
          </cell>
          <cell r="G81" t="str">
            <v>CARD_MANAGED_REVENUE</v>
          </cell>
          <cell r="H81"/>
          <cell r="I81" t="str">
            <v>BOLD</v>
          </cell>
          <cell r="P81"/>
          <cell r="Q81" t="str">
            <v>BOLD</v>
          </cell>
          <cell r="T81"/>
          <cell r="U81" t="str">
            <v>BOLD</v>
          </cell>
          <cell r="X81"/>
          <cell r="Y81" t="str">
            <v>BOLD</v>
          </cell>
          <cell r="AB81"/>
          <cell r="AC81" t="str">
            <v>BOLD</v>
          </cell>
          <cell r="AF81"/>
          <cell r="AG81" t="str">
            <v>BOLD</v>
          </cell>
          <cell r="AJ81"/>
          <cell r="AK81" t="str">
            <v>BOLD</v>
          </cell>
          <cell r="AL81" t="str">
            <v>Copper - Grade (%)</v>
          </cell>
          <cell r="AM81" t="str">
            <v>MINING_INFERRED_RES_COPPER_GRADE</v>
          </cell>
          <cell r="AN81"/>
          <cell r="AO81" t="str">
            <v>BOLD</v>
          </cell>
          <cell r="AR81"/>
          <cell r="AS81" t="str">
            <v>BOLD</v>
          </cell>
          <cell r="AV81"/>
          <cell r="AW81" t="str">
            <v>BOLD</v>
          </cell>
          <cell r="AZ81"/>
          <cell r="BA81" t="str">
            <v>BOLD</v>
          </cell>
          <cell r="BB81" t="str">
            <v xml:space="preserve">  Results of Operations</v>
          </cell>
          <cell r="BC81" t="str">
            <v>RESULTS_OPERATIONS_ASIA_PAC</v>
          </cell>
          <cell r="BD81"/>
          <cell r="BE81" t="str">
            <v>NO</v>
          </cell>
          <cell r="BH81"/>
          <cell r="BI81" t="str">
            <v>BOLD</v>
          </cell>
          <cell r="BL81"/>
          <cell r="BM81" t="str">
            <v>BOLD</v>
          </cell>
          <cell r="BP81"/>
          <cell r="BQ81" t="str">
            <v>BOLD</v>
          </cell>
          <cell r="BT81"/>
          <cell r="BU81" t="str">
            <v>BOLD</v>
          </cell>
          <cell r="BV81" t="str">
            <v xml:space="preserve">  + Improved Recovery</v>
          </cell>
          <cell r="BW81" t="str">
            <v>GAS_IMPROV_REC_AFRICA</v>
          </cell>
          <cell r="BX81"/>
          <cell r="BY81" t="str">
            <v>NO</v>
          </cell>
          <cell r="BZ81" t="str">
            <v xml:space="preserve">  + Sales</v>
          </cell>
          <cell r="CA81" t="str">
            <v>OIL_SLS_AFRICA</v>
          </cell>
          <cell r="CB81"/>
          <cell r="CC81" t="str">
            <v>NO</v>
          </cell>
          <cell r="CD81" t="str">
            <v xml:space="preserve">  Reserves (North Sea)</v>
          </cell>
          <cell r="CE81" t="str">
            <v>BOE_RESERVES_END_YR_NORTH_SEA</v>
          </cell>
          <cell r="CF81"/>
          <cell r="CG81" t="str">
            <v>NO</v>
          </cell>
          <cell r="CJ81"/>
          <cell r="CK81" t="str">
            <v>BOLD</v>
          </cell>
          <cell r="CN81"/>
          <cell r="CO81" t="str">
            <v>BOLD</v>
          </cell>
          <cell r="CP81" t="str">
            <v>Mining - P&amp;P Reserves-Copper Ore Volume</v>
          </cell>
          <cell r="CQ81" t="str">
            <v>MINING_P&amp;P_RSRVS_COPPER_VOLUME</v>
          </cell>
          <cell r="CR81"/>
          <cell r="CS81" t="str">
            <v>BOLD</v>
          </cell>
          <cell r="CV81"/>
          <cell r="CW81" t="str">
            <v>BOLD</v>
          </cell>
          <cell r="CZ81"/>
          <cell r="DA81" t="str">
            <v>BOLD</v>
          </cell>
          <cell r="DD81"/>
          <cell r="DE81" t="str">
            <v>BOLD</v>
          </cell>
          <cell r="DH81"/>
          <cell r="DI81" t="str">
            <v>BOLD</v>
          </cell>
          <cell r="DL81"/>
          <cell r="DM81" t="str">
            <v>BOLD</v>
          </cell>
          <cell r="DP81"/>
          <cell r="DQ81" t="str">
            <v>BOLD</v>
          </cell>
          <cell r="DT81"/>
          <cell r="DU81" t="str">
            <v>BOLD</v>
          </cell>
          <cell r="DX81"/>
          <cell r="DY81" t="str">
            <v>BOLD</v>
          </cell>
          <cell r="EB81"/>
          <cell r="EC81" t="str">
            <v>BOLD</v>
          </cell>
          <cell r="EF81"/>
          <cell r="EG81" t="str">
            <v>BOLD</v>
          </cell>
          <cell r="EJ81"/>
          <cell r="EK81" t="str">
            <v>BOLD</v>
          </cell>
          <cell r="EN81"/>
          <cell r="EO81" t="str">
            <v>BOLD</v>
          </cell>
          <cell r="ER81"/>
          <cell r="ES81" t="str">
            <v>BOLD</v>
          </cell>
          <cell r="EV81"/>
          <cell r="EW81" t="str">
            <v>BOLD</v>
          </cell>
          <cell r="EZ81"/>
          <cell r="FA81" t="str">
            <v>BOLD</v>
          </cell>
          <cell r="FD81"/>
          <cell r="FE81" t="str">
            <v>BOLD</v>
          </cell>
          <cell r="FH81"/>
          <cell r="FI81" t="str">
            <v>BOLD</v>
          </cell>
          <cell r="FL81"/>
          <cell r="FM81" t="str">
            <v>BOLD</v>
          </cell>
          <cell r="FN81" t="str">
            <v>EBITDAR</v>
          </cell>
          <cell r="FO81" t="str">
            <v>AIRLINES_EBITDAR_RATIO</v>
          </cell>
          <cell r="FP81"/>
          <cell r="FQ81" t="str">
            <v>BOLD</v>
          </cell>
          <cell r="FT81"/>
          <cell r="FU81" t="str">
            <v>BOLD</v>
          </cell>
          <cell r="FX81"/>
          <cell r="FY81" t="str">
            <v>BOLD</v>
          </cell>
          <cell r="GB81"/>
          <cell r="GC81" t="str">
            <v>BOLD</v>
          </cell>
          <cell r="GF81"/>
          <cell r="GG81" t="str">
            <v>BOLD</v>
          </cell>
          <cell r="GJ81"/>
          <cell r="GK81" t="str">
            <v>BOLD</v>
          </cell>
          <cell r="GN81"/>
          <cell r="GO81" t="str">
            <v>BOLD</v>
          </cell>
          <cell r="GR81"/>
          <cell r="GS81" t="str">
            <v>BOLD</v>
          </cell>
          <cell r="GV81"/>
          <cell r="GW81" t="str">
            <v>BOLD</v>
          </cell>
          <cell r="GZ81"/>
          <cell r="HA81" t="str">
            <v>BOLD</v>
          </cell>
          <cell r="HD81"/>
          <cell r="HE81" t="str">
            <v>BOLD</v>
          </cell>
          <cell r="HH81"/>
          <cell r="HI81" t="str">
            <v>BOLD</v>
          </cell>
          <cell r="HL81"/>
          <cell r="HM81" t="str">
            <v>BOLD</v>
          </cell>
          <cell r="HP81"/>
          <cell r="HQ81" t="str">
            <v>BOLD</v>
          </cell>
          <cell r="HT81"/>
          <cell r="HU81" t="str">
            <v>BOLD</v>
          </cell>
          <cell r="HV81" t="str">
            <v xml:space="preserve">  Pre-Tax Pre-Provision Profit</v>
          </cell>
          <cell r="HW81" t="str">
            <v>PRETAX_PRE-PROVISION_PROFIT</v>
          </cell>
          <cell r="HX81"/>
          <cell r="HY81" t="str">
            <v>NO</v>
          </cell>
          <cell r="HZ81" t="str">
            <v>Net prem earned NL</v>
          </cell>
          <cell r="IA81" t="str">
            <v>NET_PREM_EARNED_NL</v>
          </cell>
          <cell r="IB81"/>
          <cell r="IC81" t="str">
            <v>BOLD</v>
          </cell>
          <cell r="IH81" t="str">
            <v>Dividend Payout Ratio</v>
          </cell>
          <cell r="II81" t="str">
            <v>DVD_PAYOUT_RATIO</v>
          </cell>
          <cell r="IJ81"/>
          <cell r="IK81" t="str">
            <v>BOLD</v>
          </cell>
          <cell r="IP81" t="str">
            <v>+ Residential</v>
          </cell>
          <cell r="IQ81" t="str">
            <v>IS_GAS_SALES_RES</v>
          </cell>
          <cell r="IR81"/>
          <cell r="IS81" t="str">
            <v>BOLD</v>
          </cell>
          <cell r="IX81" t="str">
            <v>Tangible Assets</v>
          </cell>
          <cell r="IY81" t="str">
            <v>TANGIBLE_ASSETS</v>
          </cell>
          <cell r="IZ81"/>
          <cell r="JA81" t="str">
            <v>BOLD</v>
          </cell>
          <cell r="JB81" t="str">
            <v>Net prem earned NL</v>
          </cell>
          <cell r="JC81" t="str">
            <v>NET_PREM_EARNED_NL</v>
          </cell>
          <cell r="JD81"/>
          <cell r="JE81" t="str">
            <v>BOLD</v>
          </cell>
        </row>
        <row r="82">
          <cell r="A82">
            <v>81</v>
          </cell>
          <cell r="D82"/>
          <cell r="E82" t="str">
            <v>BOLD</v>
          </cell>
          <cell r="F82" t="str">
            <v>Card Managed Total Expenses</v>
          </cell>
          <cell r="G82" t="str">
            <v>CARD_MANAGED_TOTAL_EXPENSES</v>
          </cell>
          <cell r="H82"/>
          <cell r="I82" t="str">
            <v>BOLD</v>
          </cell>
          <cell r="P82"/>
          <cell r="Q82" t="str">
            <v>BOLD</v>
          </cell>
          <cell r="T82"/>
          <cell r="U82" t="str">
            <v>BOLD</v>
          </cell>
          <cell r="X82"/>
          <cell r="Y82" t="str">
            <v>BOLD</v>
          </cell>
          <cell r="AB82"/>
          <cell r="AC82" t="str">
            <v>BOLD</v>
          </cell>
          <cell r="AF82"/>
          <cell r="AG82" t="str">
            <v>BOLD</v>
          </cell>
          <cell r="AJ82"/>
          <cell r="AK82" t="str">
            <v>BOLD</v>
          </cell>
          <cell r="AL82" t="str">
            <v>Contained Copper (Tons)</v>
          </cell>
          <cell r="AM82" t="str">
            <v>MINING_INFER_RES_CONTAIN_COPPER</v>
          </cell>
          <cell r="AN82"/>
          <cell r="AO82" t="str">
            <v>BOLD</v>
          </cell>
          <cell r="AR82"/>
          <cell r="AS82" t="str">
            <v>BOLD</v>
          </cell>
          <cell r="AV82"/>
          <cell r="AW82" t="str">
            <v>BOLD</v>
          </cell>
          <cell r="AZ82"/>
          <cell r="BA82" t="str">
            <v>BOLD</v>
          </cell>
          <cell r="BD82"/>
          <cell r="BE82" t="str">
            <v>BOLD</v>
          </cell>
          <cell r="BH82"/>
          <cell r="BI82" t="str">
            <v>BOLD</v>
          </cell>
          <cell r="BL82"/>
          <cell r="BM82" t="str">
            <v>BOLD</v>
          </cell>
          <cell r="BP82"/>
          <cell r="BQ82" t="str">
            <v>BOLD</v>
          </cell>
          <cell r="BT82"/>
          <cell r="BU82" t="str">
            <v>BOLD</v>
          </cell>
          <cell r="BV82" t="str">
            <v xml:space="preserve">  + Extensions &amp; Discoveries</v>
          </cell>
          <cell r="BW82" t="str">
            <v>GAS_EXTENS_DISCOV_AFRICA</v>
          </cell>
          <cell r="BX82"/>
          <cell r="BY82" t="str">
            <v>NO</v>
          </cell>
          <cell r="BZ82" t="str">
            <v xml:space="preserve">  + Production</v>
          </cell>
          <cell r="CA82" t="str">
            <v>OIL_PROD_AFRICA</v>
          </cell>
          <cell r="CB82"/>
          <cell r="CC82" t="str">
            <v>NO</v>
          </cell>
          <cell r="CD82" t="str">
            <v xml:space="preserve">  Reserves (Russia)</v>
          </cell>
          <cell r="CE82" t="str">
            <v>BOE_RESERVES_END_YR_RUSSIA</v>
          </cell>
          <cell r="CF82"/>
          <cell r="CG82" t="str">
            <v>NO</v>
          </cell>
          <cell r="CJ82"/>
          <cell r="CK82" t="str">
            <v>BOLD</v>
          </cell>
          <cell r="CN82"/>
          <cell r="CO82" t="str">
            <v>BOLD</v>
          </cell>
          <cell r="CP82" t="str">
            <v>Copper Reserves Implied Grade</v>
          </cell>
          <cell r="CQ82" t="str">
            <v>COPPER_RSRVS_IMPLIED_GRADE</v>
          </cell>
          <cell r="CR82"/>
          <cell r="CS82" t="str">
            <v>BOLD</v>
          </cell>
          <cell r="CV82"/>
          <cell r="CW82" t="str">
            <v>BOLD</v>
          </cell>
          <cell r="CZ82"/>
          <cell r="DA82" t="str">
            <v>BOLD</v>
          </cell>
          <cell r="DD82"/>
          <cell r="DE82" t="str">
            <v>BOLD</v>
          </cell>
          <cell r="DH82"/>
          <cell r="DI82" t="str">
            <v>BOLD</v>
          </cell>
          <cell r="DL82"/>
          <cell r="DM82" t="str">
            <v>BOLD</v>
          </cell>
          <cell r="DP82"/>
          <cell r="DQ82" t="str">
            <v>BOLD</v>
          </cell>
          <cell r="DT82"/>
          <cell r="DU82" t="str">
            <v>BOLD</v>
          </cell>
          <cell r="DX82"/>
          <cell r="DY82" t="str">
            <v>BOLD</v>
          </cell>
          <cell r="EB82"/>
          <cell r="EC82" t="str">
            <v>BOLD</v>
          </cell>
          <cell r="EF82"/>
          <cell r="EG82" t="str">
            <v>BOLD</v>
          </cell>
          <cell r="EJ82"/>
          <cell r="EK82" t="str">
            <v>BOLD</v>
          </cell>
          <cell r="EN82"/>
          <cell r="EO82" t="str">
            <v>BOLD</v>
          </cell>
          <cell r="ER82"/>
          <cell r="ES82" t="str">
            <v>BOLD</v>
          </cell>
          <cell r="EV82"/>
          <cell r="EW82" t="str">
            <v>BOLD</v>
          </cell>
          <cell r="EZ82"/>
          <cell r="FA82" t="str">
            <v>BOLD</v>
          </cell>
          <cell r="FD82"/>
          <cell r="FE82" t="str">
            <v>BOLD</v>
          </cell>
          <cell r="FF82" t="str">
            <v>Financial Margins</v>
          </cell>
          <cell r="FG82" t="str">
            <v>LABEL</v>
          </cell>
          <cell r="FH82"/>
          <cell r="FI82" t="str">
            <v>BOLD</v>
          </cell>
          <cell r="FL82"/>
          <cell r="FM82" t="str">
            <v>BOLD</v>
          </cell>
          <cell r="FN82" t="str">
            <v>EV to EBITDAR</v>
          </cell>
          <cell r="FO82" t="str">
            <v>EV_TO_EBITDAR</v>
          </cell>
          <cell r="FP82"/>
          <cell r="FQ82" t="str">
            <v>BOLD</v>
          </cell>
          <cell r="FT82"/>
          <cell r="FU82" t="str">
            <v>BOLD</v>
          </cell>
          <cell r="FX82"/>
          <cell r="FY82" t="str">
            <v>BOLD</v>
          </cell>
          <cell r="GB82"/>
          <cell r="GC82" t="str">
            <v>BOLD</v>
          </cell>
          <cell r="GF82"/>
          <cell r="GG82" t="str">
            <v>BOLD</v>
          </cell>
          <cell r="GJ82"/>
          <cell r="GK82" t="str">
            <v>BOLD</v>
          </cell>
          <cell r="GN82"/>
          <cell r="GO82" t="str">
            <v>BOLD</v>
          </cell>
          <cell r="GR82"/>
          <cell r="GS82" t="str">
            <v>BOLD</v>
          </cell>
          <cell r="GV82"/>
          <cell r="GW82" t="str">
            <v>BOLD</v>
          </cell>
          <cell r="GZ82"/>
          <cell r="HA82" t="str">
            <v>BOLD</v>
          </cell>
          <cell r="HD82"/>
          <cell r="HE82" t="str">
            <v>BOLD</v>
          </cell>
          <cell r="HH82"/>
          <cell r="HI82" t="str">
            <v>BOLD</v>
          </cell>
          <cell r="HL82"/>
          <cell r="HM82" t="str">
            <v>BOLD</v>
          </cell>
          <cell r="HP82"/>
          <cell r="HQ82" t="str">
            <v>BOLD</v>
          </cell>
          <cell r="HT82"/>
          <cell r="HU82" t="str">
            <v>BOLD</v>
          </cell>
          <cell r="HV82" t="str">
            <v>- Provision for Loan Losses</v>
          </cell>
          <cell r="HW82" t="str">
            <v>IS_PROV_FOR_LOAN_LOSS</v>
          </cell>
          <cell r="HX82"/>
          <cell r="HY82" t="str">
            <v>BOLD</v>
          </cell>
          <cell r="HZ82" t="str">
            <v>Net prem earned L</v>
          </cell>
          <cell r="IA82" t="str">
            <v>NET_PREM_EARN_FROM_LIFE_INS</v>
          </cell>
          <cell r="IB82"/>
          <cell r="IC82" t="str">
            <v>BOLD</v>
          </cell>
          <cell r="IH82" t="str">
            <v>Net Revenue Growth</v>
          </cell>
          <cell r="II82" t="str">
            <v>NET_REV_GROWTH</v>
          </cell>
          <cell r="IJ82"/>
          <cell r="IK82" t="str">
            <v>BOLD</v>
          </cell>
          <cell r="IP82" t="str">
            <v>+ Commercial</v>
          </cell>
          <cell r="IQ82" t="str">
            <v>IS_GAS_SALES_COMM</v>
          </cell>
          <cell r="IR82"/>
          <cell r="IS82" t="str">
            <v>BOLD</v>
          </cell>
          <cell r="IX82" t="str">
            <v>Tangible Common Equity Ratio</v>
          </cell>
          <cell r="IY82" t="str">
            <v>TCE_RATIO</v>
          </cell>
          <cell r="IZ82"/>
          <cell r="JA82" t="str">
            <v>BOLD</v>
          </cell>
          <cell r="JB82" t="str">
            <v>Net prem earned L</v>
          </cell>
          <cell r="JC82" t="str">
            <v>NET_PREM_EARN_FROM_LIFE_INS</v>
          </cell>
          <cell r="JD82"/>
          <cell r="JE82" t="str">
            <v>BOLD</v>
          </cell>
        </row>
        <row r="83">
          <cell r="A83">
            <v>82</v>
          </cell>
          <cell r="D83"/>
          <cell r="E83" t="str">
            <v>BOLD</v>
          </cell>
          <cell r="F83" t="str">
            <v>Card Managed Pre-tax Income</v>
          </cell>
          <cell r="G83" t="str">
            <v>CARD_MANAGED_PRE_TAX_INCOME</v>
          </cell>
          <cell r="H83"/>
          <cell r="I83" t="str">
            <v>BOLD</v>
          </cell>
          <cell r="P83"/>
          <cell r="Q83" t="str">
            <v>BOLD</v>
          </cell>
          <cell r="T83"/>
          <cell r="U83" t="str">
            <v>BOLD</v>
          </cell>
          <cell r="X83"/>
          <cell r="Y83" t="str">
            <v>BOLD</v>
          </cell>
          <cell r="AB83"/>
          <cell r="AC83" t="str">
            <v>BOLD</v>
          </cell>
          <cell r="AF83"/>
          <cell r="AG83" t="str">
            <v>BOLD</v>
          </cell>
          <cell r="AJ83"/>
          <cell r="AK83" t="str">
            <v>BOLD</v>
          </cell>
          <cell r="AL83" t="str">
            <v>Iron - Ore Volume (Tons)</v>
          </cell>
          <cell r="AM83" t="str">
            <v>MINING_INFERRED_RES_IRON_VOLUME</v>
          </cell>
          <cell r="AN83"/>
          <cell r="AO83" t="str">
            <v>BOLD</v>
          </cell>
          <cell r="AR83"/>
          <cell r="AS83" t="str">
            <v>BOLD</v>
          </cell>
          <cell r="AV83"/>
          <cell r="AW83" t="str">
            <v>BOLD</v>
          </cell>
          <cell r="AZ83"/>
          <cell r="BA83" t="str">
            <v>BOLD</v>
          </cell>
          <cell r="BD83"/>
          <cell r="BE83" t="str">
            <v>BOLD</v>
          </cell>
          <cell r="BH83"/>
          <cell r="BI83" t="str">
            <v>BOLD</v>
          </cell>
          <cell r="BL83"/>
          <cell r="BM83" t="str">
            <v>BOLD</v>
          </cell>
          <cell r="BP83"/>
          <cell r="BQ83" t="str">
            <v>BOLD</v>
          </cell>
          <cell r="BT83"/>
          <cell r="BU83" t="str">
            <v>BOLD</v>
          </cell>
          <cell r="BV83" t="str">
            <v xml:space="preserve">  + Purchases</v>
          </cell>
          <cell r="BW83" t="str">
            <v>GAS_PURCHASES_AFRICA</v>
          </cell>
          <cell r="BX83"/>
          <cell r="BY83" t="str">
            <v>NO</v>
          </cell>
          <cell r="BZ83" t="str">
            <v xml:space="preserve">  + Other</v>
          </cell>
          <cell r="CA83" t="str">
            <v>OIL_OTHER_CHANGES_AFRICA</v>
          </cell>
          <cell r="CB83"/>
          <cell r="CC83" t="str">
            <v>NO</v>
          </cell>
          <cell r="CF83"/>
          <cell r="CG83" t="str">
            <v>BOLD</v>
          </cell>
          <cell r="CJ83"/>
          <cell r="CK83" t="str">
            <v>BOLD</v>
          </cell>
          <cell r="CN83"/>
          <cell r="CO83" t="str">
            <v>BOLD</v>
          </cell>
          <cell r="CP83" t="str">
            <v>Mining - M&amp;I Resources Contained Copper</v>
          </cell>
          <cell r="CQ83" t="str">
            <v>MINING_M&amp;I_RES_CONTAINED_COPPER</v>
          </cell>
          <cell r="CR83"/>
          <cell r="CS83" t="str">
            <v>BOLD</v>
          </cell>
          <cell r="CV83"/>
          <cell r="CW83" t="str">
            <v>BOLD</v>
          </cell>
          <cell r="CZ83"/>
          <cell r="DA83" t="str">
            <v>BOLD</v>
          </cell>
          <cell r="DD83"/>
          <cell r="DE83" t="str">
            <v>BOLD</v>
          </cell>
          <cell r="DH83"/>
          <cell r="DI83" t="str">
            <v>BOLD</v>
          </cell>
          <cell r="DL83"/>
          <cell r="DM83" t="str">
            <v>BOLD</v>
          </cell>
          <cell r="DP83"/>
          <cell r="DQ83" t="str">
            <v>BOLD</v>
          </cell>
          <cell r="DT83"/>
          <cell r="DU83" t="str">
            <v>BOLD</v>
          </cell>
          <cell r="DX83"/>
          <cell r="DY83" t="str">
            <v>BOLD</v>
          </cell>
          <cell r="EB83"/>
          <cell r="EC83" t="str">
            <v>BOLD</v>
          </cell>
          <cell r="EF83"/>
          <cell r="EG83" t="str">
            <v>BOLD</v>
          </cell>
          <cell r="EJ83"/>
          <cell r="EK83" t="str">
            <v>BOLD</v>
          </cell>
          <cell r="EN83"/>
          <cell r="EO83" t="str">
            <v>BOLD</v>
          </cell>
          <cell r="ER83"/>
          <cell r="ES83" t="str">
            <v>BOLD</v>
          </cell>
          <cell r="EV83"/>
          <cell r="EW83" t="str">
            <v>BOLD</v>
          </cell>
          <cell r="EZ83"/>
          <cell r="FA83" t="str">
            <v>BOLD</v>
          </cell>
          <cell r="FD83"/>
          <cell r="FE83" t="str">
            <v>BOLD</v>
          </cell>
          <cell r="FF83" t="str">
            <v>Gross Margin</v>
          </cell>
          <cell r="FG83" t="str">
            <v>GROSS_MARGIN</v>
          </cell>
          <cell r="FH83"/>
          <cell r="FI83" t="str">
            <v>BOLD</v>
          </cell>
          <cell r="FL83"/>
          <cell r="FM83" t="str">
            <v>BOLD</v>
          </cell>
          <cell r="FP83"/>
          <cell r="FQ83" t="str">
            <v>BOLD</v>
          </cell>
          <cell r="FT83"/>
          <cell r="FU83" t="str">
            <v>BOLD</v>
          </cell>
          <cell r="FX83"/>
          <cell r="FY83" t="str">
            <v>BOLD</v>
          </cell>
          <cell r="GB83"/>
          <cell r="GC83" t="str">
            <v>BOLD</v>
          </cell>
          <cell r="GF83"/>
          <cell r="GG83" t="str">
            <v>BOLD</v>
          </cell>
          <cell r="GJ83"/>
          <cell r="GK83" t="str">
            <v>BOLD</v>
          </cell>
          <cell r="GN83"/>
          <cell r="GO83" t="str">
            <v>BOLD</v>
          </cell>
          <cell r="GR83"/>
          <cell r="GS83" t="str">
            <v>BOLD</v>
          </cell>
          <cell r="GV83"/>
          <cell r="GW83" t="str">
            <v>BOLD</v>
          </cell>
          <cell r="GZ83"/>
          <cell r="HA83" t="str">
            <v>BOLD</v>
          </cell>
          <cell r="HD83"/>
          <cell r="HE83" t="str">
            <v>BOLD</v>
          </cell>
          <cell r="HH83"/>
          <cell r="HI83" t="str">
            <v>BOLD</v>
          </cell>
          <cell r="HL83"/>
          <cell r="HM83" t="str">
            <v>BOLD</v>
          </cell>
          <cell r="HP83"/>
          <cell r="HQ83" t="str">
            <v>BOLD</v>
          </cell>
          <cell r="HT83"/>
          <cell r="HU83" t="str">
            <v>BOLD</v>
          </cell>
          <cell r="HV83" t="str">
            <v xml:space="preserve">  Operating Income</v>
          </cell>
          <cell r="HW83" t="str">
            <v>IS_OPER_INC</v>
          </cell>
          <cell r="HX83"/>
          <cell r="HY83" t="str">
            <v>NO</v>
          </cell>
          <cell r="HZ83" t="str">
            <v>Ins claim &amp; loss NL</v>
          </cell>
          <cell r="IA83" t="str">
            <v>IS_INS_CLAIM_AND_LOSS_NL</v>
          </cell>
          <cell r="IB83"/>
          <cell r="IC83" t="str">
            <v>BOLD</v>
          </cell>
          <cell r="IH83" t="str">
            <v>Number of Outlets and Branches</v>
          </cell>
          <cell r="II83" t="str">
            <v>NUM_OUTLETS_BRANCHES</v>
          </cell>
          <cell r="IJ83"/>
          <cell r="IK83" t="str">
            <v>BOLD</v>
          </cell>
          <cell r="IP83" t="str">
            <v>+ Industrial</v>
          </cell>
          <cell r="IQ83" t="str">
            <v>IS_GAS_SALES_INDUS</v>
          </cell>
          <cell r="IR83"/>
          <cell r="IS83" t="str">
            <v>BOLD</v>
          </cell>
          <cell r="IX83" t="str">
            <v>Tangible Book Value per Share</v>
          </cell>
          <cell r="IY83" t="str">
            <v>TANG_BOOK_VAL_PER_SH</v>
          </cell>
          <cell r="IZ83"/>
          <cell r="JA83" t="str">
            <v>BOLD</v>
          </cell>
          <cell r="JB83" t="str">
            <v>Ins claim &amp; loss NL</v>
          </cell>
          <cell r="JC83" t="str">
            <v>IS_INS_CLAIM_AND_LOSS_NL</v>
          </cell>
          <cell r="JD83"/>
          <cell r="JE83" t="str">
            <v>BOLD</v>
          </cell>
        </row>
        <row r="84">
          <cell r="A84">
            <v>83</v>
          </cell>
          <cell r="D84"/>
          <cell r="E84" t="str">
            <v>BOLD</v>
          </cell>
          <cell r="F84" t="str">
            <v>Card Net Income</v>
          </cell>
          <cell r="G84" t="str">
            <v>CARD_NET_INCOME</v>
          </cell>
          <cell r="H84"/>
          <cell r="I84" t="str">
            <v>BOLD</v>
          </cell>
          <cell r="P84"/>
          <cell r="Q84" t="str">
            <v>BOLD</v>
          </cell>
          <cell r="T84"/>
          <cell r="U84" t="str">
            <v>BOLD</v>
          </cell>
          <cell r="X84"/>
          <cell r="Y84" t="str">
            <v>BOLD</v>
          </cell>
          <cell r="AB84"/>
          <cell r="AC84" t="str">
            <v>BOLD</v>
          </cell>
          <cell r="AF84"/>
          <cell r="AG84" t="str">
            <v>BOLD</v>
          </cell>
          <cell r="AJ84"/>
          <cell r="AK84" t="str">
            <v>BOLD</v>
          </cell>
          <cell r="AL84" t="str">
            <v>Iron - Grade (%)</v>
          </cell>
          <cell r="AM84" t="str">
            <v>MINING_INFERRED_RES_IRON_GRADE</v>
          </cell>
          <cell r="AN84"/>
          <cell r="AO84" t="str">
            <v>BOLD</v>
          </cell>
          <cell r="AR84"/>
          <cell r="AS84" t="str">
            <v>BOLD</v>
          </cell>
          <cell r="AV84"/>
          <cell r="AW84" t="str">
            <v>BOLD</v>
          </cell>
          <cell r="AZ84"/>
          <cell r="BA84" t="str">
            <v>BOLD</v>
          </cell>
          <cell r="BD84"/>
          <cell r="BE84" t="str">
            <v>BOLD</v>
          </cell>
          <cell r="BH84"/>
          <cell r="BI84" t="str">
            <v>BOLD</v>
          </cell>
          <cell r="BL84"/>
          <cell r="BM84" t="str">
            <v>BOLD</v>
          </cell>
          <cell r="BP84"/>
          <cell r="BQ84" t="str">
            <v>BOLD</v>
          </cell>
          <cell r="BT84"/>
          <cell r="BU84" t="str">
            <v>BOLD</v>
          </cell>
          <cell r="BV84" t="str">
            <v xml:space="preserve">  + Sales</v>
          </cell>
          <cell r="BW84" t="str">
            <v>GAS_SALES_AFRICA</v>
          </cell>
          <cell r="BX84"/>
          <cell r="BY84" t="str">
            <v>NO</v>
          </cell>
          <cell r="BZ84" t="str">
            <v xml:space="preserve">  End of year</v>
          </cell>
          <cell r="CA84" t="str">
            <v>OIL_RESERVES_END_YEAR_AFRICA</v>
          </cell>
          <cell r="CB84"/>
          <cell r="CC84" t="str">
            <v>NO</v>
          </cell>
          <cell r="CD84" t="str">
            <v>Africa</v>
          </cell>
          <cell r="CE84" t="str">
            <v>LABEL</v>
          </cell>
          <cell r="CF84"/>
          <cell r="CG84" t="str">
            <v>BOLD</v>
          </cell>
          <cell r="CJ84"/>
          <cell r="CK84" t="str">
            <v>BOLD</v>
          </cell>
          <cell r="CN84"/>
          <cell r="CO84" t="str">
            <v>BOLD</v>
          </cell>
          <cell r="CP84" t="str">
            <v>Mining - Inferred Resources Contained Copper</v>
          </cell>
          <cell r="CQ84" t="str">
            <v>MINING_INFER_RES_CONTAIN_COPPER</v>
          </cell>
          <cell r="CR84"/>
          <cell r="CS84" t="str">
            <v>BOLD</v>
          </cell>
          <cell r="CV84"/>
          <cell r="CW84" t="str">
            <v>BOLD</v>
          </cell>
          <cell r="CZ84"/>
          <cell r="DA84" t="str">
            <v>BOLD</v>
          </cell>
          <cell r="DD84"/>
          <cell r="DE84" t="str">
            <v>BOLD</v>
          </cell>
          <cell r="DH84"/>
          <cell r="DI84" t="str">
            <v>BOLD</v>
          </cell>
          <cell r="DL84"/>
          <cell r="DM84" t="str">
            <v>BOLD</v>
          </cell>
          <cell r="DP84"/>
          <cell r="DQ84" t="str">
            <v>BOLD</v>
          </cell>
          <cell r="DT84"/>
          <cell r="DU84" t="str">
            <v>BOLD</v>
          </cell>
          <cell r="DX84"/>
          <cell r="DY84" t="str">
            <v>BOLD</v>
          </cell>
          <cell r="EB84"/>
          <cell r="EC84" t="str">
            <v>BOLD</v>
          </cell>
          <cell r="EF84"/>
          <cell r="EG84" t="str">
            <v>BOLD</v>
          </cell>
          <cell r="EJ84"/>
          <cell r="EK84" t="str">
            <v>BOLD</v>
          </cell>
          <cell r="EN84"/>
          <cell r="EO84" t="str">
            <v>BOLD</v>
          </cell>
          <cell r="ER84"/>
          <cell r="ES84" t="str">
            <v>BOLD</v>
          </cell>
          <cell r="EV84"/>
          <cell r="EW84" t="str">
            <v>BOLD</v>
          </cell>
          <cell r="EZ84"/>
          <cell r="FA84" t="str">
            <v>BOLD</v>
          </cell>
          <cell r="FD84"/>
          <cell r="FE84" t="str">
            <v>BOLD</v>
          </cell>
          <cell r="FF84" t="str">
            <v>EBITDA Margin</v>
          </cell>
          <cell r="FG84" t="str">
            <v>EBITDA_TO_REVENUE</v>
          </cell>
          <cell r="FH84"/>
          <cell r="FI84" t="str">
            <v>BOLD</v>
          </cell>
          <cell r="FL84"/>
          <cell r="FM84" t="str">
            <v>BOLD</v>
          </cell>
          <cell r="FN84" t="str">
            <v>Avg Passenger Fare</v>
          </cell>
          <cell r="FO84" t="str">
            <v>AVERAGE_PASSENGER_FARE</v>
          </cell>
          <cell r="FP84"/>
          <cell r="FQ84" t="str">
            <v>BOLD</v>
          </cell>
          <cell r="FT84"/>
          <cell r="FU84" t="str">
            <v>BOLD</v>
          </cell>
          <cell r="FX84"/>
          <cell r="FY84" t="str">
            <v>BOLD</v>
          </cell>
          <cell r="GB84"/>
          <cell r="GC84" t="str">
            <v>BOLD</v>
          </cell>
          <cell r="GF84"/>
          <cell r="GG84" t="str">
            <v>BOLD</v>
          </cell>
          <cell r="GJ84"/>
          <cell r="GK84" t="str">
            <v>BOLD</v>
          </cell>
          <cell r="GN84"/>
          <cell r="GO84" t="str">
            <v>BOLD</v>
          </cell>
          <cell r="GR84"/>
          <cell r="GS84" t="str">
            <v>BOLD</v>
          </cell>
          <cell r="GV84"/>
          <cell r="GW84" t="str">
            <v>BOLD</v>
          </cell>
          <cell r="GZ84"/>
          <cell r="HA84" t="str">
            <v>BOLD</v>
          </cell>
          <cell r="HD84"/>
          <cell r="HE84" t="str">
            <v>BOLD</v>
          </cell>
          <cell r="HH84"/>
          <cell r="HI84" t="str">
            <v>BOLD</v>
          </cell>
          <cell r="HL84"/>
          <cell r="HM84" t="str">
            <v>BOLD</v>
          </cell>
          <cell r="HP84"/>
          <cell r="HQ84" t="str">
            <v>BOLD</v>
          </cell>
          <cell r="HT84"/>
          <cell r="HU84" t="str">
            <v>BOLD</v>
          </cell>
          <cell r="HV84" t="str">
            <v>- Net Non-Operating Losses (Gains)</v>
          </cell>
          <cell r="HW84" t="str">
            <v>IS_NET_NON_OPER_LOSS</v>
          </cell>
          <cell r="HX84"/>
          <cell r="HY84" t="str">
            <v>BOLD</v>
          </cell>
          <cell r="HZ84" t="str">
            <v>Ins claim &amp;loss life</v>
          </cell>
          <cell r="IA84" t="str">
            <v>IS_INS_CLAIM_AND_LOSS_L</v>
          </cell>
          <cell r="IB84"/>
          <cell r="IC84" t="str">
            <v>BOLD</v>
          </cell>
          <cell r="IJ84"/>
          <cell r="IK84" t="str">
            <v>BOLD</v>
          </cell>
          <cell r="IP84" t="str">
            <v>+ Interruptible</v>
          </cell>
          <cell r="IQ84" t="str">
            <v>IS_GAS_SALES_INTERRUPT</v>
          </cell>
          <cell r="IR84"/>
          <cell r="IS84" t="str">
            <v>BOLD</v>
          </cell>
          <cell r="IZ84"/>
          <cell r="JA84" t="str">
            <v>BOLD</v>
          </cell>
          <cell r="JB84" t="str">
            <v>Ins claim &amp;loss life</v>
          </cell>
          <cell r="JC84" t="str">
            <v>IS_INS_CLAIM_AND_LOSS_L</v>
          </cell>
          <cell r="JD84"/>
          <cell r="JE84" t="str">
            <v>BOLD</v>
          </cell>
        </row>
        <row r="85">
          <cell r="A85">
            <v>84</v>
          </cell>
          <cell r="D85"/>
          <cell r="E85" t="str">
            <v>BOLD</v>
          </cell>
          <cell r="F85" t="str">
            <v>Net Interest Margin - Mgd Basis</v>
          </cell>
          <cell r="G85" t="str">
            <v>NET_INT_MARGIN_MANAGED_BASIS</v>
          </cell>
          <cell r="H85"/>
          <cell r="I85" t="str">
            <v>BOLD</v>
          </cell>
          <cell r="P85"/>
          <cell r="Q85" t="str">
            <v>BOLD</v>
          </cell>
          <cell r="T85"/>
          <cell r="U85" t="str">
            <v>BOLD</v>
          </cell>
          <cell r="X85"/>
          <cell r="Y85" t="str">
            <v>BOLD</v>
          </cell>
          <cell r="AB85"/>
          <cell r="AC85" t="str">
            <v>BOLD</v>
          </cell>
          <cell r="AF85"/>
          <cell r="AG85" t="str">
            <v>BOLD</v>
          </cell>
          <cell r="AJ85"/>
          <cell r="AK85" t="str">
            <v>BOLD</v>
          </cell>
          <cell r="AL85" t="str">
            <v>Lead - Ore Volume (Tons)</v>
          </cell>
          <cell r="AM85" t="str">
            <v>MINING_INFERRED_RES_LEAD_VOLUME</v>
          </cell>
          <cell r="AN85"/>
          <cell r="AO85" t="str">
            <v>BOLD</v>
          </cell>
          <cell r="AR85"/>
          <cell r="AS85" t="str">
            <v>BOLD</v>
          </cell>
          <cell r="AV85"/>
          <cell r="AW85" t="str">
            <v>BOLD</v>
          </cell>
          <cell r="AZ85"/>
          <cell r="BA85" t="str">
            <v>BOLD</v>
          </cell>
          <cell r="BD85"/>
          <cell r="BE85" t="str">
            <v>BOLD</v>
          </cell>
          <cell r="BH85"/>
          <cell r="BI85" t="str">
            <v>BOLD</v>
          </cell>
          <cell r="BL85"/>
          <cell r="BM85" t="str">
            <v>BOLD</v>
          </cell>
          <cell r="BP85"/>
          <cell r="BQ85" t="str">
            <v>BOLD</v>
          </cell>
          <cell r="BT85"/>
          <cell r="BU85" t="str">
            <v>BOLD</v>
          </cell>
          <cell r="BV85" t="str">
            <v xml:space="preserve">  + Production</v>
          </cell>
          <cell r="BW85" t="str">
            <v>GAS_PRODUCTION_AFRICA</v>
          </cell>
          <cell r="BX85"/>
          <cell r="BY85" t="str">
            <v>NO</v>
          </cell>
          <cell r="BZ85" t="str">
            <v xml:space="preserve">  Developed Reserves</v>
          </cell>
          <cell r="CA85" t="str">
            <v>OIL_DEVELOPED_RESERVES_AFRICA</v>
          </cell>
          <cell r="CB85"/>
          <cell r="CC85" t="str">
            <v>NO</v>
          </cell>
          <cell r="CD85" t="str">
            <v xml:space="preserve">  Start of Year</v>
          </cell>
          <cell r="CE85" t="str">
            <v>BOE_START_YEAR_AFRICA</v>
          </cell>
          <cell r="CF85"/>
          <cell r="CG85" t="str">
            <v>NO</v>
          </cell>
          <cell r="CJ85"/>
          <cell r="CK85" t="str">
            <v>BOLD</v>
          </cell>
          <cell r="CN85"/>
          <cell r="CO85" t="str">
            <v>BOLD</v>
          </cell>
          <cell r="CP85" t="str">
            <v>Mining - P&amp;P Reserves Bauxite Ore Volume</v>
          </cell>
          <cell r="CQ85" t="str">
            <v>MINING_P&amp;P_RSRVS_BAUXITE_VOLUME</v>
          </cell>
          <cell r="CR85"/>
          <cell r="CS85" t="str">
            <v>BOLD</v>
          </cell>
          <cell r="CV85"/>
          <cell r="CW85" t="str">
            <v>BOLD</v>
          </cell>
          <cell r="CZ85"/>
          <cell r="DA85" t="str">
            <v>BOLD</v>
          </cell>
          <cell r="DD85"/>
          <cell r="DE85" t="str">
            <v>BOLD</v>
          </cell>
          <cell r="DH85"/>
          <cell r="DI85" t="str">
            <v>BOLD</v>
          </cell>
          <cell r="DL85"/>
          <cell r="DM85" t="str">
            <v>BOLD</v>
          </cell>
          <cell r="DP85"/>
          <cell r="DQ85" t="str">
            <v>BOLD</v>
          </cell>
          <cell r="DT85"/>
          <cell r="DU85" t="str">
            <v>BOLD</v>
          </cell>
          <cell r="DX85"/>
          <cell r="DY85" t="str">
            <v>BOLD</v>
          </cell>
          <cell r="EB85"/>
          <cell r="EC85" t="str">
            <v>BOLD</v>
          </cell>
          <cell r="EF85"/>
          <cell r="EG85" t="str">
            <v>BOLD</v>
          </cell>
          <cell r="EJ85"/>
          <cell r="EK85" t="str">
            <v>BOLD</v>
          </cell>
          <cell r="EN85"/>
          <cell r="EO85" t="str">
            <v>BOLD</v>
          </cell>
          <cell r="ER85"/>
          <cell r="ES85" t="str">
            <v>BOLD</v>
          </cell>
          <cell r="EV85"/>
          <cell r="EW85" t="str">
            <v>BOLD</v>
          </cell>
          <cell r="EZ85"/>
          <cell r="FA85" t="str">
            <v>BOLD</v>
          </cell>
          <cell r="FD85"/>
          <cell r="FE85" t="str">
            <v>BOLD</v>
          </cell>
          <cell r="FF85" t="str">
            <v>Operating Margin</v>
          </cell>
          <cell r="FG85" t="str">
            <v>OPER_MARGIN</v>
          </cell>
          <cell r="FH85"/>
          <cell r="FI85" t="str">
            <v>BOLD</v>
          </cell>
          <cell r="FL85"/>
          <cell r="FM85" t="str">
            <v>BOLD</v>
          </cell>
          <cell r="FN85" t="str">
            <v>Wages, Salaries, &amp; Benefits</v>
          </cell>
          <cell r="FO85" t="str">
            <v>WAGES_SALARIES_BENEFITS</v>
          </cell>
          <cell r="FP85"/>
          <cell r="FQ85" t="str">
            <v>BOLD</v>
          </cell>
          <cell r="FT85"/>
          <cell r="FU85" t="str">
            <v>BOLD</v>
          </cell>
          <cell r="FX85"/>
          <cell r="FY85" t="str">
            <v>BOLD</v>
          </cell>
          <cell r="GB85"/>
          <cell r="GC85" t="str">
            <v>BOLD</v>
          </cell>
          <cell r="GF85"/>
          <cell r="GG85" t="str">
            <v>BOLD</v>
          </cell>
          <cell r="GJ85"/>
          <cell r="GK85" t="str">
            <v>BOLD</v>
          </cell>
          <cell r="GN85"/>
          <cell r="GO85" t="str">
            <v>BOLD</v>
          </cell>
          <cell r="GR85"/>
          <cell r="GS85" t="str">
            <v>BOLD</v>
          </cell>
          <cell r="GV85"/>
          <cell r="GW85" t="str">
            <v>BOLD</v>
          </cell>
          <cell r="GZ85"/>
          <cell r="HA85" t="str">
            <v>BOLD</v>
          </cell>
          <cell r="HD85"/>
          <cell r="HE85" t="str">
            <v>BOLD</v>
          </cell>
          <cell r="HH85"/>
          <cell r="HI85" t="str">
            <v>BOLD</v>
          </cell>
          <cell r="HL85"/>
          <cell r="HM85" t="str">
            <v>BOLD</v>
          </cell>
          <cell r="HP85"/>
          <cell r="HQ85" t="str">
            <v>BOLD</v>
          </cell>
          <cell r="HT85"/>
          <cell r="HU85" t="str">
            <v>BOLD</v>
          </cell>
          <cell r="HV85" t="str">
            <v xml:space="preserve">  Pretax Income</v>
          </cell>
          <cell r="HW85" t="str">
            <v>PRETAX_INC</v>
          </cell>
          <cell r="HX85"/>
          <cell r="HY85" t="str">
            <v>NO</v>
          </cell>
          <cell r="HZ85" t="str">
            <v>Underwr &amp; pol acq NL</v>
          </cell>
          <cell r="IA85" t="str">
            <v>IS_UNDW_AND_PLCY_ACQ_COST_NL</v>
          </cell>
          <cell r="IB85"/>
          <cell r="IC85" t="str">
            <v>BOLD</v>
          </cell>
          <cell r="IH85" t="str">
            <v>Level 1 Assets/Total Assets</v>
          </cell>
          <cell r="II85" t="str">
            <v>LABEL</v>
          </cell>
          <cell r="IJ85"/>
          <cell r="IK85" t="str">
            <v>BOLD</v>
          </cell>
          <cell r="IP85" t="str">
            <v>+ Transport &amp; Other</v>
          </cell>
          <cell r="IQ85" t="str">
            <v>IS_GAS_SALES_TRANS_OTHER</v>
          </cell>
          <cell r="IR85"/>
          <cell r="IS85" t="str">
            <v>BOLD</v>
          </cell>
          <cell r="IX85" t="str">
            <v>Growth Analysis</v>
          </cell>
          <cell r="IY85" t="str">
            <v>LABEL</v>
          </cell>
          <cell r="IZ85"/>
          <cell r="JA85" t="str">
            <v>BOLD</v>
          </cell>
          <cell r="JB85" t="str">
            <v>Underwr &amp; pol acq NL</v>
          </cell>
          <cell r="JC85" t="str">
            <v>IS_UNDW_AND_PLCY_ACQ_COST_NL</v>
          </cell>
          <cell r="JD85"/>
          <cell r="JE85" t="str">
            <v>BOLD</v>
          </cell>
        </row>
        <row r="86">
          <cell r="A86">
            <v>85</v>
          </cell>
          <cell r="D86"/>
          <cell r="E86" t="str">
            <v>BOLD</v>
          </cell>
          <cell r="F86" t="str">
            <v>Card Net Interest Margin</v>
          </cell>
          <cell r="G86" t="str">
            <v>CARD_NET_INTEREST_MARGIN</v>
          </cell>
          <cell r="H86"/>
          <cell r="I86" t="str">
            <v>BOLD</v>
          </cell>
          <cell r="P86"/>
          <cell r="Q86" t="str">
            <v>BOLD</v>
          </cell>
          <cell r="T86"/>
          <cell r="U86" t="str">
            <v>BOLD</v>
          </cell>
          <cell r="X86"/>
          <cell r="Y86" t="str">
            <v>BOLD</v>
          </cell>
          <cell r="AB86"/>
          <cell r="AC86" t="str">
            <v>BOLD</v>
          </cell>
          <cell r="AF86"/>
          <cell r="AG86" t="str">
            <v>BOLD</v>
          </cell>
          <cell r="AJ86"/>
          <cell r="AK86" t="str">
            <v>BOLD</v>
          </cell>
          <cell r="AL86" t="str">
            <v>Lead - Grade (%)</v>
          </cell>
          <cell r="AM86" t="str">
            <v>MINING_INFERRED_RES_LEAD_GRADE</v>
          </cell>
          <cell r="AN86"/>
          <cell r="AO86" t="str">
            <v>BOLD</v>
          </cell>
          <cell r="AR86"/>
          <cell r="AS86" t="str">
            <v>BOLD</v>
          </cell>
          <cell r="AV86"/>
          <cell r="AW86" t="str">
            <v>BOLD</v>
          </cell>
          <cell r="AZ86"/>
          <cell r="BA86" t="str">
            <v>BOLD</v>
          </cell>
          <cell r="BD86"/>
          <cell r="BE86" t="str">
            <v>BOLD</v>
          </cell>
          <cell r="BH86"/>
          <cell r="BI86" t="str">
            <v>BOLD</v>
          </cell>
          <cell r="BL86"/>
          <cell r="BM86" t="str">
            <v>BOLD</v>
          </cell>
          <cell r="BP86"/>
          <cell r="BQ86" t="str">
            <v>BOLD</v>
          </cell>
          <cell r="BT86"/>
          <cell r="BU86" t="str">
            <v>BOLD</v>
          </cell>
          <cell r="BV86" t="str">
            <v xml:space="preserve">  + Other</v>
          </cell>
          <cell r="BW86" t="str">
            <v>GAS_OTHER_CHG_AFRICA</v>
          </cell>
          <cell r="BX86"/>
          <cell r="BY86" t="str">
            <v>NO</v>
          </cell>
          <cell r="CB86"/>
          <cell r="CC86" t="str">
            <v>BOLD</v>
          </cell>
          <cell r="CD86" t="str">
            <v xml:space="preserve">  + Revisions</v>
          </cell>
          <cell r="CE86" t="str">
            <v>BOE_REVISIONS_AFRICA</v>
          </cell>
          <cell r="CF86"/>
          <cell r="CG86" t="str">
            <v>NO</v>
          </cell>
          <cell r="CJ86"/>
          <cell r="CK86" t="str">
            <v>BOLD</v>
          </cell>
          <cell r="CN86"/>
          <cell r="CO86" t="str">
            <v>BOLD</v>
          </cell>
          <cell r="CP86" t="str">
            <v>Mining - P&amp;P Reserves Contained Nickel</v>
          </cell>
          <cell r="CQ86" t="str">
            <v>MINING_P&amp;P_RSRV_CONTAINED_NICKEL</v>
          </cell>
          <cell r="CR86"/>
          <cell r="CS86" t="str">
            <v>BOLD</v>
          </cell>
          <cell r="CV86"/>
          <cell r="CW86" t="str">
            <v>BOLD</v>
          </cell>
          <cell r="CZ86"/>
          <cell r="DA86" t="str">
            <v>BOLD</v>
          </cell>
          <cell r="DD86"/>
          <cell r="DE86" t="str">
            <v>BOLD</v>
          </cell>
          <cell r="DH86"/>
          <cell r="DI86" t="str">
            <v>BOLD</v>
          </cell>
          <cell r="DL86"/>
          <cell r="DM86" t="str">
            <v>BOLD</v>
          </cell>
          <cell r="DP86"/>
          <cell r="DQ86" t="str">
            <v>BOLD</v>
          </cell>
          <cell r="DT86"/>
          <cell r="DU86" t="str">
            <v>BOLD</v>
          </cell>
          <cell r="DX86"/>
          <cell r="DY86" t="str">
            <v>BOLD</v>
          </cell>
          <cell r="EB86"/>
          <cell r="EC86" t="str">
            <v>BOLD</v>
          </cell>
          <cell r="EF86"/>
          <cell r="EG86" t="str">
            <v>BOLD</v>
          </cell>
          <cell r="EJ86"/>
          <cell r="EK86" t="str">
            <v>BOLD</v>
          </cell>
          <cell r="EN86"/>
          <cell r="EO86" t="str">
            <v>BOLD</v>
          </cell>
          <cell r="ER86"/>
          <cell r="ES86" t="str">
            <v>BOLD</v>
          </cell>
          <cell r="EV86"/>
          <cell r="EW86" t="str">
            <v>BOLD</v>
          </cell>
          <cell r="EZ86"/>
          <cell r="FA86" t="str">
            <v>BOLD</v>
          </cell>
          <cell r="FD86"/>
          <cell r="FE86" t="str">
            <v>BOLD</v>
          </cell>
          <cell r="FH86"/>
          <cell r="FI86" t="str">
            <v>BOLD</v>
          </cell>
          <cell r="FL86"/>
          <cell r="FM86" t="str">
            <v>BOLD</v>
          </cell>
          <cell r="FN86" t="str">
            <v>Maint, Materials &amp; Repairs</v>
          </cell>
          <cell r="FO86" t="str">
            <v>MAINTENANCE_MATERIALS_REPAIRS</v>
          </cell>
          <cell r="FP86"/>
          <cell r="FQ86" t="str">
            <v>BOLD</v>
          </cell>
          <cell r="FT86"/>
          <cell r="FU86" t="str">
            <v>BOLD</v>
          </cell>
          <cell r="FX86"/>
          <cell r="FY86" t="str">
            <v>BOLD</v>
          </cell>
          <cell r="GB86"/>
          <cell r="GC86" t="str">
            <v>BOLD</v>
          </cell>
          <cell r="GF86"/>
          <cell r="GG86" t="str">
            <v>BOLD</v>
          </cell>
          <cell r="GJ86"/>
          <cell r="GK86" t="str">
            <v>BOLD</v>
          </cell>
          <cell r="GN86"/>
          <cell r="GO86" t="str">
            <v>BOLD</v>
          </cell>
          <cell r="GR86"/>
          <cell r="GS86" t="str">
            <v>BOLD</v>
          </cell>
          <cell r="GV86"/>
          <cell r="GW86" t="str">
            <v>BOLD</v>
          </cell>
          <cell r="GZ86"/>
          <cell r="HA86" t="str">
            <v>BOLD</v>
          </cell>
          <cell r="HD86"/>
          <cell r="HE86" t="str">
            <v>BOLD</v>
          </cell>
          <cell r="HH86"/>
          <cell r="HI86" t="str">
            <v>BOLD</v>
          </cell>
          <cell r="HL86"/>
          <cell r="HM86" t="str">
            <v>BOLD</v>
          </cell>
          <cell r="HP86"/>
          <cell r="HQ86" t="str">
            <v>BOLD</v>
          </cell>
          <cell r="HT86"/>
          <cell r="HU86" t="str">
            <v>BOLD</v>
          </cell>
          <cell r="HV86" t="str">
            <v>- Income Tax Expenses</v>
          </cell>
          <cell r="HW86" t="str">
            <v>IS_INC_TAX_EXP</v>
          </cell>
          <cell r="HX86"/>
          <cell r="HY86" t="str">
            <v>BOLD</v>
          </cell>
          <cell r="HZ86" t="str">
            <v>Underwr &amp; pol acq L</v>
          </cell>
          <cell r="IA86" t="str">
            <v>IS_UNDW_AND_PLCY_ACQ_COST_L</v>
          </cell>
          <cell r="IB86"/>
          <cell r="IC86" t="str">
            <v>BOLD</v>
          </cell>
          <cell r="IH86" t="str">
            <v>Fair Value Assets Recurring - Level 1</v>
          </cell>
          <cell r="II86" t="str">
            <v>BS_FV_ASSETS_REC_LEVEL_1</v>
          </cell>
          <cell r="IJ86"/>
          <cell r="IK86" t="str">
            <v>BOLD</v>
          </cell>
          <cell r="IP86" t="str">
            <v>+ Total Gas Volumes (MM Therms)</v>
          </cell>
          <cell r="IQ86" t="str">
            <v>TOTAL_GAS_VOLUMES</v>
          </cell>
          <cell r="IR86"/>
          <cell r="IS86" t="str">
            <v>BOLD</v>
          </cell>
          <cell r="IX86" t="str">
            <v>Loan Growth</v>
          </cell>
          <cell r="IY86" t="str">
            <v>GROWTH_IN_TOT_LOAN</v>
          </cell>
          <cell r="IZ86"/>
          <cell r="JA86" t="str">
            <v>BOLD</v>
          </cell>
          <cell r="JB86" t="str">
            <v>Underwr &amp; pol acq L</v>
          </cell>
          <cell r="JC86" t="str">
            <v>IS_UNDW_AND_PLCY_ACQ_COST_L</v>
          </cell>
          <cell r="JD86"/>
          <cell r="JE86" t="str">
            <v>BOLD</v>
          </cell>
        </row>
        <row r="87">
          <cell r="A87">
            <v>86</v>
          </cell>
          <cell r="D87"/>
          <cell r="E87" t="str">
            <v>BOLD</v>
          </cell>
          <cell r="F87" t="str">
            <v>Pre-tax Margin - Mgd Basis</v>
          </cell>
          <cell r="G87" t="str">
            <v>PRE_TAX_MARGIN_MANAGED_BASIS</v>
          </cell>
          <cell r="H87"/>
          <cell r="I87" t="str">
            <v>BOLD</v>
          </cell>
          <cell r="P87"/>
          <cell r="Q87" t="str">
            <v>BOLD</v>
          </cell>
          <cell r="T87"/>
          <cell r="U87" t="str">
            <v>BOLD</v>
          </cell>
          <cell r="X87"/>
          <cell r="Y87" t="str">
            <v>BOLD</v>
          </cell>
          <cell r="AB87"/>
          <cell r="AC87" t="str">
            <v>BOLD</v>
          </cell>
          <cell r="AF87"/>
          <cell r="AG87" t="str">
            <v>BOLD</v>
          </cell>
          <cell r="AJ87"/>
          <cell r="AK87" t="str">
            <v>BOLD</v>
          </cell>
          <cell r="AL87" t="str">
            <v>Contained Lead (Tons)</v>
          </cell>
          <cell r="AM87" t="str">
            <v>MINING_INFER_RES_CONTAINED_LEAD</v>
          </cell>
          <cell r="AN87"/>
          <cell r="AO87" t="str">
            <v>BOLD</v>
          </cell>
          <cell r="AR87"/>
          <cell r="AS87" t="str">
            <v>BOLD</v>
          </cell>
          <cell r="AV87"/>
          <cell r="AW87" t="str">
            <v>BOLD</v>
          </cell>
          <cell r="AZ87"/>
          <cell r="BA87" t="str">
            <v>BOLD</v>
          </cell>
          <cell r="BD87"/>
          <cell r="BE87" t="str">
            <v>BOLD</v>
          </cell>
          <cell r="BH87"/>
          <cell r="BI87" t="str">
            <v>BOLD</v>
          </cell>
          <cell r="BL87"/>
          <cell r="BM87" t="str">
            <v>BOLD</v>
          </cell>
          <cell r="BP87"/>
          <cell r="BQ87" t="str">
            <v>BOLD</v>
          </cell>
          <cell r="BT87"/>
          <cell r="BU87" t="str">
            <v>BOLD</v>
          </cell>
          <cell r="BV87" t="str">
            <v xml:space="preserve">  End of year</v>
          </cell>
          <cell r="BW87" t="str">
            <v>GAS_END_YEAR_AFRICA</v>
          </cell>
          <cell r="BX87"/>
          <cell r="BY87" t="str">
            <v>NO</v>
          </cell>
          <cell r="BZ87" t="str">
            <v>Mideast</v>
          </cell>
          <cell r="CA87" t="str">
            <v>LABEL</v>
          </cell>
          <cell r="CB87"/>
          <cell r="CC87" t="str">
            <v>BOLD</v>
          </cell>
          <cell r="CD87" t="str">
            <v xml:space="preserve">  + Improved Recovery</v>
          </cell>
          <cell r="CE87" t="str">
            <v>BOE_IMPROV_REC_AFRICA</v>
          </cell>
          <cell r="CF87"/>
          <cell r="CG87" t="str">
            <v>NO</v>
          </cell>
          <cell r="CJ87"/>
          <cell r="CK87" t="str">
            <v>BOLD</v>
          </cell>
          <cell r="CN87"/>
          <cell r="CO87" t="str">
            <v>BOLD</v>
          </cell>
          <cell r="CP87" t="str">
            <v>Mining - M&amp;I Resources Contained Nickel</v>
          </cell>
          <cell r="CQ87" t="str">
            <v>MINING_M&amp;I_RES_CONTAINED_NICKEL</v>
          </cell>
          <cell r="CR87"/>
          <cell r="CS87" t="str">
            <v>BOLD</v>
          </cell>
          <cell r="CV87"/>
          <cell r="CW87" t="str">
            <v>BOLD</v>
          </cell>
          <cell r="CZ87"/>
          <cell r="DA87" t="str">
            <v>BOLD</v>
          </cell>
          <cell r="DD87"/>
          <cell r="DE87" t="str">
            <v>BOLD</v>
          </cell>
          <cell r="DH87"/>
          <cell r="DI87" t="str">
            <v>BOLD</v>
          </cell>
          <cell r="DL87"/>
          <cell r="DM87" t="str">
            <v>BOLD</v>
          </cell>
          <cell r="DP87"/>
          <cell r="DQ87" t="str">
            <v>BOLD</v>
          </cell>
          <cell r="DT87"/>
          <cell r="DU87" t="str">
            <v>BOLD</v>
          </cell>
          <cell r="DX87"/>
          <cell r="DY87" t="str">
            <v>BOLD</v>
          </cell>
          <cell r="EB87"/>
          <cell r="EC87" t="str">
            <v>BOLD</v>
          </cell>
          <cell r="EF87"/>
          <cell r="EG87" t="str">
            <v>BOLD</v>
          </cell>
          <cell r="EJ87"/>
          <cell r="EK87" t="str">
            <v>BOLD</v>
          </cell>
          <cell r="EN87"/>
          <cell r="EO87" t="str">
            <v>BOLD</v>
          </cell>
          <cell r="ER87"/>
          <cell r="ES87" t="str">
            <v>BOLD</v>
          </cell>
          <cell r="EV87"/>
          <cell r="EW87" t="str">
            <v>BOLD</v>
          </cell>
          <cell r="EZ87"/>
          <cell r="FA87" t="str">
            <v>BOLD</v>
          </cell>
          <cell r="FD87"/>
          <cell r="FE87" t="str">
            <v>BOLD</v>
          </cell>
          <cell r="FF87" t="str">
            <v>Aggregate</v>
          </cell>
          <cell r="FG87" t="str">
            <v>LABEL</v>
          </cell>
          <cell r="FH87"/>
          <cell r="FI87" t="str">
            <v>BOLD</v>
          </cell>
          <cell r="FL87"/>
          <cell r="FM87" t="str">
            <v>BOLD</v>
          </cell>
          <cell r="FN87" t="str">
            <v>Commissions to Agents</v>
          </cell>
          <cell r="FO87" t="str">
            <v>COMMISSIONS_TO_AGENTS</v>
          </cell>
          <cell r="FP87"/>
          <cell r="FQ87" t="str">
            <v>BOLD</v>
          </cell>
          <cell r="FT87"/>
          <cell r="FU87" t="str">
            <v>BOLD</v>
          </cell>
          <cell r="FX87"/>
          <cell r="FY87" t="str">
            <v>BOLD</v>
          </cell>
          <cell r="GB87"/>
          <cell r="GC87" t="str">
            <v>BOLD</v>
          </cell>
          <cell r="GF87"/>
          <cell r="GG87" t="str">
            <v>BOLD</v>
          </cell>
          <cell r="GJ87"/>
          <cell r="GK87" t="str">
            <v>BOLD</v>
          </cell>
          <cell r="GN87"/>
          <cell r="GO87" t="str">
            <v>BOLD</v>
          </cell>
          <cell r="GR87"/>
          <cell r="GS87" t="str">
            <v>BOLD</v>
          </cell>
          <cell r="GV87"/>
          <cell r="GW87" t="str">
            <v>BOLD</v>
          </cell>
          <cell r="GZ87"/>
          <cell r="HA87" t="str">
            <v>BOLD</v>
          </cell>
          <cell r="HD87"/>
          <cell r="HE87" t="str">
            <v>BOLD</v>
          </cell>
          <cell r="HH87"/>
          <cell r="HI87" t="str">
            <v>BOLD</v>
          </cell>
          <cell r="HL87"/>
          <cell r="HM87" t="str">
            <v>BOLD</v>
          </cell>
          <cell r="HP87"/>
          <cell r="HQ87" t="str">
            <v>BOLD</v>
          </cell>
          <cell r="HT87"/>
          <cell r="HU87" t="str">
            <v>BOLD</v>
          </cell>
          <cell r="HV87" t="str">
            <v xml:space="preserve">  Income Before XO Items</v>
          </cell>
          <cell r="HW87" t="str">
            <v>IS_INC_BEF_XO_ITEM</v>
          </cell>
          <cell r="HX87"/>
          <cell r="HY87" t="str">
            <v>NO</v>
          </cell>
          <cell r="IB87"/>
          <cell r="IC87" t="str">
            <v>BOLD</v>
          </cell>
          <cell r="IH87" t="str">
            <v>Fair Value Assets Recurring - Level 2</v>
          </cell>
          <cell r="II87" t="str">
            <v>BS_FV_ASSETS_REC_LEVEL_2</v>
          </cell>
          <cell r="IJ87"/>
          <cell r="IK87" t="str">
            <v>BOLD</v>
          </cell>
          <cell r="IR87"/>
          <cell r="IS87" t="str">
            <v>BOLD</v>
          </cell>
          <cell r="IX87" t="str">
            <v>Deposit Growth</v>
          </cell>
          <cell r="IY87" t="str">
            <v>GROWTH_IN_TOT_DPST</v>
          </cell>
          <cell r="IZ87"/>
          <cell r="JA87" t="str">
            <v>BOLD</v>
          </cell>
          <cell r="JD87"/>
          <cell r="JE87" t="str">
            <v>BOLD</v>
          </cell>
        </row>
        <row r="88">
          <cell r="A88">
            <v>87</v>
          </cell>
          <cell r="D88"/>
          <cell r="E88" t="str">
            <v>BOLD</v>
          </cell>
          <cell r="F88" t="str">
            <v>Card Pre-tax Margin - Mgd Basis</v>
          </cell>
          <cell r="G88" t="str">
            <v>CARD_PRE_TAX_MRGN_MGD_BASIS</v>
          </cell>
          <cell r="H88"/>
          <cell r="I88" t="str">
            <v>BOLD</v>
          </cell>
          <cell r="P88"/>
          <cell r="Q88" t="str">
            <v>BOLD</v>
          </cell>
          <cell r="T88"/>
          <cell r="U88" t="str">
            <v>BOLD</v>
          </cell>
          <cell r="X88"/>
          <cell r="Y88" t="str">
            <v>BOLD</v>
          </cell>
          <cell r="AB88"/>
          <cell r="AC88" t="str">
            <v>BOLD</v>
          </cell>
          <cell r="AF88"/>
          <cell r="AG88" t="str">
            <v>BOLD</v>
          </cell>
          <cell r="AJ88"/>
          <cell r="AK88" t="str">
            <v>BOLD</v>
          </cell>
          <cell r="AL88" t="str">
            <v>Manganese - Ore Volume (Tons)</v>
          </cell>
          <cell r="AM88" t="str">
            <v>MINING_INFER_RES_MANGANESE_VOL</v>
          </cell>
          <cell r="AN88"/>
          <cell r="AO88" t="str">
            <v>BOLD</v>
          </cell>
          <cell r="AR88"/>
          <cell r="AS88" t="str">
            <v>BOLD</v>
          </cell>
          <cell r="AV88"/>
          <cell r="AW88" t="str">
            <v>BOLD</v>
          </cell>
          <cell r="AZ88"/>
          <cell r="BA88" t="str">
            <v>BOLD</v>
          </cell>
          <cell r="BD88"/>
          <cell r="BE88" t="str">
            <v>BOLD</v>
          </cell>
          <cell r="BH88"/>
          <cell r="BI88" t="str">
            <v>BOLD</v>
          </cell>
          <cell r="BL88"/>
          <cell r="BM88" t="str">
            <v>BOLD</v>
          </cell>
          <cell r="BP88"/>
          <cell r="BQ88" t="str">
            <v>BOLD</v>
          </cell>
          <cell r="BT88"/>
          <cell r="BU88" t="str">
            <v>BOLD</v>
          </cell>
          <cell r="BV88" t="str">
            <v xml:space="preserve">  Developed Reserves</v>
          </cell>
          <cell r="BW88" t="str">
            <v>GAS_DEVEL_RESV_AFRICA</v>
          </cell>
          <cell r="BX88"/>
          <cell r="BY88" t="str">
            <v>NO</v>
          </cell>
          <cell r="BZ88" t="str">
            <v xml:space="preserve">  Start of Year</v>
          </cell>
          <cell r="CA88" t="str">
            <v>OIL_START_YEAR_MIDDLE_EAST</v>
          </cell>
          <cell r="CB88"/>
          <cell r="CC88" t="str">
            <v>NO</v>
          </cell>
          <cell r="CD88" t="str">
            <v xml:space="preserve">  + Extensions &amp; Discoveries</v>
          </cell>
          <cell r="CE88" t="str">
            <v>BOE_EXTENS_DISCOV_AFRICA</v>
          </cell>
          <cell r="CF88"/>
          <cell r="CG88" t="str">
            <v>NO</v>
          </cell>
          <cell r="CJ88"/>
          <cell r="CK88" t="str">
            <v>BOLD</v>
          </cell>
          <cell r="CN88"/>
          <cell r="CO88" t="str">
            <v>BOLD</v>
          </cell>
          <cell r="CP88" t="str">
            <v>Mining - Inferred Resources Contained Nickel</v>
          </cell>
          <cell r="CQ88" t="str">
            <v>MINING_INFER_RES_CONTAIN_NICKEL</v>
          </cell>
          <cell r="CR88"/>
          <cell r="CS88" t="str">
            <v>BOLD</v>
          </cell>
          <cell r="CV88"/>
          <cell r="CW88" t="str">
            <v>BOLD</v>
          </cell>
          <cell r="CZ88"/>
          <cell r="DA88" t="str">
            <v>BOLD</v>
          </cell>
          <cell r="DD88"/>
          <cell r="DE88" t="str">
            <v>BOLD</v>
          </cell>
          <cell r="DH88"/>
          <cell r="DI88" t="str">
            <v>BOLD</v>
          </cell>
          <cell r="DL88"/>
          <cell r="DM88" t="str">
            <v>BOLD</v>
          </cell>
          <cell r="DP88"/>
          <cell r="DQ88" t="str">
            <v>BOLD</v>
          </cell>
          <cell r="DT88"/>
          <cell r="DU88" t="str">
            <v>BOLD</v>
          </cell>
          <cell r="DX88"/>
          <cell r="DY88" t="str">
            <v>BOLD</v>
          </cell>
          <cell r="EB88"/>
          <cell r="EC88" t="str">
            <v>BOLD</v>
          </cell>
          <cell r="EF88"/>
          <cell r="EG88" t="str">
            <v>BOLD</v>
          </cell>
          <cell r="EJ88"/>
          <cell r="EK88" t="str">
            <v>BOLD</v>
          </cell>
          <cell r="EN88"/>
          <cell r="EO88" t="str">
            <v>BOLD</v>
          </cell>
          <cell r="ER88"/>
          <cell r="ES88" t="str">
            <v>BOLD</v>
          </cell>
          <cell r="EV88"/>
          <cell r="EW88" t="str">
            <v>BOLD</v>
          </cell>
          <cell r="EZ88"/>
          <cell r="FA88" t="str">
            <v>BOLD</v>
          </cell>
          <cell r="FD88"/>
          <cell r="FE88" t="str">
            <v>BOLD</v>
          </cell>
          <cell r="FF88" t="str">
            <v>Revenue</v>
          </cell>
          <cell r="FG88" t="str">
            <v>SALES_REV_TURN</v>
          </cell>
          <cell r="FH88"/>
          <cell r="FI88" t="str">
            <v>BOLD</v>
          </cell>
          <cell r="FL88"/>
          <cell r="FM88" t="str">
            <v>BOLD</v>
          </cell>
          <cell r="FN88" t="str">
            <v>Other Rentals &amp; Landing Fees</v>
          </cell>
          <cell r="FO88" t="str">
            <v>OTHER_RENTALS_LANDING_FEES</v>
          </cell>
          <cell r="FP88"/>
          <cell r="FQ88" t="str">
            <v>BOLD</v>
          </cell>
          <cell r="FT88"/>
          <cell r="FU88" t="str">
            <v>BOLD</v>
          </cell>
          <cell r="FX88"/>
          <cell r="FY88" t="str">
            <v>BOLD</v>
          </cell>
          <cell r="GB88"/>
          <cell r="GC88" t="str">
            <v>BOLD</v>
          </cell>
          <cell r="GF88"/>
          <cell r="GG88" t="str">
            <v>BOLD</v>
          </cell>
          <cell r="GJ88"/>
          <cell r="GK88" t="str">
            <v>BOLD</v>
          </cell>
          <cell r="GN88"/>
          <cell r="GO88" t="str">
            <v>BOLD</v>
          </cell>
          <cell r="GR88"/>
          <cell r="GS88" t="str">
            <v>BOLD</v>
          </cell>
          <cell r="GV88"/>
          <cell r="GW88" t="str">
            <v>BOLD</v>
          </cell>
          <cell r="GZ88"/>
          <cell r="HA88" t="str">
            <v>BOLD</v>
          </cell>
          <cell r="HD88"/>
          <cell r="HE88" t="str">
            <v>BOLD</v>
          </cell>
          <cell r="HH88"/>
          <cell r="HI88" t="str">
            <v>BOLD</v>
          </cell>
          <cell r="HL88"/>
          <cell r="HM88" t="str">
            <v>BOLD</v>
          </cell>
          <cell r="HP88"/>
          <cell r="HQ88" t="str">
            <v>BOLD</v>
          </cell>
          <cell r="HT88"/>
          <cell r="HU88" t="str">
            <v>BOLD</v>
          </cell>
          <cell r="HV88" t="str">
            <v>- Extraordinary Loss Net of Tax</v>
          </cell>
          <cell r="HW88" t="str">
            <v>XO_GL_NET_OF_TAX</v>
          </cell>
          <cell r="HX88"/>
          <cell r="HY88" t="str">
            <v>BOLD</v>
          </cell>
          <cell r="HZ88" t="str">
            <v>Loss ratio NL</v>
          </cell>
          <cell r="IA88" t="str">
            <v>LOSS_RATIO_NL</v>
          </cell>
          <cell r="IB88"/>
          <cell r="IC88" t="str">
            <v>BOLD</v>
          </cell>
          <cell r="IH88" t="str">
            <v>Fair Value Assets Recurring - Level 3</v>
          </cell>
          <cell r="II88" t="str">
            <v>BS_FV_ASSETS_REC_LEVEL_3</v>
          </cell>
          <cell r="IJ88"/>
          <cell r="IK88" t="str">
            <v>BOLD</v>
          </cell>
          <cell r="IP88" t="str">
            <v>Gas Revenues</v>
          </cell>
          <cell r="IQ88" t="str">
            <v>LABEL</v>
          </cell>
          <cell r="IR88"/>
          <cell r="IS88" t="str">
            <v>BOLD</v>
          </cell>
          <cell r="IX88" t="str">
            <v>Core Deposits Growth</v>
          </cell>
          <cell r="IY88" t="str">
            <v>CORE_DPST_GROWTH</v>
          </cell>
          <cell r="IZ88"/>
          <cell r="JA88" t="str">
            <v>BOLD</v>
          </cell>
          <cell r="JB88" t="str">
            <v>Loss ratio NL</v>
          </cell>
          <cell r="JC88" t="str">
            <v>LOSS_RATIO_NL</v>
          </cell>
          <cell r="JD88"/>
          <cell r="JE88" t="str">
            <v>BOLD</v>
          </cell>
        </row>
        <row r="89">
          <cell r="A89">
            <v>88</v>
          </cell>
          <cell r="D89"/>
          <cell r="E89" t="str">
            <v>BOLD</v>
          </cell>
          <cell r="F89" t="str">
            <v>Risk Adjusted Margin</v>
          </cell>
          <cell r="G89" t="str">
            <v>RISK_ADJUSTED_MARGIN</v>
          </cell>
          <cell r="H89"/>
          <cell r="I89" t="str">
            <v>BOLD</v>
          </cell>
          <cell r="P89"/>
          <cell r="Q89" t="str">
            <v>BOLD</v>
          </cell>
          <cell r="T89"/>
          <cell r="U89" t="str">
            <v>BOLD</v>
          </cell>
          <cell r="X89"/>
          <cell r="Y89" t="str">
            <v>BOLD</v>
          </cell>
          <cell r="AB89"/>
          <cell r="AC89" t="str">
            <v>BOLD</v>
          </cell>
          <cell r="AF89"/>
          <cell r="AG89" t="str">
            <v>BOLD</v>
          </cell>
          <cell r="AJ89"/>
          <cell r="AK89" t="str">
            <v>BOLD</v>
          </cell>
          <cell r="AL89" t="str">
            <v>Manganese - Grade (%)</v>
          </cell>
          <cell r="AM89" t="str">
            <v>MINING_INFER_RES_MANGANESE_GRADE</v>
          </cell>
          <cell r="AN89"/>
          <cell r="AO89" t="str">
            <v>BOLD</v>
          </cell>
          <cell r="AR89"/>
          <cell r="AS89" t="str">
            <v>BOLD</v>
          </cell>
          <cell r="AV89"/>
          <cell r="AW89" t="str">
            <v>BOLD</v>
          </cell>
          <cell r="AZ89"/>
          <cell r="BA89" t="str">
            <v>BOLD</v>
          </cell>
          <cell r="BD89"/>
          <cell r="BE89" t="str">
            <v>BOLD</v>
          </cell>
          <cell r="BH89"/>
          <cell r="BI89" t="str">
            <v>BOLD</v>
          </cell>
          <cell r="BL89"/>
          <cell r="BM89" t="str">
            <v>BOLD</v>
          </cell>
          <cell r="BP89"/>
          <cell r="BQ89" t="str">
            <v>BOLD</v>
          </cell>
          <cell r="BT89"/>
          <cell r="BU89" t="str">
            <v>BOLD</v>
          </cell>
          <cell r="BV89" t="str">
            <v xml:space="preserve">  Reserves (West Africa)</v>
          </cell>
          <cell r="BW89" t="str">
            <v>GAS_RESERVES_END_YR_WEST_AFRICA</v>
          </cell>
          <cell r="BX89"/>
          <cell r="BY89" t="str">
            <v>NO</v>
          </cell>
          <cell r="BZ89" t="str">
            <v xml:space="preserve">  + Revisions</v>
          </cell>
          <cell r="CA89" t="str">
            <v>OIL_REVISIONS_MIDDLE_EAST</v>
          </cell>
          <cell r="CB89"/>
          <cell r="CC89" t="str">
            <v>NO</v>
          </cell>
          <cell r="CD89" t="str">
            <v xml:space="preserve">  + Purchases</v>
          </cell>
          <cell r="CE89" t="str">
            <v>BOE_PURCHASES_AFRICA</v>
          </cell>
          <cell r="CF89"/>
          <cell r="CG89" t="str">
            <v>NO</v>
          </cell>
          <cell r="CJ89"/>
          <cell r="CK89" t="str">
            <v>BOLD</v>
          </cell>
          <cell r="CN89"/>
          <cell r="CO89" t="str">
            <v>BOLD</v>
          </cell>
          <cell r="CP89" t="str">
            <v>Mining - P&amp;P Reserves Contained Zinc</v>
          </cell>
          <cell r="CQ89" t="str">
            <v>MINING_P&amp;P_RSRVS_CONTAINED_ZINC</v>
          </cell>
          <cell r="CR89"/>
          <cell r="CS89" t="str">
            <v>BOLD</v>
          </cell>
          <cell r="CV89"/>
          <cell r="CW89" t="str">
            <v>BOLD</v>
          </cell>
          <cell r="CZ89"/>
          <cell r="DA89" t="str">
            <v>BOLD</v>
          </cell>
          <cell r="DD89"/>
          <cell r="DE89" t="str">
            <v>BOLD</v>
          </cell>
          <cell r="DH89"/>
          <cell r="DI89" t="str">
            <v>BOLD</v>
          </cell>
          <cell r="DL89"/>
          <cell r="DM89" t="str">
            <v>BOLD</v>
          </cell>
          <cell r="DP89"/>
          <cell r="DQ89" t="str">
            <v>BOLD</v>
          </cell>
          <cell r="DT89"/>
          <cell r="DU89" t="str">
            <v>BOLD</v>
          </cell>
          <cell r="DX89"/>
          <cell r="DY89" t="str">
            <v>BOLD</v>
          </cell>
          <cell r="EB89"/>
          <cell r="EC89" t="str">
            <v>BOLD</v>
          </cell>
          <cell r="EF89"/>
          <cell r="EG89" t="str">
            <v>BOLD</v>
          </cell>
          <cell r="EJ89"/>
          <cell r="EK89" t="str">
            <v>BOLD</v>
          </cell>
          <cell r="EN89"/>
          <cell r="EO89" t="str">
            <v>BOLD</v>
          </cell>
          <cell r="ER89"/>
          <cell r="ES89" t="str">
            <v>BOLD</v>
          </cell>
          <cell r="EV89"/>
          <cell r="EW89" t="str">
            <v>BOLD</v>
          </cell>
          <cell r="EZ89"/>
          <cell r="FA89" t="str">
            <v>BOLD</v>
          </cell>
          <cell r="FD89"/>
          <cell r="FE89" t="str">
            <v>BOLD</v>
          </cell>
          <cell r="FF89" t="str">
            <v>Gross Profit</v>
          </cell>
          <cell r="FG89" t="str">
            <v>GROSS_PROFIT</v>
          </cell>
          <cell r="FH89"/>
          <cell r="FI89" t="str">
            <v>BOLD</v>
          </cell>
          <cell r="FL89"/>
          <cell r="FM89" t="str">
            <v>BOLD</v>
          </cell>
          <cell r="FN89" t="str">
            <v>Aircraft Rentals</v>
          </cell>
          <cell r="FO89" t="str">
            <v>AIRCRAFT_RENTALS</v>
          </cell>
          <cell r="FP89"/>
          <cell r="FQ89" t="str">
            <v>BOLD</v>
          </cell>
          <cell r="FT89"/>
          <cell r="FU89" t="str">
            <v>BOLD</v>
          </cell>
          <cell r="FX89"/>
          <cell r="FY89" t="str">
            <v>BOLD</v>
          </cell>
          <cell r="GB89"/>
          <cell r="GC89" t="str">
            <v>BOLD</v>
          </cell>
          <cell r="GF89"/>
          <cell r="GG89" t="str">
            <v>BOLD</v>
          </cell>
          <cell r="GJ89"/>
          <cell r="GK89" t="str">
            <v>BOLD</v>
          </cell>
          <cell r="GN89"/>
          <cell r="GO89" t="str">
            <v>BOLD</v>
          </cell>
          <cell r="GR89"/>
          <cell r="GS89" t="str">
            <v>BOLD</v>
          </cell>
          <cell r="GV89"/>
          <cell r="GW89" t="str">
            <v>BOLD</v>
          </cell>
          <cell r="GZ89"/>
          <cell r="HA89" t="str">
            <v>BOLD</v>
          </cell>
          <cell r="HD89"/>
          <cell r="HE89" t="str">
            <v>BOLD</v>
          </cell>
          <cell r="HH89"/>
          <cell r="HI89" t="str">
            <v>BOLD</v>
          </cell>
          <cell r="HL89"/>
          <cell r="HM89" t="str">
            <v>BOLD</v>
          </cell>
          <cell r="HP89"/>
          <cell r="HQ89" t="str">
            <v>BOLD</v>
          </cell>
          <cell r="HT89"/>
          <cell r="HU89" t="str">
            <v>BOLD</v>
          </cell>
          <cell r="HV89" t="str">
            <v>- Minority Interests</v>
          </cell>
          <cell r="HW89" t="str">
            <v>MIN_NONCONTROL_INTEREST_CREDITS</v>
          </cell>
          <cell r="HX89"/>
          <cell r="HY89" t="str">
            <v>BOLD</v>
          </cell>
          <cell r="HZ89" t="str">
            <v>Expense ratio NL</v>
          </cell>
          <cell r="IA89" t="str">
            <v>EXP_RATIO_NL</v>
          </cell>
          <cell r="IB89"/>
          <cell r="IC89" t="str">
            <v>BOLD</v>
          </cell>
          <cell r="IH89" t="str">
            <v>Fair Value Assets Recurring - Total</v>
          </cell>
          <cell r="II89" t="str">
            <v>BS_FV_ASSETS_REC_TOTAL</v>
          </cell>
          <cell r="IJ89"/>
          <cell r="IK89" t="str">
            <v>BOLD</v>
          </cell>
          <cell r="IP89" t="str">
            <v>+ Residential</v>
          </cell>
          <cell r="IQ89" t="str">
            <v>IS_GAS_REV_RES</v>
          </cell>
          <cell r="IR89"/>
          <cell r="IS89" t="str">
            <v>BOLD</v>
          </cell>
          <cell r="IX89" t="str">
            <v>Earning Assets Growth</v>
          </cell>
          <cell r="IY89" t="str">
            <v>EARN_ASSET_GROWTH</v>
          </cell>
          <cell r="IZ89"/>
          <cell r="JA89" t="str">
            <v>BOLD</v>
          </cell>
          <cell r="JB89" t="str">
            <v>Expense ratio NL</v>
          </cell>
          <cell r="JC89" t="str">
            <v>EXP_RATIO_NL</v>
          </cell>
          <cell r="JD89"/>
          <cell r="JE89" t="str">
            <v>BOLD</v>
          </cell>
        </row>
        <row r="90">
          <cell r="A90">
            <v>89</v>
          </cell>
          <cell r="D90"/>
          <cell r="E90" t="str">
            <v>BOLD</v>
          </cell>
          <cell r="F90" t="str">
            <v>Transactions Margin</v>
          </cell>
          <cell r="G90" t="str">
            <v>TRANSACTIONS_MARGIN</v>
          </cell>
          <cell r="H90"/>
          <cell r="I90" t="str">
            <v>BOLD</v>
          </cell>
          <cell r="P90"/>
          <cell r="Q90" t="str">
            <v>BOLD</v>
          </cell>
          <cell r="T90"/>
          <cell r="U90" t="str">
            <v>BOLD</v>
          </cell>
          <cell r="X90"/>
          <cell r="Y90" t="str">
            <v>BOLD</v>
          </cell>
          <cell r="AB90"/>
          <cell r="AC90" t="str">
            <v>BOLD</v>
          </cell>
          <cell r="AF90"/>
          <cell r="AG90" t="str">
            <v>BOLD</v>
          </cell>
          <cell r="AJ90"/>
          <cell r="AK90" t="str">
            <v>BOLD</v>
          </cell>
          <cell r="AL90" t="str">
            <v>Contained Manganese (Tons)</v>
          </cell>
          <cell r="AM90" t="str">
            <v>MINING_INFER_RES_CONT_MANGANESE</v>
          </cell>
          <cell r="AN90"/>
          <cell r="AO90" t="str">
            <v>BOLD</v>
          </cell>
          <cell r="AR90"/>
          <cell r="AS90" t="str">
            <v>BOLD</v>
          </cell>
          <cell r="AV90"/>
          <cell r="AW90" t="str">
            <v>BOLD</v>
          </cell>
          <cell r="AZ90"/>
          <cell r="BA90" t="str">
            <v>BOLD</v>
          </cell>
          <cell r="BD90"/>
          <cell r="BE90" t="str">
            <v>BOLD</v>
          </cell>
          <cell r="BH90"/>
          <cell r="BI90" t="str">
            <v>BOLD</v>
          </cell>
          <cell r="BL90"/>
          <cell r="BM90" t="str">
            <v>BOLD</v>
          </cell>
          <cell r="BP90"/>
          <cell r="BQ90" t="str">
            <v>BOLD</v>
          </cell>
          <cell r="BT90"/>
          <cell r="BU90" t="str">
            <v>BOLD</v>
          </cell>
          <cell r="BX90"/>
          <cell r="BY90" t="str">
            <v>BOLD</v>
          </cell>
          <cell r="BZ90" t="str">
            <v xml:space="preserve">  + Improved Recovery</v>
          </cell>
          <cell r="CA90" t="str">
            <v>OIL_IMPROVED_RECOVERY_MIDEAST</v>
          </cell>
          <cell r="CB90"/>
          <cell r="CC90" t="str">
            <v>NO</v>
          </cell>
          <cell r="CD90" t="str">
            <v xml:space="preserve">  + Sales</v>
          </cell>
          <cell r="CE90" t="str">
            <v>BOE_SALES_AFRICA</v>
          </cell>
          <cell r="CF90"/>
          <cell r="CG90" t="str">
            <v>NO</v>
          </cell>
          <cell r="CJ90"/>
          <cell r="CK90" t="str">
            <v>BOLD</v>
          </cell>
          <cell r="CN90"/>
          <cell r="CO90" t="str">
            <v>BOLD</v>
          </cell>
          <cell r="CP90" t="str">
            <v>Mining - M&amp;I Resources Contained Zinc</v>
          </cell>
          <cell r="CQ90" t="str">
            <v>MINING_M&amp;I_RES_CONTAINED_ZINC</v>
          </cell>
          <cell r="CR90"/>
          <cell r="CS90" t="str">
            <v>BOLD</v>
          </cell>
          <cell r="CV90"/>
          <cell r="CW90" t="str">
            <v>BOLD</v>
          </cell>
          <cell r="CZ90"/>
          <cell r="DA90" t="str">
            <v>BOLD</v>
          </cell>
          <cell r="DD90"/>
          <cell r="DE90" t="str">
            <v>BOLD</v>
          </cell>
          <cell r="DH90"/>
          <cell r="DI90" t="str">
            <v>BOLD</v>
          </cell>
          <cell r="DL90"/>
          <cell r="DM90" t="str">
            <v>BOLD</v>
          </cell>
          <cell r="DP90"/>
          <cell r="DQ90" t="str">
            <v>BOLD</v>
          </cell>
          <cell r="DT90"/>
          <cell r="DU90" t="str">
            <v>BOLD</v>
          </cell>
          <cell r="DX90"/>
          <cell r="DY90" t="str">
            <v>BOLD</v>
          </cell>
          <cell r="EB90"/>
          <cell r="EC90" t="str">
            <v>BOLD</v>
          </cell>
          <cell r="EF90"/>
          <cell r="EG90" t="str">
            <v>BOLD</v>
          </cell>
          <cell r="EJ90"/>
          <cell r="EK90" t="str">
            <v>BOLD</v>
          </cell>
          <cell r="EN90"/>
          <cell r="EO90" t="str">
            <v>BOLD</v>
          </cell>
          <cell r="ER90"/>
          <cell r="ES90" t="str">
            <v>BOLD</v>
          </cell>
          <cell r="EV90"/>
          <cell r="EW90" t="str">
            <v>BOLD</v>
          </cell>
          <cell r="EZ90"/>
          <cell r="FA90" t="str">
            <v>BOLD</v>
          </cell>
          <cell r="FD90"/>
          <cell r="FE90" t="str">
            <v>BOLD</v>
          </cell>
          <cell r="FF90" t="str">
            <v>EBITDA</v>
          </cell>
          <cell r="FG90" t="str">
            <v>EBITDA</v>
          </cell>
          <cell r="FH90"/>
          <cell r="FI90" t="str">
            <v>BOLD</v>
          </cell>
          <cell r="FL90"/>
          <cell r="FM90" t="str">
            <v>BOLD</v>
          </cell>
          <cell r="FN90" t="str">
            <v>Cargo Revenue</v>
          </cell>
          <cell r="FO90" t="str">
            <v>CARGO_FREIGHT_REV</v>
          </cell>
          <cell r="FP90"/>
          <cell r="FQ90" t="str">
            <v>BOLD</v>
          </cell>
          <cell r="FT90"/>
          <cell r="FU90" t="str">
            <v>BOLD</v>
          </cell>
          <cell r="FX90"/>
          <cell r="FY90" t="str">
            <v>BOLD</v>
          </cell>
          <cell r="GB90"/>
          <cell r="GC90" t="str">
            <v>BOLD</v>
          </cell>
          <cell r="GF90"/>
          <cell r="GG90" t="str">
            <v>BOLD</v>
          </cell>
          <cell r="GJ90"/>
          <cell r="GK90" t="str">
            <v>BOLD</v>
          </cell>
          <cell r="GN90"/>
          <cell r="GO90" t="str">
            <v>BOLD</v>
          </cell>
          <cell r="GR90"/>
          <cell r="GS90" t="str">
            <v>BOLD</v>
          </cell>
          <cell r="GV90"/>
          <cell r="GW90" t="str">
            <v>BOLD</v>
          </cell>
          <cell r="GZ90"/>
          <cell r="HA90" t="str">
            <v>BOLD</v>
          </cell>
          <cell r="HD90"/>
          <cell r="HE90" t="str">
            <v>BOLD</v>
          </cell>
          <cell r="HH90"/>
          <cell r="HI90" t="str">
            <v>BOLD</v>
          </cell>
          <cell r="HL90"/>
          <cell r="HM90" t="str">
            <v>BOLD</v>
          </cell>
          <cell r="HP90"/>
          <cell r="HQ90" t="str">
            <v>BOLD</v>
          </cell>
          <cell r="HT90"/>
          <cell r="HU90" t="str">
            <v>BOLD</v>
          </cell>
          <cell r="HV90" t="str">
            <v xml:space="preserve">  Net Income</v>
          </cell>
          <cell r="HW90" t="str">
            <v>NET_INCOME</v>
          </cell>
          <cell r="HX90"/>
          <cell r="HY90" t="str">
            <v>NO</v>
          </cell>
          <cell r="HZ90" t="str">
            <v>Combined ratio</v>
          </cell>
          <cell r="IA90" t="str">
            <v>COMB_RATIO_NL</v>
          </cell>
          <cell r="IB90"/>
          <cell r="IC90" t="str">
            <v>BOLD</v>
          </cell>
          <cell r="IH90" t="str">
            <v>Level 1 Assets/Total Assets</v>
          </cell>
          <cell r="II90" t="str">
            <v>LEVEL_1_ASSETS_TO_TOTAL_ASSETS</v>
          </cell>
          <cell r="IJ90"/>
          <cell r="IK90" t="str">
            <v>BOLD</v>
          </cell>
          <cell r="IP90" t="str">
            <v>+ Commercial</v>
          </cell>
          <cell r="IQ90" t="str">
            <v>IS_GAS_REV_COMM</v>
          </cell>
          <cell r="IR90"/>
          <cell r="IS90" t="str">
            <v>BOLD</v>
          </cell>
          <cell r="IX90" t="str">
            <v>Assets Growth</v>
          </cell>
          <cell r="IY90" t="str">
            <v>ASSET_GROWTH</v>
          </cell>
          <cell r="IZ90"/>
          <cell r="JA90" t="str">
            <v>BOLD</v>
          </cell>
          <cell r="JB90" t="str">
            <v>Combined ratio</v>
          </cell>
          <cell r="JC90" t="str">
            <v>COMB_RATIO_NL</v>
          </cell>
          <cell r="JD90"/>
          <cell r="JE90" t="str">
            <v>BOLD</v>
          </cell>
        </row>
        <row r="91">
          <cell r="A91">
            <v>90</v>
          </cell>
          <cell r="D91"/>
          <cell r="E91" t="str">
            <v>BOLD</v>
          </cell>
          <cell r="F91" t="str">
            <v>Card Fee Margin</v>
          </cell>
          <cell r="G91" t="str">
            <v>CARD_FEE_MARGIN</v>
          </cell>
          <cell r="H91"/>
          <cell r="I91" t="str">
            <v>BOLD</v>
          </cell>
          <cell r="P91"/>
          <cell r="Q91" t="str">
            <v>BOLD</v>
          </cell>
          <cell r="T91"/>
          <cell r="U91" t="str">
            <v>BOLD</v>
          </cell>
          <cell r="X91"/>
          <cell r="Y91" t="str">
            <v>BOLD</v>
          </cell>
          <cell r="AB91"/>
          <cell r="AC91" t="str">
            <v>BOLD</v>
          </cell>
          <cell r="AF91"/>
          <cell r="AG91" t="str">
            <v>BOLD</v>
          </cell>
          <cell r="AJ91"/>
          <cell r="AK91" t="str">
            <v>BOLD</v>
          </cell>
          <cell r="AL91" t="str">
            <v>Molybdenum - Ore Volume (Tons)</v>
          </cell>
          <cell r="AM91" t="str">
            <v>MINING_INFER_RES_MOLYBDENUM_VOL</v>
          </cell>
          <cell r="AN91"/>
          <cell r="AO91" t="str">
            <v>BOLD</v>
          </cell>
          <cell r="AR91"/>
          <cell r="AS91" t="str">
            <v>BOLD</v>
          </cell>
          <cell r="AV91"/>
          <cell r="AW91" t="str">
            <v>BOLD</v>
          </cell>
          <cell r="AZ91"/>
          <cell r="BA91" t="str">
            <v>BOLD</v>
          </cell>
          <cell r="BD91"/>
          <cell r="BE91" t="str">
            <v>BOLD</v>
          </cell>
          <cell r="BH91"/>
          <cell r="BI91" t="str">
            <v>BOLD</v>
          </cell>
          <cell r="BL91"/>
          <cell r="BM91" t="str">
            <v>BOLD</v>
          </cell>
          <cell r="BP91"/>
          <cell r="BQ91" t="str">
            <v>BOLD</v>
          </cell>
          <cell r="BT91"/>
          <cell r="BU91" t="str">
            <v>BOLD</v>
          </cell>
          <cell r="BV91" t="str">
            <v>Mideast</v>
          </cell>
          <cell r="BW91" t="str">
            <v>LABEL</v>
          </cell>
          <cell r="BX91"/>
          <cell r="BY91" t="str">
            <v>BOLD</v>
          </cell>
          <cell r="BZ91" t="str">
            <v xml:space="preserve">  + Extensions &amp; Discoveries</v>
          </cell>
          <cell r="CA91" t="str">
            <v>OIL_EXTENSIONS_AND_DISCS_MIDEAST</v>
          </cell>
          <cell r="CB91"/>
          <cell r="CC91" t="str">
            <v>NO</v>
          </cell>
          <cell r="CD91" t="str">
            <v xml:space="preserve">  + Production</v>
          </cell>
          <cell r="CE91" t="str">
            <v>BOE_PRODUCTION_AFRICA</v>
          </cell>
          <cell r="CF91"/>
          <cell r="CG91" t="str">
            <v>NO</v>
          </cell>
          <cell r="CJ91"/>
          <cell r="CK91" t="str">
            <v>BOLD</v>
          </cell>
          <cell r="CN91"/>
          <cell r="CO91" t="str">
            <v>BOLD</v>
          </cell>
          <cell r="CP91" t="str">
            <v>Mining - Inferred Resources Contained Zinc</v>
          </cell>
          <cell r="CQ91" t="str">
            <v>MINING_INFER_RES_CONTAINED_ZINC</v>
          </cell>
          <cell r="CR91"/>
          <cell r="CS91" t="str">
            <v>BOLD</v>
          </cell>
          <cell r="CV91"/>
          <cell r="CW91" t="str">
            <v>BOLD</v>
          </cell>
          <cell r="CZ91"/>
          <cell r="DA91" t="str">
            <v>BOLD</v>
          </cell>
          <cell r="DD91"/>
          <cell r="DE91" t="str">
            <v>BOLD</v>
          </cell>
          <cell r="DH91"/>
          <cell r="DI91" t="str">
            <v>BOLD</v>
          </cell>
          <cell r="DL91"/>
          <cell r="DM91" t="str">
            <v>BOLD</v>
          </cell>
          <cell r="DP91"/>
          <cell r="DQ91" t="str">
            <v>BOLD</v>
          </cell>
          <cell r="DT91"/>
          <cell r="DU91" t="str">
            <v>BOLD</v>
          </cell>
          <cell r="DX91"/>
          <cell r="DY91" t="str">
            <v>BOLD</v>
          </cell>
          <cell r="EB91"/>
          <cell r="EC91" t="str">
            <v>BOLD</v>
          </cell>
          <cell r="EF91"/>
          <cell r="EG91" t="str">
            <v>BOLD</v>
          </cell>
          <cell r="EJ91"/>
          <cell r="EK91" t="str">
            <v>BOLD</v>
          </cell>
          <cell r="EN91"/>
          <cell r="EO91" t="str">
            <v>BOLD</v>
          </cell>
          <cell r="ER91"/>
          <cell r="ES91" t="str">
            <v>BOLD</v>
          </cell>
          <cell r="EV91"/>
          <cell r="EW91" t="str">
            <v>BOLD</v>
          </cell>
          <cell r="EZ91"/>
          <cell r="FA91" t="str">
            <v>BOLD</v>
          </cell>
          <cell r="FD91"/>
          <cell r="FE91" t="str">
            <v>BOLD</v>
          </cell>
          <cell r="FF91" t="str">
            <v>Operating Income</v>
          </cell>
          <cell r="FG91" t="str">
            <v>IS_OPER_INC</v>
          </cell>
          <cell r="FH91"/>
          <cell r="FI91" t="str">
            <v>BOLD</v>
          </cell>
          <cell r="FL91"/>
          <cell r="FM91" t="str">
            <v>BOLD</v>
          </cell>
          <cell r="FP91"/>
          <cell r="FQ91" t="str">
            <v>BOLD</v>
          </cell>
          <cell r="FT91"/>
          <cell r="FU91" t="str">
            <v>BOLD</v>
          </cell>
          <cell r="FX91"/>
          <cell r="FY91" t="str">
            <v>BOLD</v>
          </cell>
          <cell r="GB91"/>
          <cell r="GC91" t="str">
            <v>BOLD</v>
          </cell>
          <cell r="GF91"/>
          <cell r="GG91" t="str">
            <v>BOLD</v>
          </cell>
          <cell r="GJ91"/>
          <cell r="GK91" t="str">
            <v>BOLD</v>
          </cell>
          <cell r="GN91"/>
          <cell r="GO91" t="str">
            <v>BOLD</v>
          </cell>
          <cell r="GR91"/>
          <cell r="GS91" t="str">
            <v>BOLD</v>
          </cell>
          <cell r="GV91"/>
          <cell r="GW91" t="str">
            <v>BOLD</v>
          </cell>
          <cell r="GZ91"/>
          <cell r="HA91" t="str">
            <v>BOLD</v>
          </cell>
          <cell r="HD91"/>
          <cell r="HE91" t="str">
            <v>BOLD</v>
          </cell>
          <cell r="HH91"/>
          <cell r="HI91" t="str">
            <v>BOLD</v>
          </cell>
          <cell r="HL91"/>
          <cell r="HM91" t="str">
            <v>BOLD</v>
          </cell>
          <cell r="HP91"/>
          <cell r="HQ91" t="str">
            <v>BOLD</v>
          </cell>
          <cell r="HT91"/>
          <cell r="HU91" t="str">
            <v>BOLD</v>
          </cell>
          <cell r="HV91" t="str">
            <v>- Total Cash Preferred Dividends</v>
          </cell>
          <cell r="HW91" t="str">
            <v>IS_TOT_CASH_PFD_DVD</v>
          </cell>
          <cell r="HX91"/>
          <cell r="HY91" t="str">
            <v>BOLD</v>
          </cell>
          <cell r="HZ91" t="str">
            <v>Solvency Ratio</v>
          </cell>
          <cell r="IA91" t="str">
            <v>BS_SOLVENCY_RATIO</v>
          </cell>
          <cell r="IB91"/>
          <cell r="IC91" t="str">
            <v>BOLD</v>
          </cell>
          <cell r="IH91" t="str">
            <v>Level 2 Assets/Total Assets</v>
          </cell>
          <cell r="II91" t="str">
            <v>LEVEL_2_ASSETS_TO_TOTAL_ASSETS</v>
          </cell>
          <cell r="IJ91"/>
          <cell r="IK91" t="str">
            <v>BOLD</v>
          </cell>
          <cell r="IP91" t="str">
            <v>+ Industrial</v>
          </cell>
          <cell r="IQ91" t="str">
            <v>IS_GAS_REV_INDUS</v>
          </cell>
          <cell r="IR91"/>
          <cell r="IS91" t="str">
            <v>BOLD</v>
          </cell>
          <cell r="IX91" t="str">
            <v>Net Worth Growth</v>
          </cell>
          <cell r="IY91" t="str">
            <v>NET_WORTH_GROWTH</v>
          </cell>
          <cell r="IZ91"/>
          <cell r="JA91" t="str">
            <v>BOLD</v>
          </cell>
          <cell r="JB91" t="str">
            <v>Solvency Ratio</v>
          </cell>
          <cell r="JC91" t="str">
            <v>BS_SOLVENCY_RATIO</v>
          </cell>
          <cell r="JD91"/>
          <cell r="JE91" t="str">
            <v>BOLD</v>
          </cell>
        </row>
        <row r="92">
          <cell r="A92">
            <v>91</v>
          </cell>
          <cell r="D92"/>
          <cell r="E92" t="str">
            <v>BOLD</v>
          </cell>
          <cell r="F92" t="str">
            <v>Card Mgd Fees to Avg Mgd Card Loans</v>
          </cell>
          <cell r="G92" t="str">
            <v>ANN_CARD_MGD_FEES_TO_MGD_CARD_LN</v>
          </cell>
          <cell r="H92"/>
          <cell r="I92" t="str">
            <v>BOLD</v>
          </cell>
          <cell r="P92"/>
          <cell r="Q92" t="str">
            <v>BOLD</v>
          </cell>
          <cell r="T92"/>
          <cell r="U92" t="str">
            <v>BOLD</v>
          </cell>
          <cell r="X92"/>
          <cell r="Y92" t="str">
            <v>BOLD</v>
          </cell>
          <cell r="AB92"/>
          <cell r="AC92" t="str">
            <v>BOLD</v>
          </cell>
          <cell r="AF92"/>
          <cell r="AG92" t="str">
            <v>BOLD</v>
          </cell>
          <cell r="AJ92"/>
          <cell r="AK92" t="str">
            <v>BOLD</v>
          </cell>
          <cell r="AL92" t="str">
            <v>Molybdenum - Grade (%)</v>
          </cell>
          <cell r="AM92" t="str">
            <v>MINING_INFER_RES_MOLYBDENUM_GRD</v>
          </cell>
          <cell r="AN92"/>
          <cell r="AO92" t="str">
            <v>BOLD</v>
          </cell>
          <cell r="AR92"/>
          <cell r="AS92" t="str">
            <v>BOLD</v>
          </cell>
          <cell r="AV92"/>
          <cell r="AW92" t="str">
            <v>BOLD</v>
          </cell>
          <cell r="AZ92"/>
          <cell r="BA92" t="str">
            <v>BOLD</v>
          </cell>
          <cell r="BD92"/>
          <cell r="BE92" t="str">
            <v>BOLD</v>
          </cell>
          <cell r="BH92"/>
          <cell r="BI92" t="str">
            <v>BOLD</v>
          </cell>
          <cell r="BL92"/>
          <cell r="BM92" t="str">
            <v>BOLD</v>
          </cell>
          <cell r="BP92"/>
          <cell r="BQ92" t="str">
            <v>BOLD</v>
          </cell>
          <cell r="BT92"/>
          <cell r="BU92" t="str">
            <v>BOLD</v>
          </cell>
          <cell r="BV92" t="str">
            <v xml:space="preserve">  Start of Year</v>
          </cell>
          <cell r="BW92" t="str">
            <v>GAS_START_YEAR_MIDEAST</v>
          </cell>
          <cell r="BX92"/>
          <cell r="BY92" t="str">
            <v>NO</v>
          </cell>
          <cell r="BZ92" t="str">
            <v xml:space="preserve">  + Purchases</v>
          </cell>
          <cell r="CA92" t="str">
            <v>OIL_PURCHASES_MIDDLE_EAST</v>
          </cell>
          <cell r="CB92"/>
          <cell r="CC92" t="str">
            <v>NO</v>
          </cell>
          <cell r="CD92" t="str">
            <v xml:space="preserve">  + Other</v>
          </cell>
          <cell r="CE92" t="str">
            <v>BOE_OTHER_CHG_AFRICA</v>
          </cell>
          <cell r="CF92"/>
          <cell r="CG92" t="str">
            <v>NO</v>
          </cell>
          <cell r="CJ92"/>
          <cell r="CK92" t="str">
            <v>BOLD</v>
          </cell>
          <cell r="CN92"/>
          <cell r="CO92" t="str">
            <v>BOLD</v>
          </cell>
          <cell r="CP92" t="str">
            <v>Mining - P&amp;P Reserves Contained Lead</v>
          </cell>
          <cell r="CQ92" t="str">
            <v>MINING_P&amp;P_RSRVS_CONTAINED_LEAD</v>
          </cell>
          <cell r="CR92"/>
          <cell r="CS92" t="str">
            <v>BOLD</v>
          </cell>
          <cell r="CV92"/>
          <cell r="CW92" t="str">
            <v>BOLD</v>
          </cell>
          <cell r="CZ92"/>
          <cell r="DA92" t="str">
            <v>BOLD</v>
          </cell>
          <cell r="DD92"/>
          <cell r="DE92" t="str">
            <v>BOLD</v>
          </cell>
          <cell r="DH92"/>
          <cell r="DI92" t="str">
            <v>BOLD</v>
          </cell>
          <cell r="DL92"/>
          <cell r="DM92" t="str">
            <v>BOLD</v>
          </cell>
          <cell r="DP92"/>
          <cell r="DQ92" t="str">
            <v>BOLD</v>
          </cell>
          <cell r="DT92"/>
          <cell r="DU92" t="str">
            <v>BOLD</v>
          </cell>
          <cell r="DX92"/>
          <cell r="DY92" t="str">
            <v>BOLD</v>
          </cell>
          <cell r="EB92"/>
          <cell r="EC92" t="str">
            <v>BOLD</v>
          </cell>
          <cell r="EF92"/>
          <cell r="EG92" t="str">
            <v>BOLD</v>
          </cell>
          <cell r="EJ92"/>
          <cell r="EK92" t="str">
            <v>BOLD</v>
          </cell>
          <cell r="EN92"/>
          <cell r="EO92" t="str">
            <v>BOLD</v>
          </cell>
          <cell r="ER92"/>
          <cell r="ES92" t="str">
            <v>BOLD</v>
          </cell>
          <cell r="EV92"/>
          <cell r="EW92" t="str">
            <v>BOLD</v>
          </cell>
          <cell r="EZ92"/>
          <cell r="FA92" t="str">
            <v>BOLD</v>
          </cell>
          <cell r="FD92"/>
          <cell r="FE92" t="str">
            <v>BOLD</v>
          </cell>
          <cell r="FF92" t="str">
            <v>Normalized Income</v>
          </cell>
          <cell r="FG92" t="str">
            <v>NORMALIZED_INCOME</v>
          </cell>
          <cell r="FH92"/>
          <cell r="FI92" t="str">
            <v>BOLD</v>
          </cell>
          <cell r="FL92"/>
          <cell r="FM92" t="str">
            <v>BOLD</v>
          </cell>
          <cell r="FN92" t="str">
            <v>Total Number of Aircraft on Firm Order</v>
          </cell>
          <cell r="FO92" t="str">
            <v>AIRCRAFT_FIRM_ORDER_TOTAL</v>
          </cell>
          <cell r="FP92"/>
          <cell r="FQ92" t="str">
            <v>BOLD</v>
          </cell>
          <cell r="FT92"/>
          <cell r="FU92" t="str">
            <v>BOLD</v>
          </cell>
          <cell r="FX92"/>
          <cell r="FY92" t="str">
            <v>BOLD</v>
          </cell>
          <cell r="GB92"/>
          <cell r="GC92" t="str">
            <v>BOLD</v>
          </cell>
          <cell r="GF92"/>
          <cell r="GG92" t="str">
            <v>BOLD</v>
          </cell>
          <cell r="GJ92"/>
          <cell r="GK92" t="str">
            <v>BOLD</v>
          </cell>
          <cell r="GN92"/>
          <cell r="GO92" t="str">
            <v>BOLD</v>
          </cell>
          <cell r="GR92"/>
          <cell r="GS92" t="str">
            <v>BOLD</v>
          </cell>
          <cell r="GV92"/>
          <cell r="GW92" t="str">
            <v>BOLD</v>
          </cell>
          <cell r="GZ92"/>
          <cell r="HA92" t="str">
            <v>BOLD</v>
          </cell>
          <cell r="HD92"/>
          <cell r="HE92" t="str">
            <v>BOLD</v>
          </cell>
          <cell r="HH92"/>
          <cell r="HI92" t="str">
            <v>BOLD</v>
          </cell>
          <cell r="HL92"/>
          <cell r="HM92" t="str">
            <v>BOLD</v>
          </cell>
          <cell r="HP92"/>
          <cell r="HQ92" t="str">
            <v>BOLD</v>
          </cell>
          <cell r="HT92"/>
          <cell r="HU92" t="str">
            <v>BOLD</v>
          </cell>
          <cell r="HV92" t="str">
            <v>- Other Adjustments</v>
          </cell>
          <cell r="HW92" t="str">
            <v>OTHER_ADJUSTMENTS</v>
          </cell>
          <cell r="HX92"/>
          <cell r="HY92" t="str">
            <v>BOLD</v>
          </cell>
          <cell r="IB92"/>
          <cell r="IC92" t="str">
            <v>BOLD</v>
          </cell>
          <cell r="IH92" t="str">
            <v>Level 3 Assets/Total Assets</v>
          </cell>
          <cell r="II92" t="str">
            <v>LEVEL_3_ASSETS_TO_TOTAL_ASSETS</v>
          </cell>
          <cell r="IJ92"/>
          <cell r="IK92" t="str">
            <v>BOLD</v>
          </cell>
          <cell r="IP92" t="str">
            <v>+ Interruptible</v>
          </cell>
          <cell r="IQ92" t="str">
            <v>IS_GAS_REV_INTERRUPT</v>
          </cell>
          <cell r="IR92"/>
          <cell r="IS92" t="str">
            <v>BOLD</v>
          </cell>
          <cell r="IX92" t="str">
            <v>Net Interest Income Growth</v>
          </cell>
          <cell r="IY92" t="str">
            <v>NET_INT_INC_GROWTH</v>
          </cell>
          <cell r="IZ92"/>
          <cell r="JA92" t="str">
            <v>BOLD</v>
          </cell>
          <cell r="JD92"/>
          <cell r="JE92" t="str">
            <v>BOLD</v>
          </cell>
        </row>
        <row r="93">
          <cell r="A93">
            <v>92</v>
          </cell>
          <cell r="D93"/>
          <cell r="E93" t="str">
            <v>BOLD</v>
          </cell>
          <cell r="F93" t="str">
            <v>Card Revenue Margin</v>
          </cell>
          <cell r="G93" t="str">
            <v>CARD_REVENUE_MARGIN</v>
          </cell>
          <cell r="H93"/>
          <cell r="I93" t="str">
            <v>BOLD</v>
          </cell>
          <cell r="P93"/>
          <cell r="Q93" t="str">
            <v>BOLD</v>
          </cell>
          <cell r="T93"/>
          <cell r="U93" t="str">
            <v>BOLD</v>
          </cell>
          <cell r="X93"/>
          <cell r="Y93" t="str">
            <v>BOLD</v>
          </cell>
          <cell r="AB93"/>
          <cell r="AC93" t="str">
            <v>BOLD</v>
          </cell>
          <cell r="AF93"/>
          <cell r="AG93" t="str">
            <v>BOLD</v>
          </cell>
          <cell r="AJ93"/>
          <cell r="AK93" t="str">
            <v>BOLD</v>
          </cell>
          <cell r="AL93" t="str">
            <v>Contained Molybdenum (Tons)</v>
          </cell>
          <cell r="AM93" t="str">
            <v>MINING_INFER_RES_CONT_MOLYBDENUM</v>
          </cell>
          <cell r="AN93"/>
          <cell r="AO93" t="str">
            <v>BOLD</v>
          </cell>
          <cell r="AR93"/>
          <cell r="AS93" t="str">
            <v>BOLD</v>
          </cell>
          <cell r="AV93"/>
          <cell r="AW93" t="str">
            <v>BOLD</v>
          </cell>
          <cell r="AZ93"/>
          <cell r="BA93" t="str">
            <v>BOLD</v>
          </cell>
          <cell r="BD93"/>
          <cell r="BE93" t="str">
            <v>BOLD</v>
          </cell>
          <cell r="BH93"/>
          <cell r="BI93" t="str">
            <v>BOLD</v>
          </cell>
          <cell r="BL93"/>
          <cell r="BM93" t="str">
            <v>BOLD</v>
          </cell>
          <cell r="BP93"/>
          <cell r="BQ93" t="str">
            <v>BOLD</v>
          </cell>
          <cell r="BT93"/>
          <cell r="BU93" t="str">
            <v>BOLD</v>
          </cell>
          <cell r="BV93" t="str">
            <v xml:space="preserve">  + Revisions</v>
          </cell>
          <cell r="BW93" t="str">
            <v>GAS_REVISIONS_MIDEAST</v>
          </cell>
          <cell r="BX93"/>
          <cell r="BY93" t="str">
            <v>NO</v>
          </cell>
          <cell r="BZ93" t="str">
            <v xml:space="preserve">  + Sales</v>
          </cell>
          <cell r="CA93" t="str">
            <v>OIL_SALES_MIDDLE_EAST</v>
          </cell>
          <cell r="CB93"/>
          <cell r="CC93" t="str">
            <v>NO</v>
          </cell>
          <cell r="CD93" t="str">
            <v xml:space="preserve">  End of year</v>
          </cell>
          <cell r="CE93" t="str">
            <v>BOE_END_YEAR_AFRICA</v>
          </cell>
          <cell r="CF93"/>
          <cell r="CG93" t="str">
            <v>NO</v>
          </cell>
          <cell r="CJ93"/>
          <cell r="CK93" t="str">
            <v>BOLD</v>
          </cell>
          <cell r="CN93"/>
          <cell r="CO93" t="str">
            <v>BOLD</v>
          </cell>
          <cell r="CP93" t="str">
            <v>Mining - M&amp;I Resources Contained Lead</v>
          </cell>
          <cell r="CQ93" t="str">
            <v>MINING_M&amp;I_RES_CONTAINED_LEAD</v>
          </cell>
          <cell r="CR93"/>
          <cell r="CS93" t="str">
            <v>BOLD</v>
          </cell>
          <cell r="CV93"/>
          <cell r="CW93" t="str">
            <v>BOLD</v>
          </cell>
          <cell r="CZ93"/>
          <cell r="DA93" t="str">
            <v>BOLD</v>
          </cell>
          <cell r="DD93"/>
          <cell r="DE93" t="str">
            <v>BOLD</v>
          </cell>
          <cell r="DH93"/>
          <cell r="DI93" t="str">
            <v>BOLD</v>
          </cell>
          <cell r="DL93"/>
          <cell r="DM93" t="str">
            <v>BOLD</v>
          </cell>
          <cell r="DP93"/>
          <cell r="DQ93" t="str">
            <v>BOLD</v>
          </cell>
          <cell r="DT93"/>
          <cell r="DU93" t="str">
            <v>BOLD</v>
          </cell>
          <cell r="DX93"/>
          <cell r="DY93" t="str">
            <v>BOLD</v>
          </cell>
          <cell r="EB93"/>
          <cell r="EC93" t="str">
            <v>BOLD</v>
          </cell>
          <cell r="EF93"/>
          <cell r="EG93" t="str">
            <v>BOLD</v>
          </cell>
          <cell r="EJ93"/>
          <cell r="EK93" t="str">
            <v>BOLD</v>
          </cell>
          <cell r="EN93"/>
          <cell r="EO93" t="str">
            <v>BOLD</v>
          </cell>
          <cell r="ER93"/>
          <cell r="ES93" t="str">
            <v>BOLD</v>
          </cell>
          <cell r="EV93"/>
          <cell r="EW93" t="str">
            <v>BOLD</v>
          </cell>
          <cell r="EZ93"/>
          <cell r="FA93" t="str">
            <v>BOLD</v>
          </cell>
          <cell r="FD93"/>
          <cell r="FE93" t="str">
            <v>BOLD</v>
          </cell>
          <cell r="FH93"/>
          <cell r="FI93" t="str">
            <v>BOLD</v>
          </cell>
          <cell r="FL93"/>
          <cell r="FM93" t="str">
            <v>BOLD</v>
          </cell>
          <cell r="FN93" t="str">
            <v xml:space="preserve">  Number of Aircraft on Firm Order Yr 1</v>
          </cell>
          <cell r="FO93" t="str">
            <v>AIRCRAFT_FIRM_ORDER_YR1</v>
          </cell>
          <cell r="FP93"/>
          <cell r="FQ93" t="str">
            <v>NO</v>
          </cell>
          <cell r="FT93"/>
          <cell r="FU93" t="str">
            <v>BOLD</v>
          </cell>
          <cell r="FX93"/>
          <cell r="FY93" t="str">
            <v>BOLD</v>
          </cell>
          <cell r="GB93"/>
          <cell r="GC93" t="str">
            <v>BOLD</v>
          </cell>
          <cell r="GF93"/>
          <cell r="GG93" t="str">
            <v>BOLD</v>
          </cell>
          <cell r="GJ93"/>
          <cell r="GK93" t="str">
            <v>BOLD</v>
          </cell>
          <cell r="GN93"/>
          <cell r="GO93" t="str">
            <v>BOLD</v>
          </cell>
          <cell r="GR93"/>
          <cell r="GS93" t="str">
            <v>BOLD</v>
          </cell>
          <cell r="GV93"/>
          <cell r="GW93" t="str">
            <v>BOLD</v>
          </cell>
          <cell r="GZ93"/>
          <cell r="HA93" t="str">
            <v>BOLD</v>
          </cell>
          <cell r="HD93"/>
          <cell r="HE93" t="str">
            <v>BOLD</v>
          </cell>
          <cell r="HH93"/>
          <cell r="HI93" t="str">
            <v>BOLD</v>
          </cell>
          <cell r="HL93"/>
          <cell r="HM93" t="str">
            <v>BOLD</v>
          </cell>
          <cell r="HP93"/>
          <cell r="HQ93" t="str">
            <v>BOLD</v>
          </cell>
          <cell r="HT93"/>
          <cell r="HU93" t="str">
            <v>BOLD</v>
          </cell>
          <cell r="HV93" t="str">
            <v xml:space="preserve">  Net Inc Avail to Common Shareholders</v>
          </cell>
          <cell r="HW93" t="str">
            <v>EARN_FOR_COMMON</v>
          </cell>
          <cell r="HX93"/>
          <cell r="HY93" t="str">
            <v>NO</v>
          </cell>
          <cell r="HZ93" t="str">
            <v>Policyhldr benefits L</v>
          </cell>
          <cell r="IA93" t="str">
            <v>POLICYHOLDERS_BENEFIT</v>
          </cell>
          <cell r="IB93"/>
          <cell r="IC93" t="str">
            <v>BOLD</v>
          </cell>
          <cell r="IH93" t="str">
            <v>Total Fair Value Assets/Total Assets</v>
          </cell>
          <cell r="II93" t="str">
            <v>TOT_FAIR_VAL_ASSET_TO_TOT_ASSETS</v>
          </cell>
          <cell r="IJ93"/>
          <cell r="IK93" t="str">
            <v>BOLD</v>
          </cell>
          <cell r="IP93" t="str">
            <v>+ Transport &amp; Other</v>
          </cell>
          <cell r="IQ93" t="str">
            <v>IS_GAS_REV_TRANS_OTHER</v>
          </cell>
          <cell r="IR93"/>
          <cell r="IS93" t="str">
            <v>BOLD</v>
          </cell>
          <cell r="IX93" t="str">
            <v>Net Inc Growth</v>
          </cell>
          <cell r="IY93" t="str">
            <v>NET_INC_GROWTH</v>
          </cell>
          <cell r="IZ93"/>
          <cell r="JA93" t="str">
            <v>BOLD</v>
          </cell>
          <cell r="JB93" t="str">
            <v>Policyhldr benefits L</v>
          </cell>
          <cell r="JC93" t="str">
            <v>POLICYHOLDERS_BENEFIT</v>
          </cell>
          <cell r="JD93"/>
          <cell r="JE93" t="str">
            <v>BOLD</v>
          </cell>
        </row>
        <row r="94">
          <cell r="A94">
            <v>93</v>
          </cell>
          <cell r="D94"/>
          <cell r="E94" t="str">
            <v>BOLD</v>
          </cell>
          <cell r="F94" t="str">
            <v>Card Risk-Adjusted Rev Margin</v>
          </cell>
          <cell r="G94" t="str">
            <v>CARD_RISK_ADJ_REVENUE_MARGIN</v>
          </cell>
          <cell r="H94"/>
          <cell r="I94" t="str">
            <v>BOLD</v>
          </cell>
          <cell r="P94"/>
          <cell r="Q94" t="str">
            <v>BOLD</v>
          </cell>
          <cell r="T94"/>
          <cell r="U94" t="str">
            <v>BOLD</v>
          </cell>
          <cell r="X94"/>
          <cell r="Y94" t="str">
            <v>BOLD</v>
          </cell>
          <cell r="AB94"/>
          <cell r="AC94" t="str">
            <v>BOLD</v>
          </cell>
          <cell r="AF94"/>
          <cell r="AG94" t="str">
            <v>BOLD</v>
          </cell>
          <cell r="AJ94"/>
          <cell r="AK94" t="str">
            <v>BOLD</v>
          </cell>
          <cell r="AL94" t="str">
            <v>Nickel - Ore Volume (Tons)</v>
          </cell>
          <cell r="AM94" t="str">
            <v>MINING_INFERRED_RES_NICKEL_VOL</v>
          </cell>
          <cell r="AN94"/>
          <cell r="AO94" t="str">
            <v>BOLD</v>
          </cell>
          <cell r="AR94"/>
          <cell r="AS94" t="str">
            <v>BOLD</v>
          </cell>
          <cell r="AV94"/>
          <cell r="AW94" t="str">
            <v>BOLD</v>
          </cell>
          <cell r="AZ94"/>
          <cell r="BA94" t="str">
            <v>BOLD</v>
          </cell>
          <cell r="BD94"/>
          <cell r="BE94" t="str">
            <v>BOLD</v>
          </cell>
          <cell r="BH94"/>
          <cell r="BI94" t="str">
            <v>BOLD</v>
          </cell>
          <cell r="BL94"/>
          <cell r="BM94" t="str">
            <v>BOLD</v>
          </cell>
          <cell r="BP94"/>
          <cell r="BQ94" t="str">
            <v>BOLD</v>
          </cell>
          <cell r="BT94"/>
          <cell r="BU94" t="str">
            <v>BOLD</v>
          </cell>
          <cell r="BV94" t="str">
            <v xml:space="preserve">  + Improved Recovery</v>
          </cell>
          <cell r="BW94" t="str">
            <v>GAS_IMPROV_REC_MIDEAST</v>
          </cell>
          <cell r="BX94"/>
          <cell r="BY94" t="str">
            <v>NO</v>
          </cell>
          <cell r="BZ94" t="str">
            <v xml:space="preserve">  + Production</v>
          </cell>
          <cell r="CA94" t="str">
            <v>OIL_PRODUCTION_MIDDLE_EAST</v>
          </cell>
          <cell r="CB94"/>
          <cell r="CC94" t="str">
            <v>NO</v>
          </cell>
          <cell r="CD94" t="str">
            <v xml:space="preserve">  Developed Reserves</v>
          </cell>
          <cell r="CE94" t="str">
            <v>BOE_DEVEL_RESV_AFRICA</v>
          </cell>
          <cell r="CF94"/>
          <cell r="CG94" t="str">
            <v>NO</v>
          </cell>
          <cell r="CJ94"/>
          <cell r="CK94" t="str">
            <v>BOLD</v>
          </cell>
          <cell r="CN94"/>
          <cell r="CO94" t="str">
            <v>BOLD</v>
          </cell>
          <cell r="CP94" t="str">
            <v>Mining - Inferred Resources Contained Lead</v>
          </cell>
          <cell r="CQ94" t="str">
            <v>MINING_INFER_RES_CONTAINED_LEAD</v>
          </cell>
          <cell r="CR94"/>
          <cell r="CS94" t="str">
            <v>BOLD</v>
          </cell>
          <cell r="CV94"/>
          <cell r="CW94" t="str">
            <v>BOLD</v>
          </cell>
          <cell r="CZ94"/>
          <cell r="DA94" t="str">
            <v>BOLD</v>
          </cell>
          <cell r="DD94"/>
          <cell r="DE94" t="str">
            <v>BOLD</v>
          </cell>
          <cell r="DH94"/>
          <cell r="DI94" t="str">
            <v>BOLD</v>
          </cell>
          <cell r="DL94"/>
          <cell r="DM94" t="str">
            <v>BOLD</v>
          </cell>
          <cell r="DP94"/>
          <cell r="DQ94" t="str">
            <v>BOLD</v>
          </cell>
          <cell r="DT94"/>
          <cell r="DU94" t="str">
            <v>BOLD</v>
          </cell>
          <cell r="DX94"/>
          <cell r="DY94" t="str">
            <v>BOLD</v>
          </cell>
          <cell r="EB94"/>
          <cell r="EC94" t="str">
            <v>BOLD</v>
          </cell>
          <cell r="EF94"/>
          <cell r="EG94" t="str">
            <v>BOLD</v>
          </cell>
          <cell r="EJ94"/>
          <cell r="EK94" t="str">
            <v>BOLD</v>
          </cell>
          <cell r="EN94"/>
          <cell r="EO94" t="str">
            <v>BOLD</v>
          </cell>
          <cell r="ER94"/>
          <cell r="ES94" t="str">
            <v>BOLD</v>
          </cell>
          <cell r="EV94"/>
          <cell r="EW94" t="str">
            <v>BOLD</v>
          </cell>
          <cell r="EZ94"/>
          <cell r="FA94" t="str">
            <v>BOLD</v>
          </cell>
          <cell r="FD94"/>
          <cell r="FE94" t="str">
            <v>BOLD</v>
          </cell>
          <cell r="FF94" t="str">
            <v>Dividends</v>
          </cell>
          <cell r="FG94" t="str">
            <v>LABEL</v>
          </cell>
          <cell r="FH94"/>
          <cell r="FI94" t="str">
            <v>BOLD</v>
          </cell>
          <cell r="FL94"/>
          <cell r="FM94" t="str">
            <v>BOLD</v>
          </cell>
          <cell r="FN94" t="str">
            <v xml:space="preserve">  Number of Aircraft on Firm Order Yr 2</v>
          </cell>
          <cell r="FO94" t="str">
            <v>AIRCRAFT_FIRM_ORDER_YR2</v>
          </cell>
          <cell r="FP94"/>
          <cell r="FQ94" t="str">
            <v>NO</v>
          </cell>
          <cell r="FT94"/>
          <cell r="FU94" t="str">
            <v>BOLD</v>
          </cell>
          <cell r="FX94"/>
          <cell r="FY94" t="str">
            <v>BOLD</v>
          </cell>
          <cell r="GB94"/>
          <cell r="GC94" t="str">
            <v>BOLD</v>
          </cell>
          <cell r="GF94"/>
          <cell r="GG94" t="str">
            <v>BOLD</v>
          </cell>
          <cell r="GJ94"/>
          <cell r="GK94" t="str">
            <v>BOLD</v>
          </cell>
          <cell r="GN94"/>
          <cell r="GO94" t="str">
            <v>BOLD</v>
          </cell>
          <cell r="GR94"/>
          <cell r="GS94" t="str">
            <v>BOLD</v>
          </cell>
          <cell r="GV94"/>
          <cell r="GW94" t="str">
            <v>BOLD</v>
          </cell>
          <cell r="GZ94"/>
          <cell r="HA94" t="str">
            <v>BOLD</v>
          </cell>
          <cell r="HD94"/>
          <cell r="HE94" t="str">
            <v>BOLD</v>
          </cell>
          <cell r="HH94"/>
          <cell r="HI94" t="str">
            <v>BOLD</v>
          </cell>
          <cell r="HL94"/>
          <cell r="HM94" t="str">
            <v>BOLD</v>
          </cell>
          <cell r="HP94"/>
          <cell r="HQ94" t="str">
            <v>BOLD</v>
          </cell>
          <cell r="HT94"/>
          <cell r="HU94" t="str">
            <v>BOLD</v>
          </cell>
          <cell r="HV94" t="str">
            <v xml:space="preserve">  Basic EPS Before Abnormal Items</v>
          </cell>
          <cell r="HW94" t="str">
            <v>IS_BASIC_EPS_CONT_OPS</v>
          </cell>
          <cell r="HX94" t="str">
            <v>EPS</v>
          </cell>
          <cell r="HY94" t="str">
            <v>NOEPS</v>
          </cell>
          <cell r="HZ94" t="str">
            <v>Benefit Ratio (Life)</v>
          </cell>
          <cell r="IA94" t="str">
            <v>BENEFIT_RATIO_LIFE</v>
          </cell>
          <cell r="IB94"/>
          <cell r="IC94" t="str">
            <v>BOLD</v>
          </cell>
          <cell r="IH94" t="str">
            <v>Level 3 Assets/Total Equity</v>
          </cell>
          <cell r="II94" t="str">
            <v>LEVEL_3_ASSETS_TO_TOTAL_EQUITY</v>
          </cell>
          <cell r="IJ94"/>
          <cell r="IK94" t="str">
            <v>BOLD</v>
          </cell>
          <cell r="IP94" t="str">
            <v>Total Gas Revenue</v>
          </cell>
          <cell r="IQ94" t="str">
            <v>TOT_GAS_REV</v>
          </cell>
          <cell r="IR94"/>
          <cell r="IS94" t="str">
            <v>BOLD</v>
          </cell>
          <cell r="IX94" t="str">
            <v>Dividend Payout Ratio</v>
          </cell>
          <cell r="IY94" t="str">
            <v>DVD_PAYOUT_RATIO</v>
          </cell>
          <cell r="IZ94"/>
          <cell r="JA94" t="str">
            <v>BOLD</v>
          </cell>
          <cell r="JB94" t="str">
            <v>Benefit Ratio (Life)</v>
          </cell>
          <cell r="JC94" t="str">
            <v>BENEFIT_RATIO_LIFE</v>
          </cell>
          <cell r="JD94"/>
          <cell r="JE94" t="str">
            <v>BOLD</v>
          </cell>
        </row>
        <row r="95">
          <cell r="A95">
            <v>94</v>
          </cell>
          <cell r="D95"/>
          <cell r="E95" t="str">
            <v>BOLD</v>
          </cell>
          <cell r="F95" t="str">
            <v>Avg Yield - Mgd Basis</v>
          </cell>
          <cell r="G95" t="str">
            <v>AVERAGE_YIELD_MANAGED_BASIS</v>
          </cell>
          <cell r="H95"/>
          <cell r="I95" t="str">
            <v>BOLD</v>
          </cell>
          <cell r="P95"/>
          <cell r="Q95" t="str">
            <v>BOLD</v>
          </cell>
          <cell r="T95"/>
          <cell r="U95" t="str">
            <v>BOLD</v>
          </cell>
          <cell r="X95"/>
          <cell r="Y95" t="str">
            <v>BOLD</v>
          </cell>
          <cell r="AB95"/>
          <cell r="AC95" t="str">
            <v>BOLD</v>
          </cell>
          <cell r="AF95"/>
          <cell r="AG95" t="str">
            <v>BOLD</v>
          </cell>
          <cell r="AJ95"/>
          <cell r="AK95" t="str">
            <v>BOLD</v>
          </cell>
          <cell r="AL95" t="str">
            <v>Nickel - Grade (%)</v>
          </cell>
          <cell r="AM95" t="str">
            <v>MINING_INFERRED_RES_NICKEL_GRADE</v>
          </cell>
          <cell r="AN95"/>
          <cell r="AO95" t="str">
            <v>BOLD</v>
          </cell>
          <cell r="AR95"/>
          <cell r="AS95" t="str">
            <v>BOLD</v>
          </cell>
          <cell r="AV95"/>
          <cell r="AW95" t="str">
            <v>BOLD</v>
          </cell>
          <cell r="AZ95"/>
          <cell r="BA95" t="str">
            <v>BOLD</v>
          </cell>
          <cell r="BD95"/>
          <cell r="BE95" t="str">
            <v>BOLD</v>
          </cell>
          <cell r="BH95"/>
          <cell r="BI95" t="str">
            <v>BOLD</v>
          </cell>
          <cell r="BL95"/>
          <cell r="BM95" t="str">
            <v>BOLD</v>
          </cell>
          <cell r="BP95"/>
          <cell r="BQ95" t="str">
            <v>BOLD</v>
          </cell>
          <cell r="BT95"/>
          <cell r="BU95" t="str">
            <v>BOLD</v>
          </cell>
          <cell r="BV95" t="str">
            <v xml:space="preserve">  + Extensions &amp; Discoveries</v>
          </cell>
          <cell r="BW95" t="str">
            <v>GAS_EXTENS_DISCOV_MIDEAST</v>
          </cell>
          <cell r="BX95"/>
          <cell r="BY95" t="str">
            <v>NO</v>
          </cell>
          <cell r="BZ95" t="str">
            <v xml:space="preserve">  + Other</v>
          </cell>
          <cell r="CA95" t="str">
            <v>OIL_OTHER_CHANGES_MIDDLE_EAST</v>
          </cell>
          <cell r="CB95"/>
          <cell r="CC95" t="str">
            <v>NO</v>
          </cell>
          <cell r="CD95" t="str">
            <v xml:space="preserve">  Reserves (West Africa)</v>
          </cell>
          <cell r="CE95" t="str">
            <v>BOE_RESERVES_END_YR_WEST_AFRICA</v>
          </cell>
          <cell r="CF95"/>
          <cell r="CG95" t="str">
            <v>NO</v>
          </cell>
          <cell r="CJ95"/>
          <cell r="CK95" t="str">
            <v>BOLD</v>
          </cell>
          <cell r="CN95"/>
          <cell r="CO95" t="str">
            <v>BOLD</v>
          </cell>
          <cell r="CP95" t="str">
            <v>Mining - P&amp;P Reserves Contained Molybdenum</v>
          </cell>
          <cell r="CQ95" t="str">
            <v>MINING_P&amp;P_RSRV_CONT_MOLYBDENUM</v>
          </cell>
          <cell r="CR95"/>
          <cell r="CS95" t="str">
            <v>BOLD</v>
          </cell>
          <cell r="CV95"/>
          <cell r="CW95" t="str">
            <v>BOLD</v>
          </cell>
          <cell r="CZ95"/>
          <cell r="DA95" t="str">
            <v>BOLD</v>
          </cell>
          <cell r="DD95"/>
          <cell r="DE95" t="str">
            <v>BOLD</v>
          </cell>
          <cell r="DH95"/>
          <cell r="DI95" t="str">
            <v>BOLD</v>
          </cell>
          <cell r="DL95"/>
          <cell r="DM95" t="str">
            <v>BOLD</v>
          </cell>
          <cell r="DP95"/>
          <cell r="DQ95" t="str">
            <v>BOLD</v>
          </cell>
          <cell r="DT95"/>
          <cell r="DU95" t="str">
            <v>BOLD</v>
          </cell>
          <cell r="DX95"/>
          <cell r="DY95" t="str">
            <v>BOLD</v>
          </cell>
          <cell r="EB95"/>
          <cell r="EC95" t="str">
            <v>BOLD</v>
          </cell>
          <cell r="EF95"/>
          <cell r="EG95" t="str">
            <v>BOLD</v>
          </cell>
          <cell r="EJ95"/>
          <cell r="EK95" t="str">
            <v>BOLD</v>
          </cell>
          <cell r="EN95"/>
          <cell r="EO95" t="str">
            <v>BOLD</v>
          </cell>
          <cell r="ER95"/>
          <cell r="ES95" t="str">
            <v>BOLD</v>
          </cell>
          <cell r="EV95"/>
          <cell r="EW95" t="str">
            <v>BOLD</v>
          </cell>
          <cell r="EZ95"/>
          <cell r="FA95" t="str">
            <v>BOLD</v>
          </cell>
          <cell r="FD95"/>
          <cell r="FE95" t="str">
            <v>BOLD</v>
          </cell>
          <cell r="FF95" t="str">
            <v>Dividends per Share</v>
          </cell>
          <cell r="FG95" t="str">
            <v>EQY_DPS</v>
          </cell>
          <cell r="FH95"/>
          <cell r="FI95" t="str">
            <v>BOLD</v>
          </cell>
          <cell r="FL95"/>
          <cell r="FM95" t="str">
            <v>BOLD</v>
          </cell>
          <cell r="FN95" t="str">
            <v xml:space="preserve">  Number of Aircraft on Firm Order Yr 3</v>
          </cell>
          <cell r="FO95" t="str">
            <v>AIRCRAFT_FIRM_ORDER_YR3</v>
          </cell>
          <cell r="FP95"/>
          <cell r="FQ95" t="str">
            <v>NO</v>
          </cell>
          <cell r="FT95"/>
          <cell r="FU95" t="str">
            <v>BOLD</v>
          </cell>
          <cell r="FX95"/>
          <cell r="FY95" t="str">
            <v>BOLD</v>
          </cell>
          <cell r="GB95"/>
          <cell r="GC95" t="str">
            <v>BOLD</v>
          </cell>
          <cell r="GF95"/>
          <cell r="GG95" t="str">
            <v>BOLD</v>
          </cell>
          <cell r="GJ95"/>
          <cell r="GK95" t="str">
            <v>BOLD</v>
          </cell>
          <cell r="GN95"/>
          <cell r="GO95" t="str">
            <v>BOLD</v>
          </cell>
          <cell r="GR95"/>
          <cell r="GS95" t="str">
            <v>BOLD</v>
          </cell>
          <cell r="GV95"/>
          <cell r="GW95" t="str">
            <v>BOLD</v>
          </cell>
          <cell r="GZ95"/>
          <cell r="HA95" t="str">
            <v>BOLD</v>
          </cell>
          <cell r="HD95"/>
          <cell r="HE95" t="str">
            <v>BOLD</v>
          </cell>
          <cell r="HH95"/>
          <cell r="HI95" t="str">
            <v>BOLD</v>
          </cell>
          <cell r="HL95"/>
          <cell r="HM95" t="str">
            <v>BOLD</v>
          </cell>
          <cell r="HP95"/>
          <cell r="HQ95" t="str">
            <v>BOLD</v>
          </cell>
          <cell r="HT95"/>
          <cell r="HU95" t="str">
            <v>BOLD</v>
          </cell>
          <cell r="HV95" t="str">
            <v xml:space="preserve">  Basic EPS Before XO Items</v>
          </cell>
          <cell r="HW95" t="str">
            <v>IS_EARN_BEF_XO_ITEMS_PER_SH</v>
          </cell>
          <cell r="HX95" t="str">
            <v>EPS</v>
          </cell>
          <cell r="HY95" t="str">
            <v>NOEPS</v>
          </cell>
          <cell r="IB95"/>
          <cell r="IC95" t="str">
            <v>BOLD</v>
          </cell>
          <cell r="IH95" t="str">
            <v>Total Fair Value Assets/Total Equity</v>
          </cell>
          <cell r="II95" t="str">
            <v>TOT_FAIR_VAL_ASSETS_TO_TOT_EQTY</v>
          </cell>
          <cell r="IJ95"/>
          <cell r="IK95" t="str">
            <v>BOLD</v>
          </cell>
          <cell r="IR95"/>
          <cell r="IS95" t="str">
            <v>BOLD</v>
          </cell>
          <cell r="IX95" t="str">
            <v>Net Revenue Growth</v>
          </cell>
          <cell r="IY95" t="str">
            <v>NET_REV_GROWTH</v>
          </cell>
          <cell r="IZ95"/>
          <cell r="JA95" t="str">
            <v>BOLD</v>
          </cell>
          <cell r="JD95"/>
          <cell r="JE95" t="str">
            <v>BOLD</v>
          </cell>
        </row>
        <row r="96">
          <cell r="A96">
            <v>95</v>
          </cell>
          <cell r="D96"/>
          <cell r="E96" t="str">
            <v>BOLD</v>
          </cell>
          <cell r="F96" t="str">
            <v>Card Avg Yield - Mgd Basis</v>
          </cell>
          <cell r="G96" t="str">
            <v>CARD_AVERAGE_YIELD_MGD_BASIS</v>
          </cell>
          <cell r="H96"/>
          <cell r="I96" t="str">
            <v>BOLD</v>
          </cell>
          <cell r="P96"/>
          <cell r="Q96" t="str">
            <v>BOLD</v>
          </cell>
          <cell r="T96"/>
          <cell r="U96" t="str">
            <v>BOLD</v>
          </cell>
          <cell r="X96"/>
          <cell r="Y96" t="str">
            <v>BOLD</v>
          </cell>
          <cell r="AB96"/>
          <cell r="AC96" t="str">
            <v>BOLD</v>
          </cell>
          <cell r="AF96"/>
          <cell r="AG96" t="str">
            <v>BOLD</v>
          </cell>
          <cell r="AJ96"/>
          <cell r="AK96" t="str">
            <v>BOLD</v>
          </cell>
          <cell r="AL96" t="str">
            <v>Contained Nickel (Tons)</v>
          </cell>
          <cell r="AM96" t="str">
            <v>MINING_INFER_RES_CONTAIN_NICKEL</v>
          </cell>
          <cell r="AN96"/>
          <cell r="AO96" t="str">
            <v>BOLD</v>
          </cell>
          <cell r="AR96"/>
          <cell r="AS96" t="str">
            <v>BOLD</v>
          </cell>
          <cell r="AV96"/>
          <cell r="AW96" t="str">
            <v>BOLD</v>
          </cell>
          <cell r="AZ96"/>
          <cell r="BA96" t="str">
            <v>BOLD</v>
          </cell>
          <cell r="BD96"/>
          <cell r="BE96" t="str">
            <v>BOLD</v>
          </cell>
          <cell r="BH96"/>
          <cell r="BI96" t="str">
            <v>BOLD</v>
          </cell>
          <cell r="BL96"/>
          <cell r="BM96" t="str">
            <v>BOLD</v>
          </cell>
          <cell r="BP96"/>
          <cell r="BQ96" t="str">
            <v>BOLD</v>
          </cell>
          <cell r="BT96"/>
          <cell r="BU96" t="str">
            <v>BOLD</v>
          </cell>
          <cell r="BV96" t="str">
            <v xml:space="preserve">  + Purchases</v>
          </cell>
          <cell r="BW96" t="str">
            <v>GAS_PURCHASES_MIDEAST</v>
          </cell>
          <cell r="BX96"/>
          <cell r="BY96" t="str">
            <v>NO</v>
          </cell>
          <cell r="BZ96" t="str">
            <v xml:space="preserve">  + End of year</v>
          </cell>
          <cell r="CA96" t="str">
            <v>OIL_RESERVES_END_YEAR_MIDEAST</v>
          </cell>
          <cell r="CB96"/>
          <cell r="CC96" t="str">
            <v>NO</v>
          </cell>
          <cell r="CF96"/>
          <cell r="CG96" t="str">
            <v>BOLD</v>
          </cell>
          <cell r="CJ96"/>
          <cell r="CK96" t="str">
            <v>BOLD</v>
          </cell>
          <cell r="CN96"/>
          <cell r="CO96" t="str">
            <v>BOLD</v>
          </cell>
          <cell r="CP96" t="str">
            <v>Mining - M&amp;I Resources Contained Molybdenum</v>
          </cell>
          <cell r="CQ96" t="str">
            <v>MINING_M&amp;I_RES_CONT_MOLYBDENUM</v>
          </cell>
          <cell r="CR96"/>
          <cell r="CS96" t="str">
            <v>BOLD</v>
          </cell>
          <cell r="CV96"/>
          <cell r="CW96" t="str">
            <v>BOLD</v>
          </cell>
          <cell r="CZ96"/>
          <cell r="DA96" t="str">
            <v>BOLD</v>
          </cell>
          <cell r="DD96"/>
          <cell r="DE96" t="str">
            <v>BOLD</v>
          </cell>
          <cell r="DH96"/>
          <cell r="DI96" t="str">
            <v>BOLD</v>
          </cell>
          <cell r="DL96"/>
          <cell r="DM96" t="str">
            <v>BOLD</v>
          </cell>
          <cell r="DP96"/>
          <cell r="DQ96" t="str">
            <v>BOLD</v>
          </cell>
          <cell r="DT96"/>
          <cell r="DU96" t="str">
            <v>BOLD</v>
          </cell>
          <cell r="DX96"/>
          <cell r="DY96" t="str">
            <v>BOLD</v>
          </cell>
          <cell r="EB96"/>
          <cell r="EC96" t="str">
            <v>BOLD</v>
          </cell>
          <cell r="EF96"/>
          <cell r="EG96" t="str">
            <v>BOLD</v>
          </cell>
          <cell r="EJ96"/>
          <cell r="EK96" t="str">
            <v>BOLD</v>
          </cell>
          <cell r="EN96"/>
          <cell r="EO96" t="str">
            <v>BOLD</v>
          </cell>
          <cell r="ER96"/>
          <cell r="ES96" t="str">
            <v>BOLD</v>
          </cell>
          <cell r="EV96"/>
          <cell r="EW96" t="str">
            <v>BOLD</v>
          </cell>
          <cell r="EZ96"/>
          <cell r="FA96" t="str">
            <v>BOLD</v>
          </cell>
          <cell r="FD96"/>
          <cell r="FE96" t="str">
            <v>BOLD</v>
          </cell>
          <cell r="FF96" t="str">
            <v>Dividend Indicated Yld - Gross</v>
          </cell>
          <cell r="FG96" t="str">
            <v>EQY_DVD_YLD_IND</v>
          </cell>
          <cell r="FH96"/>
          <cell r="FI96" t="str">
            <v>BOLD</v>
          </cell>
          <cell r="FL96"/>
          <cell r="FM96" t="str">
            <v>BOLD</v>
          </cell>
          <cell r="FN96" t="str">
            <v xml:space="preserve">  Number of Aircraft on Firm Order Yr 4</v>
          </cell>
          <cell r="FO96" t="str">
            <v>AIRCRAFT_FIRM_ORDER_YR4</v>
          </cell>
          <cell r="FP96"/>
          <cell r="FQ96" t="str">
            <v>NO</v>
          </cell>
          <cell r="FT96"/>
          <cell r="FU96" t="str">
            <v>BOLD</v>
          </cell>
          <cell r="FX96"/>
          <cell r="FY96" t="str">
            <v>BOLD</v>
          </cell>
          <cell r="GB96"/>
          <cell r="GC96" t="str">
            <v>BOLD</v>
          </cell>
          <cell r="GF96"/>
          <cell r="GG96" t="str">
            <v>BOLD</v>
          </cell>
          <cell r="GJ96"/>
          <cell r="GK96" t="str">
            <v>BOLD</v>
          </cell>
          <cell r="GN96"/>
          <cell r="GO96" t="str">
            <v>BOLD</v>
          </cell>
          <cell r="GR96"/>
          <cell r="GS96" t="str">
            <v>BOLD</v>
          </cell>
          <cell r="GV96"/>
          <cell r="GW96" t="str">
            <v>BOLD</v>
          </cell>
          <cell r="GZ96"/>
          <cell r="HA96" t="str">
            <v>BOLD</v>
          </cell>
          <cell r="HD96"/>
          <cell r="HE96" t="str">
            <v>BOLD</v>
          </cell>
          <cell r="HH96"/>
          <cell r="HI96" t="str">
            <v>BOLD</v>
          </cell>
          <cell r="HL96"/>
          <cell r="HM96" t="str">
            <v>BOLD</v>
          </cell>
          <cell r="HP96"/>
          <cell r="HQ96" t="str">
            <v>BOLD</v>
          </cell>
          <cell r="HT96"/>
          <cell r="HU96" t="str">
            <v>BOLD</v>
          </cell>
          <cell r="HV96" t="str">
            <v xml:space="preserve">  Basic EPS</v>
          </cell>
          <cell r="HW96" t="str">
            <v>IS_EPS</v>
          </cell>
          <cell r="HX96" t="str">
            <v>EPS</v>
          </cell>
          <cell r="HY96" t="str">
            <v>NOEPS</v>
          </cell>
          <cell r="HZ96" t="str">
            <v>Net prem/Equity</v>
          </cell>
          <cell r="IA96" t="str">
            <v>NET_PREM_EARN_TO_SHRHLDR_EQY</v>
          </cell>
          <cell r="IB96"/>
          <cell r="IC96" t="str">
            <v>BOLD</v>
          </cell>
          <cell r="IJ96"/>
          <cell r="IK96" t="str">
            <v>BOLD</v>
          </cell>
          <cell r="IP96" t="str">
            <v>Gas Customers</v>
          </cell>
          <cell r="IQ96" t="str">
            <v>LABEL</v>
          </cell>
          <cell r="IR96"/>
          <cell r="IS96" t="str">
            <v>BOLD</v>
          </cell>
          <cell r="IX96" t="str">
            <v>Number of Outlets and Branches</v>
          </cell>
          <cell r="IY96" t="str">
            <v>NUM_OUTLETS_BRANCHES</v>
          </cell>
          <cell r="IZ96"/>
          <cell r="JA96" t="str">
            <v>BOLD</v>
          </cell>
          <cell r="JB96" t="str">
            <v>Net prem/Equity</v>
          </cell>
          <cell r="JC96" t="str">
            <v>NET_PREM_EARN_TO_SHRHLDR_EQY</v>
          </cell>
          <cell r="JD96"/>
          <cell r="JE96" t="str">
            <v>BOLD</v>
          </cell>
        </row>
        <row r="97">
          <cell r="A97">
            <v>96</v>
          </cell>
          <cell r="D97"/>
          <cell r="E97" t="str">
            <v>BOLD</v>
          </cell>
          <cell r="F97" t="str">
            <v>Overhead Efficiency - Mgd Basis</v>
          </cell>
          <cell r="G97" t="str">
            <v>OVERHEAD_EFFICIENCY_MGD_BASIS</v>
          </cell>
          <cell r="H97"/>
          <cell r="I97" t="str">
            <v>BOLD</v>
          </cell>
          <cell r="P97"/>
          <cell r="Q97" t="str">
            <v>BOLD</v>
          </cell>
          <cell r="T97"/>
          <cell r="U97" t="str">
            <v>BOLD</v>
          </cell>
          <cell r="X97"/>
          <cell r="Y97" t="str">
            <v>BOLD</v>
          </cell>
          <cell r="AB97"/>
          <cell r="AC97" t="str">
            <v>BOLD</v>
          </cell>
          <cell r="AF97"/>
          <cell r="AG97" t="str">
            <v>BOLD</v>
          </cell>
          <cell r="AJ97"/>
          <cell r="AK97" t="str">
            <v>BOLD</v>
          </cell>
          <cell r="AL97" t="str">
            <v>Tin - Ore Volume (Tons)</v>
          </cell>
          <cell r="AM97" t="str">
            <v>MINING_INFERRED_RES_TIN_VOLUME</v>
          </cell>
          <cell r="AN97"/>
          <cell r="AO97" t="str">
            <v>BOLD</v>
          </cell>
          <cell r="AR97"/>
          <cell r="AS97" t="str">
            <v>BOLD</v>
          </cell>
          <cell r="AV97"/>
          <cell r="AW97" t="str">
            <v>BOLD</v>
          </cell>
          <cell r="AZ97"/>
          <cell r="BA97" t="str">
            <v>BOLD</v>
          </cell>
          <cell r="BD97"/>
          <cell r="BE97" t="str">
            <v>BOLD</v>
          </cell>
          <cell r="BH97"/>
          <cell r="BI97" t="str">
            <v>BOLD</v>
          </cell>
          <cell r="BL97"/>
          <cell r="BM97" t="str">
            <v>BOLD</v>
          </cell>
          <cell r="BP97"/>
          <cell r="BQ97" t="str">
            <v>BOLD</v>
          </cell>
          <cell r="BT97"/>
          <cell r="BU97" t="str">
            <v>BOLD</v>
          </cell>
          <cell r="BV97" t="str">
            <v xml:space="preserve">  + Sales</v>
          </cell>
          <cell r="BW97" t="str">
            <v>GAS_SALES_MIDEAST</v>
          </cell>
          <cell r="BX97"/>
          <cell r="BY97" t="str">
            <v>NO</v>
          </cell>
          <cell r="BZ97" t="str">
            <v xml:space="preserve">  + Developed Reserves</v>
          </cell>
          <cell r="CA97" t="str">
            <v>OIL_DEVELOPED_RESERVES_MIDEAST</v>
          </cell>
          <cell r="CB97"/>
          <cell r="CC97" t="str">
            <v>NO</v>
          </cell>
          <cell r="CD97" t="str">
            <v>Mideast</v>
          </cell>
          <cell r="CE97" t="str">
            <v>LABEL</v>
          </cell>
          <cell r="CF97"/>
          <cell r="CG97" t="str">
            <v>BOLD</v>
          </cell>
          <cell r="CJ97"/>
          <cell r="CK97" t="str">
            <v>BOLD</v>
          </cell>
          <cell r="CN97"/>
          <cell r="CO97" t="str">
            <v>BOLD</v>
          </cell>
          <cell r="CP97" t="str">
            <v>Mining - Inferred Resources Contained Molybdenum</v>
          </cell>
          <cell r="CQ97" t="str">
            <v>MINING_INFER_RES_CONT_MOLYBDENUM</v>
          </cell>
          <cell r="CR97"/>
          <cell r="CS97" t="str">
            <v>BOLD</v>
          </cell>
          <cell r="CV97"/>
          <cell r="CW97" t="str">
            <v>BOLD</v>
          </cell>
          <cell r="CZ97"/>
          <cell r="DA97" t="str">
            <v>BOLD</v>
          </cell>
          <cell r="DD97"/>
          <cell r="DE97" t="str">
            <v>BOLD</v>
          </cell>
          <cell r="DH97"/>
          <cell r="DI97" t="str">
            <v>BOLD</v>
          </cell>
          <cell r="DL97"/>
          <cell r="DM97" t="str">
            <v>BOLD</v>
          </cell>
          <cell r="DP97"/>
          <cell r="DQ97" t="str">
            <v>BOLD</v>
          </cell>
          <cell r="DT97"/>
          <cell r="DU97" t="str">
            <v>BOLD</v>
          </cell>
          <cell r="DX97"/>
          <cell r="DY97" t="str">
            <v>BOLD</v>
          </cell>
          <cell r="EB97"/>
          <cell r="EC97" t="str">
            <v>BOLD</v>
          </cell>
          <cell r="EF97"/>
          <cell r="EG97" t="str">
            <v>BOLD</v>
          </cell>
          <cell r="EJ97"/>
          <cell r="EK97" t="str">
            <v>BOLD</v>
          </cell>
          <cell r="EN97"/>
          <cell r="EO97" t="str">
            <v>BOLD</v>
          </cell>
          <cell r="ER97"/>
          <cell r="ES97" t="str">
            <v>BOLD</v>
          </cell>
          <cell r="EV97"/>
          <cell r="EW97" t="str">
            <v>BOLD</v>
          </cell>
          <cell r="EZ97"/>
          <cell r="FA97" t="str">
            <v>BOLD</v>
          </cell>
          <cell r="FD97"/>
          <cell r="FE97" t="str">
            <v>BOLD</v>
          </cell>
          <cell r="FF97" t="str">
            <v>Dvd coverage</v>
          </cell>
          <cell r="FG97" t="str">
            <v>CASH_DVD_COVERAGE</v>
          </cell>
          <cell r="FH97"/>
          <cell r="FI97" t="str">
            <v>BOLD</v>
          </cell>
          <cell r="FL97"/>
          <cell r="FM97" t="str">
            <v>BOLD</v>
          </cell>
          <cell r="FN97" t="str">
            <v xml:space="preserve">  Number of Aircraft on Firm Order Yr 5 and Beyond</v>
          </cell>
          <cell r="FO97" t="str">
            <v>AIRCRAFT_FIRM_ORDER_Y5_BYND</v>
          </cell>
          <cell r="FP97"/>
          <cell r="FQ97" t="str">
            <v>NO</v>
          </cell>
          <cell r="FT97"/>
          <cell r="FU97" t="str">
            <v>BOLD</v>
          </cell>
          <cell r="FX97"/>
          <cell r="FY97" t="str">
            <v>BOLD</v>
          </cell>
          <cell r="GB97"/>
          <cell r="GC97" t="str">
            <v>BOLD</v>
          </cell>
          <cell r="GF97"/>
          <cell r="GG97" t="str">
            <v>BOLD</v>
          </cell>
          <cell r="GJ97"/>
          <cell r="GK97" t="str">
            <v>BOLD</v>
          </cell>
          <cell r="GN97"/>
          <cell r="GO97" t="str">
            <v>BOLD</v>
          </cell>
          <cell r="GR97"/>
          <cell r="GS97" t="str">
            <v>BOLD</v>
          </cell>
          <cell r="GV97"/>
          <cell r="GW97" t="str">
            <v>BOLD</v>
          </cell>
          <cell r="GZ97"/>
          <cell r="HA97" t="str">
            <v>BOLD</v>
          </cell>
          <cell r="HD97"/>
          <cell r="HE97" t="str">
            <v>BOLD</v>
          </cell>
          <cell r="HH97"/>
          <cell r="HI97" t="str">
            <v>BOLD</v>
          </cell>
          <cell r="HL97"/>
          <cell r="HM97" t="str">
            <v>BOLD</v>
          </cell>
          <cell r="HP97"/>
          <cell r="HQ97" t="str">
            <v>BOLD</v>
          </cell>
          <cell r="HT97"/>
          <cell r="HU97" t="str">
            <v>BOLD</v>
          </cell>
          <cell r="HV97" t="str">
            <v xml:space="preserve">  Basic Weighted Avg Shares</v>
          </cell>
          <cell r="HW97" t="str">
            <v>IS_AVG_NUM_SH_FOR_EPS</v>
          </cell>
          <cell r="HX97"/>
          <cell r="HY97" t="str">
            <v>NO</v>
          </cell>
          <cell r="HZ97" t="str">
            <v>Net Prem Earned to Tot Rev</v>
          </cell>
          <cell r="IA97" t="str">
            <v>NET_PREM_EARN_TO_TOT_REV</v>
          </cell>
          <cell r="IB97"/>
          <cell r="IC97" t="str">
            <v>BOLD</v>
          </cell>
          <cell r="IH97" t="str">
            <v>Value at Risk</v>
          </cell>
          <cell r="II97" t="str">
            <v>LABEL</v>
          </cell>
          <cell r="IJ97"/>
          <cell r="IK97" t="str">
            <v>BOLD</v>
          </cell>
          <cell r="IP97" t="str">
            <v>+ Residential</v>
          </cell>
          <cell r="IQ97" t="str">
            <v>ARDR_GAS_CUSTOMERS_RESIDENTIAL</v>
          </cell>
          <cell r="IR97"/>
          <cell r="IS97" t="str">
            <v>BOLD</v>
          </cell>
          <cell r="IX97" t="str">
            <v>Number of ATMs</v>
          </cell>
          <cell r="IY97" t="str">
            <v>BS_NUMBER_OF_ATMS</v>
          </cell>
          <cell r="IZ97"/>
          <cell r="JA97" t="str">
            <v>BOLD</v>
          </cell>
          <cell r="JB97" t="str">
            <v>Net Prem Earned to Tot Rev</v>
          </cell>
          <cell r="JC97" t="str">
            <v>NET_PREM_EARN_TO_TOT_REV</v>
          </cell>
          <cell r="JD97"/>
          <cell r="JE97" t="str">
            <v>BOLD</v>
          </cell>
        </row>
        <row r="98">
          <cell r="A98">
            <v>97</v>
          </cell>
          <cell r="D98"/>
          <cell r="E98" t="str">
            <v>BOLD</v>
          </cell>
          <cell r="F98" t="str">
            <v>Card Overhead Efficiency - Mgd</v>
          </cell>
          <cell r="G98" t="str">
            <v>CARD_OVERHEAD_EFFIC_MGD_BASIS</v>
          </cell>
          <cell r="H98"/>
          <cell r="I98" t="str">
            <v>BOLD</v>
          </cell>
          <cell r="P98"/>
          <cell r="Q98" t="str">
            <v>BOLD</v>
          </cell>
          <cell r="T98"/>
          <cell r="U98" t="str">
            <v>BOLD</v>
          </cell>
          <cell r="X98"/>
          <cell r="Y98" t="str">
            <v>BOLD</v>
          </cell>
          <cell r="AB98"/>
          <cell r="AC98" t="str">
            <v>BOLD</v>
          </cell>
          <cell r="AF98"/>
          <cell r="AG98" t="str">
            <v>BOLD</v>
          </cell>
          <cell r="AJ98"/>
          <cell r="AK98" t="str">
            <v>BOLD</v>
          </cell>
          <cell r="AL98" t="str">
            <v>Tin - Grade (%)</v>
          </cell>
          <cell r="AM98" t="str">
            <v>MINING_INFERRED_RES_TIN_GRADE</v>
          </cell>
          <cell r="AN98"/>
          <cell r="AO98" t="str">
            <v>BOLD</v>
          </cell>
          <cell r="AR98"/>
          <cell r="AS98" t="str">
            <v>BOLD</v>
          </cell>
          <cell r="AV98"/>
          <cell r="AW98" t="str">
            <v>BOLD</v>
          </cell>
          <cell r="AZ98"/>
          <cell r="BA98" t="str">
            <v>BOLD</v>
          </cell>
          <cell r="BD98"/>
          <cell r="BE98" t="str">
            <v>BOLD</v>
          </cell>
          <cell r="BH98"/>
          <cell r="BI98" t="str">
            <v>BOLD</v>
          </cell>
          <cell r="BL98"/>
          <cell r="BM98" t="str">
            <v>BOLD</v>
          </cell>
          <cell r="BP98"/>
          <cell r="BQ98" t="str">
            <v>BOLD</v>
          </cell>
          <cell r="BT98"/>
          <cell r="BU98" t="str">
            <v>BOLD</v>
          </cell>
          <cell r="BV98" t="str">
            <v xml:space="preserve">  + Production</v>
          </cell>
          <cell r="BW98" t="str">
            <v>GAS_PRODUCTION_MIDEAST</v>
          </cell>
          <cell r="BX98"/>
          <cell r="BY98" t="str">
            <v>NO</v>
          </cell>
          <cell r="CB98"/>
          <cell r="CC98" t="str">
            <v>BOLD</v>
          </cell>
          <cell r="CD98" t="str">
            <v xml:space="preserve">  Start of Year</v>
          </cell>
          <cell r="CE98" t="str">
            <v>BOE_START_YEAR_MIDEAST</v>
          </cell>
          <cell r="CF98"/>
          <cell r="CG98" t="str">
            <v>NO</v>
          </cell>
          <cell r="CJ98"/>
          <cell r="CK98" t="str">
            <v>BOLD</v>
          </cell>
          <cell r="CN98"/>
          <cell r="CO98" t="str">
            <v>BOLD</v>
          </cell>
          <cell r="CR98"/>
          <cell r="CS98" t="str">
            <v>BOLD</v>
          </cell>
          <cell r="CV98"/>
          <cell r="CW98" t="str">
            <v>BOLD</v>
          </cell>
          <cell r="CZ98"/>
          <cell r="DA98" t="str">
            <v>BOLD</v>
          </cell>
          <cell r="DD98"/>
          <cell r="DE98" t="str">
            <v>BOLD</v>
          </cell>
          <cell r="DH98"/>
          <cell r="DI98" t="str">
            <v>BOLD</v>
          </cell>
          <cell r="DL98"/>
          <cell r="DM98" t="str">
            <v>BOLD</v>
          </cell>
          <cell r="DP98"/>
          <cell r="DQ98" t="str">
            <v>BOLD</v>
          </cell>
          <cell r="DT98"/>
          <cell r="DU98" t="str">
            <v>BOLD</v>
          </cell>
          <cell r="DX98"/>
          <cell r="DY98" t="str">
            <v>BOLD</v>
          </cell>
          <cell r="EB98"/>
          <cell r="EC98" t="str">
            <v>BOLD</v>
          </cell>
          <cell r="EF98"/>
          <cell r="EG98" t="str">
            <v>BOLD</v>
          </cell>
          <cell r="EJ98"/>
          <cell r="EK98" t="str">
            <v>BOLD</v>
          </cell>
          <cell r="EN98"/>
          <cell r="EO98" t="str">
            <v>BOLD</v>
          </cell>
          <cell r="ER98"/>
          <cell r="ES98" t="str">
            <v>BOLD</v>
          </cell>
          <cell r="EV98"/>
          <cell r="EW98" t="str">
            <v>BOLD</v>
          </cell>
          <cell r="EZ98"/>
          <cell r="FA98" t="str">
            <v>BOLD</v>
          </cell>
          <cell r="FD98"/>
          <cell r="FE98" t="str">
            <v>BOLD</v>
          </cell>
          <cell r="FH98"/>
          <cell r="FI98" t="str">
            <v>BOLD</v>
          </cell>
          <cell r="FL98"/>
          <cell r="FM98" t="str">
            <v>BOLD</v>
          </cell>
          <cell r="FP98"/>
          <cell r="FQ98" t="str">
            <v>BOLD</v>
          </cell>
          <cell r="FT98"/>
          <cell r="FU98" t="str">
            <v>BOLD</v>
          </cell>
          <cell r="FX98"/>
          <cell r="FY98" t="str">
            <v>BOLD</v>
          </cell>
          <cell r="GB98"/>
          <cell r="GC98" t="str">
            <v>BOLD</v>
          </cell>
          <cell r="GF98"/>
          <cell r="GG98" t="str">
            <v>BOLD</v>
          </cell>
          <cell r="GJ98"/>
          <cell r="GK98" t="str">
            <v>BOLD</v>
          </cell>
          <cell r="GN98"/>
          <cell r="GO98" t="str">
            <v>BOLD</v>
          </cell>
          <cell r="GR98"/>
          <cell r="GS98" t="str">
            <v>BOLD</v>
          </cell>
          <cell r="GV98"/>
          <cell r="GW98" t="str">
            <v>BOLD</v>
          </cell>
          <cell r="GZ98"/>
          <cell r="HA98" t="str">
            <v>BOLD</v>
          </cell>
          <cell r="HD98"/>
          <cell r="HE98" t="str">
            <v>BOLD</v>
          </cell>
          <cell r="HH98"/>
          <cell r="HI98" t="str">
            <v>BOLD</v>
          </cell>
          <cell r="HL98"/>
          <cell r="HM98" t="str">
            <v>BOLD</v>
          </cell>
          <cell r="HP98"/>
          <cell r="HQ98" t="str">
            <v>BOLD</v>
          </cell>
          <cell r="HT98"/>
          <cell r="HU98" t="str">
            <v>BOLD</v>
          </cell>
          <cell r="HV98" t="str">
            <v xml:space="preserve">  Diluted EPS Before Abnormal Items</v>
          </cell>
          <cell r="HW98" t="str">
            <v>IS_DIL_EPS_CONT_OPS</v>
          </cell>
          <cell r="HX98" t="str">
            <v>EPS</v>
          </cell>
          <cell r="HY98" t="str">
            <v>NOEPS</v>
          </cell>
          <cell r="IB98"/>
          <cell r="IC98" t="str">
            <v>BOLD</v>
          </cell>
          <cell r="IH98" t="str">
            <v>Average VAR - Interest Rate Risk</v>
          </cell>
          <cell r="II98" t="str">
            <v>IS_AVG_VAR_INT_RATE_RISK</v>
          </cell>
          <cell r="IJ98"/>
          <cell r="IK98" t="str">
            <v>BOLD</v>
          </cell>
          <cell r="IP98" t="str">
            <v>+ Commercial</v>
          </cell>
          <cell r="IQ98" t="str">
            <v>ARDR_GAS_CUSTOMERS_COMMERCIAL</v>
          </cell>
          <cell r="IR98"/>
          <cell r="IS98" t="str">
            <v>BOLD</v>
          </cell>
          <cell r="IZ98"/>
          <cell r="JA98" t="str">
            <v>BOLD</v>
          </cell>
          <cell r="JD98"/>
          <cell r="JE98" t="str">
            <v>BOLD</v>
          </cell>
        </row>
        <row r="99">
          <cell r="A99">
            <v>98</v>
          </cell>
          <cell r="D99"/>
          <cell r="E99" t="str">
            <v>BOLD</v>
          </cell>
          <cell r="F99" t="str">
            <v>Card Expense Ratio</v>
          </cell>
          <cell r="G99" t="str">
            <v>CARD_EXPENSE_RATIO</v>
          </cell>
          <cell r="H99"/>
          <cell r="I99" t="str">
            <v>BOLD</v>
          </cell>
          <cell r="P99"/>
          <cell r="Q99" t="str">
            <v>BOLD</v>
          </cell>
          <cell r="T99"/>
          <cell r="U99" t="str">
            <v>BOLD</v>
          </cell>
          <cell r="X99"/>
          <cell r="Y99" t="str">
            <v>BOLD</v>
          </cell>
          <cell r="AB99"/>
          <cell r="AC99" t="str">
            <v>BOLD</v>
          </cell>
          <cell r="AF99"/>
          <cell r="AG99" t="str">
            <v>BOLD</v>
          </cell>
          <cell r="AJ99"/>
          <cell r="AK99" t="str">
            <v>BOLD</v>
          </cell>
          <cell r="AL99" t="str">
            <v>Contained Tin (Tons)</v>
          </cell>
          <cell r="AM99" t="str">
            <v>MINING_INFERRED_RES_CONTAIN_TIN</v>
          </cell>
          <cell r="AN99"/>
          <cell r="AO99" t="str">
            <v>BOLD</v>
          </cell>
          <cell r="AR99"/>
          <cell r="AS99" t="str">
            <v>BOLD</v>
          </cell>
          <cell r="AV99"/>
          <cell r="AW99" t="str">
            <v>BOLD</v>
          </cell>
          <cell r="AZ99"/>
          <cell r="BA99" t="str">
            <v>BOLD</v>
          </cell>
          <cell r="BD99"/>
          <cell r="BE99" t="str">
            <v>BOLD</v>
          </cell>
          <cell r="BH99"/>
          <cell r="BI99" t="str">
            <v>BOLD</v>
          </cell>
          <cell r="BL99"/>
          <cell r="BM99" t="str">
            <v>BOLD</v>
          </cell>
          <cell r="BP99"/>
          <cell r="BQ99" t="str">
            <v>BOLD</v>
          </cell>
          <cell r="BT99"/>
          <cell r="BU99" t="str">
            <v>BOLD</v>
          </cell>
          <cell r="BV99" t="str">
            <v xml:space="preserve">  + Other</v>
          </cell>
          <cell r="BW99" t="str">
            <v>GAS_OTHER_CHG_MIDEAST</v>
          </cell>
          <cell r="BX99"/>
          <cell r="BY99" t="str">
            <v>NO</v>
          </cell>
          <cell r="BZ99" t="str">
            <v>Asia</v>
          </cell>
          <cell r="CA99" t="str">
            <v>LABEL</v>
          </cell>
          <cell r="CB99"/>
          <cell r="CC99" t="str">
            <v>BOLD</v>
          </cell>
          <cell r="CD99" t="str">
            <v xml:space="preserve">  + Revisions</v>
          </cell>
          <cell r="CE99" t="str">
            <v>BOE_REVISIONS_MIDEAST</v>
          </cell>
          <cell r="CF99"/>
          <cell r="CG99" t="str">
            <v>NO</v>
          </cell>
          <cell r="CJ99"/>
          <cell r="CK99" t="str">
            <v>BOLD</v>
          </cell>
          <cell r="CN99"/>
          <cell r="CO99" t="str">
            <v>BOLD</v>
          </cell>
          <cell r="CP99" t="str">
            <v>Other Company Operating Stats</v>
          </cell>
          <cell r="CQ99" t="str">
            <v>LABEL</v>
          </cell>
          <cell r="CR99"/>
          <cell r="CS99" t="str">
            <v>BOLD</v>
          </cell>
          <cell r="CV99"/>
          <cell r="CW99" t="str">
            <v>BOLD</v>
          </cell>
          <cell r="CZ99"/>
          <cell r="DA99" t="str">
            <v>BOLD</v>
          </cell>
          <cell r="DD99"/>
          <cell r="DE99" t="str">
            <v>BOLD</v>
          </cell>
          <cell r="DH99"/>
          <cell r="DI99" t="str">
            <v>BOLD</v>
          </cell>
          <cell r="DL99"/>
          <cell r="DM99" t="str">
            <v>BOLD</v>
          </cell>
          <cell r="DP99"/>
          <cell r="DQ99" t="str">
            <v>BOLD</v>
          </cell>
          <cell r="DT99"/>
          <cell r="DU99" t="str">
            <v>BOLD</v>
          </cell>
          <cell r="DX99"/>
          <cell r="DY99" t="str">
            <v>BOLD</v>
          </cell>
          <cell r="EB99"/>
          <cell r="EC99" t="str">
            <v>BOLD</v>
          </cell>
          <cell r="EF99"/>
          <cell r="EG99" t="str">
            <v>BOLD</v>
          </cell>
          <cell r="EJ99"/>
          <cell r="EK99" t="str">
            <v>BOLD</v>
          </cell>
          <cell r="EN99"/>
          <cell r="EO99" t="str">
            <v>BOLD</v>
          </cell>
          <cell r="ER99"/>
          <cell r="ES99" t="str">
            <v>BOLD</v>
          </cell>
          <cell r="EV99"/>
          <cell r="EW99" t="str">
            <v>BOLD</v>
          </cell>
          <cell r="EZ99"/>
          <cell r="FA99" t="str">
            <v>BOLD</v>
          </cell>
          <cell r="FD99"/>
          <cell r="FE99" t="str">
            <v>BOLD</v>
          </cell>
          <cell r="FF99" t="str">
            <v>Cash Flows</v>
          </cell>
          <cell r="FG99" t="str">
            <v>LABEL</v>
          </cell>
          <cell r="FH99"/>
          <cell r="FI99" t="str">
            <v>BOLD</v>
          </cell>
          <cell r="FL99"/>
          <cell r="FM99" t="str">
            <v>BOLD</v>
          </cell>
          <cell r="FN99" t="str">
            <v>Total Number of Aircraft Options</v>
          </cell>
          <cell r="FO99" t="str">
            <v>AIRCRAFT_OPTION_TOTAL</v>
          </cell>
          <cell r="FP99"/>
          <cell r="FQ99" t="str">
            <v>BOLD</v>
          </cell>
          <cell r="FT99"/>
          <cell r="FU99" t="str">
            <v>BOLD</v>
          </cell>
          <cell r="FX99"/>
          <cell r="FY99" t="str">
            <v>BOLD</v>
          </cell>
          <cell r="GB99"/>
          <cell r="GC99" t="str">
            <v>BOLD</v>
          </cell>
          <cell r="GF99"/>
          <cell r="GG99" t="str">
            <v>BOLD</v>
          </cell>
          <cell r="GJ99"/>
          <cell r="GK99" t="str">
            <v>BOLD</v>
          </cell>
          <cell r="GN99"/>
          <cell r="GO99" t="str">
            <v>BOLD</v>
          </cell>
          <cell r="GR99"/>
          <cell r="GS99" t="str">
            <v>BOLD</v>
          </cell>
          <cell r="GV99"/>
          <cell r="GW99" t="str">
            <v>BOLD</v>
          </cell>
          <cell r="GZ99"/>
          <cell r="HA99" t="str">
            <v>BOLD</v>
          </cell>
          <cell r="HD99"/>
          <cell r="HE99" t="str">
            <v>BOLD</v>
          </cell>
          <cell r="HH99"/>
          <cell r="HI99" t="str">
            <v>BOLD</v>
          </cell>
          <cell r="HL99"/>
          <cell r="HM99" t="str">
            <v>BOLD</v>
          </cell>
          <cell r="HP99"/>
          <cell r="HQ99" t="str">
            <v>BOLD</v>
          </cell>
          <cell r="HT99"/>
          <cell r="HU99" t="str">
            <v>BOLD</v>
          </cell>
          <cell r="HV99" t="str">
            <v xml:space="preserve">  Diluted EPS Before XO Items</v>
          </cell>
          <cell r="HW99" t="str">
            <v>IS_DIL_EPS_BEF_XO</v>
          </cell>
          <cell r="HX99" t="str">
            <v>EPS</v>
          </cell>
          <cell r="HY99" t="str">
            <v>NOEPS</v>
          </cell>
          <cell r="HZ99" t="str">
            <v>Insurance Claims/Charges To Total Revenue</v>
          </cell>
          <cell r="IA99" t="str">
            <v>INS_CLAIM_CHRG_TO_TOT_REV</v>
          </cell>
          <cell r="IB99"/>
          <cell r="IC99" t="str">
            <v>BOLD</v>
          </cell>
          <cell r="IH99" t="str">
            <v>Average VAR - Equity Risk</v>
          </cell>
          <cell r="II99" t="str">
            <v>IS_AVG_VAR_EQUITY_RISK</v>
          </cell>
          <cell r="IJ99"/>
          <cell r="IK99" t="str">
            <v>BOLD</v>
          </cell>
          <cell r="IP99" t="str">
            <v>+ Industrial</v>
          </cell>
          <cell r="IQ99" t="str">
            <v>ARDR_GAS_CUSTOMERS_INDUSTRIAL</v>
          </cell>
          <cell r="IR99"/>
          <cell r="IS99" t="str">
            <v>BOLD</v>
          </cell>
          <cell r="IX99" t="str">
            <v>Fair Value Analysis</v>
          </cell>
          <cell r="IY99" t="str">
            <v>LABEL</v>
          </cell>
          <cell r="IZ99"/>
          <cell r="JA99" t="str">
            <v>BOLD</v>
          </cell>
          <cell r="JB99" t="str">
            <v>Insurance Claims/Charges To Total Revenue</v>
          </cell>
          <cell r="JC99" t="str">
            <v>INS_CLAIM_CHRG_TO_TOT_REV</v>
          </cell>
          <cell r="JD99"/>
          <cell r="JE99" t="str">
            <v>BOLD</v>
          </cell>
        </row>
        <row r="100">
          <cell r="A100">
            <v>99</v>
          </cell>
          <cell r="D100"/>
          <cell r="E100" t="str">
            <v>BOLD</v>
          </cell>
          <cell r="F100" t="str">
            <v>ROA - Mgd Basis</v>
          </cell>
          <cell r="G100" t="str">
            <v>RETURN_ON_ASSETS_MGD_BASIS</v>
          </cell>
          <cell r="H100"/>
          <cell r="I100" t="str">
            <v>BOLD</v>
          </cell>
          <cell r="P100"/>
          <cell r="Q100" t="str">
            <v>BOLD</v>
          </cell>
          <cell r="T100"/>
          <cell r="U100" t="str">
            <v>BOLD</v>
          </cell>
          <cell r="X100"/>
          <cell r="Y100" t="str">
            <v>BOLD</v>
          </cell>
          <cell r="AB100"/>
          <cell r="AC100" t="str">
            <v>BOLD</v>
          </cell>
          <cell r="AF100"/>
          <cell r="AG100" t="str">
            <v>BOLD</v>
          </cell>
          <cell r="AJ100"/>
          <cell r="AK100" t="str">
            <v>BOLD</v>
          </cell>
          <cell r="AL100" t="str">
            <v>Uranium - Ore Volume (Tons)</v>
          </cell>
          <cell r="AM100" t="str">
            <v>MINING_INFERRED_RES_URANIUM_VOL</v>
          </cell>
          <cell r="AN100"/>
          <cell r="AO100" t="str">
            <v>BOLD</v>
          </cell>
          <cell r="AR100"/>
          <cell r="AS100" t="str">
            <v>BOLD</v>
          </cell>
          <cell r="AV100"/>
          <cell r="AW100" t="str">
            <v>BOLD</v>
          </cell>
          <cell r="AZ100"/>
          <cell r="BA100" t="str">
            <v>BOLD</v>
          </cell>
          <cell r="BD100"/>
          <cell r="BE100" t="str">
            <v>BOLD</v>
          </cell>
          <cell r="BH100"/>
          <cell r="BI100" t="str">
            <v>BOLD</v>
          </cell>
          <cell r="BL100"/>
          <cell r="BM100" t="str">
            <v>BOLD</v>
          </cell>
          <cell r="BP100"/>
          <cell r="BQ100" t="str">
            <v>BOLD</v>
          </cell>
          <cell r="BT100"/>
          <cell r="BU100" t="str">
            <v>BOLD</v>
          </cell>
          <cell r="BV100" t="str">
            <v xml:space="preserve">  End of year</v>
          </cell>
          <cell r="BW100" t="str">
            <v>GAS_END_YEAR_MIDEAST</v>
          </cell>
          <cell r="BX100"/>
          <cell r="BY100" t="str">
            <v>NO</v>
          </cell>
          <cell r="BZ100" t="str">
            <v xml:space="preserve">  Start of Year</v>
          </cell>
          <cell r="CA100" t="str">
            <v>OIL_START_YEAR_ASIA</v>
          </cell>
          <cell r="CB100"/>
          <cell r="CC100" t="str">
            <v>NO</v>
          </cell>
          <cell r="CD100" t="str">
            <v xml:space="preserve">  + Improved Recovery</v>
          </cell>
          <cell r="CE100" t="str">
            <v>BOE_IMPROV_REC_MIDEAST</v>
          </cell>
          <cell r="CF100"/>
          <cell r="CG100" t="str">
            <v>NO</v>
          </cell>
          <cell r="CJ100"/>
          <cell r="CK100" t="str">
            <v>BOLD</v>
          </cell>
          <cell r="CN100"/>
          <cell r="CO100" t="str">
            <v>BOLD</v>
          </cell>
          <cell r="CP100" t="str">
            <v>Enterprise Value</v>
          </cell>
          <cell r="CQ100" t="str">
            <v>ENTERPRISE_VALUE</v>
          </cell>
          <cell r="CR100"/>
          <cell r="CS100" t="str">
            <v>BOLD</v>
          </cell>
          <cell r="CV100"/>
          <cell r="CW100" t="str">
            <v>BOLD</v>
          </cell>
          <cell r="CZ100"/>
          <cell r="DA100" t="str">
            <v>BOLD</v>
          </cell>
          <cell r="DD100"/>
          <cell r="DE100" t="str">
            <v>BOLD</v>
          </cell>
          <cell r="DH100"/>
          <cell r="DI100" t="str">
            <v>BOLD</v>
          </cell>
          <cell r="DL100"/>
          <cell r="DM100" t="str">
            <v>BOLD</v>
          </cell>
          <cell r="DP100"/>
          <cell r="DQ100" t="str">
            <v>BOLD</v>
          </cell>
          <cell r="DT100"/>
          <cell r="DU100" t="str">
            <v>BOLD</v>
          </cell>
          <cell r="DX100"/>
          <cell r="DY100" t="str">
            <v>BOLD</v>
          </cell>
          <cell r="EB100"/>
          <cell r="EC100" t="str">
            <v>BOLD</v>
          </cell>
          <cell r="EF100"/>
          <cell r="EG100" t="str">
            <v>BOLD</v>
          </cell>
          <cell r="EJ100"/>
          <cell r="EK100" t="str">
            <v>BOLD</v>
          </cell>
          <cell r="EN100"/>
          <cell r="EO100" t="str">
            <v>BOLD</v>
          </cell>
          <cell r="ER100"/>
          <cell r="ES100" t="str">
            <v>BOLD</v>
          </cell>
          <cell r="EV100"/>
          <cell r="EW100" t="str">
            <v>BOLD</v>
          </cell>
          <cell r="EZ100"/>
          <cell r="FA100" t="str">
            <v>BOLD</v>
          </cell>
          <cell r="FD100"/>
          <cell r="FE100" t="str">
            <v>BOLD</v>
          </cell>
          <cell r="FF100" t="str">
            <v>Working Capital</v>
          </cell>
          <cell r="FG100" t="str">
            <v>WORKING_CAPITAL</v>
          </cell>
          <cell r="FH100"/>
          <cell r="FI100" t="str">
            <v>BOLD</v>
          </cell>
          <cell r="FL100"/>
          <cell r="FM100" t="str">
            <v>BOLD</v>
          </cell>
          <cell r="FN100" t="str">
            <v xml:space="preserve">  Number of Aircraft on Option Yr 1</v>
          </cell>
          <cell r="FO100" t="str">
            <v>AIRCRAFT_OPTION_YR1</v>
          </cell>
          <cell r="FP100"/>
          <cell r="FQ100" t="str">
            <v>NO</v>
          </cell>
          <cell r="FT100"/>
          <cell r="FU100" t="str">
            <v>BOLD</v>
          </cell>
          <cell r="FX100"/>
          <cell r="FY100" t="str">
            <v>BOLD</v>
          </cell>
          <cell r="GB100"/>
          <cell r="GC100" t="str">
            <v>BOLD</v>
          </cell>
          <cell r="GF100"/>
          <cell r="GG100" t="str">
            <v>BOLD</v>
          </cell>
          <cell r="GJ100"/>
          <cell r="GK100" t="str">
            <v>BOLD</v>
          </cell>
          <cell r="GN100"/>
          <cell r="GO100" t="str">
            <v>BOLD</v>
          </cell>
          <cell r="GR100"/>
          <cell r="GS100" t="str">
            <v>BOLD</v>
          </cell>
          <cell r="GV100"/>
          <cell r="GW100" t="str">
            <v>BOLD</v>
          </cell>
          <cell r="GZ100"/>
          <cell r="HA100" t="str">
            <v>BOLD</v>
          </cell>
          <cell r="HD100"/>
          <cell r="HE100" t="str">
            <v>BOLD</v>
          </cell>
          <cell r="HH100"/>
          <cell r="HI100" t="str">
            <v>BOLD</v>
          </cell>
          <cell r="HL100"/>
          <cell r="HM100" t="str">
            <v>BOLD</v>
          </cell>
          <cell r="HP100"/>
          <cell r="HQ100" t="str">
            <v>BOLD</v>
          </cell>
          <cell r="HT100"/>
          <cell r="HU100" t="str">
            <v>BOLD</v>
          </cell>
          <cell r="HV100" t="str">
            <v xml:space="preserve">  Diluted EPS</v>
          </cell>
          <cell r="HW100" t="str">
            <v>IS_DILUTED_EPS</v>
          </cell>
          <cell r="HX100" t="str">
            <v>EPS</v>
          </cell>
          <cell r="HY100" t="str">
            <v>NOEPS</v>
          </cell>
          <cell r="HZ100" t="str">
            <v>Underwriting Costs to Tot Rev</v>
          </cell>
          <cell r="IA100" t="str">
            <v>UNDW_COST_TO_TOT_REV</v>
          </cell>
          <cell r="IB100"/>
          <cell r="IC100" t="str">
            <v>BOLD</v>
          </cell>
          <cell r="IH100" t="str">
            <v>Average VAR - Currency Risk</v>
          </cell>
          <cell r="II100" t="str">
            <v>IS_AVG_VAR_CURRENCY_RISK</v>
          </cell>
          <cell r="IJ100"/>
          <cell r="IK100" t="str">
            <v>BOLD</v>
          </cell>
          <cell r="IP100" t="str">
            <v>+ Other</v>
          </cell>
          <cell r="IQ100" t="str">
            <v>ARDR_GAS_CUSTOMERS_OTHER</v>
          </cell>
          <cell r="IR100"/>
          <cell r="IS100" t="str">
            <v>BOLD</v>
          </cell>
          <cell r="IX100" t="str">
            <v>Fair Value Assets Recurring - Level 1</v>
          </cell>
          <cell r="IY100" t="str">
            <v>BS_FV_ASSETS_REC_LEVEL_1</v>
          </cell>
          <cell r="IZ100"/>
          <cell r="JA100" t="str">
            <v>BOLD</v>
          </cell>
          <cell r="JB100" t="str">
            <v>Underwriting Costs to Tot Rev</v>
          </cell>
          <cell r="JC100" t="str">
            <v>UNDW_COST_TO_TOT_REV</v>
          </cell>
          <cell r="JD100"/>
          <cell r="JE100" t="str">
            <v>BOLD</v>
          </cell>
        </row>
        <row r="101">
          <cell r="A101">
            <v>100</v>
          </cell>
          <cell r="D101"/>
          <cell r="E101" t="str">
            <v>BOLD</v>
          </cell>
          <cell r="F101" t="str">
            <v>Card ROA</v>
          </cell>
          <cell r="G101" t="str">
            <v>CARD_RETURN_ON_ASSETS</v>
          </cell>
          <cell r="H101"/>
          <cell r="I101" t="str">
            <v>BOLD</v>
          </cell>
          <cell r="P101"/>
          <cell r="Q101" t="str">
            <v>BOLD</v>
          </cell>
          <cell r="T101"/>
          <cell r="U101" t="str">
            <v>BOLD</v>
          </cell>
          <cell r="X101"/>
          <cell r="Y101" t="str">
            <v>BOLD</v>
          </cell>
          <cell r="AB101"/>
          <cell r="AC101" t="str">
            <v>BOLD</v>
          </cell>
          <cell r="AF101"/>
          <cell r="AG101" t="str">
            <v>BOLD</v>
          </cell>
          <cell r="AJ101"/>
          <cell r="AK101" t="str">
            <v>BOLD</v>
          </cell>
          <cell r="AL101" t="str">
            <v>Uranium - Grade (%)</v>
          </cell>
          <cell r="AM101" t="str">
            <v>MINING_INFER_RES_URANIUM_GRADE</v>
          </cell>
          <cell r="AN101"/>
          <cell r="AO101" t="str">
            <v>BOLD</v>
          </cell>
          <cell r="AR101"/>
          <cell r="AS101" t="str">
            <v>BOLD</v>
          </cell>
          <cell r="AV101"/>
          <cell r="AW101" t="str">
            <v>BOLD</v>
          </cell>
          <cell r="AZ101"/>
          <cell r="BA101" t="str">
            <v>BOLD</v>
          </cell>
          <cell r="BD101"/>
          <cell r="BE101" t="str">
            <v>BOLD</v>
          </cell>
          <cell r="BH101"/>
          <cell r="BI101" t="str">
            <v>BOLD</v>
          </cell>
          <cell r="BL101"/>
          <cell r="BM101" t="str">
            <v>BOLD</v>
          </cell>
          <cell r="BP101"/>
          <cell r="BQ101" t="str">
            <v>BOLD</v>
          </cell>
          <cell r="BT101"/>
          <cell r="BU101" t="str">
            <v>BOLD</v>
          </cell>
          <cell r="BV101" t="str">
            <v xml:space="preserve">  Developed Reserves</v>
          </cell>
          <cell r="BW101" t="str">
            <v>GAS_DEVEL_RESV_MIDEAST</v>
          </cell>
          <cell r="BX101"/>
          <cell r="BY101" t="str">
            <v>NO</v>
          </cell>
          <cell r="BZ101" t="str">
            <v xml:space="preserve">  + Revisions</v>
          </cell>
          <cell r="CA101" t="str">
            <v>OIL_REVISIONS_ASIA</v>
          </cell>
          <cell r="CB101"/>
          <cell r="CC101" t="str">
            <v>NO</v>
          </cell>
          <cell r="CD101" t="str">
            <v xml:space="preserve">  + Extensions &amp; Discoveries</v>
          </cell>
          <cell r="CE101" t="str">
            <v>BOE_EXTENS_DISCOV_MIDEAST</v>
          </cell>
          <cell r="CF101"/>
          <cell r="CG101" t="str">
            <v>NO</v>
          </cell>
          <cell r="CJ101"/>
          <cell r="CK101" t="str">
            <v>BOLD</v>
          </cell>
          <cell r="CN101"/>
          <cell r="CO101" t="str">
            <v>BOLD</v>
          </cell>
          <cell r="CP101" t="str">
            <v>Capital Expenditures</v>
          </cell>
          <cell r="CQ101" t="str">
            <v>CAPITAL_EXPEND</v>
          </cell>
          <cell r="CR101"/>
          <cell r="CS101" t="str">
            <v>BOLD</v>
          </cell>
          <cell r="CV101"/>
          <cell r="CW101" t="str">
            <v>BOLD</v>
          </cell>
          <cell r="CZ101"/>
          <cell r="DA101" t="str">
            <v>BOLD</v>
          </cell>
          <cell r="DD101"/>
          <cell r="DE101" t="str">
            <v>BOLD</v>
          </cell>
          <cell r="DH101"/>
          <cell r="DI101" t="str">
            <v>BOLD</v>
          </cell>
          <cell r="DL101"/>
          <cell r="DM101" t="str">
            <v>BOLD</v>
          </cell>
          <cell r="DP101"/>
          <cell r="DQ101" t="str">
            <v>BOLD</v>
          </cell>
          <cell r="DT101"/>
          <cell r="DU101" t="str">
            <v>BOLD</v>
          </cell>
          <cell r="DX101"/>
          <cell r="DY101" t="str">
            <v>BOLD</v>
          </cell>
          <cell r="EB101"/>
          <cell r="EC101" t="str">
            <v>BOLD</v>
          </cell>
          <cell r="EF101"/>
          <cell r="EG101" t="str">
            <v>BOLD</v>
          </cell>
          <cell r="EJ101"/>
          <cell r="EK101" t="str">
            <v>BOLD</v>
          </cell>
          <cell r="EN101"/>
          <cell r="EO101" t="str">
            <v>BOLD</v>
          </cell>
          <cell r="ER101"/>
          <cell r="ES101" t="str">
            <v>BOLD</v>
          </cell>
          <cell r="EV101"/>
          <cell r="EW101" t="str">
            <v>BOLD</v>
          </cell>
          <cell r="EZ101"/>
          <cell r="FA101" t="str">
            <v>BOLD</v>
          </cell>
          <cell r="FD101"/>
          <cell r="FE101" t="str">
            <v>BOLD</v>
          </cell>
          <cell r="FF101" t="str">
            <v>Cashflow-Operating Activities</v>
          </cell>
          <cell r="FG101" t="str">
            <v>CF_CASH_FROM_OPER</v>
          </cell>
          <cell r="FH101"/>
          <cell r="FI101" t="str">
            <v>BOLD</v>
          </cell>
          <cell r="FL101"/>
          <cell r="FM101" t="str">
            <v>BOLD</v>
          </cell>
          <cell r="FN101" t="str">
            <v xml:space="preserve">  Number of Aircraft on Option Yr 2</v>
          </cell>
          <cell r="FO101" t="str">
            <v>AIRCRAFT_OPTION_YR2</v>
          </cell>
          <cell r="FP101"/>
          <cell r="FQ101" t="str">
            <v>NO</v>
          </cell>
          <cell r="FT101"/>
          <cell r="FU101" t="str">
            <v>BOLD</v>
          </cell>
          <cell r="FX101"/>
          <cell r="FY101" t="str">
            <v>BOLD</v>
          </cell>
          <cell r="GB101"/>
          <cell r="GC101" t="str">
            <v>BOLD</v>
          </cell>
          <cell r="GF101"/>
          <cell r="GG101" t="str">
            <v>BOLD</v>
          </cell>
          <cell r="GJ101"/>
          <cell r="GK101" t="str">
            <v>BOLD</v>
          </cell>
          <cell r="GN101"/>
          <cell r="GO101" t="str">
            <v>BOLD</v>
          </cell>
          <cell r="GR101"/>
          <cell r="GS101" t="str">
            <v>BOLD</v>
          </cell>
          <cell r="GV101"/>
          <cell r="GW101" t="str">
            <v>BOLD</v>
          </cell>
          <cell r="GZ101"/>
          <cell r="HA101" t="str">
            <v>BOLD</v>
          </cell>
          <cell r="HD101"/>
          <cell r="HE101" t="str">
            <v>BOLD</v>
          </cell>
          <cell r="HH101"/>
          <cell r="HI101" t="str">
            <v>BOLD</v>
          </cell>
          <cell r="HL101"/>
          <cell r="HM101" t="str">
            <v>BOLD</v>
          </cell>
          <cell r="HP101"/>
          <cell r="HQ101" t="str">
            <v>BOLD</v>
          </cell>
          <cell r="HT101"/>
          <cell r="HU101" t="str">
            <v>BOLD</v>
          </cell>
          <cell r="HV101" t="str">
            <v xml:space="preserve">  Diluted Weighted Avg Shares</v>
          </cell>
          <cell r="HW101" t="str">
            <v>IS_SH_FOR_DILUTED_EPS</v>
          </cell>
          <cell r="HX101"/>
          <cell r="HY101" t="str">
            <v>NO</v>
          </cell>
          <cell r="IB101"/>
          <cell r="IC101" t="str">
            <v>BOLD</v>
          </cell>
          <cell r="IH101" t="str">
            <v>Average VAR - Commodities Risk</v>
          </cell>
          <cell r="II101" t="str">
            <v>IS_AVG_VAR_COMMODITIES_RISK</v>
          </cell>
          <cell r="IJ101"/>
          <cell r="IK101" t="str">
            <v>BOLD</v>
          </cell>
          <cell r="IP101" t="str">
            <v>Total Customers</v>
          </cell>
          <cell r="IQ101" t="str">
            <v>ARDR_GAS_CUSTOMERS_TOTAL</v>
          </cell>
          <cell r="IR101"/>
          <cell r="IS101" t="str">
            <v>BOLD</v>
          </cell>
          <cell r="IX101" t="str">
            <v>Fair Value Assets Recurring - Level 2</v>
          </cell>
          <cell r="IY101" t="str">
            <v>BS_FV_ASSETS_REC_LEVEL_2</v>
          </cell>
          <cell r="IZ101"/>
          <cell r="JA101" t="str">
            <v>BOLD</v>
          </cell>
          <cell r="JD101"/>
          <cell r="JE101" t="str">
            <v>BOLD</v>
          </cell>
        </row>
        <row r="102">
          <cell r="A102">
            <v>101</v>
          </cell>
          <cell r="D102"/>
          <cell r="E102" t="str">
            <v>BOLD</v>
          </cell>
          <cell r="F102" t="str">
            <v>Card ROE - Mgd Basis</v>
          </cell>
          <cell r="G102" t="str">
            <v>CARD_RETURN_EQUITY_MGD_BASIS</v>
          </cell>
          <cell r="H102"/>
          <cell r="I102" t="str">
            <v>BOLD</v>
          </cell>
          <cell r="P102"/>
          <cell r="Q102" t="str">
            <v>BOLD</v>
          </cell>
          <cell r="T102"/>
          <cell r="U102" t="str">
            <v>BOLD</v>
          </cell>
          <cell r="X102"/>
          <cell r="Y102" t="str">
            <v>BOLD</v>
          </cell>
          <cell r="AB102"/>
          <cell r="AC102" t="str">
            <v>BOLD</v>
          </cell>
          <cell r="AF102"/>
          <cell r="AG102" t="str">
            <v>BOLD</v>
          </cell>
          <cell r="AJ102"/>
          <cell r="AK102" t="str">
            <v>BOLD</v>
          </cell>
          <cell r="AL102" t="str">
            <v>Contained Uranium (Tons)</v>
          </cell>
          <cell r="AM102" t="str">
            <v>MINING_INFER_RES_CONTAIN_URANIUM</v>
          </cell>
          <cell r="AN102"/>
          <cell r="AO102" t="str">
            <v>BOLD</v>
          </cell>
          <cell r="AR102"/>
          <cell r="AS102" t="str">
            <v>BOLD</v>
          </cell>
          <cell r="AV102"/>
          <cell r="AW102" t="str">
            <v>BOLD</v>
          </cell>
          <cell r="AZ102"/>
          <cell r="BA102" t="str">
            <v>BOLD</v>
          </cell>
          <cell r="BD102"/>
          <cell r="BE102" t="str">
            <v>BOLD</v>
          </cell>
          <cell r="BH102"/>
          <cell r="BI102" t="str">
            <v>BOLD</v>
          </cell>
          <cell r="BL102"/>
          <cell r="BM102" t="str">
            <v>BOLD</v>
          </cell>
          <cell r="BP102"/>
          <cell r="BQ102" t="str">
            <v>BOLD</v>
          </cell>
          <cell r="BT102"/>
          <cell r="BU102" t="str">
            <v>BOLD</v>
          </cell>
          <cell r="BX102"/>
          <cell r="BY102" t="str">
            <v>BOLD</v>
          </cell>
          <cell r="BZ102" t="str">
            <v xml:space="preserve">  + Improved Recovery</v>
          </cell>
          <cell r="CA102" t="str">
            <v>OIL_IMPROVED_RECOVERY_ASIA</v>
          </cell>
          <cell r="CB102"/>
          <cell r="CC102" t="str">
            <v>NO</v>
          </cell>
          <cell r="CD102" t="str">
            <v xml:space="preserve">  + Purchases</v>
          </cell>
          <cell r="CE102" t="str">
            <v>BOE_PURCHASES_MIDEAST</v>
          </cell>
          <cell r="CF102"/>
          <cell r="CG102" t="str">
            <v>NO</v>
          </cell>
          <cell r="CJ102"/>
          <cell r="CK102" t="str">
            <v>BOLD</v>
          </cell>
          <cell r="CN102"/>
          <cell r="CO102" t="str">
            <v>BOLD</v>
          </cell>
          <cell r="CP102" t="str">
            <v>Capital Expenditure to Sales</v>
          </cell>
          <cell r="CQ102" t="str">
            <v>CAP_EXPEND_TO_SALES</v>
          </cell>
          <cell r="CR102"/>
          <cell r="CS102" t="str">
            <v>BOLD</v>
          </cell>
          <cell r="CV102"/>
          <cell r="CW102" t="str">
            <v>BOLD</v>
          </cell>
          <cell r="CZ102"/>
          <cell r="DA102" t="str">
            <v>BOLD</v>
          </cell>
          <cell r="DD102"/>
          <cell r="DE102" t="str">
            <v>BOLD</v>
          </cell>
          <cell r="DH102"/>
          <cell r="DI102" t="str">
            <v>BOLD</v>
          </cell>
          <cell r="DL102"/>
          <cell r="DM102" t="str">
            <v>BOLD</v>
          </cell>
          <cell r="DP102"/>
          <cell r="DQ102" t="str">
            <v>BOLD</v>
          </cell>
          <cell r="DT102"/>
          <cell r="DU102" t="str">
            <v>BOLD</v>
          </cell>
          <cell r="DX102"/>
          <cell r="DY102" t="str">
            <v>BOLD</v>
          </cell>
          <cell r="EB102"/>
          <cell r="EC102" t="str">
            <v>BOLD</v>
          </cell>
          <cell r="EF102"/>
          <cell r="EG102" t="str">
            <v>BOLD</v>
          </cell>
          <cell r="EJ102"/>
          <cell r="EK102" t="str">
            <v>BOLD</v>
          </cell>
          <cell r="EN102"/>
          <cell r="EO102" t="str">
            <v>BOLD</v>
          </cell>
          <cell r="ER102"/>
          <cell r="ES102" t="str">
            <v>BOLD</v>
          </cell>
          <cell r="EV102"/>
          <cell r="EW102" t="str">
            <v>BOLD</v>
          </cell>
          <cell r="EZ102"/>
          <cell r="FA102" t="str">
            <v>BOLD</v>
          </cell>
          <cell r="FD102"/>
          <cell r="FE102" t="str">
            <v>BOLD</v>
          </cell>
          <cell r="FF102" t="str">
            <v>Capital Expenditures</v>
          </cell>
          <cell r="FG102" t="str">
            <v>CF_CAP_EXPEND_PRPTY_ADD</v>
          </cell>
          <cell r="FH102"/>
          <cell r="FI102" t="str">
            <v>BOLD</v>
          </cell>
          <cell r="FL102"/>
          <cell r="FM102" t="str">
            <v>BOLD</v>
          </cell>
          <cell r="FN102" t="str">
            <v xml:space="preserve">  Number of Aircraft on Option Yr 3</v>
          </cell>
          <cell r="FO102" t="str">
            <v>AIRCRAFT_OPTION_YR3</v>
          </cell>
          <cell r="FP102"/>
          <cell r="FQ102" t="str">
            <v>NO</v>
          </cell>
          <cell r="FT102"/>
          <cell r="FU102" t="str">
            <v>BOLD</v>
          </cell>
          <cell r="FX102"/>
          <cell r="FY102" t="str">
            <v>BOLD</v>
          </cell>
          <cell r="GB102"/>
          <cell r="GC102" t="str">
            <v>BOLD</v>
          </cell>
          <cell r="GF102"/>
          <cell r="GG102" t="str">
            <v>BOLD</v>
          </cell>
          <cell r="GJ102"/>
          <cell r="GK102" t="str">
            <v>BOLD</v>
          </cell>
          <cell r="GN102"/>
          <cell r="GO102" t="str">
            <v>BOLD</v>
          </cell>
          <cell r="GR102"/>
          <cell r="GS102" t="str">
            <v>BOLD</v>
          </cell>
          <cell r="GV102"/>
          <cell r="GW102" t="str">
            <v>BOLD</v>
          </cell>
          <cell r="GZ102"/>
          <cell r="HA102" t="str">
            <v>BOLD</v>
          </cell>
          <cell r="HD102"/>
          <cell r="HE102" t="str">
            <v>BOLD</v>
          </cell>
          <cell r="HH102"/>
          <cell r="HI102" t="str">
            <v>BOLD</v>
          </cell>
          <cell r="HL102"/>
          <cell r="HM102" t="str">
            <v>BOLD</v>
          </cell>
          <cell r="HP102"/>
          <cell r="HQ102" t="str">
            <v>BOLD</v>
          </cell>
          <cell r="HT102"/>
          <cell r="HU102" t="str">
            <v>BOLD</v>
          </cell>
          <cell r="HV102" t="str">
            <v xml:space="preserve">  Abnormal Losses (Gains)</v>
          </cell>
          <cell r="HW102" t="str">
            <v>IS_ABNORMAL_ITEM</v>
          </cell>
          <cell r="HX102"/>
          <cell r="HY102" t="str">
            <v>NO</v>
          </cell>
          <cell r="HZ102" t="str">
            <v>Reserves</v>
          </cell>
          <cell r="IA102" t="str">
            <v>LABEL</v>
          </cell>
          <cell r="IB102"/>
          <cell r="IC102" t="str">
            <v>BOLD</v>
          </cell>
          <cell r="IH102" t="str">
            <v>Average VAR - Other Risks</v>
          </cell>
          <cell r="II102" t="str">
            <v>IS_AVG_VAR_OTHER_RISK</v>
          </cell>
          <cell r="IJ102"/>
          <cell r="IK102" t="str">
            <v>BOLD</v>
          </cell>
          <cell r="IR102"/>
          <cell r="IS102" t="str">
            <v>BOLD</v>
          </cell>
          <cell r="IX102" t="str">
            <v>Fair Value Assets Recurring - Level 3</v>
          </cell>
          <cell r="IY102" t="str">
            <v>BS_FV_ASSETS_REC_LEVEL_3</v>
          </cell>
          <cell r="IZ102"/>
          <cell r="JA102" t="str">
            <v>BOLD</v>
          </cell>
          <cell r="JB102" t="str">
            <v>Reserves</v>
          </cell>
          <cell r="JC102" t="str">
            <v>LABEL</v>
          </cell>
          <cell r="JD102"/>
          <cell r="JE102" t="str">
            <v>BOLD</v>
          </cell>
        </row>
        <row r="103">
          <cell r="A103">
            <v>102</v>
          </cell>
          <cell r="D103"/>
          <cell r="E103" t="str">
            <v>BOLD</v>
          </cell>
          <cell r="F103" t="str">
            <v>Card Pretax ROA</v>
          </cell>
          <cell r="G103" t="str">
            <v>CARD_PRETAX_RETURN_ON_ASSETS</v>
          </cell>
          <cell r="H103"/>
          <cell r="I103" t="str">
            <v>BOLD</v>
          </cell>
          <cell r="P103"/>
          <cell r="Q103" t="str">
            <v>BOLD</v>
          </cell>
          <cell r="T103"/>
          <cell r="U103" t="str">
            <v>BOLD</v>
          </cell>
          <cell r="X103"/>
          <cell r="Y103" t="str">
            <v>BOLD</v>
          </cell>
          <cell r="AB103"/>
          <cell r="AC103" t="str">
            <v>BOLD</v>
          </cell>
          <cell r="AF103"/>
          <cell r="AG103" t="str">
            <v>BOLD</v>
          </cell>
          <cell r="AJ103"/>
          <cell r="AK103" t="str">
            <v>BOLD</v>
          </cell>
          <cell r="AL103" t="str">
            <v>Vanadium - Ore Volume (Tons)</v>
          </cell>
          <cell r="AM103" t="str">
            <v>MINING_INFERRED_RES_VANADIUM_VOL</v>
          </cell>
          <cell r="AN103"/>
          <cell r="AO103" t="str">
            <v>BOLD</v>
          </cell>
          <cell r="AR103"/>
          <cell r="AS103" t="str">
            <v>BOLD</v>
          </cell>
          <cell r="AV103"/>
          <cell r="AW103" t="str">
            <v>BOLD</v>
          </cell>
          <cell r="AZ103"/>
          <cell r="BA103" t="str">
            <v>BOLD</v>
          </cell>
          <cell r="BD103"/>
          <cell r="BE103" t="str">
            <v>BOLD</v>
          </cell>
          <cell r="BH103"/>
          <cell r="BI103" t="str">
            <v>BOLD</v>
          </cell>
          <cell r="BL103"/>
          <cell r="BM103" t="str">
            <v>BOLD</v>
          </cell>
          <cell r="BP103"/>
          <cell r="BQ103" t="str">
            <v>BOLD</v>
          </cell>
          <cell r="BT103"/>
          <cell r="BU103" t="str">
            <v>BOLD</v>
          </cell>
          <cell r="BV103" t="str">
            <v>Asia</v>
          </cell>
          <cell r="BW103" t="str">
            <v>LABEL</v>
          </cell>
          <cell r="BX103"/>
          <cell r="BY103" t="str">
            <v>BOLD</v>
          </cell>
          <cell r="BZ103" t="str">
            <v xml:space="preserve">  + Extensions &amp; Discoveries</v>
          </cell>
          <cell r="CA103" t="str">
            <v>OIL_EXTENSIONS_AND_DISCS_ASIA</v>
          </cell>
          <cell r="CB103"/>
          <cell r="CC103" t="str">
            <v>NO</v>
          </cell>
          <cell r="CD103" t="str">
            <v xml:space="preserve">  + Sales</v>
          </cell>
          <cell r="CE103" t="str">
            <v>BOE_SALES_MIDEAST</v>
          </cell>
          <cell r="CF103"/>
          <cell r="CG103" t="str">
            <v>NO</v>
          </cell>
          <cell r="CJ103"/>
          <cell r="CK103" t="str">
            <v>BOLD</v>
          </cell>
          <cell r="CN103"/>
          <cell r="CO103" t="str">
            <v>BOLD</v>
          </cell>
          <cell r="CP103" t="str">
            <v>Cash Flow - 1 Yr Growth</v>
          </cell>
          <cell r="CQ103" t="str">
            <v>CASH_FLOW_GROWTH</v>
          </cell>
          <cell r="CR103"/>
          <cell r="CS103" t="str">
            <v>BOLD</v>
          </cell>
          <cell r="CV103"/>
          <cell r="CW103" t="str">
            <v>BOLD</v>
          </cell>
          <cell r="CZ103"/>
          <cell r="DA103" t="str">
            <v>BOLD</v>
          </cell>
          <cell r="DD103"/>
          <cell r="DE103" t="str">
            <v>BOLD</v>
          </cell>
          <cell r="DH103"/>
          <cell r="DI103" t="str">
            <v>BOLD</v>
          </cell>
          <cell r="DL103"/>
          <cell r="DM103" t="str">
            <v>BOLD</v>
          </cell>
          <cell r="DP103"/>
          <cell r="DQ103" t="str">
            <v>BOLD</v>
          </cell>
          <cell r="DT103"/>
          <cell r="DU103" t="str">
            <v>BOLD</v>
          </cell>
          <cell r="DX103"/>
          <cell r="DY103" t="str">
            <v>BOLD</v>
          </cell>
          <cell r="EB103"/>
          <cell r="EC103" t="str">
            <v>BOLD</v>
          </cell>
          <cell r="EF103"/>
          <cell r="EG103" t="str">
            <v>BOLD</v>
          </cell>
          <cell r="EJ103"/>
          <cell r="EK103" t="str">
            <v>BOLD</v>
          </cell>
          <cell r="EN103"/>
          <cell r="EO103" t="str">
            <v>BOLD</v>
          </cell>
          <cell r="ER103"/>
          <cell r="ES103" t="str">
            <v>BOLD</v>
          </cell>
          <cell r="EV103"/>
          <cell r="EW103" t="str">
            <v>BOLD</v>
          </cell>
          <cell r="EZ103"/>
          <cell r="FA103" t="str">
            <v>BOLD</v>
          </cell>
          <cell r="FD103"/>
          <cell r="FE103" t="str">
            <v>BOLD</v>
          </cell>
          <cell r="FF103" t="str">
            <v>Free Cash Flow</v>
          </cell>
          <cell r="FG103" t="str">
            <v>CF_FREE_CASH_FLOW</v>
          </cell>
          <cell r="FH103"/>
          <cell r="FI103" t="str">
            <v>BOLD</v>
          </cell>
          <cell r="FL103"/>
          <cell r="FM103" t="str">
            <v>BOLD</v>
          </cell>
          <cell r="FN103" t="str">
            <v xml:space="preserve">  Number of Aircraft on Option Yr 4</v>
          </cell>
          <cell r="FO103" t="str">
            <v>AIRCRAFT_OPTION_YR4</v>
          </cell>
          <cell r="FP103"/>
          <cell r="FQ103" t="str">
            <v>NO</v>
          </cell>
          <cell r="FT103"/>
          <cell r="FU103" t="str">
            <v>BOLD</v>
          </cell>
          <cell r="FX103"/>
          <cell r="FY103" t="str">
            <v>BOLD</v>
          </cell>
          <cell r="GB103"/>
          <cell r="GC103" t="str">
            <v>BOLD</v>
          </cell>
          <cell r="GF103"/>
          <cell r="GG103" t="str">
            <v>BOLD</v>
          </cell>
          <cell r="GJ103"/>
          <cell r="GK103" t="str">
            <v>BOLD</v>
          </cell>
          <cell r="GN103"/>
          <cell r="GO103" t="str">
            <v>BOLD</v>
          </cell>
          <cell r="GR103"/>
          <cell r="GS103" t="str">
            <v>BOLD</v>
          </cell>
          <cell r="GV103"/>
          <cell r="GW103" t="str">
            <v>BOLD</v>
          </cell>
          <cell r="GZ103"/>
          <cell r="HA103" t="str">
            <v>BOLD</v>
          </cell>
          <cell r="HD103"/>
          <cell r="HE103" t="str">
            <v>BOLD</v>
          </cell>
          <cell r="HH103"/>
          <cell r="HI103" t="str">
            <v>BOLD</v>
          </cell>
          <cell r="HL103"/>
          <cell r="HM103" t="str">
            <v>BOLD</v>
          </cell>
          <cell r="HP103"/>
          <cell r="HQ103" t="str">
            <v>BOLD</v>
          </cell>
          <cell r="HT103"/>
          <cell r="HU103" t="str">
            <v>BOLD</v>
          </cell>
          <cell r="HV103" t="str">
            <v xml:space="preserve">  Tax Effect on Abnormal Items</v>
          </cell>
          <cell r="HW103" t="str">
            <v>IS_TAX_EFF_ON_ABNORMAL_ITEM</v>
          </cell>
          <cell r="HX103"/>
          <cell r="HY103" t="str">
            <v>NO</v>
          </cell>
          <cell r="HZ103" t="str">
            <v>Claims &amp; loss res</v>
          </cell>
          <cell r="IA103" t="str">
            <v>BS_RSRV_FOR_OUT_CLAIM_LOSS</v>
          </cell>
          <cell r="IB103"/>
          <cell r="IC103" t="str">
            <v>BOLD</v>
          </cell>
          <cell r="IH103" t="str">
            <v>VAR Diversification Benefit</v>
          </cell>
          <cell r="II103" t="str">
            <v>IS_DIVERSIFICATION_BENEFIT</v>
          </cell>
          <cell r="IJ103"/>
          <cell r="IK103" t="str">
            <v>BOLD</v>
          </cell>
          <cell r="IP103" t="str">
            <v>2P Gas &amp; Oil Reserves</v>
          </cell>
          <cell r="IQ103" t="str">
            <v>LABEL</v>
          </cell>
          <cell r="IR103"/>
          <cell r="IS103" t="str">
            <v>BOLD</v>
          </cell>
          <cell r="IX103" t="str">
            <v>Fair Value Assets Recurring - Total</v>
          </cell>
          <cell r="IY103" t="str">
            <v>BS_FV_ASSETS_REC_TOTAL</v>
          </cell>
          <cell r="IZ103"/>
          <cell r="JA103" t="str">
            <v>BOLD</v>
          </cell>
          <cell r="JB103" t="str">
            <v>Claims &amp; loss res</v>
          </cell>
          <cell r="JC103" t="str">
            <v>BS_RSRV_FOR_OUT_CLAIM_LOSS</v>
          </cell>
          <cell r="JD103"/>
          <cell r="JE103" t="str">
            <v>BOLD</v>
          </cell>
        </row>
        <row r="104">
          <cell r="A104">
            <v>103</v>
          </cell>
          <cell r="D104"/>
          <cell r="E104" t="str">
            <v>BOLD</v>
          </cell>
          <cell r="F104" t="str">
            <v>Card Mgd Rev to Total Mgd Rev</v>
          </cell>
          <cell r="G104" t="str">
            <v>CARD_MGD_REV_TO_TOT_MGD_REV</v>
          </cell>
          <cell r="H104"/>
          <cell r="I104" t="str">
            <v>BOLD</v>
          </cell>
          <cell r="P104"/>
          <cell r="Q104" t="str">
            <v>BOLD</v>
          </cell>
          <cell r="T104"/>
          <cell r="U104" t="str">
            <v>BOLD</v>
          </cell>
          <cell r="X104"/>
          <cell r="Y104" t="str">
            <v>BOLD</v>
          </cell>
          <cell r="AB104"/>
          <cell r="AC104" t="str">
            <v>BOLD</v>
          </cell>
          <cell r="AF104"/>
          <cell r="AG104" t="str">
            <v>BOLD</v>
          </cell>
          <cell r="AJ104"/>
          <cell r="AK104" t="str">
            <v>BOLD</v>
          </cell>
          <cell r="AL104" t="str">
            <v>Vanadium - Grade (%)</v>
          </cell>
          <cell r="AM104" t="str">
            <v>MINING_INFER_RES_VANADIUM_GRADE</v>
          </cell>
          <cell r="AN104"/>
          <cell r="AO104" t="str">
            <v>BOLD</v>
          </cell>
          <cell r="AR104"/>
          <cell r="AS104" t="str">
            <v>BOLD</v>
          </cell>
          <cell r="AV104"/>
          <cell r="AW104" t="str">
            <v>BOLD</v>
          </cell>
          <cell r="AZ104"/>
          <cell r="BA104" t="str">
            <v>BOLD</v>
          </cell>
          <cell r="BD104"/>
          <cell r="BE104" t="str">
            <v>BOLD</v>
          </cell>
          <cell r="BH104"/>
          <cell r="BI104" t="str">
            <v>BOLD</v>
          </cell>
          <cell r="BL104"/>
          <cell r="BM104" t="str">
            <v>BOLD</v>
          </cell>
          <cell r="BP104"/>
          <cell r="BQ104" t="str">
            <v>BOLD</v>
          </cell>
          <cell r="BT104"/>
          <cell r="BU104" t="str">
            <v>BOLD</v>
          </cell>
          <cell r="BV104" t="str">
            <v xml:space="preserve">  Start of Year</v>
          </cell>
          <cell r="BW104" t="str">
            <v>GAS_START_YEAR_ASIA_PAC</v>
          </cell>
          <cell r="BX104"/>
          <cell r="BY104" t="str">
            <v>NO</v>
          </cell>
          <cell r="BZ104" t="str">
            <v xml:space="preserve">  + Purchases</v>
          </cell>
          <cell r="CA104" t="str">
            <v>OIL_PURCHASES_ASIA</v>
          </cell>
          <cell r="CB104"/>
          <cell r="CC104" t="str">
            <v>NO</v>
          </cell>
          <cell r="CD104" t="str">
            <v xml:space="preserve">  + Production</v>
          </cell>
          <cell r="CE104" t="str">
            <v>BOE_PRODUCTION_MIDEAST</v>
          </cell>
          <cell r="CF104"/>
          <cell r="CG104" t="str">
            <v>NO</v>
          </cell>
          <cell r="CJ104"/>
          <cell r="CK104" t="str">
            <v>BOLD</v>
          </cell>
          <cell r="CN104"/>
          <cell r="CO104" t="str">
            <v>BOLD</v>
          </cell>
          <cell r="CP104" t="str">
            <v>Cash Flow per Diluted Share 1 yr Growth</v>
          </cell>
          <cell r="CQ104" t="str">
            <v>CASH_FLOW_PER_DIL_SHR_GROWTH</v>
          </cell>
          <cell r="CR104" t="str">
            <v>EPS</v>
          </cell>
          <cell r="CS104" t="str">
            <v>BOLDEPS</v>
          </cell>
          <cell r="CV104"/>
          <cell r="CW104" t="str">
            <v>BOLD</v>
          </cell>
          <cell r="CZ104"/>
          <cell r="DA104" t="str">
            <v>BOLD</v>
          </cell>
          <cell r="DD104"/>
          <cell r="DE104" t="str">
            <v>BOLD</v>
          </cell>
          <cell r="DH104"/>
          <cell r="DI104" t="str">
            <v>BOLD</v>
          </cell>
          <cell r="DL104"/>
          <cell r="DM104" t="str">
            <v>BOLD</v>
          </cell>
          <cell r="DP104"/>
          <cell r="DQ104" t="str">
            <v>BOLD</v>
          </cell>
          <cell r="DT104"/>
          <cell r="DU104" t="str">
            <v>BOLD</v>
          </cell>
          <cell r="DX104"/>
          <cell r="DY104" t="str">
            <v>BOLD</v>
          </cell>
          <cell r="EB104"/>
          <cell r="EC104" t="str">
            <v>BOLD</v>
          </cell>
          <cell r="EF104"/>
          <cell r="EG104" t="str">
            <v>BOLD</v>
          </cell>
          <cell r="EJ104"/>
          <cell r="EK104" t="str">
            <v>BOLD</v>
          </cell>
          <cell r="EN104"/>
          <cell r="EO104" t="str">
            <v>BOLD</v>
          </cell>
          <cell r="ER104"/>
          <cell r="ES104" t="str">
            <v>BOLD</v>
          </cell>
          <cell r="EV104"/>
          <cell r="EW104" t="str">
            <v>BOLD</v>
          </cell>
          <cell r="EZ104"/>
          <cell r="FA104" t="str">
            <v>BOLD</v>
          </cell>
          <cell r="FD104"/>
          <cell r="FE104" t="str">
            <v>BOLD</v>
          </cell>
          <cell r="FF104" t="str">
            <v>FCF/Dil shr</v>
          </cell>
          <cell r="FG104" t="str">
            <v>FCF_PER_DIL_SHR</v>
          </cell>
          <cell r="FH104"/>
          <cell r="FI104" t="str">
            <v>BOLD</v>
          </cell>
          <cell r="FL104"/>
          <cell r="FM104" t="str">
            <v>BOLD</v>
          </cell>
          <cell r="FN104" t="str">
            <v xml:space="preserve">  Number of Aircraft on Option Yr 5 and Beyond</v>
          </cell>
          <cell r="FO104" t="str">
            <v>AIRCRAFT_OPTION_YR5_BYND</v>
          </cell>
          <cell r="FP104"/>
          <cell r="FQ104" t="str">
            <v>NO</v>
          </cell>
          <cell r="FT104"/>
          <cell r="FU104" t="str">
            <v>BOLD</v>
          </cell>
          <cell r="FX104"/>
          <cell r="FY104" t="str">
            <v>BOLD</v>
          </cell>
          <cell r="GB104"/>
          <cell r="GC104" t="str">
            <v>BOLD</v>
          </cell>
          <cell r="GF104"/>
          <cell r="GG104" t="str">
            <v>BOLD</v>
          </cell>
          <cell r="GJ104"/>
          <cell r="GK104" t="str">
            <v>BOLD</v>
          </cell>
          <cell r="GN104"/>
          <cell r="GO104" t="str">
            <v>BOLD</v>
          </cell>
          <cell r="GR104"/>
          <cell r="GS104" t="str">
            <v>BOLD</v>
          </cell>
          <cell r="GV104"/>
          <cell r="GW104" t="str">
            <v>BOLD</v>
          </cell>
          <cell r="GZ104"/>
          <cell r="HA104" t="str">
            <v>BOLD</v>
          </cell>
          <cell r="HD104"/>
          <cell r="HE104" t="str">
            <v>BOLD</v>
          </cell>
          <cell r="HH104"/>
          <cell r="HI104" t="str">
            <v>BOLD</v>
          </cell>
          <cell r="HL104"/>
          <cell r="HM104" t="str">
            <v>BOLD</v>
          </cell>
          <cell r="HP104"/>
          <cell r="HQ104" t="str">
            <v>BOLD</v>
          </cell>
          <cell r="HT104"/>
          <cell r="HU104" t="str">
            <v>BOLD</v>
          </cell>
          <cell r="HX104"/>
          <cell r="HY104" t="str">
            <v>BOLD</v>
          </cell>
          <cell r="HZ104" t="str">
            <v>Premium reserves</v>
          </cell>
          <cell r="IA104" t="str">
            <v>BS_PREM_RSRV</v>
          </cell>
          <cell r="IB104"/>
          <cell r="IC104" t="str">
            <v>BOLD</v>
          </cell>
          <cell r="IH104" t="str">
            <v>Total Average Value-At-Risk</v>
          </cell>
          <cell r="II104" t="str">
            <v>IS_TOTAL_VALUE_AT_RISK</v>
          </cell>
          <cell r="IJ104"/>
          <cell r="IK104" t="str">
            <v>BOLD</v>
          </cell>
          <cell r="IP104" t="str">
            <v>Natural Gas (BCF)</v>
          </cell>
          <cell r="IQ104" t="str">
            <v>GAS_P&amp;P_RSRVS_END_YR_WORLDWIDE</v>
          </cell>
          <cell r="IR104"/>
          <cell r="IS104" t="str">
            <v>BOLD</v>
          </cell>
          <cell r="IX104" t="str">
            <v>Level 1 Assets/Total Assets</v>
          </cell>
          <cell r="IY104" t="str">
            <v>LEVEL_1_ASSETS_TO_TOTAL_ASSETS</v>
          </cell>
          <cell r="IZ104"/>
          <cell r="JA104" t="str">
            <v>BOLD</v>
          </cell>
          <cell r="JB104" t="str">
            <v>Premium reserves</v>
          </cell>
          <cell r="JC104" t="str">
            <v>BS_PREM_RSRV</v>
          </cell>
          <cell r="JD104"/>
          <cell r="JE104" t="str">
            <v>BOLD</v>
          </cell>
        </row>
        <row r="105">
          <cell r="A105">
            <v>104</v>
          </cell>
          <cell r="D105"/>
          <cell r="E105" t="str">
            <v>BOLD</v>
          </cell>
          <cell r="F105" t="str">
            <v>Discount Revenue</v>
          </cell>
          <cell r="G105" t="str">
            <v>DISCOUNT_REVENUE</v>
          </cell>
          <cell r="H105"/>
          <cell r="I105" t="str">
            <v>BOLD</v>
          </cell>
          <cell r="P105"/>
          <cell r="Q105" t="str">
            <v>BOLD</v>
          </cell>
          <cell r="T105"/>
          <cell r="U105" t="str">
            <v>BOLD</v>
          </cell>
          <cell r="X105"/>
          <cell r="Y105" t="str">
            <v>BOLD</v>
          </cell>
          <cell r="AB105"/>
          <cell r="AC105" t="str">
            <v>BOLD</v>
          </cell>
          <cell r="AF105"/>
          <cell r="AG105" t="str">
            <v>BOLD</v>
          </cell>
          <cell r="AJ105"/>
          <cell r="AK105" t="str">
            <v>BOLD</v>
          </cell>
          <cell r="AL105" t="str">
            <v>Contained Vanadium (Tons)</v>
          </cell>
          <cell r="AM105" t="str">
            <v>MINING_INFER_RES_CONT_VANADIUM</v>
          </cell>
          <cell r="AN105"/>
          <cell r="AO105" t="str">
            <v>BOLD</v>
          </cell>
          <cell r="AR105"/>
          <cell r="AS105" t="str">
            <v>BOLD</v>
          </cell>
          <cell r="AV105"/>
          <cell r="AW105" t="str">
            <v>BOLD</v>
          </cell>
          <cell r="AZ105"/>
          <cell r="BA105" t="str">
            <v>BOLD</v>
          </cell>
          <cell r="BD105"/>
          <cell r="BE105" t="str">
            <v>BOLD</v>
          </cell>
          <cell r="BH105"/>
          <cell r="BI105" t="str">
            <v>BOLD</v>
          </cell>
          <cell r="BL105"/>
          <cell r="BM105" t="str">
            <v>BOLD</v>
          </cell>
          <cell r="BP105"/>
          <cell r="BQ105" t="str">
            <v>BOLD</v>
          </cell>
          <cell r="BT105"/>
          <cell r="BU105" t="str">
            <v>BOLD</v>
          </cell>
          <cell r="BV105" t="str">
            <v xml:space="preserve">  + Revisions</v>
          </cell>
          <cell r="BW105" t="str">
            <v>GAS_REVISIONS_ASIA_PAC</v>
          </cell>
          <cell r="BX105"/>
          <cell r="BY105" t="str">
            <v>NO</v>
          </cell>
          <cell r="BZ105" t="str">
            <v xml:space="preserve">  + Sales</v>
          </cell>
          <cell r="CA105" t="str">
            <v>OIL_SALES_ASIA</v>
          </cell>
          <cell r="CB105"/>
          <cell r="CC105" t="str">
            <v>NO</v>
          </cell>
          <cell r="CD105" t="str">
            <v xml:space="preserve">  + Other</v>
          </cell>
          <cell r="CE105" t="str">
            <v>BOE_OTHER_CHG_MIDEAST</v>
          </cell>
          <cell r="CF105"/>
          <cell r="CG105" t="str">
            <v>NO</v>
          </cell>
          <cell r="CJ105"/>
          <cell r="CK105" t="str">
            <v>BOLD</v>
          </cell>
          <cell r="CN105"/>
          <cell r="CO105" t="str">
            <v>BOLD</v>
          </cell>
          <cell r="CP105" t="str">
            <v>FCF/share grw</v>
          </cell>
          <cell r="CQ105" t="str">
            <v>FREE_CASH_FLOW_PER_SH_GROWTH</v>
          </cell>
          <cell r="CR105"/>
          <cell r="CS105" t="str">
            <v>BOLD</v>
          </cell>
          <cell r="CV105"/>
          <cell r="CW105" t="str">
            <v>BOLD</v>
          </cell>
          <cell r="CZ105"/>
          <cell r="DA105" t="str">
            <v>BOLD</v>
          </cell>
          <cell r="DD105"/>
          <cell r="DE105" t="str">
            <v>BOLD</v>
          </cell>
          <cell r="DH105"/>
          <cell r="DI105" t="str">
            <v>BOLD</v>
          </cell>
          <cell r="DL105"/>
          <cell r="DM105" t="str">
            <v>BOLD</v>
          </cell>
          <cell r="DP105"/>
          <cell r="DQ105" t="str">
            <v>BOLD</v>
          </cell>
          <cell r="DT105"/>
          <cell r="DU105" t="str">
            <v>BOLD</v>
          </cell>
          <cell r="DX105"/>
          <cell r="DY105" t="str">
            <v>BOLD</v>
          </cell>
          <cell r="EB105"/>
          <cell r="EC105" t="str">
            <v>BOLD</v>
          </cell>
          <cell r="EF105"/>
          <cell r="EG105" t="str">
            <v>BOLD</v>
          </cell>
          <cell r="EJ105"/>
          <cell r="EK105" t="str">
            <v>BOLD</v>
          </cell>
          <cell r="EN105"/>
          <cell r="EO105" t="str">
            <v>BOLD</v>
          </cell>
          <cell r="ER105"/>
          <cell r="ES105" t="str">
            <v>BOLD</v>
          </cell>
          <cell r="EV105"/>
          <cell r="EW105" t="str">
            <v>BOLD</v>
          </cell>
          <cell r="EZ105"/>
          <cell r="FA105" t="str">
            <v>BOLD</v>
          </cell>
          <cell r="FD105"/>
          <cell r="FE105" t="str">
            <v>BOLD</v>
          </cell>
          <cell r="FH105"/>
          <cell r="FI105" t="str">
            <v>BOLD</v>
          </cell>
          <cell r="FL105"/>
          <cell r="FM105" t="str">
            <v>BOLD</v>
          </cell>
          <cell r="FP105"/>
          <cell r="FQ105" t="str">
            <v>BOLD</v>
          </cell>
          <cell r="FT105"/>
          <cell r="FU105" t="str">
            <v>BOLD</v>
          </cell>
          <cell r="FX105"/>
          <cell r="FY105" t="str">
            <v>BOLD</v>
          </cell>
          <cell r="GB105"/>
          <cell r="GC105" t="str">
            <v>BOLD</v>
          </cell>
          <cell r="GF105"/>
          <cell r="GG105" t="str">
            <v>BOLD</v>
          </cell>
          <cell r="GJ105"/>
          <cell r="GK105" t="str">
            <v>BOLD</v>
          </cell>
          <cell r="GN105"/>
          <cell r="GO105" t="str">
            <v>BOLD</v>
          </cell>
          <cell r="GR105"/>
          <cell r="GS105" t="str">
            <v>BOLD</v>
          </cell>
          <cell r="GV105"/>
          <cell r="GW105" t="str">
            <v>BOLD</v>
          </cell>
          <cell r="GZ105"/>
          <cell r="HA105" t="str">
            <v>BOLD</v>
          </cell>
          <cell r="HD105"/>
          <cell r="HE105" t="str">
            <v>BOLD</v>
          </cell>
          <cell r="HH105"/>
          <cell r="HI105" t="str">
            <v>BOLD</v>
          </cell>
          <cell r="HL105"/>
          <cell r="HM105" t="str">
            <v>BOLD</v>
          </cell>
          <cell r="HP105"/>
          <cell r="HQ105" t="str">
            <v>BOLD</v>
          </cell>
          <cell r="HT105"/>
          <cell r="HU105" t="str">
            <v>BOLD</v>
          </cell>
          <cell r="HV105" t="str">
            <v>Tangible Common Equity</v>
          </cell>
          <cell r="HW105" t="str">
            <v>LABEL</v>
          </cell>
          <cell r="HX105"/>
          <cell r="HY105" t="str">
            <v>BOLD</v>
          </cell>
          <cell r="HZ105" t="str">
            <v>Life policy ben</v>
          </cell>
          <cell r="IA105" t="str">
            <v>BS_LIFE_PLCY_BNFT</v>
          </cell>
          <cell r="IB105"/>
          <cell r="IC105" t="str">
            <v>BOLD</v>
          </cell>
          <cell r="IH105" t="str">
            <v>VAR Confidence Level</v>
          </cell>
          <cell r="II105" t="str">
            <v>IS_VAR_CONFIDENCE_LEVEL</v>
          </cell>
          <cell r="IJ105"/>
          <cell r="IK105" t="str">
            <v>BOLD</v>
          </cell>
          <cell r="IP105" t="str">
            <v>Oil (MMBBL)</v>
          </cell>
          <cell r="IQ105" t="str">
            <v>OIL_P&amp;P_RSRVS_END_YR_WORLDWIDE</v>
          </cell>
          <cell r="IR105"/>
          <cell r="IS105" t="str">
            <v>BOLD</v>
          </cell>
          <cell r="IX105" t="str">
            <v>Level 2 Assets/Total Assets</v>
          </cell>
          <cell r="IY105" t="str">
            <v>LEVEL_2_ASSETS_TO_TOTAL_ASSETS</v>
          </cell>
          <cell r="IZ105"/>
          <cell r="JA105" t="str">
            <v>BOLD</v>
          </cell>
          <cell r="JB105" t="str">
            <v>Life policy ben</v>
          </cell>
          <cell r="JC105" t="str">
            <v>BS_LIFE_PLCY_BNFT</v>
          </cell>
          <cell r="JD105"/>
          <cell r="JE105" t="str">
            <v>BOLD</v>
          </cell>
        </row>
        <row r="106">
          <cell r="A106">
            <v>105</v>
          </cell>
          <cell r="D106"/>
          <cell r="E106" t="str">
            <v>BOLD</v>
          </cell>
          <cell r="F106" t="str">
            <v>Card Marketing and Promotion</v>
          </cell>
          <cell r="G106" t="str">
            <v>CARD_MARKETING_PROMOTION</v>
          </cell>
          <cell r="H106"/>
          <cell r="I106" t="str">
            <v>BOLD</v>
          </cell>
          <cell r="P106"/>
          <cell r="Q106" t="str">
            <v>BOLD</v>
          </cell>
          <cell r="T106"/>
          <cell r="U106" t="str">
            <v>BOLD</v>
          </cell>
          <cell r="X106"/>
          <cell r="Y106" t="str">
            <v>BOLD</v>
          </cell>
          <cell r="AB106"/>
          <cell r="AC106" t="str">
            <v>BOLD</v>
          </cell>
          <cell r="AF106"/>
          <cell r="AG106" t="str">
            <v>BOLD</v>
          </cell>
          <cell r="AJ106"/>
          <cell r="AK106" t="str">
            <v>BOLD</v>
          </cell>
          <cell r="AL106" t="str">
            <v>Zinc - Ore Volume (Tons)</v>
          </cell>
          <cell r="AM106" t="str">
            <v>MINING_INFERRED_RES_ZINC_VOLUME</v>
          </cell>
          <cell r="AN106"/>
          <cell r="AO106" t="str">
            <v>BOLD</v>
          </cell>
          <cell r="AR106"/>
          <cell r="AS106" t="str">
            <v>BOLD</v>
          </cell>
          <cell r="AV106"/>
          <cell r="AW106" t="str">
            <v>BOLD</v>
          </cell>
          <cell r="AZ106"/>
          <cell r="BA106" t="str">
            <v>BOLD</v>
          </cell>
          <cell r="BD106"/>
          <cell r="BE106" t="str">
            <v>BOLD</v>
          </cell>
          <cell r="BH106"/>
          <cell r="BI106" t="str">
            <v>BOLD</v>
          </cell>
          <cell r="BL106"/>
          <cell r="BM106" t="str">
            <v>BOLD</v>
          </cell>
          <cell r="BP106"/>
          <cell r="BQ106" t="str">
            <v>BOLD</v>
          </cell>
          <cell r="BT106"/>
          <cell r="BU106" t="str">
            <v>BOLD</v>
          </cell>
          <cell r="BV106" t="str">
            <v xml:space="preserve">  + Improved Recovery</v>
          </cell>
          <cell r="BW106" t="str">
            <v>GAS_IMPROV_REC_ASIA_PAC</v>
          </cell>
          <cell r="BX106"/>
          <cell r="BY106" t="str">
            <v>NO</v>
          </cell>
          <cell r="BZ106" t="str">
            <v xml:space="preserve">  + Production</v>
          </cell>
          <cell r="CA106" t="str">
            <v>OIL_PRODUCTION_ASIA</v>
          </cell>
          <cell r="CB106"/>
          <cell r="CC106" t="str">
            <v>NO</v>
          </cell>
          <cell r="CD106" t="str">
            <v xml:space="preserve">  End of year</v>
          </cell>
          <cell r="CE106" t="str">
            <v>BOE_END_YEAR_MIDEAST</v>
          </cell>
          <cell r="CF106"/>
          <cell r="CG106" t="str">
            <v>NO</v>
          </cell>
          <cell r="CJ106"/>
          <cell r="CK106" t="str">
            <v>BOLD</v>
          </cell>
          <cell r="CN106"/>
          <cell r="CO106" t="str">
            <v>BOLD</v>
          </cell>
          <cell r="CR106"/>
          <cell r="CS106" t="str">
            <v>BOLD</v>
          </cell>
          <cell r="CV106"/>
          <cell r="CW106" t="str">
            <v>BOLD</v>
          </cell>
          <cell r="CZ106"/>
          <cell r="DA106" t="str">
            <v>BOLD</v>
          </cell>
          <cell r="DD106"/>
          <cell r="DE106" t="str">
            <v>BOLD</v>
          </cell>
          <cell r="DH106"/>
          <cell r="DI106" t="str">
            <v>BOLD</v>
          </cell>
          <cell r="DL106"/>
          <cell r="DM106" t="str">
            <v>BOLD</v>
          </cell>
          <cell r="DP106"/>
          <cell r="DQ106" t="str">
            <v>BOLD</v>
          </cell>
          <cell r="DT106"/>
          <cell r="DU106" t="str">
            <v>BOLD</v>
          </cell>
          <cell r="DX106"/>
          <cell r="DY106" t="str">
            <v>BOLD</v>
          </cell>
          <cell r="EB106"/>
          <cell r="EC106" t="str">
            <v>BOLD</v>
          </cell>
          <cell r="EF106"/>
          <cell r="EG106" t="str">
            <v>BOLD</v>
          </cell>
          <cell r="EJ106"/>
          <cell r="EK106" t="str">
            <v>BOLD</v>
          </cell>
          <cell r="EN106"/>
          <cell r="EO106" t="str">
            <v>BOLD</v>
          </cell>
          <cell r="ER106"/>
          <cell r="ES106" t="str">
            <v>BOLD</v>
          </cell>
          <cell r="EV106"/>
          <cell r="EW106" t="str">
            <v>BOLD</v>
          </cell>
          <cell r="EZ106"/>
          <cell r="FA106" t="str">
            <v>BOLD</v>
          </cell>
          <cell r="FD106"/>
          <cell r="FE106" t="str">
            <v>BOLD</v>
          </cell>
          <cell r="FF106" t="str">
            <v>Other</v>
          </cell>
          <cell r="FG106" t="str">
            <v>LABEL</v>
          </cell>
          <cell r="FH106"/>
          <cell r="FI106" t="str">
            <v>BOLD</v>
          </cell>
          <cell r="FL106"/>
          <cell r="FM106" t="str">
            <v>BOLD</v>
          </cell>
          <cell r="FN106" t="str">
            <v>Total Number of Aircraft on Rolling Option</v>
          </cell>
          <cell r="FO106" t="str">
            <v>AIRCRAFT_ROLLING_OPTION</v>
          </cell>
          <cell r="FP106"/>
          <cell r="FQ106" t="str">
            <v>BOLD</v>
          </cell>
          <cell r="FT106"/>
          <cell r="FU106" t="str">
            <v>BOLD</v>
          </cell>
          <cell r="FX106"/>
          <cell r="FY106" t="str">
            <v>BOLD</v>
          </cell>
          <cell r="GB106"/>
          <cell r="GC106" t="str">
            <v>BOLD</v>
          </cell>
          <cell r="GF106"/>
          <cell r="GG106" t="str">
            <v>BOLD</v>
          </cell>
          <cell r="GJ106"/>
          <cell r="GK106" t="str">
            <v>BOLD</v>
          </cell>
          <cell r="GN106"/>
          <cell r="GO106" t="str">
            <v>BOLD</v>
          </cell>
          <cell r="GR106"/>
          <cell r="GS106" t="str">
            <v>BOLD</v>
          </cell>
          <cell r="GV106"/>
          <cell r="GW106" t="str">
            <v>BOLD</v>
          </cell>
          <cell r="GZ106"/>
          <cell r="HA106" t="str">
            <v>BOLD</v>
          </cell>
          <cell r="HD106"/>
          <cell r="HE106" t="str">
            <v>BOLD</v>
          </cell>
          <cell r="HH106"/>
          <cell r="HI106" t="str">
            <v>BOLD</v>
          </cell>
          <cell r="HL106"/>
          <cell r="HM106" t="str">
            <v>BOLD</v>
          </cell>
          <cell r="HP106"/>
          <cell r="HQ106" t="str">
            <v>BOLD</v>
          </cell>
          <cell r="HT106"/>
          <cell r="HU106" t="str">
            <v>BOLD</v>
          </cell>
          <cell r="HV106" t="str">
            <v>Total Common Equity</v>
          </cell>
          <cell r="HW106" t="str">
            <v>TOT_COMMON_EQY</v>
          </cell>
          <cell r="HX106"/>
          <cell r="HY106" t="str">
            <v>BOLD</v>
          </cell>
          <cell r="HZ106" t="str">
            <v>Oth insurance res</v>
          </cell>
          <cell r="IA106" t="str">
            <v>BS_OTHER_OPER_RSRV</v>
          </cell>
          <cell r="IB106"/>
          <cell r="IC106" t="str">
            <v>BOLD</v>
          </cell>
          <cell r="IP106" t="str">
            <v>Total Gas &amp; Oil Reserves - MBOE</v>
          </cell>
          <cell r="IQ106" t="str">
            <v>BOE_P&amp;P_RSRVS_END_YR_WORLDWIDE</v>
          </cell>
          <cell r="IR106"/>
          <cell r="IS106" t="str">
            <v>BOLD</v>
          </cell>
          <cell r="IX106" t="str">
            <v>Level 3 Assets/Total Assets</v>
          </cell>
          <cell r="IY106" t="str">
            <v>LEVEL_3_ASSETS_TO_TOTAL_ASSETS</v>
          </cell>
          <cell r="IZ106"/>
          <cell r="JA106" t="str">
            <v>BOLD</v>
          </cell>
          <cell r="JB106" t="str">
            <v>Oth insurance res</v>
          </cell>
          <cell r="JC106" t="str">
            <v>BS_OTHER_OPER_RSRV</v>
          </cell>
          <cell r="JD106"/>
          <cell r="JE106" t="str">
            <v>BOLD</v>
          </cell>
        </row>
        <row r="107">
          <cell r="A107">
            <v>106</v>
          </cell>
          <cell r="D107"/>
          <cell r="E107" t="str">
            <v>BOLD</v>
          </cell>
          <cell r="F107" t="str">
            <v>Cardmember Rewards</v>
          </cell>
          <cell r="G107" t="str">
            <v>CARDMEMBER_REWARDS</v>
          </cell>
          <cell r="H107"/>
          <cell r="I107" t="str">
            <v>BOLD</v>
          </cell>
          <cell r="P107"/>
          <cell r="Q107" t="str">
            <v>BOLD</v>
          </cell>
          <cell r="T107"/>
          <cell r="U107" t="str">
            <v>BOLD</v>
          </cell>
          <cell r="X107"/>
          <cell r="Y107" t="str">
            <v>BOLD</v>
          </cell>
          <cell r="AB107"/>
          <cell r="AC107" t="str">
            <v>BOLD</v>
          </cell>
          <cell r="AF107"/>
          <cell r="AG107" t="str">
            <v>BOLD</v>
          </cell>
          <cell r="AJ107"/>
          <cell r="AK107" t="str">
            <v>BOLD</v>
          </cell>
          <cell r="AL107" t="str">
            <v>Zinc - Grade (%)</v>
          </cell>
          <cell r="AM107" t="str">
            <v>MINING_INFERRED_RES_ZINC_GRADE</v>
          </cell>
          <cell r="AN107"/>
          <cell r="AO107" t="str">
            <v>BOLD</v>
          </cell>
          <cell r="AR107"/>
          <cell r="AS107" t="str">
            <v>BOLD</v>
          </cell>
          <cell r="AV107"/>
          <cell r="AW107" t="str">
            <v>BOLD</v>
          </cell>
          <cell r="AZ107"/>
          <cell r="BA107" t="str">
            <v>BOLD</v>
          </cell>
          <cell r="BD107"/>
          <cell r="BE107" t="str">
            <v>BOLD</v>
          </cell>
          <cell r="BH107"/>
          <cell r="BI107" t="str">
            <v>BOLD</v>
          </cell>
          <cell r="BL107"/>
          <cell r="BM107" t="str">
            <v>BOLD</v>
          </cell>
          <cell r="BP107"/>
          <cell r="BQ107" t="str">
            <v>BOLD</v>
          </cell>
          <cell r="BT107"/>
          <cell r="BU107" t="str">
            <v>BOLD</v>
          </cell>
          <cell r="BV107" t="str">
            <v xml:space="preserve">  + Extensions &amp; Discoveries</v>
          </cell>
          <cell r="BW107" t="str">
            <v>GAS_EXTENS_DISCOV_ASIA_PAC</v>
          </cell>
          <cell r="BX107"/>
          <cell r="BY107" t="str">
            <v>NO</v>
          </cell>
          <cell r="BZ107" t="str">
            <v xml:space="preserve">  + Other</v>
          </cell>
          <cell r="CA107" t="str">
            <v>OIL_OTHER_CHANGES_ASIA</v>
          </cell>
          <cell r="CB107"/>
          <cell r="CC107" t="str">
            <v>NO</v>
          </cell>
          <cell r="CD107" t="str">
            <v xml:space="preserve">  Developed Reserves</v>
          </cell>
          <cell r="CE107" t="str">
            <v>BOE_DEVEL_RESV_MIDEAST</v>
          </cell>
          <cell r="CF107"/>
          <cell r="CG107" t="str">
            <v>NO</v>
          </cell>
          <cell r="CJ107"/>
          <cell r="CK107" t="str">
            <v>BOLD</v>
          </cell>
          <cell r="CN107"/>
          <cell r="CO107" t="str">
            <v>BOLD</v>
          </cell>
          <cell r="CR107"/>
          <cell r="CS107" t="str">
            <v>BOLD</v>
          </cell>
          <cell r="CV107"/>
          <cell r="CW107" t="str">
            <v>BOLD</v>
          </cell>
          <cell r="CZ107"/>
          <cell r="DA107" t="str">
            <v>BOLD</v>
          </cell>
          <cell r="DD107"/>
          <cell r="DE107" t="str">
            <v>BOLD</v>
          </cell>
          <cell r="DH107"/>
          <cell r="DI107" t="str">
            <v>BOLD</v>
          </cell>
          <cell r="DL107"/>
          <cell r="DM107" t="str">
            <v>BOLD</v>
          </cell>
          <cell r="DP107"/>
          <cell r="DQ107" t="str">
            <v>BOLD</v>
          </cell>
          <cell r="DT107"/>
          <cell r="DU107" t="str">
            <v>BOLD</v>
          </cell>
          <cell r="DX107"/>
          <cell r="DY107" t="str">
            <v>BOLD</v>
          </cell>
          <cell r="EB107"/>
          <cell r="EC107" t="str">
            <v>BOLD</v>
          </cell>
          <cell r="EF107"/>
          <cell r="EG107" t="str">
            <v>BOLD</v>
          </cell>
          <cell r="EJ107"/>
          <cell r="EK107" t="str">
            <v>BOLD</v>
          </cell>
          <cell r="EN107"/>
          <cell r="EO107" t="str">
            <v>BOLD</v>
          </cell>
          <cell r="ER107"/>
          <cell r="ES107" t="str">
            <v>BOLD</v>
          </cell>
          <cell r="EV107"/>
          <cell r="EW107" t="str">
            <v>BOLD</v>
          </cell>
          <cell r="EZ107"/>
          <cell r="FA107" t="str">
            <v>BOLD</v>
          </cell>
          <cell r="FD107"/>
          <cell r="FE107" t="str">
            <v>BOLD</v>
          </cell>
          <cell r="FF107" t="str">
            <v>Avgerage Revenue Per Customer</v>
          </cell>
          <cell r="FG107" t="str">
            <v>AVG_MONTHLY_REV_PER_CUSTOMER</v>
          </cell>
          <cell r="FH107"/>
          <cell r="FI107" t="str">
            <v>BOLD</v>
          </cell>
          <cell r="FL107"/>
          <cell r="FM107" t="str">
            <v>BOLD</v>
          </cell>
          <cell r="FP107"/>
          <cell r="FQ107" t="str">
            <v>BOLD</v>
          </cell>
          <cell r="FT107"/>
          <cell r="FU107" t="str">
            <v>BOLD</v>
          </cell>
          <cell r="FX107"/>
          <cell r="FY107" t="str">
            <v>BOLD</v>
          </cell>
          <cell r="GB107"/>
          <cell r="GC107" t="str">
            <v>BOLD</v>
          </cell>
          <cell r="GF107"/>
          <cell r="GG107" t="str">
            <v>BOLD</v>
          </cell>
          <cell r="GJ107"/>
          <cell r="GK107" t="str">
            <v>BOLD</v>
          </cell>
          <cell r="GN107"/>
          <cell r="GO107" t="str">
            <v>BOLD</v>
          </cell>
          <cell r="GR107"/>
          <cell r="GS107" t="str">
            <v>BOLD</v>
          </cell>
          <cell r="GV107"/>
          <cell r="GW107" t="str">
            <v>BOLD</v>
          </cell>
          <cell r="GZ107"/>
          <cell r="HA107" t="str">
            <v>BOLD</v>
          </cell>
          <cell r="HD107"/>
          <cell r="HE107" t="str">
            <v>BOLD</v>
          </cell>
          <cell r="HH107"/>
          <cell r="HI107" t="str">
            <v>BOLD</v>
          </cell>
          <cell r="HL107"/>
          <cell r="HM107" t="str">
            <v>BOLD</v>
          </cell>
          <cell r="HP107"/>
          <cell r="HQ107" t="str">
            <v>BOLD</v>
          </cell>
          <cell r="HT107"/>
          <cell r="HU107" t="str">
            <v>BOLD</v>
          </cell>
          <cell r="HV107" t="str">
            <v>Disclosed Intangibles</v>
          </cell>
          <cell r="HW107" t="str">
            <v>BS_DISCLOSED_INTANGIBLES</v>
          </cell>
          <cell r="HX107"/>
          <cell r="HY107" t="str">
            <v>BOLD</v>
          </cell>
          <cell r="HZ107" t="str">
            <v>Tot insurance res</v>
          </cell>
          <cell r="IA107" t="str">
            <v>BS_TOT_INSUR_RSRV</v>
          </cell>
          <cell r="IB107"/>
          <cell r="IC107" t="str">
            <v>BOLD</v>
          </cell>
          <cell r="IR107"/>
          <cell r="IS107" t="str">
            <v>BOLD</v>
          </cell>
          <cell r="IX107" t="str">
            <v>Total Fair Value Assets/Total Assets</v>
          </cell>
          <cell r="IY107" t="str">
            <v>TOT_FAIR_VAL_ASSET_TO_TOT_ASSETS</v>
          </cell>
          <cell r="IZ107"/>
          <cell r="JA107" t="str">
            <v>BOLD</v>
          </cell>
          <cell r="JB107" t="str">
            <v>Tot insurance res</v>
          </cell>
          <cell r="JC107" t="str">
            <v>BS_TOT_INSUR_RSRV</v>
          </cell>
          <cell r="JD107"/>
          <cell r="JE107" t="str">
            <v>BOLD</v>
          </cell>
        </row>
        <row r="108">
          <cell r="A108">
            <v>107</v>
          </cell>
          <cell r="D108"/>
          <cell r="E108" t="str">
            <v>BOLD</v>
          </cell>
          <cell r="F108" t="str">
            <v>Securitized Card Loans</v>
          </cell>
          <cell r="G108" t="str">
            <v>SECURITIZED_CARD_LOANS</v>
          </cell>
          <cell r="H108"/>
          <cell r="I108" t="str">
            <v>BOLD</v>
          </cell>
          <cell r="P108"/>
          <cell r="Q108" t="str">
            <v>BOLD</v>
          </cell>
          <cell r="T108"/>
          <cell r="U108" t="str">
            <v>BOLD</v>
          </cell>
          <cell r="X108"/>
          <cell r="Y108" t="str">
            <v>BOLD</v>
          </cell>
          <cell r="AB108"/>
          <cell r="AC108" t="str">
            <v>BOLD</v>
          </cell>
          <cell r="AF108"/>
          <cell r="AG108" t="str">
            <v>BOLD</v>
          </cell>
          <cell r="AJ108"/>
          <cell r="AK108" t="str">
            <v>BOLD</v>
          </cell>
          <cell r="AL108" t="str">
            <v>Contained Zinc (Tons)</v>
          </cell>
          <cell r="AM108" t="str">
            <v>MINING_INFER_RES_CONTAINED_ZINC</v>
          </cell>
          <cell r="AN108"/>
          <cell r="AO108" t="str">
            <v>BOLD</v>
          </cell>
          <cell r="AR108"/>
          <cell r="AS108" t="str">
            <v>BOLD</v>
          </cell>
          <cell r="AV108"/>
          <cell r="AW108" t="str">
            <v>BOLD</v>
          </cell>
          <cell r="AZ108"/>
          <cell r="BA108" t="str">
            <v>BOLD</v>
          </cell>
          <cell r="BD108"/>
          <cell r="BE108" t="str">
            <v>BOLD</v>
          </cell>
          <cell r="BH108"/>
          <cell r="BI108" t="str">
            <v>BOLD</v>
          </cell>
          <cell r="BL108"/>
          <cell r="BM108" t="str">
            <v>BOLD</v>
          </cell>
          <cell r="BP108"/>
          <cell r="BQ108" t="str">
            <v>BOLD</v>
          </cell>
          <cell r="BT108"/>
          <cell r="BU108" t="str">
            <v>BOLD</v>
          </cell>
          <cell r="BV108" t="str">
            <v xml:space="preserve">  + Purchases</v>
          </cell>
          <cell r="BW108" t="str">
            <v>GAS_PURCHASES_ASIA_PAC</v>
          </cell>
          <cell r="BX108"/>
          <cell r="BY108" t="str">
            <v>NO</v>
          </cell>
          <cell r="BZ108" t="str">
            <v xml:space="preserve">  End of year</v>
          </cell>
          <cell r="CA108" t="str">
            <v>OIL_RESERVES_END_YEAR_ASIA</v>
          </cell>
          <cell r="CB108"/>
          <cell r="CC108" t="str">
            <v>NO</v>
          </cell>
          <cell r="CF108"/>
          <cell r="CG108" t="str">
            <v>BOLD</v>
          </cell>
          <cell r="CJ108"/>
          <cell r="CK108" t="str">
            <v>BOLD</v>
          </cell>
          <cell r="CN108"/>
          <cell r="CO108" t="str">
            <v>BOLD</v>
          </cell>
          <cell r="CR108"/>
          <cell r="CS108" t="str">
            <v>BOLD</v>
          </cell>
          <cell r="CV108"/>
          <cell r="CW108" t="str">
            <v>BOLD</v>
          </cell>
          <cell r="CZ108"/>
          <cell r="DA108" t="str">
            <v>BOLD</v>
          </cell>
          <cell r="DD108"/>
          <cell r="DE108" t="str">
            <v>BOLD</v>
          </cell>
          <cell r="DH108"/>
          <cell r="DI108" t="str">
            <v>BOLD</v>
          </cell>
          <cell r="DL108"/>
          <cell r="DM108" t="str">
            <v>BOLD</v>
          </cell>
          <cell r="DP108"/>
          <cell r="DQ108" t="str">
            <v>BOLD</v>
          </cell>
          <cell r="DT108"/>
          <cell r="DU108" t="str">
            <v>BOLD</v>
          </cell>
          <cell r="DX108"/>
          <cell r="DY108" t="str">
            <v>BOLD</v>
          </cell>
          <cell r="EB108"/>
          <cell r="EC108" t="str">
            <v>BOLD</v>
          </cell>
          <cell r="EF108"/>
          <cell r="EG108" t="str">
            <v>BOLD</v>
          </cell>
          <cell r="EJ108"/>
          <cell r="EK108" t="str">
            <v>BOLD</v>
          </cell>
          <cell r="EN108"/>
          <cell r="EO108" t="str">
            <v>BOLD</v>
          </cell>
          <cell r="ER108"/>
          <cell r="ES108" t="str">
            <v>BOLD</v>
          </cell>
          <cell r="EV108"/>
          <cell r="EW108" t="str">
            <v>BOLD</v>
          </cell>
          <cell r="EZ108"/>
          <cell r="FA108" t="str">
            <v>BOLD</v>
          </cell>
          <cell r="FD108"/>
          <cell r="FE108" t="str">
            <v>BOLD</v>
          </cell>
          <cell r="FF108" t="str">
            <v>Total Monthly Churn Rate</v>
          </cell>
          <cell r="FG108" t="str">
            <v>TOTAL_MONTHLY_CHURN_RATE</v>
          </cell>
          <cell r="FH108"/>
          <cell r="FI108" t="str">
            <v>BOLD</v>
          </cell>
          <cell r="FL108"/>
          <cell r="FM108" t="str">
            <v>BOLD</v>
          </cell>
          <cell r="FP108"/>
          <cell r="FQ108" t="str">
            <v>BOLD</v>
          </cell>
          <cell r="FT108"/>
          <cell r="FU108" t="str">
            <v>BOLD</v>
          </cell>
          <cell r="FX108"/>
          <cell r="FY108" t="str">
            <v>BOLD</v>
          </cell>
          <cell r="GB108"/>
          <cell r="GC108" t="str">
            <v>BOLD</v>
          </cell>
          <cell r="GF108"/>
          <cell r="GG108" t="str">
            <v>BOLD</v>
          </cell>
          <cell r="GJ108"/>
          <cell r="GK108" t="str">
            <v>BOLD</v>
          </cell>
          <cell r="GN108"/>
          <cell r="GO108" t="str">
            <v>BOLD</v>
          </cell>
          <cell r="GR108"/>
          <cell r="GS108" t="str">
            <v>BOLD</v>
          </cell>
          <cell r="GV108"/>
          <cell r="GW108" t="str">
            <v>BOLD</v>
          </cell>
          <cell r="GZ108"/>
          <cell r="HA108" t="str">
            <v>BOLD</v>
          </cell>
          <cell r="HD108"/>
          <cell r="HE108" t="str">
            <v>BOLD</v>
          </cell>
          <cell r="HH108"/>
          <cell r="HI108" t="str">
            <v>BOLD</v>
          </cell>
          <cell r="HL108"/>
          <cell r="HM108" t="str">
            <v>BOLD</v>
          </cell>
          <cell r="HP108"/>
          <cell r="HQ108" t="str">
            <v>BOLD</v>
          </cell>
          <cell r="HT108"/>
          <cell r="HU108" t="str">
            <v>BOLD</v>
          </cell>
          <cell r="HV108" t="str">
            <v>Tangible Common Equity</v>
          </cell>
          <cell r="HW108" t="str">
            <v>TANGIBLE_COMMON_EQUITY</v>
          </cell>
          <cell r="HX108"/>
          <cell r="HY108" t="str">
            <v>BOLD</v>
          </cell>
          <cell r="HZ108" t="str">
            <v>Res to capital</v>
          </cell>
          <cell r="IA108" t="str">
            <v>TOT_INS_RES_TO_TOT_CAP</v>
          </cell>
          <cell r="IB108"/>
          <cell r="IC108" t="str">
            <v>BOLD</v>
          </cell>
          <cell r="IP108" t="str">
            <v>Gas &amp; Oil Sourcing</v>
          </cell>
          <cell r="IQ108" t="str">
            <v>LABEL</v>
          </cell>
          <cell r="IR108"/>
          <cell r="IS108" t="str">
            <v>BOLD</v>
          </cell>
          <cell r="IX108" t="str">
            <v>Level 3 Assets/Total Equity</v>
          </cell>
          <cell r="IY108" t="str">
            <v>LEVEL_3_ASSETS_TO_TOTAL_EQUITY</v>
          </cell>
          <cell r="IZ108"/>
          <cell r="JA108" t="str">
            <v>BOLD</v>
          </cell>
          <cell r="JB108" t="str">
            <v>Res to capital</v>
          </cell>
          <cell r="JC108" t="str">
            <v>TOT_INS_RES_TO_TOT_CAP</v>
          </cell>
          <cell r="JD108"/>
          <cell r="JE108" t="str">
            <v>BOLD</v>
          </cell>
        </row>
        <row r="109">
          <cell r="A109">
            <v>108</v>
          </cell>
          <cell r="D109"/>
          <cell r="E109" t="str">
            <v>BOLD</v>
          </cell>
          <cell r="F109" t="str">
            <v>Avg Card Loans</v>
          </cell>
          <cell r="G109" t="str">
            <v>AVERAGE_CARD_LOANS</v>
          </cell>
          <cell r="H109"/>
          <cell r="I109" t="str">
            <v>BOLD</v>
          </cell>
          <cell r="P109"/>
          <cell r="Q109" t="str">
            <v>BOLD</v>
          </cell>
          <cell r="T109"/>
          <cell r="U109" t="str">
            <v>BOLD</v>
          </cell>
          <cell r="X109"/>
          <cell r="Y109" t="str">
            <v>BOLD</v>
          </cell>
          <cell r="AB109"/>
          <cell r="AC109" t="str">
            <v>BOLD</v>
          </cell>
          <cell r="AF109"/>
          <cell r="AG109" t="str">
            <v>BOLD</v>
          </cell>
          <cell r="AJ109"/>
          <cell r="AK109" t="str">
            <v>BOLD</v>
          </cell>
          <cell r="AN109"/>
          <cell r="AO109" t="str">
            <v>BOLD</v>
          </cell>
          <cell r="AR109"/>
          <cell r="AS109" t="str">
            <v>BOLD</v>
          </cell>
          <cell r="AV109"/>
          <cell r="AW109" t="str">
            <v>BOLD</v>
          </cell>
          <cell r="AZ109"/>
          <cell r="BA109" t="str">
            <v>BOLD</v>
          </cell>
          <cell r="BD109"/>
          <cell r="BE109" t="str">
            <v>BOLD</v>
          </cell>
          <cell r="BH109"/>
          <cell r="BI109" t="str">
            <v>BOLD</v>
          </cell>
          <cell r="BL109"/>
          <cell r="BM109" t="str">
            <v>BOLD</v>
          </cell>
          <cell r="BP109"/>
          <cell r="BQ109" t="str">
            <v>BOLD</v>
          </cell>
          <cell r="BT109"/>
          <cell r="BU109" t="str">
            <v>BOLD</v>
          </cell>
          <cell r="BV109" t="str">
            <v xml:space="preserve">  + Sales</v>
          </cell>
          <cell r="BW109" t="str">
            <v>GAS_SALES_ASIA_PAC</v>
          </cell>
          <cell r="BX109"/>
          <cell r="BY109" t="str">
            <v>NO</v>
          </cell>
          <cell r="BZ109" t="str">
            <v xml:space="preserve">  Developed Reserves</v>
          </cell>
          <cell r="CA109" t="str">
            <v>OIL_DEVELOPED_RESERVES_ASIA</v>
          </cell>
          <cell r="CB109"/>
          <cell r="CC109" t="str">
            <v>NO</v>
          </cell>
          <cell r="CD109" t="str">
            <v>Asia</v>
          </cell>
          <cell r="CE109" t="str">
            <v>LABEL</v>
          </cell>
          <cell r="CF109"/>
          <cell r="CG109" t="str">
            <v>BOLD</v>
          </cell>
          <cell r="CJ109"/>
          <cell r="CK109" t="str">
            <v>BOLD</v>
          </cell>
          <cell r="CN109"/>
          <cell r="CO109" t="str">
            <v>BOLD</v>
          </cell>
          <cell r="CR109"/>
          <cell r="CS109" t="str">
            <v>BOLD</v>
          </cell>
          <cell r="CV109"/>
          <cell r="CW109" t="str">
            <v>BOLD</v>
          </cell>
          <cell r="CZ109"/>
          <cell r="DA109" t="str">
            <v>BOLD</v>
          </cell>
          <cell r="DD109"/>
          <cell r="DE109" t="str">
            <v>BOLD</v>
          </cell>
          <cell r="DH109"/>
          <cell r="DI109" t="str">
            <v>BOLD</v>
          </cell>
          <cell r="DL109"/>
          <cell r="DM109" t="str">
            <v>BOLD</v>
          </cell>
          <cell r="DP109"/>
          <cell r="DQ109" t="str">
            <v>BOLD</v>
          </cell>
          <cell r="DT109"/>
          <cell r="DU109" t="str">
            <v>BOLD</v>
          </cell>
          <cell r="DX109"/>
          <cell r="DY109" t="str">
            <v>BOLD</v>
          </cell>
          <cell r="EB109"/>
          <cell r="EC109" t="str">
            <v>BOLD</v>
          </cell>
          <cell r="EF109"/>
          <cell r="EG109" t="str">
            <v>BOLD</v>
          </cell>
          <cell r="EJ109"/>
          <cell r="EK109" t="str">
            <v>BOLD</v>
          </cell>
          <cell r="EN109"/>
          <cell r="EO109" t="str">
            <v>BOLD</v>
          </cell>
          <cell r="ER109"/>
          <cell r="ES109" t="str">
            <v>BOLD</v>
          </cell>
          <cell r="EV109"/>
          <cell r="EW109" t="str">
            <v>BOLD</v>
          </cell>
          <cell r="EZ109"/>
          <cell r="FA109" t="str">
            <v>BOLD</v>
          </cell>
          <cell r="FD109"/>
          <cell r="FE109" t="str">
            <v>BOLD</v>
          </cell>
          <cell r="FF109" t="str">
            <v>Wireless Roamer Revenue</v>
          </cell>
          <cell r="FG109" t="str">
            <v>ROAMER_REVENUES_CELLULAR_TELECOM</v>
          </cell>
          <cell r="FH109"/>
          <cell r="FI109" t="str">
            <v>BOLD</v>
          </cell>
          <cell r="FL109"/>
          <cell r="FM109" t="str">
            <v>BOLD</v>
          </cell>
          <cell r="FP109"/>
          <cell r="FQ109" t="str">
            <v>BOLD</v>
          </cell>
          <cell r="FT109"/>
          <cell r="FU109" t="str">
            <v>BOLD</v>
          </cell>
          <cell r="FX109"/>
          <cell r="FY109" t="str">
            <v>BOLD</v>
          </cell>
          <cell r="GB109"/>
          <cell r="GC109" t="str">
            <v>BOLD</v>
          </cell>
          <cell r="GF109"/>
          <cell r="GG109" t="str">
            <v>BOLD</v>
          </cell>
          <cell r="GJ109"/>
          <cell r="GK109" t="str">
            <v>BOLD</v>
          </cell>
          <cell r="GN109"/>
          <cell r="GO109" t="str">
            <v>BOLD</v>
          </cell>
          <cell r="GR109"/>
          <cell r="GS109" t="str">
            <v>BOLD</v>
          </cell>
          <cell r="GV109"/>
          <cell r="GW109" t="str">
            <v>BOLD</v>
          </cell>
          <cell r="GZ109"/>
          <cell r="HA109" t="str">
            <v>BOLD</v>
          </cell>
          <cell r="HD109"/>
          <cell r="HE109" t="str">
            <v>BOLD</v>
          </cell>
          <cell r="HH109"/>
          <cell r="HI109" t="str">
            <v>BOLD</v>
          </cell>
          <cell r="HL109"/>
          <cell r="HM109" t="str">
            <v>BOLD</v>
          </cell>
          <cell r="HP109"/>
          <cell r="HQ109" t="str">
            <v>BOLD</v>
          </cell>
          <cell r="HT109"/>
          <cell r="HU109" t="str">
            <v>BOLD</v>
          </cell>
          <cell r="HV109" t="str">
            <v>Total Assets</v>
          </cell>
          <cell r="HW109" t="str">
            <v>BS_TOT_ASSET</v>
          </cell>
          <cell r="HX109"/>
          <cell r="HY109" t="str">
            <v>BOLD</v>
          </cell>
          <cell r="HZ109" t="str">
            <v>Res to assets</v>
          </cell>
          <cell r="IA109" t="str">
            <v>TOT_INS_RES_TO_TOT_ASSET</v>
          </cell>
          <cell r="IB109"/>
          <cell r="IC109" t="str">
            <v>BOLD</v>
          </cell>
          <cell r="IP109" t="str">
            <v>Oil &amp; Gas Production (MBOE/day)</v>
          </cell>
          <cell r="IQ109" t="str">
            <v>TOTAL_PRODUCTION_WORLD_MBOE_DY</v>
          </cell>
          <cell r="IR109"/>
          <cell r="IS109" t="str">
            <v>BOLD</v>
          </cell>
          <cell r="IX109" t="str">
            <v>Total Fair Value Assets/Total Equity</v>
          </cell>
          <cell r="IY109" t="str">
            <v>TOT_FAIR_VAL_ASSETS_TO_TOT_EQTY</v>
          </cell>
          <cell r="IZ109"/>
          <cell r="JA109" t="str">
            <v>BOLD</v>
          </cell>
          <cell r="JB109" t="str">
            <v>Res to assets</v>
          </cell>
          <cell r="JC109" t="str">
            <v>TOT_INS_RES_TO_TOT_ASSET</v>
          </cell>
          <cell r="JD109"/>
          <cell r="JE109" t="str">
            <v>BOLD</v>
          </cell>
        </row>
        <row r="110">
          <cell r="A110">
            <v>109</v>
          </cell>
          <cell r="D110"/>
          <cell r="E110" t="str">
            <v>BOLD</v>
          </cell>
          <cell r="F110" t="str">
            <v>Avg Securitized Card Loans</v>
          </cell>
          <cell r="G110" t="str">
            <v>AVG_SECURITIZED_CARD_LOANS</v>
          </cell>
          <cell r="H110"/>
          <cell r="I110" t="str">
            <v>BOLD</v>
          </cell>
          <cell r="P110"/>
          <cell r="Q110" t="str">
            <v>BOLD</v>
          </cell>
          <cell r="T110"/>
          <cell r="U110" t="str">
            <v>BOLD</v>
          </cell>
          <cell r="X110"/>
          <cell r="Y110" t="str">
            <v>BOLD</v>
          </cell>
          <cell r="AB110"/>
          <cell r="AC110" t="str">
            <v>BOLD</v>
          </cell>
          <cell r="AF110"/>
          <cell r="AG110" t="str">
            <v>BOLD</v>
          </cell>
          <cell r="AJ110"/>
          <cell r="AK110" t="str">
            <v>BOLD</v>
          </cell>
          <cell r="AN110"/>
          <cell r="AO110" t="str">
            <v>BOLD</v>
          </cell>
          <cell r="AR110"/>
          <cell r="AS110" t="str">
            <v>BOLD</v>
          </cell>
          <cell r="AV110"/>
          <cell r="AW110" t="str">
            <v>BOLD</v>
          </cell>
          <cell r="AZ110"/>
          <cell r="BA110" t="str">
            <v>BOLD</v>
          </cell>
          <cell r="BD110"/>
          <cell r="BE110" t="str">
            <v>BOLD</v>
          </cell>
          <cell r="BH110"/>
          <cell r="BI110" t="str">
            <v>BOLD</v>
          </cell>
          <cell r="BL110"/>
          <cell r="BM110" t="str">
            <v>BOLD</v>
          </cell>
          <cell r="BP110"/>
          <cell r="BQ110" t="str">
            <v>BOLD</v>
          </cell>
          <cell r="BT110"/>
          <cell r="BU110" t="str">
            <v>BOLD</v>
          </cell>
          <cell r="BV110" t="str">
            <v xml:space="preserve">  + Production</v>
          </cell>
          <cell r="BW110" t="str">
            <v>GAS_PRODUCTION_ASIA_PAC</v>
          </cell>
          <cell r="BX110"/>
          <cell r="BY110" t="str">
            <v>NO</v>
          </cell>
          <cell r="CB110"/>
          <cell r="CC110" t="str">
            <v>BOLD</v>
          </cell>
          <cell r="CD110" t="str">
            <v xml:space="preserve">  Start of Year</v>
          </cell>
          <cell r="CE110" t="str">
            <v>BOE_START_YEAR_ASIA_PAC</v>
          </cell>
          <cell r="CF110"/>
          <cell r="CG110" t="str">
            <v>NO</v>
          </cell>
          <cell r="CJ110"/>
          <cell r="CK110" t="str">
            <v>BOLD</v>
          </cell>
          <cell r="CN110"/>
          <cell r="CO110" t="str">
            <v>BOLD</v>
          </cell>
          <cell r="CR110"/>
          <cell r="CS110" t="str">
            <v>BOLD</v>
          </cell>
          <cell r="CV110"/>
          <cell r="CW110" t="str">
            <v>BOLD</v>
          </cell>
          <cell r="CZ110"/>
          <cell r="DA110" t="str">
            <v>BOLD</v>
          </cell>
          <cell r="DD110"/>
          <cell r="DE110" t="str">
            <v>BOLD</v>
          </cell>
          <cell r="DH110"/>
          <cell r="DI110" t="str">
            <v>BOLD</v>
          </cell>
          <cell r="DL110"/>
          <cell r="DM110" t="str">
            <v>BOLD</v>
          </cell>
          <cell r="DP110"/>
          <cell r="DQ110" t="str">
            <v>BOLD</v>
          </cell>
          <cell r="DT110"/>
          <cell r="DU110" t="str">
            <v>BOLD</v>
          </cell>
          <cell r="DX110"/>
          <cell r="DY110" t="str">
            <v>BOLD</v>
          </cell>
          <cell r="EB110"/>
          <cell r="EC110" t="str">
            <v>BOLD</v>
          </cell>
          <cell r="EF110"/>
          <cell r="EG110" t="str">
            <v>BOLD</v>
          </cell>
          <cell r="EJ110"/>
          <cell r="EK110" t="str">
            <v>BOLD</v>
          </cell>
          <cell r="EN110"/>
          <cell r="EO110" t="str">
            <v>BOLD</v>
          </cell>
          <cell r="ER110"/>
          <cell r="ES110" t="str">
            <v>BOLD</v>
          </cell>
          <cell r="EV110"/>
          <cell r="EW110" t="str">
            <v>BOLD</v>
          </cell>
          <cell r="EZ110"/>
          <cell r="FA110" t="str">
            <v>BOLD</v>
          </cell>
          <cell r="FD110"/>
          <cell r="FE110" t="str">
            <v>BOLD</v>
          </cell>
          <cell r="FF110" t="str">
            <v>Wireless Population</v>
          </cell>
          <cell r="FG110" t="str">
            <v>LICENSED_POPULATION_CELLULAR_TEL</v>
          </cell>
          <cell r="FH110"/>
          <cell r="FI110" t="str">
            <v>BOLD</v>
          </cell>
          <cell r="FL110"/>
          <cell r="FM110" t="str">
            <v>BOLD</v>
          </cell>
          <cell r="FP110"/>
          <cell r="FQ110" t="str">
            <v>BOLD</v>
          </cell>
          <cell r="FT110"/>
          <cell r="FU110" t="str">
            <v>BOLD</v>
          </cell>
          <cell r="FX110"/>
          <cell r="FY110" t="str">
            <v>BOLD</v>
          </cell>
          <cell r="GB110"/>
          <cell r="GC110" t="str">
            <v>BOLD</v>
          </cell>
          <cell r="GF110"/>
          <cell r="GG110" t="str">
            <v>BOLD</v>
          </cell>
          <cell r="GJ110"/>
          <cell r="GK110" t="str">
            <v>BOLD</v>
          </cell>
          <cell r="GN110"/>
          <cell r="GO110" t="str">
            <v>BOLD</v>
          </cell>
          <cell r="GR110"/>
          <cell r="GS110" t="str">
            <v>BOLD</v>
          </cell>
          <cell r="GV110"/>
          <cell r="GW110" t="str">
            <v>BOLD</v>
          </cell>
          <cell r="GZ110"/>
          <cell r="HA110" t="str">
            <v>BOLD</v>
          </cell>
          <cell r="HD110"/>
          <cell r="HE110" t="str">
            <v>BOLD</v>
          </cell>
          <cell r="HH110"/>
          <cell r="HI110" t="str">
            <v>BOLD</v>
          </cell>
          <cell r="HL110"/>
          <cell r="HM110" t="str">
            <v>BOLD</v>
          </cell>
          <cell r="HP110"/>
          <cell r="HQ110" t="str">
            <v>BOLD</v>
          </cell>
          <cell r="HT110"/>
          <cell r="HU110" t="str">
            <v>BOLD</v>
          </cell>
          <cell r="HV110" t="str">
            <v>Tangible Assets</v>
          </cell>
          <cell r="HW110" t="str">
            <v>TANGIBLE_ASSETS</v>
          </cell>
          <cell r="HX110"/>
          <cell r="HY110" t="str">
            <v>BOLD</v>
          </cell>
          <cell r="IB110"/>
          <cell r="IC110" t="str">
            <v>BOLD</v>
          </cell>
          <cell r="IP110" t="str">
            <v>Oil Production (MBBL/day)</v>
          </cell>
          <cell r="IQ110" t="str">
            <v>OIL_PRODUCTION_WORLD_MBBL_DY</v>
          </cell>
          <cell r="IR110"/>
          <cell r="IS110" t="str">
            <v>BOLD</v>
          </cell>
          <cell r="IZ110"/>
          <cell r="JA110" t="str">
            <v>BOLD</v>
          </cell>
          <cell r="JD110"/>
          <cell r="JE110" t="str">
            <v>BOLD</v>
          </cell>
        </row>
        <row r="111">
          <cell r="A111">
            <v>110</v>
          </cell>
          <cell r="D111"/>
          <cell r="E111" t="str">
            <v>BOLD</v>
          </cell>
          <cell r="F111" t="str">
            <v>Avg Managed Card Loans</v>
          </cell>
          <cell r="G111" t="str">
            <v>AVG_MANAGED_CARD_LOANS</v>
          </cell>
          <cell r="H111"/>
          <cell r="I111" t="str">
            <v>BOLD</v>
          </cell>
          <cell r="P111"/>
          <cell r="Q111" t="str">
            <v>BOLD</v>
          </cell>
          <cell r="T111"/>
          <cell r="U111" t="str">
            <v>BOLD</v>
          </cell>
          <cell r="X111"/>
          <cell r="Y111" t="str">
            <v>BOLD</v>
          </cell>
          <cell r="AB111"/>
          <cell r="AC111" t="str">
            <v>BOLD</v>
          </cell>
          <cell r="AF111"/>
          <cell r="AG111" t="str">
            <v>BOLD</v>
          </cell>
          <cell r="AJ111"/>
          <cell r="AK111" t="str">
            <v>BOLD</v>
          </cell>
          <cell r="AN111"/>
          <cell r="AO111" t="str">
            <v>BOLD</v>
          </cell>
          <cell r="AR111"/>
          <cell r="AS111" t="str">
            <v>BOLD</v>
          </cell>
          <cell r="AV111"/>
          <cell r="AW111" t="str">
            <v>BOLD</v>
          </cell>
          <cell r="AZ111"/>
          <cell r="BA111" t="str">
            <v>BOLD</v>
          </cell>
          <cell r="BD111"/>
          <cell r="BE111" t="str">
            <v>BOLD</v>
          </cell>
          <cell r="BH111"/>
          <cell r="BI111" t="str">
            <v>BOLD</v>
          </cell>
          <cell r="BL111"/>
          <cell r="BM111" t="str">
            <v>BOLD</v>
          </cell>
          <cell r="BP111"/>
          <cell r="BQ111" t="str">
            <v>BOLD</v>
          </cell>
          <cell r="BT111"/>
          <cell r="BU111" t="str">
            <v>BOLD</v>
          </cell>
          <cell r="BV111" t="str">
            <v xml:space="preserve">  + Other</v>
          </cell>
          <cell r="BW111" t="str">
            <v>GAS_OTHER_CHG_ASIA_PAC</v>
          </cell>
          <cell r="BX111"/>
          <cell r="BY111" t="str">
            <v>NO</v>
          </cell>
          <cell r="CB111"/>
          <cell r="CC111" t="str">
            <v>BOLD</v>
          </cell>
          <cell r="CD111" t="str">
            <v xml:space="preserve">  + Revisions</v>
          </cell>
          <cell r="CE111" t="str">
            <v>BOE_REVISIONS_ASIA_PAC</v>
          </cell>
          <cell r="CF111"/>
          <cell r="CG111" t="str">
            <v>NO</v>
          </cell>
          <cell r="CJ111"/>
          <cell r="CK111" t="str">
            <v>BOLD</v>
          </cell>
          <cell r="CN111"/>
          <cell r="CO111" t="str">
            <v>BOLD</v>
          </cell>
          <cell r="CR111"/>
          <cell r="CS111" t="str">
            <v>BOLD</v>
          </cell>
          <cell r="CV111"/>
          <cell r="CW111" t="str">
            <v>BOLD</v>
          </cell>
          <cell r="CZ111"/>
          <cell r="DA111" t="str">
            <v>BOLD</v>
          </cell>
          <cell r="DD111"/>
          <cell r="DE111" t="str">
            <v>BOLD</v>
          </cell>
          <cell r="DH111"/>
          <cell r="DI111" t="str">
            <v>BOLD</v>
          </cell>
          <cell r="DL111"/>
          <cell r="DM111" t="str">
            <v>BOLD</v>
          </cell>
          <cell r="DP111"/>
          <cell r="DQ111" t="str">
            <v>BOLD</v>
          </cell>
          <cell r="DT111"/>
          <cell r="DU111" t="str">
            <v>BOLD</v>
          </cell>
          <cell r="DX111"/>
          <cell r="DY111" t="str">
            <v>BOLD</v>
          </cell>
          <cell r="EB111"/>
          <cell r="EC111" t="str">
            <v>BOLD</v>
          </cell>
          <cell r="EF111"/>
          <cell r="EG111" t="str">
            <v>BOLD</v>
          </cell>
          <cell r="EJ111"/>
          <cell r="EK111" t="str">
            <v>BOLD</v>
          </cell>
          <cell r="EN111"/>
          <cell r="EO111" t="str">
            <v>BOLD</v>
          </cell>
          <cell r="ER111"/>
          <cell r="ES111" t="str">
            <v>BOLD</v>
          </cell>
          <cell r="EV111"/>
          <cell r="EW111" t="str">
            <v>BOLD</v>
          </cell>
          <cell r="EZ111"/>
          <cell r="FA111" t="str">
            <v>BOLD</v>
          </cell>
          <cell r="FD111"/>
          <cell r="FE111" t="str">
            <v>BOLD</v>
          </cell>
          <cell r="FF111" t="str">
            <v>Wireline Service Revenue</v>
          </cell>
          <cell r="FG111" t="str">
            <v>WIRELINE_SERVICE_REVENUE</v>
          </cell>
          <cell r="FH111"/>
          <cell r="FI111" t="str">
            <v>BOLD</v>
          </cell>
          <cell r="FL111"/>
          <cell r="FM111" t="str">
            <v>BOLD</v>
          </cell>
          <cell r="FP111"/>
          <cell r="FQ111" t="str">
            <v>BOLD</v>
          </cell>
          <cell r="FT111"/>
          <cell r="FU111" t="str">
            <v>BOLD</v>
          </cell>
          <cell r="FX111"/>
          <cell r="FY111" t="str">
            <v>BOLD</v>
          </cell>
          <cell r="GB111"/>
          <cell r="GC111" t="str">
            <v>BOLD</v>
          </cell>
          <cell r="GF111"/>
          <cell r="GG111" t="str">
            <v>BOLD</v>
          </cell>
          <cell r="GJ111"/>
          <cell r="GK111" t="str">
            <v>BOLD</v>
          </cell>
          <cell r="GN111"/>
          <cell r="GO111" t="str">
            <v>BOLD</v>
          </cell>
          <cell r="GR111"/>
          <cell r="GS111" t="str">
            <v>BOLD</v>
          </cell>
          <cell r="GV111"/>
          <cell r="GW111" t="str">
            <v>BOLD</v>
          </cell>
          <cell r="GZ111"/>
          <cell r="HA111" t="str">
            <v>BOLD</v>
          </cell>
          <cell r="HD111"/>
          <cell r="HE111" t="str">
            <v>BOLD</v>
          </cell>
          <cell r="HH111"/>
          <cell r="HI111" t="str">
            <v>BOLD</v>
          </cell>
          <cell r="HL111"/>
          <cell r="HM111" t="str">
            <v>BOLD</v>
          </cell>
          <cell r="HP111"/>
          <cell r="HQ111" t="str">
            <v>BOLD</v>
          </cell>
          <cell r="HT111"/>
          <cell r="HU111" t="str">
            <v>BOLD</v>
          </cell>
          <cell r="HV111" t="str">
            <v>Tangible Common Equity Ratio</v>
          </cell>
          <cell r="HW111" t="str">
            <v>TCE_RATIO</v>
          </cell>
          <cell r="HX111"/>
          <cell r="HY111" t="str">
            <v>BOLD</v>
          </cell>
          <cell r="HZ111" t="str">
            <v>Op Inc Less Real G(L)</v>
          </cell>
          <cell r="IA111" t="str">
            <v>OPER_INCOME_LESS_RLZD_GAIN_LOSS</v>
          </cell>
          <cell r="IB111"/>
          <cell r="IC111" t="str">
            <v>BOLD</v>
          </cell>
          <cell r="IP111" t="str">
            <v>Gas Production (MMCF/day)</v>
          </cell>
          <cell r="IQ111" t="str">
            <v>GAS_PRODUCTION_WORLD_MMCF_DY</v>
          </cell>
          <cell r="IR111"/>
          <cell r="IS111" t="str">
            <v>BOLD</v>
          </cell>
          <cell r="IX111" t="str">
            <v>Value at Risk</v>
          </cell>
          <cell r="IY111" t="str">
            <v>LABEL</v>
          </cell>
          <cell r="IZ111"/>
          <cell r="JA111" t="str">
            <v>BOLD</v>
          </cell>
          <cell r="JB111" t="str">
            <v>Op Inc Less Real G(L)</v>
          </cell>
          <cell r="JC111" t="str">
            <v>OPER_INCOME_LESS_RLZD_GAIN_LOSS</v>
          </cell>
          <cell r="JD111"/>
          <cell r="JE111" t="str">
            <v>BOLD</v>
          </cell>
        </row>
        <row r="112">
          <cell r="A112">
            <v>111</v>
          </cell>
          <cell r="D112"/>
          <cell r="E112" t="str">
            <v>BOLD</v>
          </cell>
          <cell r="F112" t="str">
            <v>Card Segment Managed Loans</v>
          </cell>
          <cell r="G112" t="str">
            <v>CARD_SEGMENT_MANAGED_LOANS</v>
          </cell>
          <cell r="H112"/>
          <cell r="I112" t="str">
            <v>BOLD</v>
          </cell>
          <cell r="P112"/>
          <cell r="Q112" t="str">
            <v>BOLD</v>
          </cell>
          <cell r="T112"/>
          <cell r="U112" t="str">
            <v>BOLD</v>
          </cell>
          <cell r="X112"/>
          <cell r="Y112" t="str">
            <v>BOLD</v>
          </cell>
          <cell r="AB112"/>
          <cell r="AC112" t="str">
            <v>BOLD</v>
          </cell>
          <cell r="AF112"/>
          <cell r="AG112" t="str">
            <v>BOLD</v>
          </cell>
          <cell r="AJ112"/>
          <cell r="AK112" t="str">
            <v>BOLD</v>
          </cell>
          <cell r="AN112"/>
          <cell r="AO112" t="str">
            <v>BOLD</v>
          </cell>
          <cell r="AR112"/>
          <cell r="AS112" t="str">
            <v>BOLD</v>
          </cell>
          <cell r="AV112"/>
          <cell r="AW112" t="str">
            <v>BOLD</v>
          </cell>
          <cell r="AZ112"/>
          <cell r="BA112" t="str">
            <v>BOLD</v>
          </cell>
          <cell r="BD112"/>
          <cell r="BE112" t="str">
            <v>BOLD</v>
          </cell>
          <cell r="BH112"/>
          <cell r="BI112" t="str">
            <v>BOLD</v>
          </cell>
          <cell r="BL112"/>
          <cell r="BM112" t="str">
            <v>BOLD</v>
          </cell>
          <cell r="BP112"/>
          <cell r="BQ112" t="str">
            <v>BOLD</v>
          </cell>
          <cell r="BT112"/>
          <cell r="BU112" t="str">
            <v>BOLD</v>
          </cell>
          <cell r="BV112" t="str">
            <v xml:space="preserve">  End of year</v>
          </cell>
          <cell r="BW112" t="str">
            <v>GAS_END_YEAR_ASIA_PAC</v>
          </cell>
          <cell r="BX112"/>
          <cell r="BY112" t="str">
            <v>NO</v>
          </cell>
          <cell r="CB112"/>
          <cell r="CC112" t="str">
            <v>BOLD</v>
          </cell>
          <cell r="CD112" t="str">
            <v xml:space="preserve">  + Improved Recovery</v>
          </cell>
          <cell r="CE112" t="str">
            <v>BOE_IMPROV_REC_ASIA_PAC</v>
          </cell>
          <cell r="CF112"/>
          <cell r="CG112" t="str">
            <v>NO</v>
          </cell>
          <cell r="CJ112"/>
          <cell r="CK112" t="str">
            <v>BOLD</v>
          </cell>
          <cell r="CN112"/>
          <cell r="CO112" t="str">
            <v>BOLD</v>
          </cell>
          <cell r="CR112"/>
          <cell r="CS112" t="str">
            <v>BOLD</v>
          </cell>
          <cell r="CV112"/>
          <cell r="CW112" t="str">
            <v>BOLD</v>
          </cell>
          <cell r="CZ112"/>
          <cell r="DA112" t="str">
            <v>BOLD</v>
          </cell>
          <cell r="DD112"/>
          <cell r="DE112" t="str">
            <v>BOLD</v>
          </cell>
          <cell r="DH112"/>
          <cell r="DI112" t="str">
            <v>BOLD</v>
          </cell>
          <cell r="DL112"/>
          <cell r="DM112" t="str">
            <v>BOLD</v>
          </cell>
          <cell r="DP112"/>
          <cell r="DQ112" t="str">
            <v>BOLD</v>
          </cell>
          <cell r="DT112"/>
          <cell r="DU112" t="str">
            <v>BOLD</v>
          </cell>
          <cell r="DX112"/>
          <cell r="DY112" t="str">
            <v>BOLD</v>
          </cell>
          <cell r="EB112"/>
          <cell r="EC112" t="str">
            <v>BOLD</v>
          </cell>
          <cell r="EF112"/>
          <cell r="EG112" t="str">
            <v>BOLD</v>
          </cell>
          <cell r="EJ112"/>
          <cell r="EK112" t="str">
            <v>BOLD</v>
          </cell>
          <cell r="EN112"/>
          <cell r="EO112" t="str">
            <v>BOLD</v>
          </cell>
          <cell r="ER112"/>
          <cell r="ES112" t="str">
            <v>BOLD</v>
          </cell>
          <cell r="EV112"/>
          <cell r="EW112" t="str">
            <v>BOLD</v>
          </cell>
          <cell r="EZ112"/>
          <cell r="FA112" t="str">
            <v>BOLD</v>
          </cell>
          <cell r="FD112"/>
          <cell r="FE112" t="str">
            <v>BOLD</v>
          </cell>
          <cell r="FF112" t="str">
            <v>Wireline Equipment  Revenue</v>
          </cell>
          <cell r="FG112" t="str">
            <v>WIRELINE_EQUIPMENT_REVENUE</v>
          </cell>
          <cell r="FH112"/>
          <cell r="FI112" t="str">
            <v>BOLD</v>
          </cell>
          <cell r="FL112"/>
          <cell r="FM112" t="str">
            <v>BOLD</v>
          </cell>
          <cell r="FP112"/>
          <cell r="FQ112" t="str">
            <v>BOLD</v>
          </cell>
          <cell r="FT112"/>
          <cell r="FU112" t="str">
            <v>BOLD</v>
          </cell>
          <cell r="FX112"/>
          <cell r="FY112" t="str">
            <v>BOLD</v>
          </cell>
          <cell r="GB112"/>
          <cell r="GC112" t="str">
            <v>BOLD</v>
          </cell>
          <cell r="GF112"/>
          <cell r="GG112" t="str">
            <v>BOLD</v>
          </cell>
          <cell r="GJ112"/>
          <cell r="GK112" t="str">
            <v>BOLD</v>
          </cell>
          <cell r="GN112"/>
          <cell r="GO112" t="str">
            <v>BOLD</v>
          </cell>
          <cell r="GR112"/>
          <cell r="GS112" t="str">
            <v>BOLD</v>
          </cell>
          <cell r="GV112"/>
          <cell r="GW112" t="str">
            <v>BOLD</v>
          </cell>
          <cell r="GZ112"/>
          <cell r="HA112" t="str">
            <v>BOLD</v>
          </cell>
          <cell r="HD112"/>
          <cell r="HE112" t="str">
            <v>BOLD</v>
          </cell>
          <cell r="HH112"/>
          <cell r="HI112" t="str">
            <v>BOLD</v>
          </cell>
          <cell r="HL112"/>
          <cell r="HM112" t="str">
            <v>BOLD</v>
          </cell>
          <cell r="HP112"/>
          <cell r="HQ112" t="str">
            <v>BOLD</v>
          </cell>
          <cell r="HT112"/>
          <cell r="HU112" t="str">
            <v>BOLD</v>
          </cell>
          <cell r="HV112" t="str">
            <v>Tangible Book Value per Share</v>
          </cell>
          <cell r="HW112" t="str">
            <v>TANG_BOOK_VAL_PER_SH</v>
          </cell>
          <cell r="HX112"/>
          <cell r="HY112" t="str">
            <v>BOLD</v>
          </cell>
          <cell r="HZ112" t="str">
            <v>Diluted EPS Cont Ops</v>
          </cell>
          <cell r="IA112" t="str">
            <v>IS_DIL_EPS_CONT_OPS</v>
          </cell>
          <cell r="IB112" t="str">
            <v>EPS</v>
          </cell>
          <cell r="IC112" t="str">
            <v>BOLDEPS</v>
          </cell>
          <cell r="IP112" t="str">
            <v>Gas Under Contract (MMCF/day)</v>
          </cell>
          <cell r="IQ112" t="str">
            <v>BS_GAS_CONTRACT_WORLD</v>
          </cell>
          <cell r="IR112"/>
          <cell r="IS112" t="str">
            <v>BOLD</v>
          </cell>
          <cell r="IX112" t="str">
            <v>Average VAR - Interest Rate Risk</v>
          </cell>
          <cell r="IY112" t="str">
            <v>IS_AVG_VAR_INT_RATE_RISK</v>
          </cell>
          <cell r="IZ112"/>
          <cell r="JA112" t="str">
            <v>BOLD</v>
          </cell>
          <cell r="JB112" t="str">
            <v>Diluted EPS Cont Ops</v>
          </cell>
          <cell r="JC112" t="str">
            <v>IS_DIL_EPS_CONT_OPS</v>
          </cell>
          <cell r="JD112" t="str">
            <v>EPS</v>
          </cell>
          <cell r="JE112" t="str">
            <v>BOLDEPS</v>
          </cell>
        </row>
        <row r="113">
          <cell r="A113">
            <v>112</v>
          </cell>
          <cell r="D113"/>
          <cell r="E113" t="str">
            <v>BOLD</v>
          </cell>
          <cell r="F113" t="str">
            <v>Card Segment Avg Mgd Loans</v>
          </cell>
          <cell r="G113" t="str">
            <v>CARD_SEG_AVERAGE_MANAGED_LOANS</v>
          </cell>
          <cell r="H113"/>
          <cell r="I113" t="str">
            <v>BOLD</v>
          </cell>
          <cell r="P113"/>
          <cell r="Q113" t="str">
            <v>BOLD</v>
          </cell>
          <cell r="T113"/>
          <cell r="U113" t="str">
            <v>BOLD</v>
          </cell>
          <cell r="X113"/>
          <cell r="Y113" t="str">
            <v>BOLD</v>
          </cell>
          <cell r="AB113"/>
          <cell r="AC113" t="str">
            <v>BOLD</v>
          </cell>
          <cell r="AF113"/>
          <cell r="AG113" t="str">
            <v>BOLD</v>
          </cell>
          <cell r="AJ113"/>
          <cell r="AK113" t="str">
            <v>BOLD</v>
          </cell>
          <cell r="AN113"/>
          <cell r="AO113" t="str">
            <v>BOLD</v>
          </cell>
          <cell r="AR113"/>
          <cell r="AS113" t="str">
            <v>BOLD</v>
          </cell>
          <cell r="AV113"/>
          <cell r="AW113" t="str">
            <v>BOLD</v>
          </cell>
          <cell r="AZ113"/>
          <cell r="BA113" t="str">
            <v>BOLD</v>
          </cell>
          <cell r="BD113"/>
          <cell r="BE113" t="str">
            <v>BOLD</v>
          </cell>
          <cell r="BH113"/>
          <cell r="BI113" t="str">
            <v>BOLD</v>
          </cell>
          <cell r="BL113"/>
          <cell r="BM113" t="str">
            <v>BOLD</v>
          </cell>
          <cell r="BP113"/>
          <cell r="BQ113" t="str">
            <v>BOLD</v>
          </cell>
          <cell r="BT113"/>
          <cell r="BU113" t="str">
            <v>BOLD</v>
          </cell>
          <cell r="BV113" t="str">
            <v xml:space="preserve">  Developed Reserves</v>
          </cell>
          <cell r="BW113" t="str">
            <v>GAS_DEVEL_RESV_ASIA_PAC</v>
          </cell>
          <cell r="BX113"/>
          <cell r="BY113" t="str">
            <v>NO</v>
          </cell>
          <cell r="CB113"/>
          <cell r="CC113" t="str">
            <v>BOLD</v>
          </cell>
          <cell r="CD113" t="str">
            <v xml:space="preserve">  + Extensions &amp; Discoveries</v>
          </cell>
          <cell r="CE113" t="str">
            <v>BOE_EXTENS_DISCOV_ASIA_PAC</v>
          </cell>
          <cell r="CF113"/>
          <cell r="CG113" t="str">
            <v>NO</v>
          </cell>
          <cell r="CJ113"/>
          <cell r="CK113" t="str">
            <v>BOLD</v>
          </cell>
          <cell r="CN113"/>
          <cell r="CO113" t="str">
            <v>BOLD</v>
          </cell>
          <cell r="CR113"/>
          <cell r="CS113" t="str">
            <v>BOLD</v>
          </cell>
          <cell r="CV113"/>
          <cell r="CW113" t="str">
            <v>BOLD</v>
          </cell>
          <cell r="CZ113"/>
          <cell r="DA113" t="str">
            <v>BOLD</v>
          </cell>
          <cell r="DD113"/>
          <cell r="DE113" t="str">
            <v>BOLD</v>
          </cell>
          <cell r="DH113"/>
          <cell r="DI113" t="str">
            <v>BOLD</v>
          </cell>
          <cell r="DL113"/>
          <cell r="DM113" t="str">
            <v>BOLD</v>
          </cell>
          <cell r="DP113"/>
          <cell r="DQ113" t="str">
            <v>BOLD</v>
          </cell>
          <cell r="DT113"/>
          <cell r="DU113" t="str">
            <v>BOLD</v>
          </cell>
          <cell r="DX113"/>
          <cell r="DY113" t="str">
            <v>BOLD</v>
          </cell>
          <cell r="EB113"/>
          <cell r="EC113" t="str">
            <v>BOLD</v>
          </cell>
          <cell r="EF113"/>
          <cell r="EG113" t="str">
            <v>BOLD</v>
          </cell>
          <cell r="EJ113"/>
          <cell r="EK113" t="str">
            <v>BOLD</v>
          </cell>
          <cell r="EN113"/>
          <cell r="EO113" t="str">
            <v>BOLD</v>
          </cell>
          <cell r="ER113"/>
          <cell r="ES113" t="str">
            <v>BOLD</v>
          </cell>
          <cell r="EV113"/>
          <cell r="EW113" t="str">
            <v>BOLD</v>
          </cell>
          <cell r="EZ113"/>
          <cell r="FA113" t="str">
            <v>BOLD</v>
          </cell>
          <cell r="FD113"/>
          <cell r="FE113" t="str">
            <v>BOLD</v>
          </cell>
          <cell r="FF113" t="str">
            <v>Wireline ARPU Monthly</v>
          </cell>
          <cell r="FG113" t="str">
            <v>ARPU_AVG_REVENUE_PER_SUBSCRIBER</v>
          </cell>
          <cell r="FH113"/>
          <cell r="FI113" t="str">
            <v>BOLD</v>
          </cell>
          <cell r="FL113"/>
          <cell r="FM113" t="str">
            <v>BOLD</v>
          </cell>
          <cell r="FP113"/>
          <cell r="FQ113" t="str">
            <v>BOLD</v>
          </cell>
          <cell r="FT113"/>
          <cell r="FU113" t="str">
            <v>BOLD</v>
          </cell>
          <cell r="FX113"/>
          <cell r="FY113" t="str">
            <v>BOLD</v>
          </cell>
          <cell r="GB113"/>
          <cell r="GC113" t="str">
            <v>BOLD</v>
          </cell>
          <cell r="GF113"/>
          <cell r="GG113" t="str">
            <v>BOLD</v>
          </cell>
          <cell r="GJ113"/>
          <cell r="GK113" t="str">
            <v>BOLD</v>
          </cell>
          <cell r="GN113"/>
          <cell r="GO113" t="str">
            <v>BOLD</v>
          </cell>
          <cell r="GR113"/>
          <cell r="GS113" t="str">
            <v>BOLD</v>
          </cell>
          <cell r="GV113"/>
          <cell r="GW113" t="str">
            <v>BOLD</v>
          </cell>
          <cell r="GZ113"/>
          <cell r="HA113" t="str">
            <v>BOLD</v>
          </cell>
          <cell r="HD113"/>
          <cell r="HE113" t="str">
            <v>BOLD</v>
          </cell>
          <cell r="HH113"/>
          <cell r="HI113" t="str">
            <v>BOLD</v>
          </cell>
          <cell r="HL113"/>
          <cell r="HM113" t="str">
            <v>BOLD</v>
          </cell>
          <cell r="HP113"/>
          <cell r="HQ113" t="str">
            <v>BOLD</v>
          </cell>
          <cell r="HT113"/>
          <cell r="HU113" t="str">
            <v>BOLD</v>
          </cell>
          <cell r="HX113"/>
          <cell r="HY113" t="str">
            <v>BOLD</v>
          </cell>
          <cell r="HZ113" t="str">
            <v>Op income to tot capital</v>
          </cell>
          <cell r="IA113" t="str">
            <v>OPER_INC_TO_TOT_CAP</v>
          </cell>
          <cell r="IB113"/>
          <cell r="IC113" t="str">
            <v>BOLD</v>
          </cell>
          <cell r="IP113" t="str">
            <v>Gas From Spot Market (MMCF/day)</v>
          </cell>
          <cell r="IQ113" t="str">
            <v>BS_GAS_SPOT_WORLD</v>
          </cell>
          <cell r="IR113"/>
          <cell r="IS113" t="str">
            <v>BOLD</v>
          </cell>
          <cell r="IX113" t="str">
            <v>Average VAR - Equity Risk</v>
          </cell>
          <cell r="IY113" t="str">
            <v>IS_AVG_VAR_EQUITY_RISK</v>
          </cell>
          <cell r="IZ113"/>
          <cell r="JA113" t="str">
            <v>BOLD</v>
          </cell>
          <cell r="JB113" t="str">
            <v>Op income to tot capital</v>
          </cell>
          <cell r="JC113" t="str">
            <v>OPER_INC_TO_TOT_CAP</v>
          </cell>
          <cell r="JD113"/>
          <cell r="JE113" t="str">
            <v>BOLD</v>
          </cell>
        </row>
        <row r="114">
          <cell r="A114">
            <v>113</v>
          </cell>
          <cell r="D114"/>
          <cell r="E114" t="str">
            <v>BOLD</v>
          </cell>
          <cell r="F114" t="str">
            <v>Avg Securitized Assets</v>
          </cell>
          <cell r="G114" t="str">
            <v>AVERAGE_SECURITIZED_ASSETS</v>
          </cell>
          <cell r="H114"/>
          <cell r="I114" t="str">
            <v>BOLD</v>
          </cell>
          <cell r="P114"/>
          <cell r="Q114" t="str">
            <v>BOLD</v>
          </cell>
          <cell r="T114"/>
          <cell r="U114" t="str">
            <v>BOLD</v>
          </cell>
          <cell r="X114"/>
          <cell r="Y114" t="str">
            <v>BOLD</v>
          </cell>
          <cell r="AB114"/>
          <cell r="AC114" t="str">
            <v>BOLD</v>
          </cell>
          <cell r="AF114"/>
          <cell r="AG114" t="str">
            <v>BOLD</v>
          </cell>
          <cell r="AJ114"/>
          <cell r="AK114" t="str">
            <v>BOLD</v>
          </cell>
          <cell r="AN114"/>
          <cell r="AO114" t="str">
            <v>BOLD</v>
          </cell>
          <cell r="AR114"/>
          <cell r="AS114" t="str">
            <v>BOLD</v>
          </cell>
          <cell r="AV114"/>
          <cell r="AW114" t="str">
            <v>BOLD</v>
          </cell>
          <cell r="AZ114"/>
          <cell r="BA114" t="str">
            <v>BOLD</v>
          </cell>
          <cell r="BD114"/>
          <cell r="BE114" t="str">
            <v>BOLD</v>
          </cell>
          <cell r="BH114"/>
          <cell r="BI114" t="str">
            <v>BOLD</v>
          </cell>
          <cell r="BL114"/>
          <cell r="BM114" t="str">
            <v>BOLD</v>
          </cell>
          <cell r="BP114"/>
          <cell r="BQ114" t="str">
            <v>BOLD</v>
          </cell>
          <cell r="BT114"/>
          <cell r="BU114" t="str">
            <v>BOLD</v>
          </cell>
          <cell r="BV114" t="str">
            <v xml:space="preserve">  Reserves (Australia)</v>
          </cell>
          <cell r="BW114" t="str">
            <v>GAS_RESERVES_END_YR_AUSTRALIA</v>
          </cell>
          <cell r="BX114"/>
          <cell r="BY114" t="str">
            <v>NO</v>
          </cell>
          <cell r="CB114"/>
          <cell r="CC114" t="str">
            <v>BOLD</v>
          </cell>
          <cell r="CD114" t="str">
            <v xml:space="preserve">  + Purchases</v>
          </cell>
          <cell r="CE114" t="str">
            <v>BOE_PURCHASES_ASIA_PAC</v>
          </cell>
          <cell r="CF114"/>
          <cell r="CG114" t="str">
            <v>NO</v>
          </cell>
          <cell r="CJ114"/>
          <cell r="CK114" t="str">
            <v>BOLD</v>
          </cell>
          <cell r="CN114"/>
          <cell r="CO114" t="str">
            <v>BOLD</v>
          </cell>
          <cell r="CR114"/>
          <cell r="CS114" t="str">
            <v>BOLD</v>
          </cell>
          <cell r="CV114"/>
          <cell r="CW114" t="str">
            <v>BOLD</v>
          </cell>
          <cell r="CZ114"/>
          <cell r="DA114" t="str">
            <v>BOLD</v>
          </cell>
          <cell r="DD114"/>
          <cell r="DE114" t="str">
            <v>BOLD</v>
          </cell>
          <cell r="DH114"/>
          <cell r="DI114" t="str">
            <v>BOLD</v>
          </cell>
          <cell r="DL114"/>
          <cell r="DM114" t="str">
            <v>BOLD</v>
          </cell>
          <cell r="DP114"/>
          <cell r="DQ114" t="str">
            <v>BOLD</v>
          </cell>
          <cell r="DT114"/>
          <cell r="DU114" t="str">
            <v>BOLD</v>
          </cell>
          <cell r="DX114"/>
          <cell r="DY114" t="str">
            <v>BOLD</v>
          </cell>
          <cell r="EB114"/>
          <cell r="EC114" t="str">
            <v>BOLD</v>
          </cell>
          <cell r="EF114"/>
          <cell r="EG114" t="str">
            <v>BOLD</v>
          </cell>
          <cell r="EJ114"/>
          <cell r="EK114" t="str">
            <v>BOLD</v>
          </cell>
          <cell r="EN114"/>
          <cell r="EO114" t="str">
            <v>BOLD</v>
          </cell>
          <cell r="ER114"/>
          <cell r="ES114" t="str">
            <v>BOLD</v>
          </cell>
          <cell r="EV114"/>
          <cell r="EW114" t="str">
            <v>BOLD</v>
          </cell>
          <cell r="EZ114"/>
          <cell r="FA114" t="str">
            <v>BOLD</v>
          </cell>
          <cell r="FD114"/>
          <cell r="FE114" t="str">
            <v>BOLD</v>
          </cell>
          <cell r="FF114" t="str">
            <v>Wireline Churn Rate</v>
          </cell>
          <cell r="FG114" t="str">
            <v>TELECOM_CHURN_RATE</v>
          </cell>
          <cell r="FH114"/>
          <cell r="FI114" t="str">
            <v>BOLD</v>
          </cell>
          <cell r="FL114"/>
          <cell r="FM114" t="str">
            <v>BOLD</v>
          </cell>
          <cell r="FP114"/>
          <cell r="FQ114" t="str">
            <v>BOLD</v>
          </cell>
          <cell r="FT114"/>
          <cell r="FU114" t="str">
            <v>BOLD</v>
          </cell>
          <cell r="FX114"/>
          <cell r="FY114" t="str">
            <v>BOLD</v>
          </cell>
          <cell r="GB114"/>
          <cell r="GC114" t="str">
            <v>BOLD</v>
          </cell>
          <cell r="GF114"/>
          <cell r="GG114" t="str">
            <v>BOLD</v>
          </cell>
          <cell r="GJ114"/>
          <cell r="GK114" t="str">
            <v>BOLD</v>
          </cell>
          <cell r="GN114"/>
          <cell r="GO114" t="str">
            <v>BOLD</v>
          </cell>
          <cell r="GR114"/>
          <cell r="GS114" t="str">
            <v>BOLD</v>
          </cell>
          <cell r="GV114"/>
          <cell r="GW114" t="str">
            <v>BOLD</v>
          </cell>
          <cell r="GZ114"/>
          <cell r="HA114" t="str">
            <v>BOLD</v>
          </cell>
          <cell r="HD114"/>
          <cell r="HE114" t="str">
            <v>BOLD</v>
          </cell>
          <cell r="HH114"/>
          <cell r="HI114" t="str">
            <v>BOLD</v>
          </cell>
          <cell r="HL114"/>
          <cell r="HM114" t="str">
            <v>BOLD</v>
          </cell>
          <cell r="HP114"/>
          <cell r="HQ114" t="str">
            <v>BOLD</v>
          </cell>
          <cell r="HT114"/>
          <cell r="HU114" t="str">
            <v>BOLD</v>
          </cell>
          <cell r="HV114" t="str">
            <v>Growth Analysis</v>
          </cell>
          <cell r="HW114" t="str">
            <v>LABEL</v>
          </cell>
          <cell r="HX114"/>
          <cell r="HY114" t="str">
            <v>BOLD</v>
          </cell>
          <cell r="HZ114" t="str">
            <v>Price Earnings Ratio (P/E)</v>
          </cell>
          <cell r="IA114" t="str">
            <v>PE_RATIO</v>
          </cell>
          <cell r="IB114"/>
          <cell r="IC114" t="str">
            <v>BOLD</v>
          </cell>
          <cell r="IP114" t="str">
            <v>Other (MMCF/day)</v>
          </cell>
          <cell r="IQ114" t="str">
            <v>BS_OIL_&amp;_GAS_OTHER_WORLD</v>
          </cell>
          <cell r="IR114"/>
          <cell r="IS114" t="str">
            <v>BOLD</v>
          </cell>
          <cell r="IX114" t="str">
            <v>Average VAR - Currency Risk</v>
          </cell>
          <cell r="IY114" t="str">
            <v>IS_AVG_VAR_CURRENCY_RISK</v>
          </cell>
          <cell r="IZ114"/>
          <cell r="JA114" t="str">
            <v>BOLD</v>
          </cell>
          <cell r="JB114" t="str">
            <v>Price Earnings Ratio (P/E)</v>
          </cell>
          <cell r="JC114" t="str">
            <v>PE_RATIO</v>
          </cell>
          <cell r="JD114"/>
          <cell r="JE114" t="str">
            <v>BOLD</v>
          </cell>
        </row>
        <row r="115">
          <cell r="A115">
            <v>114</v>
          </cell>
          <cell r="D115"/>
          <cell r="E115" t="str">
            <v>BOLD</v>
          </cell>
          <cell r="F115" t="str">
            <v>Avg Managed Total Assets</v>
          </cell>
          <cell r="G115" t="str">
            <v>AVERAGE_MANAGED_TOTAL_ASSETS</v>
          </cell>
          <cell r="H115"/>
          <cell r="I115" t="str">
            <v>BOLD</v>
          </cell>
          <cell r="P115"/>
          <cell r="Q115" t="str">
            <v>BOLD</v>
          </cell>
          <cell r="T115"/>
          <cell r="U115" t="str">
            <v>BOLD</v>
          </cell>
          <cell r="X115"/>
          <cell r="Y115" t="str">
            <v>BOLD</v>
          </cell>
          <cell r="AB115"/>
          <cell r="AC115" t="str">
            <v>BOLD</v>
          </cell>
          <cell r="AF115"/>
          <cell r="AG115" t="str">
            <v>BOLD</v>
          </cell>
          <cell r="AJ115"/>
          <cell r="AK115" t="str">
            <v>BOLD</v>
          </cell>
          <cell r="AN115"/>
          <cell r="AO115" t="str">
            <v>BOLD</v>
          </cell>
          <cell r="AR115"/>
          <cell r="AS115" t="str">
            <v>BOLD</v>
          </cell>
          <cell r="AV115"/>
          <cell r="AW115" t="str">
            <v>BOLD</v>
          </cell>
          <cell r="AZ115"/>
          <cell r="BA115" t="str">
            <v>BOLD</v>
          </cell>
          <cell r="BD115"/>
          <cell r="BE115" t="str">
            <v>BOLD</v>
          </cell>
          <cell r="BH115"/>
          <cell r="BI115" t="str">
            <v>BOLD</v>
          </cell>
          <cell r="BL115"/>
          <cell r="BM115" t="str">
            <v>BOLD</v>
          </cell>
          <cell r="BP115"/>
          <cell r="BQ115" t="str">
            <v>BOLD</v>
          </cell>
          <cell r="BT115"/>
          <cell r="BU115" t="str">
            <v>BOLD</v>
          </cell>
          <cell r="BX115"/>
          <cell r="BY115" t="str">
            <v>BOLD</v>
          </cell>
          <cell r="CB115"/>
          <cell r="CC115" t="str">
            <v>BOLD</v>
          </cell>
          <cell r="CD115" t="str">
            <v xml:space="preserve">  + Sales</v>
          </cell>
          <cell r="CE115" t="str">
            <v>BOE_SALES_ASIA_PAC</v>
          </cell>
          <cell r="CF115"/>
          <cell r="CG115" t="str">
            <v>NO</v>
          </cell>
          <cell r="CJ115"/>
          <cell r="CK115" t="str">
            <v>BOLD</v>
          </cell>
          <cell r="CN115"/>
          <cell r="CO115" t="str">
            <v>BOLD</v>
          </cell>
          <cell r="CR115"/>
          <cell r="CS115" t="str">
            <v>BOLD</v>
          </cell>
          <cell r="CV115"/>
          <cell r="CW115" t="str">
            <v>BOLD</v>
          </cell>
          <cell r="CZ115"/>
          <cell r="DA115" t="str">
            <v>BOLD</v>
          </cell>
          <cell r="DD115"/>
          <cell r="DE115" t="str">
            <v>BOLD</v>
          </cell>
          <cell r="DH115"/>
          <cell r="DI115" t="str">
            <v>BOLD</v>
          </cell>
          <cell r="DL115"/>
          <cell r="DM115" t="str">
            <v>BOLD</v>
          </cell>
          <cell r="DP115"/>
          <cell r="DQ115" t="str">
            <v>BOLD</v>
          </cell>
          <cell r="DT115"/>
          <cell r="DU115" t="str">
            <v>BOLD</v>
          </cell>
          <cell r="DX115"/>
          <cell r="DY115" t="str">
            <v>BOLD</v>
          </cell>
          <cell r="EB115"/>
          <cell r="EC115" t="str">
            <v>BOLD</v>
          </cell>
          <cell r="EF115"/>
          <cell r="EG115" t="str">
            <v>BOLD</v>
          </cell>
          <cell r="EJ115"/>
          <cell r="EK115" t="str">
            <v>BOLD</v>
          </cell>
          <cell r="EN115"/>
          <cell r="EO115" t="str">
            <v>BOLD</v>
          </cell>
          <cell r="ER115"/>
          <cell r="ES115" t="str">
            <v>BOLD</v>
          </cell>
          <cell r="EV115"/>
          <cell r="EW115" t="str">
            <v>BOLD</v>
          </cell>
          <cell r="EZ115"/>
          <cell r="FA115" t="str">
            <v>BOLD</v>
          </cell>
          <cell r="FD115"/>
          <cell r="FE115" t="str">
            <v>BOLD</v>
          </cell>
          <cell r="FF115" t="str">
            <v>Total Cable Homes Passed</v>
          </cell>
          <cell r="FG115" t="str">
            <v>TOTAL_CABLE_HOMES_PASSED</v>
          </cell>
          <cell r="FH115"/>
          <cell r="FI115" t="str">
            <v>BOLD</v>
          </cell>
          <cell r="FL115"/>
          <cell r="FM115" t="str">
            <v>BOLD</v>
          </cell>
          <cell r="FP115"/>
          <cell r="FQ115" t="str">
            <v>BOLD</v>
          </cell>
          <cell r="FT115"/>
          <cell r="FU115" t="str">
            <v>BOLD</v>
          </cell>
          <cell r="FX115"/>
          <cell r="FY115" t="str">
            <v>BOLD</v>
          </cell>
          <cell r="GB115"/>
          <cell r="GC115" t="str">
            <v>BOLD</v>
          </cell>
          <cell r="GF115"/>
          <cell r="GG115" t="str">
            <v>BOLD</v>
          </cell>
          <cell r="GJ115"/>
          <cell r="GK115" t="str">
            <v>BOLD</v>
          </cell>
          <cell r="GN115"/>
          <cell r="GO115" t="str">
            <v>BOLD</v>
          </cell>
          <cell r="GR115"/>
          <cell r="GS115" t="str">
            <v>BOLD</v>
          </cell>
          <cell r="GV115"/>
          <cell r="GW115" t="str">
            <v>BOLD</v>
          </cell>
          <cell r="GZ115"/>
          <cell r="HA115" t="str">
            <v>BOLD</v>
          </cell>
          <cell r="HD115"/>
          <cell r="HE115" t="str">
            <v>BOLD</v>
          </cell>
          <cell r="HH115"/>
          <cell r="HI115" t="str">
            <v>BOLD</v>
          </cell>
          <cell r="HL115"/>
          <cell r="HM115" t="str">
            <v>BOLD</v>
          </cell>
          <cell r="HP115"/>
          <cell r="HQ115" t="str">
            <v>BOLD</v>
          </cell>
          <cell r="HT115"/>
          <cell r="HU115" t="str">
            <v>BOLD</v>
          </cell>
          <cell r="HV115" t="str">
            <v>Loan Growth</v>
          </cell>
          <cell r="HW115" t="str">
            <v>GROWTH_IN_TOT_LOAN</v>
          </cell>
          <cell r="HX115"/>
          <cell r="HY115" t="str">
            <v>BOLD</v>
          </cell>
          <cell r="HZ115" t="str">
            <v>Price to Book Ratio</v>
          </cell>
          <cell r="IA115" t="str">
            <v>PX_TO_BOOK_RATIO</v>
          </cell>
          <cell r="IB115"/>
          <cell r="IC115" t="str">
            <v>BOLD</v>
          </cell>
          <cell r="IR115"/>
          <cell r="IS115" t="str">
            <v>BOLD</v>
          </cell>
          <cell r="IX115" t="str">
            <v>Average VAR - Commodities Risk</v>
          </cell>
          <cell r="IY115" t="str">
            <v>IS_AVG_VAR_COMMODITIES_RISK</v>
          </cell>
          <cell r="IZ115"/>
          <cell r="JA115" t="str">
            <v>BOLD</v>
          </cell>
          <cell r="JB115" t="str">
            <v>Price to Book Ratio</v>
          </cell>
          <cell r="JC115" t="str">
            <v>PX_TO_BOOK_RATIO</v>
          </cell>
          <cell r="JD115"/>
          <cell r="JE115" t="str">
            <v>BOLD</v>
          </cell>
        </row>
        <row r="116">
          <cell r="A116">
            <v>115</v>
          </cell>
          <cell r="D116"/>
          <cell r="E116" t="str">
            <v>BOLD</v>
          </cell>
          <cell r="F116" t="str">
            <v>Card Seg Mgd Earning Assets</v>
          </cell>
          <cell r="G116" t="str">
            <v>CARD_SEG_MGD_EARNING_ASSETS</v>
          </cell>
          <cell r="H116"/>
          <cell r="I116" t="str">
            <v>BOLD</v>
          </cell>
          <cell r="P116"/>
          <cell r="Q116" t="str">
            <v>BOLD</v>
          </cell>
          <cell r="T116"/>
          <cell r="U116" t="str">
            <v>BOLD</v>
          </cell>
          <cell r="X116"/>
          <cell r="Y116" t="str">
            <v>BOLD</v>
          </cell>
          <cell r="AB116"/>
          <cell r="AC116" t="str">
            <v>BOLD</v>
          </cell>
          <cell r="AF116"/>
          <cell r="AG116" t="str">
            <v>BOLD</v>
          </cell>
          <cell r="AJ116"/>
          <cell r="AK116" t="str">
            <v>BOLD</v>
          </cell>
          <cell r="AN116"/>
          <cell r="AO116" t="str">
            <v>BOLD</v>
          </cell>
          <cell r="AR116"/>
          <cell r="AS116" t="str">
            <v>BOLD</v>
          </cell>
          <cell r="AV116"/>
          <cell r="AW116" t="str">
            <v>BOLD</v>
          </cell>
          <cell r="AZ116"/>
          <cell r="BA116" t="str">
            <v>BOLD</v>
          </cell>
          <cell r="BD116"/>
          <cell r="BE116" t="str">
            <v>BOLD</v>
          </cell>
          <cell r="BH116"/>
          <cell r="BI116" t="str">
            <v>BOLD</v>
          </cell>
          <cell r="BL116"/>
          <cell r="BM116" t="str">
            <v>BOLD</v>
          </cell>
          <cell r="BP116"/>
          <cell r="BQ116" t="str">
            <v>BOLD</v>
          </cell>
          <cell r="BT116"/>
          <cell r="BU116" t="str">
            <v>BOLD</v>
          </cell>
          <cell r="BX116"/>
          <cell r="BY116" t="str">
            <v>BOLD</v>
          </cell>
          <cell r="CB116"/>
          <cell r="CC116" t="str">
            <v>BOLD</v>
          </cell>
          <cell r="CD116" t="str">
            <v xml:space="preserve">  + Production</v>
          </cell>
          <cell r="CE116" t="str">
            <v>BOE_PRODUCTION_ASIA_PAC</v>
          </cell>
          <cell r="CF116"/>
          <cell r="CG116" t="str">
            <v>NO</v>
          </cell>
          <cell r="CJ116"/>
          <cell r="CK116" t="str">
            <v>BOLD</v>
          </cell>
          <cell r="CN116"/>
          <cell r="CO116" t="str">
            <v>BOLD</v>
          </cell>
          <cell r="CR116"/>
          <cell r="CS116" t="str">
            <v>BOLD</v>
          </cell>
          <cell r="CV116"/>
          <cell r="CW116" t="str">
            <v>BOLD</v>
          </cell>
          <cell r="CZ116"/>
          <cell r="DA116" t="str">
            <v>BOLD</v>
          </cell>
          <cell r="DD116"/>
          <cell r="DE116" t="str">
            <v>BOLD</v>
          </cell>
          <cell r="DH116"/>
          <cell r="DI116" t="str">
            <v>BOLD</v>
          </cell>
          <cell r="DL116"/>
          <cell r="DM116" t="str">
            <v>BOLD</v>
          </cell>
          <cell r="DP116"/>
          <cell r="DQ116" t="str">
            <v>BOLD</v>
          </cell>
          <cell r="DT116"/>
          <cell r="DU116" t="str">
            <v>BOLD</v>
          </cell>
          <cell r="DX116"/>
          <cell r="DY116" t="str">
            <v>BOLD</v>
          </cell>
          <cell r="EB116"/>
          <cell r="EC116" t="str">
            <v>BOLD</v>
          </cell>
          <cell r="EF116"/>
          <cell r="EG116" t="str">
            <v>BOLD</v>
          </cell>
          <cell r="EJ116"/>
          <cell r="EK116" t="str">
            <v>BOLD</v>
          </cell>
          <cell r="EN116"/>
          <cell r="EO116" t="str">
            <v>BOLD</v>
          </cell>
          <cell r="ER116"/>
          <cell r="ES116" t="str">
            <v>BOLD</v>
          </cell>
          <cell r="EV116"/>
          <cell r="EW116" t="str">
            <v>BOLD</v>
          </cell>
          <cell r="EZ116"/>
          <cell r="FA116" t="str">
            <v>BOLD</v>
          </cell>
          <cell r="FD116"/>
          <cell r="FE116" t="str">
            <v>BOLD</v>
          </cell>
          <cell r="FF116" t="str">
            <v>Digital Cable Subscriber</v>
          </cell>
          <cell r="FG116" t="str">
            <v>DIGITAL_CUSTOMERS</v>
          </cell>
          <cell r="FH116"/>
          <cell r="FI116" t="str">
            <v>BOLD</v>
          </cell>
          <cell r="FL116"/>
          <cell r="FM116" t="str">
            <v>BOLD</v>
          </cell>
          <cell r="FP116"/>
          <cell r="FQ116" t="str">
            <v>BOLD</v>
          </cell>
          <cell r="FT116"/>
          <cell r="FU116" t="str">
            <v>BOLD</v>
          </cell>
          <cell r="FX116"/>
          <cell r="FY116" t="str">
            <v>BOLD</v>
          </cell>
          <cell r="GB116"/>
          <cell r="GC116" t="str">
            <v>BOLD</v>
          </cell>
          <cell r="GF116"/>
          <cell r="GG116" t="str">
            <v>BOLD</v>
          </cell>
          <cell r="GJ116"/>
          <cell r="GK116" t="str">
            <v>BOLD</v>
          </cell>
          <cell r="GN116"/>
          <cell r="GO116" t="str">
            <v>BOLD</v>
          </cell>
          <cell r="GR116"/>
          <cell r="GS116" t="str">
            <v>BOLD</v>
          </cell>
          <cell r="GV116"/>
          <cell r="GW116" t="str">
            <v>BOLD</v>
          </cell>
          <cell r="GZ116"/>
          <cell r="HA116" t="str">
            <v>BOLD</v>
          </cell>
          <cell r="HD116"/>
          <cell r="HE116" t="str">
            <v>BOLD</v>
          </cell>
          <cell r="HH116"/>
          <cell r="HI116" t="str">
            <v>BOLD</v>
          </cell>
          <cell r="HL116"/>
          <cell r="HM116" t="str">
            <v>BOLD</v>
          </cell>
          <cell r="HP116"/>
          <cell r="HQ116" t="str">
            <v>BOLD</v>
          </cell>
          <cell r="HT116"/>
          <cell r="HU116" t="str">
            <v>BOLD</v>
          </cell>
          <cell r="HV116" t="str">
            <v>Deposit Growth</v>
          </cell>
          <cell r="HW116" t="str">
            <v>GROWTH_IN_TOT_DPST</v>
          </cell>
          <cell r="HX116"/>
          <cell r="HY116" t="str">
            <v>BOLD</v>
          </cell>
          <cell r="HZ116" t="str">
            <v>Op inc/Net prem</v>
          </cell>
          <cell r="IA116" t="str">
            <v>OPER_INC_TO_NET_PREM_EARN</v>
          </cell>
          <cell r="IB116"/>
          <cell r="IC116" t="str">
            <v>BOLD</v>
          </cell>
          <cell r="IP116" t="str">
            <v>Heat</v>
          </cell>
          <cell r="IQ116" t="str">
            <v>LABEL</v>
          </cell>
          <cell r="IR116"/>
          <cell r="IS116" t="str">
            <v>BOLD</v>
          </cell>
          <cell r="IX116" t="str">
            <v>Average VAR - Other Risks</v>
          </cell>
          <cell r="IY116" t="str">
            <v>IS_AVG_VAR_OTHER_RISK</v>
          </cell>
          <cell r="IZ116"/>
          <cell r="JA116" t="str">
            <v>BOLD</v>
          </cell>
          <cell r="JB116" t="str">
            <v>Op inc/Net prem</v>
          </cell>
          <cell r="JC116" t="str">
            <v>OPER_INC_TO_NET_PREM_EARN</v>
          </cell>
          <cell r="JD116"/>
          <cell r="JE116" t="str">
            <v>BOLD</v>
          </cell>
        </row>
        <row r="117">
          <cell r="A117">
            <v>116</v>
          </cell>
          <cell r="D117"/>
          <cell r="E117" t="str">
            <v>BOLD</v>
          </cell>
          <cell r="F117" t="str">
            <v>Card Seg Avg Mgd Earning Assets</v>
          </cell>
          <cell r="G117" t="str">
            <v>CARD_SEG_AVG_MGD_EARNING_ASSETS</v>
          </cell>
          <cell r="H117"/>
          <cell r="I117" t="str">
            <v>BOLD</v>
          </cell>
          <cell r="P117"/>
          <cell r="Q117" t="str">
            <v>BOLD</v>
          </cell>
          <cell r="T117"/>
          <cell r="U117" t="str">
            <v>BOLD</v>
          </cell>
          <cell r="X117"/>
          <cell r="Y117" t="str">
            <v>BOLD</v>
          </cell>
          <cell r="AB117"/>
          <cell r="AC117" t="str">
            <v>BOLD</v>
          </cell>
          <cell r="AF117"/>
          <cell r="AG117" t="str">
            <v>BOLD</v>
          </cell>
          <cell r="AJ117"/>
          <cell r="AK117" t="str">
            <v>BOLD</v>
          </cell>
          <cell r="AN117"/>
          <cell r="AO117" t="str">
            <v>BOLD</v>
          </cell>
          <cell r="AR117"/>
          <cell r="AS117" t="str">
            <v>BOLD</v>
          </cell>
          <cell r="AV117"/>
          <cell r="AW117" t="str">
            <v>BOLD</v>
          </cell>
          <cell r="AZ117"/>
          <cell r="BA117" t="str">
            <v>BOLD</v>
          </cell>
          <cell r="BD117"/>
          <cell r="BE117" t="str">
            <v>BOLD</v>
          </cell>
          <cell r="BH117"/>
          <cell r="BI117" t="str">
            <v>BOLD</v>
          </cell>
          <cell r="BL117"/>
          <cell r="BM117" t="str">
            <v>BOLD</v>
          </cell>
          <cell r="BP117"/>
          <cell r="BQ117" t="str">
            <v>BOLD</v>
          </cell>
          <cell r="BT117"/>
          <cell r="BU117" t="str">
            <v>BOLD</v>
          </cell>
          <cell r="BX117"/>
          <cell r="BY117" t="str">
            <v>BOLD</v>
          </cell>
          <cell r="CB117"/>
          <cell r="CC117" t="str">
            <v>BOLD</v>
          </cell>
          <cell r="CD117" t="str">
            <v xml:space="preserve">  + Other</v>
          </cell>
          <cell r="CE117" t="str">
            <v>BOE_OTHER_CHG_ASIA_PAC</v>
          </cell>
          <cell r="CF117"/>
          <cell r="CG117" t="str">
            <v>NO</v>
          </cell>
          <cell r="CJ117"/>
          <cell r="CK117" t="str">
            <v>BOLD</v>
          </cell>
          <cell r="CN117"/>
          <cell r="CO117" t="str">
            <v>BOLD</v>
          </cell>
          <cell r="CR117"/>
          <cell r="CS117" t="str">
            <v>BOLD</v>
          </cell>
          <cell r="CV117"/>
          <cell r="CW117" t="str">
            <v>BOLD</v>
          </cell>
          <cell r="CZ117"/>
          <cell r="DA117" t="str">
            <v>BOLD</v>
          </cell>
          <cell r="DD117"/>
          <cell r="DE117" t="str">
            <v>BOLD</v>
          </cell>
          <cell r="DH117"/>
          <cell r="DI117" t="str">
            <v>BOLD</v>
          </cell>
          <cell r="DL117"/>
          <cell r="DM117" t="str">
            <v>BOLD</v>
          </cell>
          <cell r="DP117"/>
          <cell r="DQ117" t="str">
            <v>BOLD</v>
          </cell>
          <cell r="DT117"/>
          <cell r="DU117" t="str">
            <v>BOLD</v>
          </cell>
          <cell r="DX117"/>
          <cell r="DY117" t="str">
            <v>BOLD</v>
          </cell>
          <cell r="EB117"/>
          <cell r="EC117" t="str">
            <v>BOLD</v>
          </cell>
          <cell r="EF117"/>
          <cell r="EG117" t="str">
            <v>BOLD</v>
          </cell>
          <cell r="EJ117"/>
          <cell r="EK117" t="str">
            <v>BOLD</v>
          </cell>
          <cell r="EN117"/>
          <cell r="EO117" t="str">
            <v>BOLD</v>
          </cell>
          <cell r="ER117"/>
          <cell r="ES117" t="str">
            <v>BOLD</v>
          </cell>
          <cell r="EV117"/>
          <cell r="EW117" t="str">
            <v>BOLD</v>
          </cell>
          <cell r="EZ117"/>
          <cell r="FA117" t="str">
            <v>BOLD</v>
          </cell>
          <cell r="FD117"/>
          <cell r="FE117" t="str">
            <v>BOLD</v>
          </cell>
          <cell r="FF117" t="str">
            <v>Digital Cable Penetration</v>
          </cell>
          <cell r="FG117" t="str">
            <v>DIGITAL_PENETRATION</v>
          </cell>
          <cell r="FH117"/>
          <cell r="FI117" t="str">
            <v>BOLD</v>
          </cell>
          <cell r="FL117"/>
          <cell r="FM117" t="str">
            <v>BOLD</v>
          </cell>
          <cell r="FP117"/>
          <cell r="FQ117" t="str">
            <v>BOLD</v>
          </cell>
          <cell r="FT117"/>
          <cell r="FU117" t="str">
            <v>BOLD</v>
          </cell>
          <cell r="FX117"/>
          <cell r="FY117" t="str">
            <v>BOLD</v>
          </cell>
          <cell r="GB117"/>
          <cell r="GC117" t="str">
            <v>BOLD</v>
          </cell>
          <cell r="GF117"/>
          <cell r="GG117" t="str">
            <v>BOLD</v>
          </cell>
          <cell r="GJ117"/>
          <cell r="GK117" t="str">
            <v>BOLD</v>
          </cell>
          <cell r="GN117"/>
          <cell r="GO117" t="str">
            <v>BOLD</v>
          </cell>
          <cell r="GR117"/>
          <cell r="GS117" t="str">
            <v>BOLD</v>
          </cell>
          <cell r="GV117"/>
          <cell r="GW117" t="str">
            <v>BOLD</v>
          </cell>
          <cell r="GZ117"/>
          <cell r="HA117" t="str">
            <v>BOLD</v>
          </cell>
          <cell r="HD117"/>
          <cell r="HE117" t="str">
            <v>BOLD</v>
          </cell>
          <cell r="HH117"/>
          <cell r="HI117" t="str">
            <v>BOLD</v>
          </cell>
          <cell r="HL117"/>
          <cell r="HM117" t="str">
            <v>BOLD</v>
          </cell>
          <cell r="HP117"/>
          <cell r="HQ117" t="str">
            <v>BOLD</v>
          </cell>
          <cell r="HT117"/>
          <cell r="HU117" t="str">
            <v>BOLD</v>
          </cell>
          <cell r="HV117" t="str">
            <v>Core Deposits Growth</v>
          </cell>
          <cell r="HW117" t="str">
            <v>CORE_DPST_GROWTH</v>
          </cell>
          <cell r="HX117"/>
          <cell r="HY117" t="str">
            <v>BOLD</v>
          </cell>
          <cell r="IB117"/>
          <cell r="IC117" t="str">
            <v>BOLD</v>
          </cell>
          <cell r="IP117" t="str">
            <v>Heat Produced Thermal CHP (GWh)</v>
          </cell>
          <cell r="IQ117" t="str">
            <v>HEAT_PRODUCED_THERMAL_CHP_IN_GWH</v>
          </cell>
          <cell r="IR117"/>
          <cell r="IS117" t="str">
            <v>BOLD</v>
          </cell>
          <cell r="IX117" t="str">
            <v>VAR Diversification Benefit</v>
          </cell>
          <cell r="IY117" t="str">
            <v>IS_DIVERSIFICATION_BENEFIT</v>
          </cell>
          <cell r="IZ117"/>
          <cell r="JA117" t="str">
            <v>BOLD</v>
          </cell>
          <cell r="JD117"/>
          <cell r="JE117" t="str">
            <v>BOLD</v>
          </cell>
        </row>
        <row r="118">
          <cell r="A118">
            <v>117</v>
          </cell>
          <cell r="D118"/>
          <cell r="E118" t="str">
            <v>BOLD</v>
          </cell>
          <cell r="F118" t="str">
            <v>Card Seg Mgd Total Assets</v>
          </cell>
          <cell r="G118" t="str">
            <v>CARD_SEG_MGD_TOTAL_ASSETS</v>
          </cell>
          <cell r="H118"/>
          <cell r="I118" t="str">
            <v>BOLD</v>
          </cell>
          <cell r="P118"/>
          <cell r="Q118" t="str">
            <v>BOLD</v>
          </cell>
          <cell r="T118"/>
          <cell r="U118" t="str">
            <v>BOLD</v>
          </cell>
          <cell r="X118"/>
          <cell r="Y118" t="str">
            <v>BOLD</v>
          </cell>
          <cell r="AB118"/>
          <cell r="AC118" t="str">
            <v>BOLD</v>
          </cell>
          <cell r="AF118"/>
          <cell r="AG118" t="str">
            <v>BOLD</v>
          </cell>
          <cell r="AJ118"/>
          <cell r="AK118" t="str">
            <v>BOLD</v>
          </cell>
          <cell r="AN118"/>
          <cell r="AO118" t="str">
            <v>BOLD</v>
          </cell>
          <cell r="AR118"/>
          <cell r="AS118" t="str">
            <v>BOLD</v>
          </cell>
          <cell r="AV118"/>
          <cell r="AW118" t="str">
            <v>BOLD</v>
          </cell>
          <cell r="AZ118"/>
          <cell r="BA118" t="str">
            <v>BOLD</v>
          </cell>
          <cell r="BD118"/>
          <cell r="BE118" t="str">
            <v>BOLD</v>
          </cell>
          <cell r="BH118"/>
          <cell r="BI118" t="str">
            <v>BOLD</v>
          </cell>
          <cell r="BL118"/>
          <cell r="BM118" t="str">
            <v>BOLD</v>
          </cell>
          <cell r="BP118"/>
          <cell r="BQ118" t="str">
            <v>BOLD</v>
          </cell>
          <cell r="BT118"/>
          <cell r="BU118" t="str">
            <v>BOLD</v>
          </cell>
          <cell r="BX118"/>
          <cell r="BY118" t="str">
            <v>BOLD</v>
          </cell>
          <cell r="CB118"/>
          <cell r="CC118" t="str">
            <v>BOLD</v>
          </cell>
          <cell r="CD118" t="str">
            <v xml:space="preserve">  End of year</v>
          </cell>
          <cell r="CE118" t="str">
            <v>BOE_END_YEAR_ASIA_PAC</v>
          </cell>
          <cell r="CF118"/>
          <cell r="CG118" t="str">
            <v>NO</v>
          </cell>
          <cell r="CJ118"/>
          <cell r="CK118" t="str">
            <v>BOLD</v>
          </cell>
          <cell r="CN118"/>
          <cell r="CO118" t="str">
            <v>BOLD</v>
          </cell>
          <cell r="CR118"/>
          <cell r="CS118" t="str">
            <v>BOLD</v>
          </cell>
          <cell r="CV118"/>
          <cell r="CW118" t="str">
            <v>BOLD</v>
          </cell>
          <cell r="CZ118"/>
          <cell r="DA118" t="str">
            <v>BOLD</v>
          </cell>
          <cell r="DD118"/>
          <cell r="DE118" t="str">
            <v>BOLD</v>
          </cell>
          <cell r="DH118"/>
          <cell r="DI118" t="str">
            <v>BOLD</v>
          </cell>
          <cell r="DL118"/>
          <cell r="DM118" t="str">
            <v>BOLD</v>
          </cell>
          <cell r="DP118"/>
          <cell r="DQ118" t="str">
            <v>BOLD</v>
          </cell>
          <cell r="DT118"/>
          <cell r="DU118" t="str">
            <v>BOLD</v>
          </cell>
          <cell r="DX118"/>
          <cell r="DY118" t="str">
            <v>BOLD</v>
          </cell>
          <cell r="EB118"/>
          <cell r="EC118" t="str">
            <v>BOLD</v>
          </cell>
          <cell r="EF118"/>
          <cell r="EG118" t="str">
            <v>BOLD</v>
          </cell>
          <cell r="EJ118"/>
          <cell r="EK118" t="str">
            <v>BOLD</v>
          </cell>
          <cell r="EN118"/>
          <cell r="EO118" t="str">
            <v>BOLD</v>
          </cell>
          <cell r="ER118"/>
          <cell r="ES118" t="str">
            <v>BOLD</v>
          </cell>
          <cell r="EV118"/>
          <cell r="EW118" t="str">
            <v>BOLD</v>
          </cell>
          <cell r="EZ118"/>
          <cell r="FA118" t="str">
            <v>BOLD</v>
          </cell>
          <cell r="FD118"/>
          <cell r="FE118" t="str">
            <v>BOLD</v>
          </cell>
          <cell r="FF118" t="str">
            <v>Digital Cable Subscriber Additions</v>
          </cell>
          <cell r="FG118" t="str">
            <v>DIGITAL_CABLE_SUBSCRIBER_ADDS</v>
          </cell>
          <cell r="FH118"/>
          <cell r="FI118" t="str">
            <v>BOLD</v>
          </cell>
          <cell r="FL118"/>
          <cell r="FM118" t="str">
            <v>BOLD</v>
          </cell>
          <cell r="FP118"/>
          <cell r="FQ118" t="str">
            <v>BOLD</v>
          </cell>
          <cell r="FT118"/>
          <cell r="FU118" t="str">
            <v>BOLD</v>
          </cell>
          <cell r="FX118"/>
          <cell r="FY118" t="str">
            <v>BOLD</v>
          </cell>
          <cell r="GB118"/>
          <cell r="GC118" t="str">
            <v>BOLD</v>
          </cell>
          <cell r="GF118"/>
          <cell r="GG118" t="str">
            <v>BOLD</v>
          </cell>
          <cell r="GJ118"/>
          <cell r="GK118" t="str">
            <v>BOLD</v>
          </cell>
          <cell r="GN118"/>
          <cell r="GO118" t="str">
            <v>BOLD</v>
          </cell>
          <cell r="GR118"/>
          <cell r="GS118" t="str">
            <v>BOLD</v>
          </cell>
          <cell r="GV118"/>
          <cell r="GW118" t="str">
            <v>BOLD</v>
          </cell>
          <cell r="GZ118"/>
          <cell r="HA118" t="str">
            <v>BOLD</v>
          </cell>
          <cell r="HD118"/>
          <cell r="HE118" t="str">
            <v>BOLD</v>
          </cell>
          <cell r="HH118"/>
          <cell r="HI118" t="str">
            <v>BOLD</v>
          </cell>
          <cell r="HL118"/>
          <cell r="HM118" t="str">
            <v>BOLD</v>
          </cell>
          <cell r="HP118"/>
          <cell r="HQ118" t="str">
            <v>BOLD</v>
          </cell>
          <cell r="HT118"/>
          <cell r="HU118" t="str">
            <v>BOLD</v>
          </cell>
          <cell r="HV118" t="str">
            <v>Earning Assets Growth</v>
          </cell>
          <cell r="HW118" t="str">
            <v>EARN_ASSET_GROWTH</v>
          </cell>
          <cell r="HX118"/>
          <cell r="HY118" t="str">
            <v>BOLD</v>
          </cell>
          <cell r="HZ118" t="str">
            <v>Statutory Capital</v>
          </cell>
          <cell r="IA118" t="str">
            <v>STATUTORY_CAPITAL</v>
          </cell>
          <cell r="IB118"/>
          <cell r="IC118" t="str">
            <v>BOLD</v>
          </cell>
          <cell r="IP118" t="str">
            <v>Heat Generation Capacity Thermal CHP (MW)</v>
          </cell>
          <cell r="IQ118" t="str">
            <v>HEAT_GEN_CAP_THERM_CHP_IN_MW</v>
          </cell>
          <cell r="IR118"/>
          <cell r="IS118" t="str">
            <v>BOLD</v>
          </cell>
          <cell r="IX118" t="str">
            <v>Total Average Value-At-Risk</v>
          </cell>
          <cell r="IY118" t="str">
            <v>IS_TOTAL_VALUE_AT_RISK</v>
          </cell>
          <cell r="IZ118"/>
          <cell r="JA118" t="str">
            <v>BOLD</v>
          </cell>
          <cell r="JB118" t="str">
            <v>Statutory Capital</v>
          </cell>
          <cell r="JC118" t="str">
            <v>STATUTORY_CAPITAL</v>
          </cell>
          <cell r="JD118"/>
          <cell r="JE118" t="str">
            <v>BOLD</v>
          </cell>
        </row>
        <row r="119">
          <cell r="A119">
            <v>118</v>
          </cell>
          <cell r="D119"/>
          <cell r="E119" t="str">
            <v>BOLD</v>
          </cell>
          <cell r="F119" t="str">
            <v>Card Seg Avg Mgd Total Assets</v>
          </cell>
          <cell r="G119" t="str">
            <v>CARD_SEG_AVG_MGD_TOTAL_ASSETS</v>
          </cell>
          <cell r="H119"/>
          <cell r="I119" t="str">
            <v>BOLD</v>
          </cell>
          <cell r="P119"/>
          <cell r="Q119" t="str">
            <v>BOLD</v>
          </cell>
          <cell r="T119"/>
          <cell r="U119" t="str">
            <v>BOLD</v>
          </cell>
          <cell r="X119"/>
          <cell r="Y119" t="str">
            <v>BOLD</v>
          </cell>
          <cell r="AB119"/>
          <cell r="AC119" t="str">
            <v>BOLD</v>
          </cell>
          <cell r="AF119"/>
          <cell r="AG119" t="str">
            <v>BOLD</v>
          </cell>
          <cell r="AJ119"/>
          <cell r="AK119" t="str">
            <v>BOLD</v>
          </cell>
          <cell r="AN119"/>
          <cell r="AO119" t="str">
            <v>BOLD</v>
          </cell>
          <cell r="AR119"/>
          <cell r="AS119" t="str">
            <v>BOLD</v>
          </cell>
          <cell r="AV119"/>
          <cell r="AW119" t="str">
            <v>BOLD</v>
          </cell>
          <cell r="AZ119"/>
          <cell r="BA119" t="str">
            <v>BOLD</v>
          </cell>
          <cell r="BD119"/>
          <cell r="BE119" t="str">
            <v>BOLD</v>
          </cell>
          <cell r="BH119"/>
          <cell r="BI119" t="str">
            <v>BOLD</v>
          </cell>
          <cell r="BL119"/>
          <cell r="BM119" t="str">
            <v>BOLD</v>
          </cell>
          <cell r="BP119"/>
          <cell r="BQ119" t="str">
            <v>BOLD</v>
          </cell>
          <cell r="BT119"/>
          <cell r="BU119" t="str">
            <v>BOLD</v>
          </cell>
          <cell r="BX119"/>
          <cell r="BY119" t="str">
            <v>BOLD</v>
          </cell>
          <cell r="CB119"/>
          <cell r="CC119" t="str">
            <v>BOLD</v>
          </cell>
          <cell r="CD119" t="str">
            <v xml:space="preserve">  Developed Reserves</v>
          </cell>
          <cell r="CE119" t="str">
            <v>BOE_DEVEL_RESV_ASIA_PAC</v>
          </cell>
          <cell r="CF119"/>
          <cell r="CG119" t="str">
            <v>NO</v>
          </cell>
          <cell r="CJ119"/>
          <cell r="CK119" t="str">
            <v>BOLD</v>
          </cell>
          <cell r="CN119"/>
          <cell r="CO119" t="str">
            <v>BOLD</v>
          </cell>
          <cell r="CR119"/>
          <cell r="CS119" t="str">
            <v>BOLD</v>
          </cell>
          <cell r="CV119"/>
          <cell r="CW119" t="str">
            <v>BOLD</v>
          </cell>
          <cell r="CZ119"/>
          <cell r="DA119" t="str">
            <v>BOLD</v>
          </cell>
          <cell r="DD119"/>
          <cell r="DE119" t="str">
            <v>BOLD</v>
          </cell>
          <cell r="DH119"/>
          <cell r="DI119" t="str">
            <v>BOLD</v>
          </cell>
          <cell r="DL119"/>
          <cell r="DM119" t="str">
            <v>BOLD</v>
          </cell>
          <cell r="DP119"/>
          <cell r="DQ119" t="str">
            <v>BOLD</v>
          </cell>
          <cell r="DT119"/>
          <cell r="DU119" t="str">
            <v>BOLD</v>
          </cell>
          <cell r="DX119"/>
          <cell r="DY119" t="str">
            <v>BOLD</v>
          </cell>
          <cell r="EB119"/>
          <cell r="EC119" t="str">
            <v>BOLD</v>
          </cell>
          <cell r="EF119"/>
          <cell r="EG119" t="str">
            <v>BOLD</v>
          </cell>
          <cell r="EJ119"/>
          <cell r="EK119" t="str">
            <v>BOLD</v>
          </cell>
          <cell r="EN119"/>
          <cell r="EO119" t="str">
            <v>BOLD</v>
          </cell>
          <cell r="ER119"/>
          <cell r="ES119" t="str">
            <v>BOLD</v>
          </cell>
          <cell r="EV119"/>
          <cell r="EW119" t="str">
            <v>BOLD</v>
          </cell>
          <cell r="EZ119"/>
          <cell r="FA119" t="str">
            <v>BOLD</v>
          </cell>
          <cell r="FD119"/>
          <cell r="FE119" t="str">
            <v>BOLD</v>
          </cell>
          <cell r="FF119" t="str">
            <v>Total Cable Monthly Churn</v>
          </cell>
          <cell r="FG119" t="str">
            <v>CHURN_RATE_CABLE_TV</v>
          </cell>
          <cell r="FH119"/>
          <cell r="FI119" t="str">
            <v>BOLD</v>
          </cell>
          <cell r="FL119"/>
          <cell r="FM119" t="str">
            <v>BOLD</v>
          </cell>
          <cell r="FP119"/>
          <cell r="FQ119" t="str">
            <v>BOLD</v>
          </cell>
          <cell r="FT119"/>
          <cell r="FU119" t="str">
            <v>BOLD</v>
          </cell>
          <cell r="FX119"/>
          <cell r="FY119" t="str">
            <v>BOLD</v>
          </cell>
          <cell r="GB119"/>
          <cell r="GC119" t="str">
            <v>BOLD</v>
          </cell>
          <cell r="GF119"/>
          <cell r="GG119" t="str">
            <v>BOLD</v>
          </cell>
          <cell r="GJ119"/>
          <cell r="GK119" t="str">
            <v>BOLD</v>
          </cell>
          <cell r="GN119"/>
          <cell r="GO119" t="str">
            <v>BOLD</v>
          </cell>
          <cell r="GR119"/>
          <cell r="GS119" t="str">
            <v>BOLD</v>
          </cell>
          <cell r="GV119"/>
          <cell r="GW119" t="str">
            <v>BOLD</v>
          </cell>
          <cell r="GZ119"/>
          <cell r="HA119" t="str">
            <v>BOLD</v>
          </cell>
          <cell r="HD119"/>
          <cell r="HE119" t="str">
            <v>BOLD</v>
          </cell>
          <cell r="HH119"/>
          <cell r="HI119" t="str">
            <v>BOLD</v>
          </cell>
          <cell r="HL119"/>
          <cell r="HM119" t="str">
            <v>BOLD</v>
          </cell>
          <cell r="HP119"/>
          <cell r="HQ119" t="str">
            <v>BOLD</v>
          </cell>
          <cell r="HT119"/>
          <cell r="HU119" t="str">
            <v>BOLD</v>
          </cell>
          <cell r="HV119" t="str">
            <v>Assets Growth</v>
          </cell>
          <cell r="HW119" t="str">
            <v>ASSET_GROWTH</v>
          </cell>
          <cell r="HX119"/>
          <cell r="HY119" t="str">
            <v>BOLD</v>
          </cell>
          <cell r="HZ119" t="str">
            <v>Statutory Net Income</v>
          </cell>
          <cell r="IA119" t="str">
            <v>STATUTORY_NET_INCOME</v>
          </cell>
          <cell r="IB119"/>
          <cell r="IC119" t="str">
            <v>BOLD</v>
          </cell>
          <cell r="IR119"/>
          <cell r="IS119" t="str">
            <v>BOLD</v>
          </cell>
          <cell r="IX119" t="str">
            <v>VAR Confidence Level</v>
          </cell>
          <cell r="IY119" t="str">
            <v>IS_VAR_CONFIDENCE_LEVEL</v>
          </cell>
          <cell r="IZ119"/>
          <cell r="JA119" t="str">
            <v>BOLD</v>
          </cell>
          <cell r="JB119" t="str">
            <v>Statutory Net Income</v>
          </cell>
          <cell r="JC119" t="str">
            <v>STATUTORY_NET_INCOME</v>
          </cell>
          <cell r="JD119"/>
          <cell r="JE119" t="str">
            <v>BOLD</v>
          </cell>
        </row>
        <row r="120">
          <cell r="A120">
            <v>119</v>
          </cell>
          <cell r="D120"/>
          <cell r="E120" t="str">
            <v>BOLD</v>
          </cell>
          <cell r="F120" t="str">
            <v>Managed Assets</v>
          </cell>
          <cell r="G120" t="str">
            <v>MANAGED_ASSETS</v>
          </cell>
          <cell r="H120"/>
          <cell r="I120" t="str">
            <v>BOLD</v>
          </cell>
          <cell r="P120"/>
          <cell r="Q120" t="str">
            <v>BOLD</v>
          </cell>
          <cell r="T120"/>
          <cell r="U120" t="str">
            <v>BOLD</v>
          </cell>
          <cell r="X120"/>
          <cell r="Y120" t="str">
            <v>BOLD</v>
          </cell>
          <cell r="AB120"/>
          <cell r="AC120" t="str">
            <v>BOLD</v>
          </cell>
          <cell r="AF120"/>
          <cell r="AG120" t="str">
            <v>BOLD</v>
          </cell>
          <cell r="AJ120"/>
          <cell r="AK120" t="str">
            <v>BOLD</v>
          </cell>
          <cell r="AN120"/>
          <cell r="AO120" t="str">
            <v>BOLD</v>
          </cell>
          <cell r="AR120"/>
          <cell r="AS120" t="str">
            <v>BOLD</v>
          </cell>
          <cell r="AV120"/>
          <cell r="AW120" t="str">
            <v>BOLD</v>
          </cell>
          <cell r="AZ120"/>
          <cell r="BA120" t="str">
            <v>BOLD</v>
          </cell>
          <cell r="BD120"/>
          <cell r="BE120" t="str">
            <v>BOLD</v>
          </cell>
          <cell r="BH120"/>
          <cell r="BI120" t="str">
            <v>BOLD</v>
          </cell>
          <cell r="BL120"/>
          <cell r="BM120" t="str">
            <v>BOLD</v>
          </cell>
          <cell r="BP120"/>
          <cell r="BQ120" t="str">
            <v>BOLD</v>
          </cell>
          <cell r="BT120"/>
          <cell r="BU120" t="str">
            <v>BOLD</v>
          </cell>
          <cell r="BX120"/>
          <cell r="BY120" t="str">
            <v>BOLD</v>
          </cell>
          <cell r="CB120"/>
          <cell r="CC120" t="str">
            <v>BOLD</v>
          </cell>
          <cell r="CD120" t="str">
            <v xml:space="preserve">  Reserves (Australia)</v>
          </cell>
          <cell r="CE120" t="str">
            <v>BOE_RESERVES_END_YR_AUSTRALIA</v>
          </cell>
          <cell r="CF120"/>
          <cell r="CG120" t="str">
            <v>NO</v>
          </cell>
          <cell r="CJ120"/>
          <cell r="CK120" t="str">
            <v>BOLD</v>
          </cell>
          <cell r="CN120"/>
          <cell r="CO120" t="str">
            <v>BOLD</v>
          </cell>
          <cell r="CR120"/>
          <cell r="CS120" t="str">
            <v>BOLD</v>
          </cell>
          <cell r="CV120"/>
          <cell r="CW120" t="str">
            <v>BOLD</v>
          </cell>
          <cell r="CZ120"/>
          <cell r="DA120" t="str">
            <v>BOLD</v>
          </cell>
          <cell r="DD120"/>
          <cell r="DE120" t="str">
            <v>BOLD</v>
          </cell>
          <cell r="DH120"/>
          <cell r="DI120" t="str">
            <v>BOLD</v>
          </cell>
          <cell r="DL120"/>
          <cell r="DM120" t="str">
            <v>BOLD</v>
          </cell>
          <cell r="DP120"/>
          <cell r="DQ120" t="str">
            <v>BOLD</v>
          </cell>
          <cell r="DT120"/>
          <cell r="DU120" t="str">
            <v>BOLD</v>
          </cell>
          <cell r="DX120"/>
          <cell r="DY120" t="str">
            <v>BOLD</v>
          </cell>
          <cell r="EB120"/>
          <cell r="EC120" t="str">
            <v>BOLD</v>
          </cell>
          <cell r="EF120"/>
          <cell r="EG120" t="str">
            <v>BOLD</v>
          </cell>
          <cell r="EJ120"/>
          <cell r="EK120" t="str">
            <v>BOLD</v>
          </cell>
          <cell r="EN120"/>
          <cell r="EO120" t="str">
            <v>BOLD</v>
          </cell>
          <cell r="ER120"/>
          <cell r="ES120" t="str">
            <v>BOLD</v>
          </cell>
          <cell r="EV120"/>
          <cell r="EW120" t="str">
            <v>BOLD</v>
          </cell>
          <cell r="EZ120"/>
          <cell r="FA120" t="str">
            <v>BOLD</v>
          </cell>
          <cell r="FD120"/>
          <cell r="FE120" t="str">
            <v>BOLD</v>
          </cell>
          <cell r="FF120" t="str">
            <v>Internet/Data Homes Passed</v>
          </cell>
          <cell r="FG120" t="str">
            <v>INTERNET_ACCESS_HOMES_PASSED</v>
          </cell>
          <cell r="FH120"/>
          <cell r="FI120" t="str">
            <v>BOLD</v>
          </cell>
          <cell r="FL120"/>
          <cell r="FM120" t="str">
            <v>BOLD</v>
          </cell>
          <cell r="FP120"/>
          <cell r="FQ120" t="str">
            <v>BOLD</v>
          </cell>
          <cell r="FT120"/>
          <cell r="FU120" t="str">
            <v>BOLD</v>
          </cell>
          <cell r="FX120"/>
          <cell r="FY120" t="str">
            <v>BOLD</v>
          </cell>
          <cell r="GB120"/>
          <cell r="GC120" t="str">
            <v>BOLD</v>
          </cell>
          <cell r="GF120"/>
          <cell r="GG120" t="str">
            <v>BOLD</v>
          </cell>
          <cell r="GJ120"/>
          <cell r="GK120" t="str">
            <v>BOLD</v>
          </cell>
          <cell r="GN120"/>
          <cell r="GO120" t="str">
            <v>BOLD</v>
          </cell>
          <cell r="GR120"/>
          <cell r="GS120" t="str">
            <v>BOLD</v>
          </cell>
          <cell r="GV120"/>
          <cell r="GW120" t="str">
            <v>BOLD</v>
          </cell>
          <cell r="GZ120"/>
          <cell r="HA120" t="str">
            <v>BOLD</v>
          </cell>
          <cell r="HD120"/>
          <cell r="HE120" t="str">
            <v>BOLD</v>
          </cell>
          <cell r="HH120"/>
          <cell r="HI120" t="str">
            <v>BOLD</v>
          </cell>
          <cell r="HL120"/>
          <cell r="HM120" t="str">
            <v>BOLD</v>
          </cell>
          <cell r="HP120"/>
          <cell r="HQ120" t="str">
            <v>BOLD</v>
          </cell>
          <cell r="HT120"/>
          <cell r="HU120" t="str">
            <v>BOLD</v>
          </cell>
          <cell r="HV120" t="str">
            <v>Net Worth Growth</v>
          </cell>
          <cell r="HW120" t="str">
            <v>NET_WORTH_GROWTH</v>
          </cell>
          <cell r="HX120"/>
          <cell r="HY120" t="str">
            <v>BOLD</v>
          </cell>
          <cell r="HZ120" t="str">
            <v>Tot life policy in force</v>
          </cell>
          <cell r="IA120" t="str">
            <v>IS_TOT_NET_LIFE_PLCY_IN_FORCE</v>
          </cell>
          <cell r="IB120"/>
          <cell r="IC120" t="str">
            <v>BOLD</v>
          </cell>
          <cell r="IP120" t="str">
            <v>Average Billed Electric</v>
          </cell>
          <cell r="IQ120" t="str">
            <v>LABEL</v>
          </cell>
          <cell r="IR120"/>
          <cell r="IS120" t="str">
            <v>BOLD</v>
          </cell>
          <cell r="IZ120"/>
          <cell r="JA120" t="str">
            <v>BOLD</v>
          </cell>
          <cell r="JB120" t="str">
            <v>Tot life policy in force</v>
          </cell>
          <cell r="JC120" t="str">
            <v>IS_TOT_NET_LIFE_PLCY_IN_FORCE</v>
          </cell>
          <cell r="JD120"/>
          <cell r="JE120" t="str">
            <v>BOLD</v>
          </cell>
        </row>
        <row r="121">
          <cell r="A121">
            <v>120</v>
          </cell>
          <cell r="D121"/>
          <cell r="E121" t="str">
            <v>BOLD</v>
          </cell>
          <cell r="F121" t="str">
            <v>Long Term Debt to Mgd Assets</v>
          </cell>
          <cell r="G121" t="str">
            <v>LONG_TERM_DEBT_TO_MANAGED_ASSETS</v>
          </cell>
          <cell r="H121"/>
          <cell r="I121" t="str">
            <v>BOLD</v>
          </cell>
          <cell r="P121"/>
          <cell r="Q121" t="str">
            <v>BOLD</v>
          </cell>
          <cell r="T121"/>
          <cell r="U121" t="str">
            <v>BOLD</v>
          </cell>
          <cell r="X121"/>
          <cell r="Y121" t="str">
            <v>BOLD</v>
          </cell>
          <cell r="AB121"/>
          <cell r="AC121" t="str">
            <v>BOLD</v>
          </cell>
          <cell r="AF121"/>
          <cell r="AG121" t="str">
            <v>BOLD</v>
          </cell>
          <cell r="AJ121"/>
          <cell r="AK121" t="str">
            <v>BOLD</v>
          </cell>
          <cell r="AN121"/>
          <cell r="AO121" t="str">
            <v>BOLD</v>
          </cell>
          <cell r="AR121"/>
          <cell r="AS121" t="str">
            <v>BOLD</v>
          </cell>
          <cell r="AV121"/>
          <cell r="AW121" t="str">
            <v>BOLD</v>
          </cell>
          <cell r="AZ121"/>
          <cell r="BA121" t="str">
            <v>BOLD</v>
          </cell>
          <cell r="BD121"/>
          <cell r="BE121" t="str">
            <v>BOLD</v>
          </cell>
          <cell r="BH121"/>
          <cell r="BI121" t="str">
            <v>BOLD</v>
          </cell>
          <cell r="BL121"/>
          <cell r="BM121" t="str">
            <v>BOLD</v>
          </cell>
          <cell r="BP121"/>
          <cell r="BQ121" t="str">
            <v>BOLD</v>
          </cell>
          <cell r="BT121"/>
          <cell r="BU121" t="str">
            <v>BOLD</v>
          </cell>
          <cell r="BX121"/>
          <cell r="BY121" t="str">
            <v>BOLD</v>
          </cell>
          <cell r="CB121"/>
          <cell r="CC121" t="str">
            <v>BOLD</v>
          </cell>
          <cell r="CF121"/>
          <cell r="CG121" t="str">
            <v>BOLD</v>
          </cell>
          <cell r="CJ121"/>
          <cell r="CK121" t="str">
            <v>BOLD</v>
          </cell>
          <cell r="CN121"/>
          <cell r="CO121" t="str">
            <v>BOLD</v>
          </cell>
          <cell r="CR121"/>
          <cell r="CS121" t="str">
            <v>BOLD</v>
          </cell>
          <cell r="CV121"/>
          <cell r="CW121" t="str">
            <v>BOLD</v>
          </cell>
          <cell r="CZ121"/>
          <cell r="DA121" t="str">
            <v>BOLD</v>
          </cell>
          <cell r="DD121"/>
          <cell r="DE121" t="str">
            <v>BOLD</v>
          </cell>
          <cell r="DH121"/>
          <cell r="DI121" t="str">
            <v>BOLD</v>
          </cell>
          <cell r="DL121"/>
          <cell r="DM121" t="str">
            <v>BOLD</v>
          </cell>
          <cell r="DP121"/>
          <cell r="DQ121" t="str">
            <v>BOLD</v>
          </cell>
          <cell r="DT121"/>
          <cell r="DU121" t="str">
            <v>BOLD</v>
          </cell>
          <cell r="DX121"/>
          <cell r="DY121" t="str">
            <v>BOLD</v>
          </cell>
          <cell r="EB121"/>
          <cell r="EC121" t="str">
            <v>BOLD</v>
          </cell>
          <cell r="EF121"/>
          <cell r="EG121" t="str">
            <v>BOLD</v>
          </cell>
          <cell r="EJ121"/>
          <cell r="EK121" t="str">
            <v>BOLD</v>
          </cell>
          <cell r="EN121"/>
          <cell r="EO121" t="str">
            <v>BOLD</v>
          </cell>
          <cell r="ER121"/>
          <cell r="ES121" t="str">
            <v>BOLD</v>
          </cell>
          <cell r="EV121"/>
          <cell r="EW121" t="str">
            <v>BOLD</v>
          </cell>
          <cell r="EZ121"/>
          <cell r="FA121" t="str">
            <v>BOLD</v>
          </cell>
          <cell r="FD121"/>
          <cell r="FE121" t="str">
            <v>BOLD</v>
          </cell>
          <cell r="FF121" t="str">
            <v>Internet/Data Penetration</v>
          </cell>
          <cell r="FG121" t="str">
            <v>INTERNET_PENETRATION</v>
          </cell>
          <cell r="FH121"/>
          <cell r="FI121" t="str">
            <v>BOLD</v>
          </cell>
          <cell r="FL121"/>
          <cell r="FM121" t="str">
            <v>BOLD</v>
          </cell>
          <cell r="FP121"/>
          <cell r="FQ121" t="str">
            <v>BOLD</v>
          </cell>
          <cell r="FT121"/>
          <cell r="FU121" t="str">
            <v>BOLD</v>
          </cell>
          <cell r="FX121"/>
          <cell r="FY121" t="str">
            <v>BOLD</v>
          </cell>
          <cell r="GB121"/>
          <cell r="GC121" t="str">
            <v>BOLD</v>
          </cell>
          <cell r="GF121"/>
          <cell r="GG121" t="str">
            <v>BOLD</v>
          </cell>
          <cell r="GJ121"/>
          <cell r="GK121" t="str">
            <v>BOLD</v>
          </cell>
          <cell r="GN121"/>
          <cell r="GO121" t="str">
            <v>BOLD</v>
          </cell>
          <cell r="GR121"/>
          <cell r="GS121" t="str">
            <v>BOLD</v>
          </cell>
          <cell r="GV121"/>
          <cell r="GW121" t="str">
            <v>BOLD</v>
          </cell>
          <cell r="GZ121"/>
          <cell r="HA121" t="str">
            <v>BOLD</v>
          </cell>
          <cell r="HD121"/>
          <cell r="HE121" t="str">
            <v>BOLD</v>
          </cell>
          <cell r="HH121"/>
          <cell r="HI121" t="str">
            <v>BOLD</v>
          </cell>
          <cell r="HL121"/>
          <cell r="HM121" t="str">
            <v>BOLD</v>
          </cell>
          <cell r="HP121"/>
          <cell r="HQ121" t="str">
            <v>BOLD</v>
          </cell>
          <cell r="HT121"/>
          <cell r="HU121" t="str">
            <v>BOLD</v>
          </cell>
          <cell r="HV121" t="str">
            <v>Net Interest Income Growth</v>
          </cell>
          <cell r="HW121" t="str">
            <v>NET_INT_INC_GROWTH</v>
          </cell>
          <cell r="HX121"/>
          <cell r="HY121" t="str">
            <v>BOLD</v>
          </cell>
          <cell r="HZ121" t="str">
            <v>Assets Under Mgmt</v>
          </cell>
          <cell r="IA121" t="str">
            <v>BS_ASSETS_UNDER_MGMT</v>
          </cell>
          <cell r="IB121"/>
          <cell r="IC121" t="str">
            <v>BOLD</v>
          </cell>
          <cell r="IP121" t="str">
            <v>Residential</v>
          </cell>
          <cell r="IQ121" t="str">
            <v>AVG_BILL_ELECTRIC_RES_REVENUES</v>
          </cell>
          <cell r="IR121"/>
          <cell r="IS121" t="str">
            <v>BOLD</v>
          </cell>
          <cell r="IX121" t="str">
            <v>Yield/Cost</v>
          </cell>
          <cell r="IY121" t="str">
            <v>LABEL</v>
          </cell>
          <cell r="IZ121"/>
          <cell r="JA121" t="str">
            <v>BOLD</v>
          </cell>
          <cell r="JB121" t="str">
            <v>Assets Under Mgmt</v>
          </cell>
          <cell r="JC121" t="str">
            <v>BS_ASSETS_UNDER_MGMT</v>
          </cell>
          <cell r="JD121"/>
          <cell r="JE121" t="str">
            <v>BOLD</v>
          </cell>
        </row>
        <row r="122">
          <cell r="A122">
            <v>121</v>
          </cell>
          <cell r="D122"/>
          <cell r="E122" t="str">
            <v>BOLD</v>
          </cell>
          <cell r="F122" t="str">
            <v>Avg Mgd Total Assets Growth</v>
          </cell>
          <cell r="G122" t="str">
            <v>AVG_MANAGED_TOTAL_ASSETS_GROWTH</v>
          </cell>
          <cell r="H122"/>
          <cell r="I122" t="str">
            <v>BOLD</v>
          </cell>
          <cell r="P122"/>
          <cell r="Q122" t="str">
            <v>BOLD</v>
          </cell>
          <cell r="T122"/>
          <cell r="U122" t="str">
            <v>BOLD</v>
          </cell>
          <cell r="X122"/>
          <cell r="Y122" t="str">
            <v>BOLD</v>
          </cell>
          <cell r="AB122"/>
          <cell r="AC122" t="str">
            <v>BOLD</v>
          </cell>
          <cell r="AF122"/>
          <cell r="AG122" t="str">
            <v>BOLD</v>
          </cell>
          <cell r="AJ122"/>
          <cell r="AK122" t="str">
            <v>BOLD</v>
          </cell>
          <cell r="AN122"/>
          <cell r="AO122" t="str">
            <v>BOLD</v>
          </cell>
          <cell r="AR122"/>
          <cell r="AS122" t="str">
            <v>BOLD</v>
          </cell>
          <cell r="AV122"/>
          <cell r="AW122" t="str">
            <v>BOLD</v>
          </cell>
          <cell r="AZ122"/>
          <cell r="BA122" t="str">
            <v>BOLD</v>
          </cell>
          <cell r="BD122"/>
          <cell r="BE122" t="str">
            <v>BOLD</v>
          </cell>
          <cell r="BH122"/>
          <cell r="BI122" t="str">
            <v>BOLD</v>
          </cell>
          <cell r="BL122"/>
          <cell r="BM122" t="str">
            <v>BOLD</v>
          </cell>
          <cell r="BP122"/>
          <cell r="BQ122" t="str">
            <v>BOLD</v>
          </cell>
          <cell r="BT122"/>
          <cell r="BU122" t="str">
            <v>BOLD</v>
          </cell>
          <cell r="BX122"/>
          <cell r="BY122" t="str">
            <v>BOLD</v>
          </cell>
          <cell r="CB122"/>
          <cell r="CC122" t="str">
            <v>BOLD</v>
          </cell>
          <cell r="CF122"/>
          <cell r="CG122" t="str">
            <v>BOLD</v>
          </cell>
          <cell r="CJ122"/>
          <cell r="CK122" t="str">
            <v>BOLD</v>
          </cell>
          <cell r="CN122"/>
          <cell r="CO122" t="str">
            <v>BOLD</v>
          </cell>
          <cell r="CR122"/>
          <cell r="CS122" t="str">
            <v>BOLD</v>
          </cell>
          <cell r="CV122"/>
          <cell r="CW122" t="str">
            <v>BOLD</v>
          </cell>
          <cell r="CZ122"/>
          <cell r="DA122" t="str">
            <v>BOLD</v>
          </cell>
          <cell r="DD122"/>
          <cell r="DE122" t="str">
            <v>BOLD</v>
          </cell>
          <cell r="DH122"/>
          <cell r="DI122" t="str">
            <v>BOLD</v>
          </cell>
          <cell r="DL122"/>
          <cell r="DM122" t="str">
            <v>BOLD</v>
          </cell>
          <cell r="DP122"/>
          <cell r="DQ122" t="str">
            <v>BOLD</v>
          </cell>
          <cell r="DT122"/>
          <cell r="DU122" t="str">
            <v>BOLD</v>
          </cell>
          <cell r="DX122"/>
          <cell r="DY122" t="str">
            <v>BOLD</v>
          </cell>
          <cell r="EB122"/>
          <cell r="EC122" t="str">
            <v>BOLD</v>
          </cell>
          <cell r="EF122"/>
          <cell r="EG122" t="str">
            <v>BOLD</v>
          </cell>
          <cell r="EJ122"/>
          <cell r="EK122" t="str">
            <v>BOLD</v>
          </cell>
          <cell r="EN122"/>
          <cell r="EO122" t="str">
            <v>BOLD</v>
          </cell>
          <cell r="ER122"/>
          <cell r="ES122" t="str">
            <v>BOLD</v>
          </cell>
          <cell r="EV122"/>
          <cell r="EW122" t="str">
            <v>BOLD</v>
          </cell>
          <cell r="EZ122"/>
          <cell r="FA122" t="str">
            <v>BOLD</v>
          </cell>
          <cell r="FD122"/>
          <cell r="FE122" t="str">
            <v>BOLD</v>
          </cell>
          <cell r="FF122" t="str">
            <v>Internet/Data Subscriber Additions</v>
          </cell>
          <cell r="FG122" t="str">
            <v>INTERNET_DATA_SUBSCRIBER_ADDS</v>
          </cell>
          <cell r="FH122"/>
          <cell r="FI122" t="str">
            <v>BOLD</v>
          </cell>
          <cell r="FL122"/>
          <cell r="FM122" t="str">
            <v>BOLD</v>
          </cell>
          <cell r="FP122"/>
          <cell r="FQ122" t="str">
            <v>BOLD</v>
          </cell>
          <cell r="FT122"/>
          <cell r="FU122" t="str">
            <v>BOLD</v>
          </cell>
          <cell r="FX122"/>
          <cell r="FY122" t="str">
            <v>BOLD</v>
          </cell>
          <cell r="GB122"/>
          <cell r="GC122" t="str">
            <v>BOLD</v>
          </cell>
          <cell r="GF122"/>
          <cell r="GG122" t="str">
            <v>BOLD</v>
          </cell>
          <cell r="GJ122"/>
          <cell r="GK122" t="str">
            <v>BOLD</v>
          </cell>
          <cell r="GN122"/>
          <cell r="GO122" t="str">
            <v>BOLD</v>
          </cell>
          <cell r="GR122"/>
          <cell r="GS122" t="str">
            <v>BOLD</v>
          </cell>
          <cell r="GV122"/>
          <cell r="GW122" t="str">
            <v>BOLD</v>
          </cell>
          <cell r="GZ122"/>
          <cell r="HA122" t="str">
            <v>BOLD</v>
          </cell>
          <cell r="HD122"/>
          <cell r="HE122" t="str">
            <v>BOLD</v>
          </cell>
          <cell r="HH122"/>
          <cell r="HI122" t="str">
            <v>BOLD</v>
          </cell>
          <cell r="HL122"/>
          <cell r="HM122" t="str">
            <v>BOLD</v>
          </cell>
          <cell r="HP122"/>
          <cell r="HQ122" t="str">
            <v>BOLD</v>
          </cell>
          <cell r="HT122"/>
          <cell r="HU122" t="str">
            <v>BOLD</v>
          </cell>
          <cell r="HV122" t="str">
            <v>Net Inc Growth</v>
          </cell>
          <cell r="HW122" t="str">
            <v>NET_INC_GROWTH</v>
          </cell>
          <cell r="HX122"/>
          <cell r="HY122" t="str">
            <v>BOLD</v>
          </cell>
          <cell r="IB122"/>
          <cell r="IC122" t="str">
            <v>BOLD</v>
          </cell>
          <cell r="IP122" t="str">
            <v>Commercial</v>
          </cell>
          <cell r="IQ122" t="str">
            <v>AVG_BILL_ELECTRIC_COML_REVENUES</v>
          </cell>
          <cell r="IR122"/>
          <cell r="IS122" t="str">
            <v>BOLD</v>
          </cell>
          <cell r="IX122" t="str">
            <v>Yield: Total Loans</v>
          </cell>
          <cell r="IY122" t="str">
            <v>BS_AVERAGE_TOTAL_LOAN_YIELD</v>
          </cell>
          <cell r="IZ122"/>
          <cell r="JA122" t="str">
            <v>BOLD</v>
          </cell>
          <cell r="JD122"/>
          <cell r="JE122" t="str">
            <v>BOLD</v>
          </cell>
        </row>
        <row r="123">
          <cell r="A123">
            <v>122</v>
          </cell>
          <cell r="D123"/>
          <cell r="E123" t="str">
            <v>BOLD</v>
          </cell>
          <cell r="F123" t="str">
            <v>Card Seg Allocated Equity</v>
          </cell>
          <cell r="G123" t="str">
            <v>CARD_SEGMENT_ALLOCATED_EQUITY</v>
          </cell>
          <cell r="H123"/>
          <cell r="I123" t="str">
            <v>BOLD</v>
          </cell>
          <cell r="P123"/>
          <cell r="Q123" t="str">
            <v>BOLD</v>
          </cell>
          <cell r="T123"/>
          <cell r="U123" t="str">
            <v>BOLD</v>
          </cell>
          <cell r="X123"/>
          <cell r="Y123" t="str">
            <v>BOLD</v>
          </cell>
          <cell r="AB123"/>
          <cell r="AC123" t="str">
            <v>BOLD</v>
          </cell>
          <cell r="AF123"/>
          <cell r="AG123" t="str">
            <v>BOLD</v>
          </cell>
          <cell r="AJ123"/>
          <cell r="AK123" t="str">
            <v>BOLD</v>
          </cell>
          <cell r="AN123"/>
          <cell r="AO123" t="str">
            <v>BOLD</v>
          </cell>
          <cell r="AR123"/>
          <cell r="AS123" t="str">
            <v>BOLD</v>
          </cell>
          <cell r="AV123"/>
          <cell r="AW123" t="str">
            <v>BOLD</v>
          </cell>
          <cell r="AZ123"/>
          <cell r="BA123" t="str">
            <v>BOLD</v>
          </cell>
          <cell r="BD123"/>
          <cell r="BE123" t="str">
            <v>BOLD</v>
          </cell>
          <cell r="BH123"/>
          <cell r="BI123" t="str">
            <v>BOLD</v>
          </cell>
          <cell r="BL123"/>
          <cell r="BM123" t="str">
            <v>BOLD</v>
          </cell>
          <cell r="BP123"/>
          <cell r="BQ123" t="str">
            <v>BOLD</v>
          </cell>
          <cell r="BT123"/>
          <cell r="BU123" t="str">
            <v>BOLD</v>
          </cell>
          <cell r="BX123"/>
          <cell r="BY123" t="str">
            <v>BOLD</v>
          </cell>
          <cell r="CB123"/>
          <cell r="CC123" t="str">
            <v>BOLD</v>
          </cell>
          <cell r="CF123"/>
          <cell r="CG123" t="str">
            <v>BOLD</v>
          </cell>
          <cell r="CJ123"/>
          <cell r="CK123" t="str">
            <v>BOLD</v>
          </cell>
          <cell r="CN123"/>
          <cell r="CO123" t="str">
            <v>BOLD</v>
          </cell>
          <cell r="CR123"/>
          <cell r="CS123" t="str">
            <v>BOLD</v>
          </cell>
          <cell r="CV123"/>
          <cell r="CW123" t="str">
            <v>BOLD</v>
          </cell>
          <cell r="CZ123"/>
          <cell r="DA123" t="str">
            <v>BOLD</v>
          </cell>
          <cell r="DD123"/>
          <cell r="DE123" t="str">
            <v>BOLD</v>
          </cell>
          <cell r="DH123"/>
          <cell r="DI123" t="str">
            <v>BOLD</v>
          </cell>
          <cell r="DL123"/>
          <cell r="DM123" t="str">
            <v>BOLD</v>
          </cell>
          <cell r="DP123"/>
          <cell r="DQ123" t="str">
            <v>BOLD</v>
          </cell>
          <cell r="DT123"/>
          <cell r="DU123" t="str">
            <v>BOLD</v>
          </cell>
          <cell r="DX123"/>
          <cell r="DY123" t="str">
            <v>BOLD</v>
          </cell>
          <cell r="EB123"/>
          <cell r="EC123" t="str">
            <v>BOLD</v>
          </cell>
          <cell r="EF123"/>
          <cell r="EG123" t="str">
            <v>BOLD</v>
          </cell>
          <cell r="EJ123"/>
          <cell r="EK123" t="str">
            <v>BOLD</v>
          </cell>
          <cell r="EN123"/>
          <cell r="EO123" t="str">
            <v>BOLD</v>
          </cell>
          <cell r="ER123"/>
          <cell r="ES123" t="str">
            <v>BOLD</v>
          </cell>
          <cell r="EV123"/>
          <cell r="EW123" t="str">
            <v>BOLD</v>
          </cell>
          <cell r="EZ123"/>
          <cell r="FA123" t="str">
            <v>BOLD</v>
          </cell>
          <cell r="FD123"/>
          <cell r="FE123" t="str">
            <v>BOLD</v>
          </cell>
          <cell r="FF123" t="str">
            <v>Internet/Data ARPU</v>
          </cell>
          <cell r="FG123" t="str">
            <v>INTERNET_DATA_ARPU</v>
          </cell>
          <cell r="FH123"/>
          <cell r="FI123" t="str">
            <v>BOLD</v>
          </cell>
          <cell r="FL123"/>
          <cell r="FM123" t="str">
            <v>BOLD</v>
          </cell>
          <cell r="FP123"/>
          <cell r="FQ123" t="str">
            <v>BOLD</v>
          </cell>
          <cell r="FT123"/>
          <cell r="FU123" t="str">
            <v>BOLD</v>
          </cell>
          <cell r="FX123"/>
          <cell r="FY123" t="str">
            <v>BOLD</v>
          </cell>
          <cell r="GB123"/>
          <cell r="GC123" t="str">
            <v>BOLD</v>
          </cell>
          <cell r="GF123"/>
          <cell r="GG123" t="str">
            <v>BOLD</v>
          </cell>
          <cell r="GJ123"/>
          <cell r="GK123" t="str">
            <v>BOLD</v>
          </cell>
          <cell r="GN123"/>
          <cell r="GO123" t="str">
            <v>BOLD</v>
          </cell>
          <cell r="GR123"/>
          <cell r="GS123" t="str">
            <v>BOLD</v>
          </cell>
          <cell r="GV123"/>
          <cell r="GW123" t="str">
            <v>BOLD</v>
          </cell>
          <cell r="GZ123"/>
          <cell r="HA123" t="str">
            <v>BOLD</v>
          </cell>
          <cell r="HD123"/>
          <cell r="HE123" t="str">
            <v>BOLD</v>
          </cell>
          <cell r="HH123"/>
          <cell r="HI123" t="str">
            <v>BOLD</v>
          </cell>
          <cell r="HL123"/>
          <cell r="HM123" t="str">
            <v>BOLD</v>
          </cell>
          <cell r="HP123"/>
          <cell r="HQ123" t="str">
            <v>BOLD</v>
          </cell>
          <cell r="HT123"/>
          <cell r="HU123" t="str">
            <v>BOLD</v>
          </cell>
          <cell r="HV123" t="str">
            <v>Dividend Payout Ratio</v>
          </cell>
          <cell r="HW123" t="str">
            <v>DVD_PAYOUT_RATIO</v>
          </cell>
          <cell r="HX123"/>
          <cell r="HY123" t="str">
            <v>BOLD</v>
          </cell>
          <cell r="HZ123" t="str">
            <v>Growth</v>
          </cell>
          <cell r="IA123" t="str">
            <v>LABEL</v>
          </cell>
          <cell r="IB123"/>
          <cell r="IC123" t="str">
            <v>BOLD</v>
          </cell>
          <cell r="IP123" t="str">
            <v>Industrial</v>
          </cell>
          <cell r="IQ123" t="str">
            <v>AVG_BILL_ELECTRIC_IND_REVENUES</v>
          </cell>
          <cell r="IR123"/>
          <cell r="IS123" t="str">
            <v>BOLD</v>
          </cell>
          <cell r="IX123" t="str">
            <v>Yield: Securities</v>
          </cell>
          <cell r="IY123" t="str">
            <v>BS_AVG_INVEST_SECURITIES_YIELD</v>
          </cell>
          <cell r="IZ123"/>
          <cell r="JA123" t="str">
            <v>BOLD</v>
          </cell>
          <cell r="JB123" t="str">
            <v>Growth</v>
          </cell>
          <cell r="JC123" t="str">
            <v>LABEL</v>
          </cell>
          <cell r="JD123"/>
          <cell r="JE123" t="str">
            <v>BOLD</v>
          </cell>
        </row>
        <row r="124">
          <cell r="A124">
            <v>123</v>
          </cell>
          <cell r="D124"/>
          <cell r="E124" t="str">
            <v>BOLD</v>
          </cell>
          <cell r="F124" t="str">
            <v>Card Seg Avg Allocated Equity</v>
          </cell>
          <cell r="G124" t="str">
            <v>CARD_SEG_AVG_ALLOCATED_EQUITY</v>
          </cell>
          <cell r="H124"/>
          <cell r="I124" t="str">
            <v>BOLD</v>
          </cell>
          <cell r="P124"/>
          <cell r="Q124" t="str">
            <v>BOLD</v>
          </cell>
          <cell r="T124"/>
          <cell r="U124" t="str">
            <v>BOLD</v>
          </cell>
          <cell r="X124"/>
          <cell r="Y124" t="str">
            <v>BOLD</v>
          </cell>
          <cell r="AB124"/>
          <cell r="AC124" t="str">
            <v>BOLD</v>
          </cell>
          <cell r="AF124"/>
          <cell r="AG124" t="str">
            <v>BOLD</v>
          </cell>
          <cell r="AJ124"/>
          <cell r="AK124" t="str">
            <v>BOLD</v>
          </cell>
          <cell r="AN124"/>
          <cell r="AO124" t="str">
            <v>BOLD</v>
          </cell>
          <cell r="AR124"/>
          <cell r="AS124" t="str">
            <v>BOLD</v>
          </cell>
          <cell r="AV124"/>
          <cell r="AW124" t="str">
            <v>BOLD</v>
          </cell>
          <cell r="AZ124"/>
          <cell r="BA124" t="str">
            <v>BOLD</v>
          </cell>
          <cell r="BD124"/>
          <cell r="BE124" t="str">
            <v>BOLD</v>
          </cell>
          <cell r="BH124"/>
          <cell r="BI124" t="str">
            <v>BOLD</v>
          </cell>
          <cell r="BL124"/>
          <cell r="BM124" t="str">
            <v>BOLD</v>
          </cell>
          <cell r="BP124"/>
          <cell r="BQ124" t="str">
            <v>BOLD</v>
          </cell>
          <cell r="BT124"/>
          <cell r="BU124" t="str">
            <v>BOLD</v>
          </cell>
          <cell r="BX124"/>
          <cell r="BY124" t="str">
            <v>BOLD</v>
          </cell>
          <cell r="CB124"/>
          <cell r="CC124" t="str">
            <v>BOLD</v>
          </cell>
          <cell r="CF124"/>
          <cell r="CG124" t="str">
            <v>BOLD</v>
          </cell>
          <cell r="CJ124"/>
          <cell r="CK124" t="str">
            <v>BOLD</v>
          </cell>
          <cell r="CN124"/>
          <cell r="CO124" t="str">
            <v>BOLD</v>
          </cell>
          <cell r="CR124"/>
          <cell r="CS124" t="str">
            <v>BOLD</v>
          </cell>
          <cell r="CV124"/>
          <cell r="CW124" t="str">
            <v>BOLD</v>
          </cell>
          <cell r="CZ124"/>
          <cell r="DA124" t="str">
            <v>BOLD</v>
          </cell>
          <cell r="DD124"/>
          <cell r="DE124" t="str">
            <v>BOLD</v>
          </cell>
          <cell r="DH124"/>
          <cell r="DI124" t="str">
            <v>BOLD</v>
          </cell>
          <cell r="DL124"/>
          <cell r="DM124" t="str">
            <v>BOLD</v>
          </cell>
          <cell r="DP124"/>
          <cell r="DQ124" t="str">
            <v>BOLD</v>
          </cell>
          <cell r="DT124"/>
          <cell r="DU124" t="str">
            <v>BOLD</v>
          </cell>
          <cell r="DX124"/>
          <cell r="DY124" t="str">
            <v>BOLD</v>
          </cell>
          <cell r="EB124"/>
          <cell r="EC124" t="str">
            <v>BOLD</v>
          </cell>
          <cell r="EF124"/>
          <cell r="EG124" t="str">
            <v>BOLD</v>
          </cell>
          <cell r="EJ124"/>
          <cell r="EK124" t="str">
            <v>BOLD</v>
          </cell>
          <cell r="EN124"/>
          <cell r="EO124" t="str">
            <v>BOLD</v>
          </cell>
          <cell r="ER124"/>
          <cell r="ES124" t="str">
            <v>BOLD</v>
          </cell>
          <cell r="EV124"/>
          <cell r="EW124" t="str">
            <v>BOLD</v>
          </cell>
          <cell r="EZ124"/>
          <cell r="FA124" t="str">
            <v>BOLD</v>
          </cell>
          <cell r="FD124"/>
          <cell r="FE124" t="str">
            <v>BOLD</v>
          </cell>
          <cell r="FH124"/>
          <cell r="FI124" t="str">
            <v>BOLD</v>
          </cell>
          <cell r="FL124"/>
          <cell r="FM124" t="str">
            <v>BOLD</v>
          </cell>
          <cell r="FP124"/>
          <cell r="FQ124" t="str">
            <v>BOLD</v>
          </cell>
          <cell r="FT124"/>
          <cell r="FU124" t="str">
            <v>BOLD</v>
          </cell>
          <cell r="FX124"/>
          <cell r="FY124" t="str">
            <v>BOLD</v>
          </cell>
          <cell r="GB124"/>
          <cell r="GC124" t="str">
            <v>BOLD</v>
          </cell>
          <cell r="GF124"/>
          <cell r="GG124" t="str">
            <v>BOLD</v>
          </cell>
          <cell r="GJ124"/>
          <cell r="GK124" t="str">
            <v>BOLD</v>
          </cell>
          <cell r="GN124"/>
          <cell r="GO124" t="str">
            <v>BOLD</v>
          </cell>
          <cell r="GR124"/>
          <cell r="GS124" t="str">
            <v>BOLD</v>
          </cell>
          <cell r="GV124"/>
          <cell r="GW124" t="str">
            <v>BOLD</v>
          </cell>
          <cell r="GZ124"/>
          <cell r="HA124" t="str">
            <v>BOLD</v>
          </cell>
          <cell r="HD124"/>
          <cell r="HE124" t="str">
            <v>BOLD</v>
          </cell>
          <cell r="HH124"/>
          <cell r="HI124" t="str">
            <v>BOLD</v>
          </cell>
          <cell r="HL124"/>
          <cell r="HM124" t="str">
            <v>BOLD</v>
          </cell>
          <cell r="HP124"/>
          <cell r="HQ124" t="str">
            <v>BOLD</v>
          </cell>
          <cell r="HT124"/>
          <cell r="HU124" t="str">
            <v>BOLD</v>
          </cell>
          <cell r="HV124" t="str">
            <v>Net Revenue Growth</v>
          </cell>
          <cell r="HW124" t="str">
            <v>NET_REV_GROWTH</v>
          </cell>
          <cell r="HX124"/>
          <cell r="HY124" t="str">
            <v>BOLD</v>
          </cell>
          <cell r="HZ124" t="str">
            <v>Investment Income - 1 Yr Growth</v>
          </cell>
          <cell r="IA124" t="str">
            <v>INVEST_INC_GROWTH</v>
          </cell>
          <cell r="IB124"/>
          <cell r="IC124" t="str">
            <v>BOLD</v>
          </cell>
          <cell r="IP124" t="str">
            <v>Other</v>
          </cell>
          <cell r="IQ124" t="str">
            <v>AVG_BILL_ELECTRIC_OTHER_REVENUES</v>
          </cell>
          <cell r="IR124"/>
          <cell r="IS124" t="str">
            <v>BOLD</v>
          </cell>
          <cell r="IX124" t="str">
            <v>Yield: Other Interest Earnings Assets</v>
          </cell>
          <cell r="IY124" t="str">
            <v>AVG_OTHER_INT_EARN_LIABS_RATE</v>
          </cell>
          <cell r="IZ124"/>
          <cell r="JA124" t="str">
            <v>BOLD</v>
          </cell>
          <cell r="JB124" t="str">
            <v>Investment Income - 1 Yr Growth</v>
          </cell>
          <cell r="JC124" t="str">
            <v>INVEST_INC_GROWTH</v>
          </cell>
          <cell r="JD124"/>
          <cell r="JE124" t="str">
            <v>BOLD</v>
          </cell>
        </row>
        <row r="125">
          <cell r="A125">
            <v>124</v>
          </cell>
          <cell r="D125"/>
          <cell r="E125" t="str">
            <v>BOLD</v>
          </cell>
          <cell r="F125" t="str">
            <v>Card Seg Eq to Mgd Tot Assets</v>
          </cell>
          <cell r="G125" t="str">
            <v>CARD_SEG_ALLCTD_EQ_TO_SMTA</v>
          </cell>
          <cell r="H125"/>
          <cell r="I125" t="str">
            <v>BOLD</v>
          </cell>
          <cell r="P125"/>
          <cell r="Q125" t="str">
            <v>BOLD</v>
          </cell>
          <cell r="T125"/>
          <cell r="U125" t="str">
            <v>BOLD</v>
          </cell>
          <cell r="X125"/>
          <cell r="Y125" t="str">
            <v>BOLD</v>
          </cell>
          <cell r="AB125"/>
          <cell r="AC125" t="str">
            <v>BOLD</v>
          </cell>
          <cell r="AF125"/>
          <cell r="AG125" t="str">
            <v>BOLD</v>
          </cell>
          <cell r="AJ125"/>
          <cell r="AK125" t="str">
            <v>BOLD</v>
          </cell>
          <cell r="AN125"/>
          <cell r="AO125" t="str">
            <v>BOLD</v>
          </cell>
          <cell r="AR125"/>
          <cell r="AS125" t="str">
            <v>BOLD</v>
          </cell>
          <cell r="AV125"/>
          <cell r="AW125" t="str">
            <v>BOLD</v>
          </cell>
          <cell r="AZ125"/>
          <cell r="BA125" t="str">
            <v>BOLD</v>
          </cell>
          <cell r="BD125"/>
          <cell r="BE125" t="str">
            <v>BOLD</v>
          </cell>
          <cell r="BH125"/>
          <cell r="BI125" t="str">
            <v>BOLD</v>
          </cell>
          <cell r="BL125"/>
          <cell r="BM125" t="str">
            <v>BOLD</v>
          </cell>
          <cell r="BP125"/>
          <cell r="BQ125" t="str">
            <v>BOLD</v>
          </cell>
          <cell r="BT125"/>
          <cell r="BU125" t="str">
            <v>BOLD</v>
          </cell>
          <cell r="BX125"/>
          <cell r="BY125" t="str">
            <v>BOLD</v>
          </cell>
          <cell r="CB125"/>
          <cell r="CC125" t="str">
            <v>BOLD</v>
          </cell>
          <cell r="CF125"/>
          <cell r="CG125" t="str">
            <v>BOLD</v>
          </cell>
          <cell r="CJ125"/>
          <cell r="CK125" t="str">
            <v>BOLD</v>
          </cell>
          <cell r="CN125"/>
          <cell r="CO125" t="str">
            <v>BOLD</v>
          </cell>
          <cell r="CR125"/>
          <cell r="CS125" t="str">
            <v>BOLD</v>
          </cell>
          <cell r="CV125"/>
          <cell r="CW125" t="str">
            <v>BOLD</v>
          </cell>
          <cell r="CZ125"/>
          <cell r="DA125" t="str">
            <v>BOLD</v>
          </cell>
          <cell r="DD125"/>
          <cell r="DE125" t="str">
            <v>BOLD</v>
          </cell>
          <cell r="DH125"/>
          <cell r="DI125" t="str">
            <v>BOLD</v>
          </cell>
          <cell r="DL125"/>
          <cell r="DM125" t="str">
            <v>BOLD</v>
          </cell>
          <cell r="DP125"/>
          <cell r="DQ125" t="str">
            <v>BOLD</v>
          </cell>
          <cell r="DT125"/>
          <cell r="DU125" t="str">
            <v>BOLD</v>
          </cell>
          <cell r="DX125"/>
          <cell r="DY125" t="str">
            <v>BOLD</v>
          </cell>
          <cell r="EB125"/>
          <cell r="EC125" t="str">
            <v>BOLD</v>
          </cell>
          <cell r="EF125"/>
          <cell r="EG125" t="str">
            <v>BOLD</v>
          </cell>
          <cell r="EJ125"/>
          <cell r="EK125" t="str">
            <v>BOLD</v>
          </cell>
          <cell r="EN125"/>
          <cell r="EO125" t="str">
            <v>BOLD</v>
          </cell>
          <cell r="ER125"/>
          <cell r="ES125" t="str">
            <v>BOLD</v>
          </cell>
          <cell r="EV125"/>
          <cell r="EW125" t="str">
            <v>BOLD</v>
          </cell>
          <cell r="EZ125"/>
          <cell r="FA125" t="str">
            <v>BOLD</v>
          </cell>
          <cell r="FD125"/>
          <cell r="FE125" t="str">
            <v>BOLD</v>
          </cell>
          <cell r="FH125"/>
          <cell r="FI125" t="str">
            <v>BOLD</v>
          </cell>
          <cell r="FL125"/>
          <cell r="FM125" t="str">
            <v>BOLD</v>
          </cell>
          <cell r="FP125"/>
          <cell r="FQ125" t="str">
            <v>BOLD</v>
          </cell>
          <cell r="FT125"/>
          <cell r="FU125" t="str">
            <v>BOLD</v>
          </cell>
          <cell r="FX125"/>
          <cell r="FY125" t="str">
            <v>BOLD</v>
          </cell>
          <cell r="GB125"/>
          <cell r="GC125" t="str">
            <v>BOLD</v>
          </cell>
          <cell r="GF125"/>
          <cell r="GG125" t="str">
            <v>BOLD</v>
          </cell>
          <cell r="GJ125"/>
          <cell r="GK125" t="str">
            <v>BOLD</v>
          </cell>
          <cell r="GN125"/>
          <cell r="GO125" t="str">
            <v>BOLD</v>
          </cell>
          <cell r="GR125"/>
          <cell r="GS125" t="str">
            <v>BOLD</v>
          </cell>
          <cell r="GV125"/>
          <cell r="GW125" t="str">
            <v>BOLD</v>
          </cell>
          <cell r="GZ125"/>
          <cell r="HA125" t="str">
            <v>BOLD</v>
          </cell>
          <cell r="HD125"/>
          <cell r="HE125" t="str">
            <v>BOLD</v>
          </cell>
          <cell r="HH125"/>
          <cell r="HI125" t="str">
            <v>BOLD</v>
          </cell>
          <cell r="HL125"/>
          <cell r="HM125" t="str">
            <v>BOLD</v>
          </cell>
          <cell r="HP125"/>
          <cell r="HQ125" t="str">
            <v>BOLD</v>
          </cell>
          <cell r="HT125"/>
          <cell r="HU125" t="str">
            <v>BOLD</v>
          </cell>
          <cell r="HV125" t="str">
            <v>Number of Outlets and Branches</v>
          </cell>
          <cell r="HW125" t="str">
            <v>NUM_OUTLETS_BRANCHES</v>
          </cell>
          <cell r="HX125"/>
          <cell r="HY125" t="str">
            <v>BOLD</v>
          </cell>
          <cell r="HZ125" t="str">
            <v>Reserve Growth</v>
          </cell>
          <cell r="IA125" t="str">
            <v>INS_RES_GROWTH</v>
          </cell>
          <cell r="IB125"/>
          <cell r="IC125" t="str">
            <v>BOLD</v>
          </cell>
          <cell r="IP125" t="str">
            <v>Retail</v>
          </cell>
          <cell r="IQ125" t="str">
            <v>AVG_BILL_ELECTRIC_RETAIL_REVS</v>
          </cell>
          <cell r="IR125"/>
          <cell r="IS125" t="str">
            <v>BOLD</v>
          </cell>
          <cell r="IX125" t="str">
            <v>Yield: Interest Earning Assets</v>
          </cell>
          <cell r="IY125" t="str">
            <v>IS_INT_INCOME_AVG_EARNING_ASSETS</v>
          </cell>
          <cell r="IZ125"/>
          <cell r="JA125" t="str">
            <v>BOLD</v>
          </cell>
          <cell r="JB125" t="str">
            <v>Reserve Growth</v>
          </cell>
          <cell r="JC125" t="str">
            <v>INS_RES_GROWTH</v>
          </cell>
          <cell r="JD125"/>
          <cell r="JE125" t="str">
            <v>BOLD</v>
          </cell>
        </row>
        <row r="126">
          <cell r="A126">
            <v>125</v>
          </cell>
          <cell r="D126"/>
          <cell r="E126" t="str">
            <v>BOLD</v>
          </cell>
          <cell r="F126" t="str">
            <v>Common Equity to Mgd Assets</v>
          </cell>
          <cell r="G126" t="str">
            <v>COMMON_EQ_TO_MANAGED_ASSETS</v>
          </cell>
          <cell r="H126"/>
          <cell r="I126" t="str">
            <v>BOLD</v>
          </cell>
          <cell r="P126"/>
          <cell r="Q126" t="str">
            <v>BOLD</v>
          </cell>
          <cell r="T126"/>
          <cell r="U126" t="str">
            <v>BOLD</v>
          </cell>
          <cell r="X126"/>
          <cell r="Y126" t="str">
            <v>BOLD</v>
          </cell>
          <cell r="AB126"/>
          <cell r="AC126" t="str">
            <v>BOLD</v>
          </cell>
          <cell r="AF126"/>
          <cell r="AG126" t="str">
            <v>BOLD</v>
          </cell>
          <cell r="AJ126"/>
          <cell r="AK126" t="str">
            <v>BOLD</v>
          </cell>
          <cell r="AN126"/>
          <cell r="AO126" t="str">
            <v>BOLD</v>
          </cell>
          <cell r="AR126"/>
          <cell r="AS126" t="str">
            <v>BOLD</v>
          </cell>
          <cell r="AV126"/>
          <cell r="AW126" t="str">
            <v>BOLD</v>
          </cell>
          <cell r="AZ126"/>
          <cell r="BA126" t="str">
            <v>BOLD</v>
          </cell>
          <cell r="BD126"/>
          <cell r="BE126" t="str">
            <v>BOLD</v>
          </cell>
          <cell r="BH126"/>
          <cell r="BI126" t="str">
            <v>BOLD</v>
          </cell>
          <cell r="BL126"/>
          <cell r="BM126" t="str">
            <v>BOLD</v>
          </cell>
          <cell r="BP126"/>
          <cell r="BQ126" t="str">
            <v>BOLD</v>
          </cell>
          <cell r="BT126"/>
          <cell r="BU126" t="str">
            <v>BOLD</v>
          </cell>
          <cell r="BX126"/>
          <cell r="BY126" t="str">
            <v>BOLD</v>
          </cell>
          <cell r="CB126"/>
          <cell r="CC126" t="str">
            <v>BOLD</v>
          </cell>
          <cell r="CF126"/>
          <cell r="CG126" t="str">
            <v>BOLD</v>
          </cell>
          <cell r="CJ126"/>
          <cell r="CK126" t="str">
            <v>BOLD</v>
          </cell>
          <cell r="CN126"/>
          <cell r="CO126" t="str">
            <v>BOLD</v>
          </cell>
          <cell r="CR126"/>
          <cell r="CS126" t="str">
            <v>BOLD</v>
          </cell>
          <cell r="CV126"/>
          <cell r="CW126" t="str">
            <v>BOLD</v>
          </cell>
          <cell r="CZ126"/>
          <cell r="DA126" t="str">
            <v>BOLD</v>
          </cell>
          <cell r="DD126"/>
          <cell r="DE126" t="str">
            <v>BOLD</v>
          </cell>
          <cell r="DH126"/>
          <cell r="DI126" t="str">
            <v>BOLD</v>
          </cell>
          <cell r="DL126"/>
          <cell r="DM126" t="str">
            <v>BOLD</v>
          </cell>
          <cell r="DP126"/>
          <cell r="DQ126" t="str">
            <v>BOLD</v>
          </cell>
          <cell r="DT126"/>
          <cell r="DU126" t="str">
            <v>BOLD</v>
          </cell>
          <cell r="DX126"/>
          <cell r="DY126" t="str">
            <v>BOLD</v>
          </cell>
          <cell r="EB126"/>
          <cell r="EC126" t="str">
            <v>BOLD</v>
          </cell>
          <cell r="EF126"/>
          <cell r="EG126" t="str">
            <v>BOLD</v>
          </cell>
          <cell r="EJ126"/>
          <cell r="EK126" t="str">
            <v>BOLD</v>
          </cell>
          <cell r="EN126"/>
          <cell r="EO126" t="str">
            <v>BOLD</v>
          </cell>
          <cell r="ER126"/>
          <cell r="ES126" t="str">
            <v>BOLD</v>
          </cell>
          <cell r="EV126"/>
          <cell r="EW126" t="str">
            <v>BOLD</v>
          </cell>
          <cell r="EZ126"/>
          <cell r="FA126" t="str">
            <v>BOLD</v>
          </cell>
          <cell r="FD126"/>
          <cell r="FE126" t="str">
            <v>BOLD</v>
          </cell>
          <cell r="FH126"/>
          <cell r="FI126" t="str">
            <v>BOLD</v>
          </cell>
          <cell r="FL126"/>
          <cell r="FM126" t="str">
            <v>BOLD</v>
          </cell>
          <cell r="FP126"/>
          <cell r="FQ126" t="str">
            <v>BOLD</v>
          </cell>
          <cell r="FT126"/>
          <cell r="FU126" t="str">
            <v>BOLD</v>
          </cell>
          <cell r="FX126"/>
          <cell r="FY126" t="str">
            <v>BOLD</v>
          </cell>
          <cell r="GB126"/>
          <cell r="GC126" t="str">
            <v>BOLD</v>
          </cell>
          <cell r="GF126"/>
          <cell r="GG126" t="str">
            <v>BOLD</v>
          </cell>
          <cell r="GJ126"/>
          <cell r="GK126" t="str">
            <v>BOLD</v>
          </cell>
          <cell r="GN126"/>
          <cell r="GO126" t="str">
            <v>BOLD</v>
          </cell>
          <cell r="GR126"/>
          <cell r="GS126" t="str">
            <v>BOLD</v>
          </cell>
          <cell r="GV126"/>
          <cell r="GW126" t="str">
            <v>BOLD</v>
          </cell>
          <cell r="GZ126"/>
          <cell r="HA126" t="str">
            <v>BOLD</v>
          </cell>
          <cell r="HD126"/>
          <cell r="HE126" t="str">
            <v>BOLD</v>
          </cell>
          <cell r="HH126"/>
          <cell r="HI126" t="str">
            <v>BOLD</v>
          </cell>
          <cell r="HL126"/>
          <cell r="HM126" t="str">
            <v>BOLD</v>
          </cell>
          <cell r="HP126"/>
          <cell r="HQ126" t="str">
            <v>BOLD</v>
          </cell>
          <cell r="HT126"/>
          <cell r="HU126" t="str">
            <v>BOLD</v>
          </cell>
          <cell r="HV126" t="str">
            <v>Number of ATMs</v>
          </cell>
          <cell r="HW126" t="str">
            <v>BS_NUMBER_OF_ATMS</v>
          </cell>
          <cell r="HX126"/>
          <cell r="HY126" t="str">
            <v>BOLD</v>
          </cell>
          <cell r="HZ126" t="str">
            <v>Op income growth</v>
          </cell>
          <cell r="IA126" t="str">
            <v>OPER_INC_GROWTH</v>
          </cell>
          <cell r="IB126"/>
          <cell r="IC126" t="str">
            <v>BOLD</v>
          </cell>
          <cell r="IP126" t="str">
            <v>Total</v>
          </cell>
          <cell r="IQ126" t="str">
            <v>AVG_BILL_TOT_ELECTRIC_REVENUES</v>
          </cell>
          <cell r="IR126"/>
          <cell r="IS126" t="str">
            <v>BOLD</v>
          </cell>
          <cell r="IZ126"/>
          <cell r="JA126" t="str">
            <v>BOLD</v>
          </cell>
          <cell r="JB126" t="str">
            <v>Op income growth</v>
          </cell>
          <cell r="JC126" t="str">
            <v>OPER_INC_GROWTH</v>
          </cell>
          <cell r="JD126"/>
          <cell r="JE126" t="str">
            <v>BOLD</v>
          </cell>
        </row>
        <row r="127">
          <cell r="A127">
            <v>126</v>
          </cell>
          <cell r="D127"/>
          <cell r="E127" t="str">
            <v>BOLD</v>
          </cell>
          <cell r="F127" t="str">
            <v>Capital % Managed Assets</v>
          </cell>
          <cell r="G127" t="str">
            <v>CAPITAL_%_MANAGED_ASSETS</v>
          </cell>
          <cell r="H127"/>
          <cell r="I127" t="str">
            <v>BOLD</v>
          </cell>
          <cell r="P127"/>
          <cell r="Q127" t="str">
            <v>BOLD</v>
          </cell>
          <cell r="T127"/>
          <cell r="U127" t="str">
            <v>BOLD</v>
          </cell>
          <cell r="X127"/>
          <cell r="Y127" t="str">
            <v>BOLD</v>
          </cell>
          <cell r="AB127"/>
          <cell r="AC127" t="str">
            <v>BOLD</v>
          </cell>
          <cell r="AF127"/>
          <cell r="AG127" t="str">
            <v>BOLD</v>
          </cell>
          <cell r="AJ127"/>
          <cell r="AK127" t="str">
            <v>BOLD</v>
          </cell>
          <cell r="AN127"/>
          <cell r="AO127" t="str">
            <v>BOLD</v>
          </cell>
          <cell r="AR127"/>
          <cell r="AS127" t="str">
            <v>BOLD</v>
          </cell>
          <cell r="AV127"/>
          <cell r="AW127" t="str">
            <v>BOLD</v>
          </cell>
          <cell r="AZ127"/>
          <cell r="BA127" t="str">
            <v>BOLD</v>
          </cell>
          <cell r="BD127"/>
          <cell r="BE127" t="str">
            <v>BOLD</v>
          </cell>
          <cell r="BH127"/>
          <cell r="BI127" t="str">
            <v>BOLD</v>
          </cell>
          <cell r="BL127"/>
          <cell r="BM127" t="str">
            <v>BOLD</v>
          </cell>
          <cell r="BP127"/>
          <cell r="BQ127" t="str">
            <v>BOLD</v>
          </cell>
          <cell r="BT127"/>
          <cell r="BU127" t="str">
            <v>BOLD</v>
          </cell>
          <cell r="BX127"/>
          <cell r="BY127" t="str">
            <v>BOLD</v>
          </cell>
          <cell r="CB127"/>
          <cell r="CC127" t="str">
            <v>BOLD</v>
          </cell>
          <cell r="CF127"/>
          <cell r="CG127" t="str">
            <v>BOLD</v>
          </cell>
          <cell r="CJ127"/>
          <cell r="CK127" t="str">
            <v>BOLD</v>
          </cell>
          <cell r="CN127"/>
          <cell r="CO127" t="str">
            <v>BOLD</v>
          </cell>
          <cell r="CR127"/>
          <cell r="CS127" t="str">
            <v>BOLD</v>
          </cell>
          <cell r="CV127"/>
          <cell r="CW127" t="str">
            <v>BOLD</v>
          </cell>
          <cell r="CZ127"/>
          <cell r="DA127" t="str">
            <v>BOLD</v>
          </cell>
          <cell r="DD127"/>
          <cell r="DE127" t="str">
            <v>BOLD</v>
          </cell>
          <cell r="DH127"/>
          <cell r="DI127" t="str">
            <v>BOLD</v>
          </cell>
          <cell r="DL127"/>
          <cell r="DM127" t="str">
            <v>BOLD</v>
          </cell>
          <cell r="DP127"/>
          <cell r="DQ127" t="str">
            <v>BOLD</v>
          </cell>
          <cell r="DT127"/>
          <cell r="DU127" t="str">
            <v>BOLD</v>
          </cell>
          <cell r="DX127"/>
          <cell r="DY127" t="str">
            <v>BOLD</v>
          </cell>
          <cell r="EB127"/>
          <cell r="EC127" t="str">
            <v>BOLD</v>
          </cell>
          <cell r="EF127"/>
          <cell r="EG127" t="str">
            <v>BOLD</v>
          </cell>
          <cell r="EJ127"/>
          <cell r="EK127" t="str">
            <v>BOLD</v>
          </cell>
          <cell r="EN127"/>
          <cell r="EO127" t="str">
            <v>BOLD</v>
          </cell>
          <cell r="ER127"/>
          <cell r="ES127" t="str">
            <v>BOLD</v>
          </cell>
          <cell r="EV127"/>
          <cell r="EW127" t="str">
            <v>BOLD</v>
          </cell>
          <cell r="EZ127"/>
          <cell r="FA127" t="str">
            <v>BOLD</v>
          </cell>
          <cell r="FD127"/>
          <cell r="FE127" t="str">
            <v>BOLD</v>
          </cell>
          <cell r="FH127"/>
          <cell r="FI127" t="str">
            <v>BOLD</v>
          </cell>
          <cell r="FL127"/>
          <cell r="FM127" t="str">
            <v>BOLD</v>
          </cell>
          <cell r="FP127"/>
          <cell r="FQ127" t="str">
            <v>BOLD</v>
          </cell>
          <cell r="FT127"/>
          <cell r="FU127" t="str">
            <v>BOLD</v>
          </cell>
          <cell r="FX127"/>
          <cell r="FY127" t="str">
            <v>BOLD</v>
          </cell>
          <cell r="GB127"/>
          <cell r="GC127" t="str">
            <v>BOLD</v>
          </cell>
          <cell r="GF127"/>
          <cell r="GG127" t="str">
            <v>BOLD</v>
          </cell>
          <cell r="GJ127"/>
          <cell r="GK127" t="str">
            <v>BOLD</v>
          </cell>
          <cell r="GN127"/>
          <cell r="GO127" t="str">
            <v>BOLD</v>
          </cell>
          <cell r="GR127"/>
          <cell r="GS127" t="str">
            <v>BOLD</v>
          </cell>
          <cell r="GV127"/>
          <cell r="GW127" t="str">
            <v>BOLD</v>
          </cell>
          <cell r="GZ127"/>
          <cell r="HA127" t="str">
            <v>BOLD</v>
          </cell>
          <cell r="HD127"/>
          <cell r="HE127" t="str">
            <v>BOLD</v>
          </cell>
          <cell r="HH127"/>
          <cell r="HI127" t="str">
            <v>BOLD</v>
          </cell>
          <cell r="HL127"/>
          <cell r="HM127" t="str">
            <v>BOLD</v>
          </cell>
          <cell r="HP127"/>
          <cell r="HQ127" t="str">
            <v>BOLD</v>
          </cell>
          <cell r="HT127"/>
          <cell r="HU127" t="str">
            <v>BOLD</v>
          </cell>
          <cell r="HX127"/>
          <cell r="HY127" t="str">
            <v>BOLD</v>
          </cell>
          <cell r="HZ127" t="str">
            <v>Underwriting Costs - 1 Yr Growth</v>
          </cell>
          <cell r="IA127" t="str">
            <v>UNDW_COST_GROWTH</v>
          </cell>
          <cell r="IB127"/>
          <cell r="IC127" t="str">
            <v>BOLD</v>
          </cell>
          <cell r="IR127"/>
          <cell r="IS127" t="str">
            <v>BOLD</v>
          </cell>
          <cell r="IX127" t="str">
            <v>Interest Cost: Interest Bearing Deposits</v>
          </cell>
          <cell r="IY127" t="str">
            <v>BS_AVG_INT_BEARING_DEPOSIT_RATE</v>
          </cell>
          <cell r="IZ127"/>
          <cell r="JA127" t="str">
            <v>BOLD</v>
          </cell>
          <cell r="JB127" t="str">
            <v>Underwriting Costs - 1 Yr Growth</v>
          </cell>
          <cell r="JC127" t="str">
            <v>UNDW_COST_GROWTH</v>
          </cell>
          <cell r="JD127"/>
          <cell r="JE127" t="str">
            <v>BOLD</v>
          </cell>
        </row>
        <row r="128">
          <cell r="A128">
            <v>127</v>
          </cell>
          <cell r="D128"/>
          <cell r="E128" t="str">
            <v>BOLD</v>
          </cell>
          <cell r="F128" t="str">
            <v>Card Avg Leverage</v>
          </cell>
          <cell r="G128" t="str">
            <v>CARD_AVERAGE_LEVERAGE</v>
          </cell>
          <cell r="H128"/>
          <cell r="I128" t="str">
            <v>BOLD</v>
          </cell>
          <cell r="P128"/>
          <cell r="Q128" t="str">
            <v>BOLD</v>
          </cell>
          <cell r="T128"/>
          <cell r="U128" t="str">
            <v>BOLD</v>
          </cell>
          <cell r="X128"/>
          <cell r="Y128" t="str">
            <v>BOLD</v>
          </cell>
          <cell r="AB128"/>
          <cell r="AC128" t="str">
            <v>BOLD</v>
          </cell>
          <cell r="AF128"/>
          <cell r="AG128" t="str">
            <v>BOLD</v>
          </cell>
          <cell r="AJ128"/>
          <cell r="AK128" t="str">
            <v>BOLD</v>
          </cell>
          <cell r="AN128"/>
          <cell r="AO128" t="str">
            <v>BOLD</v>
          </cell>
          <cell r="AR128"/>
          <cell r="AS128" t="str">
            <v>BOLD</v>
          </cell>
          <cell r="AV128"/>
          <cell r="AW128" t="str">
            <v>BOLD</v>
          </cell>
          <cell r="AZ128"/>
          <cell r="BA128" t="str">
            <v>BOLD</v>
          </cell>
          <cell r="BD128"/>
          <cell r="BE128" t="str">
            <v>BOLD</v>
          </cell>
          <cell r="BH128"/>
          <cell r="BI128" t="str">
            <v>BOLD</v>
          </cell>
          <cell r="BL128"/>
          <cell r="BM128" t="str">
            <v>BOLD</v>
          </cell>
          <cell r="BP128"/>
          <cell r="BQ128" t="str">
            <v>BOLD</v>
          </cell>
          <cell r="BT128"/>
          <cell r="BU128" t="str">
            <v>BOLD</v>
          </cell>
          <cell r="BX128"/>
          <cell r="BY128" t="str">
            <v>BOLD</v>
          </cell>
          <cell r="CB128"/>
          <cell r="CC128" t="str">
            <v>BOLD</v>
          </cell>
          <cell r="CF128"/>
          <cell r="CG128" t="str">
            <v>BOLD</v>
          </cell>
          <cell r="CJ128"/>
          <cell r="CK128" t="str">
            <v>BOLD</v>
          </cell>
          <cell r="CN128"/>
          <cell r="CO128" t="str">
            <v>BOLD</v>
          </cell>
          <cell r="CR128"/>
          <cell r="CS128" t="str">
            <v>BOLD</v>
          </cell>
          <cell r="CV128"/>
          <cell r="CW128" t="str">
            <v>BOLD</v>
          </cell>
          <cell r="CZ128"/>
          <cell r="DA128" t="str">
            <v>BOLD</v>
          </cell>
          <cell r="DD128"/>
          <cell r="DE128" t="str">
            <v>BOLD</v>
          </cell>
          <cell r="DH128"/>
          <cell r="DI128" t="str">
            <v>BOLD</v>
          </cell>
          <cell r="DL128"/>
          <cell r="DM128" t="str">
            <v>BOLD</v>
          </cell>
          <cell r="DP128"/>
          <cell r="DQ128" t="str">
            <v>BOLD</v>
          </cell>
          <cell r="DT128"/>
          <cell r="DU128" t="str">
            <v>BOLD</v>
          </cell>
          <cell r="DX128"/>
          <cell r="DY128" t="str">
            <v>BOLD</v>
          </cell>
          <cell r="EB128"/>
          <cell r="EC128" t="str">
            <v>BOLD</v>
          </cell>
          <cell r="EF128"/>
          <cell r="EG128" t="str">
            <v>BOLD</v>
          </cell>
          <cell r="EJ128"/>
          <cell r="EK128" t="str">
            <v>BOLD</v>
          </cell>
          <cell r="EN128"/>
          <cell r="EO128" t="str">
            <v>BOLD</v>
          </cell>
          <cell r="ER128"/>
          <cell r="ES128" t="str">
            <v>BOLD</v>
          </cell>
          <cell r="EV128"/>
          <cell r="EW128" t="str">
            <v>BOLD</v>
          </cell>
          <cell r="EZ128"/>
          <cell r="FA128" t="str">
            <v>BOLD</v>
          </cell>
          <cell r="FD128"/>
          <cell r="FE128" t="str">
            <v>BOLD</v>
          </cell>
          <cell r="FH128"/>
          <cell r="FI128" t="str">
            <v>BOLD</v>
          </cell>
          <cell r="FL128"/>
          <cell r="FM128" t="str">
            <v>BOLD</v>
          </cell>
          <cell r="FP128"/>
          <cell r="FQ128" t="str">
            <v>BOLD</v>
          </cell>
          <cell r="FT128"/>
          <cell r="FU128" t="str">
            <v>BOLD</v>
          </cell>
          <cell r="FX128"/>
          <cell r="FY128" t="str">
            <v>BOLD</v>
          </cell>
          <cell r="GB128"/>
          <cell r="GC128" t="str">
            <v>BOLD</v>
          </cell>
          <cell r="GF128"/>
          <cell r="GG128" t="str">
            <v>BOLD</v>
          </cell>
          <cell r="GJ128"/>
          <cell r="GK128" t="str">
            <v>BOLD</v>
          </cell>
          <cell r="GN128"/>
          <cell r="GO128" t="str">
            <v>BOLD</v>
          </cell>
          <cell r="GR128"/>
          <cell r="GS128" t="str">
            <v>BOLD</v>
          </cell>
          <cell r="GV128"/>
          <cell r="GW128" t="str">
            <v>BOLD</v>
          </cell>
          <cell r="GZ128"/>
          <cell r="HA128" t="str">
            <v>BOLD</v>
          </cell>
          <cell r="HD128"/>
          <cell r="HE128" t="str">
            <v>BOLD</v>
          </cell>
          <cell r="HH128"/>
          <cell r="HI128" t="str">
            <v>BOLD</v>
          </cell>
          <cell r="HL128"/>
          <cell r="HM128" t="str">
            <v>BOLD</v>
          </cell>
          <cell r="HP128"/>
          <cell r="HQ128" t="str">
            <v>BOLD</v>
          </cell>
          <cell r="HT128"/>
          <cell r="HU128" t="str">
            <v>BOLD</v>
          </cell>
          <cell r="HV128" t="str">
            <v>Fair Value Analysis</v>
          </cell>
          <cell r="HW128" t="str">
            <v>LABEL</v>
          </cell>
          <cell r="HX128"/>
          <cell r="HY128" t="str">
            <v>BOLD</v>
          </cell>
          <cell r="HZ128" t="str">
            <v>Insurance Claims / Charges - 1 Yr Growth</v>
          </cell>
          <cell r="IA128" t="str">
            <v>INS_CLAIM_PER_CHRG_GROWTH</v>
          </cell>
          <cell r="IB128"/>
          <cell r="IC128" t="str">
            <v>BOLD</v>
          </cell>
          <cell r="IP128" t="str">
            <v>Average Electric Revenue Per Customer</v>
          </cell>
          <cell r="IQ128" t="str">
            <v>LABEL</v>
          </cell>
          <cell r="IR128"/>
          <cell r="IS128" t="str">
            <v>BOLD</v>
          </cell>
          <cell r="IX128" t="str">
            <v>Interest Cost: Fed Funds and Repo Rate</v>
          </cell>
          <cell r="IY128" t="str">
            <v>BS_AVG_FED_FUNDS_AND_REPO_RATE</v>
          </cell>
          <cell r="IZ128"/>
          <cell r="JA128" t="str">
            <v>BOLD</v>
          </cell>
          <cell r="JB128" t="str">
            <v>Insurance Claims / Charges - 1 Yr Growth</v>
          </cell>
          <cell r="JC128" t="str">
            <v>INS_CLAIM_PER_CHRG_GROWTH</v>
          </cell>
          <cell r="JD128"/>
          <cell r="JE128" t="str">
            <v>BOLD</v>
          </cell>
        </row>
        <row r="129">
          <cell r="A129">
            <v>128</v>
          </cell>
          <cell r="D129"/>
          <cell r="E129" t="str">
            <v>BOLD</v>
          </cell>
          <cell r="F129" t="str">
            <v>TCE - AR to Mgd Assets</v>
          </cell>
          <cell r="G129" t="str">
            <v>TCE_AR_TO_MANAGED_ASSETS</v>
          </cell>
          <cell r="H129"/>
          <cell r="I129" t="str">
            <v>BOLD</v>
          </cell>
          <cell r="P129"/>
          <cell r="Q129" t="str">
            <v>BOLD</v>
          </cell>
          <cell r="T129"/>
          <cell r="U129" t="str">
            <v>BOLD</v>
          </cell>
          <cell r="X129"/>
          <cell r="Y129" t="str">
            <v>BOLD</v>
          </cell>
          <cell r="AB129"/>
          <cell r="AC129" t="str">
            <v>BOLD</v>
          </cell>
          <cell r="AF129"/>
          <cell r="AG129" t="str">
            <v>BOLD</v>
          </cell>
          <cell r="AJ129"/>
          <cell r="AK129" t="str">
            <v>BOLD</v>
          </cell>
          <cell r="AN129"/>
          <cell r="AO129" t="str">
            <v>BOLD</v>
          </cell>
          <cell r="AR129"/>
          <cell r="AS129" t="str">
            <v>BOLD</v>
          </cell>
          <cell r="AV129"/>
          <cell r="AW129" t="str">
            <v>BOLD</v>
          </cell>
          <cell r="AZ129"/>
          <cell r="BA129" t="str">
            <v>BOLD</v>
          </cell>
          <cell r="BD129"/>
          <cell r="BE129" t="str">
            <v>BOLD</v>
          </cell>
          <cell r="BH129"/>
          <cell r="BI129" t="str">
            <v>BOLD</v>
          </cell>
          <cell r="BL129"/>
          <cell r="BM129" t="str">
            <v>BOLD</v>
          </cell>
          <cell r="BP129"/>
          <cell r="BQ129" t="str">
            <v>BOLD</v>
          </cell>
          <cell r="BT129"/>
          <cell r="BU129" t="str">
            <v>BOLD</v>
          </cell>
          <cell r="BX129"/>
          <cell r="BY129" t="str">
            <v>BOLD</v>
          </cell>
          <cell r="CB129"/>
          <cell r="CC129" t="str">
            <v>BOLD</v>
          </cell>
          <cell r="CF129"/>
          <cell r="CG129" t="str">
            <v>BOLD</v>
          </cell>
          <cell r="CJ129"/>
          <cell r="CK129" t="str">
            <v>BOLD</v>
          </cell>
          <cell r="CN129"/>
          <cell r="CO129" t="str">
            <v>BOLD</v>
          </cell>
          <cell r="CR129"/>
          <cell r="CS129" t="str">
            <v>BOLD</v>
          </cell>
          <cell r="CV129"/>
          <cell r="CW129" t="str">
            <v>BOLD</v>
          </cell>
          <cell r="CZ129"/>
          <cell r="DA129" t="str">
            <v>BOLD</v>
          </cell>
          <cell r="DD129"/>
          <cell r="DE129" t="str">
            <v>BOLD</v>
          </cell>
          <cell r="DH129"/>
          <cell r="DI129" t="str">
            <v>BOLD</v>
          </cell>
          <cell r="DL129"/>
          <cell r="DM129" t="str">
            <v>BOLD</v>
          </cell>
          <cell r="DP129"/>
          <cell r="DQ129" t="str">
            <v>BOLD</v>
          </cell>
          <cell r="DT129"/>
          <cell r="DU129" t="str">
            <v>BOLD</v>
          </cell>
          <cell r="DX129"/>
          <cell r="DY129" t="str">
            <v>BOLD</v>
          </cell>
          <cell r="EB129"/>
          <cell r="EC129" t="str">
            <v>BOLD</v>
          </cell>
          <cell r="EF129"/>
          <cell r="EG129" t="str">
            <v>BOLD</v>
          </cell>
          <cell r="EJ129"/>
          <cell r="EK129" t="str">
            <v>BOLD</v>
          </cell>
          <cell r="EN129"/>
          <cell r="EO129" t="str">
            <v>BOLD</v>
          </cell>
          <cell r="ER129"/>
          <cell r="ES129" t="str">
            <v>BOLD</v>
          </cell>
          <cell r="EV129"/>
          <cell r="EW129" t="str">
            <v>BOLD</v>
          </cell>
          <cell r="EZ129"/>
          <cell r="FA129" t="str">
            <v>BOLD</v>
          </cell>
          <cell r="FD129"/>
          <cell r="FE129" t="str">
            <v>BOLD</v>
          </cell>
          <cell r="FH129"/>
          <cell r="FI129" t="str">
            <v>BOLD</v>
          </cell>
          <cell r="FL129"/>
          <cell r="FM129" t="str">
            <v>BOLD</v>
          </cell>
          <cell r="FP129"/>
          <cell r="FQ129" t="str">
            <v>BOLD</v>
          </cell>
          <cell r="FT129"/>
          <cell r="FU129" t="str">
            <v>BOLD</v>
          </cell>
          <cell r="FX129"/>
          <cell r="FY129" t="str">
            <v>BOLD</v>
          </cell>
          <cell r="GB129"/>
          <cell r="GC129" t="str">
            <v>BOLD</v>
          </cell>
          <cell r="GF129"/>
          <cell r="GG129" t="str">
            <v>BOLD</v>
          </cell>
          <cell r="GJ129"/>
          <cell r="GK129" t="str">
            <v>BOLD</v>
          </cell>
          <cell r="GN129"/>
          <cell r="GO129" t="str">
            <v>BOLD</v>
          </cell>
          <cell r="GR129"/>
          <cell r="GS129" t="str">
            <v>BOLD</v>
          </cell>
          <cell r="GV129"/>
          <cell r="GW129" t="str">
            <v>BOLD</v>
          </cell>
          <cell r="GZ129"/>
          <cell r="HA129" t="str">
            <v>BOLD</v>
          </cell>
          <cell r="HD129"/>
          <cell r="HE129" t="str">
            <v>BOLD</v>
          </cell>
          <cell r="HH129"/>
          <cell r="HI129" t="str">
            <v>BOLD</v>
          </cell>
          <cell r="HL129"/>
          <cell r="HM129" t="str">
            <v>BOLD</v>
          </cell>
          <cell r="HP129"/>
          <cell r="HQ129" t="str">
            <v>BOLD</v>
          </cell>
          <cell r="HT129"/>
          <cell r="HU129" t="str">
            <v>BOLD</v>
          </cell>
          <cell r="HV129" t="str">
            <v>Fair Value Assets Recurring - Level 1</v>
          </cell>
          <cell r="HW129" t="str">
            <v>BS_FV_ASSETS_REC_LEVEL_1</v>
          </cell>
          <cell r="HX129"/>
          <cell r="HY129" t="str">
            <v>BOLD</v>
          </cell>
          <cell r="IB129"/>
          <cell r="IC129" t="str">
            <v>BOLD</v>
          </cell>
          <cell r="IP129" t="str">
            <v>Residential</v>
          </cell>
          <cell r="IQ129" t="str">
            <v>AVG_ELECTRIC_RES_REV_PER_CSTMR</v>
          </cell>
          <cell r="IR129"/>
          <cell r="IS129" t="str">
            <v>BOLD</v>
          </cell>
          <cell r="IX129" t="str">
            <v>Interest Cost on Interest Bearing Liabilities</v>
          </cell>
          <cell r="IY129" t="str">
            <v>BS_AVG_INT_BEARING_LIABILITY_RT</v>
          </cell>
          <cell r="IZ129"/>
          <cell r="JA129" t="str">
            <v>BOLD</v>
          </cell>
          <cell r="JD129"/>
          <cell r="JE129" t="str">
            <v>BOLD</v>
          </cell>
        </row>
        <row r="130">
          <cell r="A130">
            <v>129</v>
          </cell>
          <cell r="D130"/>
          <cell r="E130" t="str">
            <v>BOLD</v>
          </cell>
          <cell r="F130" t="str">
            <v>Charge Card Mgd LLR</v>
          </cell>
          <cell r="G130" t="str">
            <v>CHARGE_CARD_MGD_LOAN_LOSS_RES</v>
          </cell>
          <cell r="H130"/>
          <cell r="I130" t="str">
            <v>BOLD</v>
          </cell>
          <cell r="P130"/>
          <cell r="Q130" t="str">
            <v>BOLD</v>
          </cell>
          <cell r="T130"/>
          <cell r="U130" t="str">
            <v>BOLD</v>
          </cell>
          <cell r="X130"/>
          <cell r="Y130" t="str">
            <v>BOLD</v>
          </cell>
          <cell r="AB130"/>
          <cell r="AC130" t="str">
            <v>BOLD</v>
          </cell>
          <cell r="AF130"/>
          <cell r="AG130" t="str">
            <v>BOLD</v>
          </cell>
          <cell r="AJ130"/>
          <cell r="AK130" t="str">
            <v>BOLD</v>
          </cell>
          <cell r="AN130"/>
          <cell r="AO130" t="str">
            <v>BOLD</v>
          </cell>
          <cell r="AR130"/>
          <cell r="AS130" t="str">
            <v>BOLD</v>
          </cell>
          <cell r="AV130"/>
          <cell r="AW130" t="str">
            <v>BOLD</v>
          </cell>
          <cell r="AZ130"/>
          <cell r="BA130" t="str">
            <v>BOLD</v>
          </cell>
          <cell r="BD130"/>
          <cell r="BE130" t="str">
            <v>BOLD</v>
          </cell>
          <cell r="BH130"/>
          <cell r="BI130" t="str">
            <v>BOLD</v>
          </cell>
          <cell r="BL130"/>
          <cell r="BM130" t="str">
            <v>BOLD</v>
          </cell>
          <cell r="BP130"/>
          <cell r="BQ130" t="str">
            <v>BOLD</v>
          </cell>
          <cell r="BT130"/>
          <cell r="BU130" t="str">
            <v>BOLD</v>
          </cell>
          <cell r="BX130"/>
          <cell r="BY130" t="str">
            <v>BOLD</v>
          </cell>
          <cell r="CB130"/>
          <cell r="CC130" t="str">
            <v>BOLD</v>
          </cell>
          <cell r="CF130"/>
          <cell r="CG130" t="str">
            <v>BOLD</v>
          </cell>
          <cell r="CJ130"/>
          <cell r="CK130" t="str">
            <v>BOLD</v>
          </cell>
          <cell r="CN130"/>
          <cell r="CO130" t="str">
            <v>BOLD</v>
          </cell>
          <cell r="CR130"/>
          <cell r="CS130" t="str">
            <v>BOLD</v>
          </cell>
          <cell r="CV130"/>
          <cell r="CW130" t="str">
            <v>BOLD</v>
          </cell>
          <cell r="CZ130"/>
          <cell r="DA130" t="str">
            <v>BOLD</v>
          </cell>
          <cell r="DD130"/>
          <cell r="DE130" t="str">
            <v>BOLD</v>
          </cell>
          <cell r="DH130"/>
          <cell r="DI130" t="str">
            <v>BOLD</v>
          </cell>
          <cell r="DL130"/>
          <cell r="DM130" t="str">
            <v>BOLD</v>
          </cell>
          <cell r="DP130"/>
          <cell r="DQ130" t="str">
            <v>BOLD</v>
          </cell>
          <cell r="DT130"/>
          <cell r="DU130" t="str">
            <v>BOLD</v>
          </cell>
          <cell r="DX130"/>
          <cell r="DY130" t="str">
            <v>BOLD</v>
          </cell>
          <cell r="EB130"/>
          <cell r="EC130" t="str">
            <v>BOLD</v>
          </cell>
          <cell r="EF130"/>
          <cell r="EG130" t="str">
            <v>BOLD</v>
          </cell>
          <cell r="EJ130"/>
          <cell r="EK130" t="str">
            <v>BOLD</v>
          </cell>
          <cell r="EN130"/>
          <cell r="EO130" t="str">
            <v>BOLD</v>
          </cell>
          <cell r="ER130"/>
          <cell r="ES130" t="str">
            <v>BOLD</v>
          </cell>
          <cell r="EV130"/>
          <cell r="EW130" t="str">
            <v>BOLD</v>
          </cell>
          <cell r="EZ130"/>
          <cell r="FA130" t="str">
            <v>BOLD</v>
          </cell>
          <cell r="FD130"/>
          <cell r="FE130" t="str">
            <v>BOLD</v>
          </cell>
          <cell r="FH130"/>
          <cell r="FI130" t="str">
            <v>BOLD</v>
          </cell>
          <cell r="FL130"/>
          <cell r="FM130" t="str">
            <v>BOLD</v>
          </cell>
          <cell r="FP130"/>
          <cell r="FQ130" t="str">
            <v>BOLD</v>
          </cell>
          <cell r="FT130"/>
          <cell r="FU130" t="str">
            <v>BOLD</v>
          </cell>
          <cell r="FX130"/>
          <cell r="FY130" t="str">
            <v>BOLD</v>
          </cell>
          <cell r="GB130"/>
          <cell r="GC130" t="str">
            <v>BOLD</v>
          </cell>
          <cell r="GF130"/>
          <cell r="GG130" t="str">
            <v>BOLD</v>
          </cell>
          <cell r="GJ130"/>
          <cell r="GK130" t="str">
            <v>BOLD</v>
          </cell>
          <cell r="GN130"/>
          <cell r="GO130" t="str">
            <v>BOLD</v>
          </cell>
          <cell r="GR130"/>
          <cell r="GS130" t="str">
            <v>BOLD</v>
          </cell>
          <cell r="GV130"/>
          <cell r="GW130" t="str">
            <v>BOLD</v>
          </cell>
          <cell r="GZ130"/>
          <cell r="HA130" t="str">
            <v>BOLD</v>
          </cell>
          <cell r="HD130"/>
          <cell r="HE130" t="str">
            <v>BOLD</v>
          </cell>
          <cell r="HH130"/>
          <cell r="HI130" t="str">
            <v>BOLD</v>
          </cell>
          <cell r="HL130"/>
          <cell r="HM130" t="str">
            <v>BOLD</v>
          </cell>
          <cell r="HP130"/>
          <cell r="HQ130" t="str">
            <v>BOLD</v>
          </cell>
          <cell r="HT130"/>
          <cell r="HU130" t="str">
            <v>BOLD</v>
          </cell>
          <cell r="HV130" t="str">
            <v>Fair Value Assets Recurring - Level 2</v>
          </cell>
          <cell r="HW130" t="str">
            <v>BS_FV_ASSETS_REC_LEVEL_2</v>
          </cell>
          <cell r="HX130"/>
          <cell r="HY130" t="str">
            <v>BOLD</v>
          </cell>
          <cell r="HZ130" t="str">
            <v>Embedded Value</v>
          </cell>
          <cell r="IA130" t="str">
            <v>LABEL</v>
          </cell>
          <cell r="IB130"/>
          <cell r="IC130" t="str">
            <v>BOLD</v>
          </cell>
          <cell r="IP130" t="str">
            <v>Commercial</v>
          </cell>
          <cell r="IQ130" t="str">
            <v>AVG_ELECTRIC_COML_REV_PER_CSTMR</v>
          </cell>
          <cell r="IR130"/>
          <cell r="IS130" t="str">
            <v>BOLD</v>
          </cell>
          <cell r="IZ130"/>
          <cell r="JA130" t="str">
            <v>BOLD</v>
          </cell>
          <cell r="JB130" t="str">
            <v>Embedded Value</v>
          </cell>
          <cell r="JC130" t="str">
            <v>LABEL</v>
          </cell>
          <cell r="JD130"/>
          <cell r="JE130" t="str">
            <v>BOLD</v>
          </cell>
        </row>
        <row r="131">
          <cell r="A131">
            <v>130</v>
          </cell>
          <cell r="D131"/>
          <cell r="E131" t="str">
            <v>BOLD</v>
          </cell>
          <cell r="F131" t="str">
            <v>LLR to Delinquencies - Mgd</v>
          </cell>
          <cell r="G131" t="str">
            <v>LLR_TO_TOT_DELINQUENCIES_MANAGED</v>
          </cell>
          <cell r="H131"/>
          <cell r="I131" t="str">
            <v>BOLD</v>
          </cell>
          <cell r="P131"/>
          <cell r="Q131" t="str">
            <v>BOLD</v>
          </cell>
          <cell r="T131"/>
          <cell r="U131" t="str">
            <v>BOLD</v>
          </cell>
          <cell r="X131"/>
          <cell r="Y131" t="str">
            <v>BOLD</v>
          </cell>
          <cell r="AB131"/>
          <cell r="AC131" t="str">
            <v>BOLD</v>
          </cell>
          <cell r="AF131"/>
          <cell r="AG131" t="str">
            <v>BOLD</v>
          </cell>
          <cell r="AJ131"/>
          <cell r="AK131" t="str">
            <v>BOLD</v>
          </cell>
          <cell r="AN131"/>
          <cell r="AO131" t="str">
            <v>BOLD</v>
          </cell>
          <cell r="AR131"/>
          <cell r="AS131" t="str">
            <v>BOLD</v>
          </cell>
          <cell r="AV131"/>
          <cell r="AW131" t="str">
            <v>BOLD</v>
          </cell>
          <cell r="AZ131"/>
          <cell r="BA131" t="str">
            <v>BOLD</v>
          </cell>
          <cell r="BD131"/>
          <cell r="BE131" t="str">
            <v>BOLD</v>
          </cell>
          <cell r="BH131"/>
          <cell r="BI131" t="str">
            <v>BOLD</v>
          </cell>
          <cell r="BL131"/>
          <cell r="BM131" t="str">
            <v>BOLD</v>
          </cell>
          <cell r="BP131"/>
          <cell r="BQ131" t="str">
            <v>BOLD</v>
          </cell>
          <cell r="BT131"/>
          <cell r="BU131" t="str">
            <v>BOLD</v>
          </cell>
          <cell r="BX131"/>
          <cell r="BY131" t="str">
            <v>BOLD</v>
          </cell>
          <cell r="CB131"/>
          <cell r="CC131" t="str">
            <v>BOLD</v>
          </cell>
          <cell r="CF131"/>
          <cell r="CG131" t="str">
            <v>BOLD</v>
          </cell>
          <cell r="CJ131"/>
          <cell r="CK131" t="str">
            <v>BOLD</v>
          </cell>
          <cell r="CN131"/>
          <cell r="CO131" t="str">
            <v>BOLD</v>
          </cell>
          <cell r="CR131"/>
          <cell r="CS131" t="str">
            <v>BOLD</v>
          </cell>
          <cell r="CV131"/>
          <cell r="CW131" t="str">
            <v>BOLD</v>
          </cell>
          <cell r="CZ131"/>
          <cell r="DA131" t="str">
            <v>BOLD</v>
          </cell>
          <cell r="DD131"/>
          <cell r="DE131" t="str">
            <v>BOLD</v>
          </cell>
          <cell r="DH131"/>
          <cell r="DI131" t="str">
            <v>BOLD</v>
          </cell>
          <cell r="DL131"/>
          <cell r="DM131" t="str">
            <v>BOLD</v>
          </cell>
          <cell r="DP131"/>
          <cell r="DQ131" t="str">
            <v>BOLD</v>
          </cell>
          <cell r="DT131"/>
          <cell r="DU131" t="str">
            <v>BOLD</v>
          </cell>
          <cell r="DX131"/>
          <cell r="DY131" t="str">
            <v>BOLD</v>
          </cell>
          <cell r="EB131"/>
          <cell r="EC131" t="str">
            <v>BOLD</v>
          </cell>
          <cell r="EF131"/>
          <cell r="EG131" t="str">
            <v>BOLD</v>
          </cell>
          <cell r="EJ131"/>
          <cell r="EK131" t="str">
            <v>BOLD</v>
          </cell>
          <cell r="EN131"/>
          <cell r="EO131" t="str">
            <v>BOLD</v>
          </cell>
          <cell r="ER131"/>
          <cell r="ES131" t="str">
            <v>BOLD</v>
          </cell>
          <cell r="EV131"/>
          <cell r="EW131" t="str">
            <v>BOLD</v>
          </cell>
          <cell r="EZ131"/>
          <cell r="FA131" t="str">
            <v>BOLD</v>
          </cell>
          <cell r="FD131"/>
          <cell r="FE131" t="str">
            <v>BOLD</v>
          </cell>
          <cell r="FH131"/>
          <cell r="FI131" t="str">
            <v>BOLD</v>
          </cell>
          <cell r="FL131"/>
          <cell r="FM131" t="str">
            <v>BOLD</v>
          </cell>
          <cell r="FP131"/>
          <cell r="FQ131" t="str">
            <v>BOLD</v>
          </cell>
          <cell r="FT131"/>
          <cell r="FU131" t="str">
            <v>BOLD</v>
          </cell>
          <cell r="FX131"/>
          <cell r="FY131" t="str">
            <v>BOLD</v>
          </cell>
          <cell r="GB131"/>
          <cell r="GC131" t="str">
            <v>BOLD</v>
          </cell>
          <cell r="GF131"/>
          <cell r="GG131" t="str">
            <v>BOLD</v>
          </cell>
          <cell r="GJ131"/>
          <cell r="GK131" t="str">
            <v>BOLD</v>
          </cell>
          <cell r="GN131"/>
          <cell r="GO131" t="str">
            <v>BOLD</v>
          </cell>
          <cell r="GR131"/>
          <cell r="GS131" t="str">
            <v>BOLD</v>
          </cell>
          <cell r="GV131"/>
          <cell r="GW131" t="str">
            <v>BOLD</v>
          </cell>
          <cell r="GZ131"/>
          <cell r="HA131" t="str">
            <v>BOLD</v>
          </cell>
          <cell r="HD131"/>
          <cell r="HE131" t="str">
            <v>BOLD</v>
          </cell>
          <cell r="HH131"/>
          <cell r="HI131" t="str">
            <v>BOLD</v>
          </cell>
          <cell r="HL131"/>
          <cell r="HM131" t="str">
            <v>BOLD</v>
          </cell>
          <cell r="HP131"/>
          <cell r="HQ131" t="str">
            <v>BOLD</v>
          </cell>
          <cell r="HT131"/>
          <cell r="HU131" t="str">
            <v>BOLD</v>
          </cell>
          <cell r="HV131" t="str">
            <v>Fair Value Assets Recurring - Level 3</v>
          </cell>
          <cell r="HW131" t="str">
            <v>BS_FV_ASSETS_REC_LEVEL_3</v>
          </cell>
          <cell r="HX131"/>
          <cell r="HY131" t="str">
            <v>BOLD</v>
          </cell>
          <cell r="HZ131" t="str">
            <v>Embedded Value</v>
          </cell>
          <cell r="IA131" t="str">
            <v>BS_EMBEDDED_VALUE</v>
          </cell>
          <cell r="IB131"/>
          <cell r="IC131" t="str">
            <v>BOLD</v>
          </cell>
          <cell r="IP131" t="str">
            <v>Industrial</v>
          </cell>
          <cell r="IQ131" t="str">
            <v>AVG_ELECTRIC_IND_REV_PER_CSTMR</v>
          </cell>
          <cell r="IR131"/>
          <cell r="IS131" t="str">
            <v>BOLD</v>
          </cell>
          <cell r="IX131" t="str">
            <v>Net Interest Income Sensitivity % (100 BP Increase)</v>
          </cell>
          <cell r="IY131" t="str">
            <v>%_SENSITIVITY_NII_FOR_200_BP_INC</v>
          </cell>
          <cell r="IZ131"/>
          <cell r="JA131" t="str">
            <v>BOLD</v>
          </cell>
          <cell r="JB131" t="str">
            <v>Embedded Value</v>
          </cell>
          <cell r="JC131" t="str">
            <v>BS_EMBEDDED_VALUE</v>
          </cell>
          <cell r="JD131"/>
          <cell r="JE131" t="str">
            <v>BOLD</v>
          </cell>
        </row>
        <row r="132">
          <cell r="A132">
            <v>131</v>
          </cell>
          <cell r="D132"/>
          <cell r="E132" t="str">
            <v>BOLD</v>
          </cell>
          <cell r="F132" t="str">
            <v>Card Mgd LLR to Card Delinqs Mgd</v>
          </cell>
          <cell r="G132" t="str">
            <v>CARD_MGD_LLR_TO_TOT_CARD_DELQ</v>
          </cell>
          <cell r="H132"/>
          <cell r="I132" t="str">
            <v>BOLD</v>
          </cell>
          <cell r="P132"/>
          <cell r="Q132" t="str">
            <v>BOLD</v>
          </cell>
          <cell r="T132"/>
          <cell r="U132" t="str">
            <v>BOLD</v>
          </cell>
          <cell r="X132"/>
          <cell r="Y132" t="str">
            <v>BOLD</v>
          </cell>
          <cell r="AB132"/>
          <cell r="AC132" t="str">
            <v>BOLD</v>
          </cell>
          <cell r="AF132"/>
          <cell r="AG132" t="str">
            <v>BOLD</v>
          </cell>
          <cell r="AJ132"/>
          <cell r="AK132" t="str">
            <v>BOLD</v>
          </cell>
          <cell r="AN132"/>
          <cell r="AO132" t="str">
            <v>BOLD</v>
          </cell>
          <cell r="AR132"/>
          <cell r="AS132" t="str">
            <v>BOLD</v>
          </cell>
          <cell r="AV132"/>
          <cell r="AW132" t="str">
            <v>BOLD</v>
          </cell>
          <cell r="AZ132"/>
          <cell r="BA132" t="str">
            <v>BOLD</v>
          </cell>
          <cell r="BD132"/>
          <cell r="BE132" t="str">
            <v>BOLD</v>
          </cell>
          <cell r="BH132"/>
          <cell r="BI132" t="str">
            <v>BOLD</v>
          </cell>
          <cell r="BL132"/>
          <cell r="BM132" t="str">
            <v>BOLD</v>
          </cell>
          <cell r="BP132"/>
          <cell r="BQ132" t="str">
            <v>BOLD</v>
          </cell>
          <cell r="BT132"/>
          <cell r="BU132" t="str">
            <v>BOLD</v>
          </cell>
          <cell r="BX132"/>
          <cell r="BY132" t="str">
            <v>BOLD</v>
          </cell>
          <cell r="CB132"/>
          <cell r="CC132" t="str">
            <v>BOLD</v>
          </cell>
          <cell r="CF132"/>
          <cell r="CG132" t="str">
            <v>BOLD</v>
          </cell>
          <cell r="CJ132"/>
          <cell r="CK132" t="str">
            <v>BOLD</v>
          </cell>
          <cell r="CN132"/>
          <cell r="CO132" t="str">
            <v>BOLD</v>
          </cell>
          <cell r="CR132"/>
          <cell r="CS132" t="str">
            <v>BOLD</v>
          </cell>
          <cell r="CV132"/>
          <cell r="CW132" t="str">
            <v>BOLD</v>
          </cell>
          <cell r="CZ132"/>
          <cell r="DA132" t="str">
            <v>BOLD</v>
          </cell>
          <cell r="DD132"/>
          <cell r="DE132" t="str">
            <v>BOLD</v>
          </cell>
          <cell r="DH132"/>
          <cell r="DI132" t="str">
            <v>BOLD</v>
          </cell>
          <cell r="DL132"/>
          <cell r="DM132" t="str">
            <v>BOLD</v>
          </cell>
          <cell r="DP132"/>
          <cell r="DQ132" t="str">
            <v>BOLD</v>
          </cell>
          <cell r="DT132"/>
          <cell r="DU132" t="str">
            <v>BOLD</v>
          </cell>
          <cell r="DX132"/>
          <cell r="DY132" t="str">
            <v>BOLD</v>
          </cell>
          <cell r="EB132"/>
          <cell r="EC132" t="str">
            <v>BOLD</v>
          </cell>
          <cell r="EF132"/>
          <cell r="EG132" t="str">
            <v>BOLD</v>
          </cell>
          <cell r="EJ132"/>
          <cell r="EK132" t="str">
            <v>BOLD</v>
          </cell>
          <cell r="EN132"/>
          <cell r="EO132" t="str">
            <v>BOLD</v>
          </cell>
          <cell r="ER132"/>
          <cell r="ES132" t="str">
            <v>BOLD</v>
          </cell>
          <cell r="EV132"/>
          <cell r="EW132" t="str">
            <v>BOLD</v>
          </cell>
          <cell r="EZ132"/>
          <cell r="FA132" t="str">
            <v>BOLD</v>
          </cell>
          <cell r="FD132"/>
          <cell r="FE132" t="str">
            <v>BOLD</v>
          </cell>
          <cell r="FH132"/>
          <cell r="FI132" t="str">
            <v>BOLD</v>
          </cell>
          <cell r="FL132"/>
          <cell r="FM132" t="str">
            <v>BOLD</v>
          </cell>
          <cell r="FP132"/>
          <cell r="FQ132" t="str">
            <v>BOLD</v>
          </cell>
          <cell r="FT132"/>
          <cell r="FU132" t="str">
            <v>BOLD</v>
          </cell>
          <cell r="FX132"/>
          <cell r="FY132" t="str">
            <v>BOLD</v>
          </cell>
          <cell r="GB132"/>
          <cell r="GC132" t="str">
            <v>BOLD</v>
          </cell>
          <cell r="GF132"/>
          <cell r="GG132" t="str">
            <v>BOLD</v>
          </cell>
          <cell r="GJ132"/>
          <cell r="GK132" t="str">
            <v>BOLD</v>
          </cell>
          <cell r="GN132"/>
          <cell r="GO132" t="str">
            <v>BOLD</v>
          </cell>
          <cell r="GR132"/>
          <cell r="GS132" t="str">
            <v>BOLD</v>
          </cell>
          <cell r="GV132"/>
          <cell r="GW132" t="str">
            <v>BOLD</v>
          </cell>
          <cell r="GZ132"/>
          <cell r="HA132" t="str">
            <v>BOLD</v>
          </cell>
          <cell r="HD132"/>
          <cell r="HE132" t="str">
            <v>BOLD</v>
          </cell>
          <cell r="HH132"/>
          <cell r="HI132" t="str">
            <v>BOLD</v>
          </cell>
          <cell r="HL132"/>
          <cell r="HM132" t="str">
            <v>BOLD</v>
          </cell>
          <cell r="HP132"/>
          <cell r="HQ132" t="str">
            <v>BOLD</v>
          </cell>
          <cell r="HT132"/>
          <cell r="HU132" t="str">
            <v>BOLD</v>
          </cell>
          <cell r="HV132" t="str">
            <v>Fair Value Assets Recurring - Total</v>
          </cell>
          <cell r="HW132" t="str">
            <v>BS_FV_ASSETS_REC_TOTAL</v>
          </cell>
          <cell r="HX132"/>
          <cell r="HY132" t="str">
            <v>BOLD</v>
          </cell>
          <cell r="HZ132" t="str">
            <v>EV- Net Income</v>
          </cell>
          <cell r="IA132" t="str">
            <v>IS_EV_NET_INCOME</v>
          </cell>
          <cell r="IB132"/>
          <cell r="IC132" t="str">
            <v>BOLD</v>
          </cell>
          <cell r="IP132" t="str">
            <v>Other</v>
          </cell>
          <cell r="IQ132" t="str">
            <v>AVG_ELECTRIC_OTHER_REV_PER_CSTMR</v>
          </cell>
          <cell r="IR132"/>
          <cell r="IS132" t="str">
            <v>BOLD</v>
          </cell>
          <cell r="IX132" t="str">
            <v>Net Interest Income Sensitivity % (200 BP Increase)</v>
          </cell>
          <cell r="IY132" t="str">
            <v>%_SENSITIVITY_NII_FOR_100_BP_INC</v>
          </cell>
          <cell r="IZ132"/>
          <cell r="JA132" t="str">
            <v>BOLD</v>
          </cell>
          <cell r="JB132" t="str">
            <v>EV- Net Income</v>
          </cell>
          <cell r="JC132" t="str">
            <v>IS_EV_NET_INCOME</v>
          </cell>
          <cell r="JD132"/>
          <cell r="JE132" t="str">
            <v>BOLD</v>
          </cell>
        </row>
        <row r="133">
          <cell r="A133">
            <v>132</v>
          </cell>
          <cell r="D133"/>
          <cell r="E133" t="str">
            <v>BOLD</v>
          </cell>
          <cell r="F133" t="str">
            <v>LLR to Annualized Net Charge Offs</v>
          </cell>
          <cell r="G133" t="str">
            <v>LLR_TO_ANNUAL_NET_CHARGE_OFFS</v>
          </cell>
          <cell r="H133"/>
          <cell r="I133" t="str">
            <v>BOLD</v>
          </cell>
          <cell r="P133"/>
          <cell r="Q133" t="str">
            <v>BOLD</v>
          </cell>
          <cell r="T133"/>
          <cell r="U133" t="str">
            <v>BOLD</v>
          </cell>
          <cell r="X133"/>
          <cell r="Y133" t="str">
            <v>BOLD</v>
          </cell>
          <cell r="AB133"/>
          <cell r="AC133" t="str">
            <v>BOLD</v>
          </cell>
          <cell r="AF133"/>
          <cell r="AG133" t="str">
            <v>BOLD</v>
          </cell>
          <cell r="AJ133"/>
          <cell r="AK133" t="str">
            <v>BOLD</v>
          </cell>
          <cell r="AN133"/>
          <cell r="AO133" t="str">
            <v>BOLD</v>
          </cell>
          <cell r="AR133"/>
          <cell r="AS133" t="str">
            <v>BOLD</v>
          </cell>
          <cell r="AV133"/>
          <cell r="AW133" t="str">
            <v>BOLD</v>
          </cell>
          <cell r="AZ133"/>
          <cell r="BA133" t="str">
            <v>BOLD</v>
          </cell>
          <cell r="BD133"/>
          <cell r="BE133" t="str">
            <v>BOLD</v>
          </cell>
          <cell r="BH133"/>
          <cell r="BI133" t="str">
            <v>BOLD</v>
          </cell>
          <cell r="BL133"/>
          <cell r="BM133" t="str">
            <v>BOLD</v>
          </cell>
          <cell r="BP133"/>
          <cell r="BQ133" t="str">
            <v>BOLD</v>
          </cell>
          <cell r="BT133"/>
          <cell r="BU133" t="str">
            <v>BOLD</v>
          </cell>
          <cell r="BX133"/>
          <cell r="BY133" t="str">
            <v>BOLD</v>
          </cell>
          <cell r="CB133"/>
          <cell r="CC133" t="str">
            <v>BOLD</v>
          </cell>
          <cell r="CF133"/>
          <cell r="CG133" t="str">
            <v>BOLD</v>
          </cell>
          <cell r="CJ133"/>
          <cell r="CK133" t="str">
            <v>BOLD</v>
          </cell>
          <cell r="CN133"/>
          <cell r="CO133" t="str">
            <v>BOLD</v>
          </cell>
          <cell r="CR133"/>
          <cell r="CS133" t="str">
            <v>BOLD</v>
          </cell>
          <cell r="CV133"/>
          <cell r="CW133" t="str">
            <v>BOLD</v>
          </cell>
          <cell r="CZ133"/>
          <cell r="DA133" t="str">
            <v>BOLD</v>
          </cell>
          <cell r="DD133"/>
          <cell r="DE133" t="str">
            <v>BOLD</v>
          </cell>
          <cell r="DH133"/>
          <cell r="DI133" t="str">
            <v>BOLD</v>
          </cell>
          <cell r="DL133"/>
          <cell r="DM133" t="str">
            <v>BOLD</v>
          </cell>
          <cell r="DP133"/>
          <cell r="DQ133" t="str">
            <v>BOLD</v>
          </cell>
          <cell r="DT133"/>
          <cell r="DU133" t="str">
            <v>BOLD</v>
          </cell>
          <cell r="DX133"/>
          <cell r="DY133" t="str">
            <v>BOLD</v>
          </cell>
          <cell r="EB133"/>
          <cell r="EC133" t="str">
            <v>BOLD</v>
          </cell>
          <cell r="EF133"/>
          <cell r="EG133" t="str">
            <v>BOLD</v>
          </cell>
          <cell r="EJ133"/>
          <cell r="EK133" t="str">
            <v>BOLD</v>
          </cell>
          <cell r="EN133"/>
          <cell r="EO133" t="str">
            <v>BOLD</v>
          </cell>
          <cell r="ER133"/>
          <cell r="ES133" t="str">
            <v>BOLD</v>
          </cell>
          <cell r="EV133"/>
          <cell r="EW133" t="str">
            <v>BOLD</v>
          </cell>
          <cell r="EZ133"/>
          <cell r="FA133" t="str">
            <v>BOLD</v>
          </cell>
          <cell r="FD133"/>
          <cell r="FE133" t="str">
            <v>BOLD</v>
          </cell>
          <cell r="FH133"/>
          <cell r="FI133" t="str">
            <v>BOLD</v>
          </cell>
          <cell r="FL133"/>
          <cell r="FM133" t="str">
            <v>BOLD</v>
          </cell>
          <cell r="FP133"/>
          <cell r="FQ133" t="str">
            <v>BOLD</v>
          </cell>
          <cell r="FT133"/>
          <cell r="FU133" t="str">
            <v>BOLD</v>
          </cell>
          <cell r="FX133"/>
          <cell r="FY133" t="str">
            <v>BOLD</v>
          </cell>
          <cell r="GB133"/>
          <cell r="GC133" t="str">
            <v>BOLD</v>
          </cell>
          <cell r="GF133"/>
          <cell r="GG133" t="str">
            <v>BOLD</v>
          </cell>
          <cell r="GJ133"/>
          <cell r="GK133" t="str">
            <v>BOLD</v>
          </cell>
          <cell r="GN133"/>
          <cell r="GO133" t="str">
            <v>BOLD</v>
          </cell>
          <cell r="GR133"/>
          <cell r="GS133" t="str">
            <v>BOLD</v>
          </cell>
          <cell r="GV133"/>
          <cell r="GW133" t="str">
            <v>BOLD</v>
          </cell>
          <cell r="GZ133"/>
          <cell r="HA133" t="str">
            <v>BOLD</v>
          </cell>
          <cell r="HD133"/>
          <cell r="HE133" t="str">
            <v>BOLD</v>
          </cell>
          <cell r="HH133"/>
          <cell r="HI133" t="str">
            <v>BOLD</v>
          </cell>
          <cell r="HL133"/>
          <cell r="HM133" t="str">
            <v>BOLD</v>
          </cell>
          <cell r="HP133"/>
          <cell r="HQ133" t="str">
            <v>BOLD</v>
          </cell>
          <cell r="HT133"/>
          <cell r="HU133" t="str">
            <v>BOLD</v>
          </cell>
          <cell r="HV133" t="str">
            <v>Level 1 Assets/Total Assets</v>
          </cell>
          <cell r="HW133" t="str">
            <v>LEVEL_1_ASSETS_TO_TOTAL_ASSETS</v>
          </cell>
          <cell r="HX133"/>
          <cell r="HY133" t="str">
            <v>BOLD</v>
          </cell>
          <cell r="HZ133" t="str">
            <v>EV- Basic EPS</v>
          </cell>
          <cell r="IA133" t="str">
            <v>IS_EV_BASIC_EPS</v>
          </cell>
          <cell r="IB133" t="str">
            <v>EPS</v>
          </cell>
          <cell r="IC133" t="str">
            <v>BOLDEPS</v>
          </cell>
          <cell r="IP133" t="str">
            <v>Total</v>
          </cell>
          <cell r="IQ133" t="str">
            <v>AVG_TOT_ELECTRIC_REV_PER_CSTMR</v>
          </cell>
          <cell r="IR133"/>
          <cell r="IS133" t="str">
            <v>BOLD</v>
          </cell>
          <cell r="JB133" t="str">
            <v>EV- Basic EPS</v>
          </cell>
          <cell r="JC133" t="str">
            <v>IS_EV_BASIC_EPS</v>
          </cell>
          <cell r="JD133" t="str">
            <v>EPS</v>
          </cell>
          <cell r="JE133" t="str">
            <v>BOLDEPS</v>
          </cell>
        </row>
        <row r="134">
          <cell r="A134">
            <v>133</v>
          </cell>
          <cell r="D134"/>
          <cell r="E134" t="str">
            <v>BOLD</v>
          </cell>
          <cell r="F134" t="str">
            <v>Card Mgd LLR to Card NCO - Mgd</v>
          </cell>
          <cell r="G134" t="str">
            <v>CARD_MGD_LLR_TO_ANN_CARD_NCO_MB</v>
          </cell>
          <cell r="H134"/>
          <cell r="I134" t="str">
            <v>BOLD</v>
          </cell>
          <cell r="P134"/>
          <cell r="Q134" t="str">
            <v>BOLD</v>
          </cell>
          <cell r="T134"/>
          <cell r="U134" t="str">
            <v>BOLD</v>
          </cell>
          <cell r="X134"/>
          <cell r="Y134" t="str">
            <v>BOLD</v>
          </cell>
          <cell r="AB134"/>
          <cell r="AC134" t="str">
            <v>BOLD</v>
          </cell>
          <cell r="AF134"/>
          <cell r="AG134" t="str">
            <v>BOLD</v>
          </cell>
          <cell r="AJ134"/>
          <cell r="AK134" t="str">
            <v>BOLD</v>
          </cell>
          <cell r="AN134"/>
          <cell r="AO134" t="str">
            <v>BOLD</v>
          </cell>
          <cell r="AR134"/>
          <cell r="AS134" t="str">
            <v>BOLD</v>
          </cell>
          <cell r="AV134"/>
          <cell r="AW134" t="str">
            <v>BOLD</v>
          </cell>
          <cell r="AZ134"/>
          <cell r="BA134" t="str">
            <v>BOLD</v>
          </cell>
          <cell r="BD134"/>
          <cell r="BE134" t="str">
            <v>BOLD</v>
          </cell>
          <cell r="BH134"/>
          <cell r="BI134" t="str">
            <v>BOLD</v>
          </cell>
          <cell r="BL134"/>
          <cell r="BM134" t="str">
            <v>BOLD</v>
          </cell>
          <cell r="BP134"/>
          <cell r="BQ134" t="str">
            <v>BOLD</v>
          </cell>
          <cell r="BT134"/>
          <cell r="BU134" t="str">
            <v>BOLD</v>
          </cell>
          <cell r="BX134"/>
          <cell r="BY134" t="str">
            <v>BOLD</v>
          </cell>
          <cell r="CB134"/>
          <cell r="CC134" t="str">
            <v>BOLD</v>
          </cell>
          <cell r="CF134"/>
          <cell r="CG134" t="str">
            <v>BOLD</v>
          </cell>
          <cell r="CJ134"/>
          <cell r="CK134" t="str">
            <v>BOLD</v>
          </cell>
          <cell r="CN134"/>
          <cell r="CO134" t="str">
            <v>BOLD</v>
          </cell>
          <cell r="CR134"/>
          <cell r="CS134" t="str">
            <v>BOLD</v>
          </cell>
          <cell r="CV134"/>
          <cell r="CW134" t="str">
            <v>BOLD</v>
          </cell>
          <cell r="CZ134"/>
          <cell r="DA134" t="str">
            <v>BOLD</v>
          </cell>
          <cell r="DD134"/>
          <cell r="DE134" t="str">
            <v>BOLD</v>
          </cell>
          <cell r="DH134"/>
          <cell r="DI134" t="str">
            <v>BOLD</v>
          </cell>
          <cell r="DL134"/>
          <cell r="DM134" t="str">
            <v>BOLD</v>
          </cell>
          <cell r="DP134"/>
          <cell r="DQ134" t="str">
            <v>BOLD</v>
          </cell>
          <cell r="DT134"/>
          <cell r="DU134" t="str">
            <v>BOLD</v>
          </cell>
          <cell r="DX134"/>
          <cell r="DY134" t="str">
            <v>BOLD</v>
          </cell>
          <cell r="EB134"/>
          <cell r="EC134" t="str">
            <v>BOLD</v>
          </cell>
          <cell r="EF134"/>
          <cell r="EG134" t="str">
            <v>BOLD</v>
          </cell>
          <cell r="EJ134"/>
          <cell r="EK134" t="str">
            <v>BOLD</v>
          </cell>
          <cell r="EN134"/>
          <cell r="EO134" t="str">
            <v>BOLD</v>
          </cell>
          <cell r="ER134"/>
          <cell r="ES134" t="str">
            <v>BOLD</v>
          </cell>
          <cell r="EV134"/>
          <cell r="EW134" t="str">
            <v>BOLD</v>
          </cell>
          <cell r="EZ134"/>
          <cell r="FA134" t="str">
            <v>BOLD</v>
          </cell>
          <cell r="FD134"/>
          <cell r="FE134" t="str">
            <v>BOLD</v>
          </cell>
          <cell r="FH134"/>
          <cell r="FI134" t="str">
            <v>BOLD</v>
          </cell>
          <cell r="FL134"/>
          <cell r="FM134" t="str">
            <v>BOLD</v>
          </cell>
          <cell r="FP134"/>
          <cell r="FQ134" t="str">
            <v>BOLD</v>
          </cell>
          <cell r="FT134"/>
          <cell r="FU134" t="str">
            <v>BOLD</v>
          </cell>
          <cell r="FX134"/>
          <cell r="FY134" t="str">
            <v>BOLD</v>
          </cell>
          <cell r="GB134"/>
          <cell r="GC134" t="str">
            <v>BOLD</v>
          </cell>
          <cell r="GF134"/>
          <cell r="GG134" t="str">
            <v>BOLD</v>
          </cell>
          <cell r="GJ134"/>
          <cell r="GK134" t="str">
            <v>BOLD</v>
          </cell>
          <cell r="GN134"/>
          <cell r="GO134" t="str">
            <v>BOLD</v>
          </cell>
          <cell r="GR134"/>
          <cell r="GS134" t="str">
            <v>BOLD</v>
          </cell>
          <cell r="GV134"/>
          <cell r="GW134" t="str">
            <v>BOLD</v>
          </cell>
          <cell r="GZ134"/>
          <cell r="HA134" t="str">
            <v>BOLD</v>
          </cell>
          <cell r="HD134"/>
          <cell r="HE134" t="str">
            <v>BOLD</v>
          </cell>
          <cell r="HH134"/>
          <cell r="HI134" t="str">
            <v>BOLD</v>
          </cell>
          <cell r="HL134"/>
          <cell r="HM134" t="str">
            <v>BOLD</v>
          </cell>
          <cell r="HP134"/>
          <cell r="HQ134" t="str">
            <v>BOLD</v>
          </cell>
          <cell r="HT134"/>
          <cell r="HU134" t="str">
            <v>BOLD</v>
          </cell>
          <cell r="HV134" t="str">
            <v>Level 2 Assets/Total Assets</v>
          </cell>
          <cell r="HW134" t="str">
            <v>LEVEL_2_ASSETS_TO_TOTAL_ASSETS</v>
          </cell>
          <cell r="HX134"/>
          <cell r="HY134" t="str">
            <v>BOLD</v>
          </cell>
          <cell r="IR134"/>
          <cell r="IS134" t="str">
            <v>BOLD</v>
          </cell>
        </row>
        <row r="135">
          <cell r="A135">
            <v>134</v>
          </cell>
          <cell r="D135"/>
          <cell r="E135" t="str">
            <v>BOLD</v>
          </cell>
          <cell r="F135" t="str">
            <v>Card Mgd LLR to Mgd Card Loans</v>
          </cell>
          <cell r="G135" t="str">
            <v>CARD_MGD_LLR_TO_MGD_CARD_LNS</v>
          </cell>
          <cell r="H135"/>
          <cell r="I135" t="str">
            <v>BOLD</v>
          </cell>
          <cell r="P135"/>
          <cell r="Q135" t="str">
            <v>BOLD</v>
          </cell>
          <cell r="T135"/>
          <cell r="U135" t="str">
            <v>BOLD</v>
          </cell>
          <cell r="X135"/>
          <cell r="Y135" t="str">
            <v>BOLD</v>
          </cell>
          <cell r="AB135"/>
          <cell r="AC135" t="str">
            <v>BOLD</v>
          </cell>
          <cell r="AF135"/>
          <cell r="AG135" t="str">
            <v>BOLD</v>
          </cell>
          <cell r="AJ135"/>
          <cell r="AK135" t="str">
            <v>BOLD</v>
          </cell>
          <cell r="AN135"/>
          <cell r="AO135" t="str">
            <v>BOLD</v>
          </cell>
          <cell r="AR135"/>
          <cell r="AS135" t="str">
            <v>BOLD</v>
          </cell>
          <cell r="AV135"/>
          <cell r="AW135" t="str">
            <v>BOLD</v>
          </cell>
          <cell r="AZ135"/>
          <cell r="BA135" t="str">
            <v>BOLD</v>
          </cell>
          <cell r="BD135"/>
          <cell r="BE135" t="str">
            <v>BOLD</v>
          </cell>
          <cell r="BH135"/>
          <cell r="BI135" t="str">
            <v>BOLD</v>
          </cell>
          <cell r="BL135"/>
          <cell r="BM135" t="str">
            <v>BOLD</v>
          </cell>
          <cell r="BP135"/>
          <cell r="BQ135" t="str">
            <v>BOLD</v>
          </cell>
          <cell r="BT135"/>
          <cell r="BU135" t="str">
            <v>BOLD</v>
          </cell>
          <cell r="BX135"/>
          <cell r="BY135" t="str">
            <v>BOLD</v>
          </cell>
          <cell r="CB135"/>
          <cell r="CC135" t="str">
            <v>BOLD</v>
          </cell>
          <cell r="CF135"/>
          <cell r="CG135" t="str">
            <v>BOLD</v>
          </cell>
          <cell r="CJ135"/>
          <cell r="CK135" t="str">
            <v>BOLD</v>
          </cell>
          <cell r="CN135"/>
          <cell r="CO135" t="str">
            <v>BOLD</v>
          </cell>
          <cell r="CR135"/>
          <cell r="CS135" t="str">
            <v>BOLD</v>
          </cell>
          <cell r="CV135"/>
          <cell r="CW135" t="str">
            <v>BOLD</v>
          </cell>
          <cell r="CZ135"/>
          <cell r="DA135" t="str">
            <v>BOLD</v>
          </cell>
          <cell r="DD135"/>
          <cell r="DE135" t="str">
            <v>BOLD</v>
          </cell>
          <cell r="DH135"/>
          <cell r="DI135" t="str">
            <v>BOLD</v>
          </cell>
          <cell r="DL135"/>
          <cell r="DM135" t="str">
            <v>BOLD</v>
          </cell>
          <cell r="DP135"/>
          <cell r="DQ135" t="str">
            <v>BOLD</v>
          </cell>
          <cell r="DT135"/>
          <cell r="DU135" t="str">
            <v>BOLD</v>
          </cell>
          <cell r="DX135"/>
          <cell r="DY135" t="str">
            <v>BOLD</v>
          </cell>
          <cell r="EB135"/>
          <cell r="EC135" t="str">
            <v>BOLD</v>
          </cell>
          <cell r="EF135"/>
          <cell r="EG135" t="str">
            <v>BOLD</v>
          </cell>
          <cell r="EJ135"/>
          <cell r="EK135" t="str">
            <v>BOLD</v>
          </cell>
          <cell r="EN135"/>
          <cell r="EO135" t="str">
            <v>BOLD</v>
          </cell>
          <cell r="ER135"/>
          <cell r="ES135" t="str">
            <v>BOLD</v>
          </cell>
          <cell r="EV135"/>
          <cell r="EW135" t="str">
            <v>BOLD</v>
          </cell>
          <cell r="EZ135"/>
          <cell r="FA135" t="str">
            <v>BOLD</v>
          </cell>
          <cell r="FD135"/>
          <cell r="FE135" t="str">
            <v>BOLD</v>
          </cell>
          <cell r="FH135"/>
          <cell r="FI135" t="str">
            <v>BOLD</v>
          </cell>
          <cell r="FL135"/>
          <cell r="FM135" t="str">
            <v>BOLD</v>
          </cell>
          <cell r="FP135"/>
          <cell r="FQ135" t="str">
            <v>BOLD</v>
          </cell>
          <cell r="FT135"/>
          <cell r="FU135" t="str">
            <v>BOLD</v>
          </cell>
          <cell r="FX135"/>
          <cell r="FY135" t="str">
            <v>BOLD</v>
          </cell>
          <cell r="GB135"/>
          <cell r="GC135" t="str">
            <v>BOLD</v>
          </cell>
          <cell r="GF135"/>
          <cell r="GG135" t="str">
            <v>BOLD</v>
          </cell>
          <cell r="GJ135"/>
          <cell r="GK135" t="str">
            <v>BOLD</v>
          </cell>
          <cell r="GN135"/>
          <cell r="GO135" t="str">
            <v>BOLD</v>
          </cell>
          <cell r="GR135"/>
          <cell r="GS135" t="str">
            <v>BOLD</v>
          </cell>
          <cell r="GV135"/>
          <cell r="GW135" t="str">
            <v>BOLD</v>
          </cell>
          <cell r="GZ135"/>
          <cell r="HA135" t="str">
            <v>BOLD</v>
          </cell>
          <cell r="HD135"/>
          <cell r="HE135" t="str">
            <v>BOLD</v>
          </cell>
          <cell r="HH135"/>
          <cell r="HI135" t="str">
            <v>BOLD</v>
          </cell>
          <cell r="HL135"/>
          <cell r="HM135" t="str">
            <v>BOLD</v>
          </cell>
          <cell r="HP135"/>
          <cell r="HQ135" t="str">
            <v>BOLD</v>
          </cell>
          <cell r="HT135"/>
          <cell r="HU135" t="str">
            <v>BOLD</v>
          </cell>
          <cell r="HV135" t="str">
            <v>Level 3 Assets/Total Assets</v>
          </cell>
          <cell r="HW135" t="str">
            <v>LEVEL_3_ASSETS_TO_TOTAL_ASSETS</v>
          </cell>
          <cell r="HX135"/>
          <cell r="HY135" t="str">
            <v>BOLD</v>
          </cell>
          <cell r="IP135" t="str">
            <v>Gross Electric Plant Investment Per Customer</v>
          </cell>
          <cell r="IQ135" t="str">
            <v>GR_ELECT_PLNT_INVEST_PER_CSTMR</v>
          </cell>
          <cell r="IR135"/>
          <cell r="IS135" t="str">
            <v>BOLD</v>
          </cell>
        </row>
        <row r="136">
          <cell r="A136">
            <v>135</v>
          </cell>
          <cell r="D136"/>
          <cell r="E136" t="str">
            <v>BOLD</v>
          </cell>
          <cell r="F136" t="str">
            <v>Card LLR % Delinquencies</v>
          </cell>
          <cell r="G136" t="str">
            <v>CARD_LLR_%_DELINQUENCIES</v>
          </cell>
          <cell r="H136"/>
          <cell r="I136" t="str">
            <v>BOLD</v>
          </cell>
          <cell r="P136"/>
          <cell r="Q136" t="str">
            <v>BOLD</v>
          </cell>
          <cell r="T136"/>
          <cell r="U136" t="str">
            <v>BOLD</v>
          </cell>
          <cell r="X136"/>
          <cell r="Y136" t="str">
            <v>BOLD</v>
          </cell>
          <cell r="AB136"/>
          <cell r="AC136" t="str">
            <v>BOLD</v>
          </cell>
          <cell r="AF136"/>
          <cell r="AG136" t="str">
            <v>BOLD</v>
          </cell>
          <cell r="AJ136"/>
          <cell r="AK136" t="str">
            <v>BOLD</v>
          </cell>
          <cell r="AN136"/>
          <cell r="AO136" t="str">
            <v>BOLD</v>
          </cell>
          <cell r="AR136"/>
          <cell r="AS136" t="str">
            <v>BOLD</v>
          </cell>
          <cell r="AV136"/>
          <cell r="AW136" t="str">
            <v>BOLD</v>
          </cell>
          <cell r="AZ136"/>
          <cell r="BA136" t="str">
            <v>BOLD</v>
          </cell>
          <cell r="BD136"/>
          <cell r="BE136" t="str">
            <v>BOLD</v>
          </cell>
          <cell r="BH136"/>
          <cell r="BI136" t="str">
            <v>BOLD</v>
          </cell>
          <cell r="BL136"/>
          <cell r="BM136" t="str">
            <v>BOLD</v>
          </cell>
          <cell r="BP136"/>
          <cell r="BQ136" t="str">
            <v>BOLD</v>
          </cell>
          <cell r="BT136"/>
          <cell r="BU136" t="str">
            <v>BOLD</v>
          </cell>
          <cell r="BX136"/>
          <cell r="BY136" t="str">
            <v>BOLD</v>
          </cell>
          <cell r="CB136"/>
          <cell r="CC136" t="str">
            <v>BOLD</v>
          </cell>
          <cell r="CF136"/>
          <cell r="CG136" t="str">
            <v>BOLD</v>
          </cell>
          <cell r="CJ136"/>
          <cell r="CK136" t="str">
            <v>BOLD</v>
          </cell>
          <cell r="CN136"/>
          <cell r="CO136" t="str">
            <v>BOLD</v>
          </cell>
          <cell r="CR136"/>
          <cell r="CS136" t="str">
            <v>BOLD</v>
          </cell>
          <cell r="CV136"/>
          <cell r="CW136" t="str">
            <v>BOLD</v>
          </cell>
          <cell r="CZ136"/>
          <cell r="DA136" t="str">
            <v>BOLD</v>
          </cell>
          <cell r="DD136"/>
          <cell r="DE136" t="str">
            <v>BOLD</v>
          </cell>
          <cell r="DH136"/>
          <cell r="DI136" t="str">
            <v>BOLD</v>
          </cell>
          <cell r="DL136"/>
          <cell r="DM136" t="str">
            <v>BOLD</v>
          </cell>
          <cell r="DP136"/>
          <cell r="DQ136" t="str">
            <v>BOLD</v>
          </cell>
          <cell r="DT136"/>
          <cell r="DU136" t="str">
            <v>BOLD</v>
          </cell>
          <cell r="DX136"/>
          <cell r="DY136" t="str">
            <v>BOLD</v>
          </cell>
          <cell r="EB136"/>
          <cell r="EC136" t="str">
            <v>BOLD</v>
          </cell>
          <cell r="EF136"/>
          <cell r="EG136" t="str">
            <v>BOLD</v>
          </cell>
          <cell r="EJ136"/>
          <cell r="EK136" t="str">
            <v>BOLD</v>
          </cell>
          <cell r="EN136"/>
          <cell r="EO136" t="str">
            <v>BOLD</v>
          </cell>
          <cell r="ER136"/>
          <cell r="ES136" t="str">
            <v>BOLD</v>
          </cell>
          <cell r="EV136"/>
          <cell r="EW136" t="str">
            <v>BOLD</v>
          </cell>
          <cell r="EZ136"/>
          <cell r="FA136" t="str">
            <v>BOLD</v>
          </cell>
          <cell r="FD136"/>
          <cell r="FE136" t="str">
            <v>BOLD</v>
          </cell>
          <cell r="FH136"/>
          <cell r="FI136" t="str">
            <v>BOLD</v>
          </cell>
          <cell r="FL136"/>
          <cell r="FM136" t="str">
            <v>BOLD</v>
          </cell>
          <cell r="FP136"/>
          <cell r="FQ136" t="str">
            <v>BOLD</v>
          </cell>
          <cell r="FT136"/>
          <cell r="FU136" t="str">
            <v>BOLD</v>
          </cell>
          <cell r="FX136"/>
          <cell r="FY136" t="str">
            <v>BOLD</v>
          </cell>
          <cell r="GB136"/>
          <cell r="GC136" t="str">
            <v>BOLD</v>
          </cell>
          <cell r="GF136"/>
          <cell r="GG136" t="str">
            <v>BOLD</v>
          </cell>
          <cell r="GJ136"/>
          <cell r="GK136" t="str">
            <v>BOLD</v>
          </cell>
          <cell r="GN136"/>
          <cell r="GO136" t="str">
            <v>BOLD</v>
          </cell>
          <cell r="GR136"/>
          <cell r="GS136" t="str">
            <v>BOLD</v>
          </cell>
          <cell r="GV136"/>
          <cell r="GW136" t="str">
            <v>BOLD</v>
          </cell>
          <cell r="GZ136"/>
          <cell r="HA136" t="str">
            <v>BOLD</v>
          </cell>
          <cell r="HD136"/>
          <cell r="HE136" t="str">
            <v>BOLD</v>
          </cell>
          <cell r="HH136"/>
          <cell r="HI136" t="str">
            <v>BOLD</v>
          </cell>
          <cell r="HL136"/>
          <cell r="HM136" t="str">
            <v>BOLD</v>
          </cell>
          <cell r="HP136"/>
          <cell r="HQ136" t="str">
            <v>BOLD</v>
          </cell>
          <cell r="HT136"/>
          <cell r="HU136" t="str">
            <v>BOLD</v>
          </cell>
          <cell r="HV136" t="str">
            <v>Total Fair Value Assets/Total Assets</v>
          </cell>
          <cell r="HW136" t="str">
            <v>TOT_FAIR_VAL_ASSET_TO_TOT_ASSETS</v>
          </cell>
          <cell r="HX136"/>
          <cell r="HY136" t="str">
            <v>BOLD</v>
          </cell>
          <cell r="IR136"/>
          <cell r="IS136" t="str">
            <v>BOLD</v>
          </cell>
        </row>
        <row r="137">
          <cell r="A137">
            <v>136</v>
          </cell>
          <cell r="D137"/>
          <cell r="E137" t="str">
            <v>BOLD</v>
          </cell>
          <cell r="H137"/>
          <cell r="I137" t="str">
            <v>BOLD</v>
          </cell>
          <cell r="P137"/>
          <cell r="Q137" t="str">
            <v>BOLD</v>
          </cell>
          <cell r="T137"/>
          <cell r="U137" t="str">
            <v>BOLD</v>
          </cell>
          <cell r="X137"/>
          <cell r="Y137" t="str">
            <v>BOLD</v>
          </cell>
          <cell r="AB137"/>
          <cell r="AC137" t="str">
            <v>BOLD</v>
          </cell>
          <cell r="AF137"/>
          <cell r="AG137" t="str">
            <v>BOLD</v>
          </cell>
          <cell r="AJ137"/>
          <cell r="AK137" t="str">
            <v>BOLD</v>
          </cell>
          <cell r="AN137"/>
          <cell r="AO137" t="str">
            <v>BOLD</v>
          </cell>
          <cell r="AR137"/>
          <cell r="AS137" t="str">
            <v>BOLD</v>
          </cell>
          <cell r="AV137"/>
          <cell r="AW137" t="str">
            <v>BOLD</v>
          </cell>
          <cell r="AZ137"/>
          <cell r="BA137" t="str">
            <v>BOLD</v>
          </cell>
          <cell r="BD137"/>
          <cell r="BE137" t="str">
            <v>BOLD</v>
          </cell>
          <cell r="BH137"/>
          <cell r="BI137" t="str">
            <v>BOLD</v>
          </cell>
          <cell r="BL137"/>
          <cell r="BM137" t="str">
            <v>BOLD</v>
          </cell>
          <cell r="BP137"/>
          <cell r="BQ137" t="str">
            <v>BOLD</v>
          </cell>
          <cell r="BT137"/>
          <cell r="BU137" t="str">
            <v>BOLD</v>
          </cell>
          <cell r="BX137"/>
          <cell r="BY137" t="str">
            <v>BOLD</v>
          </cell>
          <cell r="CB137"/>
          <cell r="CC137" t="str">
            <v>BOLD</v>
          </cell>
          <cell r="CF137"/>
          <cell r="CG137" t="str">
            <v>BOLD</v>
          </cell>
          <cell r="CJ137"/>
          <cell r="CK137" t="str">
            <v>BOLD</v>
          </cell>
          <cell r="CN137"/>
          <cell r="CO137" t="str">
            <v>BOLD</v>
          </cell>
          <cell r="CR137"/>
          <cell r="CS137" t="str">
            <v>BOLD</v>
          </cell>
          <cell r="CV137"/>
          <cell r="CW137" t="str">
            <v>BOLD</v>
          </cell>
          <cell r="CZ137"/>
          <cell r="DA137" t="str">
            <v>BOLD</v>
          </cell>
          <cell r="DD137"/>
          <cell r="DE137" t="str">
            <v>BOLD</v>
          </cell>
          <cell r="DH137"/>
          <cell r="DI137" t="str">
            <v>BOLD</v>
          </cell>
          <cell r="DL137"/>
          <cell r="DM137" t="str">
            <v>BOLD</v>
          </cell>
          <cell r="DP137"/>
          <cell r="DQ137" t="str">
            <v>BOLD</v>
          </cell>
          <cell r="DT137"/>
          <cell r="DU137" t="str">
            <v>BOLD</v>
          </cell>
          <cell r="DX137"/>
          <cell r="DY137" t="str">
            <v>BOLD</v>
          </cell>
          <cell r="EB137"/>
          <cell r="EC137" t="str">
            <v>BOLD</v>
          </cell>
          <cell r="EF137"/>
          <cell r="EG137" t="str">
            <v>BOLD</v>
          </cell>
          <cell r="EJ137"/>
          <cell r="EK137" t="str">
            <v>BOLD</v>
          </cell>
          <cell r="EN137"/>
          <cell r="EO137" t="str">
            <v>BOLD</v>
          </cell>
          <cell r="ER137"/>
          <cell r="ES137" t="str">
            <v>BOLD</v>
          </cell>
          <cell r="EV137"/>
          <cell r="EW137" t="str">
            <v>BOLD</v>
          </cell>
          <cell r="EZ137"/>
          <cell r="FA137" t="str">
            <v>BOLD</v>
          </cell>
          <cell r="FD137"/>
          <cell r="FE137" t="str">
            <v>BOLD</v>
          </cell>
          <cell r="FH137"/>
          <cell r="FI137" t="str">
            <v>BOLD</v>
          </cell>
          <cell r="FL137"/>
          <cell r="FM137" t="str">
            <v>BOLD</v>
          </cell>
          <cell r="FP137"/>
          <cell r="FQ137" t="str">
            <v>BOLD</v>
          </cell>
          <cell r="FT137"/>
          <cell r="FU137" t="str">
            <v>BOLD</v>
          </cell>
          <cell r="FX137"/>
          <cell r="FY137" t="str">
            <v>BOLD</v>
          </cell>
          <cell r="GB137"/>
          <cell r="GC137" t="str">
            <v>BOLD</v>
          </cell>
          <cell r="GF137"/>
          <cell r="GG137" t="str">
            <v>BOLD</v>
          </cell>
          <cell r="GJ137"/>
          <cell r="GK137" t="str">
            <v>BOLD</v>
          </cell>
          <cell r="GN137"/>
          <cell r="GO137" t="str">
            <v>BOLD</v>
          </cell>
          <cell r="GR137"/>
          <cell r="GS137" t="str">
            <v>BOLD</v>
          </cell>
          <cell r="GV137"/>
          <cell r="GW137" t="str">
            <v>BOLD</v>
          </cell>
          <cell r="GZ137"/>
          <cell r="HA137" t="str">
            <v>BOLD</v>
          </cell>
          <cell r="HD137"/>
          <cell r="HE137" t="str">
            <v>BOLD</v>
          </cell>
          <cell r="HH137"/>
          <cell r="HI137" t="str">
            <v>BOLD</v>
          </cell>
          <cell r="HL137"/>
          <cell r="HM137" t="str">
            <v>BOLD</v>
          </cell>
          <cell r="HP137"/>
          <cell r="HQ137" t="str">
            <v>BOLD</v>
          </cell>
          <cell r="HT137"/>
          <cell r="HU137" t="str">
            <v>BOLD</v>
          </cell>
          <cell r="HV137" t="str">
            <v>Level 3 Assets/Total Equity</v>
          </cell>
          <cell r="HW137" t="str">
            <v>LEVEL_3_ASSETS_TO_TOTAL_EQUITY</v>
          </cell>
          <cell r="HX137"/>
          <cell r="HY137" t="str">
            <v>BOLD</v>
          </cell>
          <cell r="IP137" t="str">
            <v>Average Billed Bundled Gas Revenues Per Mcf</v>
          </cell>
          <cell r="IQ137" t="str">
            <v>LABEL</v>
          </cell>
          <cell r="IR137"/>
          <cell r="IS137" t="str">
            <v>BOLD</v>
          </cell>
        </row>
        <row r="138">
          <cell r="A138">
            <v>137</v>
          </cell>
          <cell r="D138"/>
          <cell r="E138" t="str">
            <v>BOLD</v>
          </cell>
          <cell r="F138" t="str">
            <v>Credit Metrics</v>
          </cell>
          <cell r="G138" t="str">
            <v>LABEL</v>
          </cell>
          <cell r="H138"/>
          <cell r="I138" t="str">
            <v>BOLD</v>
          </cell>
          <cell r="P138"/>
          <cell r="Q138" t="str">
            <v>BOLD</v>
          </cell>
          <cell r="T138"/>
          <cell r="U138" t="str">
            <v>BOLD</v>
          </cell>
          <cell r="X138"/>
          <cell r="Y138" t="str">
            <v>BOLD</v>
          </cell>
          <cell r="AB138"/>
          <cell r="AC138" t="str">
            <v>BOLD</v>
          </cell>
          <cell r="AF138"/>
          <cell r="AG138" t="str">
            <v>BOLD</v>
          </cell>
          <cell r="AJ138"/>
          <cell r="AK138" t="str">
            <v>BOLD</v>
          </cell>
          <cell r="AN138"/>
          <cell r="AO138" t="str">
            <v>BOLD</v>
          </cell>
          <cell r="AR138"/>
          <cell r="AS138" t="str">
            <v>BOLD</v>
          </cell>
          <cell r="AV138"/>
          <cell r="AW138" t="str">
            <v>BOLD</v>
          </cell>
          <cell r="AZ138"/>
          <cell r="BA138" t="str">
            <v>BOLD</v>
          </cell>
          <cell r="BD138"/>
          <cell r="BE138" t="str">
            <v>BOLD</v>
          </cell>
          <cell r="BH138"/>
          <cell r="BI138" t="str">
            <v>BOLD</v>
          </cell>
          <cell r="BL138"/>
          <cell r="BM138" t="str">
            <v>BOLD</v>
          </cell>
          <cell r="BP138"/>
          <cell r="BQ138" t="str">
            <v>BOLD</v>
          </cell>
          <cell r="BT138"/>
          <cell r="BU138" t="str">
            <v>BOLD</v>
          </cell>
          <cell r="BX138"/>
          <cell r="BY138" t="str">
            <v>BOLD</v>
          </cell>
          <cell r="CB138"/>
          <cell r="CC138" t="str">
            <v>BOLD</v>
          </cell>
          <cell r="CF138"/>
          <cell r="CG138" t="str">
            <v>BOLD</v>
          </cell>
          <cell r="CJ138"/>
          <cell r="CK138" t="str">
            <v>BOLD</v>
          </cell>
          <cell r="CN138"/>
          <cell r="CO138" t="str">
            <v>BOLD</v>
          </cell>
          <cell r="CR138"/>
          <cell r="CS138" t="str">
            <v>BOLD</v>
          </cell>
          <cell r="CV138"/>
          <cell r="CW138" t="str">
            <v>BOLD</v>
          </cell>
          <cell r="CZ138"/>
          <cell r="DA138" t="str">
            <v>BOLD</v>
          </cell>
          <cell r="DD138"/>
          <cell r="DE138" t="str">
            <v>BOLD</v>
          </cell>
          <cell r="DH138"/>
          <cell r="DI138" t="str">
            <v>BOLD</v>
          </cell>
          <cell r="DL138"/>
          <cell r="DM138" t="str">
            <v>BOLD</v>
          </cell>
          <cell r="DP138"/>
          <cell r="DQ138" t="str">
            <v>BOLD</v>
          </cell>
          <cell r="DT138"/>
          <cell r="DU138" t="str">
            <v>BOLD</v>
          </cell>
          <cell r="DX138"/>
          <cell r="DY138" t="str">
            <v>BOLD</v>
          </cell>
          <cell r="EB138"/>
          <cell r="EC138" t="str">
            <v>BOLD</v>
          </cell>
          <cell r="EF138"/>
          <cell r="EG138" t="str">
            <v>BOLD</v>
          </cell>
          <cell r="EJ138"/>
          <cell r="EK138" t="str">
            <v>BOLD</v>
          </cell>
          <cell r="EN138"/>
          <cell r="EO138" t="str">
            <v>BOLD</v>
          </cell>
          <cell r="ER138"/>
          <cell r="ES138" t="str">
            <v>BOLD</v>
          </cell>
          <cell r="EV138"/>
          <cell r="EW138" t="str">
            <v>BOLD</v>
          </cell>
          <cell r="EZ138"/>
          <cell r="FA138" t="str">
            <v>BOLD</v>
          </cell>
          <cell r="FD138"/>
          <cell r="FE138" t="str">
            <v>BOLD</v>
          </cell>
          <cell r="FH138"/>
          <cell r="FI138" t="str">
            <v>BOLD</v>
          </cell>
          <cell r="FL138"/>
          <cell r="FM138" t="str">
            <v>BOLD</v>
          </cell>
          <cell r="FP138"/>
          <cell r="FQ138" t="str">
            <v>BOLD</v>
          </cell>
          <cell r="FT138"/>
          <cell r="FU138" t="str">
            <v>BOLD</v>
          </cell>
          <cell r="FX138"/>
          <cell r="FY138" t="str">
            <v>BOLD</v>
          </cell>
          <cell r="GB138"/>
          <cell r="GC138" t="str">
            <v>BOLD</v>
          </cell>
          <cell r="GF138"/>
          <cell r="GG138" t="str">
            <v>BOLD</v>
          </cell>
          <cell r="GJ138"/>
          <cell r="GK138" t="str">
            <v>BOLD</v>
          </cell>
          <cell r="GN138"/>
          <cell r="GO138" t="str">
            <v>BOLD</v>
          </cell>
          <cell r="GR138"/>
          <cell r="GS138" t="str">
            <v>BOLD</v>
          </cell>
          <cell r="GV138"/>
          <cell r="GW138" t="str">
            <v>BOLD</v>
          </cell>
          <cell r="GZ138"/>
          <cell r="HA138" t="str">
            <v>BOLD</v>
          </cell>
          <cell r="HD138"/>
          <cell r="HE138" t="str">
            <v>BOLD</v>
          </cell>
          <cell r="HH138"/>
          <cell r="HI138" t="str">
            <v>BOLD</v>
          </cell>
          <cell r="HL138"/>
          <cell r="HM138" t="str">
            <v>BOLD</v>
          </cell>
          <cell r="HP138"/>
          <cell r="HQ138" t="str">
            <v>BOLD</v>
          </cell>
          <cell r="HT138"/>
          <cell r="HU138" t="str">
            <v>BOLD</v>
          </cell>
          <cell r="HV138" t="str">
            <v>Total Fair Value Assets/Total Equity</v>
          </cell>
          <cell r="HW138" t="str">
            <v>TOT_FAIR_VAL_ASSETS_TO_TOT_EQTY</v>
          </cell>
          <cell r="HX138"/>
          <cell r="HY138" t="str">
            <v>BOLD</v>
          </cell>
          <cell r="IP138" t="str">
            <v>Residential</v>
          </cell>
          <cell r="IQ138" t="str">
            <v>AVG_BILL_BNLD_GAS_RES_REVS_P_MCF</v>
          </cell>
          <cell r="IR138"/>
          <cell r="IS138" t="str">
            <v>BOLD</v>
          </cell>
        </row>
        <row r="139">
          <cell r="A139">
            <v>138</v>
          </cell>
          <cell r="D139"/>
          <cell r="E139" t="str">
            <v>BOLD</v>
          </cell>
          <cell r="F139" t="str">
            <v>Net Charge-Offs - Mgd Basis</v>
          </cell>
          <cell r="G139" t="str">
            <v>NET_CHGOFFS_MANAGED_BASIS</v>
          </cell>
          <cell r="H139"/>
          <cell r="I139" t="str">
            <v>BOLD</v>
          </cell>
          <cell r="P139"/>
          <cell r="Q139" t="str">
            <v>BOLD</v>
          </cell>
          <cell r="T139"/>
          <cell r="U139" t="str">
            <v>BOLD</v>
          </cell>
          <cell r="X139"/>
          <cell r="Y139" t="str">
            <v>BOLD</v>
          </cell>
          <cell r="AB139"/>
          <cell r="AC139" t="str">
            <v>BOLD</v>
          </cell>
          <cell r="AF139"/>
          <cell r="AG139" t="str">
            <v>BOLD</v>
          </cell>
          <cell r="AJ139"/>
          <cell r="AK139" t="str">
            <v>BOLD</v>
          </cell>
          <cell r="AN139"/>
          <cell r="AO139" t="str">
            <v>BOLD</v>
          </cell>
          <cell r="AR139"/>
          <cell r="AS139" t="str">
            <v>BOLD</v>
          </cell>
          <cell r="AV139"/>
          <cell r="AW139" t="str">
            <v>BOLD</v>
          </cell>
          <cell r="AZ139"/>
          <cell r="BA139" t="str">
            <v>BOLD</v>
          </cell>
          <cell r="BD139"/>
          <cell r="BE139" t="str">
            <v>BOLD</v>
          </cell>
          <cell r="BH139"/>
          <cell r="BI139" t="str">
            <v>BOLD</v>
          </cell>
          <cell r="BL139"/>
          <cell r="BM139" t="str">
            <v>BOLD</v>
          </cell>
          <cell r="BP139"/>
          <cell r="BQ139" t="str">
            <v>BOLD</v>
          </cell>
          <cell r="BT139"/>
          <cell r="BU139" t="str">
            <v>BOLD</v>
          </cell>
          <cell r="BX139"/>
          <cell r="BY139" t="str">
            <v>BOLD</v>
          </cell>
          <cell r="CB139"/>
          <cell r="CC139" t="str">
            <v>BOLD</v>
          </cell>
          <cell r="CF139"/>
          <cell r="CG139" t="str">
            <v>BOLD</v>
          </cell>
          <cell r="CJ139"/>
          <cell r="CK139" t="str">
            <v>BOLD</v>
          </cell>
          <cell r="CN139"/>
          <cell r="CO139" t="str">
            <v>BOLD</v>
          </cell>
          <cell r="CR139"/>
          <cell r="CS139" t="str">
            <v>BOLD</v>
          </cell>
          <cell r="CV139"/>
          <cell r="CW139" t="str">
            <v>BOLD</v>
          </cell>
          <cell r="CZ139"/>
          <cell r="DA139" t="str">
            <v>BOLD</v>
          </cell>
          <cell r="DD139"/>
          <cell r="DE139" t="str">
            <v>BOLD</v>
          </cell>
          <cell r="DH139"/>
          <cell r="DI139" t="str">
            <v>BOLD</v>
          </cell>
          <cell r="DL139"/>
          <cell r="DM139" t="str">
            <v>BOLD</v>
          </cell>
          <cell r="DP139"/>
          <cell r="DQ139" t="str">
            <v>BOLD</v>
          </cell>
          <cell r="DT139"/>
          <cell r="DU139" t="str">
            <v>BOLD</v>
          </cell>
          <cell r="DX139"/>
          <cell r="DY139" t="str">
            <v>BOLD</v>
          </cell>
          <cell r="EB139"/>
          <cell r="EC139" t="str">
            <v>BOLD</v>
          </cell>
          <cell r="EF139"/>
          <cell r="EG139" t="str">
            <v>BOLD</v>
          </cell>
          <cell r="EJ139"/>
          <cell r="EK139" t="str">
            <v>BOLD</v>
          </cell>
          <cell r="EN139"/>
          <cell r="EO139" t="str">
            <v>BOLD</v>
          </cell>
          <cell r="ER139"/>
          <cell r="ES139" t="str">
            <v>BOLD</v>
          </cell>
          <cell r="EV139"/>
          <cell r="EW139" t="str">
            <v>BOLD</v>
          </cell>
          <cell r="EZ139"/>
          <cell r="FA139" t="str">
            <v>BOLD</v>
          </cell>
          <cell r="FD139"/>
          <cell r="FE139" t="str">
            <v>BOLD</v>
          </cell>
          <cell r="FH139"/>
          <cell r="FI139" t="str">
            <v>BOLD</v>
          </cell>
          <cell r="FL139"/>
          <cell r="FM139" t="str">
            <v>BOLD</v>
          </cell>
          <cell r="FP139"/>
          <cell r="FQ139" t="str">
            <v>BOLD</v>
          </cell>
          <cell r="FT139"/>
          <cell r="FU139" t="str">
            <v>BOLD</v>
          </cell>
          <cell r="FX139"/>
          <cell r="FY139" t="str">
            <v>BOLD</v>
          </cell>
          <cell r="GB139"/>
          <cell r="GC139" t="str">
            <v>BOLD</v>
          </cell>
          <cell r="GF139"/>
          <cell r="GG139" t="str">
            <v>BOLD</v>
          </cell>
          <cell r="GJ139"/>
          <cell r="GK139" t="str">
            <v>BOLD</v>
          </cell>
          <cell r="GN139"/>
          <cell r="GO139" t="str">
            <v>BOLD</v>
          </cell>
          <cell r="GR139"/>
          <cell r="GS139" t="str">
            <v>BOLD</v>
          </cell>
          <cell r="GV139"/>
          <cell r="GW139" t="str">
            <v>BOLD</v>
          </cell>
          <cell r="GZ139"/>
          <cell r="HA139" t="str">
            <v>BOLD</v>
          </cell>
          <cell r="HD139"/>
          <cell r="HE139" t="str">
            <v>BOLD</v>
          </cell>
          <cell r="HH139"/>
          <cell r="HI139" t="str">
            <v>BOLD</v>
          </cell>
          <cell r="HL139"/>
          <cell r="HM139" t="str">
            <v>BOLD</v>
          </cell>
          <cell r="HP139"/>
          <cell r="HQ139" t="str">
            <v>BOLD</v>
          </cell>
          <cell r="HT139"/>
          <cell r="HU139" t="str">
            <v>BOLD</v>
          </cell>
          <cell r="HX139"/>
          <cell r="HY139" t="str">
            <v>BOLD</v>
          </cell>
          <cell r="IP139" t="str">
            <v>Commercial</v>
          </cell>
          <cell r="IQ139" t="str">
            <v>AVG_BILL_BNLD_GAS_COM_REVS_P_MCF</v>
          </cell>
          <cell r="IR139"/>
          <cell r="IS139" t="str">
            <v>BOLD</v>
          </cell>
        </row>
        <row r="140">
          <cell r="A140">
            <v>139</v>
          </cell>
          <cell r="D140"/>
          <cell r="E140" t="str">
            <v>BOLD</v>
          </cell>
          <cell r="F140" t="str">
            <v>Net Charge-Off Rate - Mgd Basis</v>
          </cell>
          <cell r="G140" t="str">
            <v>NET_CHGOFF_RATE_MGD_BASIS</v>
          </cell>
          <cell r="H140"/>
          <cell r="I140" t="str">
            <v>BOLD</v>
          </cell>
          <cell r="P140"/>
          <cell r="Q140" t="str">
            <v>BOLD</v>
          </cell>
          <cell r="T140"/>
          <cell r="U140" t="str">
            <v>BOLD</v>
          </cell>
          <cell r="X140"/>
          <cell r="Y140" t="str">
            <v>BOLD</v>
          </cell>
          <cell r="AB140"/>
          <cell r="AC140" t="str">
            <v>BOLD</v>
          </cell>
          <cell r="AF140"/>
          <cell r="AG140" t="str">
            <v>BOLD</v>
          </cell>
          <cell r="AJ140"/>
          <cell r="AK140" t="str">
            <v>BOLD</v>
          </cell>
          <cell r="AN140"/>
          <cell r="AO140" t="str">
            <v>BOLD</v>
          </cell>
          <cell r="AR140"/>
          <cell r="AS140" t="str">
            <v>BOLD</v>
          </cell>
          <cell r="AV140"/>
          <cell r="AW140" t="str">
            <v>BOLD</v>
          </cell>
          <cell r="AZ140"/>
          <cell r="BA140" t="str">
            <v>BOLD</v>
          </cell>
          <cell r="BD140"/>
          <cell r="BE140" t="str">
            <v>BOLD</v>
          </cell>
          <cell r="BH140"/>
          <cell r="BI140" t="str">
            <v>BOLD</v>
          </cell>
          <cell r="BL140"/>
          <cell r="BM140" t="str">
            <v>BOLD</v>
          </cell>
          <cell r="BP140"/>
          <cell r="BQ140" t="str">
            <v>BOLD</v>
          </cell>
          <cell r="BT140"/>
          <cell r="BU140" t="str">
            <v>BOLD</v>
          </cell>
          <cell r="BX140"/>
          <cell r="BY140" t="str">
            <v>BOLD</v>
          </cell>
          <cell r="CB140"/>
          <cell r="CC140" t="str">
            <v>BOLD</v>
          </cell>
          <cell r="CF140"/>
          <cell r="CG140" t="str">
            <v>BOLD</v>
          </cell>
          <cell r="CJ140"/>
          <cell r="CK140" t="str">
            <v>BOLD</v>
          </cell>
          <cell r="CN140"/>
          <cell r="CO140" t="str">
            <v>BOLD</v>
          </cell>
          <cell r="CR140"/>
          <cell r="CS140" t="str">
            <v>BOLD</v>
          </cell>
          <cell r="CV140"/>
          <cell r="CW140" t="str">
            <v>BOLD</v>
          </cell>
          <cell r="CZ140"/>
          <cell r="DA140" t="str">
            <v>BOLD</v>
          </cell>
          <cell r="DD140"/>
          <cell r="DE140" t="str">
            <v>BOLD</v>
          </cell>
          <cell r="DH140"/>
          <cell r="DI140" t="str">
            <v>BOLD</v>
          </cell>
          <cell r="DL140"/>
          <cell r="DM140" t="str">
            <v>BOLD</v>
          </cell>
          <cell r="DP140"/>
          <cell r="DQ140" t="str">
            <v>BOLD</v>
          </cell>
          <cell r="DT140"/>
          <cell r="DU140" t="str">
            <v>BOLD</v>
          </cell>
          <cell r="DX140"/>
          <cell r="DY140" t="str">
            <v>BOLD</v>
          </cell>
          <cell r="EB140"/>
          <cell r="EC140" t="str">
            <v>BOLD</v>
          </cell>
          <cell r="EF140"/>
          <cell r="EG140" t="str">
            <v>BOLD</v>
          </cell>
          <cell r="EJ140"/>
          <cell r="EK140" t="str">
            <v>BOLD</v>
          </cell>
          <cell r="EN140"/>
          <cell r="EO140" t="str">
            <v>BOLD</v>
          </cell>
          <cell r="ER140"/>
          <cell r="ES140" t="str">
            <v>BOLD</v>
          </cell>
          <cell r="EV140"/>
          <cell r="EW140" t="str">
            <v>BOLD</v>
          </cell>
          <cell r="EZ140"/>
          <cell r="FA140" t="str">
            <v>BOLD</v>
          </cell>
          <cell r="FD140"/>
          <cell r="FE140" t="str">
            <v>BOLD</v>
          </cell>
          <cell r="FH140"/>
          <cell r="FI140" t="str">
            <v>BOLD</v>
          </cell>
          <cell r="FL140"/>
          <cell r="FM140" t="str">
            <v>BOLD</v>
          </cell>
          <cell r="FP140"/>
          <cell r="FQ140" t="str">
            <v>BOLD</v>
          </cell>
          <cell r="FT140"/>
          <cell r="FU140" t="str">
            <v>BOLD</v>
          </cell>
          <cell r="FX140"/>
          <cell r="FY140" t="str">
            <v>BOLD</v>
          </cell>
          <cell r="GB140"/>
          <cell r="GC140" t="str">
            <v>BOLD</v>
          </cell>
          <cell r="GF140"/>
          <cell r="GG140" t="str">
            <v>BOLD</v>
          </cell>
          <cell r="GJ140"/>
          <cell r="GK140" t="str">
            <v>BOLD</v>
          </cell>
          <cell r="GN140"/>
          <cell r="GO140" t="str">
            <v>BOLD</v>
          </cell>
          <cell r="GR140"/>
          <cell r="GS140" t="str">
            <v>BOLD</v>
          </cell>
          <cell r="GV140"/>
          <cell r="GW140" t="str">
            <v>BOLD</v>
          </cell>
          <cell r="GZ140"/>
          <cell r="HA140" t="str">
            <v>BOLD</v>
          </cell>
          <cell r="HD140"/>
          <cell r="HE140" t="str">
            <v>BOLD</v>
          </cell>
          <cell r="HH140"/>
          <cell r="HI140" t="str">
            <v>BOLD</v>
          </cell>
          <cell r="HL140"/>
          <cell r="HM140" t="str">
            <v>BOLD</v>
          </cell>
          <cell r="HP140"/>
          <cell r="HQ140" t="str">
            <v>BOLD</v>
          </cell>
          <cell r="HT140"/>
          <cell r="HU140" t="str">
            <v>BOLD</v>
          </cell>
          <cell r="HV140" t="str">
            <v>Value at Risk</v>
          </cell>
          <cell r="HW140" t="str">
            <v>LABEL</v>
          </cell>
          <cell r="HX140"/>
          <cell r="HY140" t="str">
            <v>BOLD</v>
          </cell>
          <cell r="IP140" t="str">
            <v>Industrial</v>
          </cell>
          <cell r="IQ140" t="str">
            <v>AVG_BILL_BNLD_GAS_IND_REVS_P_MCF</v>
          </cell>
          <cell r="IR140"/>
          <cell r="IS140" t="str">
            <v>BOLD</v>
          </cell>
        </row>
        <row r="141">
          <cell r="A141">
            <v>140</v>
          </cell>
          <cell r="D141"/>
          <cell r="E141" t="str">
            <v>BOLD</v>
          </cell>
          <cell r="F141" t="str">
            <v>Card Seg Net Charge-Offs - Mgd</v>
          </cell>
          <cell r="G141" t="str">
            <v>CARD_SEG_NET_CHGOFFS_MGD_BAS</v>
          </cell>
          <cell r="H141"/>
          <cell r="I141" t="str">
            <v>BOLD</v>
          </cell>
          <cell r="P141"/>
          <cell r="Q141" t="str">
            <v>BOLD</v>
          </cell>
          <cell r="T141"/>
          <cell r="U141" t="str">
            <v>BOLD</v>
          </cell>
          <cell r="X141"/>
          <cell r="Y141" t="str">
            <v>BOLD</v>
          </cell>
          <cell r="AB141"/>
          <cell r="AC141" t="str">
            <v>BOLD</v>
          </cell>
          <cell r="AF141"/>
          <cell r="AG141" t="str">
            <v>BOLD</v>
          </cell>
          <cell r="AJ141"/>
          <cell r="AK141" t="str">
            <v>BOLD</v>
          </cell>
          <cell r="AN141"/>
          <cell r="AO141" t="str">
            <v>BOLD</v>
          </cell>
          <cell r="AR141"/>
          <cell r="AS141" t="str">
            <v>BOLD</v>
          </cell>
          <cell r="AV141"/>
          <cell r="AW141" t="str">
            <v>BOLD</v>
          </cell>
          <cell r="AZ141"/>
          <cell r="BA141" t="str">
            <v>BOLD</v>
          </cell>
          <cell r="BD141"/>
          <cell r="BE141" t="str">
            <v>BOLD</v>
          </cell>
          <cell r="BH141"/>
          <cell r="BI141" t="str">
            <v>BOLD</v>
          </cell>
          <cell r="BL141"/>
          <cell r="BM141" t="str">
            <v>BOLD</v>
          </cell>
          <cell r="BP141"/>
          <cell r="BQ141" t="str">
            <v>BOLD</v>
          </cell>
          <cell r="BT141"/>
          <cell r="BU141" t="str">
            <v>BOLD</v>
          </cell>
          <cell r="BX141"/>
          <cell r="BY141" t="str">
            <v>BOLD</v>
          </cell>
          <cell r="CB141"/>
          <cell r="CC141" t="str">
            <v>BOLD</v>
          </cell>
          <cell r="CF141"/>
          <cell r="CG141" t="str">
            <v>BOLD</v>
          </cell>
          <cell r="CJ141"/>
          <cell r="CK141" t="str">
            <v>BOLD</v>
          </cell>
          <cell r="CN141"/>
          <cell r="CO141" t="str">
            <v>BOLD</v>
          </cell>
          <cell r="CR141"/>
          <cell r="CS141" t="str">
            <v>BOLD</v>
          </cell>
          <cell r="CV141"/>
          <cell r="CW141" t="str">
            <v>BOLD</v>
          </cell>
          <cell r="CZ141"/>
          <cell r="DA141" t="str">
            <v>BOLD</v>
          </cell>
          <cell r="DD141"/>
          <cell r="DE141" t="str">
            <v>BOLD</v>
          </cell>
          <cell r="DH141"/>
          <cell r="DI141" t="str">
            <v>BOLD</v>
          </cell>
          <cell r="DL141"/>
          <cell r="DM141" t="str">
            <v>BOLD</v>
          </cell>
          <cell r="DP141"/>
          <cell r="DQ141" t="str">
            <v>BOLD</v>
          </cell>
          <cell r="DT141"/>
          <cell r="DU141" t="str">
            <v>BOLD</v>
          </cell>
          <cell r="DX141"/>
          <cell r="DY141" t="str">
            <v>BOLD</v>
          </cell>
          <cell r="EB141"/>
          <cell r="EC141" t="str">
            <v>BOLD</v>
          </cell>
          <cell r="EF141"/>
          <cell r="EG141" t="str">
            <v>BOLD</v>
          </cell>
          <cell r="EJ141"/>
          <cell r="EK141" t="str">
            <v>BOLD</v>
          </cell>
          <cell r="EN141"/>
          <cell r="EO141" t="str">
            <v>BOLD</v>
          </cell>
          <cell r="ER141"/>
          <cell r="ES141" t="str">
            <v>BOLD</v>
          </cell>
          <cell r="EV141"/>
          <cell r="EW141" t="str">
            <v>BOLD</v>
          </cell>
          <cell r="EZ141"/>
          <cell r="FA141" t="str">
            <v>BOLD</v>
          </cell>
          <cell r="FD141"/>
          <cell r="FE141" t="str">
            <v>BOLD</v>
          </cell>
          <cell r="FH141"/>
          <cell r="FI141" t="str">
            <v>BOLD</v>
          </cell>
          <cell r="FL141"/>
          <cell r="FM141" t="str">
            <v>BOLD</v>
          </cell>
          <cell r="FP141"/>
          <cell r="FQ141" t="str">
            <v>BOLD</v>
          </cell>
          <cell r="FT141"/>
          <cell r="FU141" t="str">
            <v>BOLD</v>
          </cell>
          <cell r="FX141"/>
          <cell r="FY141" t="str">
            <v>BOLD</v>
          </cell>
          <cell r="GB141"/>
          <cell r="GC141" t="str">
            <v>BOLD</v>
          </cell>
          <cell r="GF141"/>
          <cell r="GG141" t="str">
            <v>BOLD</v>
          </cell>
          <cell r="GJ141"/>
          <cell r="GK141" t="str">
            <v>BOLD</v>
          </cell>
          <cell r="GN141"/>
          <cell r="GO141" t="str">
            <v>BOLD</v>
          </cell>
          <cell r="GR141"/>
          <cell r="GS141" t="str">
            <v>BOLD</v>
          </cell>
          <cell r="GV141"/>
          <cell r="GW141" t="str">
            <v>BOLD</v>
          </cell>
          <cell r="GZ141"/>
          <cell r="HA141" t="str">
            <v>BOLD</v>
          </cell>
          <cell r="HD141"/>
          <cell r="HE141" t="str">
            <v>BOLD</v>
          </cell>
          <cell r="HH141"/>
          <cell r="HI141" t="str">
            <v>BOLD</v>
          </cell>
          <cell r="HL141"/>
          <cell r="HM141" t="str">
            <v>BOLD</v>
          </cell>
          <cell r="HP141"/>
          <cell r="HQ141" t="str">
            <v>BOLD</v>
          </cell>
          <cell r="HT141"/>
          <cell r="HU141" t="str">
            <v>BOLD</v>
          </cell>
          <cell r="HV141" t="str">
            <v>Average VAR - Interest Rate Risk</v>
          </cell>
          <cell r="HW141" t="str">
            <v>IS_AVG_VAR_INT_RATE_RISK</v>
          </cell>
          <cell r="HX141"/>
          <cell r="HY141" t="str">
            <v>BOLD</v>
          </cell>
          <cell r="IP141" t="str">
            <v>Total</v>
          </cell>
          <cell r="IQ141" t="str">
            <v>AVG_BILL_BNLD_TOT_GAS_REVS_P_MCF</v>
          </cell>
          <cell r="IR141"/>
          <cell r="IS141" t="str">
            <v>BOLD</v>
          </cell>
        </row>
        <row r="142">
          <cell r="A142">
            <v>141</v>
          </cell>
          <cell r="D142"/>
          <cell r="E142" t="str">
            <v>BOLD</v>
          </cell>
          <cell r="F142" t="str">
            <v>Card Seg Net Charge-Off Rate - Mgd</v>
          </cell>
          <cell r="G142" t="str">
            <v>CARD_SEG_NET_CHGOFF_RATE_MGD_BAS</v>
          </cell>
          <cell r="H142"/>
          <cell r="I142" t="str">
            <v>BOLD</v>
          </cell>
          <cell r="P142"/>
          <cell r="Q142" t="str">
            <v>BOLD</v>
          </cell>
          <cell r="T142"/>
          <cell r="U142" t="str">
            <v>BOLD</v>
          </cell>
          <cell r="X142"/>
          <cell r="Y142" t="str">
            <v>BOLD</v>
          </cell>
          <cell r="AB142"/>
          <cell r="AC142" t="str">
            <v>BOLD</v>
          </cell>
          <cell r="AF142"/>
          <cell r="AG142" t="str">
            <v>BOLD</v>
          </cell>
          <cell r="AJ142"/>
          <cell r="AK142" t="str">
            <v>BOLD</v>
          </cell>
          <cell r="AN142"/>
          <cell r="AO142" t="str">
            <v>BOLD</v>
          </cell>
          <cell r="AR142"/>
          <cell r="AS142" t="str">
            <v>BOLD</v>
          </cell>
          <cell r="AV142"/>
          <cell r="AW142" t="str">
            <v>BOLD</v>
          </cell>
          <cell r="AZ142"/>
          <cell r="BA142" t="str">
            <v>BOLD</v>
          </cell>
          <cell r="BD142"/>
          <cell r="BE142" t="str">
            <v>BOLD</v>
          </cell>
          <cell r="BH142"/>
          <cell r="BI142" t="str">
            <v>BOLD</v>
          </cell>
          <cell r="BL142"/>
          <cell r="BM142" t="str">
            <v>BOLD</v>
          </cell>
          <cell r="BP142"/>
          <cell r="BQ142" t="str">
            <v>BOLD</v>
          </cell>
          <cell r="BT142"/>
          <cell r="BU142" t="str">
            <v>BOLD</v>
          </cell>
          <cell r="BX142"/>
          <cell r="BY142" t="str">
            <v>BOLD</v>
          </cell>
          <cell r="CB142"/>
          <cell r="CC142" t="str">
            <v>BOLD</v>
          </cell>
          <cell r="CF142"/>
          <cell r="CG142" t="str">
            <v>BOLD</v>
          </cell>
          <cell r="CJ142"/>
          <cell r="CK142" t="str">
            <v>BOLD</v>
          </cell>
          <cell r="CN142"/>
          <cell r="CO142" t="str">
            <v>BOLD</v>
          </cell>
          <cell r="CR142"/>
          <cell r="CS142" t="str">
            <v>BOLD</v>
          </cell>
          <cell r="CV142"/>
          <cell r="CW142" t="str">
            <v>BOLD</v>
          </cell>
          <cell r="CZ142"/>
          <cell r="DA142" t="str">
            <v>BOLD</v>
          </cell>
          <cell r="DD142"/>
          <cell r="DE142" t="str">
            <v>BOLD</v>
          </cell>
          <cell r="DH142"/>
          <cell r="DI142" t="str">
            <v>BOLD</v>
          </cell>
          <cell r="DL142"/>
          <cell r="DM142" t="str">
            <v>BOLD</v>
          </cell>
          <cell r="DP142"/>
          <cell r="DQ142" t="str">
            <v>BOLD</v>
          </cell>
          <cell r="DT142"/>
          <cell r="DU142" t="str">
            <v>BOLD</v>
          </cell>
          <cell r="DX142"/>
          <cell r="DY142" t="str">
            <v>BOLD</v>
          </cell>
          <cell r="EB142"/>
          <cell r="EC142" t="str">
            <v>BOLD</v>
          </cell>
          <cell r="EF142"/>
          <cell r="EG142" t="str">
            <v>BOLD</v>
          </cell>
          <cell r="EJ142"/>
          <cell r="EK142" t="str">
            <v>BOLD</v>
          </cell>
          <cell r="EN142"/>
          <cell r="EO142" t="str">
            <v>BOLD</v>
          </cell>
          <cell r="ER142"/>
          <cell r="ES142" t="str">
            <v>BOLD</v>
          </cell>
          <cell r="EV142"/>
          <cell r="EW142" t="str">
            <v>BOLD</v>
          </cell>
          <cell r="EZ142"/>
          <cell r="FA142" t="str">
            <v>BOLD</v>
          </cell>
          <cell r="FD142"/>
          <cell r="FE142" t="str">
            <v>BOLD</v>
          </cell>
          <cell r="FH142"/>
          <cell r="FI142" t="str">
            <v>BOLD</v>
          </cell>
          <cell r="FL142"/>
          <cell r="FM142" t="str">
            <v>BOLD</v>
          </cell>
          <cell r="FP142"/>
          <cell r="FQ142" t="str">
            <v>BOLD</v>
          </cell>
          <cell r="FT142"/>
          <cell r="FU142" t="str">
            <v>BOLD</v>
          </cell>
          <cell r="FX142"/>
          <cell r="FY142" t="str">
            <v>BOLD</v>
          </cell>
          <cell r="GB142"/>
          <cell r="GC142" t="str">
            <v>BOLD</v>
          </cell>
          <cell r="GF142"/>
          <cell r="GG142" t="str">
            <v>BOLD</v>
          </cell>
          <cell r="GJ142"/>
          <cell r="GK142" t="str">
            <v>BOLD</v>
          </cell>
          <cell r="GN142"/>
          <cell r="GO142" t="str">
            <v>BOLD</v>
          </cell>
          <cell r="GR142"/>
          <cell r="GS142" t="str">
            <v>BOLD</v>
          </cell>
          <cell r="GV142"/>
          <cell r="GW142" t="str">
            <v>BOLD</v>
          </cell>
          <cell r="GZ142"/>
          <cell r="HA142" t="str">
            <v>BOLD</v>
          </cell>
          <cell r="HD142"/>
          <cell r="HE142" t="str">
            <v>BOLD</v>
          </cell>
          <cell r="HH142"/>
          <cell r="HI142" t="str">
            <v>BOLD</v>
          </cell>
          <cell r="HL142"/>
          <cell r="HM142" t="str">
            <v>BOLD</v>
          </cell>
          <cell r="HP142"/>
          <cell r="HQ142" t="str">
            <v>BOLD</v>
          </cell>
          <cell r="HT142"/>
          <cell r="HU142" t="str">
            <v>BOLD</v>
          </cell>
          <cell r="HV142" t="str">
            <v>Average VAR - Equity Risk</v>
          </cell>
          <cell r="HW142" t="str">
            <v>IS_AVG_VAR_EQUITY_RISK</v>
          </cell>
          <cell r="HX142"/>
          <cell r="HY142" t="str">
            <v>BOLD</v>
          </cell>
          <cell r="IR142"/>
          <cell r="IS142" t="str">
            <v>BOLD</v>
          </cell>
        </row>
        <row r="143">
          <cell r="A143">
            <v>142</v>
          </cell>
          <cell r="D143"/>
          <cell r="E143" t="str">
            <v>BOLD</v>
          </cell>
          <cell r="F143" t="str">
            <v>Card Loan Loss Provision to NCO</v>
          </cell>
          <cell r="G143" t="str">
            <v>CARD_LLP_TO_NET_CHARGEOFFS</v>
          </cell>
          <cell r="H143"/>
          <cell r="I143" t="str">
            <v>BOLD</v>
          </cell>
          <cell r="P143"/>
          <cell r="Q143" t="str">
            <v>BOLD</v>
          </cell>
          <cell r="T143"/>
          <cell r="U143" t="str">
            <v>BOLD</v>
          </cell>
          <cell r="X143"/>
          <cell r="Y143" t="str">
            <v>BOLD</v>
          </cell>
          <cell r="AB143"/>
          <cell r="AC143" t="str">
            <v>BOLD</v>
          </cell>
          <cell r="AF143"/>
          <cell r="AG143" t="str">
            <v>BOLD</v>
          </cell>
          <cell r="AJ143"/>
          <cell r="AK143" t="str">
            <v>BOLD</v>
          </cell>
          <cell r="AN143"/>
          <cell r="AO143" t="str">
            <v>BOLD</v>
          </cell>
          <cell r="AR143"/>
          <cell r="AS143" t="str">
            <v>BOLD</v>
          </cell>
          <cell r="AV143"/>
          <cell r="AW143" t="str">
            <v>BOLD</v>
          </cell>
          <cell r="AZ143"/>
          <cell r="BA143" t="str">
            <v>BOLD</v>
          </cell>
          <cell r="BD143"/>
          <cell r="BE143" t="str">
            <v>BOLD</v>
          </cell>
          <cell r="BH143"/>
          <cell r="BI143" t="str">
            <v>BOLD</v>
          </cell>
          <cell r="BL143"/>
          <cell r="BM143" t="str">
            <v>BOLD</v>
          </cell>
          <cell r="BP143"/>
          <cell r="BQ143" t="str">
            <v>BOLD</v>
          </cell>
          <cell r="BT143"/>
          <cell r="BU143" t="str">
            <v>BOLD</v>
          </cell>
          <cell r="BX143"/>
          <cell r="BY143" t="str">
            <v>BOLD</v>
          </cell>
          <cell r="CB143"/>
          <cell r="CC143" t="str">
            <v>BOLD</v>
          </cell>
          <cell r="CF143"/>
          <cell r="CG143" t="str">
            <v>BOLD</v>
          </cell>
          <cell r="CJ143"/>
          <cell r="CK143" t="str">
            <v>BOLD</v>
          </cell>
          <cell r="CN143"/>
          <cell r="CO143" t="str">
            <v>BOLD</v>
          </cell>
          <cell r="CR143"/>
          <cell r="CS143" t="str">
            <v>BOLD</v>
          </cell>
          <cell r="CV143"/>
          <cell r="CW143" t="str">
            <v>BOLD</v>
          </cell>
          <cell r="CZ143"/>
          <cell r="DA143" t="str">
            <v>BOLD</v>
          </cell>
          <cell r="DD143"/>
          <cell r="DE143" t="str">
            <v>BOLD</v>
          </cell>
          <cell r="DH143"/>
          <cell r="DI143" t="str">
            <v>BOLD</v>
          </cell>
          <cell r="DL143"/>
          <cell r="DM143" t="str">
            <v>BOLD</v>
          </cell>
          <cell r="DP143"/>
          <cell r="DQ143" t="str">
            <v>BOLD</v>
          </cell>
          <cell r="DT143"/>
          <cell r="DU143" t="str">
            <v>BOLD</v>
          </cell>
          <cell r="DX143"/>
          <cell r="DY143" t="str">
            <v>BOLD</v>
          </cell>
          <cell r="EB143"/>
          <cell r="EC143" t="str">
            <v>BOLD</v>
          </cell>
          <cell r="EF143"/>
          <cell r="EG143" t="str">
            <v>BOLD</v>
          </cell>
          <cell r="EJ143"/>
          <cell r="EK143" t="str">
            <v>BOLD</v>
          </cell>
          <cell r="EN143"/>
          <cell r="EO143" t="str">
            <v>BOLD</v>
          </cell>
          <cell r="ER143"/>
          <cell r="ES143" t="str">
            <v>BOLD</v>
          </cell>
          <cell r="EV143"/>
          <cell r="EW143" t="str">
            <v>BOLD</v>
          </cell>
          <cell r="EZ143"/>
          <cell r="FA143" t="str">
            <v>BOLD</v>
          </cell>
          <cell r="FD143"/>
          <cell r="FE143" t="str">
            <v>BOLD</v>
          </cell>
          <cell r="FH143"/>
          <cell r="FI143" t="str">
            <v>BOLD</v>
          </cell>
          <cell r="FL143"/>
          <cell r="FM143" t="str">
            <v>BOLD</v>
          </cell>
          <cell r="FP143"/>
          <cell r="FQ143" t="str">
            <v>BOLD</v>
          </cell>
          <cell r="FT143"/>
          <cell r="FU143" t="str">
            <v>BOLD</v>
          </cell>
          <cell r="FX143"/>
          <cell r="FY143" t="str">
            <v>BOLD</v>
          </cell>
          <cell r="GB143"/>
          <cell r="GC143" t="str">
            <v>BOLD</v>
          </cell>
          <cell r="GF143"/>
          <cell r="GG143" t="str">
            <v>BOLD</v>
          </cell>
          <cell r="GJ143"/>
          <cell r="GK143" t="str">
            <v>BOLD</v>
          </cell>
          <cell r="GN143"/>
          <cell r="GO143" t="str">
            <v>BOLD</v>
          </cell>
          <cell r="GR143"/>
          <cell r="GS143" t="str">
            <v>BOLD</v>
          </cell>
          <cell r="GV143"/>
          <cell r="GW143" t="str">
            <v>BOLD</v>
          </cell>
          <cell r="GZ143"/>
          <cell r="HA143" t="str">
            <v>BOLD</v>
          </cell>
          <cell r="HD143"/>
          <cell r="HE143" t="str">
            <v>BOLD</v>
          </cell>
          <cell r="HH143"/>
          <cell r="HI143" t="str">
            <v>BOLD</v>
          </cell>
          <cell r="HL143"/>
          <cell r="HM143" t="str">
            <v>BOLD</v>
          </cell>
          <cell r="HP143"/>
          <cell r="HQ143" t="str">
            <v>BOLD</v>
          </cell>
          <cell r="HT143"/>
          <cell r="HU143" t="str">
            <v>BOLD</v>
          </cell>
          <cell r="HV143" t="str">
            <v>Average VAR - Currency Risk</v>
          </cell>
          <cell r="HW143" t="str">
            <v>IS_AVG_VAR_CURRENCY_RISK</v>
          </cell>
          <cell r="HX143"/>
          <cell r="HY143" t="str">
            <v>BOLD</v>
          </cell>
          <cell r="IP143" t="str">
            <v>Average Gas Revenue Per Customer</v>
          </cell>
          <cell r="IQ143" t="str">
            <v>LABEL</v>
          </cell>
          <cell r="IR143"/>
          <cell r="IS143" t="str">
            <v>BOLD</v>
          </cell>
        </row>
        <row r="144">
          <cell r="A144">
            <v>143</v>
          </cell>
          <cell r="D144"/>
          <cell r="E144" t="str">
            <v>BOLD</v>
          </cell>
          <cell r="F144" t="str">
            <v>Less than 30 Day Delinqs - Mgd</v>
          </cell>
          <cell r="G144" t="str">
            <v>LESS_THAN_30D_DELQ_MGD_BASIS</v>
          </cell>
          <cell r="H144"/>
          <cell r="I144" t="str">
            <v>BOLD</v>
          </cell>
          <cell r="P144"/>
          <cell r="Q144" t="str">
            <v>BOLD</v>
          </cell>
          <cell r="T144"/>
          <cell r="U144" t="str">
            <v>BOLD</v>
          </cell>
          <cell r="X144"/>
          <cell r="Y144" t="str">
            <v>BOLD</v>
          </cell>
          <cell r="AB144"/>
          <cell r="AC144" t="str">
            <v>BOLD</v>
          </cell>
          <cell r="AF144"/>
          <cell r="AG144" t="str">
            <v>BOLD</v>
          </cell>
          <cell r="AJ144"/>
          <cell r="AK144" t="str">
            <v>BOLD</v>
          </cell>
          <cell r="AN144"/>
          <cell r="AO144" t="str">
            <v>BOLD</v>
          </cell>
          <cell r="AR144"/>
          <cell r="AS144" t="str">
            <v>BOLD</v>
          </cell>
          <cell r="AV144"/>
          <cell r="AW144" t="str">
            <v>BOLD</v>
          </cell>
          <cell r="AZ144"/>
          <cell r="BA144" t="str">
            <v>BOLD</v>
          </cell>
          <cell r="BD144"/>
          <cell r="BE144" t="str">
            <v>BOLD</v>
          </cell>
          <cell r="BH144"/>
          <cell r="BI144" t="str">
            <v>BOLD</v>
          </cell>
          <cell r="BL144"/>
          <cell r="BM144" t="str">
            <v>BOLD</v>
          </cell>
          <cell r="BP144"/>
          <cell r="BQ144" t="str">
            <v>BOLD</v>
          </cell>
          <cell r="BT144"/>
          <cell r="BU144" t="str">
            <v>BOLD</v>
          </cell>
          <cell r="BX144"/>
          <cell r="BY144" t="str">
            <v>BOLD</v>
          </cell>
          <cell r="CB144"/>
          <cell r="CC144" t="str">
            <v>BOLD</v>
          </cell>
          <cell r="CF144"/>
          <cell r="CG144" t="str">
            <v>BOLD</v>
          </cell>
          <cell r="CJ144"/>
          <cell r="CK144" t="str">
            <v>BOLD</v>
          </cell>
          <cell r="CN144"/>
          <cell r="CO144" t="str">
            <v>BOLD</v>
          </cell>
          <cell r="CR144"/>
          <cell r="CS144" t="str">
            <v>BOLD</v>
          </cell>
          <cell r="CV144"/>
          <cell r="CW144" t="str">
            <v>BOLD</v>
          </cell>
          <cell r="CZ144"/>
          <cell r="DA144" t="str">
            <v>BOLD</v>
          </cell>
          <cell r="DD144"/>
          <cell r="DE144" t="str">
            <v>BOLD</v>
          </cell>
          <cell r="DH144"/>
          <cell r="DI144" t="str">
            <v>BOLD</v>
          </cell>
          <cell r="DL144"/>
          <cell r="DM144" t="str">
            <v>BOLD</v>
          </cell>
          <cell r="DP144"/>
          <cell r="DQ144" t="str">
            <v>BOLD</v>
          </cell>
          <cell r="DT144"/>
          <cell r="DU144" t="str">
            <v>BOLD</v>
          </cell>
          <cell r="DX144"/>
          <cell r="DY144" t="str">
            <v>BOLD</v>
          </cell>
          <cell r="EB144"/>
          <cell r="EC144" t="str">
            <v>BOLD</v>
          </cell>
          <cell r="EF144"/>
          <cell r="EG144" t="str">
            <v>BOLD</v>
          </cell>
          <cell r="EJ144"/>
          <cell r="EK144" t="str">
            <v>BOLD</v>
          </cell>
          <cell r="EN144"/>
          <cell r="EO144" t="str">
            <v>BOLD</v>
          </cell>
          <cell r="ER144"/>
          <cell r="ES144" t="str">
            <v>BOLD</v>
          </cell>
          <cell r="EV144"/>
          <cell r="EW144" t="str">
            <v>BOLD</v>
          </cell>
          <cell r="EZ144"/>
          <cell r="FA144" t="str">
            <v>BOLD</v>
          </cell>
          <cell r="FD144"/>
          <cell r="FE144" t="str">
            <v>BOLD</v>
          </cell>
          <cell r="FH144"/>
          <cell r="FI144" t="str">
            <v>BOLD</v>
          </cell>
          <cell r="FL144"/>
          <cell r="FM144" t="str">
            <v>BOLD</v>
          </cell>
          <cell r="FP144"/>
          <cell r="FQ144" t="str">
            <v>BOLD</v>
          </cell>
          <cell r="FT144"/>
          <cell r="FU144" t="str">
            <v>BOLD</v>
          </cell>
          <cell r="FX144"/>
          <cell r="FY144" t="str">
            <v>BOLD</v>
          </cell>
          <cell r="GB144"/>
          <cell r="GC144" t="str">
            <v>BOLD</v>
          </cell>
          <cell r="GF144"/>
          <cell r="GG144" t="str">
            <v>BOLD</v>
          </cell>
          <cell r="GJ144"/>
          <cell r="GK144" t="str">
            <v>BOLD</v>
          </cell>
          <cell r="GN144"/>
          <cell r="GO144" t="str">
            <v>BOLD</v>
          </cell>
          <cell r="GR144"/>
          <cell r="GS144" t="str">
            <v>BOLD</v>
          </cell>
          <cell r="GV144"/>
          <cell r="GW144" t="str">
            <v>BOLD</v>
          </cell>
          <cell r="GZ144"/>
          <cell r="HA144" t="str">
            <v>BOLD</v>
          </cell>
          <cell r="HD144"/>
          <cell r="HE144" t="str">
            <v>BOLD</v>
          </cell>
          <cell r="HH144"/>
          <cell r="HI144" t="str">
            <v>BOLD</v>
          </cell>
          <cell r="HL144"/>
          <cell r="HM144" t="str">
            <v>BOLD</v>
          </cell>
          <cell r="HP144"/>
          <cell r="HQ144" t="str">
            <v>BOLD</v>
          </cell>
          <cell r="HT144"/>
          <cell r="HU144" t="str">
            <v>BOLD</v>
          </cell>
          <cell r="HV144" t="str">
            <v>Average VAR - Commodities Risk</v>
          </cell>
          <cell r="HW144" t="str">
            <v>IS_AVG_VAR_COMMODITIES_RISK</v>
          </cell>
          <cell r="HX144"/>
          <cell r="HY144" t="str">
            <v>BOLD</v>
          </cell>
          <cell r="IP144" t="str">
            <v>Residential</v>
          </cell>
          <cell r="IQ144" t="str">
            <v>AVERAGE_GAS_RES_REV_PER_CUSTOMER</v>
          </cell>
          <cell r="IR144"/>
          <cell r="IS144" t="str">
            <v>BOLD</v>
          </cell>
        </row>
        <row r="145">
          <cell r="A145">
            <v>144</v>
          </cell>
          <cell r="D145"/>
          <cell r="E145" t="str">
            <v>BOLD</v>
          </cell>
          <cell r="F145" t="str">
            <v>30 Day Delinquencies - Mgd</v>
          </cell>
          <cell r="G145" t="str">
            <v>30D_DELQ_MANAGED_BASIS</v>
          </cell>
          <cell r="H145"/>
          <cell r="I145" t="str">
            <v>BOLD</v>
          </cell>
          <cell r="P145"/>
          <cell r="Q145" t="str">
            <v>BOLD</v>
          </cell>
          <cell r="T145"/>
          <cell r="U145" t="str">
            <v>BOLD</v>
          </cell>
          <cell r="X145"/>
          <cell r="Y145" t="str">
            <v>BOLD</v>
          </cell>
          <cell r="AB145"/>
          <cell r="AC145" t="str">
            <v>BOLD</v>
          </cell>
          <cell r="AF145"/>
          <cell r="AG145" t="str">
            <v>BOLD</v>
          </cell>
          <cell r="AJ145"/>
          <cell r="AK145" t="str">
            <v>BOLD</v>
          </cell>
          <cell r="AN145"/>
          <cell r="AO145" t="str">
            <v>BOLD</v>
          </cell>
          <cell r="AR145"/>
          <cell r="AS145" t="str">
            <v>BOLD</v>
          </cell>
          <cell r="AV145"/>
          <cell r="AW145" t="str">
            <v>BOLD</v>
          </cell>
          <cell r="AZ145"/>
          <cell r="BA145" t="str">
            <v>BOLD</v>
          </cell>
          <cell r="BD145"/>
          <cell r="BE145" t="str">
            <v>BOLD</v>
          </cell>
          <cell r="BH145"/>
          <cell r="BI145" t="str">
            <v>BOLD</v>
          </cell>
          <cell r="BL145"/>
          <cell r="BM145" t="str">
            <v>BOLD</v>
          </cell>
          <cell r="BP145"/>
          <cell r="BQ145" t="str">
            <v>BOLD</v>
          </cell>
          <cell r="BT145"/>
          <cell r="BU145" t="str">
            <v>BOLD</v>
          </cell>
          <cell r="BX145"/>
          <cell r="BY145" t="str">
            <v>BOLD</v>
          </cell>
          <cell r="CB145"/>
          <cell r="CC145" t="str">
            <v>BOLD</v>
          </cell>
          <cell r="CF145"/>
          <cell r="CG145" t="str">
            <v>BOLD</v>
          </cell>
          <cell r="CJ145"/>
          <cell r="CK145" t="str">
            <v>BOLD</v>
          </cell>
          <cell r="CN145"/>
          <cell r="CO145" t="str">
            <v>BOLD</v>
          </cell>
          <cell r="CR145"/>
          <cell r="CS145" t="str">
            <v>BOLD</v>
          </cell>
          <cell r="CV145"/>
          <cell r="CW145" t="str">
            <v>BOLD</v>
          </cell>
          <cell r="CZ145"/>
          <cell r="DA145" t="str">
            <v>BOLD</v>
          </cell>
          <cell r="DD145"/>
          <cell r="DE145" t="str">
            <v>BOLD</v>
          </cell>
          <cell r="DH145"/>
          <cell r="DI145" t="str">
            <v>BOLD</v>
          </cell>
          <cell r="DL145"/>
          <cell r="DM145" t="str">
            <v>BOLD</v>
          </cell>
          <cell r="DP145"/>
          <cell r="DQ145" t="str">
            <v>BOLD</v>
          </cell>
          <cell r="DT145"/>
          <cell r="DU145" t="str">
            <v>BOLD</v>
          </cell>
          <cell r="DX145"/>
          <cell r="DY145" t="str">
            <v>BOLD</v>
          </cell>
          <cell r="EB145"/>
          <cell r="EC145" t="str">
            <v>BOLD</v>
          </cell>
          <cell r="EF145"/>
          <cell r="EG145" t="str">
            <v>BOLD</v>
          </cell>
          <cell r="EJ145"/>
          <cell r="EK145" t="str">
            <v>BOLD</v>
          </cell>
          <cell r="EN145"/>
          <cell r="EO145" t="str">
            <v>BOLD</v>
          </cell>
          <cell r="ER145"/>
          <cell r="ES145" t="str">
            <v>BOLD</v>
          </cell>
          <cell r="EV145"/>
          <cell r="EW145" t="str">
            <v>BOLD</v>
          </cell>
          <cell r="EZ145"/>
          <cell r="FA145" t="str">
            <v>BOLD</v>
          </cell>
          <cell r="FD145"/>
          <cell r="FE145" t="str">
            <v>BOLD</v>
          </cell>
          <cell r="FH145"/>
          <cell r="FI145" t="str">
            <v>BOLD</v>
          </cell>
          <cell r="FL145"/>
          <cell r="FM145" t="str">
            <v>BOLD</v>
          </cell>
          <cell r="FP145"/>
          <cell r="FQ145" t="str">
            <v>BOLD</v>
          </cell>
          <cell r="FT145"/>
          <cell r="FU145" t="str">
            <v>BOLD</v>
          </cell>
          <cell r="FX145"/>
          <cell r="FY145" t="str">
            <v>BOLD</v>
          </cell>
          <cell r="GB145"/>
          <cell r="GC145" t="str">
            <v>BOLD</v>
          </cell>
          <cell r="GF145"/>
          <cell r="GG145" t="str">
            <v>BOLD</v>
          </cell>
          <cell r="GJ145"/>
          <cell r="GK145" t="str">
            <v>BOLD</v>
          </cell>
          <cell r="GN145"/>
          <cell r="GO145" t="str">
            <v>BOLD</v>
          </cell>
          <cell r="GR145"/>
          <cell r="GS145" t="str">
            <v>BOLD</v>
          </cell>
          <cell r="GV145"/>
          <cell r="GW145" t="str">
            <v>BOLD</v>
          </cell>
          <cell r="GZ145"/>
          <cell r="HA145" t="str">
            <v>BOLD</v>
          </cell>
          <cell r="HD145"/>
          <cell r="HE145" t="str">
            <v>BOLD</v>
          </cell>
          <cell r="HH145"/>
          <cell r="HI145" t="str">
            <v>BOLD</v>
          </cell>
          <cell r="HL145"/>
          <cell r="HM145" t="str">
            <v>BOLD</v>
          </cell>
          <cell r="HP145"/>
          <cell r="HQ145" t="str">
            <v>BOLD</v>
          </cell>
          <cell r="HT145"/>
          <cell r="HU145" t="str">
            <v>BOLD</v>
          </cell>
          <cell r="HV145" t="str">
            <v>Average VAR - Other Risks</v>
          </cell>
          <cell r="HW145" t="str">
            <v>IS_AVG_VAR_OTHER_RISK</v>
          </cell>
          <cell r="HX145"/>
          <cell r="HY145" t="str">
            <v>BOLD</v>
          </cell>
          <cell r="IP145" t="str">
            <v>Commercial</v>
          </cell>
          <cell r="IQ145" t="str">
            <v>AVG_GAS_COML_REV_PER_CUSTOMER</v>
          </cell>
          <cell r="IR145"/>
          <cell r="IS145" t="str">
            <v>BOLD</v>
          </cell>
        </row>
        <row r="146">
          <cell r="A146">
            <v>145</v>
          </cell>
          <cell r="D146"/>
          <cell r="E146" t="str">
            <v>BOLD</v>
          </cell>
          <cell r="F146" t="str">
            <v>60 Day Delinquencies - Mgd</v>
          </cell>
          <cell r="G146" t="str">
            <v>60D_DELQ_MANAGED_BASIS</v>
          </cell>
          <cell r="H146"/>
          <cell r="I146" t="str">
            <v>BOLD</v>
          </cell>
          <cell r="P146"/>
          <cell r="Q146" t="str">
            <v>BOLD</v>
          </cell>
          <cell r="T146"/>
          <cell r="U146" t="str">
            <v>BOLD</v>
          </cell>
          <cell r="X146"/>
          <cell r="Y146" t="str">
            <v>BOLD</v>
          </cell>
          <cell r="AB146"/>
          <cell r="AC146" t="str">
            <v>BOLD</v>
          </cell>
          <cell r="AF146"/>
          <cell r="AG146" t="str">
            <v>BOLD</v>
          </cell>
          <cell r="AJ146"/>
          <cell r="AK146" t="str">
            <v>BOLD</v>
          </cell>
          <cell r="AN146"/>
          <cell r="AO146" t="str">
            <v>BOLD</v>
          </cell>
          <cell r="AR146"/>
          <cell r="AS146" t="str">
            <v>BOLD</v>
          </cell>
          <cell r="AV146"/>
          <cell r="AW146" t="str">
            <v>BOLD</v>
          </cell>
          <cell r="AZ146"/>
          <cell r="BA146" t="str">
            <v>BOLD</v>
          </cell>
          <cell r="BD146"/>
          <cell r="BE146" t="str">
            <v>BOLD</v>
          </cell>
          <cell r="BH146"/>
          <cell r="BI146" t="str">
            <v>BOLD</v>
          </cell>
          <cell r="BL146"/>
          <cell r="BM146" t="str">
            <v>BOLD</v>
          </cell>
          <cell r="BP146"/>
          <cell r="BQ146" t="str">
            <v>BOLD</v>
          </cell>
          <cell r="BT146"/>
          <cell r="BU146" t="str">
            <v>BOLD</v>
          </cell>
          <cell r="BX146"/>
          <cell r="BY146" t="str">
            <v>BOLD</v>
          </cell>
          <cell r="CB146"/>
          <cell r="CC146" t="str">
            <v>BOLD</v>
          </cell>
          <cell r="CF146"/>
          <cell r="CG146" t="str">
            <v>BOLD</v>
          </cell>
          <cell r="CJ146"/>
          <cell r="CK146" t="str">
            <v>BOLD</v>
          </cell>
          <cell r="CN146"/>
          <cell r="CO146" t="str">
            <v>BOLD</v>
          </cell>
          <cell r="CR146"/>
          <cell r="CS146" t="str">
            <v>BOLD</v>
          </cell>
          <cell r="CV146"/>
          <cell r="CW146" t="str">
            <v>BOLD</v>
          </cell>
          <cell r="CZ146"/>
          <cell r="DA146" t="str">
            <v>BOLD</v>
          </cell>
          <cell r="DD146"/>
          <cell r="DE146" t="str">
            <v>BOLD</v>
          </cell>
          <cell r="DH146"/>
          <cell r="DI146" t="str">
            <v>BOLD</v>
          </cell>
          <cell r="DL146"/>
          <cell r="DM146" t="str">
            <v>BOLD</v>
          </cell>
          <cell r="DP146"/>
          <cell r="DQ146" t="str">
            <v>BOLD</v>
          </cell>
          <cell r="DT146"/>
          <cell r="DU146" t="str">
            <v>BOLD</v>
          </cell>
          <cell r="DX146"/>
          <cell r="DY146" t="str">
            <v>BOLD</v>
          </cell>
          <cell r="EB146"/>
          <cell r="EC146" t="str">
            <v>BOLD</v>
          </cell>
          <cell r="EF146"/>
          <cell r="EG146" t="str">
            <v>BOLD</v>
          </cell>
          <cell r="EJ146"/>
          <cell r="EK146" t="str">
            <v>BOLD</v>
          </cell>
          <cell r="EN146"/>
          <cell r="EO146" t="str">
            <v>BOLD</v>
          </cell>
          <cell r="ER146"/>
          <cell r="ES146" t="str">
            <v>BOLD</v>
          </cell>
          <cell r="EV146"/>
          <cell r="EW146" t="str">
            <v>BOLD</v>
          </cell>
          <cell r="EZ146"/>
          <cell r="FA146" t="str">
            <v>BOLD</v>
          </cell>
          <cell r="FD146"/>
          <cell r="FE146" t="str">
            <v>BOLD</v>
          </cell>
          <cell r="FH146"/>
          <cell r="FI146" t="str">
            <v>BOLD</v>
          </cell>
          <cell r="FL146"/>
          <cell r="FM146" t="str">
            <v>BOLD</v>
          </cell>
          <cell r="FP146"/>
          <cell r="FQ146" t="str">
            <v>BOLD</v>
          </cell>
          <cell r="FT146"/>
          <cell r="FU146" t="str">
            <v>BOLD</v>
          </cell>
          <cell r="FX146"/>
          <cell r="FY146" t="str">
            <v>BOLD</v>
          </cell>
          <cell r="GB146"/>
          <cell r="GC146" t="str">
            <v>BOLD</v>
          </cell>
          <cell r="GF146"/>
          <cell r="GG146" t="str">
            <v>BOLD</v>
          </cell>
          <cell r="GJ146"/>
          <cell r="GK146" t="str">
            <v>BOLD</v>
          </cell>
          <cell r="GN146"/>
          <cell r="GO146" t="str">
            <v>BOLD</v>
          </cell>
          <cell r="GR146"/>
          <cell r="GS146" t="str">
            <v>BOLD</v>
          </cell>
          <cell r="GV146"/>
          <cell r="GW146" t="str">
            <v>BOLD</v>
          </cell>
          <cell r="GZ146"/>
          <cell r="HA146" t="str">
            <v>BOLD</v>
          </cell>
          <cell r="HD146"/>
          <cell r="HE146" t="str">
            <v>BOLD</v>
          </cell>
          <cell r="HH146"/>
          <cell r="HI146" t="str">
            <v>BOLD</v>
          </cell>
          <cell r="HL146"/>
          <cell r="HM146" t="str">
            <v>BOLD</v>
          </cell>
          <cell r="HP146"/>
          <cell r="HQ146" t="str">
            <v>BOLD</v>
          </cell>
          <cell r="HT146"/>
          <cell r="HU146" t="str">
            <v>BOLD</v>
          </cell>
          <cell r="HV146" t="str">
            <v>VAR Diversification Benefit</v>
          </cell>
          <cell r="HW146" t="str">
            <v>IS_DIVERSIFICATION_BENEFIT</v>
          </cell>
          <cell r="HX146"/>
          <cell r="HY146" t="str">
            <v>BOLD</v>
          </cell>
          <cell r="IP146" t="str">
            <v>Industrial</v>
          </cell>
          <cell r="IQ146" t="str">
            <v>AVERAGE_GAS_IND_REV_PER_CUSTOMER</v>
          </cell>
          <cell r="IR146"/>
          <cell r="IS146" t="str">
            <v>BOLD</v>
          </cell>
        </row>
        <row r="147">
          <cell r="A147">
            <v>146</v>
          </cell>
          <cell r="D147"/>
          <cell r="E147" t="str">
            <v>BOLD</v>
          </cell>
          <cell r="F147" t="str">
            <v>90 Day Delinquencies - Mgd</v>
          </cell>
          <cell r="G147" t="str">
            <v>90D_DELQ_MANAGED_BASIS</v>
          </cell>
          <cell r="H147"/>
          <cell r="I147" t="str">
            <v>BOLD</v>
          </cell>
          <cell r="P147"/>
          <cell r="Q147" t="str">
            <v>BOLD</v>
          </cell>
          <cell r="T147"/>
          <cell r="U147" t="str">
            <v>BOLD</v>
          </cell>
          <cell r="X147"/>
          <cell r="Y147" t="str">
            <v>BOLD</v>
          </cell>
          <cell r="AB147"/>
          <cell r="AC147" t="str">
            <v>BOLD</v>
          </cell>
          <cell r="AF147"/>
          <cell r="AG147" t="str">
            <v>BOLD</v>
          </cell>
          <cell r="AJ147"/>
          <cell r="AK147" t="str">
            <v>BOLD</v>
          </cell>
          <cell r="AN147"/>
          <cell r="AO147" t="str">
            <v>BOLD</v>
          </cell>
          <cell r="AR147"/>
          <cell r="AS147" t="str">
            <v>BOLD</v>
          </cell>
          <cell r="AV147"/>
          <cell r="AW147" t="str">
            <v>BOLD</v>
          </cell>
          <cell r="AZ147"/>
          <cell r="BA147" t="str">
            <v>BOLD</v>
          </cell>
          <cell r="BD147"/>
          <cell r="BE147" t="str">
            <v>BOLD</v>
          </cell>
          <cell r="BH147"/>
          <cell r="BI147" t="str">
            <v>BOLD</v>
          </cell>
          <cell r="BL147"/>
          <cell r="BM147" t="str">
            <v>BOLD</v>
          </cell>
          <cell r="BP147"/>
          <cell r="BQ147" t="str">
            <v>BOLD</v>
          </cell>
          <cell r="BT147"/>
          <cell r="BU147" t="str">
            <v>BOLD</v>
          </cell>
          <cell r="BX147"/>
          <cell r="BY147" t="str">
            <v>BOLD</v>
          </cell>
          <cell r="CB147"/>
          <cell r="CC147" t="str">
            <v>BOLD</v>
          </cell>
          <cell r="CF147"/>
          <cell r="CG147" t="str">
            <v>BOLD</v>
          </cell>
          <cell r="CJ147"/>
          <cell r="CK147" t="str">
            <v>BOLD</v>
          </cell>
          <cell r="CN147"/>
          <cell r="CO147" t="str">
            <v>BOLD</v>
          </cell>
          <cell r="CR147"/>
          <cell r="CS147" t="str">
            <v>BOLD</v>
          </cell>
          <cell r="CV147"/>
          <cell r="CW147" t="str">
            <v>BOLD</v>
          </cell>
          <cell r="CZ147"/>
          <cell r="DA147" t="str">
            <v>BOLD</v>
          </cell>
          <cell r="DD147"/>
          <cell r="DE147" t="str">
            <v>BOLD</v>
          </cell>
          <cell r="DH147"/>
          <cell r="DI147" t="str">
            <v>BOLD</v>
          </cell>
          <cell r="DL147"/>
          <cell r="DM147" t="str">
            <v>BOLD</v>
          </cell>
          <cell r="DP147"/>
          <cell r="DQ147" t="str">
            <v>BOLD</v>
          </cell>
          <cell r="DT147"/>
          <cell r="DU147" t="str">
            <v>BOLD</v>
          </cell>
          <cell r="DX147"/>
          <cell r="DY147" t="str">
            <v>BOLD</v>
          </cell>
          <cell r="EB147"/>
          <cell r="EC147" t="str">
            <v>BOLD</v>
          </cell>
          <cell r="EF147"/>
          <cell r="EG147" t="str">
            <v>BOLD</v>
          </cell>
          <cell r="EJ147"/>
          <cell r="EK147" t="str">
            <v>BOLD</v>
          </cell>
          <cell r="EN147"/>
          <cell r="EO147" t="str">
            <v>BOLD</v>
          </cell>
          <cell r="ER147"/>
          <cell r="ES147" t="str">
            <v>BOLD</v>
          </cell>
          <cell r="EV147"/>
          <cell r="EW147" t="str">
            <v>BOLD</v>
          </cell>
          <cell r="EZ147"/>
          <cell r="FA147" t="str">
            <v>BOLD</v>
          </cell>
          <cell r="FD147"/>
          <cell r="FE147" t="str">
            <v>BOLD</v>
          </cell>
          <cell r="FH147"/>
          <cell r="FI147" t="str">
            <v>BOLD</v>
          </cell>
          <cell r="FL147"/>
          <cell r="FM147" t="str">
            <v>BOLD</v>
          </cell>
          <cell r="FP147"/>
          <cell r="FQ147" t="str">
            <v>BOLD</v>
          </cell>
          <cell r="FT147"/>
          <cell r="FU147" t="str">
            <v>BOLD</v>
          </cell>
          <cell r="FX147"/>
          <cell r="FY147" t="str">
            <v>BOLD</v>
          </cell>
          <cell r="GB147"/>
          <cell r="GC147" t="str">
            <v>BOLD</v>
          </cell>
          <cell r="GF147"/>
          <cell r="GG147" t="str">
            <v>BOLD</v>
          </cell>
          <cell r="GJ147"/>
          <cell r="GK147" t="str">
            <v>BOLD</v>
          </cell>
          <cell r="GN147"/>
          <cell r="GO147" t="str">
            <v>BOLD</v>
          </cell>
          <cell r="GR147"/>
          <cell r="GS147" t="str">
            <v>BOLD</v>
          </cell>
          <cell r="GV147"/>
          <cell r="GW147" t="str">
            <v>BOLD</v>
          </cell>
          <cell r="GZ147"/>
          <cell r="HA147" t="str">
            <v>BOLD</v>
          </cell>
          <cell r="HD147"/>
          <cell r="HE147" t="str">
            <v>BOLD</v>
          </cell>
          <cell r="HH147"/>
          <cell r="HI147" t="str">
            <v>BOLD</v>
          </cell>
          <cell r="HL147"/>
          <cell r="HM147" t="str">
            <v>BOLD</v>
          </cell>
          <cell r="HP147"/>
          <cell r="HQ147" t="str">
            <v>BOLD</v>
          </cell>
          <cell r="HT147"/>
          <cell r="HU147" t="str">
            <v>BOLD</v>
          </cell>
          <cell r="HV147" t="str">
            <v>Total Average Value-At-Risk</v>
          </cell>
          <cell r="HW147" t="str">
            <v>IS_TOTAL_VALUE_AT_RISK</v>
          </cell>
          <cell r="HX147"/>
          <cell r="HY147" t="str">
            <v>BOLD</v>
          </cell>
          <cell r="IP147" t="str">
            <v>Total</v>
          </cell>
          <cell r="IQ147" t="str">
            <v>AVERAGE_TOT_GAS_REV_PER_CUSTOMER</v>
          </cell>
          <cell r="IR147"/>
          <cell r="IS147" t="str">
            <v>BOLD</v>
          </cell>
        </row>
        <row r="148">
          <cell r="A148">
            <v>147</v>
          </cell>
          <cell r="D148"/>
          <cell r="E148" t="str">
            <v>BOLD</v>
          </cell>
          <cell r="F148" t="str">
            <v>120 Day Delinquencies - Mgd</v>
          </cell>
          <cell r="G148" t="str">
            <v>120D_DELQ_MANAGED_BASIS</v>
          </cell>
          <cell r="H148"/>
          <cell r="I148" t="str">
            <v>BOLD</v>
          </cell>
          <cell r="P148"/>
          <cell r="Q148" t="str">
            <v>BOLD</v>
          </cell>
          <cell r="T148"/>
          <cell r="U148" t="str">
            <v>BOLD</v>
          </cell>
          <cell r="X148"/>
          <cell r="Y148" t="str">
            <v>BOLD</v>
          </cell>
          <cell r="AB148"/>
          <cell r="AC148" t="str">
            <v>BOLD</v>
          </cell>
          <cell r="AF148"/>
          <cell r="AG148" t="str">
            <v>BOLD</v>
          </cell>
          <cell r="AJ148"/>
          <cell r="AK148" t="str">
            <v>BOLD</v>
          </cell>
          <cell r="AN148"/>
          <cell r="AO148" t="str">
            <v>BOLD</v>
          </cell>
          <cell r="AR148"/>
          <cell r="AS148" t="str">
            <v>BOLD</v>
          </cell>
          <cell r="AV148"/>
          <cell r="AW148" t="str">
            <v>BOLD</v>
          </cell>
          <cell r="AZ148"/>
          <cell r="BA148" t="str">
            <v>BOLD</v>
          </cell>
          <cell r="BD148"/>
          <cell r="BE148" t="str">
            <v>BOLD</v>
          </cell>
          <cell r="BH148"/>
          <cell r="BI148" t="str">
            <v>BOLD</v>
          </cell>
          <cell r="BL148"/>
          <cell r="BM148" t="str">
            <v>BOLD</v>
          </cell>
          <cell r="BP148"/>
          <cell r="BQ148" t="str">
            <v>BOLD</v>
          </cell>
          <cell r="BT148"/>
          <cell r="BU148" t="str">
            <v>BOLD</v>
          </cell>
          <cell r="BX148"/>
          <cell r="BY148" t="str">
            <v>BOLD</v>
          </cell>
          <cell r="CB148"/>
          <cell r="CC148" t="str">
            <v>BOLD</v>
          </cell>
          <cell r="CF148"/>
          <cell r="CG148" t="str">
            <v>BOLD</v>
          </cell>
          <cell r="CJ148"/>
          <cell r="CK148" t="str">
            <v>BOLD</v>
          </cell>
          <cell r="CN148"/>
          <cell r="CO148" t="str">
            <v>BOLD</v>
          </cell>
          <cell r="CR148"/>
          <cell r="CS148" t="str">
            <v>BOLD</v>
          </cell>
          <cell r="CV148"/>
          <cell r="CW148" t="str">
            <v>BOLD</v>
          </cell>
          <cell r="CZ148"/>
          <cell r="DA148" t="str">
            <v>BOLD</v>
          </cell>
          <cell r="DD148"/>
          <cell r="DE148" t="str">
            <v>BOLD</v>
          </cell>
          <cell r="DH148"/>
          <cell r="DI148" t="str">
            <v>BOLD</v>
          </cell>
          <cell r="DL148"/>
          <cell r="DM148" t="str">
            <v>BOLD</v>
          </cell>
          <cell r="DP148"/>
          <cell r="DQ148" t="str">
            <v>BOLD</v>
          </cell>
          <cell r="DT148"/>
          <cell r="DU148" t="str">
            <v>BOLD</v>
          </cell>
          <cell r="DX148"/>
          <cell r="DY148" t="str">
            <v>BOLD</v>
          </cell>
          <cell r="EB148"/>
          <cell r="EC148" t="str">
            <v>BOLD</v>
          </cell>
          <cell r="EF148"/>
          <cell r="EG148" t="str">
            <v>BOLD</v>
          </cell>
          <cell r="EJ148"/>
          <cell r="EK148" t="str">
            <v>BOLD</v>
          </cell>
          <cell r="EN148"/>
          <cell r="EO148" t="str">
            <v>BOLD</v>
          </cell>
          <cell r="ER148"/>
          <cell r="ES148" t="str">
            <v>BOLD</v>
          </cell>
          <cell r="EV148"/>
          <cell r="EW148" t="str">
            <v>BOLD</v>
          </cell>
          <cell r="EZ148"/>
          <cell r="FA148" t="str">
            <v>BOLD</v>
          </cell>
          <cell r="FD148"/>
          <cell r="FE148" t="str">
            <v>BOLD</v>
          </cell>
          <cell r="FH148"/>
          <cell r="FI148" t="str">
            <v>BOLD</v>
          </cell>
          <cell r="FL148"/>
          <cell r="FM148" t="str">
            <v>BOLD</v>
          </cell>
          <cell r="FP148"/>
          <cell r="FQ148" t="str">
            <v>BOLD</v>
          </cell>
          <cell r="FT148"/>
          <cell r="FU148" t="str">
            <v>BOLD</v>
          </cell>
          <cell r="FX148"/>
          <cell r="FY148" t="str">
            <v>BOLD</v>
          </cell>
          <cell r="GB148"/>
          <cell r="GC148" t="str">
            <v>BOLD</v>
          </cell>
          <cell r="GF148"/>
          <cell r="GG148" t="str">
            <v>BOLD</v>
          </cell>
          <cell r="GJ148"/>
          <cell r="GK148" t="str">
            <v>BOLD</v>
          </cell>
          <cell r="GN148"/>
          <cell r="GO148" t="str">
            <v>BOLD</v>
          </cell>
          <cell r="GR148"/>
          <cell r="GS148" t="str">
            <v>BOLD</v>
          </cell>
          <cell r="GV148"/>
          <cell r="GW148" t="str">
            <v>BOLD</v>
          </cell>
          <cell r="GZ148"/>
          <cell r="HA148" t="str">
            <v>BOLD</v>
          </cell>
          <cell r="HD148"/>
          <cell r="HE148" t="str">
            <v>BOLD</v>
          </cell>
          <cell r="HH148"/>
          <cell r="HI148" t="str">
            <v>BOLD</v>
          </cell>
          <cell r="HL148"/>
          <cell r="HM148" t="str">
            <v>BOLD</v>
          </cell>
          <cell r="HP148"/>
          <cell r="HQ148" t="str">
            <v>BOLD</v>
          </cell>
          <cell r="HT148"/>
          <cell r="HU148" t="str">
            <v>BOLD</v>
          </cell>
          <cell r="HV148" t="str">
            <v>VAR Confidence Level</v>
          </cell>
          <cell r="HW148" t="str">
            <v>IS_VAR_CONFIDENCE_LEVEL</v>
          </cell>
          <cell r="HX148"/>
          <cell r="HY148" t="str">
            <v>BOLD</v>
          </cell>
          <cell r="IR148"/>
          <cell r="IS148" t="str">
            <v>BOLD</v>
          </cell>
        </row>
        <row r="149">
          <cell r="A149">
            <v>148</v>
          </cell>
          <cell r="D149"/>
          <cell r="E149" t="str">
            <v>BOLD</v>
          </cell>
          <cell r="F149" t="str">
            <v>30 Day Delinq Rate - Mgd</v>
          </cell>
          <cell r="G149" t="str">
            <v>30D_DELQ_RATE_MGD_BASIS</v>
          </cell>
          <cell r="H149"/>
          <cell r="I149" t="str">
            <v>BOLD</v>
          </cell>
          <cell r="P149"/>
          <cell r="Q149" t="str">
            <v>BOLD</v>
          </cell>
          <cell r="T149"/>
          <cell r="U149" t="str">
            <v>BOLD</v>
          </cell>
          <cell r="X149"/>
          <cell r="Y149" t="str">
            <v>BOLD</v>
          </cell>
          <cell r="AB149"/>
          <cell r="AC149" t="str">
            <v>BOLD</v>
          </cell>
          <cell r="AF149"/>
          <cell r="AG149" t="str">
            <v>BOLD</v>
          </cell>
          <cell r="AJ149"/>
          <cell r="AK149" t="str">
            <v>BOLD</v>
          </cell>
          <cell r="AN149"/>
          <cell r="AO149" t="str">
            <v>BOLD</v>
          </cell>
          <cell r="AR149"/>
          <cell r="AS149" t="str">
            <v>BOLD</v>
          </cell>
          <cell r="AV149"/>
          <cell r="AW149" t="str">
            <v>BOLD</v>
          </cell>
          <cell r="AZ149"/>
          <cell r="BA149" t="str">
            <v>BOLD</v>
          </cell>
          <cell r="BD149"/>
          <cell r="BE149" t="str">
            <v>BOLD</v>
          </cell>
          <cell r="BH149"/>
          <cell r="BI149" t="str">
            <v>BOLD</v>
          </cell>
          <cell r="BL149"/>
          <cell r="BM149" t="str">
            <v>BOLD</v>
          </cell>
          <cell r="BP149"/>
          <cell r="BQ149" t="str">
            <v>BOLD</v>
          </cell>
          <cell r="BT149"/>
          <cell r="BU149" t="str">
            <v>BOLD</v>
          </cell>
          <cell r="BX149"/>
          <cell r="BY149" t="str">
            <v>BOLD</v>
          </cell>
          <cell r="CB149"/>
          <cell r="CC149" t="str">
            <v>BOLD</v>
          </cell>
          <cell r="CF149"/>
          <cell r="CG149" t="str">
            <v>BOLD</v>
          </cell>
          <cell r="CJ149"/>
          <cell r="CK149" t="str">
            <v>BOLD</v>
          </cell>
          <cell r="CN149"/>
          <cell r="CO149" t="str">
            <v>BOLD</v>
          </cell>
          <cell r="CR149"/>
          <cell r="CS149" t="str">
            <v>BOLD</v>
          </cell>
          <cell r="CV149"/>
          <cell r="CW149" t="str">
            <v>BOLD</v>
          </cell>
          <cell r="CZ149"/>
          <cell r="DA149" t="str">
            <v>BOLD</v>
          </cell>
          <cell r="DD149"/>
          <cell r="DE149" t="str">
            <v>BOLD</v>
          </cell>
          <cell r="DH149"/>
          <cell r="DI149" t="str">
            <v>BOLD</v>
          </cell>
          <cell r="DL149"/>
          <cell r="DM149" t="str">
            <v>BOLD</v>
          </cell>
          <cell r="DP149"/>
          <cell r="DQ149" t="str">
            <v>BOLD</v>
          </cell>
          <cell r="DT149"/>
          <cell r="DU149" t="str">
            <v>BOLD</v>
          </cell>
          <cell r="DX149"/>
          <cell r="DY149" t="str">
            <v>BOLD</v>
          </cell>
          <cell r="EB149"/>
          <cell r="EC149" t="str">
            <v>BOLD</v>
          </cell>
          <cell r="EF149"/>
          <cell r="EG149" t="str">
            <v>BOLD</v>
          </cell>
          <cell r="EJ149"/>
          <cell r="EK149" t="str">
            <v>BOLD</v>
          </cell>
          <cell r="EN149"/>
          <cell r="EO149" t="str">
            <v>BOLD</v>
          </cell>
          <cell r="ER149"/>
          <cell r="ES149" t="str">
            <v>BOLD</v>
          </cell>
          <cell r="EV149"/>
          <cell r="EW149" t="str">
            <v>BOLD</v>
          </cell>
          <cell r="EZ149"/>
          <cell r="FA149" t="str">
            <v>BOLD</v>
          </cell>
          <cell r="FD149"/>
          <cell r="FE149" t="str">
            <v>BOLD</v>
          </cell>
          <cell r="FH149"/>
          <cell r="FI149" t="str">
            <v>BOLD</v>
          </cell>
          <cell r="FL149"/>
          <cell r="FM149" t="str">
            <v>BOLD</v>
          </cell>
          <cell r="FP149"/>
          <cell r="FQ149" t="str">
            <v>BOLD</v>
          </cell>
          <cell r="FT149"/>
          <cell r="FU149" t="str">
            <v>BOLD</v>
          </cell>
          <cell r="FX149"/>
          <cell r="FY149" t="str">
            <v>BOLD</v>
          </cell>
          <cell r="GB149"/>
          <cell r="GC149" t="str">
            <v>BOLD</v>
          </cell>
          <cell r="GF149"/>
          <cell r="GG149" t="str">
            <v>BOLD</v>
          </cell>
          <cell r="GJ149"/>
          <cell r="GK149" t="str">
            <v>BOLD</v>
          </cell>
          <cell r="GN149"/>
          <cell r="GO149" t="str">
            <v>BOLD</v>
          </cell>
          <cell r="GR149"/>
          <cell r="GS149" t="str">
            <v>BOLD</v>
          </cell>
          <cell r="GV149"/>
          <cell r="GW149" t="str">
            <v>BOLD</v>
          </cell>
          <cell r="GZ149"/>
          <cell r="HA149" t="str">
            <v>BOLD</v>
          </cell>
          <cell r="HD149"/>
          <cell r="HE149" t="str">
            <v>BOLD</v>
          </cell>
          <cell r="HH149"/>
          <cell r="HI149" t="str">
            <v>BOLD</v>
          </cell>
          <cell r="HL149"/>
          <cell r="HM149" t="str">
            <v>BOLD</v>
          </cell>
          <cell r="HP149"/>
          <cell r="HQ149" t="str">
            <v>BOLD</v>
          </cell>
          <cell r="HT149"/>
          <cell r="HU149" t="str">
            <v>BOLD</v>
          </cell>
          <cell r="IP149" t="str">
            <v>Gross Natural Gas Investment Per Customer</v>
          </cell>
          <cell r="IQ149" t="str">
            <v>GROSS_NATGAS_INVEST_PER_CUSTOMER</v>
          </cell>
          <cell r="IR149"/>
          <cell r="IS149" t="str">
            <v>BOLD</v>
          </cell>
        </row>
        <row r="150">
          <cell r="A150">
            <v>149</v>
          </cell>
          <cell r="D150"/>
          <cell r="E150" t="str">
            <v>BOLD</v>
          </cell>
          <cell r="F150" t="str">
            <v>60 Day Delinq Rate - Mgd</v>
          </cell>
          <cell r="G150" t="str">
            <v>60D_DELQ_RATE_MGD_BASIS</v>
          </cell>
          <cell r="H150"/>
          <cell r="I150" t="str">
            <v>BOLD</v>
          </cell>
          <cell r="P150"/>
          <cell r="Q150" t="str">
            <v>BOLD</v>
          </cell>
          <cell r="T150"/>
          <cell r="U150" t="str">
            <v>BOLD</v>
          </cell>
          <cell r="X150"/>
          <cell r="Y150" t="str">
            <v>BOLD</v>
          </cell>
          <cell r="AB150"/>
          <cell r="AC150" t="str">
            <v>BOLD</v>
          </cell>
          <cell r="AF150"/>
          <cell r="AG150" t="str">
            <v>BOLD</v>
          </cell>
          <cell r="AJ150"/>
          <cell r="AK150" t="str">
            <v>BOLD</v>
          </cell>
          <cell r="AN150"/>
          <cell r="AO150" t="str">
            <v>BOLD</v>
          </cell>
          <cell r="AR150"/>
          <cell r="AS150" t="str">
            <v>BOLD</v>
          </cell>
          <cell r="AV150"/>
          <cell r="AW150" t="str">
            <v>BOLD</v>
          </cell>
          <cell r="AZ150"/>
          <cell r="BA150" t="str">
            <v>BOLD</v>
          </cell>
          <cell r="BD150"/>
          <cell r="BE150" t="str">
            <v>BOLD</v>
          </cell>
          <cell r="BH150"/>
          <cell r="BI150" t="str">
            <v>BOLD</v>
          </cell>
          <cell r="BL150"/>
          <cell r="BM150" t="str">
            <v>BOLD</v>
          </cell>
          <cell r="BP150"/>
          <cell r="BQ150" t="str">
            <v>BOLD</v>
          </cell>
          <cell r="BT150"/>
          <cell r="BU150" t="str">
            <v>BOLD</v>
          </cell>
          <cell r="BX150"/>
          <cell r="BY150" t="str">
            <v>BOLD</v>
          </cell>
          <cell r="CB150"/>
          <cell r="CC150" t="str">
            <v>BOLD</v>
          </cell>
          <cell r="CF150"/>
          <cell r="CG150" t="str">
            <v>BOLD</v>
          </cell>
          <cell r="CJ150"/>
          <cell r="CK150" t="str">
            <v>BOLD</v>
          </cell>
          <cell r="CN150"/>
          <cell r="CO150" t="str">
            <v>BOLD</v>
          </cell>
          <cell r="CR150"/>
          <cell r="CS150" t="str">
            <v>BOLD</v>
          </cell>
          <cell r="CV150"/>
          <cell r="CW150" t="str">
            <v>BOLD</v>
          </cell>
          <cell r="CZ150"/>
          <cell r="DA150" t="str">
            <v>BOLD</v>
          </cell>
          <cell r="DD150"/>
          <cell r="DE150" t="str">
            <v>BOLD</v>
          </cell>
          <cell r="DH150"/>
          <cell r="DI150" t="str">
            <v>BOLD</v>
          </cell>
          <cell r="DL150"/>
          <cell r="DM150" t="str">
            <v>BOLD</v>
          </cell>
          <cell r="DP150"/>
          <cell r="DQ150" t="str">
            <v>BOLD</v>
          </cell>
          <cell r="DT150"/>
          <cell r="DU150" t="str">
            <v>BOLD</v>
          </cell>
          <cell r="DX150"/>
          <cell r="DY150" t="str">
            <v>BOLD</v>
          </cell>
          <cell r="EB150"/>
          <cell r="EC150" t="str">
            <v>BOLD</v>
          </cell>
          <cell r="EF150"/>
          <cell r="EG150" t="str">
            <v>BOLD</v>
          </cell>
          <cell r="EJ150"/>
          <cell r="EK150" t="str">
            <v>BOLD</v>
          </cell>
          <cell r="EN150"/>
          <cell r="EO150" t="str">
            <v>BOLD</v>
          </cell>
          <cell r="ER150"/>
          <cell r="ES150" t="str">
            <v>BOLD</v>
          </cell>
          <cell r="EV150"/>
          <cell r="EW150" t="str">
            <v>BOLD</v>
          </cell>
          <cell r="EZ150"/>
          <cell r="FA150" t="str">
            <v>BOLD</v>
          </cell>
          <cell r="FD150"/>
          <cell r="FE150" t="str">
            <v>BOLD</v>
          </cell>
          <cell r="FH150"/>
          <cell r="FI150" t="str">
            <v>BOLD</v>
          </cell>
          <cell r="FL150"/>
          <cell r="FM150" t="str">
            <v>BOLD</v>
          </cell>
          <cell r="FP150"/>
          <cell r="FQ150" t="str">
            <v>BOLD</v>
          </cell>
          <cell r="FT150"/>
          <cell r="FU150" t="str">
            <v>BOLD</v>
          </cell>
          <cell r="FX150"/>
          <cell r="FY150" t="str">
            <v>BOLD</v>
          </cell>
          <cell r="GB150"/>
          <cell r="GC150" t="str">
            <v>BOLD</v>
          </cell>
          <cell r="GF150"/>
          <cell r="GG150" t="str">
            <v>BOLD</v>
          </cell>
          <cell r="GJ150"/>
          <cell r="GK150" t="str">
            <v>BOLD</v>
          </cell>
          <cell r="GN150"/>
          <cell r="GO150" t="str">
            <v>BOLD</v>
          </cell>
          <cell r="GR150"/>
          <cell r="GS150" t="str">
            <v>BOLD</v>
          </cell>
          <cell r="GV150"/>
          <cell r="GW150" t="str">
            <v>BOLD</v>
          </cell>
          <cell r="GZ150"/>
          <cell r="HA150" t="str">
            <v>BOLD</v>
          </cell>
          <cell r="HD150"/>
          <cell r="HE150" t="str">
            <v>BOLD</v>
          </cell>
          <cell r="HH150"/>
          <cell r="HI150" t="str">
            <v>BOLD</v>
          </cell>
          <cell r="HL150"/>
          <cell r="HM150" t="str">
            <v>BOLD</v>
          </cell>
          <cell r="HP150"/>
          <cell r="HQ150" t="str">
            <v>BOLD</v>
          </cell>
          <cell r="HT150"/>
          <cell r="HU150" t="str">
            <v>BOLD</v>
          </cell>
        </row>
        <row r="151">
          <cell r="A151">
            <v>150</v>
          </cell>
          <cell r="D151"/>
          <cell r="E151" t="str">
            <v>BOLD</v>
          </cell>
          <cell r="F151" t="str">
            <v>90 Day Delinq Rate - Mgd</v>
          </cell>
          <cell r="G151" t="str">
            <v>90D_DELQ_RATE_MGD_BASIS</v>
          </cell>
          <cell r="H151"/>
          <cell r="I151" t="str">
            <v>BOLD</v>
          </cell>
          <cell r="P151"/>
          <cell r="Q151" t="str">
            <v>BOLD</v>
          </cell>
          <cell r="T151"/>
          <cell r="U151" t="str">
            <v>BOLD</v>
          </cell>
          <cell r="X151"/>
          <cell r="Y151" t="str">
            <v>BOLD</v>
          </cell>
          <cell r="AB151"/>
          <cell r="AC151" t="str">
            <v>BOLD</v>
          </cell>
          <cell r="AF151"/>
          <cell r="AG151" t="str">
            <v>BOLD</v>
          </cell>
          <cell r="AJ151"/>
          <cell r="AK151" t="str">
            <v>BOLD</v>
          </cell>
          <cell r="AN151"/>
          <cell r="AO151" t="str">
            <v>BOLD</v>
          </cell>
          <cell r="AR151"/>
          <cell r="AS151" t="str">
            <v>BOLD</v>
          </cell>
          <cell r="AV151"/>
          <cell r="AW151" t="str">
            <v>BOLD</v>
          </cell>
          <cell r="AZ151"/>
          <cell r="BA151" t="str">
            <v>BOLD</v>
          </cell>
          <cell r="BD151"/>
          <cell r="BE151" t="str">
            <v>BOLD</v>
          </cell>
          <cell r="BH151"/>
          <cell r="BI151" t="str">
            <v>BOLD</v>
          </cell>
          <cell r="BL151"/>
          <cell r="BM151" t="str">
            <v>BOLD</v>
          </cell>
          <cell r="BP151"/>
          <cell r="BQ151" t="str">
            <v>BOLD</v>
          </cell>
          <cell r="BT151"/>
          <cell r="BU151" t="str">
            <v>BOLD</v>
          </cell>
          <cell r="BX151"/>
          <cell r="BY151" t="str">
            <v>BOLD</v>
          </cell>
          <cell r="CB151"/>
          <cell r="CC151" t="str">
            <v>BOLD</v>
          </cell>
          <cell r="CF151"/>
          <cell r="CG151" t="str">
            <v>BOLD</v>
          </cell>
          <cell r="CJ151"/>
          <cell r="CK151" t="str">
            <v>BOLD</v>
          </cell>
          <cell r="CN151"/>
          <cell r="CO151" t="str">
            <v>BOLD</v>
          </cell>
          <cell r="CR151"/>
          <cell r="CS151" t="str">
            <v>BOLD</v>
          </cell>
          <cell r="CV151"/>
          <cell r="CW151" t="str">
            <v>BOLD</v>
          </cell>
          <cell r="CZ151"/>
          <cell r="DA151" t="str">
            <v>BOLD</v>
          </cell>
          <cell r="DD151"/>
          <cell r="DE151" t="str">
            <v>BOLD</v>
          </cell>
          <cell r="DH151"/>
          <cell r="DI151" t="str">
            <v>BOLD</v>
          </cell>
          <cell r="DL151"/>
          <cell r="DM151" t="str">
            <v>BOLD</v>
          </cell>
          <cell r="DP151"/>
          <cell r="DQ151" t="str">
            <v>BOLD</v>
          </cell>
          <cell r="DT151"/>
          <cell r="DU151" t="str">
            <v>BOLD</v>
          </cell>
          <cell r="DX151"/>
          <cell r="DY151" t="str">
            <v>BOLD</v>
          </cell>
          <cell r="EB151"/>
          <cell r="EC151" t="str">
            <v>BOLD</v>
          </cell>
          <cell r="EF151"/>
          <cell r="EG151" t="str">
            <v>BOLD</v>
          </cell>
          <cell r="EJ151"/>
          <cell r="EK151" t="str">
            <v>BOLD</v>
          </cell>
          <cell r="EN151"/>
          <cell r="EO151" t="str">
            <v>BOLD</v>
          </cell>
          <cell r="ER151"/>
          <cell r="ES151" t="str">
            <v>BOLD</v>
          </cell>
          <cell r="EV151"/>
          <cell r="EW151" t="str">
            <v>BOLD</v>
          </cell>
          <cell r="EZ151"/>
          <cell r="FA151" t="str">
            <v>BOLD</v>
          </cell>
          <cell r="FD151"/>
          <cell r="FE151" t="str">
            <v>BOLD</v>
          </cell>
          <cell r="FH151"/>
          <cell r="FI151" t="str">
            <v>BOLD</v>
          </cell>
          <cell r="FL151"/>
          <cell r="FM151" t="str">
            <v>BOLD</v>
          </cell>
          <cell r="FP151"/>
          <cell r="FQ151" t="str">
            <v>BOLD</v>
          </cell>
          <cell r="FT151"/>
          <cell r="FU151" t="str">
            <v>BOLD</v>
          </cell>
          <cell r="FX151"/>
          <cell r="FY151" t="str">
            <v>BOLD</v>
          </cell>
          <cell r="GB151"/>
          <cell r="GC151" t="str">
            <v>BOLD</v>
          </cell>
          <cell r="GF151"/>
          <cell r="GG151" t="str">
            <v>BOLD</v>
          </cell>
          <cell r="GJ151"/>
          <cell r="GK151" t="str">
            <v>BOLD</v>
          </cell>
          <cell r="GN151"/>
          <cell r="GO151" t="str">
            <v>BOLD</v>
          </cell>
          <cell r="GR151"/>
          <cell r="GS151" t="str">
            <v>BOLD</v>
          </cell>
          <cell r="GV151"/>
          <cell r="GW151" t="str">
            <v>BOLD</v>
          </cell>
          <cell r="GZ151"/>
          <cell r="HA151" t="str">
            <v>BOLD</v>
          </cell>
          <cell r="HD151"/>
          <cell r="HE151" t="str">
            <v>BOLD</v>
          </cell>
          <cell r="HH151"/>
          <cell r="HI151" t="str">
            <v>BOLD</v>
          </cell>
          <cell r="HL151"/>
          <cell r="HM151" t="str">
            <v>BOLD</v>
          </cell>
          <cell r="HP151"/>
          <cell r="HQ151" t="str">
            <v>BOLD</v>
          </cell>
          <cell r="HT151"/>
          <cell r="HU151" t="str">
            <v>BOLD</v>
          </cell>
        </row>
        <row r="152">
          <cell r="A152">
            <v>151</v>
          </cell>
          <cell r="D152"/>
          <cell r="E152" t="str">
            <v>BOLD</v>
          </cell>
          <cell r="F152" t="str">
            <v>120 Day Delinq Rate - Mgd</v>
          </cell>
          <cell r="G152" t="str">
            <v>120D_DELQ_RATE_MGD_BASIS</v>
          </cell>
          <cell r="H152"/>
          <cell r="I152" t="str">
            <v>BOLD</v>
          </cell>
          <cell r="P152"/>
          <cell r="Q152" t="str">
            <v>BOLD</v>
          </cell>
          <cell r="T152"/>
          <cell r="U152" t="str">
            <v>BOLD</v>
          </cell>
          <cell r="X152"/>
          <cell r="Y152" t="str">
            <v>BOLD</v>
          </cell>
          <cell r="AB152"/>
          <cell r="AC152" t="str">
            <v>BOLD</v>
          </cell>
          <cell r="AF152"/>
          <cell r="AG152" t="str">
            <v>BOLD</v>
          </cell>
          <cell r="AJ152"/>
          <cell r="AK152" t="str">
            <v>BOLD</v>
          </cell>
          <cell r="AN152"/>
          <cell r="AO152" t="str">
            <v>BOLD</v>
          </cell>
          <cell r="AR152"/>
          <cell r="AS152" t="str">
            <v>BOLD</v>
          </cell>
          <cell r="AV152"/>
          <cell r="AW152" t="str">
            <v>BOLD</v>
          </cell>
          <cell r="AZ152"/>
          <cell r="BA152" t="str">
            <v>BOLD</v>
          </cell>
          <cell r="BD152"/>
          <cell r="BE152" t="str">
            <v>BOLD</v>
          </cell>
          <cell r="BH152"/>
          <cell r="BI152" t="str">
            <v>BOLD</v>
          </cell>
          <cell r="BL152"/>
          <cell r="BM152" t="str">
            <v>BOLD</v>
          </cell>
          <cell r="BP152"/>
          <cell r="BQ152" t="str">
            <v>BOLD</v>
          </cell>
          <cell r="BT152"/>
          <cell r="BU152" t="str">
            <v>BOLD</v>
          </cell>
          <cell r="BX152"/>
          <cell r="BY152" t="str">
            <v>BOLD</v>
          </cell>
          <cell r="CB152"/>
          <cell r="CC152" t="str">
            <v>BOLD</v>
          </cell>
          <cell r="CF152"/>
          <cell r="CG152" t="str">
            <v>BOLD</v>
          </cell>
          <cell r="CJ152"/>
          <cell r="CK152" t="str">
            <v>BOLD</v>
          </cell>
          <cell r="CN152"/>
          <cell r="CO152" t="str">
            <v>BOLD</v>
          </cell>
          <cell r="CR152"/>
          <cell r="CS152" t="str">
            <v>BOLD</v>
          </cell>
          <cell r="CV152"/>
          <cell r="CW152" t="str">
            <v>BOLD</v>
          </cell>
          <cell r="CZ152"/>
          <cell r="DA152" t="str">
            <v>BOLD</v>
          </cell>
          <cell r="DD152"/>
          <cell r="DE152" t="str">
            <v>BOLD</v>
          </cell>
          <cell r="DH152"/>
          <cell r="DI152" t="str">
            <v>BOLD</v>
          </cell>
          <cell r="DL152"/>
          <cell r="DM152" t="str">
            <v>BOLD</v>
          </cell>
          <cell r="DP152"/>
          <cell r="DQ152" t="str">
            <v>BOLD</v>
          </cell>
          <cell r="DT152"/>
          <cell r="DU152" t="str">
            <v>BOLD</v>
          </cell>
          <cell r="DX152"/>
          <cell r="DY152" t="str">
            <v>BOLD</v>
          </cell>
          <cell r="EB152"/>
          <cell r="EC152" t="str">
            <v>BOLD</v>
          </cell>
          <cell r="EF152"/>
          <cell r="EG152" t="str">
            <v>BOLD</v>
          </cell>
          <cell r="EJ152"/>
          <cell r="EK152" t="str">
            <v>BOLD</v>
          </cell>
          <cell r="EN152"/>
          <cell r="EO152" t="str">
            <v>BOLD</v>
          </cell>
          <cell r="ER152"/>
          <cell r="ES152" t="str">
            <v>BOLD</v>
          </cell>
          <cell r="EV152"/>
          <cell r="EW152" t="str">
            <v>BOLD</v>
          </cell>
          <cell r="EZ152"/>
          <cell r="FA152" t="str">
            <v>BOLD</v>
          </cell>
          <cell r="FD152"/>
          <cell r="FE152" t="str">
            <v>BOLD</v>
          </cell>
          <cell r="FH152"/>
          <cell r="FI152" t="str">
            <v>BOLD</v>
          </cell>
          <cell r="FL152"/>
          <cell r="FM152" t="str">
            <v>BOLD</v>
          </cell>
          <cell r="FP152"/>
          <cell r="FQ152" t="str">
            <v>BOLD</v>
          </cell>
          <cell r="FT152"/>
          <cell r="FU152" t="str">
            <v>BOLD</v>
          </cell>
          <cell r="FX152"/>
          <cell r="FY152" t="str">
            <v>BOLD</v>
          </cell>
          <cell r="GB152"/>
          <cell r="GC152" t="str">
            <v>BOLD</v>
          </cell>
          <cell r="GF152"/>
          <cell r="GG152" t="str">
            <v>BOLD</v>
          </cell>
          <cell r="GJ152"/>
          <cell r="GK152" t="str">
            <v>BOLD</v>
          </cell>
          <cell r="GN152"/>
          <cell r="GO152" t="str">
            <v>BOLD</v>
          </cell>
          <cell r="GR152"/>
          <cell r="GS152" t="str">
            <v>BOLD</v>
          </cell>
          <cell r="GV152"/>
          <cell r="GW152" t="str">
            <v>BOLD</v>
          </cell>
          <cell r="GZ152"/>
          <cell r="HA152" t="str">
            <v>BOLD</v>
          </cell>
          <cell r="HD152"/>
          <cell r="HE152" t="str">
            <v>BOLD</v>
          </cell>
          <cell r="HH152"/>
          <cell r="HI152" t="str">
            <v>BOLD</v>
          </cell>
          <cell r="HL152"/>
          <cell r="HM152" t="str">
            <v>BOLD</v>
          </cell>
          <cell r="HP152"/>
          <cell r="HQ152" t="str">
            <v>BOLD</v>
          </cell>
          <cell r="HT152"/>
          <cell r="HU152" t="str">
            <v>BOLD</v>
          </cell>
        </row>
        <row r="153">
          <cell r="A153">
            <v>152</v>
          </cell>
          <cell r="D153"/>
          <cell r="E153" t="str">
            <v>BOLD</v>
          </cell>
          <cell r="F153" t="str">
            <v>Card 60 Day Delinq - Mgd</v>
          </cell>
          <cell r="G153" t="str">
            <v>CARD_60D_DELQ_MANAGED_BASIS</v>
          </cell>
          <cell r="H153"/>
          <cell r="I153" t="str">
            <v>BOLD</v>
          </cell>
          <cell r="P153"/>
          <cell r="Q153" t="str">
            <v>BOLD</v>
          </cell>
          <cell r="T153"/>
          <cell r="U153" t="str">
            <v>BOLD</v>
          </cell>
          <cell r="X153"/>
          <cell r="Y153" t="str">
            <v>BOLD</v>
          </cell>
          <cell r="AB153"/>
          <cell r="AC153" t="str">
            <v>BOLD</v>
          </cell>
          <cell r="AF153"/>
          <cell r="AG153" t="str">
            <v>BOLD</v>
          </cell>
          <cell r="AJ153"/>
          <cell r="AK153" t="str">
            <v>BOLD</v>
          </cell>
          <cell r="AN153"/>
          <cell r="AO153" t="str">
            <v>BOLD</v>
          </cell>
          <cell r="AR153"/>
          <cell r="AS153" t="str">
            <v>BOLD</v>
          </cell>
          <cell r="AV153"/>
          <cell r="AW153" t="str">
            <v>BOLD</v>
          </cell>
          <cell r="AZ153"/>
          <cell r="BA153" t="str">
            <v>BOLD</v>
          </cell>
          <cell r="BD153"/>
          <cell r="BE153" t="str">
            <v>BOLD</v>
          </cell>
          <cell r="BH153"/>
          <cell r="BI153" t="str">
            <v>BOLD</v>
          </cell>
          <cell r="BL153"/>
          <cell r="BM153" t="str">
            <v>BOLD</v>
          </cell>
          <cell r="BP153"/>
          <cell r="BQ153" t="str">
            <v>BOLD</v>
          </cell>
          <cell r="BT153"/>
          <cell r="BU153" t="str">
            <v>BOLD</v>
          </cell>
          <cell r="BX153"/>
          <cell r="BY153" t="str">
            <v>BOLD</v>
          </cell>
          <cell r="CB153"/>
          <cell r="CC153" t="str">
            <v>BOLD</v>
          </cell>
          <cell r="CF153"/>
          <cell r="CG153" t="str">
            <v>BOLD</v>
          </cell>
          <cell r="CJ153"/>
          <cell r="CK153" t="str">
            <v>BOLD</v>
          </cell>
          <cell r="CN153"/>
          <cell r="CO153" t="str">
            <v>BOLD</v>
          </cell>
          <cell r="CR153"/>
          <cell r="CS153" t="str">
            <v>BOLD</v>
          </cell>
          <cell r="CV153"/>
          <cell r="CW153" t="str">
            <v>BOLD</v>
          </cell>
          <cell r="CZ153"/>
          <cell r="DA153" t="str">
            <v>BOLD</v>
          </cell>
          <cell r="DD153"/>
          <cell r="DE153" t="str">
            <v>BOLD</v>
          </cell>
          <cell r="DH153"/>
          <cell r="DI153" t="str">
            <v>BOLD</v>
          </cell>
          <cell r="DL153"/>
          <cell r="DM153" t="str">
            <v>BOLD</v>
          </cell>
          <cell r="DP153"/>
          <cell r="DQ153" t="str">
            <v>BOLD</v>
          </cell>
          <cell r="DT153"/>
          <cell r="DU153" t="str">
            <v>BOLD</v>
          </cell>
          <cell r="DX153"/>
          <cell r="DY153" t="str">
            <v>BOLD</v>
          </cell>
          <cell r="EB153"/>
          <cell r="EC153" t="str">
            <v>BOLD</v>
          </cell>
          <cell r="EF153"/>
          <cell r="EG153" t="str">
            <v>BOLD</v>
          </cell>
          <cell r="EJ153"/>
          <cell r="EK153" t="str">
            <v>BOLD</v>
          </cell>
          <cell r="EN153"/>
          <cell r="EO153" t="str">
            <v>BOLD</v>
          </cell>
          <cell r="ER153"/>
          <cell r="ES153" t="str">
            <v>BOLD</v>
          </cell>
          <cell r="EV153"/>
          <cell r="EW153" t="str">
            <v>BOLD</v>
          </cell>
          <cell r="EZ153"/>
          <cell r="FA153" t="str">
            <v>BOLD</v>
          </cell>
          <cell r="FD153"/>
          <cell r="FE153" t="str">
            <v>BOLD</v>
          </cell>
          <cell r="FH153"/>
          <cell r="FI153" t="str">
            <v>BOLD</v>
          </cell>
          <cell r="FL153"/>
          <cell r="FM153" t="str">
            <v>BOLD</v>
          </cell>
          <cell r="FP153"/>
          <cell r="FQ153" t="str">
            <v>BOLD</v>
          </cell>
          <cell r="FT153"/>
          <cell r="FU153" t="str">
            <v>BOLD</v>
          </cell>
          <cell r="FX153"/>
          <cell r="FY153" t="str">
            <v>BOLD</v>
          </cell>
          <cell r="GB153"/>
          <cell r="GC153" t="str">
            <v>BOLD</v>
          </cell>
          <cell r="GF153"/>
          <cell r="GG153" t="str">
            <v>BOLD</v>
          </cell>
          <cell r="GJ153"/>
          <cell r="GK153" t="str">
            <v>BOLD</v>
          </cell>
          <cell r="GN153"/>
          <cell r="GO153" t="str">
            <v>BOLD</v>
          </cell>
          <cell r="GR153"/>
          <cell r="GS153" t="str">
            <v>BOLD</v>
          </cell>
          <cell r="GV153"/>
          <cell r="GW153" t="str">
            <v>BOLD</v>
          </cell>
          <cell r="GZ153"/>
          <cell r="HA153" t="str">
            <v>BOLD</v>
          </cell>
          <cell r="HD153"/>
          <cell r="HE153" t="str">
            <v>BOLD</v>
          </cell>
          <cell r="HH153"/>
          <cell r="HI153" t="str">
            <v>BOLD</v>
          </cell>
          <cell r="HL153"/>
          <cell r="HM153" t="str">
            <v>BOLD</v>
          </cell>
          <cell r="HP153"/>
          <cell r="HQ153" t="str">
            <v>BOLD</v>
          </cell>
          <cell r="HT153"/>
          <cell r="HU153" t="str">
            <v>BOLD</v>
          </cell>
        </row>
        <row r="154">
          <cell r="A154">
            <v>153</v>
          </cell>
          <cell r="D154"/>
          <cell r="E154" t="str">
            <v>BOLD</v>
          </cell>
          <cell r="F154" t="str">
            <v>Card 90 Day Delinq - Mgd</v>
          </cell>
          <cell r="G154" t="str">
            <v>CARD_90D_DELQ_MANAGED_BASIS</v>
          </cell>
          <cell r="H154"/>
          <cell r="I154" t="str">
            <v>BOLD</v>
          </cell>
          <cell r="P154"/>
          <cell r="Q154" t="str">
            <v>BOLD</v>
          </cell>
          <cell r="T154"/>
          <cell r="U154" t="str">
            <v>BOLD</v>
          </cell>
          <cell r="X154"/>
          <cell r="Y154" t="str">
            <v>BOLD</v>
          </cell>
          <cell r="AB154"/>
          <cell r="AC154" t="str">
            <v>BOLD</v>
          </cell>
          <cell r="AF154"/>
          <cell r="AG154" t="str">
            <v>BOLD</v>
          </cell>
          <cell r="AJ154"/>
          <cell r="AK154" t="str">
            <v>BOLD</v>
          </cell>
          <cell r="AN154"/>
          <cell r="AO154" t="str">
            <v>BOLD</v>
          </cell>
          <cell r="AR154"/>
          <cell r="AS154" t="str">
            <v>BOLD</v>
          </cell>
          <cell r="AV154"/>
          <cell r="AW154" t="str">
            <v>BOLD</v>
          </cell>
          <cell r="AZ154"/>
          <cell r="BA154" t="str">
            <v>BOLD</v>
          </cell>
          <cell r="BD154"/>
          <cell r="BE154" t="str">
            <v>BOLD</v>
          </cell>
          <cell r="BH154"/>
          <cell r="BI154" t="str">
            <v>BOLD</v>
          </cell>
          <cell r="BL154"/>
          <cell r="BM154" t="str">
            <v>BOLD</v>
          </cell>
          <cell r="BP154"/>
          <cell r="BQ154" t="str">
            <v>BOLD</v>
          </cell>
          <cell r="BT154"/>
          <cell r="BU154" t="str">
            <v>BOLD</v>
          </cell>
          <cell r="BX154"/>
          <cell r="BY154" t="str">
            <v>BOLD</v>
          </cell>
          <cell r="CB154"/>
          <cell r="CC154" t="str">
            <v>BOLD</v>
          </cell>
          <cell r="CF154"/>
          <cell r="CG154" t="str">
            <v>BOLD</v>
          </cell>
          <cell r="CJ154"/>
          <cell r="CK154" t="str">
            <v>BOLD</v>
          </cell>
          <cell r="CN154"/>
          <cell r="CO154" t="str">
            <v>BOLD</v>
          </cell>
          <cell r="CR154"/>
          <cell r="CS154" t="str">
            <v>BOLD</v>
          </cell>
          <cell r="CV154"/>
          <cell r="CW154" t="str">
            <v>BOLD</v>
          </cell>
          <cell r="CZ154"/>
          <cell r="DA154" t="str">
            <v>BOLD</v>
          </cell>
          <cell r="DD154"/>
          <cell r="DE154" t="str">
            <v>BOLD</v>
          </cell>
          <cell r="DH154"/>
          <cell r="DI154" t="str">
            <v>BOLD</v>
          </cell>
          <cell r="DL154"/>
          <cell r="DM154" t="str">
            <v>BOLD</v>
          </cell>
          <cell r="DP154"/>
          <cell r="DQ154" t="str">
            <v>BOLD</v>
          </cell>
          <cell r="DT154"/>
          <cell r="DU154" t="str">
            <v>BOLD</v>
          </cell>
          <cell r="DX154"/>
          <cell r="DY154" t="str">
            <v>BOLD</v>
          </cell>
          <cell r="EB154"/>
          <cell r="EC154" t="str">
            <v>BOLD</v>
          </cell>
          <cell r="EF154"/>
          <cell r="EG154" t="str">
            <v>BOLD</v>
          </cell>
          <cell r="EJ154"/>
          <cell r="EK154" t="str">
            <v>BOLD</v>
          </cell>
          <cell r="EN154"/>
          <cell r="EO154" t="str">
            <v>BOLD</v>
          </cell>
          <cell r="ER154"/>
          <cell r="ES154" t="str">
            <v>BOLD</v>
          </cell>
          <cell r="EV154"/>
          <cell r="EW154" t="str">
            <v>BOLD</v>
          </cell>
          <cell r="EZ154"/>
          <cell r="FA154" t="str">
            <v>BOLD</v>
          </cell>
          <cell r="FD154"/>
          <cell r="FE154" t="str">
            <v>BOLD</v>
          </cell>
          <cell r="FH154"/>
          <cell r="FI154" t="str">
            <v>BOLD</v>
          </cell>
          <cell r="FL154"/>
          <cell r="FM154" t="str">
            <v>BOLD</v>
          </cell>
          <cell r="FP154"/>
          <cell r="FQ154" t="str">
            <v>BOLD</v>
          </cell>
          <cell r="FT154"/>
          <cell r="FU154" t="str">
            <v>BOLD</v>
          </cell>
          <cell r="FX154"/>
          <cell r="FY154" t="str">
            <v>BOLD</v>
          </cell>
          <cell r="GB154"/>
          <cell r="GC154" t="str">
            <v>BOLD</v>
          </cell>
          <cell r="GF154"/>
          <cell r="GG154" t="str">
            <v>BOLD</v>
          </cell>
          <cell r="GJ154"/>
          <cell r="GK154" t="str">
            <v>BOLD</v>
          </cell>
          <cell r="GN154"/>
          <cell r="GO154" t="str">
            <v>BOLD</v>
          </cell>
          <cell r="GR154"/>
          <cell r="GS154" t="str">
            <v>BOLD</v>
          </cell>
          <cell r="GV154"/>
          <cell r="GW154" t="str">
            <v>BOLD</v>
          </cell>
          <cell r="GZ154"/>
          <cell r="HA154" t="str">
            <v>BOLD</v>
          </cell>
          <cell r="HD154"/>
          <cell r="HE154" t="str">
            <v>BOLD</v>
          </cell>
          <cell r="HH154"/>
          <cell r="HI154" t="str">
            <v>BOLD</v>
          </cell>
          <cell r="HL154"/>
          <cell r="HM154" t="str">
            <v>BOLD</v>
          </cell>
          <cell r="HP154"/>
          <cell r="HQ154" t="str">
            <v>BOLD</v>
          </cell>
          <cell r="HT154"/>
          <cell r="HU154" t="str">
            <v>BOLD</v>
          </cell>
        </row>
        <row r="155">
          <cell r="A155">
            <v>154</v>
          </cell>
          <cell r="D155"/>
          <cell r="E155" t="str">
            <v>BOLD</v>
          </cell>
          <cell r="F155" t="str">
            <v>Card 30 Day Delinq Rate - Mgd</v>
          </cell>
          <cell r="G155" t="str">
            <v>CARD_30D_DELQ_RT_MGD_BASIS</v>
          </cell>
          <cell r="H155"/>
          <cell r="I155" t="str">
            <v>BOLD</v>
          </cell>
          <cell r="P155"/>
          <cell r="Q155" t="str">
            <v>BOLD</v>
          </cell>
          <cell r="T155"/>
          <cell r="U155" t="str">
            <v>BOLD</v>
          </cell>
          <cell r="X155"/>
          <cell r="Y155" t="str">
            <v>BOLD</v>
          </cell>
          <cell r="AB155"/>
          <cell r="AC155" t="str">
            <v>BOLD</v>
          </cell>
          <cell r="AF155"/>
          <cell r="AG155" t="str">
            <v>BOLD</v>
          </cell>
          <cell r="AJ155"/>
          <cell r="AK155" t="str">
            <v>BOLD</v>
          </cell>
          <cell r="AN155"/>
          <cell r="AO155" t="str">
            <v>BOLD</v>
          </cell>
          <cell r="AR155"/>
          <cell r="AS155" t="str">
            <v>BOLD</v>
          </cell>
          <cell r="AV155"/>
          <cell r="AW155" t="str">
            <v>BOLD</v>
          </cell>
          <cell r="AZ155"/>
          <cell r="BA155" t="str">
            <v>BOLD</v>
          </cell>
          <cell r="BD155"/>
          <cell r="BE155" t="str">
            <v>BOLD</v>
          </cell>
          <cell r="BH155"/>
          <cell r="BI155" t="str">
            <v>BOLD</v>
          </cell>
          <cell r="BL155"/>
          <cell r="BM155" t="str">
            <v>BOLD</v>
          </cell>
          <cell r="BP155"/>
          <cell r="BQ155" t="str">
            <v>BOLD</v>
          </cell>
          <cell r="BT155"/>
          <cell r="BU155" t="str">
            <v>BOLD</v>
          </cell>
          <cell r="BX155"/>
          <cell r="BY155" t="str">
            <v>BOLD</v>
          </cell>
          <cell r="CB155"/>
          <cell r="CC155" t="str">
            <v>BOLD</v>
          </cell>
          <cell r="CF155"/>
          <cell r="CG155" t="str">
            <v>BOLD</v>
          </cell>
          <cell r="CJ155"/>
          <cell r="CK155" t="str">
            <v>BOLD</v>
          </cell>
          <cell r="CN155"/>
          <cell r="CO155" t="str">
            <v>BOLD</v>
          </cell>
          <cell r="CR155"/>
          <cell r="CS155" t="str">
            <v>BOLD</v>
          </cell>
          <cell r="CV155"/>
          <cell r="CW155" t="str">
            <v>BOLD</v>
          </cell>
          <cell r="CZ155"/>
          <cell r="DA155" t="str">
            <v>BOLD</v>
          </cell>
          <cell r="DD155"/>
          <cell r="DE155" t="str">
            <v>BOLD</v>
          </cell>
          <cell r="DH155"/>
          <cell r="DI155" t="str">
            <v>BOLD</v>
          </cell>
          <cell r="DL155"/>
          <cell r="DM155" t="str">
            <v>BOLD</v>
          </cell>
          <cell r="DP155"/>
          <cell r="DQ155" t="str">
            <v>BOLD</v>
          </cell>
          <cell r="DT155"/>
          <cell r="DU155" t="str">
            <v>BOLD</v>
          </cell>
          <cell r="DX155"/>
          <cell r="DY155" t="str">
            <v>BOLD</v>
          </cell>
          <cell r="EB155"/>
          <cell r="EC155" t="str">
            <v>BOLD</v>
          </cell>
          <cell r="EF155"/>
          <cell r="EG155" t="str">
            <v>BOLD</v>
          </cell>
          <cell r="EJ155"/>
          <cell r="EK155" t="str">
            <v>BOLD</v>
          </cell>
          <cell r="EN155"/>
          <cell r="EO155" t="str">
            <v>BOLD</v>
          </cell>
          <cell r="ER155"/>
          <cell r="ES155" t="str">
            <v>BOLD</v>
          </cell>
          <cell r="EV155"/>
          <cell r="EW155" t="str">
            <v>BOLD</v>
          </cell>
          <cell r="EZ155"/>
          <cell r="FA155" t="str">
            <v>BOLD</v>
          </cell>
          <cell r="FD155"/>
          <cell r="FE155" t="str">
            <v>BOLD</v>
          </cell>
          <cell r="FH155"/>
          <cell r="FI155" t="str">
            <v>BOLD</v>
          </cell>
          <cell r="FL155"/>
          <cell r="FM155" t="str">
            <v>BOLD</v>
          </cell>
          <cell r="FP155"/>
          <cell r="FQ155" t="str">
            <v>BOLD</v>
          </cell>
          <cell r="FT155"/>
          <cell r="FU155" t="str">
            <v>BOLD</v>
          </cell>
          <cell r="FX155"/>
          <cell r="FY155" t="str">
            <v>BOLD</v>
          </cell>
          <cell r="GB155"/>
          <cell r="GC155" t="str">
            <v>BOLD</v>
          </cell>
          <cell r="GF155"/>
          <cell r="GG155" t="str">
            <v>BOLD</v>
          </cell>
          <cell r="GJ155"/>
          <cell r="GK155" t="str">
            <v>BOLD</v>
          </cell>
          <cell r="GN155"/>
          <cell r="GO155" t="str">
            <v>BOLD</v>
          </cell>
          <cell r="GR155"/>
          <cell r="GS155" t="str">
            <v>BOLD</v>
          </cell>
          <cell r="GV155"/>
          <cell r="GW155" t="str">
            <v>BOLD</v>
          </cell>
          <cell r="GZ155"/>
          <cell r="HA155" t="str">
            <v>BOLD</v>
          </cell>
          <cell r="HD155"/>
          <cell r="HE155" t="str">
            <v>BOLD</v>
          </cell>
          <cell r="HH155"/>
          <cell r="HI155" t="str">
            <v>BOLD</v>
          </cell>
          <cell r="HL155"/>
          <cell r="HM155" t="str">
            <v>BOLD</v>
          </cell>
          <cell r="HP155"/>
          <cell r="HQ155" t="str">
            <v>BOLD</v>
          </cell>
          <cell r="HT155"/>
          <cell r="HU155" t="str">
            <v>BOLD</v>
          </cell>
        </row>
        <row r="156">
          <cell r="A156">
            <v>155</v>
          </cell>
          <cell r="D156"/>
          <cell r="E156" t="str">
            <v>BOLD</v>
          </cell>
          <cell r="F156" t="str">
            <v>Card 60 Day Delinq Rate - Mgd</v>
          </cell>
          <cell r="G156" t="str">
            <v>CARD_60D_DELQ_RT_MGD_BASIS</v>
          </cell>
          <cell r="H156"/>
          <cell r="I156" t="str">
            <v>BOLD</v>
          </cell>
          <cell r="P156"/>
          <cell r="Q156" t="str">
            <v>BOLD</v>
          </cell>
          <cell r="T156"/>
          <cell r="U156" t="str">
            <v>BOLD</v>
          </cell>
          <cell r="X156"/>
          <cell r="Y156" t="str">
            <v>BOLD</v>
          </cell>
          <cell r="AB156"/>
          <cell r="AC156" t="str">
            <v>BOLD</v>
          </cell>
          <cell r="AF156"/>
          <cell r="AG156" t="str">
            <v>BOLD</v>
          </cell>
          <cell r="AJ156"/>
          <cell r="AK156" t="str">
            <v>BOLD</v>
          </cell>
          <cell r="AN156"/>
          <cell r="AO156" t="str">
            <v>BOLD</v>
          </cell>
          <cell r="AR156"/>
          <cell r="AS156" t="str">
            <v>BOLD</v>
          </cell>
          <cell r="AV156"/>
          <cell r="AW156" t="str">
            <v>BOLD</v>
          </cell>
          <cell r="AZ156"/>
          <cell r="BA156" t="str">
            <v>BOLD</v>
          </cell>
          <cell r="BD156"/>
          <cell r="BE156" t="str">
            <v>BOLD</v>
          </cell>
          <cell r="BH156"/>
          <cell r="BI156" t="str">
            <v>BOLD</v>
          </cell>
          <cell r="BL156"/>
          <cell r="BM156" t="str">
            <v>BOLD</v>
          </cell>
          <cell r="BP156"/>
          <cell r="BQ156" t="str">
            <v>BOLD</v>
          </cell>
          <cell r="BT156"/>
          <cell r="BU156" t="str">
            <v>BOLD</v>
          </cell>
          <cell r="BX156"/>
          <cell r="BY156" t="str">
            <v>BOLD</v>
          </cell>
          <cell r="CB156"/>
          <cell r="CC156" t="str">
            <v>BOLD</v>
          </cell>
          <cell r="CF156"/>
          <cell r="CG156" t="str">
            <v>BOLD</v>
          </cell>
          <cell r="CJ156"/>
          <cell r="CK156" t="str">
            <v>BOLD</v>
          </cell>
          <cell r="CN156"/>
          <cell r="CO156" t="str">
            <v>BOLD</v>
          </cell>
          <cell r="CR156"/>
          <cell r="CS156" t="str">
            <v>BOLD</v>
          </cell>
          <cell r="CV156"/>
          <cell r="CW156" t="str">
            <v>BOLD</v>
          </cell>
          <cell r="CZ156"/>
          <cell r="DA156" t="str">
            <v>BOLD</v>
          </cell>
          <cell r="DD156"/>
          <cell r="DE156" t="str">
            <v>BOLD</v>
          </cell>
          <cell r="DH156"/>
          <cell r="DI156" t="str">
            <v>BOLD</v>
          </cell>
          <cell r="DL156"/>
          <cell r="DM156" t="str">
            <v>BOLD</v>
          </cell>
          <cell r="DP156"/>
          <cell r="DQ156" t="str">
            <v>BOLD</v>
          </cell>
          <cell r="DT156"/>
          <cell r="DU156" t="str">
            <v>BOLD</v>
          </cell>
          <cell r="DX156"/>
          <cell r="DY156" t="str">
            <v>BOLD</v>
          </cell>
          <cell r="EB156"/>
          <cell r="EC156" t="str">
            <v>BOLD</v>
          </cell>
          <cell r="EF156"/>
          <cell r="EG156" t="str">
            <v>BOLD</v>
          </cell>
          <cell r="EJ156"/>
          <cell r="EK156" t="str">
            <v>BOLD</v>
          </cell>
          <cell r="EN156"/>
          <cell r="EO156" t="str">
            <v>BOLD</v>
          </cell>
          <cell r="ER156"/>
          <cell r="ES156" t="str">
            <v>BOLD</v>
          </cell>
          <cell r="EV156"/>
          <cell r="EW156" t="str">
            <v>BOLD</v>
          </cell>
          <cell r="EZ156"/>
          <cell r="FA156" t="str">
            <v>BOLD</v>
          </cell>
          <cell r="FD156"/>
          <cell r="FE156" t="str">
            <v>BOLD</v>
          </cell>
          <cell r="FH156"/>
          <cell r="FI156" t="str">
            <v>BOLD</v>
          </cell>
          <cell r="FL156"/>
          <cell r="FM156" t="str">
            <v>BOLD</v>
          </cell>
          <cell r="FP156"/>
          <cell r="FQ156" t="str">
            <v>BOLD</v>
          </cell>
          <cell r="FT156"/>
          <cell r="FU156" t="str">
            <v>BOLD</v>
          </cell>
          <cell r="FX156"/>
          <cell r="FY156" t="str">
            <v>BOLD</v>
          </cell>
          <cell r="GB156"/>
          <cell r="GC156" t="str">
            <v>BOLD</v>
          </cell>
          <cell r="GF156"/>
          <cell r="GG156" t="str">
            <v>BOLD</v>
          </cell>
          <cell r="GJ156"/>
          <cell r="GK156" t="str">
            <v>BOLD</v>
          </cell>
          <cell r="GN156"/>
          <cell r="GO156" t="str">
            <v>BOLD</v>
          </cell>
          <cell r="GR156"/>
          <cell r="GS156" t="str">
            <v>BOLD</v>
          </cell>
          <cell r="GV156"/>
          <cell r="GW156" t="str">
            <v>BOLD</v>
          </cell>
          <cell r="GZ156"/>
          <cell r="HA156" t="str">
            <v>BOLD</v>
          </cell>
          <cell r="HD156"/>
          <cell r="HE156" t="str">
            <v>BOLD</v>
          </cell>
          <cell r="HH156"/>
          <cell r="HI156" t="str">
            <v>BOLD</v>
          </cell>
          <cell r="HL156"/>
          <cell r="HM156" t="str">
            <v>BOLD</v>
          </cell>
          <cell r="HP156"/>
          <cell r="HQ156" t="str">
            <v>BOLD</v>
          </cell>
          <cell r="HT156"/>
          <cell r="HU156" t="str">
            <v>BOLD</v>
          </cell>
        </row>
        <row r="157">
          <cell r="A157">
            <v>156</v>
          </cell>
          <cell r="D157"/>
          <cell r="E157" t="str">
            <v>BOLD</v>
          </cell>
          <cell r="F157" t="str">
            <v>Card 90 Day Delinq Rate - Mgd</v>
          </cell>
          <cell r="G157" t="str">
            <v>CARD_90D_DELQ_RT_MGD_BASIS</v>
          </cell>
          <cell r="H157"/>
          <cell r="I157" t="str">
            <v>BOLD</v>
          </cell>
          <cell r="P157"/>
          <cell r="Q157" t="str">
            <v>BOLD</v>
          </cell>
          <cell r="T157"/>
          <cell r="U157" t="str">
            <v>BOLD</v>
          </cell>
          <cell r="X157"/>
          <cell r="Y157" t="str">
            <v>BOLD</v>
          </cell>
          <cell r="AB157"/>
          <cell r="AC157" t="str">
            <v>BOLD</v>
          </cell>
          <cell r="AF157"/>
          <cell r="AG157" t="str">
            <v>BOLD</v>
          </cell>
          <cell r="AJ157"/>
          <cell r="AK157" t="str">
            <v>BOLD</v>
          </cell>
          <cell r="AN157"/>
          <cell r="AO157" t="str">
            <v>BOLD</v>
          </cell>
          <cell r="AR157"/>
          <cell r="AS157" t="str">
            <v>BOLD</v>
          </cell>
          <cell r="AV157"/>
          <cell r="AW157" t="str">
            <v>BOLD</v>
          </cell>
          <cell r="AZ157"/>
          <cell r="BA157" t="str">
            <v>BOLD</v>
          </cell>
          <cell r="BD157"/>
          <cell r="BE157" t="str">
            <v>BOLD</v>
          </cell>
          <cell r="BH157"/>
          <cell r="BI157" t="str">
            <v>BOLD</v>
          </cell>
          <cell r="BL157"/>
          <cell r="BM157" t="str">
            <v>BOLD</v>
          </cell>
          <cell r="BP157"/>
          <cell r="BQ157" t="str">
            <v>BOLD</v>
          </cell>
          <cell r="BT157"/>
          <cell r="BU157" t="str">
            <v>BOLD</v>
          </cell>
          <cell r="BX157"/>
          <cell r="BY157" t="str">
            <v>BOLD</v>
          </cell>
          <cell r="CB157"/>
          <cell r="CC157" t="str">
            <v>BOLD</v>
          </cell>
          <cell r="CF157"/>
          <cell r="CG157" t="str">
            <v>BOLD</v>
          </cell>
          <cell r="CJ157"/>
          <cell r="CK157" t="str">
            <v>BOLD</v>
          </cell>
          <cell r="CN157"/>
          <cell r="CO157" t="str">
            <v>BOLD</v>
          </cell>
          <cell r="CR157"/>
          <cell r="CS157" t="str">
            <v>BOLD</v>
          </cell>
          <cell r="CV157"/>
          <cell r="CW157" t="str">
            <v>BOLD</v>
          </cell>
          <cell r="CZ157"/>
          <cell r="DA157" t="str">
            <v>BOLD</v>
          </cell>
          <cell r="DD157"/>
          <cell r="DE157" t="str">
            <v>BOLD</v>
          </cell>
          <cell r="DH157"/>
          <cell r="DI157" t="str">
            <v>BOLD</v>
          </cell>
          <cell r="DL157"/>
          <cell r="DM157" t="str">
            <v>BOLD</v>
          </cell>
          <cell r="DP157"/>
          <cell r="DQ157" t="str">
            <v>BOLD</v>
          </cell>
          <cell r="DT157"/>
          <cell r="DU157" t="str">
            <v>BOLD</v>
          </cell>
          <cell r="DX157"/>
          <cell r="DY157" t="str">
            <v>BOLD</v>
          </cell>
          <cell r="EB157"/>
          <cell r="EC157" t="str">
            <v>BOLD</v>
          </cell>
          <cell r="EF157"/>
          <cell r="EG157" t="str">
            <v>BOLD</v>
          </cell>
          <cell r="EJ157"/>
          <cell r="EK157" t="str">
            <v>BOLD</v>
          </cell>
          <cell r="EN157"/>
          <cell r="EO157" t="str">
            <v>BOLD</v>
          </cell>
          <cell r="ER157"/>
          <cell r="ES157" t="str">
            <v>BOLD</v>
          </cell>
          <cell r="EV157"/>
          <cell r="EW157" t="str">
            <v>BOLD</v>
          </cell>
          <cell r="EZ157"/>
          <cell r="FA157" t="str">
            <v>BOLD</v>
          </cell>
          <cell r="FD157"/>
          <cell r="FE157" t="str">
            <v>BOLD</v>
          </cell>
          <cell r="FH157"/>
          <cell r="FI157" t="str">
            <v>BOLD</v>
          </cell>
          <cell r="FL157"/>
          <cell r="FM157" t="str">
            <v>BOLD</v>
          </cell>
          <cell r="FP157"/>
          <cell r="FQ157" t="str">
            <v>BOLD</v>
          </cell>
          <cell r="FT157"/>
          <cell r="FU157" t="str">
            <v>BOLD</v>
          </cell>
          <cell r="FX157"/>
          <cell r="FY157" t="str">
            <v>BOLD</v>
          </cell>
          <cell r="GB157"/>
          <cell r="GC157" t="str">
            <v>BOLD</v>
          </cell>
          <cell r="GF157"/>
          <cell r="GG157" t="str">
            <v>BOLD</v>
          </cell>
          <cell r="GJ157"/>
          <cell r="GK157" t="str">
            <v>BOLD</v>
          </cell>
          <cell r="GN157"/>
          <cell r="GO157" t="str">
            <v>BOLD</v>
          </cell>
          <cell r="GR157"/>
          <cell r="GS157" t="str">
            <v>BOLD</v>
          </cell>
          <cell r="GV157"/>
          <cell r="GW157" t="str">
            <v>BOLD</v>
          </cell>
          <cell r="GZ157"/>
          <cell r="HA157" t="str">
            <v>BOLD</v>
          </cell>
          <cell r="HD157"/>
          <cell r="HE157" t="str">
            <v>BOLD</v>
          </cell>
          <cell r="HH157"/>
          <cell r="HI157" t="str">
            <v>BOLD</v>
          </cell>
          <cell r="HL157"/>
          <cell r="HM157" t="str">
            <v>BOLD</v>
          </cell>
          <cell r="HP157"/>
          <cell r="HQ157" t="str">
            <v>BOLD</v>
          </cell>
          <cell r="HT157"/>
          <cell r="HU157" t="str">
            <v>BOLD</v>
          </cell>
        </row>
        <row r="158">
          <cell r="A158">
            <v>157</v>
          </cell>
          <cell r="D158"/>
          <cell r="E158" t="str">
            <v>BOLD</v>
          </cell>
          <cell r="F158" t="str">
            <v>Charge Card 30 Day Delinq Rt - Mgd</v>
          </cell>
          <cell r="G158" t="str">
            <v>CHRG_CARD_30D_DELQ_RT_MGD</v>
          </cell>
          <cell r="H158"/>
          <cell r="I158" t="str">
            <v>BOLD</v>
          </cell>
          <cell r="P158"/>
          <cell r="Q158" t="str">
            <v>BOLD</v>
          </cell>
          <cell r="T158"/>
          <cell r="U158" t="str">
            <v>BOLD</v>
          </cell>
          <cell r="X158"/>
          <cell r="Y158" t="str">
            <v>BOLD</v>
          </cell>
          <cell r="AB158"/>
          <cell r="AC158" t="str">
            <v>BOLD</v>
          </cell>
          <cell r="AF158"/>
          <cell r="AG158" t="str">
            <v>BOLD</v>
          </cell>
          <cell r="AJ158"/>
          <cell r="AK158" t="str">
            <v>BOLD</v>
          </cell>
          <cell r="AN158"/>
          <cell r="AO158" t="str">
            <v>BOLD</v>
          </cell>
          <cell r="AR158"/>
          <cell r="AS158" t="str">
            <v>BOLD</v>
          </cell>
          <cell r="AV158"/>
          <cell r="AW158" t="str">
            <v>BOLD</v>
          </cell>
          <cell r="AZ158"/>
          <cell r="BA158" t="str">
            <v>BOLD</v>
          </cell>
          <cell r="BD158"/>
          <cell r="BE158" t="str">
            <v>BOLD</v>
          </cell>
          <cell r="BH158"/>
          <cell r="BI158" t="str">
            <v>BOLD</v>
          </cell>
          <cell r="BL158"/>
          <cell r="BM158" t="str">
            <v>BOLD</v>
          </cell>
          <cell r="BP158"/>
          <cell r="BQ158" t="str">
            <v>BOLD</v>
          </cell>
          <cell r="BT158"/>
          <cell r="BU158" t="str">
            <v>BOLD</v>
          </cell>
          <cell r="BX158"/>
          <cell r="BY158" t="str">
            <v>BOLD</v>
          </cell>
          <cell r="CB158"/>
          <cell r="CC158" t="str">
            <v>BOLD</v>
          </cell>
          <cell r="CF158"/>
          <cell r="CG158" t="str">
            <v>BOLD</v>
          </cell>
          <cell r="CJ158"/>
          <cell r="CK158" t="str">
            <v>BOLD</v>
          </cell>
          <cell r="CN158"/>
          <cell r="CO158" t="str">
            <v>BOLD</v>
          </cell>
          <cell r="CR158"/>
          <cell r="CS158" t="str">
            <v>BOLD</v>
          </cell>
          <cell r="CV158"/>
          <cell r="CW158" t="str">
            <v>BOLD</v>
          </cell>
          <cell r="CZ158"/>
          <cell r="DA158" t="str">
            <v>BOLD</v>
          </cell>
          <cell r="DD158"/>
          <cell r="DE158" t="str">
            <v>BOLD</v>
          </cell>
          <cell r="DH158"/>
          <cell r="DI158" t="str">
            <v>BOLD</v>
          </cell>
          <cell r="DL158"/>
          <cell r="DM158" t="str">
            <v>BOLD</v>
          </cell>
          <cell r="DP158"/>
          <cell r="DQ158" t="str">
            <v>BOLD</v>
          </cell>
          <cell r="DT158"/>
          <cell r="DU158" t="str">
            <v>BOLD</v>
          </cell>
          <cell r="DX158"/>
          <cell r="DY158" t="str">
            <v>BOLD</v>
          </cell>
          <cell r="EB158"/>
          <cell r="EC158" t="str">
            <v>BOLD</v>
          </cell>
          <cell r="EF158"/>
          <cell r="EG158" t="str">
            <v>BOLD</v>
          </cell>
          <cell r="EJ158"/>
          <cell r="EK158" t="str">
            <v>BOLD</v>
          </cell>
          <cell r="EN158"/>
          <cell r="EO158" t="str">
            <v>BOLD</v>
          </cell>
          <cell r="ER158"/>
          <cell r="ES158" t="str">
            <v>BOLD</v>
          </cell>
          <cell r="EV158"/>
          <cell r="EW158" t="str">
            <v>BOLD</v>
          </cell>
          <cell r="EZ158"/>
          <cell r="FA158" t="str">
            <v>BOLD</v>
          </cell>
          <cell r="FD158"/>
          <cell r="FE158" t="str">
            <v>BOLD</v>
          </cell>
          <cell r="FH158"/>
          <cell r="FI158" t="str">
            <v>BOLD</v>
          </cell>
          <cell r="FL158"/>
          <cell r="FM158" t="str">
            <v>BOLD</v>
          </cell>
          <cell r="FP158"/>
          <cell r="FQ158" t="str">
            <v>BOLD</v>
          </cell>
          <cell r="FT158"/>
          <cell r="FU158" t="str">
            <v>BOLD</v>
          </cell>
          <cell r="FX158"/>
          <cell r="FY158" t="str">
            <v>BOLD</v>
          </cell>
          <cell r="GB158"/>
          <cell r="GC158" t="str">
            <v>BOLD</v>
          </cell>
          <cell r="GF158"/>
          <cell r="GG158" t="str">
            <v>BOLD</v>
          </cell>
          <cell r="GJ158"/>
          <cell r="GK158" t="str">
            <v>BOLD</v>
          </cell>
          <cell r="GN158"/>
          <cell r="GO158" t="str">
            <v>BOLD</v>
          </cell>
          <cell r="GR158"/>
          <cell r="GS158" t="str">
            <v>BOLD</v>
          </cell>
          <cell r="GV158"/>
          <cell r="GW158" t="str">
            <v>BOLD</v>
          </cell>
          <cell r="GZ158"/>
          <cell r="HA158" t="str">
            <v>BOLD</v>
          </cell>
          <cell r="HD158"/>
          <cell r="HE158" t="str">
            <v>BOLD</v>
          </cell>
          <cell r="HH158"/>
          <cell r="HI158" t="str">
            <v>BOLD</v>
          </cell>
          <cell r="HL158"/>
          <cell r="HM158" t="str">
            <v>BOLD</v>
          </cell>
          <cell r="HP158"/>
          <cell r="HQ158" t="str">
            <v>BOLD</v>
          </cell>
          <cell r="HT158"/>
          <cell r="HU158" t="str">
            <v>BOLD</v>
          </cell>
        </row>
        <row r="159">
          <cell r="A159">
            <v>158</v>
          </cell>
          <cell r="D159"/>
          <cell r="E159" t="str">
            <v>BOLD</v>
          </cell>
          <cell r="F159" t="str">
            <v>Charge Card 90 Day Delinq Rt - Mgd</v>
          </cell>
          <cell r="G159" t="str">
            <v>CHRG_CARD_90D_DELQ_RT_MGD</v>
          </cell>
          <cell r="H159"/>
          <cell r="I159" t="str">
            <v>BOLD</v>
          </cell>
          <cell r="P159"/>
          <cell r="Q159" t="str">
            <v>BOLD</v>
          </cell>
          <cell r="T159"/>
          <cell r="U159" t="str">
            <v>BOLD</v>
          </cell>
          <cell r="X159"/>
          <cell r="Y159" t="str">
            <v>BOLD</v>
          </cell>
          <cell r="AB159"/>
          <cell r="AC159" t="str">
            <v>BOLD</v>
          </cell>
          <cell r="AF159"/>
          <cell r="AG159" t="str">
            <v>BOLD</v>
          </cell>
          <cell r="AJ159"/>
          <cell r="AK159" t="str">
            <v>BOLD</v>
          </cell>
          <cell r="AN159"/>
          <cell r="AO159" t="str">
            <v>BOLD</v>
          </cell>
          <cell r="AR159"/>
          <cell r="AS159" t="str">
            <v>BOLD</v>
          </cell>
          <cell r="AV159"/>
          <cell r="AW159" t="str">
            <v>BOLD</v>
          </cell>
          <cell r="AZ159"/>
          <cell r="BA159" t="str">
            <v>BOLD</v>
          </cell>
          <cell r="BD159"/>
          <cell r="BE159" t="str">
            <v>BOLD</v>
          </cell>
          <cell r="BH159"/>
          <cell r="BI159" t="str">
            <v>BOLD</v>
          </cell>
          <cell r="BL159"/>
          <cell r="BM159" t="str">
            <v>BOLD</v>
          </cell>
          <cell r="BP159"/>
          <cell r="BQ159" t="str">
            <v>BOLD</v>
          </cell>
          <cell r="BT159"/>
          <cell r="BU159" t="str">
            <v>BOLD</v>
          </cell>
          <cell r="BX159"/>
          <cell r="BY159" t="str">
            <v>BOLD</v>
          </cell>
          <cell r="CB159"/>
          <cell r="CC159" t="str">
            <v>BOLD</v>
          </cell>
          <cell r="CF159"/>
          <cell r="CG159" t="str">
            <v>BOLD</v>
          </cell>
          <cell r="CJ159"/>
          <cell r="CK159" t="str">
            <v>BOLD</v>
          </cell>
          <cell r="CN159"/>
          <cell r="CO159" t="str">
            <v>BOLD</v>
          </cell>
          <cell r="CR159"/>
          <cell r="CS159" t="str">
            <v>BOLD</v>
          </cell>
          <cell r="CV159"/>
          <cell r="CW159" t="str">
            <v>BOLD</v>
          </cell>
          <cell r="CZ159"/>
          <cell r="DA159" t="str">
            <v>BOLD</v>
          </cell>
          <cell r="DD159"/>
          <cell r="DE159" t="str">
            <v>BOLD</v>
          </cell>
          <cell r="DH159"/>
          <cell r="DI159" t="str">
            <v>BOLD</v>
          </cell>
          <cell r="DL159"/>
          <cell r="DM159" t="str">
            <v>BOLD</v>
          </cell>
          <cell r="DP159"/>
          <cell r="DQ159" t="str">
            <v>BOLD</v>
          </cell>
          <cell r="DT159"/>
          <cell r="DU159" t="str">
            <v>BOLD</v>
          </cell>
          <cell r="DX159"/>
          <cell r="DY159" t="str">
            <v>BOLD</v>
          </cell>
          <cell r="EB159"/>
          <cell r="EC159" t="str">
            <v>BOLD</v>
          </cell>
          <cell r="EF159"/>
          <cell r="EG159" t="str">
            <v>BOLD</v>
          </cell>
          <cell r="EJ159"/>
          <cell r="EK159" t="str">
            <v>BOLD</v>
          </cell>
          <cell r="EN159"/>
          <cell r="EO159" t="str">
            <v>BOLD</v>
          </cell>
          <cell r="ER159"/>
          <cell r="ES159" t="str">
            <v>BOLD</v>
          </cell>
          <cell r="EV159"/>
          <cell r="EW159" t="str">
            <v>BOLD</v>
          </cell>
          <cell r="EZ159"/>
          <cell r="FA159" t="str">
            <v>BOLD</v>
          </cell>
          <cell r="FD159"/>
          <cell r="FE159" t="str">
            <v>BOLD</v>
          </cell>
          <cell r="FH159"/>
          <cell r="FI159" t="str">
            <v>BOLD</v>
          </cell>
          <cell r="FL159"/>
          <cell r="FM159" t="str">
            <v>BOLD</v>
          </cell>
          <cell r="FP159"/>
          <cell r="FQ159" t="str">
            <v>BOLD</v>
          </cell>
          <cell r="FT159"/>
          <cell r="FU159" t="str">
            <v>BOLD</v>
          </cell>
          <cell r="FX159"/>
          <cell r="FY159" t="str">
            <v>BOLD</v>
          </cell>
          <cell r="GB159"/>
          <cell r="GC159" t="str">
            <v>BOLD</v>
          </cell>
          <cell r="GF159"/>
          <cell r="GG159" t="str">
            <v>BOLD</v>
          </cell>
          <cell r="GJ159"/>
          <cell r="GK159" t="str">
            <v>BOLD</v>
          </cell>
          <cell r="GN159"/>
          <cell r="GO159" t="str">
            <v>BOLD</v>
          </cell>
          <cell r="GR159"/>
          <cell r="GS159" t="str">
            <v>BOLD</v>
          </cell>
          <cell r="GV159"/>
          <cell r="GW159" t="str">
            <v>BOLD</v>
          </cell>
          <cell r="GZ159"/>
          <cell r="HA159" t="str">
            <v>BOLD</v>
          </cell>
          <cell r="HD159"/>
          <cell r="HE159" t="str">
            <v>BOLD</v>
          </cell>
          <cell r="HH159"/>
          <cell r="HI159" t="str">
            <v>BOLD</v>
          </cell>
          <cell r="HL159"/>
          <cell r="HM159" t="str">
            <v>BOLD</v>
          </cell>
          <cell r="HP159"/>
          <cell r="HQ159" t="str">
            <v>BOLD</v>
          </cell>
          <cell r="HT159"/>
          <cell r="HU159" t="str">
            <v>BOLD</v>
          </cell>
        </row>
        <row r="160">
          <cell r="A160">
            <v>159</v>
          </cell>
          <cell r="D160"/>
          <cell r="E160" t="str">
            <v>BOLD</v>
          </cell>
          <cell r="F160" t="str">
            <v>Net Loss Ratio as a % of Vol</v>
          </cell>
          <cell r="G160" t="str">
            <v>NET_LOSS_RATIO_PCT_VOLUME</v>
          </cell>
          <cell r="H160"/>
          <cell r="I160" t="str">
            <v>BOLD</v>
          </cell>
          <cell r="P160"/>
          <cell r="Q160" t="str">
            <v>BOLD</v>
          </cell>
          <cell r="T160"/>
          <cell r="U160" t="str">
            <v>BOLD</v>
          </cell>
          <cell r="X160"/>
          <cell r="Y160" t="str">
            <v>BOLD</v>
          </cell>
          <cell r="AB160"/>
          <cell r="AC160" t="str">
            <v>BOLD</v>
          </cell>
          <cell r="AF160"/>
          <cell r="AG160" t="str">
            <v>BOLD</v>
          </cell>
          <cell r="AJ160"/>
          <cell r="AK160" t="str">
            <v>BOLD</v>
          </cell>
          <cell r="AN160"/>
          <cell r="AO160" t="str">
            <v>BOLD</v>
          </cell>
          <cell r="AR160"/>
          <cell r="AS160" t="str">
            <v>BOLD</v>
          </cell>
          <cell r="AV160"/>
          <cell r="AW160" t="str">
            <v>BOLD</v>
          </cell>
          <cell r="AZ160"/>
          <cell r="BA160" t="str">
            <v>BOLD</v>
          </cell>
          <cell r="BD160"/>
          <cell r="BE160" t="str">
            <v>BOLD</v>
          </cell>
          <cell r="BH160"/>
          <cell r="BI160" t="str">
            <v>BOLD</v>
          </cell>
          <cell r="BL160"/>
          <cell r="BM160" t="str">
            <v>BOLD</v>
          </cell>
          <cell r="BP160"/>
          <cell r="BQ160" t="str">
            <v>BOLD</v>
          </cell>
          <cell r="BT160"/>
          <cell r="BU160" t="str">
            <v>BOLD</v>
          </cell>
          <cell r="BX160"/>
          <cell r="BY160" t="str">
            <v>BOLD</v>
          </cell>
          <cell r="CB160"/>
          <cell r="CC160" t="str">
            <v>BOLD</v>
          </cell>
          <cell r="CF160"/>
          <cell r="CG160" t="str">
            <v>BOLD</v>
          </cell>
          <cell r="CJ160"/>
          <cell r="CK160" t="str">
            <v>BOLD</v>
          </cell>
          <cell r="CN160"/>
          <cell r="CO160" t="str">
            <v>BOLD</v>
          </cell>
          <cell r="CR160"/>
          <cell r="CS160" t="str">
            <v>BOLD</v>
          </cell>
          <cell r="CV160"/>
          <cell r="CW160" t="str">
            <v>BOLD</v>
          </cell>
          <cell r="CZ160"/>
          <cell r="DA160" t="str">
            <v>BOLD</v>
          </cell>
          <cell r="DD160"/>
          <cell r="DE160" t="str">
            <v>BOLD</v>
          </cell>
          <cell r="DH160"/>
          <cell r="DI160" t="str">
            <v>BOLD</v>
          </cell>
          <cell r="DL160"/>
          <cell r="DM160" t="str">
            <v>BOLD</v>
          </cell>
          <cell r="DP160"/>
          <cell r="DQ160" t="str">
            <v>BOLD</v>
          </cell>
          <cell r="DT160"/>
          <cell r="DU160" t="str">
            <v>BOLD</v>
          </cell>
          <cell r="DX160"/>
          <cell r="DY160" t="str">
            <v>BOLD</v>
          </cell>
          <cell r="EB160"/>
          <cell r="EC160" t="str">
            <v>BOLD</v>
          </cell>
          <cell r="EF160"/>
          <cell r="EG160" t="str">
            <v>BOLD</v>
          </cell>
          <cell r="EJ160"/>
          <cell r="EK160" t="str">
            <v>BOLD</v>
          </cell>
          <cell r="EN160"/>
          <cell r="EO160" t="str">
            <v>BOLD</v>
          </cell>
          <cell r="ER160"/>
          <cell r="ES160" t="str">
            <v>BOLD</v>
          </cell>
          <cell r="EV160"/>
          <cell r="EW160" t="str">
            <v>BOLD</v>
          </cell>
          <cell r="EZ160"/>
          <cell r="FA160" t="str">
            <v>BOLD</v>
          </cell>
          <cell r="FD160"/>
          <cell r="FE160" t="str">
            <v>BOLD</v>
          </cell>
          <cell r="FH160"/>
          <cell r="FI160" t="str">
            <v>BOLD</v>
          </cell>
          <cell r="FL160"/>
          <cell r="FM160" t="str">
            <v>BOLD</v>
          </cell>
          <cell r="FP160"/>
          <cell r="FQ160" t="str">
            <v>BOLD</v>
          </cell>
          <cell r="FT160"/>
          <cell r="FU160" t="str">
            <v>BOLD</v>
          </cell>
          <cell r="FX160"/>
          <cell r="FY160" t="str">
            <v>BOLD</v>
          </cell>
          <cell r="GB160"/>
          <cell r="GC160" t="str">
            <v>BOLD</v>
          </cell>
          <cell r="GF160"/>
          <cell r="GG160" t="str">
            <v>BOLD</v>
          </cell>
          <cell r="GJ160"/>
          <cell r="GK160" t="str">
            <v>BOLD</v>
          </cell>
          <cell r="GN160"/>
          <cell r="GO160" t="str">
            <v>BOLD</v>
          </cell>
          <cell r="GR160"/>
          <cell r="GS160" t="str">
            <v>BOLD</v>
          </cell>
          <cell r="GV160"/>
          <cell r="GW160" t="str">
            <v>BOLD</v>
          </cell>
          <cell r="GZ160"/>
          <cell r="HA160" t="str">
            <v>BOLD</v>
          </cell>
          <cell r="HD160"/>
          <cell r="HE160" t="str">
            <v>BOLD</v>
          </cell>
          <cell r="HH160"/>
          <cell r="HI160" t="str">
            <v>BOLD</v>
          </cell>
          <cell r="HL160"/>
          <cell r="HM160" t="str">
            <v>BOLD</v>
          </cell>
          <cell r="HP160"/>
          <cell r="HQ160" t="str">
            <v>BOLD</v>
          </cell>
          <cell r="HT160"/>
          <cell r="HU160" t="str">
            <v>BOLD</v>
          </cell>
        </row>
        <row r="161">
          <cell r="A161">
            <v>160</v>
          </cell>
          <cell r="D161"/>
          <cell r="E161" t="str">
            <v>BOLD</v>
          </cell>
          <cell r="H161"/>
          <cell r="I161" t="str">
            <v>BOLD</v>
          </cell>
          <cell r="P161"/>
          <cell r="Q161" t="str">
            <v>BOLD</v>
          </cell>
          <cell r="T161"/>
          <cell r="U161" t="str">
            <v>BOLD</v>
          </cell>
          <cell r="X161"/>
          <cell r="Y161" t="str">
            <v>BOLD</v>
          </cell>
          <cell r="AB161"/>
          <cell r="AC161" t="str">
            <v>BOLD</v>
          </cell>
          <cell r="AF161"/>
          <cell r="AG161" t="str">
            <v>BOLD</v>
          </cell>
          <cell r="AJ161"/>
          <cell r="AK161" t="str">
            <v>BOLD</v>
          </cell>
          <cell r="AN161"/>
          <cell r="AO161" t="str">
            <v>BOLD</v>
          </cell>
          <cell r="AR161"/>
          <cell r="AS161" t="str">
            <v>BOLD</v>
          </cell>
          <cell r="AV161"/>
          <cell r="AW161" t="str">
            <v>BOLD</v>
          </cell>
          <cell r="AZ161"/>
          <cell r="BA161" t="str">
            <v>BOLD</v>
          </cell>
          <cell r="BD161"/>
          <cell r="BE161" t="str">
            <v>BOLD</v>
          </cell>
          <cell r="BH161"/>
          <cell r="BI161" t="str">
            <v>BOLD</v>
          </cell>
          <cell r="BL161"/>
          <cell r="BM161" t="str">
            <v>BOLD</v>
          </cell>
          <cell r="BP161"/>
          <cell r="BQ161" t="str">
            <v>BOLD</v>
          </cell>
          <cell r="BT161"/>
          <cell r="BU161" t="str">
            <v>BOLD</v>
          </cell>
          <cell r="BX161"/>
          <cell r="BY161" t="str">
            <v>BOLD</v>
          </cell>
          <cell r="CB161"/>
          <cell r="CC161" t="str">
            <v>BOLD</v>
          </cell>
          <cell r="CF161"/>
          <cell r="CG161" t="str">
            <v>BOLD</v>
          </cell>
          <cell r="CJ161"/>
          <cell r="CK161" t="str">
            <v>BOLD</v>
          </cell>
          <cell r="CN161"/>
          <cell r="CO161" t="str">
            <v>BOLD</v>
          </cell>
          <cell r="CR161"/>
          <cell r="CS161" t="str">
            <v>BOLD</v>
          </cell>
          <cell r="CV161"/>
          <cell r="CW161" t="str">
            <v>BOLD</v>
          </cell>
          <cell r="CZ161"/>
          <cell r="DA161" t="str">
            <v>BOLD</v>
          </cell>
          <cell r="DD161"/>
          <cell r="DE161" t="str">
            <v>BOLD</v>
          </cell>
          <cell r="DH161"/>
          <cell r="DI161" t="str">
            <v>BOLD</v>
          </cell>
          <cell r="DL161"/>
          <cell r="DM161" t="str">
            <v>BOLD</v>
          </cell>
          <cell r="DP161"/>
          <cell r="DQ161" t="str">
            <v>BOLD</v>
          </cell>
          <cell r="DT161"/>
          <cell r="DU161" t="str">
            <v>BOLD</v>
          </cell>
          <cell r="DX161"/>
          <cell r="DY161" t="str">
            <v>BOLD</v>
          </cell>
          <cell r="EB161"/>
          <cell r="EC161" t="str">
            <v>BOLD</v>
          </cell>
          <cell r="EF161"/>
          <cell r="EG161" t="str">
            <v>BOLD</v>
          </cell>
          <cell r="EJ161"/>
          <cell r="EK161" t="str">
            <v>BOLD</v>
          </cell>
          <cell r="EN161"/>
          <cell r="EO161" t="str">
            <v>BOLD</v>
          </cell>
          <cell r="ER161"/>
          <cell r="ES161" t="str">
            <v>BOLD</v>
          </cell>
          <cell r="EV161"/>
          <cell r="EW161" t="str">
            <v>BOLD</v>
          </cell>
          <cell r="EZ161"/>
          <cell r="FA161" t="str">
            <v>BOLD</v>
          </cell>
          <cell r="FD161"/>
          <cell r="FE161" t="str">
            <v>BOLD</v>
          </cell>
          <cell r="FH161"/>
          <cell r="FI161" t="str">
            <v>BOLD</v>
          </cell>
          <cell r="FL161"/>
          <cell r="FM161" t="str">
            <v>BOLD</v>
          </cell>
          <cell r="FP161"/>
          <cell r="FQ161" t="str">
            <v>BOLD</v>
          </cell>
          <cell r="FT161"/>
          <cell r="FU161" t="str">
            <v>BOLD</v>
          </cell>
          <cell r="FX161"/>
          <cell r="FY161" t="str">
            <v>BOLD</v>
          </cell>
          <cell r="GB161"/>
          <cell r="GC161" t="str">
            <v>BOLD</v>
          </cell>
          <cell r="GF161"/>
          <cell r="GG161" t="str">
            <v>BOLD</v>
          </cell>
          <cell r="GJ161"/>
          <cell r="GK161" t="str">
            <v>BOLD</v>
          </cell>
          <cell r="GN161"/>
          <cell r="GO161" t="str">
            <v>BOLD</v>
          </cell>
          <cell r="GR161"/>
          <cell r="GS161" t="str">
            <v>BOLD</v>
          </cell>
          <cell r="GV161"/>
          <cell r="GW161" t="str">
            <v>BOLD</v>
          </cell>
          <cell r="GZ161"/>
          <cell r="HA161" t="str">
            <v>BOLD</v>
          </cell>
          <cell r="HD161"/>
          <cell r="HE161" t="str">
            <v>BOLD</v>
          </cell>
          <cell r="HH161"/>
          <cell r="HI161" t="str">
            <v>BOLD</v>
          </cell>
          <cell r="HL161"/>
          <cell r="HM161" t="str">
            <v>BOLD</v>
          </cell>
          <cell r="HP161"/>
          <cell r="HQ161" t="str">
            <v>BOLD</v>
          </cell>
          <cell r="HT161"/>
          <cell r="HU161" t="str">
            <v>BOLD</v>
          </cell>
        </row>
        <row r="162">
          <cell r="A162">
            <v>161</v>
          </cell>
          <cell r="D162"/>
          <cell r="E162" t="str">
            <v>BOLD</v>
          </cell>
          <cell r="H162"/>
          <cell r="I162" t="str">
            <v>BOLD</v>
          </cell>
          <cell r="P162"/>
          <cell r="Q162" t="str">
            <v>BOLD</v>
          </cell>
          <cell r="T162"/>
          <cell r="U162" t="str">
            <v>BOLD</v>
          </cell>
          <cell r="X162"/>
          <cell r="Y162" t="str">
            <v>BOLD</v>
          </cell>
          <cell r="AB162"/>
          <cell r="AC162" t="str">
            <v>BOLD</v>
          </cell>
          <cell r="AF162"/>
          <cell r="AG162" t="str">
            <v>BOLD</v>
          </cell>
          <cell r="AJ162"/>
          <cell r="AK162" t="str">
            <v>BOLD</v>
          </cell>
          <cell r="AN162"/>
          <cell r="AO162" t="str">
            <v>BOLD</v>
          </cell>
          <cell r="AR162"/>
          <cell r="AS162" t="str">
            <v>BOLD</v>
          </cell>
          <cell r="AV162"/>
          <cell r="AW162" t="str">
            <v>BOLD</v>
          </cell>
          <cell r="AZ162"/>
          <cell r="BA162" t="str">
            <v>BOLD</v>
          </cell>
          <cell r="BD162"/>
          <cell r="BE162" t="str">
            <v>BOLD</v>
          </cell>
          <cell r="BH162"/>
          <cell r="BI162" t="str">
            <v>BOLD</v>
          </cell>
          <cell r="BL162"/>
          <cell r="BM162" t="str">
            <v>BOLD</v>
          </cell>
          <cell r="BP162"/>
          <cell r="BQ162" t="str">
            <v>BOLD</v>
          </cell>
          <cell r="BT162"/>
          <cell r="BU162" t="str">
            <v>BOLD</v>
          </cell>
          <cell r="BX162"/>
          <cell r="BY162" t="str">
            <v>BOLD</v>
          </cell>
          <cell r="CB162"/>
          <cell r="CC162" t="str">
            <v>BOLD</v>
          </cell>
          <cell r="CF162"/>
          <cell r="CG162" t="str">
            <v>BOLD</v>
          </cell>
          <cell r="CJ162"/>
          <cell r="CK162" t="str">
            <v>BOLD</v>
          </cell>
          <cell r="CN162"/>
          <cell r="CO162" t="str">
            <v>BOLD</v>
          </cell>
          <cell r="CR162"/>
          <cell r="CS162" t="str">
            <v>BOLD</v>
          </cell>
          <cell r="CV162"/>
          <cell r="CW162" t="str">
            <v>BOLD</v>
          </cell>
          <cell r="CZ162"/>
          <cell r="DA162" t="str">
            <v>BOLD</v>
          </cell>
          <cell r="DD162"/>
          <cell r="DE162" t="str">
            <v>BOLD</v>
          </cell>
          <cell r="DH162"/>
          <cell r="DI162" t="str">
            <v>BOLD</v>
          </cell>
          <cell r="DL162"/>
          <cell r="DM162" t="str">
            <v>BOLD</v>
          </cell>
          <cell r="DP162"/>
          <cell r="DQ162" t="str">
            <v>BOLD</v>
          </cell>
          <cell r="DT162"/>
          <cell r="DU162" t="str">
            <v>BOLD</v>
          </cell>
          <cell r="DX162"/>
          <cell r="DY162" t="str">
            <v>BOLD</v>
          </cell>
          <cell r="EB162"/>
          <cell r="EC162" t="str">
            <v>BOLD</v>
          </cell>
          <cell r="EF162"/>
          <cell r="EG162" t="str">
            <v>BOLD</v>
          </cell>
          <cell r="EJ162"/>
          <cell r="EK162" t="str">
            <v>BOLD</v>
          </cell>
          <cell r="EN162"/>
          <cell r="EO162" t="str">
            <v>BOLD</v>
          </cell>
          <cell r="ER162"/>
          <cell r="ES162" t="str">
            <v>BOLD</v>
          </cell>
          <cell r="EV162"/>
          <cell r="EW162" t="str">
            <v>BOLD</v>
          </cell>
          <cell r="EZ162"/>
          <cell r="FA162" t="str">
            <v>BOLD</v>
          </cell>
          <cell r="FD162"/>
          <cell r="FE162" t="str">
            <v>BOLD</v>
          </cell>
          <cell r="FH162"/>
          <cell r="FI162" t="str">
            <v>BOLD</v>
          </cell>
          <cell r="FL162"/>
          <cell r="FM162" t="str">
            <v>BOLD</v>
          </cell>
          <cell r="FP162"/>
          <cell r="FQ162" t="str">
            <v>BOLD</v>
          </cell>
          <cell r="FT162"/>
          <cell r="FU162" t="str">
            <v>BOLD</v>
          </cell>
          <cell r="FX162"/>
          <cell r="FY162" t="str">
            <v>BOLD</v>
          </cell>
          <cell r="GB162"/>
          <cell r="GC162" t="str">
            <v>BOLD</v>
          </cell>
          <cell r="GF162"/>
          <cell r="GG162" t="str">
            <v>BOLD</v>
          </cell>
          <cell r="GJ162"/>
          <cell r="GK162" t="str">
            <v>BOLD</v>
          </cell>
          <cell r="GN162"/>
          <cell r="GO162" t="str">
            <v>BOLD</v>
          </cell>
          <cell r="GR162"/>
          <cell r="GS162" t="str">
            <v>BOLD</v>
          </cell>
          <cell r="GV162"/>
          <cell r="GW162" t="str">
            <v>BOLD</v>
          </cell>
          <cell r="GZ162"/>
          <cell r="HA162" t="str">
            <v>BOLD</v>
          </cell>
          <cell r="HD162"/>
          <cell r="HE162" t="str">
            <v>BOLD</v>
          </cell>
          <cell r="HH162"/>
          <cell r="HI162" t="str">
            <v>BOLD</v>
          </cell>
          <cell r="HL162"/>
          <cell r="HM162" t="str">
            <v>BOLD</v>
          </cell>
          <cell r="HP162"/>
          <cell r="HQ162" t="str">
            <v>BOLD</v>
          </cell>
          <cell r="HT162"/>
          <cell r="HU162" t="str">
            <v>BOLD</v>
          </cell>
        </row>
        <row r="163">
          <cell r="A163">
            <v>162</v>
          </cell>
          <cell r="D163"/>
          <cell r="E163" t="str">
            <v>BOLD</v>
          </cell>
          <cell r="H163"/>
          <cell r="I163" t="str">
            <v>BOLD</v>
          </cell>
          <cell r="P163"/>
          <cell r="Q163" t="str">
            <v>BOLD</v>
          </cell>
          <cell r="T163"/>
          <cell r="U163" t="str">
            <v>BOLD</v>
          </cell>
          <cell r="X163"/>
          <cell r="Y163" t="str">
            <v>BOLD</v>
          </cell>
          <cell r="AB163"/>
          <cell r="AC163" t="str">
            <v>BOLD</v>
          </cell>
          <cell r="AF163"/>
          <cell r="AG163" t="str">
            <v>BOLD</v>
          </cell>
          <cell r="AJ163"/>
          <cell r="AK163" t="str">
            <v>BOLD</v>
          </cell>
          <cell r="AN163"/>
          <cell r="AO163" t="str">
            <v>BOLD</v>
          </cell>
          <cell r="AR163"/>
          <cell r="AS163" t="str">
            <v>BOLD</v>
          </cell>
          <cell r="AV163"/>
          <cell r="AW163" t="str">
            <v>BOLD</v>
          </cell>
          <cell r="AZ163"/>
          <cell r="BA163" t="str">
            <v>BOLD</v>
          </cell>
          <cell r="BD163"/>
          <cell r="BE163" t="str">
            <v>BOLD</v>
          </cell>
          <cell r="BH163"/>
          <cell r="BI163" t="str">
            <v>BOLD</v>
          </cell>
          <cell r="BL163"/>
          <cell r="BM163" t="str">
            <v>BOLD</v>
          </cell>
          <cell r="BP163"/>
          <cell r="BQ163" t="str">
            <v>BOLD</v>
          </cell>
          <cell r="BT163"/>
          <cell r="BU163" t="str">
            <v>BOLD</v>
          </cell>
          <cell r="BX163"/>
          <cell r="BY163" t="str">
            <v>BOLD</v>
          </cell>
          <cell r="CB163"/>
          <cell r="CC163" t="str">
            <v>BOLD</v>
          </cell>
          <cell r="CF163"/>
          <cell r="CG163" t="str">
            <v>BOLD</v>
          </cell>
          <cell r="CJ163"/>
          <cell r="CK163" t="str">
            <v>BOLD</v>
          </cell>
          <cell r="CN163"/>
          <cell r="CO163" t="str">
            <v>BOLD</v>
          </cell>
          <cell r="CR163"/>
          <cell r="CS163" t="str">
            <v>BOLD</v>
          </cell>
          <cell r="CV163"/>
          <cell r="CW163" t="str">
            <v>BOLD</v>
          </cell>
          <cell r="CZ163"/>
          <cell r="DA163" t="str">
            <v>BOLD</v>
          </cell>
          <cell r="DD163"/>
          <cell r="DE163" t="str">
            <v>BOLD</v>
          </cell>
          <cell r="DH163"/>
          <cell r="DI163" t="str">
            <v>BOLD</v>
          </cell>
          <cell r="DL163"/>
          <cell r="DM163" t="str">
            <v>BOLD</v>
          </cell>
          <cell r="DP163"/>
          <cell r="DQ163" t="str">
            <v>BOLD</v>
          </cell>
          <cell r="DT163"/>
          <cell r="DU163" t="str">
            <v>BOLD</v>
          </cell>
          <cell r="DX163"/>
          <cell r="DY163" t="str">
            <v>BOLD</v>
          </cell>
          <cell r="EB163"/>
          <cell r="EC163" t="str">
            <v>BOLD</v>
          </cell>
          <cell r="EF163"/>
          <cell r="EG163" t="str">
            <v>BOLD</v>
          </cell>
          <cell r="EJ163"/>
          <cell r="EK163" t="str">
            <v>BOLD</v>
          </cell>
          <cell r="EN163"/>
          <cell r="EO163" t="str">
            <v>BOLD</v>
          </cell>
          <cell r="ER163"/>
          <cell r="ES163" t="str">
            <v>BOLD</v>
          </cell>
          <cell r="EV163"/>
          <cell r="EW163" t="str">
            <v>BOLD</v>
          </cell>
          <cell r="EZ163"/>
          <cell r="FA163" t="str">
            <v>BOLD</v>
          </cell>
          <cell r="FD163"/>
          <cell r="FE163" t="str">
            <v>BOLD</v>
          </cell>
          <cell r="FH163"/>
          <cell r="FI163" t="str">
            <v>BOLD</v>
          </cell>
          <cell r="FL163"/>
          <cell r="FM163" t="str">
            <v>BOLD</v>
          </cell>
          <cell r="FP163"/>
          <cell r="FQ163" t="str">
            <v>BOLD</v>
          </cell>
          <cell r="FT163"/>
          <cell r="FU163" t="str">
            <v>BOLD</v>
          </cell>
          <cell r="FX163"/>
          <cell r="FY163" t="str">
            <v>BOLD</v>
          </cell>
          <cell r="GB163"/>
          <cell r="GC163" t="str">
            <v>BOLD</v>
          </cell>
          <cell r="GF163"/>
          <cell r="GG163" t="str">
            <v>BOLD</v>
          </cell>
          <cell r="GJ163"/>
          <cell r="GK163" t="str">
            <v>BOLD</v>
          </cell>
          <cell r="GN163"/>
          <cell r="GO163" t="str">
            <v>BOLD</v>
          </cell>
          <cell r="GR163"/>
          <cell r="GS163" t="str">
            <v>BOLD</v>
          </cell>
          <cell r="GV163"/>
          <cell r="GW163" t="str">
            <v>BOLD</v>
          </cell>
          <cell r="GZ163"/>
          <cell r="HA163" t="str">
            <v>BOLD</v>
          </cell>
          <cell r="HD163"/>
          <cell r="HE163" t="str">
            <v>BOLD</v>
          </cell>
          <cell r="HH163"/>
          <cell r="HI163" t="str">
            <v>BOLD</v>
          </cell>
          <cell r="HL163"/>
          <cell r="HM163" t="str">
            <v>BOLD</v>
          </cell>
          <cell r="HP163"/>
          <cell r="HQ163" t="str">
            <v>BOLD</v>
          </cell>
          <cell r="HT163"/>
          <cell r="HU163" t="str">
            <v>BOLD</v>
          </cell>
        </row>
        <row r="164">
          <cell r="A164">
            <v>163</v>
          </cell>
          <cell r="D164"/>
          <cell r="E164" t="str">
            <v>BOLD</v>
          </cell>
          <cell r="H164"/>
          <cell r="I164" t="str">
            <v>BOLD</v>
          </cell>
          <cell r="P164"/>
          <cell r="Q164" t="str">
            <v>BOLD</v>
          </cell>
          <cell r="T164"/>
          <cell r="U164" t="str">
            <v>BOLD</v>
          </cell>
          <cell r="X164"/>
          <cell r="Y164" t="str">
            <v>BOLD</v>
          </cell>
          <cell r="AB164"/>
          <cell r="AC164" t="str">
            <v>BOLD</v>
          </cell>
          <cell r="AF164"/>
          <cell r="AG164" t="str">
            <v>BOLD</v>
          </cell>
          <cell r="AJ164"/>
          <cell r="AK164" t="str">
            <v>BOLD</v>
          </cell>
          <cell r="AN164"/>
          <cell r="AO164" t="str">
            <v>BOLD</v>
          </cell>
          <cell r="AR164"/>
          <cell r="AS164" t="str">
            <v>BOLD</v>
          </cell>
          <cell r="AV164"/>
          <cell r="AW164" t="str">
            <v>BOLD</v>
          </cell>
          <cell r="AZ164"/>
          <cell r="BA164" t="str">
            <v>BOLD</v>
          </cell>
          <cell r="BD164"/>
          <cell r="BE164" t="str">
            <v>BOLD</v>
          </cell>
          <cell r="BH164"/>
          <cell r="BI164" t="str">
            <v>BOLD</v>
          </cell>
          <cell r="BL164"/>
          <cell r="BM164" t="str">
            <v>BOLD</v>
          </cell>
          <cell r="BP164"/>
          <cell r="BQ164" t="str">
            <v>BOLD</v>
          </cell>
          <cell r="BT164"/>
          <cell r="BU164" t="str">
            <v>BOLD</v>
          </cell>
          <cell r="BX164"/>
          <cell r="BY164" t="str">
            <v>BOLD</v>
          </cell>
          <cell r="CB164"/>
          <cell r="CC164" t="str">
            <v>BOLD</v>
          </cell>
          <cell r="CF164"/>
          <cell r="CG164" t="str">
            <v>BOLD</v>
          </cell>
          <cell r="CJ164"/>
          <cell r="CK164" t="str">
            <v>BOLD</v>
          </cell>
          <cell r="CN164"/>
          <cell r="CO164" t="str">
            <v>BOLD</v>
          </cell>
          <cell r="CR164"/>
          <cell r="CS164" t="str">
            <v>BOLD</v>
          </cell>
          <cell r="CV164"/>
          <cell r="CW164" t="str">
            <v>BOLD</v>
          </cell>
          <cell r="CZ164"/>
          <cell r="DA164" t="str">
            <v>BOLD</v>
          </cell>
          <cell r="DD164"/>
          <cell r="DE164" t="str">
            <v>BOLD</v>
          </cell>
          <cell r="DH164"/>
          <cell r="DI164" t="str">
            <v>BOLD</v>
          </cell>
          <cell r="DL164"/>
          <cell r="DM164" t="str">
            <v>BOLD</v>
          </cell>
          <cell r="DP164"/>
          <cell r="DQ164" t="str">
            <v>BOLD</v>
          </cell>
          <cell r="DT164"/>
          <cell r="DU164" t="str">
            <v>BOLD</v>
          </cell>
          <cell r="DX164"/>
          <cell r="DY164" t="str">
            <v>BOLD</v>
          </cell>
          <cell r="EB164"/>
          <cell r="EC164" t="str">
            <v>BOLD</v>
          </cell>
          <cell r="EF164"/>
          <cell r="EG164" t="str">
            <v>BOLD</v>
          </cell>
          <cell r="EJ164"/>
          <cell r="EK164" t="str">
            <v>BOLD</v>
          </cell>
          <cell r="EN164"/>
          <cell r="EO164" t="str">
            <v>BOLD</v>
          </cell>
          <cell r="ER164"/>
          <cell r="ES164" t="str">
            <v>BOLD</v>
          </cell>
          <cell r="EV164"/>
          <cell r="EW164" t="str">
            <v>BOLD</v>
          </cell>
          <cell r="EZ164"/>
          <cell r="FA164" t="str">
            <v>BOLD</v>
          </cell>
          <cell r="FD164"/>
          <cell r="FE164" t="str">
            <v>BOLD</v>
          </cell>
          <cell r="FH164"/>
          <cell r="FI164" t="str">
            <v>BOLD</v>
          </cell>
          <cell r="FL164"/>
          <cell r="FM164" t="str">
            <v>BOLD</v>
          </cell>
          <cell r="FP164"/>
          <cell r="FQ164" t="str">
            <v>BOLD</v>
          </cell>
          <cell r="FT164"/>
          <cell r="FU164" t="str">
            <v>BOLD</v>
          </cell>
          <cell r="FX164"/>
          <cell r="FY164" t="str">
            <v>BOLD</v>
          </cell>
          <cell r="GB164"/>
          <cell r="GC164" t="str">
            <v>BOLD</v>
          </cell>
          <cell r="GF164"/>
          <cell r="GG164" t="str">
            <v>BOLD</v>
          </cell>
          <cell r="GJ164"/>
          <cell r="GK164" t="str">
            <v>BOLD</v>
          </cell>
          <cell r="GN164"/>
          <cell r="GO164" t="str">
            <v>BOLD</v>
          </cell>
          <cell r="GR164"/>
          <cell r="GS164" t="str">
            <v>BOLD</v>
          </cell>
          <cell r="GV164"/>
          <cell r="GW164" t="str">
            <v>BOLD</v>
          </cell>
          <cell r="GZ164"/>
          <cell r="HA164" t="str">
            <v>BOLD</v>
          </cell>
          <cell r="HD164"/>
          <cell r="HE164" t="str">
            <v>BOLD</v>
          </cell>
          <cell r="HH164"/>
          <cell r="HI164" t="str">
            <v>BOLD</v>
          </cell>
          <cell r="HL164"/>
          <cell r="HM164" t="str">
            <v>BOLD</v>
          </cell>
          <cell r="HP164"/>
          <cell r="HQ164" t="str">
            <v>BOLD</v>
          </cell>
          <cell r="HT164"/>
          <cell r="HU164" t="str">
            <v>BOLD</v>
          </cell>
        </row>
        <row r="165">
          <cell r="A165">
            <v>164</v>
          </cell>
          <cell r="D165"/>
          <cell r="E165" t="str">
            <v>BOLD</v>
          </cell>
          <cell r="H165"/>
          <cell r="I165" t="str">
            <v>BOLD</v>
          </cell>
          <cell r="P165"/>
          <cell r="Q165" t="str">
            <v>BOLD</v>
          </cell>
          <cell r="T165"/>
          <cell r="U165" t="str">
            <v>BOLD</v>
          </cell>
          <cell r="X165"/>
          <cell r="Y165" t="str">
            <v>BOLD</v>
          </cell>
          <cell r="AB165"/>
          <cell r="AC165" t="str">
            <v>BOLD</v>
          </cell>
          <cell r="AF165"/>
          <cell r="AG165" t="str">
            <v>BOLD</v>
          </cell>
          <cell r="AJ165"/>
          <cell r="AK165" t="str">
            <v>BOLD</v>
          </cell>
          <cell r="AN165"/>
          <cell r="AO165" t="str">
            <v>BOLD</v>
          </cell>
          <cell r="AR165"/>
          <cell r="AS165" t="str">
            <v>BOLD</v>
          </cell>
          <cell r="AV165"/>
          <cell r="AW165" t="str">
            <v>BOLD</v>
          </cell>
          <cell r="AZ165"/>
          <cell r="BA165" t="str">
            <v>BOLD</v>
          </cell>
          <cell r="BD165"/>
          <cell r="BE165" t="str">
            <v>BOLD</v>
          </cell>
          <cell r="BH165"/>
          <cell r="BI165" t="str">
            <v>BOLD</v>
          </cell>
          <cell r="BL165"/>
          <cell r="BM165" t="str">
            <v>BOLD</v>
          </cell>
          <cell r="BP165"/>
          <cell r="BQ165" t="str">
            <v>BOLD</v>
          </cell>
          <cell r="BT165"/>
          <cell r="BU165" t="str">
            <v>BOLD</v>
          </cell>
          <cell r="BX165"/>
          <cell r="BY165" t="str">
            <v>BOLD</v>
          </cell>
          <cell r="CB165"/>
          <cell r="CC165" t="str">
            <v>BOLD</v>
          </cell>
          <cell r="CF165"/>
          <cell r="CG165" t="str">
            <v>BOLD</v>
          </cell>
          <cell r="CJ165"/>
          <cell r="CK165" t="str">
            <v>BOLD</v>
          </cell>
          <cell r="CN165"/>
          <cell r="CO165" t="str">
            <v>BOLD</v>
          </cell>
          <cell r="CR165"/>
          <cell r="CS165" t="str">
            <v>BOLD</v>
          </cell>
          <cell r="CV165"/>
          <cell r="CW165" t="str">
            <v>BOLD</v>
          </cell>
          <cell r="CZ165"/>
          <cell r="DA165" t="str">
            <v>BOLD</v>
          </cell>
          <cell r="DD165"/>
          <cell r="DE165" t="str">
            <v>BOLD</v>
          </cell>
          <cell r="DH165"/>
          <cell r="DI165" t="str">
            <v>BOLD</v>
          </cell>
          <cell r="DL165"/>
          <cell r="DM165" t="str">
            <v>BOLD</v>
          </cell>
          <cell r="DP165"/>
          <cell r="DQ165" t="str">
            <v>BOLD</v>
          </cell>
          <cell r="DT165"/>
          <cell r="DU165" t="str">
            <v>BOLD</v>
          </cell>
          <cell r="DX165"/>
          <cell r="DY165" t="str">
            <v>BOLD</v>
          </cell>
          <cell r="EB165"/>
          <cell r="EC165" t="str">
            <v>BOLD</v>
          </cell>
          <cell r="EF165"/>
          <cell r="EG165" t="str">
            <v>BOLD</v>
          </cell>
          <cell r="EJ165"/>
          <cell r="EK165" t="str">
            <v>BOLD</v>
          </cell>
          <cell r="EN165"/>
          <cell r="EO165" t="str">
            <v>BOLD</v>
          </cell>
          <cell r="ER165"/>
          <cell r="ES165" t="str">
            <v>BOLD</v>
          </cell>
          <cell r="EV165"/>
          <cell r="EW165" t="str">
            <v>BOLD</v>
          </cell>
          <cell r="EZ165"/>
          <cell r="FA165" t="str">
            <v>BOLD</v>
          </cell>
          <cell r="FD165"/>
          <cell r="FE165" t="str">
            <v>BOLD</v>
          </cell>
          <cell r="FH165"/>
          <cell r="FI165" t="str">
            <v>BOLD</v>
          </cell>
          <cell r="FL165"/>
          <cell r="FM165" t="str">
            <v>BOLD</v>
          </cell>
          <cell r="FP165"/>
          <cell r="FQ165" t="str">
            <v>BOLD</v>
          </cell>
          <cell r="FT165"/>
          <cell r="FU165" t="str">
            <v>BOLD</v>
          </cell>
          <cell r="FX165"/>
          <cell r="FY165" t="str">
            <v>BOLD</v>
          </cell>
          <cell r="GB165"/>
          <cell r="GC165" t="str">
            <v>BOLD</v>
          </cell>
          <cell r="GF165"/>
          <cell r="GG165" t="str">
            <v>BOLD</v>
          </cell>
          <cell r="GJ165"/>
          <cell r="GK165" t="str">
            <v>BOLD</v>
          </cell>
          <cell r="GN165"/>
          <cell r="GO165" t="str">
            <v>BOLD</v>
          </cell>
          <cell r="GR165"/>
          <cell r="GS165" t="str">
            <v>BOLD</v>
          </cell>
          <cell r="GV165"/>
          <cell r="GW165" t="str">
            <v>BOLD</v>
          </cell>
          <cell r="GZ165"/>
          <cell r="HA165" t="str">
            <v>BOLD</v>
          </cell>
          <cell r="HD165"/>
          <cell r="HE165" t="str">
            <v>BOLD</v>
          </cell>
          <cell r="HH165"/>
          <cell r="HI165" t="str">
            <v>BOLD</v>
          </cell>
          <cell r="HL165"/>
          <cell r="HM165" t="str">
            <v>BOLD</v>
          </cell>
          <cell r="HP165"/>
          <cell r="HQ165" t="str">
            <v>BOLD</v>
          </cell>
          <cell r="HT165"/>
          <cell r="HU165" t="str">
            <v>BOLD</v>
          </cell>
        </row>
        <row r="166">
          <cell r="A166">
            <v>165</v>
          </cell>
          <cell r="D166"/>
          <cell r="E166" t="str">
            <v>BOLD</v>
          </cell>
          <cell r="H166"/>
          <cell r="I166" t="str">
            <v>BOLD</v>
          </cell>
          <cell r="P166"/>
          <cell r="Q166" t="str">
            <v>BOLD</v>
          </cell>
          <cell r="T166"/>
          <cell r="U166" t="str">
            <v>BOLD</v>
          </cell>
          <cell r="X166"/>
          <cell r="Y166" t="str">
            <v>BOLD</v>
          </cell>
          <cell r="AB166"/>
          <cell r="AC166" t="str">
            <v>BOLD</v>
          </cell>
          <cell r="AF166"/>
          <cell r="AG166" t="str">
            <v>BOLD</v>
          </cell>
          <cell r="AJ166"/>
          <cell r="AK166" t="str">
            <v>BOLD</v>
          </cell>
          <cell r="AN166"/>
          <cell r="AO166" t="str">
            <v>BOLD</v>
          </cell>
          <cell r="AR166"/>
          <cell r="AS166" t="str">
            <v>BOLD</v>
          </cell>
          <cell r="AV166"/>
          <cell r="AW166" t="str">
            <v>BOLD</v>
          </cell>
          <cell r="AZ166"/>
          <cell r="BA166" t="str">
            <v>BOLD</v>
          </cell>
          <cell r="BD166"/>
          <cell r="BE166" t="str">
            <v>BOLD</v>
          </cell>
          <cell r="BH166"/>
          <cell r="BI166" t="str">
            <v>BOLD</v>
          </cell>
          <cell r="BL166"/>
          <cell r="BM166" t="str">
            <v>BOLD</v>
          </cell>
          <cell r="BP166"/>
          <cell r="BQ166" t="str">
            <v>BOLD</v>
          </cell>
          <cell r="BT166"/>
          <cell r="BU166" t="str">
            <v>BOLD</v>
          </cell>
          <cell r="BX166"/>
          <cell r="BY166" t="str">
            <v>BOLD</v>
          </cell>
          <cell r="CB166"/>
          <cell r="CC166" t="str">
            <v>BOLD</v>
          </cell>
          <cell r="CF166"/>
          <cell r="CG166" t="str">
            <v>BOLD</v>
          </cell>
          <cell r="CJ166"/>
          <cell r="CK166" t="str">
            <v>BOLD</v>
          </cell>
          <cell r="CN166"/>
          <cell r="CO166" t="str">
            <v>BOLD</v>
          </cell>
          <cell r="CR166"/>
          <cell r="CS166" t="str">
            <v>BOLD</v>
          </cell>
          <cell r="CV166"/>
          <cell r="CW166" t="str">
            <v>BOLD</v>
          </cell>
          <cell r="CZ166"/>
          <cell r="DA166" t="str">
            <v>BOLD</v>
          </cell>
          <cell r="DD166"/>
          <cell r="DE166" t="str">
            <v>BOLD</v>
          </cell>
          <cell r="DH166"/>
          <cell r="DI166" t="str">
            <v>BOLD</v>
          </cell>
          <cell r="DL166"/>
          <cell r="DM166" t="str">
            <v>BOLD</v>
          </cell>
          <cell r="DP166"/>
          <cell r="DQ166" t="str">
            <v>BOLD</v>
          </cell>
          <cell r="DT166"/>
          <cell r="DU166" t="str">
            <v>BOLD</v>
          </cell>
          <cell r="DX166"/>
          <cell r="DY166" t="str">
            <v>BOLD</v>
          </cell>
          <cell r="EB166"/>
          <cell r="EC166" t="str">
            <v>BOLD</v>
          </cell>
          <cell r="EF166"/>
          <cell r="EG166" t="str">
            <v>BOLD</v>
          </cell>
          <cell r="EJ166"/>
          <cell r="EK166" t="str">
            <v>BOLD</v>
          </cell>
          <cell r="EN166"/>
          <cell r="EO166" t="str">
            <v>BOLD</v>
          </cell>
          <cell r="ER166"/>
          <cell r="ES166" t="str">
            <v>BOLD</v>
          </cell>
          <cell r="EV166"/>
          <cell r="EW166" t="str">
            <v>BOLD</v>
          </cell>
          <cell r="EZ166"/>
          <cell r="FA166" t="str">
            <v>BOLD</v>
          </cell>
          <cell r="FD166"/>
          <cell r="FE166" t="str">
            <v>BOLD</v>
          </cell>
          <cell r="FH166"/>
          <cell r="FI166" t="str">
            <v>BOLD</v>
          </cell>
          <cell r="FL166"/>
          <cell r="FM166" t="str">
            <v>BOLD</v>
          </cell>
          <cell r="FP166"/>
          <cell r="FQ166" t="str">
            <v>BOLD</v>
          </cell>
          <cell r="FT166"/>
          <cell r="FU166" t="str">
            <v>BOLD</v>
          </cell>
          <cell r="FX166"/>
          <cell r="FY166" t="str">
            <v>BOLD</v>
          </cell>
          <cell r="GB166"/>
          <cell r="GC166" t="str">
            <v>BOLD</v>
          </cell>
          <cell r="GF166"/>
          <cell r="GG166" t="str">
            <v>BOLD</v>
          </cell>
          <cell r="GJ166"/>
          <cell r="GK166" t="str">
            <v>BOLD</v>
          </cell>
          <cell r="GN166"/>
          <cell r="GO166" t="str">
            <v>BOLD</v>
          </cell>
          <cell r="GR166"/>
          <cell r="GS166" t="str">
            <v>BOLD</v>
          </cell>
          <cell r="GV166"/>
          <cell r="GW166" t="str">
            <v>BOLD</v>
          </cell>
          <cell r="GZ166"/>
          <cell r="HA166" t="str">
            <v>BOLD</v>
          </cell>
          <cell r="HD166"/>
          <cell r="HE166" t="str">
            <v>BOLD</v>
          </cell>
          <cell r="HH166"/>
          <cell r="HI166" t="str">
            <v>BOLD</v>
          </cell>
          <cell r="HL166"/>
          <cell r="HM166" t="str">
            <v>BOLD</v>
          </cell>
          <cell r="HP166"/>
          <cell r="HQ166" t="str">
            <v>BOLD</v>
          </cell>
          <cell r="HT166"/>
          <cell r="HU166" t="str">
            <v>BOLD</v>
          </cell>
        </row>
        <row r="167">
          <cell r="A167">
            <v>166</v>
          </cell>
          <cell r="D167"/>
          <cell r="E167" t="str">
            <v>BOLD</v>
          </cell>
          <cell r="H167"/>
          <cell r="I167" t="str">
            <v>BOLD</v>
          </cell>
          <cell r="P167"/>
          <cell r="Q167" t="str">
            <v>BOLD</v>
          </cell>
          <cell r="T167"/>
          <cell r="U167" t="str">
            <v>BOLD</v>
          </cell>
          <cell r="X167"/>
          <cell r="Y167" t="str">
            <v>BOLD</v>
          </cell>
          <cell r="AB167"/>
          <cell r="AC167" t="str">
            <v>BOLD</v>
          </cell>
          <cell r="AF167"/>
          <cell r="AG167" t="str">
            <v>BOLD</v>
          </cell>
          <cell r="AJ167"/>
          <cell r="AK167" t="str">
            <v>BOLD</v>
          </cell>
          <cell r="AN167"/>
          <cell r="AO167" t="str">
            <v>BOLD</v>
          </cell>
          <cell r="AR167"/>
          <cell r="AS167" t="str">
            <v>BOLD</v>
          </cell>
          <cell r="AV167"/>
          <cell r="AW167" t="str">
            <v>BOLD</v>
          </cell>
          <cell r="AZ167"/>
          <cell r="BA167" t="str">
            <v>BOLD</v>
          </cell>
          <cell r="BD167"/>
          <cell r="BE167" t="str">
            <v>BOLD</v>
          </cell>
          <cell r="BH167"/>
          <cell r="BI167" t="str">
            <v>BOLD</v>
          </cell>
          <cell r="BL167"/>
          <cell r="BM167" t="str">
            <v>BOLD</v>
          </cell>
          <cell r="BP167"/>
          <cell r="BQ167" t="str">
            <v>BOLD</v>
          </cell>
          <cell r="BT167"/>
          <cell r="BU167" t="str">
            <v>BOLD</v>
          </cell>
          <cell r="BX167"/>
          <cell r="BY167" t="str">
            <v>BOLD</v>
          </cell>
          <cell r="CB167"/>
          <cell r="CC167" t="str">
            <v>BOLD</v>
          </cell>
          <cell r="CF167"/>
          <cell r="CG167" t="str">
            <v>BOLD</v>
          </cell>
          <cell r="CJ167"/>
          <cell r="CK167" t="str">
            <v>BOLD</v>
          </cell>
          <cell r="CN167"/>
          <cell r="CO167" t="str">
            <v>BOLD</v>
          </cell>
          <cell r="CR167"/>
          <cell r="CS167" t="str">
            <v>BOLD</v>
          </cell>
          <cell r="CV167"/>
          <cell r="CW167" t="str">
            <v>BOLD</v>
          </cell>
          <cell r="CZ167"/>
          <cell r="DA167" t="str">
            <v>BOLD</v>
          </cell>
          <cell r="DD167"/>
          <cell r="DE167" t="str">
            <v>BOLD</v>
          </cell>
          <cell r="DH167"/>
          <cell r="DI167" t="str">
            <v>BOLD</v>
          </cell>
          <cell r="DL167"/>
          <cell r="DM167" t="str">
            <v>BOLD</v>
          </cell>
          <cell r="DP167"/>
          <cell r="DQ167" t="str">
            <v>BOLD</v>
          </cell>
          <cell r="DT167"/>
          <cell r="DU167" t="str">
            <v>BOLD</v>
          </cell>
          <cell r="DX167"/>
          <cell r="DY167" t="str">
            <v>BOLD</v>
          </cell>
          <cell r="EB167"/>
          <cell r="EC167" t="str">
            <v>BOLD</v>
          </cell>
          <cell r="EF167"/>
          <cell r="EG167" t="str">
            <v>BOLD</v>
          </cell>
          <cell r="EJ167"/>
          <cell r="EK167" t="str">
            <v>BOLD</v>
          </cell>
          <cell r="EN167"/>
          <cell r="EO167" t="str">
            <v>BOLD</v>
          </cell>
          <cell r="ER167"/>
          <cell r="ES167" t="str">
            <v>BOLD</v>
          </cell>
          <cell r="EV167"/>
          <cell r="EW167" t="str">
            <v>BOLD</v>
          </cell>
          <cell r="EZ167"/>
          <cell r="FA167" t="str">
            <v>BOLD</v>
          </cell>
          <cell r="FD167"/>
          <cell r="FE167" t="str">
            <v>BOLD</v>
          </cell>
          <cell r="FH167"/>
          <cell r="FI167" t="str">
            <v>BOLD</v>
          </cell>
          <cell r="FL167"/>
          <cell r="FM167" t="str">
            <v>BOLD</v>
          </cell>
          <cell r="FP167"/>
          <cell r="FQ167" t="str">
            <v>BOLD</v>
          </cell>
          <cell r="FT167"/>
          <cell r="FU167" t="str">
            <v>BOLD</v>
          </cell>
          <cell r="FX167"/>
          <cell r="FY167" t="str">
            <v>BOLD</v>
          </cell>
          <cell r="GB167"/>
          <cell r="GC167" t="str">
            <v>BOLD</v>
          </cell>
          <cell r="GF167"/>
          <cell r="GG167" t="str">
            <v>BOLD</v>
          </cell>
          <cell r="GJ167"/>
          <cell r="GK167" t="str">
            <v>BOLD</v>
          </cell>
          <cell r="GN167"/>
          <cell r="GO167" t="str">
            <v>BOLD</v>
          </cell>
          <cell r="GR167"/>
          <cell r="GS167" t="str">
            <v>BOLD</v>
          </cell>
          <cell r="GV167"/>
          <cell r="GW167" t="str">
            <v>BOLD</v>
          </cell>
          <cell r="GZ167"/>
          <cell r="HA167" t="str">
            <v>BOLD</v>
          </cell>
          <cell r="HD167"/>
          <cell r="HE167" t="str">
            <v>BOLD</v>
          </cell>
          <cell r="HH167"/>
          <cell r="HI167" t="str">
            <v>BOLD</v>
          </cell>
          <cell r="HL167"/>
          <cell r="HM167" t="str">
            <v>BOLD</v>
          </cell>
          <cell r="HP167"/>
          <cell r="HQ167" t="str">
            <v>BOLD</v>
          </cell>
          <cell r="HT167"/>
          <cell r="HU167" t="str">
            <v>BOLD</v>
          </cell>
        </row>
        <row r="168">
          <cell r="A168">
            <v>167</v>
          </cell>
          <cell r="D168"/>
          <cell r="E168" t="str">
            <v>BOLD</v>
          </cell>
          <cell r="H168"/>
          <cell r="I168" t="str">
            <v>BOLD</v>
          </cell>
          <cell r="P168"/>
          <cell r="Q168" t="str">
            <v>BOLD</v>
          </cell>
          <cell r="T168"/>
          <cell r="U168" t="str">
            <v>BOLD</v>
          </cell>
          <cell r="X168"/>
          <cell r="Y168" t="str">
            <v>BOLD</v>
          </cell>
          <cell r="AB168"/>
          <cell r="AC168" t="str">
            <v>BOLD</v>
          </cell>
          <cell r="AF168"/>
          <cell r="AG168" t="str">
            <v>BOLD</v>
          </cell>
          <cell r="AJ168"/>
          <cell r="AK168" t="str">
            <v>BOLD</v>
          </cell>
          <cell r="AN168"/>
          <cell r="AO168" t="str">
            <v>BOLD</v>
          </cell>
          <cell r="AR168"/>
          <cell r="AS168" t="str">
            <v>BOLD</v>
          </cell>
          <cell r="AV168"/>
          <cell r="AW168" t="str">
            <v>BOLD</v>
          </cell>
          <cell r="AZ168"/>
          <cell r="BA168" t="str">
            <v>BOLD</v>
          </cell>
          <cell r="BD168"/>
          <cell r="BE168" t="str">
            <v>BOLD</v>
          </cell>
          <cell r="BH168"/>
          <cell r="BI168" t="str">
            <v>BOLD</v>
          </cell>
          <cell r="BL168"/>
          <cell r="BM168" t="str">
            <v>BOLD</v>
          </cell>
          <cell r="BP168"/>
          <cell r="BQ168" t="str">
            <v>BOLD</v>
          </cell>
          <cell r="BT168"/>
          <cell r="BU168" t="str">
            <v>BOLD</v>
          </cell>
          <cell r="BX168"/>
          <cell r="BY168" t="str">
            <v>BOLD</v>
          </cell>
          <cell r="CB168"/>
          <cell r="CC168" t="str">
            <v>BOLD</v>
          </cell>
          <cell r="CF168"/>
          <cell r="CG168" t="str">
            <v>BOLD</v>
          </cell>
          <cell r="CJ168"/>
          <cell r="CK168" t="str">
            <v>BOLD</v>
          </cell>
          <cell r="CN168"/>
          <cell r="CO168" t="str">
            <v>BOLD</v>
          </cell>
          <cell r="CR168"/>
          <cell r="CS168" t="str">
            <v>BOLD</v>
          </cell>
          <cell r="CV168"/>
          <cell r="CW168" t="str">
            <v>BOLD</v>
          </cell>
          <cell r="CZ168"/>
          <cell r="DA168" t="str">
            <v>BOLD</v>
          </cell>
          <cell r="DD168"/>
          <cell r="DE168" t="str">
            <v>BOLD</v>
          </cell>
          <cell r="DH168"/>
          <cell r="DI168" t="str">
            <v>BOLD</v>
          </cell>
          <cell r="DL168"/>
          <cell r="DM168" t="str">
            <v>BOLD</v>
          </cell>
          <cell r="DP168"/>
          <cell r="DQ168" t="str">
            <v>BOLD</v>
          </cell>
          <cell r="DT168"/>
          <cell r="DU168" t="str">
            <v>BOLD</v>
          </cell>
          <cell r="DX168"/>
          <cell r="DY168" t="str">
            <v>BOLD</v>
          </cell>
          <cell r="EB168"/>
          <cell r="EC168" t="str">
            <v>BOLD</v>
          </cell>
          <cell r="EF168"/>
          <cell r="EG168" t="str">
            <v>BOLD</v>
          </cell>
          <cell r="EJ168"/>
          <cell r="EK168" t="str">
            <v>BOLD</v>
          </cell>
          <cell r="EN168"/>
          <cell r="EO168" t="str">
            <v>BOLD</v>
          </cell>
          <cell r="ER168"/>
          <cell r="ES168" t="str">
            <v>BOLD</v>
          </cell>
          <cell r="EV168"/>
          <cell r="EW168" t="str">
            <v>BOLD</v>
          </cell>
          <cell r="EZ168"/>
          <cell r="FA168" t="str">
            <v>BOLD</v>
          </cell>
          <cell r="FD168"/>
          <cell r="FE168" t="str">
            <v>BOLD</v>
          </cell>
          <cell r="FH168"/>
          <cell r="FI168" t="str">
            <v>BOLD</v>
          </cell>
          <cell r="FL168"/>
          <cell r="FM168" t="str">
            <v>BOLD</v>
          </cell>
          <cell r="FP168"/>
          <cell r="FQ168" t="str">
            <v>BOLD</v>
          </cell>
          <cell r="FT168"/>
          <cell r="FU168" t="str">
            <v>BOLD</v>
          </cell>
          <cell r="FX168"/>
          <cell r="FY168" t="str">
            <v>BOLD</v>
          </cell>
          <cell r="GB168"/>
          <cell r="GC168" t="str">
            <v>BOLD</v>
          </cell>
          <cell r="GF168"/>
          <cell r="GG168" t="str">
            <v>BOLD</v>
          </cell>
          <cell r="GJ168"/>
          <cell r="GK168" t="str">
            <v>BOLD</v>
          </cell>
          <cell r="GN168"/>
          <cell r="GO168" t="str">
            <v>BOLD</v>
          </cell>
          <cell r="GR168"/>
          <cell r="GS168" t="str">
            <v>BOLD</v>
          </cell>
          <cell r="GV168"/>
          <cell r="GW168" t="str">
            <v>BOLD</v>
          </cell>
          <cell r="GZ168"/>
          <cell r="HA168" t="str">
            <v>BOLD</v>
          </cell>
          <cell r="HD168"/>
          <cell r="HE168" t="str">
            <v>BOLD</v>
          </cell>
          <cell r="HH168"/>
          <cell r="HI168" t="str">
            <v>BOLD</v>
          </cell>
          <cell r="HL168"/>
          <cell r="HM168" t="str">
            <v>BOLD</v>
          </cell>
          <cell r="HP168"/>
          <cell r="HQ168" t="str">
            <v>BOLD</v>
          </cell>
          <cell r="HT168"/>
          <cell r="HU168" t="str">
            <v>BOLD</v>
          </cell>
        </row>
        <row r="169">
          <cell r="A169">
            <v>168</v>
          </cell>
          <cell r="D169"/>
          <cell r="E169" t="str">
            <v>BOLD</v>
          </cell>
          <cell r="H169"/>
          <cell r="I169" t="str">
            <v>BOLD</v>
          </cell>
          <cell r="P169"/>
          <cell r="Q169" t="str">
            <v>BOLD</v>
          </cell>
          <cell r="T169"/>
          <cell r="U169" t="str">
            <v>BOLD</v>
          </cell>
          <cell r="X169"/>
          <cell r="Y169" t="str">
            <v>BOLD</v>
          </cell>
          <cell r="AB169"/>
          <cell r="AC169" t="str">
            <v>BOLD</v>
          </cell>
          <cell r="AF169"/>
          <cell r="AG169" t="str">
            <v>BOLD</v>
          </cell>
          <cell r="AJ169"/>
          <cell r="AK169" t="str">
            <v>BOLD</v>
          </cell>
          <cell r="AN169"/>
          <cell r="AO169" t="str">
            <v>BOLD</v>
          </cell>
          <cell r="AR169"/>
          <cell r="AS169" t="str">
            <v>BOLD</v>
          </cell>
          <cell r="AV169"/>
          <cell r="AW169" t="str">
            <v>BOLD</v>
          </cell>
          <cell r="AZ169"/>
          <cell r="BA169" t="str">
            <v>BOLD</v>
          </cell>
          <cell r="BD169"/>
          <cell r="BE169" t="str">
            <v>BOLD</v>
          </cell>
          <cell r="BH169"/>
          <cell r="BI169" t="str">
            <v>BOLD</v>
          </cell>
          <cell r="BL169"/>
          <cell r="BM169" t="str">
            <v>BOLD</v>
          </cell>
          <cell r="BP169"/>
          <cell r="BQ169" t="str">
            <v>BOLD</v>
          </cell>
          <cell r="BT169"/>
          <cell r="BU169" t="str">
            <v>BOLD</v>
          </cell>
          <cell r="BX169"/>
          <cell r="BY169" t="str">
            <v>BOLD</v>
          </cell>
          <cell r="CB169"/>
          <cell r="CC169" t="str">
            <v>BOLD</v>
          </cell>
          <cell r="CF169"/>
          <cell r="CG169" t="str">
            <v>BOLD</v>
          </cell>
          <cell r="CJ169"/>
          <cell r="CK169" t="str">
            <v>BOLD</v>
          </cell>
          <cell r="CN169"/>
          <cell r="CO169" t="str">
            <v>BOLD</v>
          </cell>
          <cell r="CR169"/>
          <cell r="CS169" t="str">
            <v>BOLD</v>
          </cell>
          <cell r="CV169"/>
          <cell r="CW169" t="str">
            <v>BOLD</v>
          </cell>
          <cell r="CZ169"/>
          <cell r="DA169" t="str">
            <v>BOLD</v>
          </cell>
          <cell r="DD169"/>
          <cell r="DE169" t="str">
            <v>BOLD</v>
          </cell>
          <cell r="DH169"/>
          <cell r="DI169" t="str">
            <v>BOLD</v>
          </cell>
          <cell r="DL169"/>
          <cell r="DM169" t="str">
            <v>BOLD</v>
          </cell>
          <cell r="DP169"/>
          <cell r="DQ169" t="str">
            <v>BOLD</v>
          </cell>
          <cell r="DT169"/>
          <cell r="DU169" t="str">
            <v>BOLD</v>
          </cell>
          <cell r="DX169"/>
          <cell r="DY169" t="str">
            <v>BOLD</v>
          </cell>
          <cell r="EB169"/>
          <cell r="EC169" t="str">
            <v>BOLD</v>
          </cell>
          <cell r="EF169"/>
          <cell r="EG169" t="str">
            <v>BOLD</v>
          </cell>
          <cell r="EJ169"/>
          <cell r="EK169" t="str">
            <v>BOLD</v>
          </cell>
          <cell r="EN169"/>
          <cell r="EO169" t="str">
            <v>BOLD</v>
          </cell>
          <cell r="ER169"/>
          <cell r="ES169" t="str">
            <v>BOLD</v>
          </cell>
          <cell r="EV169"/>
          <cell r="EW169" t="str">
            <v>BOLD</v>
          </cell>
          <cell r="EZ169"/>
          <cell r="FA169" t="str">
            <v>BOLD</v>
          </cell>
          <cell r="FD169"/>
          <cell r="FE169" t="str">
            <v>BOLD</v>
          </cell>
          <cell r="FH169"/>
          <cell r="FI169" t="str">
            <v>BOLD</v>
          </cell>
          <cell r="FL169"/>
          <cell r="FM169" t="str">
            <v>BOLD</v>
          </cell>
          <cell r="FP169"/>
          <cell r="FQ169" t="str">
            <v>BOLD</v>
          </cell>
          <cell r="FT169"/>
          <cell r="FU169" t="str">
            <v>BOLD</v>
          </cell>
          <cell r="FX169"/>
          <cell r="FY169" t="str">
            <v>BOLD</v>
          </cell>
          <cell r="GB169"/>
          <cell r="GC169" t="str">
            <v>BOLD</v>
          </cell>
          <cell r="GF169"/>
          <cell r="GG169" t="str">
            <v>BOLD</v>
          </cell>
          <cell r="GJ169"/>
          <cell r="GK169" t="str">
            <v>BOLD</v>
          </cell>
          <cell r="GN169"/>
          <cell r="GO169" t="str">
            <v>BOLD</v>
          </cell>
          <cell r="GR169"/>
          <cell r="GS169" t="str">
            <v>BOLD</v>
          </cell>
          <cell r="GV169"/>
          <cell r="GW169" t="str">
            <v>BOLD</v>
          </cell>
          <cell r="GZ169"/>
          <cell r="HA169" t="str">
            <v>BOLD</v>
          </cell>
          <cell r="HD169"/>
          <cell r="HE169" t="str">
            <v>BOLD</v>
          </cell>
          <cell r="HH169"/>
          <cell r="HI169" t="str">
            <v>BOLD</v>
          </cell>
          <cell r="HL169"/>
          <cell r="HM169" t="str">
            <v>BOLD</v>
          </cell>
          <cell r="HP169"/>
          <cell r="HQ169" t="str">
            <v>BOLD</v>
          </cell>
          <cell r="HT169"/>
          <cell r="HU169" t="str">
            <v>BOLD</v>
          </cell>
        </row>
        <row r="170">
          <cell r="A170">
            <v>169</v>
          </cell>
          <cell r="D170"/>
          <cell r="E170" t="str">
            <v>BOLD</v>
          </cell>
          <cell r="H170"/>
          <cell r="I170" t="str">
            <v>BOLD</v>
          </cell>
          <cell r="P170"/>
          <cell r="Q170" t="str">
            <v>BOLD</v>
          </cell>
          <cell r="T170"/>
          <cell r="U170" t="str">
            <v>BOLD</v>
          </cell>
          <cell r="X170"/>
          <cell r="Y170" t="str">
            <v>BOLD</v>
          </cell>
          <cell r="AB170"/>
          <cell r="AC170" t="str">
            <v>BOLD</v>
          </cell>
          <cell r="AF170"/>
          <cell r="AG170" t="str">
            <v>BOLD</v>
          </cell>
          <cell r="AJ170"/>
          <cell r="AK170" t="str">
            <v>BOLD</v>
          </cell>
          <cell r="AN170"/>
          <cell r="AO170" t="str">
            <v>BOLD</v>
          </cell>
          <cell r="AR170"/>
          <cell r="AS170" t="str">
            <v>BOLD</v>
          </cell>
          <cell r="AV170"/>
          <cell r="AW170" t="str">
            <v>BOLD</v>
          </cell>
          <cell r="AZ170"/>
          <cell r="BA170" t="str">
            <v>BOLD</v>
          </cell>
          <cell r="BD170"/>
          <cell r="BE170" t="str">
            <v>BOLD</v>
          </cell>
          <cell r="BH170"/>
          <cell r="BI170" t="str">
            <v>BOLD</v>
          </cell>
          <cell r="BL170"/>
          <cell r="BM170" t="str">
            <v>BOLD</v>
          </cell>
          <cell r="BP170"/>
          <cell r="BQ170" t="str">
            <v>BOLD</v>
          </cell>
          <cell r="BT170"/>
          <cell r="BU170" t="str">
            <v>BOLD</v>
          </cell>
          <cell r="BX170"/>
          <cell r="BY170" t="str">
            <v>BOLD</v>
          </cell>
          <cell r="CB170"/>
          <cell r="CC170" t="str">
            <v>BOLD</v>
          </cell>
          <cell r="CF170"/>
          <cell r="CG170" t="str">
            <v>BOLD</v>
          </cell>
          <cell r="CJ170"/>
          <cell r="CK170" t="str">
            <v>BOLD</v>
          </cell>
          <cell r="CN170"/>
          <cell r="CO170" t="str">
            <v>BOLD</v>
          </cell>
          <cell r="CR170"/>
          <cell r="CS170" t="str">
            <v>BOLD</v>
          </cell>
          <cell r="CV170"/>
          <cell r="CW170" t="str">
            <v>BOLD</v>
          </cell>
          <cell r="CZ170"/>
          <cell r="DA170" t="str">
            <v>BOLD</v>
          </cell>
          <cell r="DD170"/>
          <cell r="DE170" t="str">
            <v>BOLD</v>
          </cell>
          <cell r="DH170"/>
          <cell r="DI170" t="str">
            <v>BOLD</v>
          </cell>
          <cell r="DL170"/>
          <cell r="DM170" t="str">
            <v>BOLD</v>
          </cell>
          <cell r="DP170"/>
          <cell r="DQ170" t="str">
            <v>BOLD</v>
          </cell>
          <cell r="DT170"/>
          <cell r="DU170" t="str">
            <v>BOLD</v>
          </cell>
          <cell r="DX170"/>
          <cell r="DY170" t="str">
            <v>BOLD</v>
          </cell>
          <cell r="EB170"/>
          <cell r="EC170" t="str">
            <v>BOLD</v>
          </cell>
          <cell r="EF170"/>
          <cell r="EG170" t="str">
            <v>BOLD</v>
          </cell>
          <cell r="EJ170"/>
          <cell r="EK170" t="str">
            <v>BOLD</v>
          </cell>
          <cell r="EN170"/>
          <cell r="EO170" t="str">
            <v>BOLD</v>
          </cell>
          <cell r="ER170"/>
          <cell r="ES170" t="str">
            <v>BOLD</v>
          </cell>
          <cell r="EV170"/>
          <cell r="EW170" t="str">
            <v>BOLD</v>
          </cell>
          <cell r="EZ170"/>
          <cell r="FA170" t="str">
            <v>BOLD</v>
          </cell>
          <cell r="FD170"/>
          <cell r="FE170" t="str">
            <v>BOLD</v>
          </cell>
          <cell r="FH170"/>
          <cell r="FI170" t="str">
            <v>BOLD</v>
          </cell>
          <cell r="FL170"/>
          <cell r="FM170" t="str">
            <v>BOLD</v>
          </cell>
          <cell r="FP170"/>
          <cell r="FQ170" t="str">
            <v>BOLD</v>
          </cell>
          <cell r="FT170"/>
          <cell r="FU170" t="str">
            <v>BOLD</v>
          </cell>
          <cell r="FX170"/>
          <cell r="FY170" t="str">
            <v>BOLD</v>
          </cell>
          <cell r="GB170"/>
          <cell r="GC170" t="str">
            <v>BOLD</v>
          </cell>
          <cell r="GF170"/>
          <cell r="GG170" t="str">
            <v>BOLD</v>
          </cell>
          <cell r="GJ170"/>
          <cell r="GK170" t="str">
            <v>BOLD</v>
          </cell>
          <cell r="GN170"/>
          <cell r="GO170" t="str">
            <v>BOLD</v>
          </cell>
          <cell r="GR170"/>
          <cell r="GS170" t="str">
            <v>BOLD</v>
          </cell>
          <cell r="GV170"/>
          <cell r="GW170" t="str">
            <v>BOLD</v>
          </cell>
          <cell r="GZ170"/>
          <cell r="HA170" t="str">
            <v>BOLD</v>
          </cell>
          <cell r="HD170"/>
          <cell r="HE170" t="str">
            <v>BOLD</v>
          </cell>
          <cell r="HH170"/>
          <cell r="HI170" t="str">
            <v>BOLD</v>
          </cell>
          <cell r="HL170"/>
          <cell r="HM170" t="str">
            <v>BOLD</v>
          </cell>
          <cell r="HP170"/>
          <cell r="HQ170" t="str">
            <v>BOLD</v>
          </cell>
          <cell r="HT170"/>
          <cell r="HU170" t="str">
            <v>BOLD</v>
          </cell>
        </row>
        <row r="171">
          <cell r="A171">
            <v>170</v>
          </cell>
          <cell r="D171"/>
          <cell r="E171" t="str">
            <v>BOLD</v>
          </cell>
          <cell r="H171"/>
          <cell r="I171" t="str">
            <v>BOLD</v>
          </cell>
          <cell r="P171"/>
          <cell r="Q171" t="str">
            <v>BOLD</v>
          </cell>
          <cell r="T171"/>
          <cell r="U171" t="str">
            <v>BOLD</v>
          </cell>
          <cell r="X171"/>
          <cell r="Y171" t="str">
            <v>BOLD</v>
          </cell>
          <cell r="AB171"/>
          <cell r="AC171" t="str">
            <v>BOLD</v>
          </cell>
          <cell r="AF171"/>
          <cell r="AG171" t="str">
            <v>BOLD</v>
          </cell>
          <cell r="AJ171"/>
          <cell r="AK171" t="str">
            <v>BOLD</v>
          </cell>
          <cell r="AN171"/>
          <cell r="AO171" t="str">
            <v>BOLD</v>
          </cell>
          <cell r="AR171"/>
          <cell r="AS171" t="str">
            <v>BOLD</v>
          </cell>
          <cell r="AV171"/>
          <cell r="AW171" t="str">
            <v>BOLD</v>
          </cell>
          <cell r="AZ171"/>
          <cell r="BA171" t="str">
            <v>BOLD</v>
          </cell>
          <cell r="BD171"/>
          <cell r="BE171" t="str">
            <v>BOLD</v>
          </cell>
          <cell r="BH171"/>
          <cell r="BI171" t="str">
            <v>BOLD</v>
          </cell>
          <cell r="BL171"/>
          <cell r="BM171" t="str">
            <v>BOLD</v>
          </cell>
          <cell r="BP171"/>
          <cell r="BQ171" t="str">
            <v>BOLD</v>
          </cell>
          <cell r="BT171"/>
          <cell r="BU171" t="str">
            <v>BOLD</v>
          </cell>
          <cell r="BX171"/>
          <cell r="BY171" t="str">
            <v>BOLD</v>
          </cell>
          <cell r="CB171"/>
          <cell r="CC171" t="str">
            <v>BOLD</v>
          </cell>
          <cell r="CF171"/>
          <cell r="CG171" t="str">
            <v>BOLD</v>
          </cell>
          <cell r="CJ171"/>
          <cell r="CK171" t="str">
            <v>BOLD</v>
          </cell>
          <cell r="CN171"/>
          <cell r="CO171" t="str">
            <v>BOLD</v>
          </cell>
          <cell r="CR171"/>
          <cell r="CS171" t="str">
            <v>BOLD</v>
          </cell>
          <cell r="CV171"/>
          <cell r="CW171" t="str">
            <v>BOLD</v>
          </cell>
          <cell r="CZ171"/>
          <cell r="DA171" t="str">
            <v>BOLD</v>
          </cell>
          <cell r="DD171"/>
          <cell r="DE171" t="str">
            <v>BOLD</v>
          </cell>
          <cell r="DH171"/>
          <cell r="DI171" t="str">
            <v>BOLD</v>
          </cell>
          <cell r="DL171"/>
          <cell r="DM171" t="str">
            <v>BOLD</v>
          </cell>
          <cell r="DP171"/>
          <cell r="DQ171" t="str">
            <v>BOLD</v>
          </cell>
          <cell r="DT171"/>
          <cell r="DU171" t="str">
            <v>BOLD</v>
          </cell>
          <cell r="DX171"/>
          <cell r="DY171" t="str">
            <v>BOLD</v>
          </cell>
          <cell r="EB171"/>
          <cell r="EC171" t="str">
            <v>BOLD</v>
          </cell>
          <cell r="EF171"/>
          <cell r="EG171" t="str">
            <v>BOLD</v>
          </cell>
          <cell r="EJ171"/>
          <cell r="EK171" t="str">
            <v>BOLD</v>
          </cell>
          <cell r="EN171"/>
          <cell r="EO171" t="str">
            <v>BOLD</v>
          </cell>
          <cell r="ER171"/>
          <cell r="ES171" t="str">
            <v>BOLD</v>
          </cell>
          <cell r="EV171"/>
          <cell r="EW171" t="str">
            <v>BOLD</v>
          </cell>
          <cell r="EZ171"/>
          <cell r="FA171" t="str">
            <v>BOLD</v>
          </cell>
          <cell r="FD171"/>
          <cell r="FE171" t="str">
            <v>BOLD</v>
          </cell>
          <cell r="FH171"/>
          <cell r="FI171" t="str">
            <v>BOLD</v>
          </cell>
          <cell r="FL171"/>
          <cell r="FM171" t="str">
            <v>BOLD</v>
          </cell>
          <cell r="FP171"/>
          <cell r="FQ171" t="str">
            <v>BOLD</v>
          </cell>
          <cell r="FT171"/>
          <cell r="FU171" t="str">
            <v>BOLD</v>
          </cell>
          <cell r="FX171"/>
          <cell r="FY171" t="str">
            <v>BOLD</v>
          </cell>
          <cell r="GB171"/>
          <cell r="GC171" t="str">
            <v>BOLD</v>
          </cell>
          <cell r="GF171"/>
          <cell r="GG171" t="str">
            <v>BOLD</v>
          </cell>
          <cell r="GJ171"/>
          <cell r="GK171" t="str">
            <v>BOLD</v>
          </cell>
          <cell r="GN171"/>
          <cell r="GO171" t="str">
            <v>BOLD</v>
          </cell>
          <cell r="GR171"/>
          <cell r="GS171" t="str">
            <v>BOLD</v>
          </cell>
          <cell r="GV171"/>
          <cell r="GW171" t="str">
            <v>BOLD</v>
          </cell>
          <cell r="GZ171"/>
          <cell r="HA171" t="str">
            <v>BOLD</v>
          </cell>
          <cell r="HD171"/>
          <cell r="HE171" t="str">
            <v>BOLD</v>
          </cell>
          <cell r="HH171"/>
          <cell r="HI171" t="str">
            <v>BOLD</v>
          </cell>
          <cell r="HL171"/>
          <cell r="HM171" t="str">
            <v>BOLD</v>
          </cell>
          <cell r="HP171"/>
          <cell r="HQ171" t="str">
            <v>BOLD</v>
          </cell>
          <cell r="HT171"/>
          <cell r="HU171" t="str">
            <v>BOLD</v>
          </cell>
        </row>
        <row r="172">
          <cell r="A172">
            <v>171</v>
          </cell>
          <cell r="D172"/>
          <cell r="E172" t="str">
            <v>BOLD</v>
          </cell>
          <cell r="H172"/>
          <cell r="I172" t="str">
            <v>BOLD</v>
          </cell>
          <cell r="P172"/>
          <cell r="Q172" t="str">
            <v>BOLD</v>
          </cell>
          <cell r="T172"/>
          <cell r="U172" t="str">
            <v>BOLD</v>
          </cell>
          <cell r="X172"/>
          <cell r="Y172" t="str">
            <v>BOLD</v>
          </cell>
          <cell r="AB172"/>
          <cell r="AC172" t="str">
            <v>BOLD</v>
          </cell>
          <cell r="AF172"/>
          <cell r="AG172" t="str">
            <v>BOLD</v>
          </cell>
          <cell r="AJ172"/>
          <cell r="AK172" t="str">
            <v>BOLD</v>
          </cell>
          <cell r="AN172"/>
          <cell r="AO172" t="str">
            <v>BOLD</v>
          </cell>
          <cell r="AR172"/>
          <cell r="AS172" t="str">
            <v>BOLD</v>
          </cell>
          <cell r="AV172"/>
          <cell r="AW172" t="str">
            <v>BOLD</v>
          </cell>
          <cell r="AZ172"/>
          <cell r="BA172" t="str">
            <v>BOLD</v>
          </cell>
          <cell r="BD172"/>
          <cell r="BE172" t="str">
            <v>BOLD</v>
          </cell>
          <cell r="BH172"/>
          <cell r="BI172" t="str">
            <v>BOLD</v>
          </cell>
          <cell r="BL172"/>
          <cell r="BM172" t="str">
            <v>BOLD</v>
          </cell>
          <cell r="BP172"/>
          <cell r="BQ172" t="str">
            <v>BOLD</v>
          </cell>
          <cell r="BT172"/>
          <cell r="BU172" t="str">
            <v>BOLD</v>
          </cell>
          <cell r="BX172"/>
          <cell r="BY172" t="str">
            <v>BOLD</v>
          </cell>
          <cell r="CB172"/>
          <cell r="CC172" t="str">
            <v>BOLD</v>
          </cell>
          <cell r="CF172"/>
          <cell r="CG172" t="str">
            <v>BOLD</v>
          </cell>
          <cell r="CJ172"/>
          <cell r="CK172" t="str">
            <v>BOLD</v>
          </cell>
          <cell r="CN172"/>
          <cell r="CO172" t="str">
            <v>BOLD</v>
          </cell>
          <cell r="CR172"/>
          <cell r="CS172" t="str">
            <v>BOLD</v>
          </cell>
          <cell r="CV172"/>
          <cell r="CW172" t="str">
            <v>BOLD</v>
          </cell>
          <cell r="CZ172"/>
          <cell r="DA172" t="str">
            <v>BOLD</v>
          </cell>
          <cell r="DD172"/>
          <cell r="DE172" t="str">
            <v>BOLD</v>
          </cell>
          <cell r="DH172"/>
          <cell r="DI172" t="str">
            <v>BOLD</v>
          </cell>
          <cell r="DL172"/>
          <cell r="DM172" t="str">
            <v>BOLD</v>
          </cell>
          <cell r="DP172"/>
          <cell r="DQ172" t="str">
            <v>BOLD</v>
          </cell>
          <cell r="DT172"/>
          <cell r="DU172" t="str">
            <v>BOLD</v>
          </cell>
          <cell r="DX172"/>
          <cell r="DY172" t="str">
            <v>BOLD</v>
          </cell>
          <cell r="EB172"/>
          <cell r="EC172" t="str">
            <v>BOLD</v>
          </cell>
          <cell r="EF172"/>
          <cell r="EG172" t="str">
            <v>BOLD</v>
          </cell>
          <cell r="EJ172"/>
          <cell r="EK172" t="str">
            <v>BOLD</v>
          </cell>
          <cell r="EN172"/>
          <cell r="EO172" t="str">
            <v>BOLD</v>
          </cell>
          <cell r="ER172"/>
          <cell r="ES172" t="str">
            <v>BOLD</v>
          </cell>
          <cell r="EV172"/>
          <cell r="EW172" t="str">
            <v>BOLD</v>
          </cell>
          <cell r="EZ172"/>
          <cell r="FA172" t="str">
            <v>BOLD</v>
          </cell>
          <cell r="FD172"/>
          <cell r="FE172" t="str">
            <v>BOLD</v>
          </cell>
          <cell r="FH172"/>
          <cell r="FI172" t="str">
            <v>BOLD</v>
          </cell>
          <cell r="FL172"/>
          <cell r="FM172" t="str">
            <v>BOLD</v>
          </cell>
          <cell r="FP172"/>
          <cell r="FQ172" t="str">
            <v>BOLD</v>
          </cell>
          <cell r="FT172"/>
          <cell r="FU172" t="str">
            <v>BOLD</v>
          </cell>
          <cell r="FX172"/>
          <cell r="FY172" t="str">
            <v>BOLD</v>
          </cell>
          <cell r="GB172"/>
          <cell r="GC172" t="str">
            <v>BOLD</v>
          </cell>
          <cell r="GF172"/>
          <cell r="GG172" t="str">
            <v>BOLD</v>
          </cell>
          <cell r="GJ172"/>
          <cell r="GK172" t="str">
            <v>BOLD</v>
          </cell>
          <cell r="GN172"/>
          <cell r="GO172" t="str">
            <v>BOLD</v>
          </cell>
          <cell r="GR172"/>
          <cell r="GS172" t="str">
            <v>BOLD</v>
          </cell>
          <cell r="GV172"/>
          <cell r="GW172" t="str">
            <v>BOLD</v>
          </cell>
          <cell r="GZ172"/>
          <cell r="HA172" t="str">
            <v>BOLD</v>
          </cell>
          <cell r="HD172"/>
          <cell r="HE172" t="str">
            <v>BOLD</v>
          </cell>
          <cell r="HH172"/>
          <cell r="HI172" t="str">
            <v>BOLD</v>
          </cell>
          <cell r="HL172"/>
          <cell r="HM172" t="str">
            <v>BOLD</v>
          </cell>
          <cell r="HP172"/>
          <cell r="HQ172" t="str">
            <v>BOLD</v>
          </cell>
          <cell r="HT172"/>
          <cell r="HU172" t="str">
            <v>BOLD</v>
          </cell>
        </row>
        <row r="173">
          <cell r="A173">
            <v>172</v>
          </cell>
          <cell r="D173"/>
          <cell r="E173" t="str">
            <v>BOLD</v>
          </cell>
          <cell r="H173"/>
          <cell r="I173" t="str">
            <v>BOLD</v>
          </cell>
          <cell r="P173"/>
          <cell r="Q173" t="str">
            <v>BOLD</v>
          </cell>
          <cell r="T173"/>
          <cell r="U173" t="str">
            <v>BOLD</v>
          </cell>
          <cell r="X173"/>
          <cell r="Y173" t="str">
            <v>BOLD</v>
          </cell>
          <cell r="AB173"/>
          <cell r="AC173" t="str">
            <v>BOLD</v>
          </cell>
          <cell r="AF173"/>
          <cell r="AG173" t="str">
            <v>BOLD</v>
          </cell>
          <cell r="AJ173"/>
          <cell r="AK173" t="str">
            <v>BOLD</v>
          </cell>
          <cell r="AN173"/>
          <cell r="AO173" t="str">
            <v>BOLD</v>
          </cell>
          <cell r="AR173"/>
          <cell r="AS173" t="str">
            <v>BOLD</v>
          </cell>
          <cell r="AV173"/>
          <cell r="AW173" t="str">
            <v>BOLD</v>
          </cell>
          <cell r="AZ173"/>
          <cell r="BA173" t="str">
            <v>BOLD</v>
          </cell>
          <cell r="BD173"/>
          <cell r="BE173" t="str">
            <v>BOLD</v>
          </cell>
          <cell r="BH173"/>
          <cell r="BI173" t="str">
            <v>BOLD</v>
          </cell>
          <cell r="BL173"/>
          <cell r="BM173" t="str">
            <v>BOLD</v>
          </cell>
          <cell r="BP173"/>
          <cell r="BQ173" t="str">
            <v>BOLD</v>
          </cell>
          <cell r="BT173"/>
          <cell r="BU173" t="str">
            <v>BOLD</v>
          </cell>
          <cell r="BX173"/>
          <cell r="BY173" t="str">
            <v>BOLD</v>
          </cell>
          <cell r="CB173"/>
          <cell r="CC173" t="str">
            <v>BOLD</v>
          </cell>
          <cell r="CF173"/>
          <cell r="CG173" t="str">
            <v>BOLD</v>
          </cell>
          <cell r="CJ173"/>
          <cell r="CK173" t="str">
            <v>BOLD</v>
          </cell>
          <cell r="CN173"/>
          <cell r="CO173" t="str">
            <v>BOLD</v>
          </cell>
          <cell r="CR173"/>
          <cell r="CS173" t="str">
            <v>BOLD</v>
          </cell>
          <cell r="CV173"/>
          <cell r="CW173" t="str">
            <v>BOLD</v>
          </cell>
          <cell r="CZ173"/>
          <cell r="DA173" t="str">
            <v>BOLD</v>
          </cell>
          <cell r="DD173"/>
          <cell r="DE173" t="str">
            <v>BOLD</v>
          </cell>
          <cell r="DH173"/>
          <cell r="DI173" t="str">
            <v>BOLD</v>
          </cell>
          <cell r="DL173"/>
          <cell r="DM173" t="str">
            <v>BOLD</v>
          </cell>
          <cell r="DP173"/>
          <cell r="DQ173" t="str">
            <v>BOLD</v>
          </cell>
          <cell r="DT173"/>
          <cell r="DU173" t="str">
            <v>BOLD</v>
          </cell>
          <cell r="DX173"/>
          <cell r="DY173" t="str">
            <v>BOLD</v>
          </cell>
          <cell r="EB173"/>
          <cell r="EC173" t="str">
            <v>BOLD</v>
          </cell>
          <cell r="EF173"/>
          <cell r="EG173" t="str">
            <v>BOLD</v>
          </cell>
          <cell r="EJ173"/>
          <cell r="EK173" t="str">
            <v>BOLD</v>
          </cell>
          <cell r="EN173"/>
          <cell r="EO173" t="str">
            <v>BOLD</v>
          </cell>
          <cell r="ER173"/>
          <cell r="ES173" t="str">
            <v>BOLD</v>
          </cell>
          <cell r="EV173"/>
          <cell r="EW173" t="str">
            <v>BOLD</v>
          </cell>
          <cell r="EZ173"/>
          <cell r="FA173" t="str">
            <v>BOLD</v>
          </cell>
          <cell r="FD173"/>
          <cell r="FE173" t="str">
            <v>BOLD</v>
          </cell>
          <cell r="FH173"/>
          <cell r="FI173" t="str">
            <v>BOLD</v>
          </cell>
          <cell r="FL173"/>
          <cell r="FM173" t="str">
            <v>BOLD</v>
          </cell>
          <cell r="FP173"/>
          <cell r="FQ173" t="str">
            <v>BOLD</v>
          </cell>
          <cell r="FT173"/>
          <cell r="FU173" t="str">
            <v>BOLD</v>
          </cell>
          <cell r="FX173"/>
          <cell r="FY173" t="str">
            <v>BOLD</v>
          </cell>
          <cell r="GB173"/>
          <cell r="GC173" t="str">
            <v>BOLD</v>
          </cell>
          <cell r="GF173"/>
          <cell r="GG173" t="str">
            <v>BOLD</v>
          </cell>
          <cell r="GJ173"/>
          <cell r="GK173" t="str">
            <v>BOLD</v>
          </cell>
          <cell r="GN173"/>
          <cell r="GO173" t="str">
            <v>BOLD</v>
          </cell>
          <cell r="GR173"/>
          <cell r="GS173" t="str">
            <v>BOLD</v>
          </cell>
          <cell r="GV173"/>
          <cell r="GW173" t="str">
            <v>BOLD</v>
          </cell>
          <cell r="GZ173"/>
          <cell r="HA173" t="str">
            <v>BOLD</v>
          </cell>
          <cell r="HD173"/>
          <cell r="HE173" t="str">
            <v>BOLD</v>
          </cell>
          <cell r="HH173"/>
          <cell r="HI173" t="str">
            <v>BOLD</v>
          </cell>
          <cell r="HL173"/>
          <cell r="HM173" t="str">
            <v>BOLD</v>
          </cell>
          <cell r="HP173"/>
          <cell r="HQ173" t="str">
            <v>BOLD</v>
          </cell>
          <cell r="HT173"/>
          <cell r="HU173" t="str">
            <v>BOLD</v>
          </cell>
        </row>
        <row r="174">
          <cell r="A174">
            <v>173</v>
          </cell>
          <cell r="D174"/>
          <cell r="E174" t="str">
            <v>BOLD</v>
          </cell>
          <cell r="H174"/>
          <cell r="I174" t="str">
            <v>BOLD</v>
          </cell>
          <cell r="P174"/>
          <cell r="Q174" t="str">
            <v>BOLD</v>
          </cell>
          <cell r="T174"/>
          <cell r="U174" t="str">
            <v>BOLD</v>
          </cell>
          <cell r="X174"/>
          <cell r="Y174" t="str">
            <v>BOLD</v>
          </cell>
          <cell r="AB174"/>
          <cell r="AC174" t="str">
            <v>BOLD</v>
          </cell>
          <cell r="AF174"/>
          <cell r="AG174" t="str">
            <v>BOLD</v>
          </cell>
          <cell r="AJ174"/>
          <cell r="AK174" t="str">
            <v>BOLD</v>
          </cell>
          <cell r="AN174"/>
          <cell r="AO174" t="str">
            <v>BOLD</v>
          </cell>
          <cell r="AR174"/>
          <cell r="AS174" t="str">
            <v>BOLD</v>
          </cell>
          <cell r="AV174"/>
          <cell r="AW174" t="str">
            <v>BOLD</v>
          </cell>
          <cell r="AZ174"/>
          <cell r="BA174" t="str">
            <v>BOLD</v>
          </cell>
          <cell r="BD174"/>
          <cell r="BE174" t="str">
            <v>BOLD</v>
          </cell>
          <cell r="BH174"/>
          <cell r="BI174" t="str">
            <v>BOLD</v>
          </cell>
          <cell r="BL174"/>
          <cell r="BM174" t="str">
            <v>BOLD</v>
          </cell>
          <cell r="BP174"/>
          <cell r="BQ174" t="str">
            <v>BOLD</v>
          </cell>
          <cell r="BT174"/>
          <cell r="BU174" t="str">
            <v>BOLD</v>
          </cell>
          <cell r="BX174"/>
          <cell r="BY174" t="str">
            <v>BOLD</v>
          </cell>
          <cell r="CB174"/>
          <cell r="CC174" t="str">
            <v>BOLD</v>
          </cell>
          <cell r="CF174"/>
          <cell r="CG174" t="str">
            <v>BOLD</v>
          </cell>
          <cell r="CJ174"/>
          <cell r="CK174" t="str">
            <v>BOLD</v>
          </cell>
          <cell r="CN174"/>
          <cell r="CO174" t="str">
            <v>BOLD</v>
          </cell>
          <cell r="CR174"/>
          <cell r="CS174" t="str">
            <v>BOLD</v>
          </cell>
          <cell r="CV174"/>
          <cell r="CW174" t="str">
            <v>BOLD</v>
          </cell>
          <cell r="CZ174"/>
          <cell r="DA174" t="str">
            <v>BOLD</v>
          </cell>
          <cell r="DD174"/>
          <cell r="DE174" t="str">
            <v>BOLD</v>
          </cell>
          <cell r="DH174"/>
          <cell r="DI174" t="str">
            <v>BOLD</v>
          </cell>
          <cell r="DL174"/>
          <cell r="DM174" t="str">
            <v>BOLD</v>
          </cell>
          <cell r="DP174"/>
          <cell r="DQ174" t="str">
            <v>BOLD</v>
          </cell>
          <cell r="DT174"/>
          <cell r="DU174" t="str">
            <v>BOLD</v>
          </cell>
          <cell r="DX174"/>
          <cell r="DY174" t="str">
            <v>BOLD</v>
          </cell>
          <cell r="EB174"/>
          <cell r="EC174" t="str">
            <v>BOLD</v>
          </cell>
          <cell r="EF174"/>
          <cell r="EG174" t="str">
            <v>BOLD</v>
          </cell>
          <cell r="EJ174"/>
          <cell r="EK174" t="str">
            <v>BOLD</v>
          </cell>
          <cell r="EN174"/>
          <cell r="EO174" t="str">
            <v>BOLD</v>
          </cell>
          <cell r="ER174"/>
          <cell r="ES174" t="str">
            <v>BOLD</v>
          </cell>
          <cell r="EV174"/>
          <cell r="EW174" t="str">
            <v>BOLD</v>
          </cell>
          <cell r="EZ174"/>
          <cell r="FA174" t="str">
            <v>BOLD</v>
          </cell>
          <cell r="FD174"/>
          <cell r="FE174" t="str">
            <v>BOLD</v>
          </cell>
          <cell r="FH174"/>
          <cell r="FI174" t="str">
            <v>BOLD</v>
          </cell>
          <cell r="FL174"/>
          <cell r="FM174" t="str">
            <v>BOLD</v>
          </cell>
          <cell r="FP174"/>
          <cell r="FQ174" t="str">
            <v>BOLD</v>
          </cell>
          <cell r="FT174"/>
          <cell r="FU174" t="str">
            <v>BOLD</v>
          </cell>
          <cell r="FX174"/>
          <cell r="FY174" t="str">
            <v>BOLD</v>
          </cell>
          <cell r="GB174"/>
          <cell r="GC174" t="str">
            <v>BOLD</v>
          </cell>
          <cell r="GF174"/>
          <cell r="GG174" t="str">
            <v>BOLD</v>
          </cell>
          <cell r="GJ174"/>
          <cell r="GK174" t="str">
            <v>BOLD</v>
          </cell>
          <cell r="GN174"/>
          <cell r="GO174" t="str">
            <v>BOLD</v>
          </cell>
          <cell r="GR174"/>
          <cell r="GS174" t="str">
            <v>BOLD</v>
          </cell>
          <cell r="GV174"/>
          <cell r="GW174" t="str">
            <v>BOLD</v>
          </cell>
          <cell r="GZ174"/>
          <cell r="HA174" t="str">
            <v>BOLD</v>
          </cell>
          <cell r="HD174"/>
          <cell r="HE174" t="str">
            <v>BOLD</v>
          </cell>
          <cell r="HH174"/>
          <cell r="HI174" t="str">
            <v>BOLD</v>
          </cell>
          <cell r="HL174"/>
          <cell r="HM174" t="str">
            <v>BOLD</v>
          </cell>
          <cell r="HP174"/>
          <cell r="HQ174" t="str">
            <v>BOLD</v>
          </cell>
          <cell r="HT174"/>
          <cell r="HU174" t="str">
            <v>BOLD</v>
          </cell>
        </row>
        <row r="175">
          <cell r="A175">
            <v>174</v>
          </cell>
          <cell r="D175"/>
          <cell r="E175" t="str">
            <v>BOLD</v>
          </cell>
          <cell r="H175"/>
          <cell r="I175" t="str">
            <v>BOLD</v>
          </cell>
          <cell r="P175"/>
          <cell r="Q175" t="str">
            <v>BOLD</v>
          </cell>
          <cell r="T175"/>
          <cell r="U175" t="str">
            <v>BOLD</v>
          </cell>
          <cell r="X175"/>
          <cell r="Y175" t="str">
            <v>BOLD</v>
          </cell>
          <cell r="AB175"/>
          <cell r="AC175" t="str">
            <v>BOLD</v>
          </cell>
          <cell r="AF175"/>
          <cell r="AG175" t="str">
            <v>BOLD</v>
          </cell>
          <cell r="AJ175"/>
          <cell r="AK175" t="str">
            <v>BOLD</v>
          </cell>
          <cell r="AN175"/>
          <cell r="AO175" t="str">
            <v>BOLD</v>
          </cell>
          <cell r="AR175"/>
          <cell r="AS175" t="str">
            <v>BOLD</v>
          </cell>
          <cell r="AV175"/>
          <cell r="AW175" t="str">
            <v>BOLD</v>
          </cell>
          <cell r="AZ175"/>
          <cell r="BA175" t="str">
            <v>BOLD</v>
          </cell>
          <cell r="BD175"/>
          <cell r="BE175" t="str">
            <v>BOLD</v>
          </cell>
          <cell r="BH175"/>
          <cell r="BI175" t="str">
            <v>BOLD</v>
          </cell>
          <cell r="BL175"/>
          <cell r="BM175" t="str">
            <v>BOLD</v>
          </cell>
          <cell r="BP175"/>
          <cell r="BQ175" t="str">
            <v>BOLD</v>
          </cell>
          <cell r="BT175"/>
          <cell r="BU175" t="str">
            <v>BOLD</v>
          </cell>
          <cell r="BX175"/>
          <cell r="BY175" t="str">
            <v>BOLD</v>
          </cell>
          <cell r="CB175"/>
          <cell r="CC175" t="str">
            <v>BOLD</v>
          </cell>
          <cell r="CF175"/>
          <cell r="CG175" t="str">
            <v>BOLD</v>
          </cell>
          <cell r="CJ175"/>
          <cell r="CK175" t="str">
            <v>BOLD</v>
          </cell>
          <cell r="CN175"/>
          <cell r="CO175" t="str">
            <v>BOLD</v>
          </cell>
          <cell r="CR175"/>
          <cell r="CS175" t="str">
            <v>BOLD</v>
          </cell>
          <cell r="CV175"/>
          <cell r="CW175" t="str">
            <v>BOLD</v>
          </cell>
          <cell r="CZ175"/>
          <cell r="DA175" t="str">
            <v>BOLD</v>
          </cell>
          <cell r="DD175"/>
          <cell r="DE175" t="str">
            <v>BOLD</v>
          </cell>
          <cell r="DH175"/>
          <cell r="DI175" t="str">
            <v>BOLD</v>
          </cell>
          <cell r="DL175"/>
          <cell r="DM175" t="str">
            <v>BOLD</v>
          </cell>
          <cell r="DP175"/>
          <cell r="DQ175" t="str">
            <v>BOLD</v>
          </cell>
          <cell r="DT175"/>
          <cell r="DU175" t="str">
            <v>BOLD</v>
          </cell>
          <cell r="DX175"/>
          <cell r="DY175" t="str">
            <v>BOLD</v>
          </cell>
          <cell r="EB175"/>
          <cell r="EC175" t="str">
            <v>BOLD</v>
          </cell>
          <cell r="EF175"/>
          <cell r="EG175" t="str">
            <v>BOLD</v>
          </cell>
          <cell r="EJ175"/>
          <cell r="EK175" t="str">
            <v>BOLD</v>
          </cell>
          <cell r="EN175"/>
          <cell r="EO175" t="str">
            <v>BOLD</v>
          </cell>
          <cell r="ER175"/>
          <cell r="ES175" t="str">
            <v>BOLD</v>
          </cell>
          <cell r="EV175"/>
          <cell r="EW175" t="str">
            <v>BOLD</v>
          </cell>
          <cell r="EZ175"/>
          <cell r="FA175" t="str">
            <v>BOLD</v>
          </cell>
          <cell r="FD175"/>
          <cell r="FE175" t="str">
            <v>BOLD</v>
          </cell>
          <cell r="FH175"/>
          <cell r="FI175" t="str">
            <v>BOLD</v>
          </cell>
          <cell r="FL175"/>
          <cell r="FM175" t="str">
            <v>BOLD</v>
          </cell>
          <cell r="FP175"/>
          <cell r="FQ175" t="str">
            <v>BOLD</v>
          </cell>
          <cell r="FT175"/>
          <cell r="FU175" t="str">
            <v>BOLD</v>
          </cell>
          <cell r="FX175"/>
          <cell r="FY175" t="str">
            <v>BOLD</v>
          </cell>
          <cell r="GB175"/>
          <cell r="GC175" t="str">
            <v>BOLD</v>
          </cell>
          <cell r="GF175"/>
          <cell r="GG175" t="str">
            <v>BOLD</v>
          </cell>
          <cell r="GJ175"/>
          <cell r="GK175" t="str">
            <v>BOLD</v>
          </cell>
          <cell r="GN175"/>
          <cell r="GO175" t="str">
            <v>BOLD</v>
          </cell>
          <cell r="GR175"/>
          <cell r="GS175" t="str">
            <v>BOLD</v>
          </cell>
          <cell r="GV175"/>
          <cell r="GW175" t="str">
            <v>BOLD</v>
          </cell>
          <cell r="GZ175"/>
          <cell r="HA175" t="str">
            <v>BOLD</v>
          </cell>
          <cell r="HD175"/>
          <cell r="HE175" t="str">
            <v>BOLD</v>
          </cell>
          <cell r="HH175"/>
          <cell r="HI175" t="str">
            <v>BOLD</v>
          </cell>
          <cell r="HL175"/>
          <cell r="HM175" t="str">
            <v>BOLD</v>
          </cell>
          <cell r="HP175"/>
          <cell r="HQ175" t="str">
            <v>BOLD</v>
          </cell>
          <cell r="HT175"/>
          <cell r="HU175" t="str">
            <v>BOLD</v>
          </cell>
        </row>
        <row r="176">
          <cell r="A176">
            <v>175</v>
          </cell>
          <cell r="D176"/>
          <cell r="E176" t="str">
            <v>BOLD</v>
          </cell>
          <cell r="H176"/>
          <cell r="I176" t="str">
            <v>BOLD</v>
          </cell>
          <cell r="P176"/>
          <cell r="Q176" t="str">
            <v>BOLD</v>
          </cell>
          <cell r="T176"/>
          <cell r="U176" t="str">
            <v>BOLD</v>
          </cell>
          <cell r="X176"/>
          <cell r="Y176" t="str">
            <v>BOLD</v>
          </cell>
          <cell r="AB176"/>
          <cell r="AC176" t="str">
            <v>BOLD</v>
          </cell>
          <cell r="AF176"/>
          <cell r="AG176" t="str">
            <v>BOLD</v>
          </cell>
          <cell r="AJ176"/>
          <cell r="AK176" t="str">
            <v>BOLD</v>
          </cell>
          <cell r="AN176"/>
          <cell r="AO176" t="str">
            <v>BOLD</v>
          </cell>
          <cell r="AR176"/>
          <cell r="AS176" t="str">
            <v>BOLD</v>
          </cell>
          <cell r="AV176"/>
          <cell r="AW176" t="str">
            <v>BOLD</v>
          </cell>
          <cell r="AZ176"/>
          <cell r="BA176" t="str">
            <v>BOLD</v>
          </cell>
          <cell r="BD176"/>
          <cell r="BE176" t="str">
            <v>BOLD</v>
          </cell>
          <cell r="BH176"/>
          <cell r="BI176" t="str">
            <v>BOLD</v>
          </cell>
          <cell r="BL176"/>
          <cell r="BM176" t="str">
            <v>BOLD</v>
          </cell>
          <cell r="BP176"/>
          <cell r="BQ176" t="str">
            <v>BOLD</v>
          </cell>
          <cell r="BT176"/>
          <cell r="BU176" t="str">
            <v>BOLD</v>
          </cell>
          <cell r="BX176"/>
          <cell r="BY176" t="str">
            <v>BOLD</v>
          </cell>
          <cell r="CB176"/>
          <cell r="CC176" t="str">
            <v>BOLD</v>
          </cell>
          <cell r="CF176"/>
          <cell r="CG176" t="str">
            <v>BOLD</v>
          </cell>
          <cell r="CJ176"/>
          <cell r="CK176" t="str">
            <v>BOLD</v>
          </cell>
          <cell r="CN176"/>
          <cell r="CO176" t="str">
            <v>BOLD</v>
          </cell>
          <cell r="CR176"/>
          <cell r="CS176" t="str">
            <v>BOLD</v>
          </cell>
          <cell r="CV176"/>
          <cell r="CW176" t="str">
            <v>BOLD</v>
          </cell>
          <cell r="CZ176"/>
          <cell r="DA176" t="str">
            <v>BOLD</v>
          </cell>
          <cell r="DD176"/>
          <cell r="DE176" t="str">
            <v>BOLD</v>
          </cell>
          <cell r="DH176"/>
          <cell r="DI176" t="str">
            <v>BOLD</v>
          </cell>
          <cell r="DL176"/>
          <cell r="DM176" t="str">
            <v>BOLD</v>
          </cell>
          <cell r="DP176"/>
          <cell r="DQ176" t="str">
            <v>BOLD</v>
          </cell>
          <cell r="DT176"/>
          <cell r="DU176" t="str">
            <v>BOLD</v>
          </cell>
          <cell r="DX176"/>
          <cell r="DY176" t="str">
            <v>BOLD</v>
          </cell>
          <cell r="EB176"/>
          <cell r="EC176" t="str">
            <v>BOLD</v>
          </cell>
          <cell r="EF176"/>
          <cell r="EG176" t="str">
            <v>BOLD</v>
          </cell>
          <cell r="EJ176"/>
          <cell r="EK176" t="str">
            <v>BOLD</v>
          </cell>
          <cell r="EN176"/>
          <cell r="EO176" t="str">
            <v>BOLD</v>
          </cell>
          <cell r="ER176"/>
          <cell r="ES176" t="str">
            <v>BOLD</v>
          </cell>
          <cell r="EV176"/>
          <cell r="EW176" t="str">
            <v>BOLD</v>
          </cell>
          <cell r="EZ176"/>
          <cell r="FA176" t="str">
            <v>BOLD</v>
          </cell>
          <cell r="FD176"/>
          <cell r="FE176" t="str">
            <v>BOLD</v>
          </cell>
          <cell r="FH176"/>
          <cell r="FI176" t="str">
            <v>BOLD</v>
          </cell>
          <cell r="FL176"/>
          <cell r="FM176" t="str">
            <v>BOLD</v>
          </cell>
          <cell r="FP176"/>
          <cell r="FQ176" t="str">
            <v>BOLD</v>
          </cell>
          <cell r="FT176"/>
          <cell r="FU176" t="str">
            <v>BOLD</v>
          </cell>
          <cell r="FX176"/>
          <cell r="FY176" t="str">
            <v>BOLD</v>
          </cell>
          <cell r="GB176"/>
          <cell r="GC176" t="str">
            <v>BOLD</v>
          </cell>
          <cell r="GF176"/>
          <cell r="GG176" t="str">
            <v>BOLD</v>
          </cell>
          <cell r="GJ176"/>
          <cell r="GK176" t="str">
            <v>BOLD</v>
          </cell>
          <cell r="GN176"/>
          <cell r="GO176" t="str">
            <v>BOLD</v>
          </cell>
          <cell r="GR176"/>
          <cell r="GS176" t="str">
            <v>BOLD</v>
          </cell>
          <cell r="GV176"/>
          <cell r="GW176" t="str">
            <v>BOLD</v>
          </cell>
          <cell r="GZ176"/>
          <cell r="HA176" t="str">
            <v>BOLD</v>
          </cell>
          <cell r="HD176"/>
          <cell r="HE176" t="str">
            <v>BOLD</v>
          </cell>
          <cell r="HH176"/>
          <cell r="HI176" t="str">
            <v>BOLD</v>
          </cell>
          <cell r="HL176"/>
          <cell r="HM176" t="str">
            <v>BOLD</v>
          </cell>
          <cell r="HP176"/>
          <cell r="HQ176" t="str">
            <v>BOLD</v>
          </cell>
          <cell r="HT176"/>
          <cell r="HU176" t="str">
            <v>BOLD</v>
          </cell>
        </row>
        <row r="177">
          <cell r="A177">
            <v>176</v>
          </cell>
          <cell r="D177"/>
          <cell r="E177" t="str">
            <v>BOLD</v>
          </cell>
          <cell r="H177"/>
          <cell r="I177" t="str">
            <v>BOLD</v>
          </cell>
          <cell r="P177"/>
          <cell r="Q177" t="str">
            <v>BOLD</v>
          </cell>
          <cell r="T177"/>
          <cell r="U177" t="str">
            <v>BOLD</v>
          </cell>
          <cell r="X177"/>
          <cell r="Y177" t="str">
            <v>BOLD</v>
          </cell>
          <cell r="AB177"/>
          <cell r="AC177" t="str">
            <v>BOLD</v>
          </cell>
          <cell r="AF177"/>
          <cell r="AG177" t="str">
            <v>BOLD</v>
          </cell>
          <cell r="AJ177"/>
          <cell r="AK177" t="str">
            <v>BOLD</v>
          </cell>
          <cell r="AN177"/>
          <cell r="AO177" t="str">
            <v>BOLD</v>
          </cell>
          <cell r="AR177"/>
          <cell r="AS177" t="str">
            <v>BOLD</v>
          </cell>
          <cell r="AV177"/>
          <cell r="AW177" t="str">
            <v>BOLD</v>
          </cell>
          <cell r="AZ177"/>
          <cell r="BA177" t="str">
            <v>BOLD</v>
          </cell>
          <cell r="BD177"/>
          <cell r="BE177" t="str">
            <v>BOLD</v>
          </cell>
          <cell r="BH177"/>
          <cell r="BI177" t="str">
            <v>BOLD</v>
          </cell>
          <cell r="BL177"/>
          <cell r="BM177" t="str">
            <v>BOLD</v>
          </cell>
          <cell r="BP177"/>
          <cell r="BQ177" t="str">
            <v>BOLD</v>
          </cell>
          <cell r="BT177"/>
          <cell r="BU177" t="str">
            <v>BOLD</v>
          </cell>
          <cell r="BX177"/>
          <cell r="BY177" t="str">
            <v>BOLD</v>
          </cell>
          <cell r="CB177"/>
          <cell r="CC177" t="str">
            <v>BOLD</v>
          </cell>
          <cell r="CF177"/>
          <cell r="CG177" t="str">
            <v>BOLD</v>
          </cell>
          <cell r="CJ177"/>
          <cell r="CK177" t="str">
            <v>BOLD</v>
          </cell>
          <cell r="CN177"/>
          <cell r="CO177" t="str">
            <v>BOLD</v>
          </cell>
          <cell r="CR177"/>
          <cell r="CS177" t="str">
            <v>BOLD</v>
          </cell>
          <cell r="CV177"/>
          <cell r="CW177" t="str">
            <v>BOLD</v>
          </cell>
          <cell r="CZ177"/>
          <cell r="DA177" t="str">
            <v>BOLD</v>
          </cell>
          <cell r="DD177"/>
          <cell r="DE177" t="str">
            <v>BOLD</v>
          </cell>
          <cell r="DH177"/>
          <cell r="DI177" t="str">
            <v>BOLD</v>
          </cell>
          <cell r="DL177"/>
          <cell r="DM177" t="str">
            <v>BOLD</v>
          </cell>
          <cell r="DP177"/>
          <cell r="DQ177" t="str">
            <v>BOLD</v>
          </cell>
          <cell r="DT177"/>
          <cell r="DU177" t="str">
            <v>BOLD</v>
          </cell>
          <cell r="DX177"/>
          <cell r="DY177" t="str">
            <v>BOLD</v>
          </cell>
          <cell r="EB177"/>
          <cell r="EC177" t="str">
            <v>BOLD</v>
          </cell>
          <cell r="EF177"/>
          <cell r="EG177" t="str">
            <v>BOLD</v>
          </cell>
          <cell r="EJ177"/>
          <cell r="EK177" t="str">
            <v>BOLD</v>
          </cell>
          <cell r="EN177"/>
          <cell r="EO177" t="str">
            <v>BOLD</v>
          </cell>
          <cell r="ER177"/>
          <cell r="ES177" t="str">
            <v>BOLD</v>
          </cell>
          <cell r="EV177"/>
          <cell r="EW177" t="str">
            <v>BOLD</v>
          </cell>
          <cell r="EZ177"/>
          <cell r="FA177" t="str">
            <v>BOLD</v>
          </cell>
          <cell r="FD177"/>
          <cell r="FE177" t="str">
            <v>BOLD</v>
          </cell>
          <cell r="FH177"/>
          <cell r="FI177" t="str">
            <v>BOLD</v>
          </cell>
          <cell r="FL177"/>
          <cell r="FM177" t="str">
            <v>BOLD</v>
          </cell>
          <cell r="FP177"/>
          <cell r="FQ177" t="str">
            <v>BOLD</v>
          </cell>
          <cell r="FT177"/>
          <cell r="FU177" t="str">
            <v>BOLD</v>
          </cell>
          <cell r="FX177"/>
          <cell r="FY177" t="str">
            <v>BOLD</v>
          </cell>
          <cell r="GB177"/>
          <cell r="GC177" t="str">
            <v>BOLD</v>
          </cell>
          <cell r="GF177"/>
          <cell r="GG177" t="str">
            <v>BOLD</v>
          </cell>
          <cell r="GJ177"/>
          <cell r="GK177" t="str">
            <v>BOLD</v>
          </cell>
          <cell r="GN177"/>
          <cell r="GO177" t="str">
            <v>BOLD</v>
          </cell>
          <cell r="GR177"/>
          <cell r="GS177" t="str">
            <v>BOLD</v>
          </cell>
          <cell r="GV177"/>
          <cell r="GW177" t="str">
            <v>BOLD</v>
          </cell>
          <cell r="GZ177"/>
          <cell r="HA177" t="str">
            <v>BOLD</v>
          </cell>
          <cell r="HD177"/>
          <cell r="HE177" t="str">
            <v>BOLD</v>
          </cell>
          <cell r="HH177"/>
          <cell r="HI177" t="str">
            <v>BOLD</v>
          </cell>
          <cell r="HL177"/>
          <cell r="HM177" t="str">
            <v>BOLD</v>
          </cell>
          <cell r="HP177"/>
          <cell r="HQ177" t="str">
            <v>BOLD</v>
          </cell>
          <cell r="HT177"/>
          <cell r="HU177" t="str">
            <v>BOLD</v>
          </cell>
        </row>
        <row r="178">
          <cell r="A178">
            <v>177</v>
          </cell>
          <cell r="D178"/>
          <cell r="E178" t="str">
            <v>BOLD</v>
          </cell>
          <cell r="H178"/>
          <cell r="I178" t="str">
            <v>BOLD</v>
          </cell>
          <cell r="P178"/>
          <cell r="Q178" t="str">
            <v>BOLD</v>
          </cell>
          <cell r="T178"/>
          <cell r="U178" t="str">
            <v>BOLD</v>
          </cell>
          <cell r="X178"/>
          <cell r="Y178" t="str">
            <v>BOLD</v>
          </cell>
          <cell r="AB178"/>
          <cell r="AC178" t="str">
            <v>BOLD</v>
          </cell>
          <cell r="AF178"/>
          <cell r="AG178" t="str">
            <v>BOLD</v>
          </cell>
          <cell r="AJ178"/>
          <cell r="AK178" t="str">
            <v>BOLD</v>
          </cell>
          <cell r="AN178"/>
          <cell r="AO178" t="str">
            <v>BOLD</v>
          </cell>
          <cell r="AR178"/>
          <cell r="AS178" t="str">
            <v>BOLD</v>
          </cell>
          <cell r="AV178"/>
          <cell r="AW178" t="str">
            <v>BOLD</v>
          </cell>
          <cell r="AZ178"/>
          <cell r="BA178" t="str">
            <v>BOLD</v>
          </cell>
          <cell r="BD178"/>
          <cell r="BE178" t="str">
            <v>BOLD</v>
          </cell>
          <cell r="BH178"/>
          <cell r="BI178" t="str">
            <v>BOLD</v>
          </cell>
          <cell r="BL178"/>
          <cell r="BM178" t="str">
            <v>BOLD</v>
          </cell>
          <cell r="BP178"/>
          <cell r="BQ178" t="str">
            <v>BOLD</v>
          </cell>
          <cell r="BT178"/>
          <cell r="BU178" t="str">
            <v>BOLD</v>
          </cell>
          <cell r="BX178"/>
          <cell r="BY178" t="str">
            <v>BOLD</v>
          </cell>
          <cell r="CB178"/>
          <cell r="CC178" t="str">
            <v>BOLD</v>
          </cell>
          <cell r="CF178"/>
          <cell r="CG178" t="str">
            <v>BOLD</v>
          </cell>
          <cell r="CJ178"/>
          <cell r="CK178" t="str">
            <v>BOLD</v>
          </cell>
          <cell r="CN178"/>
          <cell r="CO178" t="str">
            <v>BOLD</v>
          </cell>
          <cell r="CR178"/>
          <cell r="CS178" t="str">
            <v>BOLD</v>
          </cell>
          <cell r="CV178"/>
          <cell r="CW178" t="str">
            <v>BOLD</v>
          </cell>
          <cell r="CZ178"/>
          <cell r="DA178" t="str">
            <v>BOLD</v>
          </cell>
          <cell r="DD178"/>
          <cell r="DE178" t="str">
            <v>BOLD</v>
          </cell>
          <cell r="DH178"/>
          <cell r="DI178" t="str">
            <v>BOLD</v>
          </cell>
          <cell r="DL178"/>
          <cell r="DM178" t="str">
            <v>BOLD</v>
          </cell>
          <cell r="DP178"/>
          <cell r="DQ178" t="str">
            <v>BOLD</v>
          </cell>
          <cell r="DT178"/>
          <cell r="DU178" t="str">
            <v>BOLD</v>
          </cell>
          <cell r="DX178"/>
          <cell r="DY178" t="str">
            <v>BOLD</v>
          </cell>
          <cell r="EB178"/>
          <cell r="EC178" t="str">
            <v>BOLD</v>
          </cell>
          <cell r="EF178"/>
          <cell r="EG178" t="str">
            <v>BOLD</v>
          </cell>
          <cell r="EJ178"/>
          <cell r="EK178" t="str">
            <v>BOLD</v>
          </cell>
          <cell r="EN178"/>
          <cell r="EO178" t="str">
            <v>BOLD</v>
          </cell>
          <cell r="ER178"/>
          <cell r="ES178" t="str">
            <v>BOLD</v>
          </cell>
          <cell r="EV178"/>
          <cell r="EW178" t="str">
            <v>BOLD</v>
          </cell>
          <cell r="EZ178"/>
          <cell r="FA178" t="str">
            <v>BOLD</v>
          </cell>
          <cell r="FD178"/>
          <cell r="FE178" t="str">
            <v>BOLD</v>
          </cell>
          <cell r="FH178"/>
          <cell r="FI178" t="str">
            <v>BOLD</v>
          </cell>
          <cell r="FL178"/>
          <cell r="FM178" t="str">
            <v>BOLD</v>
          </cell>
          <cell r="FP178"/>
          <cell r="FQ178" t="str">
            <v>BOLD</v>
          </cell>
          <cell r="FT178"/>
          <cell r="FU178" t="str">
            <v>BOLD</v>
          </cell>
          <cell r="FX178"/>
          <cell r="FY178" t="str">
            <v>BOLD</v>
          </cell>
          <cell r="GB178"/>
          <cell r="GC178" t="str">
            <v>BOLD</v>
          </cell>
          <cell r="GF178"/>
          <cell r="GG178" t="str">
            <v>BOLD</v>
          </cell>
          <cell r="GJ178"/>
          <cell r="GK178" t="str">
            <v>BOLD</v>
          </cell>
          <cell r="GN178"/>
          <cell r="GO178" t="str">
            <v>BOLD</v>
          </cell>
          <cell r="GR178"/>
          <cell r="GS178" t="str">
            <v>BOLD</v>
          </cell>
          <cell r="GV178"/>
          <cell r="GW178" t="str">
            <v>BOLD</v>
          </cell>
          <cell r="GZ178"/>
          <cell r="HA178" t="str">
            <v>BOLD</v>
          </cell>
          <cell r="HD178"/>
          <cell r="HE178" t="str">
            <v>BOLD</v>
          </cell>
          <cell r="HH178"/>
          <cell r="HI178" t="str">
            <v>BOLD</v>
          </cell>
          <cell r="HL178"/>
          <cell r="HM178" t="str">
            <v>BOLD</v>
          </cell>
          <cell r="HP178"/>
          <cell r="HQ178" t="str">
            <v>BOLD</v>
          </cell>
          <cell r="HT178"/>
          <cell r="HU178" t="str">
            <v>BOLD</v>
          </cell>
        </row>
        <row r="179">
          <cell r="A179">
            <v>178</v>
          </cell>
          <cell r="D179"/>
          <cell r="E179" t="str">
            <v>BOLD</v>
          </cell>
          <cell r="H179"/>
          <cell r="I179" t="str">
            <v>BOLD</v>
          </cell>
          <cell r="P179"/>
          <cell r="Q179" t="str">
            <v>BOLD</v>
          </cell>
          <cell r="T179"/>
          <cell r="U179" t="str">
            <v>BOLD</v>
          </cell>
          <cell r="X179"/>
          <cell r="Y179" t="str">
            <v>BOLD</v>
          </cell>
          <cell r="AB179"/>
          <cell r="AC179" t="str">
            <v>BOLD</v>
          </cell>
          <cell r="AF179"/>
          <cell r="AG179" t="str">
            <v>BOLD</v>
          </cell>
          <cell r="AJ179"/>
          <cell r="AK179" t="str">
            <v>BOLD</v>
          </cell>
          <cell r="AN179"/>
          <cell r="AO179" t="str">
            <v>BOLD</v>
          </cell>
          <cell r="AR179"/>
          <cell r="AS179" t="str">
            <v>BOLD</v>
          </cell>
          <cell r="AV179"/>
          <cell r="AW179" t="str">
            <v>BOLD</v>
          </cell>
          <cell r="AZ179"/>
          <cell r="BA179" t="str">
            <v>BOLD</v>
          </cell>
          <cell r="BD179"/>
          <cell r="BE179" t="str">
            <v>BOLD</v>
          </cell>
          <cell r="BH179"/>
          <cell r="BI179" t="str">
            <v>BOLD</v>
          </cell>
          <cell r="BL179"/>
          <cell r="BM179" t="str">
            <v>BOLD</v>
          </cell>
          <cell r="BP179"/>
          <cell r="BQ179" t="str">
            <v>BOLD</v>
          </cell>
          <cell r="BT179"/>
          <cell r="BU179" t="str">
            <v>BOLD</v>
          </cell>
          <cell r="BX179"/>
          <cell r="BY179" t="str">
            <v>BOLD</v>
          </cell>
          <cell r="CB179"/>
          <cell r="CC179" t="str">
            <v>BOLD</v>
          </cell>
          <cell r="CF179"/>
          <cell r="CG179" t="str">
            <v>BOLD</v>
          </cell>
          <cell r="CJ179"/>
          <cell r="CK179" t="str">
            <v>BOLD</v>
          </cell>
          <cell r="CN179"/>
          <cell r="CO179" t="str">
            <v>BOLD</v>
          </cell>
          <cell r="CR179"/>
          <cell r="CS179" t="str">
            <v>BOLD</v>
          </cell>
          <cell r="CV179"/>
          <cell r="CW179" t="str">
            <v>BOLD</v>
          </cell>
          <cell r="CZ179"/>
          <cell r="DA179" t="str">
            <v>BOLD</v>
          </cell>
          <cell r="DD179"/>
          <cell r="DE179" t="str">
            <v>BOLD</v>
          </cell>
          <cell r="DH179"/>
          <cell r="DI179" t="str">
            <v>BOLD</v>
          </cell>
          <cell r="DL179"/>
          <cell r="DM179" t="str">
            <v>BOLD</v>
          </cell>
          <cell r="DP179"/>
          <cell r="DQ179" t="str">
            <v>BOLD</v>
          </cell>
          <cell r="DT179"/>
          <cell r="DU179" t="str">
            <v>BOLD</v>
          </cell>
          <cell r="DX179"/>
          <cell r="DY179" t="str">
            <v>BOLD</v>
          </cell>
          <cell r="EB179"/>
          <cell r="EC179" t="str">
            <v>BOLD</v>
          </cell>
          <cell r="EF179"/>
          <cell r="EG179" t="str">
            <v>BOLD</v>
          </cell>
          <cell r="EJ179"/>
          <cell r="EK179" t="str">
            <v>BOLD</v>
          </cell>
          <cell r="EN179"/>
          <cell r="EO179" t="str">
            <v>BOLD</v>
          </cell>
          <cell r="ER179"/>
          <cell r="ES179" t="str">
            <v>BOLD</v>
          </cell>
          <cell r="EV179"/>
          <cell r="EW179" t="str">
            <v>BOLD</v>
          </cell>
          <cell r="EZ179"/>
          <cell r="FA179" t="str">
            <v>BOLD</v>
          </cell>
          <cell r="FD179"/>
          <cell r="FE179" t="str">
            <v>BOLD</v>
          </cell>
          <cell r="FH179"/>
          <cell r="FI179" t="str">
            <v>BOLD</v>
          </cell>
          <cell r="FL179"/>
          <cell r="FM179" t="str">
            <v>BOLD</v>
          </cell>
          <cell r="FP179"/>
          <cell r="FQ179" t="str">
            <v>BOLD</v>
          </cell>
          <cell r="FT179"/>
          <cell r="FU179" t="str">
            <v>BOLD</v>
          </cell>
          <cell r="FX179"/>
          <cell r="FY179" t="str">
            <v>BOLD</v>
          </cell>
          <cell r="GB179"/>
          <cell r="GC179" t="str">
            <v>BOLD</v>
          </cell>
          <cell r="GF179"/>
          <cell r="GG179" t="str">
            <v>BOLD</v>
          </cell>
          <cell r="GJ179"/>
          <cell r="GK179" t="str">
            <v>BOLD</v>
          </cell>
          <cell r="GN179"/>
          <cell r="GO179" t="str">
            <v>BOLD</v>
          </cell>
          <cell r="GR179"/>
          <cell r="GS179" t="str">
            <v>BOLD</v>
          </cell>
          <cell r="GV179"/>
          <cell r="GW179" t="str">
            <v>BOLD</v>
          </cell>
          <cell r="GZ179"/>
          <cell r="HA179" t="str">
            <v>BOLD</v>
          </cell>
          <cell r="HD179"/>
          <cell r="HE179" t="str">
            <v>BOLD</v>
          </cell>
          <cell r="HH179"/>
          <cell r="HI179" t="str">
            <v>BOLD</v>
          </cell>
          <cell r="HL179"/>
          <cell r="HM179" t="str">
            <v>BOLD</v>
          </cell>
          <cell r="HP179"/>
          <cell r="HQ179" t="str">
            <v>BOLD</v>
          </cell>
          <cell r="HT179"/>
          <cell r="HU179" t="str">
            <v>BOLD</v>
          </cell>
        </row>
        <row r="180">
          <cell r="A180">
            <v>179</v>
          </cell>
          <cell r="D180"/>
          <cell r="E180" t="str">
            <v>BOLD</v>
          </cell>
          <cell r="H180"/>
          <cell r="I180" t="str">
            <v>BOLD</v>
          </cell>
          <cell r="P180"/>
          <cell r="Q180" t="str">
            <v>BOLD</v>
          </cell>
          <cell r="T180"/>
          <cell r="U180" t="str">
            <v>BOLD</v>
          </cell>
          <cell r="X180"/>
          <cell r="Y180" t="str">
            <v>BOLD</v>
          </cell>
          <cell r="AB180"/>
          <cell r="AC180" t="str">
            <v>BOLD</v>
          </cell>
          <cell r="AF180"/>
          <cell r="AG180" t="str">
            <v>BOLD</v>
          </cell>
          <cell r="AJ180"/>
          <cell r="AK180" t="str">
            <v>BOLD</v>
          </cell>
          <cell r="AN180"/>
          <cell r="AO180" t="str">
            <v>BOLD</v>
          </cell>
          <cell r="AR180"/>
          <cell r="AS180" t="str">
            <v>BOLD</v>
          </cell>
          <cell r="AV180"/>
          <cell r="AW180" t="str">
            <v>BOLD</v>
          </cell>
          <cell r="AZ180"/>
          <cell r="BA180" t="str">
            <v>BOLD</v>
          </cell>
          <cell r="BD180"/>
          <cell r="BE180" t="str">
            <v>BOLD</v>
          </cell>
          <cell r="BH180"/>
          <cell r="BI180" t="str">
            <v>BOLD</v>
          </cell>
          <cell r="BL180"/>
          <cell r="BM180" t="str">
            <v>BOLD</v>
          </cell>
          <cell r="BP180"/>
          <cell r="BQ180" t="str">
            <v>BOLD</v>
          </cell>
          <cell r="BT180"/>
          <cell r="BU180" t="str">
            <v>BOLD</v>
          </cell>
          <cell r="BX180"/>
          <cell r="BY180" t="str">
            <v>BOLD</v>
          </cell>
          <cell r="CB180"/>
          <cell r="CC180" t="str">
            <v>BOLD</v>
          </cell>
          <cell r="CF180"/>
          <cell r="CG180" t="str">
            <v>BOLD</v>
          </cell>
          <cell r="CJ180"/>
          <cell r="CK180" t="str">
            <v>BOLD</v>
          </cell>
          <cell r="CN180"/>
          <cell r="CO180" t="str">
            <v>BOLD</v>
          </cell>
          <cell r="CR180"/>
          <cell r="CS180" t="str">
            <v>BOLD</v>
          </cell>
          <cell r="CV180"/>
          <cell r="CW180" t="str">
            <v>BOLD</v>
          </cell>
          <cell r="CZ180"/>
          <cell r="DA180" t="str">
            <v>BOLD</v>
          </cell>
          <cell r="DD180"/>
          <cell r="DE180" t="str">
            <v>BOLD</v>
          </cell>
          <cell r="DH180"/>
          <cell r="DI180" t="str">
            <v>BOLD</v>
          </cell>
          <cell r="DL180"/>
          <cell r="DM180" t="str">
            <v>BOLD</v>
          </cell>
          <cell r="DP180"/>
          <cell r="DQ180" t="str">
            <v>BOLD</v>
          </cell>
          <cell r="DT180"/>
          <cell r="DU180" t="str">
            <v>BOLD</v>
          </cell>
          <cell r="DX180"/>
          <cell r="DY180" t="str">
            <v>BOLD</v>
          </cell>
          <cell r="EB180"/>
          <cell r="EC180" t="str">
            <v>BOLD</v>
          </cell>
          <cell r="EF180"/>
          <cell r="EG180" t="str">
            <v>BOLD</v>
          </cell>
          <cell r="EJ180"/>
          <cell r="EK180" t="str">
            <v>BOLD</v>
          </cell>
          <cell r="EN180"/>
          <cell r="EO180" t="str">
            <v>BOLD</v>
          </cell>
          <cell r="ER180"/>
          <cell r="ES180" t="str">
            <v>BOLD</v>
          </cell>
          <cell r="EV180"/>
          <cell r="EW180" t="str">
            <v>BOLD</v>
          </cell>
          <cell r="EZ180"/>
          <cell r="FA180" t="str">
            <v>BOLD</v>
          </cell>
          <cell r="FD180"/>
          <cell r="FE180" t="str">
            <v>BOLD</v>
          </cell>
          <cell r="FH180"/>
          <cell r="FI180" t="str">
            <v>BOLD</v>
          </cell>
          <cell r="FL180"/>
          <cell r="FM180" t="str">
            <v>BOLD</v>
          </cell>
          <cell r="FP180"/>
          <cell r="FQ180" t="str">
            <v>BOLD</v>
          </cell>
          <cell r="FT180"/>
          <cell r="FU180" t="str">
            <v>BOLD</v>
          </cell>
          <cell r="FX180"/>
          <cell r="FY180" t="str">
            <v>BOLD</v>
          </cell>
          <cell r="GB180"/>
          <cell r="GC180" t="str">
            <v>BOLD</v>
          </cell>
          <cell r="GF180"/>
          <cell r="GG180" t="str">
            <v>BOLD</v>
          </cell>
          <cell r="GJ180"/>
          <cell r="GK180" t="str">
            <v>BOLD</v>
          </cell>
          <cell r="GN180"/>
          <cell r="GO180" t="str">
            <v>BOLD</v>
          </cell>
          <cell r="GR180"/>
          <cell r="GS180" t="str">
            <v>BOLD</v>
          </cell>
          <cell r="GV180"/>
          <cell r="GW180" t="str">
            <v>BOLD</v>
          </cell>
          <cell r="GZ180"/>
          <cell r="HA180" t="str">
            <v>BOLD</v>
          </cell>
          <cell r="HD180"/>
          <cell r="HE180" t="str">
            <v>BOLD</v>
          </cell>
          <cell r="HH180"/>
          <cell r="HI180" t="str">
            <v>BOLD</v>
          </cell>
          <cell r="HL180"/>
          <cell r="HM180" t="str">
            <v>BOLD</v>
          </cell>
          <cell r="HP180"/>
          <cell r="HQ180" t="str">
            <v>BOLD</v>
          </cell>
          <cell r="HT180"/>
          <cell r="HU180" t="str">
            <v>BOLD</v>
          </cell>
        </row>
        <row r="181">
          <cell r="A181">
            <v>180</v>
          </cell>
          <cell r="D181"/>
          <cell r="E181" t="str">
            <v>BOLD</v>
          </cell>
          <cell r="H181"/>
          <cell r="I181" t="str">
            <v>BOLD</v>
          </cell>
          <cell r="P181"/>
          <cell r="Q181" t="str">
            <v>BOLD</v>
          </cell>
          <cell r="T181"/>
          <cell r="U181" t="str">
            <v>BOLD</v>
          </cell>
          <cell r="X181"/>
          <cell r="Y181" t="str">
            <v>BOLD</v>
          </cell>
          <cell r="AB181"/>
          <cell r="AC181" t="str">
            <v>BOLD</v>
          </cell>
          <cell r="AF181"/>
          <cell r="AG181" t="str">
            <v>BOLD</v>
          </cell>
          <cell r="AJ181"/>
          <cell r="AK181" t="str">
            <v>BOLD</v>
          </cell>
          <cell r="AN181"/>
          <cell r="AO181" t="str">
            <v>BOLD</v>
          </cell>
          <cell r="AR181"/>
          <cell r="AS181" t="str">
            <v>BOLD</v>
          </cell>
          <cell r="AV181"/>
          <cell r="AW181" t="str">
            <v>BOLD</v>
          </cell>
          <cell r="AZ181"/>
          <cell r="BA181" t="str">
            <v>BOLD</v>
          </cell>
          <cell r="BD181"/>
          <cell r="BE181" t="str">
            <v>BOLD</v>
          </cell>
          <cell r="BH181"/>
          <cell r="BI181" t="str">
            <v>BOLD</v>
          </cell>
          <cell r="BL181"/>
          <cell r="BM181" t="str">
            <v>BOLD</v>
          </cell>
          <cell r="BP181"/>
          <cell r="BQ181" t="str">
            <v>BOLD</v>
          </cell>
          <cell r="BT181"/>
          <cell r="BU181" t="str">
            <v>BOLD</v>
          </cell>
          <cell r="BX181"/>
          <cell r="BY181" t="str">
            <v>BOLD</v>
          </cell>
          <cell r="CB181"/>
          <cell r="CC181" t="str">
            <v>BOLD</v>
          </cell>
          <cell r="CF181"/>
          <cell r="CG181" t="str">
            <v>BOLD</v>
          </cell>
          <cell r="CJ181"/>
          <cell r="CK181" t="str">
            <v>BOLD</v>
          </cell>
          <cell r="CN181"/>
          <cell r="CO181" t="str">
            <v>BOLD</v>
          </cell>
          <cell r="CR181"/>
          <cell r="CS181" t="str">
            <v>BOLD</v>
          </cell>
          <cell r="CV181"/>
          <cell r="CW181" t="str">
            <v>BOLD</v>
          </cell>
          <cell r="CZ181"/>
          <cell r="DA181" t="str">
            <v>BOLD</v>
          </cell>
          <cell r="DD181"/>
          <cell r="DE181" t="str">
            <v>BOLD</v>
          </cell>
          <cell r="DH181"/>
          <cell r="DI181" t="str">
            <v>BOLD</v>
          </cell>
          <cell r="DL181"/>
          <cell r="DM181" t="str">
            <v>BOLD</v>
          </cell>
          <cell r="DP181"/>
          <cell r="DQ181" t="str">
            <v>BOLD</v>
          </cell>
          <cell r="DT181"/>
          <cell r="DU181" t="str">
            <v>BOLD</v>
          </cell>
          <cell r="DX181"/>
          <cell r="DY181" t="str">
            <v>BOLD</v>
          </cell>
          <cell r="EB181"/>
          <cell r="EC181" t="str">
            <v>BOLD</v>
          </cell>
          <cell r="EF181"/>
          <cell r="EG181" t="str">
            <v>BOLD</v>
          </cell>
          <cell r="EJ181"/>
          <cell r="EK181" t="str">
            <v>BOLD</v>
          </cell>
          <cell r="EN181"/>
          <cell r="EO181" t="str">
            <v>BOLD</v>
          </cell>
          <cell r="ER181"/>
          <cell r="ES181" t="str">
            <v>BOLD</v>
          </cell>
          <cell r="EV181"/>
          <cell r="EW181" t="str">
            <v>BOLD</v>
          </cell>
          <cell r="EZ181"/>
          <cell r="FA181" t="str">
            <v>BOLD</v>
          </cell>
          <cell r="FD181"/>
          <cell r="FE181" t="str">
            <v>BOLD</v>
          </cell>
          <cell r="FH181"/>
          <cell r="FI181" t="str">
            <v>BOLD</v>
          </cell>
          <cell r="FL181"/>
          <cell r="FM181" t="str">
            <v>BOLD</v>
          </cell>
          <cell r="FP181"/>
          <cell r="FQ181" t="str">
            <v>BOLD</v>
          </cell>
          <cell r="FT181"/>
          <cell r="FU181" t="str">
            <v>BOLD</v>
          </cell>
          <cell r="FX181"/>
          <cell r="FY181" t="str">
            <v>BOLD</v>
          </cell>
          <cell r="GB181"/>
          <cell r="GC181" t="str">
            <v>BOLD</v>
          </cell>
          <cell r="GF181"/>
          <cell r="GG181" t="str">
            <v>BOLD</v>
          </cell>
          <cell r="GJ181"/>
          <cell r="GK181" t="str">
            <v>BOLD</v>
          </cell>
          <cell r="GN181"/>
          <cell r="GO181" t="str">
            <v>BOLD</v>
          </cell>
          <cell r="GR181"/>
          <cell r="GS181" t="str">
            <v>BOLD</v>
          </cell>
          <cell r="GV181"/>
          <cell r="GW181" t="str">
            <v>BOLD</v>
          </cell>
          <cell r="GZ181"/>
          <cell r="HA181" t="str">
            <v>BOLD</v>
          </cell>
          <cell r="HD181"/>
          <cell r="HE181" t="str">
            <v>BOLD</v>
          </cell>
          <cell r="HH181"/>
          <cell r="HI181" t="str">
            <v>BOLD</v>
          </cell>
          <cell r="HL181"/>
          <cell r="HM181" t="str">
            <v>BOLD</v>
          </cell>
          <cell r="HP181"/>
          <cell r="HQ181" t="str">
            <v>BOLD</v>
          </cell>
          <cell r="HT181"/>
          <cell r="HU181" t="str">
            <v>BOLD</v>
          </cell>
        </row>
        <row r="182">
          <cell r="A182">
            <v>181</v>
          </cell>
          <cell r="D182"/>
          <cell r="E182" t="str">
            <v>BOLD</v>
          </cell>
          <cell r="H182"/>
          <cell r="I182" t="str">
            <v>BOLD</v>
          </cell>
          <cell r="P182"/>
          <cell r="Q182" t="str">
            <v>BOLD</v>
          </cell>
          <cell r="T182"/>
          <cell r="U182" t="str">
            <v>BOLD</v>
          </cell>
          <cell r="X182"/>
          <cell r="Y182" t="str">
            <v>BOLD</v>
          </cell>
          <cell r="AB182"/>
          <cell r="AC182" t="str">
            <v>BOLD</v>
          </cell>
          <cell r="AF182"/>
          <cell r="AG182" t="str">
            <v>BOLD</v>
          </cell>
          <cell r="AJ182"/>
          <cell r="AK182" t="str">
            <v>BOLD</v>
          </cell>
          <cell r="AN182"/>
          <cell r="AO182" t="str">
            <v>BOLD</v>
          </cell>
          <cell r="AR182"/>
          <cell r="AS182" t="str">
            <v>BOLD</v>
          </cell>
          <cell r="AV182"/>
          <cell r="AW182" t="str">
            <v>BOLD</v>
          </cell>
          <cell r="AZ182"/>
          <cell r="BA182" t="str">
            <v>BOLD</v>
          </cell>
          <cell r="BD182"/>
          <cell r="BE182" t="str">
            <v>BOLD</v>
          </cell>
          <cell r="BH182"/>
          <cell r="BI182" t="str">
            <v>BOLD</v>
          </cell>
          <cell r="BL182"/>
          <cell r="BM182" t="str">
            <v>BOLD</v>
          </cell>
          <cell r="BP182"/>
          <cell r="BQ182" t="str">
            <v>BOLD</v>
          </cell>
          <cell r="BT182"/>
          <cell r="BU182" t="str">
            <v>BOLD</v>
          </cell>
          <cell r="BX182"/>
          <cell r="BY182" t="str">
            <v>BOLD</v>
          </cell>
          <cell r="CB182"/>
          <cell r="CC182" t="str">
            <v>BOLD</v>
          </cell>
          <cell r="CF182"/>
          <cell r="CG182" t="str">
            <v>BOLD</v>
          </cell>
          <cell r="CJ182"/>
          <cell r="CK182" t="str">
            <v>BOLD</v>
          </cell>
          <cell r="CN182"/>
          <cell r="CO182" t="str">
            <v>BOLD</v>
          </cell>
          <cell r="CR182"/>
          <cell r="CS182" t="str">
            <v>BOLD</v>
          </cell>
          <cell r="CV182"/>
          <cell r="CW182" t="str">
            <v>BOLD</v>
          </cell>
          <cell r="CZ182"/>
          <cell r="DA182" t="str">
            <v>BOLD</v>
          </cell>
          <cell r="DD182"/>
          <cell r="DE182" t="str">
            <v>BOLD</v>
          </cell>
          <cell r="DH182"/>
          <cell r="DI182" t="str">
            <v>BOLD</v>
          </cell>
          <cell r="DL182"/>
          <cell r="DM182" t="str">
            <v>BOLD</v>
          </cell>
          <cell r="DP182"/>
          <cell r="DQ182" t="str">
            <v>BOLD</v>
          </cell>
          <cell r="DT182"/>
          <cell r="DU182" t="str">
            <v>BOLD</v>
          </cell>
          <cell r="DX182"/>
          <cell r="DY182" t="str">
            <v>BOLD</v>
          </cell>
          <cell r="EB182"/>
          <cell r="EC182" t="str">
            <v>BOLD</v>
          </cell>
          <cell r="EF182"/>
          <cell r="EG182" t="str">
            <v>BOLD</v>
          </cell>
          <cell r="EJ182"/>
          <cell r="EK182" t="str">
            <v>BOLD</v>
          </cell>
          <cell r="EN182"/>
          <cell r="EO182" t="str">
            <v>BOLD</v>
          </cell>
          <cell r="ER182"/>
          <cell r="ES182" t="str">
            <v>BOLD</v>
          </cell>
          <cell r="EV182"/>
          <cell r="EW182" t="str">
            <v>BOLD</v>
          </cell>
          <cell r="EZ182"/>
          <cell r="FA182" t="str">
            <v>BOLD</v>
          </cell>
          <cell r="FD182"/>
          <cell r="FE182" t="str">
            <v>BOLD</v>
          </cell>
          <cell r="FH182"/>
          <cell r="FI182" t="str">
            <v>BOLD</v>
          </cell>
          <cell r="FL182"/>
          <cell r="FM182" t="str">
            <v>BOLD</v>
          </cell>
          <cell r="FP182"/>
          <cell r="FQ182" t="str">
            <v>BOLD</v>
          </cell>
          <cell r="FT182"/>
          <cell r="FU182" t="str">
            <v>BOLD</v>
          </cell>
          <cell r="FX182"/>
          <cell r="FY182" t="str">
            <v>BOLD</v>
          </cell>
          <cell r="GB182"/>
          <cell r="GC182" t="str">
            <v>BOLD</v>
          </cell>
          <cell r="GF182"/>
          <cell r="GG182" t="str">
            <v>BOLD</v>
          </cell>
          <cell r="GJ182"/>
          <cell r="GK182" t="str">
            <v>BOLD</v>
          </cell>
          <cell r="GN182"/>
          <cell r="GO182" t="str">
            <v>BOLD</v>
          </cell>
          <cell r="GR182"/>
          <cell r="GS182" t="str">
            <v>BOLD</v>
          </cell>
          <cell r="GV182"/>
          <cell r="GW182" t="str">
            <v>BOLD</v>
          </cell>
          <cell r="GZ182"/>
          <cell r="HA182" t="str">
            <v>BOLD</v>
          </cell>
          <cell r="HD182"/>
          <cell r="HE182" t="str">
            <v>BOLD</v>
          </cell>
          <cell r="HH182"/>
          <cell r="HI182" t="str">
            <v>BOLD</v>
          </cell>
          <cell r="HL182"/>
          <cell r="HM182" t="str">
            <v>BOLD</v>
          </cell>
          <cell r="HP182"/>
          <cell r="HQ182" t="str">
            <v>BOLD</v>
          </cell>
          <cell r="HT182"/>
          <cell r="HU182" t="str">
            <v>BOLD</v>
          </cell>
        </row>
        <row r="183">
          <cell r="A183">
            <v>182</v>
          </cell>
          <cell r="D183"/>
          <cell r="E183" t="str">
            <v>BOLD</v>
          </cell>
          <cell r="H183"/>
          <cell r="I183" t="str">
            <v>BOLD</v>
          </cell>
          <cell r="P183"/>
          <cell r="Q183" t="str">
            <v>BOLD</v>
          </cell>
          <cell r="T183"/>
          <cell r="U183" t="str">
            <v>BOLD</v>
          </cell>
          <cell r="X183"/>
          <cell r="Y183" t="str">
            <v>BOLD</v>
          </cell>
          <cell r="AB183"/>
          <cell r="AC183" t="str">
            <v>BOLD</v>
          </cell>
          <cell r="AF183"/>
          <cell r="AG183" t="str">
            <v>BOLD</v>
          </cell>
          <cell r="AJ183"/>
          <cell r="AK183" t="str">
            <v>BOLD</v>
          </cell>
          <cell r="AN183"/>
          <cell r="AO183" t="str">
            <v>BOLD</v>
          </cell>
          <cell r="AR183"/>
          <cell r="AS183" t="str">
            <v>BOLD</v>
          </cell>
          <cell r="AV183"/>
          <cell r="AW183" t="str">
            <v>BOLD</v>
          </cell>
          <cell r="AZ183"/>
          <cell r="BA183" t="str">
            <v>BOLD</v>
          </cell>
          <cell r="BD183"/>
          <cell r="BE183" t="str">
            <v>BOLD</v>
          </cell>
          <cell r="BH183"/>
          <cell r="BI183" t="str">
            <v>BOLD</v>
          </cell>
          <cell r="BL183"/>
          <cell r="BM183" t="str">
            <v>BOLD</v>
          </cell>
          <cell r="BP183"/>
          <cell r="BQ183" t="str">
            <v>BOLD</v>
          </cell>
          <cell r="BT183"/>
          <cell r="BU183" t="str">
            <v>BOLD</v>
          </cell>
          <cell r="BX183"/>
          <cell r="BY183" t="str">
            <v>BOLD</v>
          </cell>
          <cell r="CB183"/>
          <cell r="CC183" t="str">
            <v>BOLD</v>
          </cell>
          <cell r="CF183"/>
          <cell r="CG183" t="str">
            <v>BOLD</v>
          </cell>
          <cell r="CJ183"/>
          <cell r="CK183" t="str">
            <v>BOLD</v>
          </cell>
          <cell r="CN183"/>
          <cell r="CO183" t="str">
            <v>BOLD</v>
          </cell>
          <cell r="CR183"/>
          <cell r="CS183" t="str">
            <v>BOLD</v>
          </cell>
          <cell r="CV183"/>
          <cell r="CW183" t="str">
            <v>BOLD</v>
          </cell>
          <cell r="CZ183"/>
          <cell r="DA183" t="str">
            <v>BOLD</v>
          </cell>
          <cell r="DD183"/>
          <cell r="DE183" t="str">
            <v>BOLD</v>
          </cell>
          <cell r="DH183"/>
          <cell r="DI183" t="str">
            <v>BOLD</v>
          </cell>
          <cell r="DL183"/>
          <cell r="DM183" t="str">
            <v>BOLD</v>
          </cell>
          <cell r="DP183"/>
          <cell r="DQ183" t="str">
            <v>BOLD</v>
          </cell>
          <cell r="DT183"/>
          <cell r="DU183" t="str">
            <v>BOLD</v>
          </cell>
          <cell r="DX183"/>
          <cell r="DY183" t="str">
            <v>BOLD</v>
          </cell>
          <cell r="EB183"/>
          <cell r="EC183" t="str">
            <v>BOLD</v>
          </cell>
          <cell r="EF183"/>
          <cell r="EG183" t="str">
            <v>BOLD</v>
          </cell>
          <cell r="EJ183"/>
          <cell r="EK183" t="str">
            <v>BOLD</v>
          </cell>
          <cell r="EN183"/>
          <cell r="EO183" t="str">
            <v>BOLD</v>
          </cell>
          <cell r="ER183"/>
          <cell r="ES183" t="str">
            <v>BOLD</v>
          </cell>
          <cell r="EV183"/>
          <cell r="EW183" t="str">
            <v>BOLD</v>
          </cell>
          <cell r="EZ183"/>
          <cell r="FA183" t="str">
            <v>BOLD</v>
          </cell>
          <cell r="FD183"/>
          <cell r="FE183" t="str">
            <v>BOLD</v>
          </cell>
          <cell r="FH183"/>
          <cell r="FI183" t="str">
            <v>BOLD</v>
          </cell>
          <cell r="FL183"/>
          <cell r="FM183" t="str">
            <v>BOLD</v>
          </cell>
          <cell r="FP183"/>
          <cell r="FQ183" t="str">
            <v>BOLD</v>
          </cell>
          <cell r="FT183"/>
          <cell r="FU183" t="str">
            <v>BOLD</v>
          </cell>
          <cell r="FX183"/>
          <cell r="FY183" t="str">
            <v>BOLD</v>
          </cell>
          <cell r="GB183"/>
          <cell r="GC183" t="str">
            <v>BOLD</v>
          </cell>
          <cell r="GF183"/>
          <cell r="GG183" t="str">
            <v>BOLD</v>
          </cell>
          <cell r="GJ183"/>
          <cell r="GK183" t="str">
            <v>BOLD</v>
          </cell>
          <cell r="GN183"/>
          <cell r="GO183" t="str">
            <v>BOLD</v>
          </cell>
          <cell r="GR183"/>
          <cell r="GS183" t="str">
            <v>BOLD</v>
          </cell>
          <cell r="GV183"/>
          <cell r="GW183" t="str">
            <v>BOLD</v>
          </cell>
          <cell r="GZ183"/>
          <cell r="HA183" t="str">
            <v>BOLD</v>
          </cell>
          <cell r="HD183"/>
          <cell r="HE183" t="str">
            <v>BOLD</v>
          </cell>
          <cell r="HH183"/>
          <cell r="HI183" t="str">
            <v>BOLD</v>
          </cell>
          <cell r="HL183"/>
          <cell r="HM183" t="str">
            <v>BOLD</v>
          </cell>
          <cell r="HP183"/>
          <cell r="HQ183" t="str">
            <v>BOLD</v>
          </cell>
          <cell r="HT183"/>
          <cell r="HU183" t="str">
            <v>BOLD</v>
          </cell>
        </row>
        <row r="184">
          <cell r="A184">
            <v>183</v>
          </cell>
          <cell r="D184"/>
          <cell r="E184" t="str">
            <v>BOLD</v>
          </cell>
          <cell r="H184"/>
          <cell r="I184" t="str">
            <v>BOLD</v>
          </cell>
          <cell r="P184"/>
          <cell r="Q184" t="str">
            <v>BOLD</v>
          </cell>
          <cell r="T184"/>
          <cell r="U184" t="str">
            <v>BOLD</v>
          </cell>
          <cell r="X184"/>
          <cell r="Y184" t="str">
            <v>BOLD</v>
          </cell>
          <cell r="AB184"/>
          <cell r="AC184" t="str">
            <v>BOLD</v>
          </cell>
          <cell r="AF184"/>
          <cell r="AG184" t="str">
            <v>BOLD</v>
          </cell>
          <cell r="AJ184"/>
          <cell r="AK184" t="str">
            <v>BOLD</v>
          </cell>
          <cell r="AN184"/>
          <cell r="AO184" t="str">
            <v>BOLD</v>
          </cell>
          <cell r="AR184"/>
          <cell r="AS184" t="str">
            <v>BOLD</v>
          </cell>
          <cell r="AV184"/>
          <cell r="AW184" t="str">
            <v>BOLD</v>
          </cell>
          <cell r="AZ184"/>
          <cell r="BA184" t="str">
            <v>BOLD</v>
          </cell>
          <cell r="BD184"/>
          <cell r="BE184" t="str">
            <v>BOLD</v>
          </cell>
          <cell r="BH184"/>
          <cell r="BI184" t="str">
            <v>BOLD</v>
          </cell>
          <cell r="BL184"/>
          <cell r="BM184" t="str">
            <v>BOLD</v>
          </cell>
          <cell r="BP184"/>
          <cell r="BQ184" t="str">
            <v>BOLD</v>
          </cell>
          <cell r="BT184"/>
          <cell r="BU184" t="str">
            <v>BOLD</v>
          </cell>
          <cell r="BX184"/>
          <cell r="BY184" t="str">
            <v>BOLD</v>
          </cell>
          <cell r="CB184"/>
          <cell r="CC184" t="str">
            <v>BOLD</v>
          </cell>
          <cell r="CF184"/>
          <cell r="CG184" t="str">
            <v>BOLD</v>
          </cell>
          <cell r="CJ184"/>
          <cell r="CK184" t="str">
            <v>BOLD</v>
          </cell>
          <cell r="CN184"/>
          <cell r="CO184" t="str">
            <v>BOLD</v>
          </cell>
          <cell r="CR184"/>
          <cell r="CS184" t="str">
            <v>BOLD</v>
          </cell>
          <cell r="CV184"/>
          <cell r="CW184" t="str">
            <v>BOLD</v>
          </cell>
          <cell r="CZ184"/>
          <cell r="DA184" t="str">
            <v>BOLD</v>
          </cell>
          <cell r="DD184"/>
          <cell r="DE184" t="str">
            <v>BOLD</v>
          </cell>
          <cell r="DH184"/>
          <cell r="DI184" t="str">
            <v>BOLD</v>
          </cell>
          <cell r="DL184"/>
          <cell r="DM184" t="str">
            <v>BOLD</v>
          </cell>
          <cell r="DP184"/>
          <cell r="DQ184" t="str">
            <v>BOLD</v>
          </cell>
          <cell r="DT184"/>
          <cell r="DU184" t="str">
            <v>BOLD</v>
          </cell>
          <cell r="DX184"/>
          <cell r="DY184" t="str">
            <v>BOLD</v>
          </cell>
          <cell r="EB184"/>
          <cell r="EC184" t="str">
            <v>BOLD</v>
          </cell>
          <cell r="EF184"/>
          <cell r="EG184" t="str">
            <v>BOLD</v>
          </cell>
          <cell r="EJ184"/>
          <cell r="EK184" t="str">
            <v>BOLD</v>
          </cell>
          <cell r="EN184"/>
          <cell r="EO184" t="str">
            <v>BOLD</v>
          </cell>
          <cell r="ER184"/>
          <cell r="ES184" t="str">
            <v>BOLD</v>
          </cell>
          <cell r="EV184"/>
          <cell r="EW184" t="str">
            <v>BOLD</v>
          </cell>
          <cell r="EZ184"/>
          <cell r="FA184" t="str">
            <v>BOLD</v>
          </cell>
          <cell r="FD184"/>
          <cell r="FE184" t="str">
            <v>BOLD</v>
          </cell>
          <cell r="FH184"/>
          <cell r="FI184" t="str">
            <v>BOLD</v>
          </cell>
          <cell r="FL184"/>
          <cell r="FM184" t="str">
            <v>BOLD</v>
          </cell>
          <cell r="FP184"/>
          <cell r="FQ184" t="str">
            <v>BOLD</v>
          </cell>
          <cell r="FT184"/>
          <cell r="FU184" t="str">
            <v>BOLD</v>
          </cell>
          <cell r="FX184"/>
          <cell r="FY184" t="str">
            <v>BOLD</v>
          </cell>
          <cell r="GB184"/>
          <cell r="GC184" t="str">
            <v>BOLD</v>
          </cell>
          <cell r="GF184"/>
          <cell r="GG184" t="str">
            <v>BOLD</v>
          </cell>
          <cell r="GJ184"/>
          <cell r="GK184" t="str">
            <v>BOLD</v>
          </cell>
          <cell r="GN184"/>
          <cell r="GO184" t="str">
            <v>BOLD</v>
          </cell>
          <cell r="GR184"/>
          <cell r="GS184" t="str">
            <v>BOLD</v>
          </cell>
          <cell r="GV184"/>
          <cell r="GW184" t="str">
            <v>BOLD</v>
          </cell>
          <cell r="GZ184"/>
          <cell r="HA184" t="str">
            <v>BOLD</v>
          </cell>
          <cell r="HD184"/>
          <cell r="HE184" t="str">
            <v>BOLD</v>
          </cell>
          <cell r="HH184"/>
          <cell r="HI184" t="str">
            <v>BOLD</v>
          </cell>
          <cell r="HL184"/>
          <cell r="HM184" t="str">
            <v>BOLD</v>
          </cell>
          <cell r="HP184"/>
          <cell r="HQ184" t="str">
            <v>BOLD</v>
          </cell>
          <cell r="HT184"/>
          <cell r="HU184" t="str">
            <v>BOLD</v>
          </cell>
        </row>
        <row r="185">
          <cell r="A185">
            <v>184</v>
          </cell>
          <cell r="D185"/>
          <cell r="E185" t="str">
            <v>BOLD</v>
          </cell>
          <cell r="H185"/>
          <cell r="I185" t="str">
            <v>BOLD</v>
          </cell>
          <cell r="P185"/>
          <cell r="Q185" t="str">
            <v>BOLD</v>
          </cell>
          <cell r="T185"/>
          <cell r="U185" t="str">
            <v>BOLD</v>
          </cell>
          <cell r="X185"/>
          <cell r="Y185" t="str">
            <v>BOLD</v>
          </cell>
          <cell r="AB185"/>
          <cell r="AC185" t="str">
            <v>BOLD</v>
          </cell>
          <cell r="AF185"/>
          <cell r="AG185" t="str">
            <v>BOLD</v>
          </cell>
          <cell r="AJ185"/>
          <cell r="AK185" t="str">
            <v>BOLD</v>
          </cell>
          <cell r="AN185"/>
          <cell r="AO185" t="str">
            <v>BOLD</v>
          </cell>
          <cell r="AR185"/>
          <cell r="AS185" t="str">
            <v>BOLD</v>
          </cell>
          <cell r="AV185"/>
          <cell r="AW185" t="str">
            <v>BOLD</v>
          </cell>
          <cell r="AZ185"/>
          <cell r="BA185" t="str">
            <v>BOLD</v>
          </cell>
          <cell r="BD185"/>
          <cell r="BE185" t="str">
            <v>BOLD</v>
          </cell>
          <cell r="BH185"/>
          <cell r="BI185" t="str">
            <v>BOLD</v>
          </cell>
          <cell r="BL185"/>
          <cell r="BM185" t="str">
            <v>BOLD</v>
          </cell>
          <cell r="BP185"/>
          <cell r="BQ185" t="str">
            <v>BOLD</v>
          </cell>
          <cell r="BT185"/>
          <cell r="BU185" t="str">
            <v>BOLD</v>
          </cell>
          <cell r="BX185"/>
          <cell r="BY185" t="str">
            <v>BOLD</v>
          </cell>
          <cell r="CB185"/>
          <cell r="CC185" t="str">
            <v>BOLD</v>
          </cell>
          <cell r="CF185"/>
          <cell r="CG185" t="str">
            <v>BOLD</v>
          </cell>
          <cell r="CJ185"/>
          <cell r="CK185" t="str">
            <v>BOLD</v>
          </cell>
          <cell r="CN185"/>
          <cell r="CO185" t="str">
            <v>BOLD</v>
          </cell>
          <cell r="CR185"/>
          <cell r="CS185" t="str">
            <v>BOLD</v>
          </cell>
          <cell r="CV185"/>
          <cell r="CW185" t="str">
            <v>BOLD</v>
          </cell>
          <cell r="CZ185"/>
          <cell r="DA185" t="str">
            <v>BOLD</v>
          </cell>
          <cell r="DD185"/>
          <cell r="DE185" t="str">
            <v>BOLD</v>
          </cell>
          <cell r="DH185"/>
          <cell r="DI185" t="str">
            <v>BOLD</v>
          </cell>
          <cell r="DL185"/>
          <cell r="DM185" t="str">
            <v>BOLD</v>
          </cell>
          <cell r="DP185"/>
          <cell r="DQ185" t="str">
            <v>BOLD</v>
          </cell>
          <cell r="DT185"/>
          <cell r="DU185" t="str">
            <v>BOLD</v>
          </cell>
          <cell r="DX185"/>
          <cell r="DY185" t="str">
            <v>BOLD</v>
          </cell>
          <cell r="EB185"/>
          <cell r="EC185" t="str">
            <v>BOLD</v>
          </cell>
          <cell r="EF185"/>
          <cell r="EG185" t="str">
            <v>BOLD</v>
          </cell>
          <cell r="EJ185"/>
          <cell r="EK185" t="str">
            <v>BOLD</v>
          </cell>
          <cell r="EN185"/>
          <cell r="EO185" t="str">
            <v>BOLD</v>
          </cell>
          <cell r="ER185"/>
          <cell r="ES185" t="str">
            <v>BOLD</v>
          </cell>
          <cell r="EV185"/>
          <cell r="EW185" t="str">
            <v>BOLD</v>
          </cell>
          <cell r="EZ185"/>
          <cell r="FA185" t="str">
            <v>BOLD</v>
          </cell>
          <cell r="FD185"/>
          <cell r="FE185" t="str">
            <v>BOLD</v>
          </cell>
          <cell r="FH185"/>
          <cell r="FI185" t="str">
            <v>BOLD</v>
          </cell>
          <cell r="FL185"/>
          <cell r="FM185" t="str">
            <v>BOLD</v>
          </cell>
          <cell r="FP185"/>
          <cell r="FQ185" t="str">
            <v>BOLD</v>
          </cell>
          <cell r="FT185"/>
          <cell r="FU185" t="str">
            <v>BOLD</v>
          </cell>
          <cell r="FX185"/>
          <cell r="FY185" t="str">
            <v>BOLD</v>
          </cell>
          <cell r="GB185"/>
          <cell r="GC185" t="str">
            <v>BOLD</v>
          </cell>
          <cell r="GF185"/>
          <cell r="GG185" t="str">
            <v>BOLD</v>
          </cell>
          <cell r="GJ185"/>
          <cell r="GK185" t="str">
            <v>BOLD</v>
          </cell>
          <cell r="GN185"/>
          <cell r="GO185" t="str">
            <v>BOLD</v>
          </cell>
          <cell r="GR185"/>
          <cell r="GS185" t="str">
            <v>BOLD</v>
          </cell>
          <cell r="GV185"/>
          <cell r="GW185" t="str">
            <v>BOLD</v>
          </cell>
          <cell r="GZ185"/>
          <cell r="HA185" t="str">
            <v>BOLD</v>
          </cell>
          <cell r="HD185"/>
          <cell r="HE185" t="str">
            <v>BOLD</v>
          </cell>
          <cell r="HH185"/>
          <cell r="HI185" t="str">
            <v>BOLD</v>
          </cell>
          <cell r="HL185"/>
          <cell r="HM185" t="str">
            <v>BOLD</v>
          </cell>
          <cell r="HP185"/>
          <cell r="HQ185" t="str">
            <v>BOLD</v>
          </cell>
          <cell r="HT185"/>
          <cell r="HU185" t="str">
            <v>BOLD</v>
          </cell>
        </row>
        <row r="186">
          <cell r="A186">
            <v>185</v>
          </cell>
          <cell r="D186"/>
          <cell r="E186" t="str">
            <v>BOLD</v>
          </cell>
          <cell r="H186"/>
          <cell r="I186" t="str">
            <v>BOLD</v>
          </cell>
          <cell r="P186"/>
          <cell r="Q186" t="str">
            <v>BOLD</v>
          </cell>
          <cell r="T186"/>
          <cell r="U186" t="str">
            <v>BOLD</v>
          </cell>
          <cell r="X186"/>
          <cell r="Y186" t="str">
            <v>BOLD</v>
          </cell>
          <cell r="AB186"/>
          <cell r="AC186" t="str">
            <v>BOLD</v>
          </cell>
          <cell r="AF186"/>
          <cell r="AG186" t="str">
            <v>BOLD</v>
          </cell>
          <cell r="AJ186"/>
          <cell r="AK186" t="str">
            <v>BOLD</v>
          </cell>
          <cell r="AN186"/>
          <cell r="AO186" t="str">
            <v>BOLD</v>
          </cell>
          <cell r="AR186"/>
          <cell r="AS186" t="str">
            <v>BOLD</v>
          </cell>
          <cell r="AV186"/>
          <cell r="AW186" t="str">
            <v>BOLD</v>
          </cell>
          <cell r="AZ186"/>
          <cell r="BA186" t="str">
            <v>BOLD</v>
          </cell>
          <cell r="BD186"/>
          <cell r="BE186" t="str">
            <v>BOLD</v>
          </cell>
          <cell r="BH186"/>
          <cell r="BI186" t="str">
            <v>BOLD</v>
          </cell>
          <cell r="BL186"/>
          <cell r="BM186" t="str">
            <v>BOLD</v>
          </cell>
          <cell r="BP186"/>
          <cell r="BQ186" t="str">
            <v>BOLD</v>
          </cell>
          <cell r="BT186"/>
          <cell r="BU186" t="str">
            <v>BOLD</v>
          </cell>
          <cell r="BX186"/>
          <cell r="BY186" t="str">
            <v>BOLD</v>
          </cell>
          <cell r="CB186"/>
          <cell r="CC186" t="str">
            <v>BOLD</v>
          </cell>
          <cell r="CF186"/>
          <cell r="CG186" t="str">
            <v>BOLD</v>
          </cell>
          <cell r="CJ186"/>
          <cell r="CK186" t="str">
            <v>BOLD</v>
          </cell>
          <cell r="CN186"/>
          <cell r="CO186" t="str">
            <v>BOLD</v>
          </cell>
          <cell r="CR186"/>
          <cell r="CS186" t="str">
            <v>BOLD</v>
          </cell>
          <cell r="CV186"/>
          <cell r="CW186" t="str">
            <v>BOLD</v>
          </cell>
          <cell r="CZ186"/>
          <cell r="DA186" t="str">
            <v>BOLD</v>
          </cell>
          <cell r="DD186"/>
          <cell r="DE186" t="str">
            <v>BOLD</v>
          </cell>
          <cell r="DH186"/>
          <cell r="DI186" t="str">
            <v>BOLD</v>
          </cell>
          <cell r="DL186"/>
          <cell r="DM186" t="str">
            <v>BOLD</v>
          </cell>
          <cell r="DP186"/>
          <cell r="DQ186" t="str">
            <v>BOLD</v>
          </cell>
          <cell r="DT186"/>
          <cell r="DU186" t="str">
            <v>BOLD</v>
          </cell>
          <cell r="DX186"/>
          <cell r="DY186" t="str">
            <v>BOLD</v>
          </cell>
          <cell r="EB186"/>
          <cell r="EC186" t="str">
            <v>BOLD</v>
          </cell>
          <cell r="EF186"/>
          <cell r="EG186" t="str">
            <v>BOLD</v>
          </cell>
          <cell r="EJ186"/>
          <cell r="EK186" t="str">
            <v>BOLD</v>
          </cell>
          <cell r="EN186"/>
          <cell r="EO186" t="str">
            <v>BOLD</v>
          </cell>
          <cell r="ER186"/>
          <cell r="ES186" t="str">
            <v>BOLD</v>
          </cell>
          <cell r="EV186"/>
          <cell r="EW186" t="str">
            <v>BOLD</v>
          </cell>
          <cell r="EZ186"/>
          <cell r="FA186" t="str">
            <v>BOLD</v>
          </cell>
          <cell r="FD186"/>
          <cell r="FE186" t="str">
            <v>BOLD</v>
          </cell>
          <cell r="FH186"/>
          <cell r="FI186" t="str">
            <v>BOLD</v>
          </cell>
          <cell r="FL186"/>
          <cell r="FM186" t="str">
            <v>BOLD</v>
          </cell>
          <cell r="FP186"/>
          <cell r="FQ186" t="str">
            <v>BOLD</v>
          </cell>
          <cell r="FT186"/>
          <cell r="FU186" t="str">
            <v>BOLD</v>
          </cell>
          <cell r="FX186"/>
          <cell r="FY186" t="str">
            <v>BOLD</v>
          </cell>
          <cell r="GB186"/>
          <cell r="GC186" t="str">
            <v>BOLD</v>
          </cell>
          <cell r="GF186"/>
          <cell r="GG186" t="str">
            <v>BOLD</v>
          </cell>
          <cell r="GJ186"/>
          <cell r="GK186" t="str">
            <v>BOLD</v>
          </cell>
          <cell r="GN186"/>
          <cell r="GO186" t="str">
            <v>BOLD</v>
          </cell>
          <cell r="GR186"/>
          <cell r="GS186" t="str">
            <v>BOLD</v>
          </cell>
          <cell r="GV186"/>
          <cell r="GW186" t="str">
            <v>BOLD</v>
          </cell>
          <cell r="GZ186"/>
          <cell r="HA186" t="str">
            <v>BOLD</v>
          </cell>
          <cell r="HD186"/>
          <cell r="HE186" t="str">
            <v>BOLD</v>
          </cell>
          <cell r="HH186"/>
          <cell r="HI186" t="str">
            <v>BOLD</v>
          </cell>
          <cell r="HL186"/>
          <cell r="HM186" t="str">
            <v>BOLD</v>
          </cell>
          <cell r="HP186"/>
          <cell r="HQ186" t="str">
            <v>BOLD</v>
          </cell>
          <cell r="HT186"/>
          <cell r="HU186" t="str">
            <v>BOLD</v>
          </cell>
        </row>
        <row r="187">
          <cell r="A187">
            <v>186</v>
          </cell>
          <cell r="D187"/>
          <cell r="E187" t="str">
            <v>BOLD</v>
          </cell>
          <cell r="H187"/>
          <cell r="I187" t="str">
            <v>BOLD</v>
          </cell>
          <cell r="P187"/>
          <cell r="Q187" t="str">
            <v>BOLD</v>
          </cell>
          <cell r="T187"/>
          <cell r="U187" t="str">
            <v>BOLD</v>
          </cell>
          <cell r="X187"/>
          <cell r="Y187" t="str">
            <v>BOLD</v>
          </cell>
          <cell r="AB187"/>
          <cell r="AC187" t="str">
            <v>BOLD</v>
          </cell>
          <cell r="AF187"/>
          <cell r="AG187" t="str">
            <v>BOLD</v>
          </cell>
          <cell r="AJ187"/>
          <cell r="AK187" t="str">
            <v>BOLD</v>
          </cell>
          <cell r="AN187"/>
          <cell r="AO187" t="str">
            <v>BOLD</v>
          </cell>
          <cell r="AR187"/>
          <cell r="AS187" t="str">
            <v>BOLD</v>
          </cell>
          <cell r="AV187"/>
          <cell r="AW187" t="str">
            <v>BOLD</v>
          </cell>
          <cell r="AZ187"/>
          <cell r="BA187" t="str">
            <v>BOLD</v>
          </cell>
          <cell r="BD187"/>
          <cell r="BE187" t="str">
            <v>BOLD</v>
          </cell>
          <cell r="BH187"/>
          <cell r="BI187" t="str">
            <v>BOLD</v>
          </cell>
          <cell r="BL187"/>
          <cell r="BM187" t="str">
            <v>BOLD</v>
          </cell>
          <cell r="BP187"/>
          <cell r="BQ187" t="str">
            <v>BOLD</v>
          </cell>
          <cell r="BT187"/>
          <cell r="BU187" t="str">
            <v>BOLD</v>
          </cell>
          <cell r="BX187"/>
          <cell r="BY187" t="str">
            <v>BOLD</v>
          </cell>
          <cell r="CB187"/>
          <cell r="CC187" t="str">
            <v>BOLD</v>
          </cell>
          <cell r="CF187"/>
          <cell r="CG187" t="str">
            <v>BOLD</v>
          </cell>
          <cell r="CJ187"/>
          <cell r="CK187" t="str">
            <v>BOLD</v>
          </cell>
          <cell r="CN187"/>
          <cell r="CO187" t="str">
            <v>BOLD</v>
          </cell>
          <cell r="CR187"/>
          <cell r="CS187" t="str">
            <v>BOLD</v>
          </cell>
          <cell r="CV187"/>
          <cell r="CW187" t="str">
            <v>BOLD</v>
          </cell>
          <cell r="CZ187"/>
          <cell r="DA187" t="str">
            <v>BOLD</v>
          </cell>
          <cell r="DD187"/>
          <cell r="DE187" t="str">
            <v>BOLD</v>
          </cell>
          <cell r="DH187"/>
          <cell r="DI187" t="str">
            <v>BOLD</v>
          </cell>
          <cell r="DL187"/>
          <cell r="DM187" t="str">
            <v>BOLD</v>
          </cell>
          <cell r="DP187"/>
          <cell r="DQ187" t="str">
            <v>BOLD</v>
          </cell>
          <cell r="DT187"/>
          <cell r="DU187" t="str">
            <v>BOLD</v>
          </cell>
          <cell r="DX187"/>
          <cell r="DY187" t="str">
            <v>BOLD</v>
          </cell>
          <cell r="EB187"/>
          <cell r="EC187" t="str">
            <v>BOLD</v>
          </cell>
          <cell r="EF187"/>
          <cell r="EG187" t="str">
            <v>BOLD</v>
          </cell>
          <cell r="EJ187"/>
          <cell r="EK187" t="str">
            <v>BOLD</v>
          </cell>
          <cell r="EN187"/>
          <cell r="EO187" t="str">
            <v>BOLD</v>
          </cell>
          <cell r="ER187"/>
          <cell r="ES187" t="str">
            <v>BOLD</v>
          </cell>
          <cell r="EV187"/>
          <cell r="EW187" t="str">
            <v>BOLD</v>
          </cell>
          <cell r="EZ187"/>
          <cell r="FA187" t="str">
            <v>BOLD</v>
          </cell>
          <cell r="FD187"/>
          <cell r="FE187" t="str">
            <v>BOLD</v>
          </cell>
          <cell r="FH187"/>
          <cell r="FI187" t="str">
            <v>BOLD</v>
          </cell>
          <cell r="FL187"/>
          <cell r="FM187" t="str">
            <v>BOLD</v>
          </cell>
          <cell r="FP187"/>
          <cell r="FQ187" t="str">
            <v>BOLD</v>
          </cell>
          <cell r="FT187"/>
          <cell r="FU187" t="str">
            <v>BOLD</v>
          </cell>
          <cell r="FX187"/>
          <cell r="FY187" t="str">
            <v>BOLD</v>
          </cell>
          <cell r="GB187"/>
          <cell r="GC187" t="str">
            <v>BOLD</v>
          </cell>
          <cell r="GF187"/>
          <cell r="GG187" t="str">
            <v>BOLD</v>
          </cell>
          <cell r="GJ187"/>
          <cell r="GK187" t="str">
            <v>BOLD</v>
          </cell>
          <cell r="GN187"/>
          <cell r="GO187" t="str">
            <v>BOLD</v>
          </cell>
          <cell r="GR187"/>
          <cell r="GS187" t="str">
            <v>BOLD</v>
          </cell>
          <cell r="GV187"/>
          <cell r="GW187" t="str">
            <v>BOLD</v>
          </cell>
          <cell r="GZ187"/>
          <cell r="HA187" t="str">
            <v>BOLD</v>
          </cell>
          <cell r="HD187"/>
          <cell r="HE187" t="str">
            <v>BOLD</v>
          </cell>
          <cell r="HH187"/>
          <cell r="HI187" t="str">
            <v>BOLD</v>
          </cell>
          <cell r="HL187"/>
          <cell r="HM187" t="str">
            <v>BOLD</v>
          </cell>
          <cell r="HP187"/>
          <cell r="HQ187" t="str">
            <v>BOLD</v>
          </cell>
          <cell r="HT187"/>
          <cell r="HU187" t="str">
            <v>BOLD</v>
          </cell>
        </row>
        <row r="188">
          <cell r="A188">
            <v>187</v>
          </cell>
          <cell r="D188"/>
          <cell r="E188" t="str">
            <v>BOLD</v>
          </cell>
          <cell r="H188"/>
          <cell r="I188" t="str">
            <v>BOLD</v>
          </cell>
          <cell r="P188"/>
          <cell r="Q188" t="str">
            <v>BOLD</v>
          </cell>
          <cell r="T188"/>
          <cell r="U188" t="str">
            <v>BOLD</v>
          </cell>
          <cell r="X188"/>
          <cell r="Y188" t="str">
            <v>BOLD</v>
          </cell>
          <cell r="AB188"/>
          <cell r="AC188" t="str">
            <v>BOLD</v>
          </cell>
          <cell r="AF188"/>
          <cell r="AG188" t="str">
            <v>BOLD</v>
          </cell>
          <cell r="AJ188"/>
          <cell r="AK188" t="str">
            <v>BOLD</v>
          </cell>
          <cell r="AN188"/>
          <cell r="AO188" t="str">
            <v>BOLD</v>
          </cell>
          <cell r="AR188"/>
          <cell r="AS188" t="str">
            <v>BOLD</v>
          </cell>
          <cell r="AV188"/>
          <cell r="AW188" t="str">
            <v>BOLD</v>
          </cell>
          <cell r="AZ188"/>
          <cell r="BA188" t="str">
            <v>BOLD</v>
          </cell>
          <cell r="BD188"/>
          <cell r="BE188" t="str">
            <v>BOLD</v>
          </cell>
          <cell r="BH188"/>
          <cell r="BI188" t="str">
            <v>BOLD</v>
          </cell>
          <cell r="BL188"/>
          <cell r="BM188" t="str">
            <v>BOLD</v>
          </cell>
          <cell r="BP188"/>
          <cell r="BQ188" t="str">
            <v>BOLD</v>
          </cell>
          <cell r="BT188"/>
          <cell r="BU188" t="str">
            <v>BOLD</v>
          </cell>
          <cell r="BX188"/>
          <cell r="BY188" t="str">
            <v>BOLD</v>
          </cell>
          <cell r="CB188"/>
          <cell r="CC188" t="str">
            <v>BOLD</v>
          </cell>
          <cell r="CF188"/>
          <cell r="CG188" t="str">
            <v>BOLD</v>
          </cell>
          <cell r="CJ188"/>
          <cell r="CK188" t="str">
            <v>BOLD</v>
          </cell>
          <cell r="CN188"/>
          <cell r="CO188" t="str">
            <v>BOLD</v>
          </cell>
          <cell r="CR188"/>
          <cell r="CS188" t="str">
            <v>BOLD</v>
          </cell>
          <cell r="CV188"/>
          <cell r="CW188" t="str">
            <v>BOLD</v>
          </cell>
          <cell r="CZ188"/>
          <cell r="DA188" t="str">
            <v>BOLD</v>
          </cell>
          <cell r="DD188"/>
          <cell r="DE188" t="str">
            <v>BOLD</v>
          </cell>
          <cell r="DH188"/>
          <cell r="DI188" t="str">
            <v>BOLD</v>
          </cell>
          <cell r="DL188"/>
          <cell r="DM188" t="str">
            <v>BOLD</v>
          </cell>
          <cell r="DP188"/>
          <cell r="DQ188" t="str">
            <v>BOLD</v>
          </cell>
          <cell r="DT188"/>
          <cell r="DU188" t="str">
            <v>BOLD</v>
          </cell>
          <cell r="DX188"/>
          <cell r="DY188" t="str">
            <v>BOLD</v>
          </cell>
          <cell r="EB188"/>
          <cell r="EC188" t="str">
            <v>BOLD</v>
          </cell>
          <cell r="EF188"/>
          <cell r="EG188" t="str">
            <v>BOLD</v>
          </cell>
          <cell r="EJ188"/>
          <cell r="EK188" t="str">
            <v>BOLD</v>
          </cell>
          <cell r="EN188"/>
          <cell r="EO188" t="str">
            <v>BOLD</v>
          </cell>
          <cell r="ER188"/>
          <cell r="ES188" t="str">
            <v>BOLD</v>
          </cell>
          <cell r="EV188"/>
          <cell r="EW188" t="str">
            <v>BOLD</v>
          </cell>
          <cell r="EZ188"/>
          <cell r="FA188" t="str">
            <v>BOLD</v>
          </cell>
          <cell r="FD188"/>
          <cell r="FE188" t="str">
            <v>BOLD</v>
          </cell>
          <cell r="FH188"/>
          <cell r="FI188" t="str">
            <v>BOLD</v>
          </cell>
          <cell r="FL188"/>
          <cell r="FM188" t="str">
            <v>BOLD</v>
          </cell>
          <cell r="FP188"/>
          <cell r="FQ188" t="str">
            <v>BOLD</v>
          </cell>
          <cell r="FT188"/>
          <cell r="FU188" t="str">
            <v>BOLD</v>
          </cell>
          <cell r="FX188"/>
          <cell r="FY188" t="str">
            <v>BOLD</v>
          </cell>
          <cell r="GB188"/>
          <cell r="GC188" t="str">
            <v>BOLD</v>
          </cell>
          <cell r="GF188"/>
          <cell r="GG188" t="str">
            <v>BOLD</v>
          </cell>
          <cell r="GJ188"/>
          <cell r="GK188" t="str">
            <v>BOLD</v>
          </cell>
          <cell r="GN188"/>
          <cell r="GO188" t="str">
            <v>BOLD</v>
          </cell>
          <cell r="GR188"/>
          <cell r="GS188" t="str">
            <v>BOLD</v>
          </cell>
          <cell r="GV188"/>
          <cell r="GW188" t="str">
            <v>BOLD</v>
          </cell>
          <cell r="GZ188"/>
          <cell r="HA188" t="str">
            <v>BOLD</v>
          </cell>
          <cell r="HD188"/>
          <cell r="HE188" t="str">
            <v>BOLD</v>
          </cell>
          <cell r="HH188"/>
          <cell r="HI188" t="str">
            <v>BOLD</v>
          </cell>
          <cell r="HL188"/>
          <cell r="HM188" t="str">
            <v>BOLD</v>
          </cell>
          <cell r="HP188"/>
          <cell r="HQ188" t="str">
            <v>BOLD</v>
          </cell>
          <cell r="HT188"/>
          <cell r="HU188" t="str">
            <v>BOLD</v>
          </cell>
        </row>
        <row r="189">
          <cell r="A189">
            <v>188</v>
          </cell>
          <cell r="D189"/>
          <cell r="E189" t="str">
            <v>BOLD</v>
          </cell>
          <cell r="H189"/>
          <cell r="I189" t="str">
            <v>BOLD</v>
          </cell>
          <cell r="P189"/>
          <cell r="Q189" t="str">
            <v>BOLD</v>
          </cell>
          <cell r="T189"/>
          <cell r="U189" t="str">
            <v>BOLD</v>
          </cell>
          <cell r="X189"/>
          <cell r="Y189" t="str">
            <v>BOLD</v>
          </cell>
          <cell r="AB189"/>
          <cell r="AC189" t="str">
            <v>BOLD</v>
          </cell>
          <cell r="AF189"/>
          <cell r="AG189" t="str">
            <v>BOLD</v>
          </cell>
          <cell r="AJ189"/>
          <cell r="AK189" t="str">
            <v>BOLD</v>
          </cell>
          <cell r="AN189"/>
          <cell r="AO189" t="str">
            <v>BOLD</v>
          </cell>
          <cell r="AR189"/>
          <cell r="AS189" t="str">
            <v>BOLD</v>
          </cell>
          <cell r="AV189"/>
          <cell r="AW189" t="str">
            <v>BOLD</v>
          </cell>
          <cell r="AZ189"/>
          <cell r="BA189" t="str">
            <v>BOLD</v>
          </cell>
          <cell r="BD189"/>
          <cell r="BE189" t="str">
            <v>BOLD</v>
          </cell>
          <cell r="BH189"/>
          <cell r="BI189" t="str">
            <v>BOLD</v>
          </cell>
          <cell r="BL189"/>
          <cell r="BM189" t="str">
            <v>BOLD</v>
          </cell>
          <cell r="BP189"/>
          <cell r="BQ189" t="str">
            <v>BOLD</v>
          </cell>
          <cell r="BT189"/>
          <cell r="BU189" t="str">
            <v>BOLD</v>
          </cell>
          <cell r="BX189"/>
          <cell r="BY189" t="str">
            <v>BOLD</v>
          </cell>
          <cell r="CB189"/>
          <cell r="CC189" t="str">
            <v>BOLD</v>
          </cell>
          <cell r="CF189"/>
          <cell r="CG189" t="str">
            <v>BOLD</v>
          </cell>
          <cell r="CJ189"/>
          <cell r="CK189" t="str">
            <v>BOLD</v>
          </cell>
          <cell r="CN189"/>
          <cell r="CO189" t="str">
            <v>BOLD</v>
          </cell>
          <cell r="CR189"/>
          <cell r="CS189" t="str">
            <v>BOLD</v>
          </cell>
          <cell r="CV189"/>
          <cell r="CW189" t="str">
            <v>BOLD</v>
          </cell>
          <cell r="CZ189"/>
          <cell r="DA189" t="str">
            <v>BOLD</v>
          </cell>
          <cell r="DD189"/>
          <cell r="DE189" t="str">
            <v>BOLD</v>
          </cell>
          <cell r="DH189"/>
          <cell r="DI189" t="str">
            <v>BOLD</v>
          </cell>
          <cell r="DL189"/>
          <cell r="DM189" t="str">
            <v>BOLD</v>
          </cell>
          <cell r="DP189"/>
          <cell r="DQ189" t="str">
            <v>BOLD</v>
          </cell>
          <cell r="DT189"/>
          <cell r="DU189" t="str">
            <v>BOLD</v>
          </cell>
          <cell r="DX189"/>
          <cell r="DY189" t="str">
            <v>BOLD</v>
          </cell>
          <cell r="EB189"/>
          <cell r="EC189" t="str">
            <v>BOLD</v>
          </cell>
          <cell r="EF189"/>
          <cell r="EG189" t="str">
            <v>BOLD</v>
          </cell>
          <cell r="EJ189"/>
          <cell r="EK189" t="str">
            <v>BOLD</v>
          </cell>
          <cell r="EN189"/>
          <cell r="EO189" t="str">
            <v>BOLD</v>
          </cell>
          <cell r="ER189"/>
          <cell r="ES189" t="str">
            <v>BOLD</v>
          </cell>
          <cell r="EV189"/>
          <cell r="EW189" t="str">
            <v>BOLD</v>
          </cell>
          <cell r="EZ189"/>
          <cell r="FA189" t="str">
            <v>BOLD</v>
          </cell>
          <cell r="FD189"/>
          <cell r="FE189" t="str">
            <v>BOLD</v>
          </cell>
          <cell r="FH189"/>
          <cell r="FI189" t="str">
            <v>BOLD</v>
          </cell>
          <cell r="FL189"/>
          <cell r="FM189" t="str">
            <v>BOLD</v>
          </cell>
          <cell r="FP189"/>
          <cell r="FQ189" t="str">
            <v>BOLD</v>
          </cell>
          <cell r="FT189"/>
          <cell r="FU189" t="str">
            <v>BOLD</v>
          </cell>
          <cell r="FX189"/>
          <cell r="FY189" t="str">
            <v>BOLD</v>
          </cell>
          <cell r="GB189"/>
          <cell r="GC189" t="str">
            <v>BOLD</v>
          </cell>
          <cell r="GF189"/>
          <cell r="GG189" t="str">
            <v>BOLD</v>
          </cell>
          <cell r="GJ189"/>
          <cell r="GK189" t="str">
            <v>BOLD</v>
          </cell>
          <cell r="GN189"/>
          <cell r="GO189" t="str">
            <v>BOLD</v>
          </cell>
          <cell r="GR189"/>
          <cell r="GS189" t="str">
            <v>BOLD</v>
          </cell>
          <cell r="GV189"/>
          <cell r="GW189" t="str">
            <v>BOLD</v>
          </cell>
          <cell r="GZ189"/>
          <cell r="HA189" t="str">
            <v>BOLD</v>
          </cell>
          <cell r="HD189"/>
          <cell r="HE189" t="str">
            <v>BOLD</v>
          </cell>
          <cell r="HH189"/>
          <cell r="HI189" t="str">
            <v>BOLD</v>
          </cell>
          <cell r="HL189"/>
          <cell r="HM189" t="str">
            <v>BOLD</v>
          </cell>
          <cell r="HP189"/>
          <cell r="HQ189" t="str">
            <v>BOLD</v>
          </cell>
          <cell r="HT189"/>
          <cell r="HU189" t="str">
            <v>BOLD</v>
          </cell>
        </row>
        <row r="190">
          <cell r="A190">
            <v>189</v>
          </cell>
          <cell r="D190"/>
          <cell r="E190" t="str">
            <v>BOLD</v>
          </cell>
          <cell r="H190"/>
          <cell r="I190" t="str">
            <v>BOLD</v>
          </cell>
          <cell r="P190"/>
          <cell r="Q190" t="str">
            <v>BOLD</v>
          </cell>
          <cell r="T190"/>
          <cell r="U190" t="str">
            <v>BOLD</v>
          </cell>
          <cell r="X190"/>
          <cell r="Y190" t="str">
            <v>BOLD</v>
          </cell>
          <cell r="AB190"/>
          <cell r="AC190" t="str">
            <v>BOLD</v>
          </cell>
          <cell r="AF190"/>
          <cell r="AG190" t="str">
            <v>BOLD</v>
          </cell>
          <cell r="AJ190"/>
          <cell r="AK190" t="str">
            <v>BOLD</v>
          </cell>
          <cell r="AN190"/>
          <cell r="AO190" t="str">
            <v>BOLD</v>
          </cell>
          <cell r="AR190"/>
          <cell r="AS190" t="str">
            <v>BOLD</v>
          </cell>
          <cell r="AV190"/>
          <cell r="AW190" t="str">
            <v>BOLD</v>
          </cell>
          <cell r="AZ190"/>
          <cell r="BA190" t="str">
            <v>BOLD</v>
          </cell>
          <cell r="BD190"/>
          <cell r="BE190" t="str">
            <v>BOLD</v>
          </cell>
          <cell r="BH190"/>
          <cell r="BI190" t="str">
            <v>BOLD</v>
          </cell>
          <cell r="BL190"/>
          <cell r="BM190" t="str">
            <v>BOLD</v>
          </cell>
          <cell r="BP190"/>
          <cell r="BQ190" t="str">
            <v>BOLD</v>
          </cell>
          <cell r="BT190"/>
          <cell r="BU190" t="str">
            <v>BOLD</v>
          </cell>
          <cell r="BX190"/>
          <cell r="BY190" t="str">
            <v>BOLD</v>
          </cell>
          <cell r="CB190"/>
          <cell r="CC190" t="str">
            <v>BOLD</v>
          </cell>
          <cell r="CF190"/>
          <cell r="CG190" t="str">
            <v>BOLD</v>
          </cell>
          <cell r="CJ190"/>
          <cell r="CK190" t="str">
            <v>BOLD</v>
          </cell>
          <cell r="CN190"/>
          <cell r="CO190" t="str">
            <v>BOLD</v>
          </cell>
          <cell r="CR190"/>
          <cell r="CS190" t="str">
            <v>BOLD</v>
          </cell>
          <cell r="CV190"/>
          <cell r="CW190" t="str">
            <v>BOLD</v>
          </cell>
          <cell r="CZ190"/>
          <cell r="DA190" t="str">
            <v>BOLD</v>
          </cell>
          <cell r="DD190"/>
          <cell r="DE190" t="str">
            <v>BOLD</v>
          </cell>
          <cell r="DH190"/>
          <cell r="DI190" t="str">
            <v>BOLD</v>
          </cell>
          <cell r="DL190"/>
          <cell r="DM190" t="str">
            <v>BOLD</v>
          </cell>
          <cell r="DP190"/>
          <cell r="DQ190" t="str">
            <v>BOLD</v>
          </cell>
          <cell r="DT190"/>
          <cell r="DU190" t="str">
            <v>BOLD</v>
          </cell>
          <cell r="DX190"/>
          <cell r="DY190" t="str">
            <v>BOLD</v>
          </cell>
          <cell r="EB190"/>
          <cell r="EC190" t="str">
            <v>BOLD</v>
          </cell>
          <cell r="EF190"/>
          <cell r="EG190" t="str">
            <v>BOLD</v>
          </cell>
          <cell r="EJ190"/>
          <cell r="EK190" t="str">
            <v>BOLD</v>
          </cell>
          <cell r="EN190"/>
          <cell r="EO190" t="str">
            <v>BOLD</v>
          </cell>
          <cell r="ER190"/>
          <cell r="ES190" t="str">
            <v>BOLD</v>
          </cell>
          <cell r="EV190"/>
          <cell r="EW190" t="str">
            <v>BOLD</v>
          </cell>
          <cell r="EZ190"/>
          <cell r="FA190" t="str">
            <v>BOLD</v>
          </cell>
          <cell r="FD190"/>
          <cell r="FE190" t="str">
            <v>BOLD</v>
          </cell>
          <cell r="FH190"/>
          <cell r="FI190" t="str">
            <v>BOLD</v>
          </cell>
          <cell r="FL190"/>
          <cell r="FM190" t="str">
            <v>BOLD</v>
          </cell>
          <cell r="FP190"/>
          <cell r="FQ190" t="str">
            <v>BOLD</v>
          </cell>
          <cell r="FT190"/>
          <cell r="FU190" t="str">
            <v>BOLD</v>
          </cell>
          <cell r="FX190"/>
          <cell r="FY190" t="str">
            <v>BOLD</v>
          </cell>
          <cell r="GB190"/>
          <cell r="GC190" t="str">
            <v>BOLD</v>
          </cell>
          <cell r="GF190"/>
          <cell r="GG190" t="str">
            <v>BOLD</v>
          </cell>
          <cell r="GJ190"/>
          <cell r="GK190" t="str">
            <v>BOLD</v>
          </cell>
          <cell r="GN190"/>
          <cell r="GO190" t="str">
            <v>BOLD</v>
          </cell>
          <cell r="GR190"/>
          <cell r="GS190" t="str">
            <v>BOLD</v>
          </cell>
          <cell r="GV190"/>
          <cell r="GW190" t="str">
            <v>BOLD</v>
          </cell>
          <cell r="GZ190"/>
          <cell r="HA190" t="str">
            <v>BOLD</v>
          </cell>
          <cell r="HD190"/>
          <cell r="HE190" t="str">
            <v>BOLD</v>
          </cell>
          <cell r="HH190"/>
          <cell r="HI190" t="str">
            <v>BOLD</v>
          </cell>
          <cell r="HL190"/>
          <cell r="HM190" t="str">
            <v>BOLD</v>
          </cell>
          <cell r="HP190"/>
          <cell r="HQ190" t="str">
            <v>BOLD</v>
          </cell>
          <cell r="HT190"/>
          <cell r="HU190" t="str">
            <v>BOLD</v>
          </cell>
        </row>
        <row r="191">
          <cell r="A191">
            <v>190</v>
          </cell>
          <cell r="D191"/>
          <cell r="E191" t="str">
            <v>BOLD</v>
          </cell>
          <cell r="H191"/>
          <cell r="I191" t="str">
            <v>BOLD</v>
          </cell>
          <cell r="P191"/>
          <cell r="Q191" t="str">
            <v>BOLD</v>
          </cell>
          <cell r="T191"/>
          <cell r="U191" t="str">
            <v>BOLD</v>
          </cell>
          <cell r="X191"/>
          <cell r="Y191" t="str">
            <v>BOLD</v>
          </cell>
          <cell r="AB191"/>
          <cell r="AC191" t="str">
            <v>BOLD</v>
          </cell>
          <cell r="AF191"/>
          <cell r="AG191" t="str">
            <v>BOLD</v>
          </cell>
          <cell r="AJ191"/>
          <cell r="AK191" t="str">
            <v>BOLD</v>
          </cell>
          <cell r="AN191"/>
          <cell r="AO191" t="str">
            <v>BOLD</v>
          </cell>
          <cell r="AR191"/>
          <cell r="AS191" t="str">
            <v>BOLD</v>
          </cell>
          <cell r="AV191"/>
          <cell r="AW191" t="str">
            <v>BOLD</v>
          </cell>
          <cell r="AZ191"/>
          <cell r="BA191" t="str">
            <v>BOLD</v>
          </cell>
          <cell r="BD191"/>
          <cell r="BE191" t="str">
            <v>BOLD</v>
          </cell>
          <cell r="BH191"/>
          <cell r="BI191" t="str">
            <v>BOLD</v>
          </cell>
          <cell r="BL191"/>
          <cell r="BM191" t="str">
            <v>BOLD</v>
          </cell>
          <cell r="BP191"/>
          <cell r="BQ191" t="str">
            <v>BOLD</v>
          </cell>
          <cell r="BT191"/>
          <cell r="BU191" t="str">
            <v>BOLD</v>
          </cell>
          <cell r="BX191"/>
          <cell r="BY191" t="str">
            <v>BOLD</v>
          </cell>
          <cell r="CB191"/>
          <cell r="CC191" t="str">
            <v>BOLD</v>
          </cell>
          <cell r="CF191"/>
          <cell r="CG191" t="str">
            <v>BOLD</v>
          </cell>
          <cell r="CJ191"/>
          <cell r="CK191" t="str">
            <v>BOLD</v>
          </cell>
          <cell r="CN191"/>
          <cell r="CO191" t="str">
            <v>BOLD</v>
          </cell>
          <cell r="CR191"/>
          <cell r="CS191" t="str">
            <v>BOLD</v>
          </cell>
          <cell r="CV191"/>
          <cell r="CW191" t="str">
            <v>BOLD</v>
          </cell>
          <cell r="CZ191"/>
          <cell r="DA191" t="str">
            <v>BOLD</v>
          </cell>
          <cell r="DD191"/>
          <cell r="DE191" t="str">
            <v>BOLD</v>
          </cell>
          <cell r="DH191"/>
          <cell r="DI191" t="str">
            <v>BOLD</v>
          </cell>
          <cell r="DL191"/>
          <cell r="DM191" t="str">
            <v>BOLD</v>
          </cell>
          <cell r="DP191"/>
          <cell r="DQ191" t="str">
            <v>BOLD</v>
          </cell>
          <cell r="DT191"/>
          <cell r="DU191" t="str">
            <v>BOLD</v>
          </cell>
          <cell r="DX191"/>
          <cell r="DY191" t="str">
            <v>BOLD</v>
          </cell>
          <cell r="EB191"/>
          <cell r="EC191" t="str">
            <v>BOLD</v>
          </cell>
          <cell r="EF191"/>
          <cell r="EG191" t="str">
            <v>BOLD</v>
          </cell>
          <cell r="EJ191"/>
          <cell r="EK191" t="str">
            <v>BOLD</v>
          </cell>
          <cell r="EN191"/>
          <cell r="EO191" t="str">
            <v>BOLD</v>
          </cell>
          <cell r="ER191"/>
          <cell r="ES191" t="str">
            <v>BOLD</v>
          </cell>
          <cell r="EV191"/>
          <cell r="EW191" t="str">
            <v>BOLD</v>
          </cell>
          <cell r="EZ191"/>
          <cell r="FA191" t="str">
            <v>BOLD</v>
          </cell>
          <cell r="FD191"/>
          <cell r="FE191" t="str">
            <v>BOLD</v>
          </cell>
          <cell r="FH191"/>
          <cell r="FI191" t="str">
            <v>BOLD</v>
          </cell>
          <cell r="FL191"/>
          <cell r="FM191" t="str">
            <v>BOLD</v>
          </cell>
          <cell r="FP191"/>
          <cell r="FQ191" t="str">
            <v>BOLD</v>
          </cell>
          <cell r="FT191"/>
          <cell r="FU191" t="str">
            <v>BOLD</v>
          </cell>
          <cell r="FX191"/>
          <cell r="FY191" t="str">
            <v>BOLD</v>
          </cell>
          <cell r="GB191"/>
          <cell r="GC191" t="str">
            <v>BOLD</v>
          </cell>
          <cell r="GF191"/>
          <cell r="GG191" t="str">
            <v>BOLD</v>
          </cell>
          <cell r="GJ191"/>
          <cell r="GK191" t="str">
            <v>BOLD</v>
          </cell>
          <cell r="GN191"/>
          <cell r="GO191" t="str">
            <v>BOLD</v>
          </cell>
          <cell r="GR191"/>
          <cell r="GS191" t="str">
            <v>BOLD</v>
          </cell>
          <cell r="GV191"/>
          <cell r="GW191" t="str">
            <v>BOLD</v>
          </cell>
          <cell r="GZ191"/>
          <cell r="HA191" t="str">
            <v>BOLD</v>
          </cell>
          <cell r="HD191"/>
          <cell r="HE191" t="str">
            <v>BOLD</v>
          </cell>
          <cell r="HH191"/>
          <cell r="HI191" t="str">
            <v>BOLD</v>
          </cell>
          <cell r="HL191"/>
          <cell r="HM191" t="str">
            <v>BOLD</v>
          </cell>
          <cell r="HP191"/>
          <cell r="HQ191" t="str">
            <v>BOLD</v>
          </cell>
          <cell r="HT191"/>
          <cell r="HU191" t="str">
            <v>BOLD</v>
          </cell>
        </row>
        <row r="192">
          <cell r="A192">
            <v>191</v>
          </cell>
          <cell r="D192"/>
          <cell r="E192" t="str">
            <v>BOLD</v>
          </cell>
          <cell r="H192"/>
          <cell r="I192" t="str">
            <v>BOLD</v>
          </cell>
          <cell r="P192"/>
          <cell r="Q192" t="str">
            <v>BOLD</v>
          </cell>
          <cell r="T192"/>
          <cell r="U192" t="str">
            <v>BOLD</v>
          </cell>
          <cell r="X192"/>
          <cell r="Y192" t="str">
            <v>BOLD</v>
          </cell>
          <cell r="AB192"/>
          <cell r="AC192" t="str">
            <v>BOLD</v>
          </cell>
          <cell r="AF192"/>
          <cell r="AG192" t="str">
            <v>BOLD</v>
          </cell>
          <cell r="AJ192"/>
          <cell r="AK192" t="str">
            <v>BOLD</v>
          </cell>
          <cell r="AN192"/>
          <cell r="AO192" t="str">
            <v>BOLD</v>
          </cell>
          <cell r="AR192"/>
          <cell r="AS192" t="str">
            <v>BOLD</v>
          </cell>
          <cell r="AV192"/>
          <cell r="AW192" t="str">
            <v>BOLD</v>
          </cell>
          <cell r="AZ192"/>
          <cell r="BA192" t="str">
            <v>BOLD</v>
          </cell>
          <cell r="BD192"/>
          <cell r="BE192" t="str">
            <v>BOLD</v>
          </cell>
          <cell r="BH192"/>
          <cell r="BI192" t="str">
            <v>BOLD</v>
          </cell>
          <cell r="BL192"/>
          <cell r="BM192" t="str">
            <v>BOLD</v>
          </cell>
          <cell r="BP192"/>
          <cell r="BQ192" t="str">
            <v>BOLD</v>
          </cell>
          <cell r="BT192"/>
          <cell r="BU192" t="str">
            <v>BOLD</v>
          </cell>
          <cell r="BX192"/>
          <cell r="BY192" t="str">
            <v>BOLD</v>
          </cell>
          <cell r="CB192"/>
          <cell r="CC192" t="str">
            <v>BOLD</v>
          </cell>
          <cell r="CF192"/>
          <cell r="CG192" t="str">
            <v>BOLD</v>
          </cell>
          <cell r="CJ192"/>
          <cell r="CK192" t="str">
            <v>BOLD</v>
          </cell>
          <cell r="CN192"/>
          <cell r="CO192" t="str">
            <v>BOLD</v>
          </cell>
          <cell r="CR192"/>
          <cell r="CS192" t="str">
            <v>BOLD</v>
          </cell>
          <cell r="CV192"/>
          <cell r="CW192" t="str">
            <v>BOLD</v>
          </cell>
          <cell r="CZ192"/>
          <cell r="DA192" t="str">
            <v>BOLD</v>
          </cell>
          <cell r="DD192"/>
          <cell r="DE192" t="str">
            <v>BOLD</v>
          </cell>
          <cell r="DH192"/>
          <cell r="DI192" t="str">
            <v>BOLD</v>
          </cell>
          <cell r="DL192"/>
          <cell r="DM192" t="str">
            <v>BOLD</v>
          </cell>
          <cell r="DP192"/>
          <cell r="DQ192" t="str">
            <v>BOLD</v>
          </cell>
          <cell r="DT192"/>
          <cell r="DU192" t="str">
            <v>BOLD</v>
          </cell>
          <cell r="DX192"/>
          <cell r="DY192" t="str">
            <v>BOLD</v>
          </cell>
          <cell r="EB192"/>
          <cell r="EC192" t="str">
            <v>BOLD</v>
          </cell>
          <cell r="EF192"/>
          <cell r="EG192" t="str">
            <v>BOLD</v>
          </cell>
          <cell r="EJ192"/>
          <cell r="EK192" t="str">
            <v>BOLD</v>
          </cell>
          <cell r="EN192"/>
          <cell r="EO192" t="str">
            <v>BOLD</v>
          </cell>
          <cell r="ER192"/>
          <cell r="ES192" t="str">
            <v>BOLD</v>
          </cell>
          <cell r="EV192"/>
          <cell r="EW192" t="str">
            <v>BOLD</v>
          </cell>
          <cell r="EZ192"/>
          <cell r="FA192" t="str">
            <v>BOLD</v>
          </cell>
          <cell r="FD192"/>
          <cell r="FE192" t="str">
            <v>BOLD</v>
          </cell>
          <cell r="FH192"/>
          <cell r="FI192" t="str">
            <v>BOLD</v>
          </cell>
          <cell r="FL192"/>
          <cell r="FM192" t="str">
            <v>BOLD</v>
          </cell>
          <cell r="FP192"/>
          <cell r="FQ192" t="str">
            <v>BOLD</v>
          </cell>
          <cell r="FT192"/>
          <cell r="FU192" t="str">
            <v>BOLD</v>
          </cell>
          <cell r="FX192"/>
          <cell r="FY192" t="str">
            <v>BOLD</v>
          </cell>
          <cell r="GB192"/>
          <cell r="GC192" t="str">
            <v>BOLD</v>
          </cell>
          <cell r="GF192"/>
          <cell r="GG192" t="str">
            <v>BOLD</v>
          </cell>
          <cell r="GJ192"/>
          <cell r="GK192" t="str">
            <v>BOLD</v>
          </cell>
          <cell r="GN192"/>
          <cell r="GO192" t="str">
            <v>BOLD</v>
          </cell>
          <cell r="GR192"/>
          <cell r="GS192" t="str">
            <v>BOLD</v>
          </cell>
          <cell r="GV192"/>
          <cell r="GW192" t="str">
            <v>BOLD</v>
          </cell>
          <cell r="GZ192"/>
          <cell r="HA192" t="str">
            <v>BOLD</v>
          </cell>
          <cell r="HD192"/>
          <cell r="HE192" t="str">
            <v>BOLD</v>
          </cell>
          <cell r="HH192"/>
          <cell r="HI192" t="str">
            <v>BOLD</v>
          </cell>
          <cell r="HL192"/>
          <cell r="HM192" t="str">
            <v>BOLD</v>
          </cell>
          <cell r="HP192"/>
          <cell r="HQ192" t="str">
            <v>BOLD</v>
          </cell>
          <cell r="HT192"/>
          <cell r="HU192" t="str">
            <v>BOLD</v>
          </cell>
        </row>
        <row r="193">
          <cell r="A193">
            <v>192</v>
          </cell>
          <cell r="D193"/>
          <cell r="E193" t="str">
            <v>BOLD</v>
          </cell>
          <cell r="H193"/>
          <cell r="I193" t="str">
            <v>BOLD</v>
          </cell>
          <cell r="P193"/>
          <cell r="Q193" t="str">
            <v>BOLD</v>
          </cell>
          <cell r="T193"/>
          <cell r="U193" t="str">
            <v>BOLD</v>
          </cell>
          <cell r="X193"/>
          <cell r="Y193" t="str">
            <v>BOLD</v>
          </cell>
          <cell r="AB193"/>
          <cell r="AC193" t="str">
            <v>BOLD</v>
          </cell>
          <cell r="AF193"/>
          <cell r="AG193" t="str">
            <v>BOLD</v>
          </cell>
          <cell r="AJ193"/>
          <cell r="AK193" t="str">
            <v>BOLD</v>
          </cell>
          <cell r="AN193"/>
          <cell r="AO193" t="str">
            <v>BOLD</v>
          </cell>
          <cell r="AR193"/>
          <cell r="AS193" t="str">
            <v>BOLD</v>
          </cell>
          <cell r="AV193"/>
          <cell r="AW193" t="str">
            <v>BOLD</v>
          </cell>
          <cell r="AZ193"/>
          <cell r="BA193" t="str">
            <v>BOLD</v>
          </cell>
          <cell r="BD193"/>
          <cell r="BE193" t="str">
            <v>BOLD</v>
          </cell>
          <cell r="BH193"/>
          <cell r="BI193" t="str">
            <v>BOLD</v>
          </cell>
          <cell r="BL193"/>
          <cell r="BM193" t="str">
            <v>BOLD</v>
          </cell>
          <cell r="BP193"/>
          <cell r="BQ193" t="str">
            <v>BOLD</v>
          </cell>
          <cell r="BT193"/>
          <cell r="BU193" t="str">
            <v>BOLD</v>
          </cell>
          <cell r="BX193"/>
          <cell r="BY193" t="str">
            <v>BOLD</v>
          </cell>
          <cell r="CB193"/>
          <cell r="CC193" t="str">
            <v>BOLD</v>
          </cell>
          <cell r="CF193"/>
          <cell r="CG193" t="str">
            <v>BOLD</v>
          </cell>
          <cell r="CJ193"/>
          <cell r="CK193" t="str">
            <v>BOLD</v>
          </cell>
          <cell r="CN193"/>
          <cell r="CO193" t="str">
            <v>BOLD</v>
          </cell>
          <cell r="CR193"/>
          <cell r="CS193" t="str">
            <v>BOLD</v>
          </cell>
          <cell r="CV193"/>
          <cell r="CW193" t="str">
            <v>BOLD</v>
          </cell>
          <cell r="CZ193"/>
          <cell r="DA193" t="str">
            <v>BOLD</v>
          </cell>
          <cell r="DD193"/>
          <cell r="DE193" t="str">
            <v>BOLD</v>
          </cell>
          <cell r="DH193"/>
          <cell r="DI193" t="str">
            <v>BOLD</v>
          </cell>
          <cell r="DL193"/>
          <cell r="DM193" t="str">
            <v>BOLD</v>
          </cell>
          <cell r="DP193"/>
          <cell r="DQ193" t="str">
            <v>BOLD</v>
          </cell>
          <cell r="DT193"/>
          <cell r="DU193" t="str">
            <v>BOLD</v>
          </cell>
          <cell r="DX193"/>
          <cell r="DY193" t="str">
            <v>BOLD</v>
          </cell>
          <cell r="EB193"/>
          <cell r="EC193" t="str">
            <v>BOLD</v>
          </cell>
          <cell r="EF193"/>
          <cell r="EG193" t="str">
            <v>BOLD</v>
          </cell>
          <cell r="EJ193"/>
          <cell r="EK193" t="str">
            <v>BOLD</v>
          </cell>
          <cell r="EN193"/>
          <cell r="EO193" t="str">
            <v>BOLD</v>
          </cell>
          <cell r="ER193"/>
          <cell r="ES193" t="str">
            <v>BOLD</v>
          </cell>
          <cell r="EV193"/>
          <cell r="EW193" t="str">
            <v>BOLD</v>
          </cell>
          <cell r="EZ193"/>
          <cell r="FA193" t="str">
            <v>BOLD</v>
          </cell>
          <cell r="FD193"/>
          <cell r="FE193" t="str">
            <v>BOLD</v>
          </cell>
          <cell r="FH193"/>
          <cell r="FI193" t="str">
            <v>BOLD</v>
          </cell>
          <cell r="FL193"/>
          <cell r="FM193" t="str">
            <v>BOLD</v>
          </cell>
          <cell r="FP193"/>
          <cell r="FQ193" t="str">
            <v>BOLD</v>
          </cell>
          <cell r="FT193"/>
          <cell r="FU193" t="str">
            <v>BOLD</v>
          </cell>
          <cell r="FX193"/>
          <cell r="FY193" t="str">
            <v>BOLD</v>
          </cell>
          <cell r="GB193"/>
          <cell r="GC193" t="str">
            <v>BOLD</v>
          </cell>
          <cell r="GF193"/>
          <cell r="GG193" t="str">
            <v>BOLD</v>
          </cell>
          <cell r="GJ193"/>
          <cell r="GK193" t="str">
            <v>BOLD</v>
          </cell>
          <cell r="GN193"/>
          <cell r="GO193" t="str">
            <v>BOLD</v>
          </cell>
          <cell r="GR193"/>
          <cell r="GS193" t="str">
            <v>BOLD</v>
          </cell>
          <cell r="GV193"/>
          <cell r="GW193" t="str">
            <v>BOLD</v>
          </cell>
          <cell r="GZ193"/>
          <cell r="HA193" t="str">
            <v>BOLD</v>
          </cell>
          <cell r="HD193"/>
          <cell r="HE193" t="str">
            <v>BOLD</v>
          </cell>
          <cell r="HH193"/>
          <cell r="HI193" t="str">
            <v>BOLD</v>
          </cell>
          <cell r="HL193"/>
          <cell r="HM193" t="str">
            <v>BOLD</v>
          </cell>
          <cell r="HP193"/>
          <cell r="HQ193" t="str">
            <v>BOLD</v>
          </cell>
          <cell r="HT193"/>
          <cell r="HU193" t="str">
            <v>BOLD</v>
          </cell>
        </row>
        <row r="194">
          <cell r="A194">
            <v>193</v>
          </cell>
          <cell r="D194"/>
          <cell r="E194" t="str">
            <v>BOLD</v>
          </cell>
          <cell r="H194"/>
          <cell r="I194" t="str">
            <v>BOLD</v>
          </cell>
          <cell r="P194"/>
          <cell r="Q194" t="str">
            <v>BOLD</v>
          </cell>
          <cell r="T194"/>
          <cell r="U194" t="str">
            <v>BOLD</v>
          </cell>
          <cell r="X194"/>
          <cell r="Y194" t="str">
            <v>BOLD</v>
          </cell>
          <cell r="AB194"/>
          <cell r="AC194" t="str">
            <v>BOLD</v>
          </cell>
          <cell r="AF194"/>
          <cell r="AG194" t="str">
            <v>BOLD</v>
          </cell>
          <cell r="AJ194"/>
          <cell r="AK194" t="str">
            <v>BOLD</v>
          </cell>
          <cell r="AN194"/>
          <cell r="AO194" t="str">
            <v>BOLD</v>
          </cell>
          <cell r="AR194"/>
          <cell r="AS194" t="str">
            <v>BOLD</v>
          </cell>
          <cell r="AV194"/>
          <cell r="AW194" t="str">
            <v>BOLD</v>
          </cell>
          <cell r="AZ194"/>
          <cell r="BA194" t="str">
            <v>BOLD</v>
          </cell>
          <cell r="BD194"/>
          <cell r="BE194" t="str">
            <v>BOLD</v>
          </cell>
          <cell r="BH194"/>
          <cell r="BI194" t="str">
            <v>BOLD</v>
          </cell>
          <cell r="BL194"/>
          <cell r="BM194" t="str">
            <v>BOLD</v>
          </cell>
          <cell r="BP194"/>
          <cell r="BQ194" t="str">
            <v>BOLD</v>
          </cell>
          <cell r="BT194"/>
          <cell r="BU194" t="str">
            <v>BOLD</v>
          </cell>
          <cell r="BX194"/>
          <cell r="BY194" t="str">
            <v>BOLD</v>
          </cell>
          <cell r="CB194"/>
          <cell r="CC194" t="str">
            <v>BOLD</v>
          </cell>
          <cell r="CF194"/>
          <cell r="CG194" t="str">
            <v>BOLD</v>
          </cell>
          <cell r="CJ194"/>
          <cell r="CK194" t="str">
            <v>BOLD</v>
          </cell>
          <cell r="CN194"/>
          <cell r="CO194" t="str">
            <v>BOLD</v>
          </cell>
          <cell r="CR194"/>
          <cell r="CS194" t="str">
            <v>BOLD</v>
          </cell>
          <cell r="CV194"/>
          <cell r="CW194" t="str">
            <v>BOLD</v>
          </cell>
          <cell r="CZ194"/>
          <cell r="DA194" t="str">
            <v>BOLD</v>
          </cell>
          <cell r="DD194"/>
          <cell r="DE194" t="str">
            <v>BOLD</v>
          </cell>
          <cell r="DH194"/>
          <cell r="DI194" t="str">
            <v>BOLD</v>
          </cell>
          <cell r="DL194"/>
          <cell r="DM194" t="str">
            <v>BOLD</v>
          </cell>
          <cell r="DP194"/>
          <cell r="DQ194" t="str">
            <v>BOLD</v>
          </cell>
          <cell r="DT194"/>
          <cell r="DU194" t="str">
            <v>BOLD</v>
          </cell>
          <cell r="DX194"/>
          <cell r="DY194" t="str">
            <v>BOLD</v>
          </cell>
          <cell r="EB194"/>
          <cell r="EC194" t="str">
            <v>BOLD</v>
          </cell>
          <cell r="EF194"/>
          <cell r="EG194" t="str">
            <v>BOLD</v>
          </cell>
          <cell r="EJ194"/>
          <cell r="EK194" t="str">
            <v>BOLD</v>
          </cell>
          <cell r="EN194"/>
          <cell r="EO194" t="str">
            <v>BOLD</v>
          </cell>
          <cell r="ER194"/>
          <cell r="ES194" t="str">
            <v>BOLD</v>
          </cell>
          <cell r="EV194"/>
          <cell r="EW194" t="str">
            <v>BOLD</v>
          </cell>
          <cell r="EZ194"/>
          <cell r="FA194" t="str">
            <v>BOLD</v>
          </cell>
          <cell r="FD194"/>
          <cell r="FE194" t="str">
            <v>BOLD</v>
          </cell>
          <cell r="FH194"/>
          <cell r="FI194" t="str">
            <v>BOLD</v>
          </cell>
          <cell r="FL194"/>
          <cell r="FM194" t="str">
            <v>BOLD</v>
          </cell>
          <cell r="FP194"/>
          <cell r="FQ194" t="str">
            <v>BOLD</v>
          </cell>
          <cell r="FT194"/>
          <cell r="FU194" t="str">
            <v>BOLD</v>
          </cell>
          <cell r="FX194"/>
          <cell r="FY194" t="str">
            <v>BOLD</v>
          </cell>
          <cell r="GB194"/>
          <cell r="GC194" t="str">
            <v>BOLD</v>
          </cell>
          <cell r="GF194"/>
          <cell r="GG194" t="str">
            <v>BOLD</v>
          </cell>
          <cell r="GJ194"/>
          <cell r="GK194" t="str">
            <v>BOLD</v>
          </cell>
          <cell r="GN194"/>
          <cell r="GO194" t="str">
            <v>BOLD</v>
          </cell>
          <cell r="GR194"/>
          <cell r="GS194" t="str">
            <v>BOLD</v>
          </cell>
          <cell r="GV194"/>
          <cell r="GW194" t="str">
            <v>BOLD</v>
          </cell>
          <cell r="GZ194"/>
          <cell r="HA194" t="str">
            <v>BOLD</v>
          </cell>
          <cell r="HD194"/>
          <cell r="HE194" t="str">
            <v>BOLD</v>
          </cell>
          <cell r="HH194"/>
          <cell r="HI194" t="str">
            <v>BOLD</v>
          </cell>
          <cell r="HL194"/>
          <cell r="HM194" t="str">
            <v>BOLD</v>
          </cell>
          <cell r="HP194"/>
          <cell r="HQ194" t="str">
            <v>BOLD</v>
          </cell>
          <cell r="HT194"/>
          <cell r="HU194" t="str">
            <v>BOLD</v>
          </cell>
        </row>
        <row r="195">
          <cell r="A195">
            <v>194</v>
          </cell>
          <cell r="D195"/>
          <cell r="E195" t="str">
            <v>BOLD</v>
          </cell>
          <cell r="H195"/>
          <cell r="I195" t="str">
            <v>BOLD</v>
          </cell>
          <cell r="P195"/>
          <cell r="Q195" t="str">
            <v>BOLD</v>
          </cell>
          <cell r="T195"/>
          <cell r="U195" t="str">
            <v>BOLD</v>
          </cell>
          <cell r="X195"/>
          <cell r="Y195" t="str">
            <v>BOLD</v>
          </cell>
          <cell r="AB195"/>
          <cell r="AC195" t="str">
            <v>BOLD</v>
          </cell>
          <cell r="AF195"/>
          <cell r="AG195" t="str">
            <v>BOLD</v>
          </cell>
          <cell r="AJ195"/>
          <cell r="AK195" t="str">
            <v>BOLD</v>
          </cell>
          <cell r="AN195"/>
          <cell r="AO195" t="str">
            <v>BOLD</v>
          </cell>
          <cell r="AR195"/>
          <cell r="AS195" t="str">
            <v>BOLD</v>
          </cell>
          <cell r="AV195"/>
          <cell r="AW195" t="str">
            <v>BOLD</v>
          </cell>
          <cell r="AZ195"/>
          <cell r="BA195" t="str">
            <v>BOLD</v>
          </cell>
          <cell r="BD195"/>
          <cell r="BE195" t="str">
            <v>BOLD</v>
          </cell>
          <cell r="BH195"/>
          <cell r="BI195" t="str">
            <v>BOLD</v>
          </cell>
          <cell r="BL195"/>
          <cell r="BM195" t="str">
            <v>BOLD</v>
          </cell>
          <cell r="BP195"/>
          <cell r="BQ195" t="str">
            <v>BOLD</v>
          </cell>
          <cell r="BT195"/>
          <cell r="BU195" t="str">
            <v>BOLD</v>
          </cell>
          <cell r="BX195"/>
          <cell r="BY195" t="str">
            <v>BOLD</v>
          </cell>
          <cell r="CB195"/>
          <cell r="CC195" t="str">
            <v>BOLD</v>
          </cell>
          <cell r="CF195"/>
          <cell r="CG195" t="str">
            <v>BOLD</v>
          </cell>
          <cell r="CJ195"/>
          <cell r="CK195" t="str">
            <v>BOLD</v>
          </cell>
          <cell r="CN195"/>
          <cell r="CO195" t="str">
            <v>BOLD</v>
          </cell>
          <cell r="CR195"/>
          <cell r="CS195" t="str">
            <v>BOLD</v>
          </cell>
          <cell r="CV195"/>
          <cell r="CW195" t="str">
            <v>BOLD</v>
          </cell>
          <cell r="CZ195"/>
          <cell r="DA195" t="str">
            <v>BOLD</v>
          </cell>
          <cell r="DD195"/>
          <cell r="DE195" t="str">
            <v>BOLD</v>
          </cell>
          <cell r="DH195"/>
          <cell r="DI195" t="str">
            <v>BOLD</v>
          </cell>
          <cell r="DL195"/>
          <cell r="DM195" t="str">
            <v>BOLD</v>
          </cell>
          <cell r="DP195"/>
          <cell r="DQ195" t="str">
            <v>BOLD</v>
          </cell>
          <cell r="DT195"/>
          <cell r="DU195" t="str">
            <v>BOLD</v>
          </cell>
          <cell r="DX195"/>
          <cell r="DY195" t="str">
            <v>BOLD</v>
          </cell>
          <cell r="EB195"/>
          <cell r="EC195" t="str">
            <v>BOLD</v>
          </cell>
          <cell r="EF195"/>
          <cell r="EG195" t="str">
            <v>BOLD</v>
          </cell>
          <cell r="EJ195"/>
          <cell r="EK195" t="str">
            <v>BOLD</v>
          </cell>
          <cell r="EN195"/>
          <cell r="EO195" t="str">
            <v>BOLD</v>
          </cell>
          <cell r="ER195"/>
          <cell r="ES195" t="str">
            <v>BOLD</v>
          </cell>
          <cell r="EV195"/>
          <cell r="EW195" t="str">
            <v>BOLD</v>
          </cell>
          <cell r="EZ195"/>
          <cell r="FA195" t="str">
            <v>BOLD</v>
          </cell>
          <cell r="FD195"/>
          <cell r="FE195" t="str">
            <v>BOLD</v>
          </cell>
          <cell r="FH195"/>
          <cell r="FI195" t="str">
            <v>BOLD</v>
          </cell>
          <cell r="FL195"/>
          <cell r="FM195" t="str">
            <v>BOLD</v>
          </cell>
          <cell r="FP195"/>
          <cell r="FQ195" t="str">
            <v>BOLD</v>
          </cell>
          <cell r="FT195"/>
          <cell r="FU195" t="str">
            <v>BOLD</v>
          </cell>
          <cell r="FX195"/>
          <cell r="FY195" t="str">
            <v>BOLD</v>
          </cell>
          <cell r="GB195"/>
          <cell r="GC195" t="str">
            <v>BOLD</v>
          </cell>
          <cell r="GF195"/>
          <cell r="GG195" t="str">
            <v>BOLD</v>
          </cell>
          <cell r="GJ195"/>
          <cell r="GK195" t="str">
            <v>BOLD</v>
          </cell>
          <cell r="GN195"/>
          <cell r="GO195" t="str">
            <v>BOLD</v>
          </cell>
          <cell r="GR195"/>
          <cell r="GS195" t="str">
            <v>BOLD</v>
          </cell>
          <cell r="GV195"/>
          <cell r="GW195" t="str">
            <v>BOLD</v>
          </cell>
          <cell r="GZ195"/>
          <cell r="HA195" t="str">
            <v>BOLD</v>
          </cell>
          <cell r="HD195"/>
          <cell r="HE195" t="str">
            <v>BOLD</v>
          </cell>
          <cell r="HH195"/>
          <cell r="HI195" t="str">
            <v>BOLD</v>
          </cell>
          <cell r="HL195"/>
          <cell r="HM195" t="str">
            <v>BOLD</v>
          </cell>
          <cell r="HP195"/>
          <cell r="HQ195" t="str">
            <v>BOLD</v>
          </cell>
          <cell r="HT195"/>
          <cell r="HU195" t="str">
            <v>BOLD</v>
          </cell>
        </row>
        <row r="196">
          <cell r="A196">
            <v>195</v>
          </cell>
          <cell r="D196"/>
          <cell r="E196" t="str">
            <v>BOLD</v>
          </cell>
          <cell r="H196"/>
          <cell r="I196" t="str">
            <v>BOLD</v>
          </cell>
          <cell r="P196"/>
          <cell r="Q196" t="str">
            <v>BOLD</v>
          </cell>
          <cell r="T196"/>
          <cell r="U196" t="str">
            <v>BOLD</v>
          </cell>
          <cell r="X196"/>
          <cell r="Y196" t="str">
            <v>BOLD</v>
          </cell>
          <cell r="AB196"/>
          <cell r="AC196" t="str">
            <v>BOLD</v>
          </cell>
          <cell r="AF196"/>
          <cell r="AG196" t="str">
            <v>BOLD</v>
          </cell>
          <cell r="AJ196"/>
          <cell r="AK196" t="str">
            <v>BOLD</v>
          </cell>
          <cell r="AN196"/>
          <cell r="AO196" t="str">
            <v>BOLD</v>
          </cell>
          <cell r="AR196"/>
          <cell r="AS196" t="str">
            <v>BOLD</v>
          </cell>
          <cell r="AV196"/>
          <cell r="AW196" t="str">
            <v>BOLD</v>
          </cell>
          <cell r="AZ196"/>
          <cell r="BA196" t="str">
            <v>BOLD</v>
          </cell>
          <cell r="BD196"/>
          <cell r="BE196" t="str">
            <v>BOLD</v>
          </cell>
          <cell r="BH196"/>
          <cell r="BI196" t="str">
            <v>BOLD</v>
          </cell>
          <cell r="BL196"/>
          <cell r="BM196" t="str">
            <v>BOLD</v>
          </cell>
          <cell r="BP196"/>
          <cell r="BQ196" t="str">
            <v>BOLD</v>
          </cell>
          <cell r="BT196"/>
          <cell r="BU196" t="str">
            <v>BOLD</v>
          </cell>
          <cell r="BX196"/>
          <cell r="BY196" t="str">
            <v>BOLD</v>
          </cell>
          <cell r="CB196"/>
          <cell r="CC196" t="str">
            <v>BOLD</v>
          </cell>
          <cell r="CF196"/>
          <cell r="CG196" t="str">
            <v>BOLD</v>
          </cell>
          <cell r="CJ196"/>
          <cell r="CK196" t="str">
            <v>BOLD</v>
          </cell>
          <cell r="CN196"/>
          <cell r="CO196" t="str">
            <v>BOLD</v>
          </cell>
          <cell r="CR196"/>
          <cell r="CS196" t="str">
            <v>BOLD</v>
          </cell>
          <cell r="CV196"/>
          <cell r="CW196" t="str">
            <v>BOLD</v>
          </cell>
          <cell r="CZ196"/>
          <cell r="DA196" t="str">
            <v>BOLD</v>
          </cell>
          <cell r="DD196"/>
          <cell r="DE196" t="str">
            <v>BOLD</v>
          </cell>
          <cell r="DH196"/>
          <cell r="DI196" t="str">
            <v>BOLD</v>
          </cell>
          <cell r="DL196"/>
          <cell r="DM196" t="str">
            <v>BOLD</v>
          </cell>
          <cell r="DP196"/>
          <cell r="DQ196" t="str">
            <v>BOLD</v>
          </cell>
          <cell r="DT196"/>
          <cell r="DU196" t="str">
            <v>BOLD</v>
          </cell>
          <cell r="DX196"/>
          <cell r="DY196" t="str">
            <v>BOLD</v>
          </cell>
          <cell r="EB196"/>
          <cell r="EC196" t="str">
            <v>BOLD</v>
          </cell>
          <cell r="EF196"/>
          <cell r="EG196" t="str">
            <v>BOLD</v>
          </cell>
          <cell r="EJ196"/>
          <cell r="EK196" t="str">
            <v>BOLD</v>
          </cell>
          <cell r="EN196"/>
          <cell r="EO196" t="str">
            <v>BOLD</v>
          </cell>
          <cell r="ER196"/>
          <cell r="ES196" t="str">
            <v>BOLD</v>
          </cell>
          <cell r="EV196"/>
          <cell r="EW196" t="str">
            <v>BOLD</v>
          </cell>
          <cell r="EZ196"/>
          <cell r="FA196" t="str">
            <v>BOLD</v>
          </cell>
          <cell r="FD196"/>
          <cell r="FE196" t="str">
            <v>BOLD</v>
          </cell>
          <cell r="FH196"/>
          <cell r="FI196" t="str">
            <v>BOLD</v>
          </cell>
          <cell r="FL196"/>
          <cell r="FM196" t="str">
            <v>BOLD</v>
          </cell>
          <cell r="FP196"/>
          <cell r="FQ196" t="str">
            <v>BOLD</v>
          </cell>
          <cell r="FT196"/>
          <cell r="FU196" t="str">
            <v>BOLD</v>
          </cell>
          <cell r="FX196"/>
          <cell r="FY196" t="str">
            <v>BOLD</v>
          </cell>
          <cell r="GB196"/>
          <cell r="GC196" t="str">
            <v>BOLD</v>
          </cell>
          <cell r="GF196"/>
          <cell r="GG196" t="str">
            <v>BOLD</v>
          </cell>
          <cell r="GJ196"/>
          <cell r="GK196" t="str">
            <v>BOLD</v>
          </cell>
          <cell r="GN196"/>
          <cell r="GO196" t="str">
            <v>BOLD</v>
          </cell>
          <cell r="GR196"/>
          <cell r="GS196" t="str">
            <v>BOLD</v>
          </cell>
          <cell r="GV196"/>
          <cell r="GW196" t="str">
            <v>BOLD</v>
          </cell>
          <cell r="GZ196"/>
          <cell r="HA196" t="str">
            <v>BOLD</v>
          </cell>
          <cell r="HD196"/>
          <cell r="HE196" t="str">
            <v>BOLD</v>
          </cell>
          <cell r="HH196"/>
          <cell r="HI196" t="str">
            <v>BOLD</v>
          </cell>
          <cell r="HL196"/>
          <cell r="HM196" t="str">
            <v>BOLD</v>
          </cell>
          <cell r="HP196"/>
          <cell r="HQ196" t="str">
            <v>BOLD</v>
          </cell>
          <cell r="HT196"/>
          <cell r="HU196" t="str">
            <v>BOLD</v>
          </cell>
        </row>
        <row r="197">
          <cell r="A197">
            <v>196</v>
          </cell>
          <cell r="D197"/>
          <cell r="E197" t="str">
            <v>BOLD</v>
          </cell>
          <cell r="H197"/>
          <cell r="I197" t="str">
            <v>BOLD</v>
          </cell>
          <cell r="P197"/>
          <cell r="Q197" t="str">
            <v>BOLD</v>
          </cell>
          <cell r="T197"/>
          <cell r="U197" t="str">
            <v>BOLD</v>
          </cell>
          <cell r="X197"/>
          <cell r="Y197" t="str">
            <v>BOLD</v>
          </cell>
          <cell r="AB197"/>
          <cell r="AC197" t="str">
            <v>BOLD</v>
          </cell>
          <cell r="AF197"/>
          <cell r="AG197" t="str">
            <v>BOLD</v>
          </cell>
          <cell r="AJ197"/>
          <cell r="AK197" t="str">
            <v>BOLD</v>
          </cell>
          <cell r="AN197"/>
          <cell r="AO197" t="str">
            <v>BOLD</v>
          </cell>
          <cell r="AR197"/>
          <cell r="AS197" t="str">
            <v>BOLD</v>
          </cell>
          <cell r="AV197"/>
          <cell r="AW197" t="str">
            <v>BOLD</v>
          </cell>
          <cell r="AZ197"/>
          <cell r="BA197" t="str">
            <v>BOLD</v>
          </cell>
          <cell r="BD197"/>
          <cell r="BE197" t="str">
            <v>BOLD</v>
          </cell>
          <cell r="BH197"/>
          <cell r="BI197" t="str">
            <v>BOLD</v>
          </cell>
          <cell r="BL197"/>
          <cell r="BM197" t="str">
            <v>BOLD</v>
          </cell>
          <cell r="BP197"/>
          <cell r="BQ197" t="str">
            <v>BOLD</v>
          </cell>
          <cell r="BT197"/>
          <cell r="BU197" t="str">
            <v>BOLD</v>
          </cell>
          <cell r="BX197"/>
          <cell r="BY197" t="str">
            <v>BOLD</v>
          </cell>
          <cell r="CB197"/>
          <cell r="CC197" t="str">
            <v>BOLD</v>
          </cell>
          <cell r="CF197"/>
          <cell r="CG197" t="str">
            <v>BOLD</v>
          </cell>
          <cell r="CJ197"/>
          <cell r="CK197" t="str">
            <v>BOLD</v>
          </cell>
          <cell r="CN197"/>
          <cell r="CO197" t="str">
            <v>BOLD</v>
          </cell>
          <cell r="CR197"/>
          <cell r="CS197" t="str">
            <v>BOLD</v>
          </cell>
          <cell r="CV197"/>
          <cell r="CW197" t="str">
            <v>BOLD</v>
          </cell>
          <cell r="CZ197"/>
          <cell r="DA197" t="str">
            <v>BOLD</v>
          </cell>
          <cell r="DD197"/>
          <cell r="DE197" t="str">
            <v>BOLD</v>
          </cell>
          <cell r="DH197"/>
          <cell r="DI197" t="str">
            <v>BOLD</v>
          </cell>
          <cell r="DL197"/>
          <cell r="DM197" t="str">
            <v>BOLD</v>
          </cell>
          <cell r="DP197"/>
          <cell r="DQ197" t="str">
            <v>BOLD</v>
          </cell>
          <cell r="DT197"/>
          <cell r="DU197" t="str">
            <v>BOLD</v>
          </cell>
          <cell r="DX197"/>
          <cell r="DY197" t="str">
            <v>BOLD</v>
          </cell>
          <cell r="EB197"/>
          <cell r="EC197" t="str">
            <v>BOLD</v>
          </cell>
          <cell r="EF197"/>
          <cell r="EG197" t="str">
            <v>BOLD</v>
          </cell>
          <cell r="EJ197"/>
          <cell r="EK197" t="str">
            <v>BOLD</v>
          </cell>
          <cell r="EN197"/>
          <cell r="EO197" t="str">
            <v>BOLD</v>
          </cell>
          <cell r="ER197"/>
          <cell r="ES197" t="str">
            <v>BOLD</v>
          </cell>
          <cell r="EV197"/>
          <cell r="EW197" t="str">
            <v>BOLD</v>
          </cell>
          <cell r="EZ197"/>
          <cell r="FA197" t="str">
            <v>BOLD</v>
          </cell>
          <cell r="FD197"/>
          <cell r="FE197" t="str">
            <v>BOLD</v>
          </cell>
          <cell r="FH197"/>
          <cell r="FI197" t="str">
            <v>BOLD</v>
          </cell>
          <cell r="FL197"/>
          <cell r="FM197" t="str">
            <v>BOLD</v>
          </cell>
          <cell r="FP197"/>
          <cell r="FQ197" t="str">
            <v>BOLD</v>
          </cell>
          <cell r="FT197"/>
          <cell r="FU197" t="str">
            <v>BOLD</v>
          </cell>
          <cell r="FX197"/>
          <cell r="FY197" t="str">
            <v>BOLD</v>
          </cell>
          <cell r="GB197"/>
          <cell r="GC197" t="str">
            <v>BOLD</v>
          </cell>
          <cell r="GF197"/>
          <cell r="GG197" t="str">
            <v>BOLD</v>
          </cell>
          <cell r="GJ197"/>
          <cell r="GK197" t="str">
            <v>BOLD</v>
          </cell>
          <cell r="GN197"/>
          <cell r="GO197" t="str">
            <v>BOLD</v>
          </cell>
          <cell r="GR197"/>
          <cell r="GS197" t="str">
            <v>BOLD</v>
          </cell>
          <cell r="GV197"/>
          <cell r="GW197" t="str">
            <v>BOLD</v>
          </cell>
          <cell r="GZ197"/>
          <cell r="HA197" t="str">
            <v>BOLD</v>
          </cell>
          <cell r="HD197"/>
          <cell r="HE197" t="str">
            <v>BOLD</v>
          </cell>
          <cell r="HH197"/>
          <cell r="HI197" t="str">
            <v>BOLD</v>
          </cell>
          <cell r="HL197"/>
          <cell r="HM197" t="str">
            <v>BOLD</v>
          </cell>
          <cell r="HP197"/>
          <cell r="HQ197" t="str">
            <v>BOLD</v>
          </cell>
          <cell r="HT197"/>
          <cell r="HU197" t="str">
            <v>BOLD</v>
          </cell>
        </row>
        <row r="198">
          <cell r="A198">
            <v>197</v>
          </cell>
          <cell r="D198"/>
          <cell r="E198" t="str">
            <v>BOLD</v>
          </cell>
          <cell r="H198"/>
          <cell r="I198" t="str">
            <v>BOLD</v>
          </cell>
          <cell r="P198"/>
          <cell r="Q198" t="str">
            <v>BOLD</v>
          </cell>
          <cell r="T198"/>
          <cell r="U198" t="str">
            <v>BOLD</v>
          </cell>
          <cell r="X198"/>
          <cell r="Y198" t="str">
            <v>BOLD</v>
          </cell>
          <cell r="AB198"/>
          <cell r="AC198" t="str">
            <v>BOLD</v>
          </cell>
          <cell r="AF198"/>
          <cell r="AG198" t="str">
            <v>BOLD</v>
          </cell>
          <cell r="AJ198"/>
          <cell r="AK198" t="str">
            <v>BOLD</v>
          </cell>
          <cell r="AN198"/>
          <cell r="AO198" t="str">
            <v>BOLD</v>
          </cell>
          <cell r="AR198"/>
          <cell r="AS198" t="str">
            <v>BOLD</v>
          </cell>
          <cell r="AV198"/>
          <cell r="AW198" t="str">
            <v>BOLD</v>
          </cell>
          <cell r="AZ198"/>
          <cell r="BA198" t="str">
            <v>BOLD</v>
          </cell>
          <cell r="BD198"/>
          <cell r="BE198" t="str">
            <v>BOLD</v>
          </cell>
          <cell r="BH198"/>
          <cell r="BI198" t="str">
            <v>BOLD</v>
          </cell>
          <cell r="BL198"/>
          <cell r="BM198" t="str">
            <v>BOLD</v>
          </cell>
          <cell r="BP198"/>
          <cell r="BQ198" t="str">
            <v>BOLD</v>
          </cell>
          <cell r="BT198"/>
          <cell r="BU198" t="str">
            <v>BOLD</v>
          </cell>
          <cell r="BX198"/>
          <cell r="BY198" t="str">
            <v>BOLD</v>
          </cell>
          <cell r="CB198"/>
          <cell r="CC198" t="str">
            <v>BOLD</v>
          </cell>
          <cell r="CF198"/>
          <cell r="CG198" t="str">
            <v>BOLD</v>
          </cell>
          <cell r="CJ198"/>
          <cell r="CK198" t="str">
            <v>BOLD</v>
          </cell>
          <cell r="CN198"/>
          <cell r="CO198" t="str">
            <v>BOLD</v>
          </cell>
          <cell r="CR198"/>
          <cell r="CS198" t="str">
            <v>BOLD</v>
          </cell>
          <cell r="CV198"/>
          <cell r="CW198" t="str">
            <v>BOLD</v>
          </cell>
          <cell r="CZ198"/>
          <cell r="DA198" t="str">
            <v>BOLD</v>
          </cell>
          <cell r="DD198"/>
          <cell r="DE198" t="str">
            <v>BOLD</v>
          </cell>
          <cell r="DH198"/>
          <cell r="DI198" t="str">
            <v>BOLD</v>
          </cell>
          <cell r="DL198"/>
          <cell r="DM198" t="str">
            <v>BOLD</v>
          </cell>
          <cell r="DP198"/>
          <cell r="DQ198" t="str">
            <v>BOLD</v>
          </cell>
          <cell r="DT198"/>
          <cell r="DU198" t="str">
            <v>BOLD</v>
          </cell>
          <cell r="DX198"/>
          <cell r="DY198" t="str">
            <v>BOLD</v>
          </cell>
          <cell r="EB198"/>
          <cell r="EC198" t="str">
            <v>BOLD</v>
          </cell>
          <cell r="EF198"/>
          <cell r="EG198" t="str">
            <v>BOLD</v>
          </cell>
          <cell r="EJ198"/>
          <cell r="EK198" t="str">
            <v>BOLD</v>
          </cell>
          <cell r="EN198"/>
          <cell r="EO198" t="str">
            <v>BOLD</v>
          </cell>
          <cell r="ER198"/>
          <cell r="ES198" t="str">
            <v>BOLD</v>
          </cell>
          <cell r="EV198"/>
          <cell r="EW198" t="str">
            <v>BOLD</v>
          </cell>
          <cell r="EZ198"/>
          <cell r="FA198" t="str">
            <v>BOLD</v>
          </cell>
          <cell r="FD198"/>
          <cell r="FE198" t="str">
            <v>BOLD</v>
          </cell>
          <cell r="FH198"/>
          <cell r="FI198" t="str">
            <v>BOLD</v>
          </cell>
          <cell r="FL198"/>
          <cell r="FM198" t="str">
            <v>BOLD</v>
          </cell>
          <cell r="FP198"/>
          <cell r="FQ198" t="str">
            <v>BOLD</v>
          </cell>
          <cell r="FT198"/>
          <cell r="FU198" t="str">
            <v>BOLD</v>
          </cell>
          <cell r="FX198"/>
          <cell r="FY198" t="str">
            <v>BOLD</v>
          </cell>
          <cell r="GB198"/>
          <cell r="GC198" t="str">
            <v>BOLD</v>
          </cell>
          <cell r="GF198"/>
          <cell r="GG198" t="str">
            <v>BOLD</v>
          </cell>
          <cell r="GJ198"/>
          <cell r="GK198" t="str">
            <v>BOLD</v>
          </cell>
          <cell r="GN198"/>
          <cell r="GO198" t="str">
            <v>BOLD</v>
          </cell>
          <cell r="GR198"/>
          <cell r="GS198" t="str">
            <v>BOLD</v>
          </cell>
          <cell r="GV198"/>
          <cell r="GW198" t="str">
            <v>BOLD</v>
          </cell>
          <cell r="GZ198"/>
          <cell r="HA198" t="str">
            <v>BOLD</v>
          </cell>
          <cell r="HD198"/>
          <cell r="HE198" t="str">
            <v>BOLD</v>
          </cell>
          <cell r="HH198"/>
          <cell r="HI198" t="str">
            <v>BOLD</v>
          </cell>
          <cell r="HL198"/>
          <cell r="HM198" t="str">
            <v>BOLD</v>
          </cell>
          <cell r="HP198"/>
          <cell r="HQ198" t="str">
            <v>BOLD</v>
          </cell>
          <cell r="HT198"/>
          <cell r="HU198" t="str">
            <v>BOLD</v>
          </cell>
        </row>
        <row r="199">
          <cell r="A199">
            <v>198</v>
          </cell>
          <cell r="D199"/>
          <cell r="E199" t="str">
            <v>BOLD</v>
          </cell>
          <cell r="H199"/>
          <cell r="I199" t="str">
            <v>BOLD</v>
          </cell>
          <cell r="P199"/>
          <cell r="Q199" t="str">
            <v>BOLD</v>
          </cell>
          <cell r="T199"/>
          <cell r="U199" t="str">
            <v>BOLD</v>
          </cell>
          <cell r="X199"/>
          <cell r="Y199" t="str">
            <v>BOLD</v>
          </cell>
          <cell r="AB199"/>
          <cell r="AC199" t="str">
            <v>BOLD</v>
          </cell>
          <cell r="AF199"/>
          <cell r="AG199" t="str">
            <v>BOLD</v>
          </cell>
          <cell r="AJ199"/>
          <cell r="AK199" t="str">
            <v>BOLD</v>
          </cell>
          <cell r="AN199"/>
          <cell r="AO199" t="str">
            <v>BOLD</v>
          </cell>
          <cell r="AR199"/>
          <cell r="AS199" t="str">
            <v>BOLD</v>
          </cell>
          <cell r="AV199"/>
          <cell r="AW199" t="str">
            <v>BOLD</v>
          </cell>
          <cell r="AZ199"/>
          <cell r="BA199" t="str">
            <v>BOLD</v>
          </cell>
          <cell r="BD199"/>
          <cell r="BE199" t="str">
            <v>BOLD</v>
          </cell>
          <cell r="BH199"/>
          <cell r="BI199" t="str">
            <v>BOLD</v>
          </cell>
          <cell r="BL199"/>
          <cell r="BM199" t="str">
            <v>BOLD</v>
          </cell>
          <cell r="BP199"/>
          <cell r="BQ199" t="str">
            <v>BOLD</v>
          </cell>
          <cell r="BT199"/>
          <cell r="BU199" t="str">
            <v>BOLD</v>
          </cell>
          <cell r="BX199"/>
          <cell r="BY199" t="str">
            <v>BOLD</v>
          </cell>
          <cell r="CB199"/>
          <cell r="CC199" t="str">
            <v>BOLD</v>
          </cell>
          <cell r="CF199"/>
          <cell r="CG199" t="str">
            <v>BOLD</v>
          </cell>
          <cell r="CJ199"/>
          <cell r="CK199" t="str">
            <v>BOLD</v>
          </cell>
          <cell r="CN199"/>
          <cell r="CO199" t="str">
            <v>BOLD</v>
          </cell>
          <cell r="CR199"/>
          <cell r="CS199" t="str">
            <v>BOLD</v>
          </cell>
          <cell r="CV199"/>
          <cell r="CW199" t="str">
            <v>BOLD</v>
          </cell>
          <cell r="CZ199"/>
          <cell r="DA199" t="str">
            <v>BOLD</v>
          </cell>
          <cell r="DD199"/>
          <cell r="DE199" t="str">
            <v>BOLD</v>
          </cell>
          <cell r="DH199"/>
          <cell r="DI199" t="str">
            <v>BOLD</v>
          </cell>
          <cell r="DL199"/>
          <cell r="DM199" t="str">
            <v>BOLD</v>
          </cell>
          <cell r="DP199"/>
          <cell r="DQ199" t="str">
            <v>BOLD</v>
          </cell>
          <cell r="DT199"/>
          <cell r="DU199" t="str">
            <v>BOLD</v>
          </cell>
          <cell r="DX199"/>
          <cell r="DY199" t="str">
            <v>BOLD</v>
          </cell>
          <cell r="EB199"/>
          <cell r="EC199" t="str">
            <v>BOLD</v>
          </cell>
          <cell r="EF199"/>
          <cell r="EG199" t="str">
            <v>BOLD</v>
          </cell>
          <cell r="EJ199"/>
          <cell r="EK199" t="str">
            <v>BOLD</v>
          </cell>
          <cell r="EN199"/>
          <cell r="EO199" t="str">
            <v>BOLD</v>
          </cell>
          <cell r="ER199"/>
          <cell r="ES199" t="str">
            <v>BOLD</v>
          </cell>
          <cell r="EV199"/>
          <cell r="EW199" t="str">
            <v>BOLD</v>
          </cell>
          <cell r="EZ199"/>
          <cell r="FA199" t="str">
            <v>BOLD</v>
          </cell>
          <cell r="FD199"/>
          <cell r="FE199" t="str">
            <v>BOLD</v>
          </cell>
          <cell r="FH199"/>
          <cell r="FI199" t="str">
            <v>BOLD</v>
          </cell>
          <cell r="FL199"/>
          <cell r="FM199" t="str">
            <v>BOLD</v>
          </cell>
          <cell r="FP199"/>
          <cell r="FQ199" t="str">
            <v>BOLD</v>
          </cell>
          <cell r="FT199"/>
          <cell r="FU199" t="str">
            <v>BOLD</v>
          </cell>
          <cell r="FX199"/>
          <cell r="FY199" t="str">
            <v>BOLD</v>
          </cell>
          <cell r="GB199"/>
          <cell r="GC199" t="str">
            <v>BOLD</v>
          </cell>
          <cell r="GF199"/>
          <cell r="GG199" t="str">
            <v>BOLD</v>
          </cell>
          <cell r="GJ199"/>
          <cell r="GK199" t="str">
            <v>BOLD</v>
          </cell>
          <cell r="GN199"/>
          <cell r="GO199" t="str">
            <v>BOLD</v>
          </cell>
          <cell r="GR199"/>
          <cell r="GS199" t="str">
            <v>BOLD</v>
          </cell>
          <cell r="GV199"/>
          <cell r="GW199" t="str">
            <v>BOLD</v>
          </cell>
          <cell r="GZ199"/>
          <cell r="HA199" t="str">
            <v>BOLD</v>
          </cell>
          <cell r="HD199"/>
          <cell r="HE199" t="str">
            <v>BOLD</v>
          </cell>
          <cell r="HH199"/>
          <cell r="HI199" t="str">
            <v>BOLD</v>
          </cell>
          <cell r="HL199"/>
          <cell r="HM199" t="str">
            <v>BOLD</v>
          </cell>
          <cell r="HP199"/>
          <cell r="HQ199" t="str">
            <v>BOLD</v>
          </cell>
          <cell r="HT199"/>
          <cell r="HU199" t="str">
            <v>BOLD</v>
          </cell>
        </row>
        <row r="200">
          <cell r="A200">
            <v>199</v>
          </cell>
          <cell r="D200"/>
          <cell r="E200" t="str">
            <v>BOLD</v>
          </cell>
          <cell r="H200"/>
          <cell r="I200" t="str">
            <v>BOLD</v>
          </cell>
          <cell r="P200"/>
          <cell r="Q200" t="str">
            <v>BOLD</v>
          </cell>
          <cell r="T200"/>
          <cell r="U200" t="str">
            <v>BOLD</v>
          </cell>
          <cell r="X200"/>
          <cell r="Y200" t="str">
            <v>BOLD</v>
          </cell>
          <cell r="AB200"/>
          <cell r="AC200" t="str">
            <v>BOLD</v>
          </cell>
          <cell r="AF200"/>
          <cell r="AG200" t="str">
            <v>BOLD</v>
          </cell>
          <cell r="AJ200"/>
          <cell r="AK200" t="str">
            <v>BOLD</v>
          </cell>
          <cell r="AN200"/>
          <cell r="AO200" t="str">
            <v>BOLD</v>
          </cell>
          <cell r="AR200"/>
          <cell r="AS200" t="str">
            <v>BOLD</v>
          </cell>
          <cell r="AV200"/>
          <cell r="AW200" t="str">
            <v>BOLD</v>
          </cell>
          <cell r="AZ200"/>
          <cell r="BA200" t="str">
            <v>BOLD</v>
          </cell>
          <cell r="BD200"/>
          <cell r="BE200" t="str">
            <v>BOLD</v>
          </cell>
          <cell r="BH200"/>
          <cell r="BI200" t="str">
            <v>BOLD</v>
          </cell>
          <cell r="BL200"/>
          <cell r="BM200" t="str">
            <v>BOLD</v>
          </cell>
          <cell r="BP200"/>
          <cell r="BQ200" t="str">
            <v>BOLD</v>
          </cell>
          <cell r="BT200"/>
          <cell r="BU200" t="str">
            <v>BOLD</v>
          </cell>
          <cell r="BX200"/>
          <cell r="BY200" t="str">
            <v>BOLD</v>
          </cell>
          <cell r="CB200"/>
          <cell r="CC200" t="str">
            <v>BOLD</v>
          </cell>
          <cell r="CF200"/>
          <cell r="CG200" t="str">
            <v>BOLD</v>
          </cell>
          <cell r="CJ200"/>
          <cell r="CK200" t="str">
            <v>BOLD</v>
          </cell>
          <cell r="CN200"/>
          <cell r="CO200" t="str">
            <v>BOLD</v>
          </cell>
          <cell r="CR200"/>
          <cell r="CS200" t="str">
            <v>BOLD</v>
          </cell>
          <cell r="CV200"/>
          <cell r="CW200" t="str">
            <v>BOLD</v>
          </cell>
          <cell r="CZ200"/>
          <cell r="DA200" t="str">
            <v>BOLD</v>
          </cell>
          <cell r="DD200"/>
          <cell r="DE200" t="str">
            <v>BOLD</v>
          </cell>
          <cell r="DH200"/>
          <cell r="DI200" t="str">
            <v>BOLD</v>
          </cell>
          <cell r="DL200"/>
          <cell r="DM200" t="str">
            <v>BOLD</v>
          </cell>
          <cell r="DP200"/>
          <cell r="DQ200" t="str">
            <v>BOLD</v>
          </cell>
          <cell r="DT200"/>
          <cell r="DU200" t="str">
            <v>BOLD</v>
          </cell>
          <cell r="DX200"/>
          <cell r="DY200" t="str">
            <v>BOLD</v>
          </cell>
          <cell r="EB200"/>
          <cell r="EC200" t="str">
            <v>BOLD</v>
          </cell>
          <cell r="EF200"/>
          <cell r="EG200" t="str">
            <v>BOLD</v>
          </cell>
          <cell r="EJ200"/>
          <cell r="EK200" t="str">
            <v>BOLD</v>
          </cell>
          <cell r="EN200"/>
          <cell r="EO200" t="str">
            <v>BOLD</v>
          </cell>
          <cell r="ER200"/>
          <cell r="ES200" t="str">
            <v>BOLD</v>
          </cell>
          <cell r="EV200"/>
          <cell r="EW200" t="str">
            <v>BOLD</v>
          </cell>
          <cell r="EZ200"/>
          <cell r="FA200" t="str">
            <v>BOLD</v>
          </cell>
          <cell r="FD200"/>
          <cell r="FE200" t="str">
            <v>BOLD</v>
          </cell>
          <cell r="FH200"/>
          <cell r="FI200" t="str">
            <v>BOLD</v>
          </cell>
          <cell r="FL200"/>
          <cell r="FM200" t="str">
            <v>BOLD</v>
          </cell>
          <cell r="FP200"/>
          <cell r="FQ200" t="str">
            <v>BOLD</v>
          </cell>
          <cell r="FT200"/>
          <cell r="FU200" t="str">
            <v>BOLD</v>
          </cell>
          <cell r="FX200"/>
          <cell r="FY200" t="str">
            <v>BOLD</v>
          </cell>
          <cell r="GB200"/>
          <cell r="GC200" t="str">
            <v>BOLD</v>
          </cell>
          <cell r="GF200"/>
          <cell r="GG200" t="str">
            <v>BOLD</v>
          </cell>
          <cell r="GJ200"/>
          <cell r="GK200" t="str">
            <v>BOLD</v>
          </cell>
          <cell r="GN200"/>
          <cell r="GO200" t="str">
            <v>BOLD</v>
          </cell>
          <cell r="GR200"/>
          <cell r="GS200" t="str">
            <v>BOLD</v>
          </cell>
          <cell r="GV200"/>
          <cell r="GW200" t="str">
            <v>BOLD</v>
          </cell>
          <cell r="GZ200"/>
          <cell r="HA200" t="str">
            <v>BOLD</v>
          </cell>
          <cell r="HD200"/>
          <cell r="HE200" t="str">
            <v>BOLD</v>
          </cell>
          <cell r="HH200"/>
          <cell r="HI200" t="str">
            <v>BOLD</v>
          </cell>
          <cell r="HL200"/>
          <cell r="HM200" t="str">
            <v>BOLD</v>
          </cell>
          <cell r="HP200"/>
          <cell r="HQ200" t="str">
            <v>BOLD</v>
          </cell>
          <cell r="HT200"/>
          <cell r="HU200" t="str">
            <v>BOLD</v>
          </cell>
        </row>
        <row r="201">
          <cell r="A201">
            <v>200</v>
          </cell>
          <cell r="D201"/>
          <cell r="E201" t="str">
            <v>BOLD</v>
          </cell>
          <cell r="H201"/>
          <cell r="I201" t="str">
            <v>BOLD</v>
          </cell>
          <cell r="P201"/>
          <cell r="Q201" t="str">
            <v>BOLD</v>
          </cell>
          <cell r="T201"/>
          <cell r="U201" t="str">
            <v>BOLD</v>
          </cell>
          <cell r="X201"/>
          <cell r="Y201" t="str">
            <v>BOLD</v>
          </cell>
          <cell r="AB201"/>
          <cell r="AC201" t="str">
            <v>BOLD</v>
          </cell>
          <cell r="AF201"/>
          <cell r="AG201" t="str">
            <v>BOLD</v>
          </cell>
          <cell r="AJ201"/>
          <cell r="AK201" t="str">
            <v>BOLD</v>
          </cell>
          <cell r="AN201"/>
          <cell r="AO201" t="str">
            <v>BOLD</v>
          </cell>
          <cell r="AR201"/>
          <cell r="AS201" t="str">
            <v>BOLD</v>
          </cell>
          <cell r="AV201"/>
          <cell r="AW201" t="str">
            <v>BOLD</v>
          </cell>
          <cell r="AZ201"/>
          <cell r="BA201" t="str">
            <v>BOLD</v>
          </cell>
          <cell r="BD201"/>
          <cell r="BE201" t="str">
            <v>BOLD</v>
          </cell>
          <cell r="BH201"/>
          <cell r="BI201" t="str">
            <v>BOLD</v>
          </cell>
          <cell r="BL201"/>
          <cell r="BM201" t="str">
            <v>BOLD</v>
          </cell>
          <cell r="BP201"/>
          <cell r="BQ201" t="str">
            <v>BOLD</v>
          </cell>
          <cell r="BT201"/>
          <cell r="BU201" t="str">
            <v>BOLD</v>
          </cell>
          <cell r="BX201"/>
          <cell r="BY201" t="str">
            <v>BOLD</v>
          </cell>
          <cell r="CB201"/>
          <cell r="CC201" t="str">
            <v>BOLD</v>
          </cell>
          <cell r="CF201"/>
          <cell r="CG201" t="str">
            <v>BOLD</v>
          </cell>
          <cell r="CJ201"/>
          <cell r="CK201" t="str">
            <v>BOLD</v>
          </cell>
          <cell r="CN201"/>
          <cell r="CO201" t="str">
            <v>BOLD</v>
          </cell>
          <cell r="CR201"/>
          <cell r="CS201" t="str">
            <v>BOLD</v>
          </cell>
          <cell r="CV201"/>
          <cell r="CW201" t="str">
            <v>BOLD</v>
          </cell>
          <cell r="CZ201"/>
          <cell r="DA201" t="str">
            <v>BOLD</v>
          </cell>
          <cell r="DD201"/>
          <cell r="DE201" t="str">
            <v>BOLD</v>
          </cell>
          <cell r="DH201"/>
          <cell r="DI201" t="str">
            <v>BOLD</v>
          </cell>
          <cell r="DL201"/>
          <cell r="DM201" t="str">
            <v>BOLD</v>
          </cell>
          <cell r="DP201"/>
          <cell r="DQ201" t="str">
            <v>BOLD</v>
          </cell>
          <cell r="DT201"/>
          <cell r="DU201" t="str">
            <v>BOLD</v>
          </cell>
          <cell r="DX201"/>
          <cell r="DY201" t="str">
            <v>BOLD</v>
          </cell>
          <cell r="EB201"/>
          <cell r="EC201" t="str">
            <v>BOLD</v>
          </cell>
          <cell r="EF201"/>
          <cell r="EG201" t="str">
            <v>BOLD</v>
          </cell>
          <cell r="EJ201"/>
          <cell r="EK201" t="str">
            <v>BOLD</v>
          </cell>
          <cell r="EN201"/>
          <cell r="EO201" t="str">
            <v>BOLD</v>
          </cell>
          <cell r="ER201"/>
          <cell r="ES201" t="str">
            <v>BOLD</v>
          </cell>
          <cell r="EV201"/>
          <cell r="EW201" t="str">
            <v>BOLD</v>
          </cell>
          <cell r="EZ201"/>
          <cell r="FA201" t="str">
            <v>BOLD</v>
          </cell>
          <cell r="FD201"/>
          <cell r="FE201" t="str">
            <v>BOLD</v>
          </cell>
          <cell r="FH201"/>
          <cell r="FI201" t="str">
            <v>BOLD</v>
          </cell>
          <cell r="FL201"/>
          <cell r="FM201" t="str">
            <v>BOLD</v>
          </cell>
          <cell r="FP201"/>
          <cell r="FQ201" t="str">
            <v>BOLD</v>
          </cell>
          <cell r="FT201"/>
          <cell r="FU201" t="str">
            <v>BOLD</v>
          </cell>
          <cell r="FX201"/>
          <cell r="FY201" t="str">
            <v>BOLD</v>
          </cell>
          <cell r="GB201"/>
          <cell r="GC201" t="str">
            <v>BOLD</v>
          </cell>
          <cell r="GF201"/>
          <cell r="GG201" t="str">
            <v>BOLD</v>
          </cell>
          <cell r="GJ201"/>
          <cell r="GK201" t="str">
            <v>BOLD</v>
          </cell>
          <cell r="GN201"/>
          <cell r="GO201" t="str">
            <v>BOLD</v>
          </cell>
          <cell r="GR201"/>
          <cell r="GS201" t="str">
            <v>BOLD</v>
          </cell>
          <cell r="GV201"/>
          <cell r="GW201" t="str">
            <v>BOLD</v>
          </cell>
          <cell r="GZ201"/>
          <cell r="HA201" t="str">
            <v>BOLD</v>
          </cell>
          <cell r="HD201"/>
          <cell r="HE201" t="str">
            <v>BOLD</v>
          </cell>
          <cell r="HH201"/>
          <cell r="HI201" t="str">
            <v>BOLD</v>
          </cell>
          <cell r="HL201"/>
          <cell r="HM201" t="str">
            <v>BOLD</v>
          </cell>
          <cell r="HP201"/>
          <cell r="HQ201" t="str">
            <v>BOLD</v>
          </cell>
          <cell r="HT201"/>
          <cell r="HU201" t="str">
            <v>BOLD</v>
          </cell>
        </row>
        <row r="202">
          <cell r="D202"/>
          <cell r="E202" t="str">
            <v>BOLD</v>
          </cell>
          <cell r="H202"/>
          <cell r="I202" t="str">
            <v>BOLD</v>
          </cell>
          <cell r="P202"/>
          <cell r="Q202" t="str">
            <v>BOLD</v>
          </cell>
          <cell r="T202"/>
          <cell r="U202" t="str">
            <v>BOLD</v>
          </cell>
          <cell r="X202"/>
          <cell r="Y202" t="str">
            <v>BOLD</v>
          </cell>
          <cell r="AB202"/>
          <cell r="AC202" t="str">
            <v>BOLD</v>
          </cell>
          <cell r="AF202"/>
          <cell r="AG202" t="str">
            <v>BOLD</v>
          </cell>
          <cell r="AJ202"/>
          <cell r="AK202" t="str">
            <v>BOLD</v>
          </cell>
          <cell r="AN202"/>
          <cell r="AO202" t="str">
            <v>BOLD</v>
          </cell>
          <cell r="AR202"/>
          <cell r="AS202" t="str">
            <v>BOLD</v>
          </cell>
          <cell r="AV202"/>
          <cell r="AW202" t="str">
            <v>BOLD</v>
          </cell>
          <cell r="AZ202"/>
          <cell r="BA202" t="str">
            <v>BOLD</v>
          </cell>
          <cell r="BD202"/>
          <cell r="BE202" t="str">
            <v>BOLD</v>
          </cell>
          <cell r="BH202"/>
          <cell r="BI202" t="str">
            <v>BOLD</v>
          </cell>
          <cell r="BL202"/>
          <cell r="BM202" t="str">
            <v>BOLD</v>
          </cell>
          <cell r="BP202"/>
          <cell r="BQ202" t="str">
            <v>BOLD</v>
          </cell>
          <cell r="BT202"/>
          <cell r="BU202" t="str">
            <v>BOLD</v>
          </cell>
          <cell r="BX202"/>
          <cell r="BY202" t="str">
            <v>BOLD</v>
          </cell>
          <cell r="CB202"/>
          <cell r="CC202" t="str">
            <v>BOLD</v>
          </cell>
          <cell r="CF202"/>
          <cell r="CG202" t="str">
            <v>BOLD</v>
          </cell>
          <cell r="CJ202"/>
          <cell r="CK202" t="str">
            <v>BOLD</v>
          </cell>
          <cell r="CN202"/>
          <cell r="CO202" t="str">
            <v>BOLD</v>
          </cell>
          <cell r="CR202"/>
          <cell r="CS202" t="str">
            <v>BOLD</v>
          </cell>
          <cell r="CV202"/>
          <cell r="CW202" t="str">
            <v>BOLD</v>
          </cell>
          <cell r="CZ202"/>
          <cell r="DA202" t="str">
            <v>BOLD</v>
          </cell>
          <cell r="DD202"/>
          <cell r="DE202" t="str">
            <v>BOLD</v>
          </cell>
          <cell r="DH202"/>
          <cell r="DI202" t="str">
            <v>BOLD</v>
          </cell>
          <cell r="DL202"/>
          <cell r="DM202" t="str">
            <v>BOLD</v>
          </cell>
          <cell r="DP202"/>
          <cell r="DQ202" t="str">
            <v>BOLD</v>
          </cell>
          <cell r="DT202"/>
          <cell r="DU202" t="str">
            <v>BOLD</v>
          </cell>
          <cell r="DX202"/>
          <cell r="DY202" t="str">
            <v>BOLD</v>
          </cell>
          <cell r="EB202"/>
          <cell r="EC202" t="str">
            <v>BOLD</v>
          </cell>
          <cell r="EF202"/>
          <cell r="EG202" t="str">
            <v>BOLD</v>
          </cell>
          <cell r="EJ202"/>
          <cell r="EK202" t="str">
            <v>BOLD</v>
          </cell>
          <cell r="EN202"/>
          <cell r="EO202" t="str">
            <v>BOLD</v>
          </cell>
          <cell r="ER202"/>
          <cell r="ES202" t="str">
            <v>BOLD</v>
          </cell>
          <cell r="EV202"/>
          <cell r="EW202" t="str">
            <v>BOLD</v>
          </cell>
          <cell r="EZ202"/>
          <cell r="FA202" t="str">
            <v>BOLD</v>
          </cell>
          <cell r="FD202"/>
          <cell r="FE202" t="str">
            <v>BOLD</v>
          </cell>
          <cell r="FH202"/>
          <cell r="FI202" t="str">
            <v>BOLD</v>
          </cell>
          <cell r="FL202"/>
          <cell r="FM202" t="str">
            <v>BOLD</v>
          </cell>
          <cell r="FP202"/>
          <cell r="FQ202" t="str">
            <v>BOLD</v>
          </cell>
          <cell r="FT202"/>
          <cell r="FU202" t="str">
            <v>BOLD</v>
          </cell>
          <cell r="FX202"/>
          <cell r="FY202" t="str">
            <v>BOLD</v>
          </cell>
          <cell r="GB202"/>
          <cell r="GC202" t="str">
            <v>BOLD</v>
          </cell>
          <cell r="GF202"/>
          <cell r="GG202" t="str">
            <v>BOLD</v>
          </cell>
          <cell r="GJ202"/>
          <cell r="GK202" t="str">
            <v>BOLD</v>
          </cell>
          <cell r="GN202"/>
          <cell r="GO202" t="str">
            <v>BOLD</v>
          </cell>
          <cell r="GR202"/>
          <cell r="GS202" t="str">
            <v>BOLD</v>
          </cell>
          <cell r="GV202"/>
          <cell r="GW202" t="str">
            <v>BOLD</v>
          </cell>
          <cell r="GZ202"/>
          <cell r="HA202" t="str">
            <v>BOLD</v>
          </cell>
          <cell r="HD202"/>
          <cell r="HE202" t="str">
            <v>BOLD</v>
          </cell>
          <cell r="HH202"/>
          <cell r="HI202" t="str">
            <v>BOLD</v>
          </cell>
          <cell r="HL202"/>
          <cell r="HM202" t="str">
            <v>BOLD</v>
          </cell>
          <cell r="HP202"/>
          <cell r="HQ202" t="str">
            <v>BOLD</v>
          </cell>
          <cell r="HT202"/>
          <cell r="HU202" t="str">
            <v>BOLD</v>
          </cell>
        </row>
      </sheetData>
      <sheetData sheetId="7"/>
      <sheetData sheetId="8"/>
      <sheetData sheetId="9"/>
      <sheetData sheetId="10"/>
      <sheetData sheetId="11">
        <row r="10">
          <cell r="L10" t="str">
            <v>FQ3 2018</v>
          </cell>
        </row>
      </sheetData>
      <sheetData sheetId="12"/>
      <sheetData sheetId="13"/>
      <sheetData sheetId="14"/>
      <sheetData sheetId="15">
        <row r="23">
          <cell r="E23" t="str">
            <v>Alternative Energy</v>
          </cell>
          <cell r="L23"/>
          <cell r="OM23" t="str">
            <v>Income Statement</v>
          </cell>
          <cell r="ON23">
            <v>27</v>
          </cell>
          <cell r="OO23">
            <v>28105</v>
          </cell>
          <cell r="OP23" t="str">
            <v>SGGrids</v>
          </cell>
          <cell r="OQ23" t="str">
            <v>SGGridNames</v>
          </cell>
          <cell r="OT23" t="str">
            <v>Banking Analysis</v>
          </cell>
          <cell r="OU23">
            <v>1</v>
          </cell>
          <cell r="OV23">
            <v>1</v>
          </cell>
          <cell r="OW23" t="str">
            <v>ADGrids</v>
          </cell>
          <cell r="OX23" t="str">
            <v>ADGridNames</v>
          </cell>
        </row>
        <row r="24">
          <cell r="E24" t="str">
            <v>Aerospace</v>
          </cell>
          <cell r="OM24" t="str">
            <v>Income Statement</v>
          </cell>
          <cell r="ON24">
            <v>26</v>
          </cell>
          <cell r="OO24">
            <v>27931</v>
          </cell>
          <cell r="OP24" t="str">
            <v>SGGrids</v>
          </cell>
          <cell r="OQ24" t="str">
            <v>SGGridNames</v>
          </cell>
          <cell r="OT24" t="str">
            <v>Banking Analysis</v>
          </cell>
          <cell r="OU24">
            <v>2</v>
          </cell>
          <cell r="OV24">
            <v>2</v>
          </cell>
          <cell r="OW24" t="str">
            <v>ADGrids</v>
          </cell>
          <cell r="OX24" t="str">
            <v>ADGridNames</v>
          </cell>
        </row>
        <row r="25">
          <cell r="E25" t="str">
            <v>Auto</v>
          </cell>
          <cell r="OM25" t="str">
            <v>Income Statement</v>
          </cell>
          <cell r="ON25">
            <v>25</v>
          </cell>
          <cell r="OO25">
            <v>27686</v>
          </cell>
          <cell r="OP25" t="str">
            <v>SGGrids</v>
          </cell>
          <cell r="OQ25" t="str">
            <v>SGGridNames</v>
          </cell>
          <cell r="OT25" t="str">
            <v>Banking Analysis</v>
          </cell>
          <cell r="OU25">
            <v>3</v>
          </cell>
          <cell r="OV25">
            <v>3</v>
          </cell>
          <cell r="OW25" t="str">
            <v>ADGrids</v>
          </cell>
          <cell r="OX25" t="str">
            <v>ADGridNames</v>
          </cell>
        </row>
        <row r="26">
          <cell r="E26" t="str">
            <v>Banks &amp; Financials</v>
          </cell>
          <cell r="OM26" t="str">
            <v>Income Statement</v>
          </cell>
          <cell r="ON26">
            <v>24</v>
          </cell>
          <cell r="OO26">
            <v>27079</v>
          </cell>
          <cell r="OP26" t="str">
            <v>SGGrids</v>
          </cell>
          <cell r="OQ26" t="str">
            <v>SGGridNames</v>
          </cell>
          <cell r="OT26" t="str">
            <v>Banking Analysis</v>
          </cell>
          <cell r="OU26">
            <v>4</v>
          </cell>
          <cell r="OV26">
            <v>4</v>
          </cell>
          <cell r="OW26" t="str">
            <v>ADGrids</v>
          </cell>
          <cell r="OX26" t="str">
            <v>ADGridNames</v>
          </cell>
        </row>
        <row r="27">
          <cell r="E27" t="str">
            <v>Cement</v>
          </cell>
          <cell r="OM27" t="str">
            <v>Income Statement</v>
          </cell>
          <cell r="ON27">
            <v>23</v>
          </cell>
          <cell r="OO27">
            <v>26970</v>
          </cell>
          <cell r="OP27" t="str">
            <v>SGGrids</v>
          </cell>
          <cell r="OQ27" t="str">
            <v>SGGridNames</v>
          </cell>
          <cell r="OT27" t="str">
            <v>Banking Analysis</v>
          </cell>
          <cell r="OU27">
            <v>5</v>
          </cell>
          <cell r="OV27">
            <v>5</v>
          </cell>
          <cell r="OW27" t="str">
            <v>ADGrids</v>
          </cell>
          <cell r="OX27" t="str">
            <v>ADGridNames</v>
          </cell>
        </row>
        <row r="28">
          <cell r="E28" t="str">
            <v>Chemicals</v>
          </cell>
          <cell r="OM28" t="str">
            <v>Income Statement</v>
          </cell>
          <cell r="ON28">
            <v>22</v>
          </cell>
          <cell r="OO28">
            <v>26405</v>
          </cell>
          <cell r="OP28" t="str">
            <v>SGGrids</v>
          </cell>
          <cell r="OQ28" t="str">
            <v>SGGridNames</v>
          </cell>
          <cell r="OT28" t="str">
            <v>Banking Analysis</v>
          </cell>
          <cell r="OU28">
            <v>6</v>
          </cell>
          <cell r="OV28">
            <v>6</v>
          </cell>
          <cell r="OW28" t="str">
            <v>ADGrids</v>
          </cell>
          <cell r="OX28" t="str">
            <v>ADGridNames</v>
          </cell>
        </row>
        <row r="29">
          <cell r="E29" t="str">
            <v>Credit Card</v>
          </cell>
          <cell r="OM29" t="str">
            <v>Income Statement</v>
          </cell>
          <cell r="ON29">
            <v>21</v>
          </cell>
          <cell r="OO29">
            <v>26313</v>
          </cell>
          <cell r="OP29" t="str">
            <v>SGGrids</v>
          </cell>
          <cell r="OQ29" t="str">
            <v>SGGridNames</v>
          </cell>
          <cell r="OT29" t="str">
            <v>Banking Analysis</v>
          </cell>
          <cell r="OU29">
            <v>7</v>
          </cell>
          <cell r="OV29">
            <v>8</v>
          </cell>
          <cell r="OW29" t="str">
            <v>ADGrids</v>
          </cell>
          <cell r="OX29" t="str">
            <v>ADGridNames</v>
          </cell>
        </row>
        <row r="30">
          <cell r="E30" t="str">
            <v>Cruise Lines</v>
          </cell>
          <cell r="OM30" t="str">
            <v>Income Statement</v>
          </cell>
          <cell r="ON30">
            <v>20</v>
          </cell>
          <cell r="OO30">
            <v>25778</v>
          </cell>
          <cell r="OP30" t="str">
            <v>SGGrids</v>
          </cell>
          <cell r="OQ30" t="str">
            <v>SGGridNames</v>
          </cell>
          <cell r="OT30" t="str">
            <v>Banking Analysis</v>
          </cell>
          <cell r="OU30">
            <v>8</v>
          </cell>
          <cell r="OV30">
            <v>9</v>
          </cell>
          <cell r="OW30" t="str">
            <v>ADGrids</v>
          </cell>
          <cell r="OX30" t="str">
            <v>ADGridNames</v>
          </cell>
        </row>
        <row r="31">
          <cell r="E31" t="str">
            <v>Drilling</v>
          </cell>
          <cell r="OM31" t="str">
            <v>Income Statement</v>
          </cell>
          <cell r="ON31">
            <v>19</v>
          </cell>
          <cell r="OO31">
            <v>25003</v>
          </cell>
          <cell r="OP31" t="str">
            <v>SGGrids</v>
          </cell>
          <cell r="OQ31" t="str">
            <v>SGGridNames</v>
          </cell>
          <cell r="OT31" t="str">
            <v>Banking Analysis</v>
          </cell>
          <cell r="OU31">
            <v>9</v>
          </cell>
          <cell r="OV31">
            <v>10</v>
          </cell>
          <cell r="OW31" t="str">
            <v>ADGrids</v>
          </cell>
          <cell r="OX31" t="str">
            <v>ADGridNames</v>
          </cell>
        </row>
        <row r="32">
          <cell r="E32" t="str">
            <v>Exchanges</v>
          </cell>
          <cell r="OM32" t="str">
            <v>Income Statement</v>
          </cell>
          <cell r="ON32">
            <v>18</v>
          </cell>
          <cell r="OO32">
            <v>24892</v>
          </cell>
          <cell r="OP32" t="str">
            <v>SGGrids</v>
          </cell>
          <cell r="OQ32" t="str">
            <v>SGGridNames</v>
          </cell>
          <cell r="OT32" t="str">
            <v>Banking Analysis</v>
          </cell>
          <cell r="OU32">
            <v>10</v>
          </cell>
          <cell r="OV32">
            <v>11</v>
          </cell>
          <cell r="OW32" t="str">
            <v>ADGrids</v>
          </cell>
          <cell r="OX32" t="str">
            <v>ADGridNames</v>
          </cell>
        </row>
        <row r="33">
          <cell r="E33" t="str">
            <v>Gaming</v>
          </cell>
          <cell r="OM33" t="str">
            <v>Income Statement</v>
          </cell>
          <cell r="ON33">
            <v>17</v>
          </cell>
          <cell r="OO33">
            <v>23489</v>
          </cell>
          <cell r="OP33" t="str">
            <v>SGGrids</v>
          </cell>
          <cell r="OQ33" t="str">
            <v>SGGridNames</v>
          </cell>
          <cell r="OT33" t="str">
            <v>Banking Analysis</v>
          </cell>
          <cell r="OU33">
            <v>11</v>
          </cell>
          <cell r="OV33">
            <v>12</v>
          </cell>
          <cell r="OW33" t="str">
            <v>ADGrids</v>
          </cell>
          <cell r="OX33" t="str">
            <v>ADGridNames</v>
          </cell>
        </row>
        <row r="34">
          <cell r="E34" t="str">
            <v>Homebuilders</v>
          </cell>
          <cell r="OM34" t="str">
            <v>Income Statement</v>
          </cell>
          <cell r="ON34">
            <v>16</v>
          </cell>
          <cell r="OO34">
            <v>8678</v>
          </cell>
          <cell r="OP34" t="str">
            <v>SGGrids</v>
          </cell>
          <cell r="OQ34" t="str">
            <v>SGGridNames</v>
          </cell>
          <cell r="OT34" t="str">
            <v>Banking Analysis</v>
          </cell>
          <cell r="OU34">
            <v>12</v>
          </cell>
          <cell r="OV34">
            <v>13</v>
          </cell>
          <cell r="OW34" t="str">
            <v>ADGrids</v>
          </cell>
          <cell r="OX34" t="str">
            <v>ADGridNames</v>
          </cell>
        </row>
        <row r="35">
          <cell r="E35" t="str">
            <v>Hospitals</v>
          </cell>
          <cell r="OM35" t="str">
            <v>Income Statement</v>
          </cell>
          <cell r="ON35">
            <v>15</v>
          </cell>
          <cell r="OO35">
            <v>8554</v>
          </cell>
          <cell r="OP35" t="str">
            <v>SGGrids</v>
          </cell>
          <cell r="OQ35" t="str">
            <v>SGGridNames</v>
          </cell>
          <cell r="OT35" t="str">
            <v>Banking Analysis</v>
          </cell>
          <cell r="OU35">
            <v>13</v>
          </cell>
          <cell r="OV35">
            <v>14</v>
          </cell>
          <cell r="OW35" t="str">
            <v>ADGrids</v>
          </cell>
          <cell r="OX35" t="str">
            <v>ADGridNames</v>
          </cell>
        </row>
        <row r="36">
          <cell r="E36" t="str">
            <v>Hotels</v>
          </cell>
          <cell r="OM36" t="str">
            <v>Income Statement</v>
          </cell>
          <cell r="ON36">
            <v>14</v>
          </cell>
          <cell r="OO36">
            <v>8482</v>
          </cell>
          <cell r="OP36" t="str">
            <v>SGGrids</v>
          </cell>
          <cell r="OQ36" t="str">
            <v>SGGridNames</v>
          </cell>
          <cell r="OT36" t="str">
            <v>Banking Analysis</v>
          </cell>
          <cell r="OU36">
            <v>14</v>
          </cell>
          <cell r="OV36">
            <v>15</v>
          </cell>
          <cell r="OW36" t="str">
            <v>ADGrids</v>
          </cell>
          <cell r="OX36" t="str">
            <v>ADGridNames</v>
          </cell>
        </row>
        <row r="37">
          <cell r="E37" t="str">
            <v>Industrial</v>
          </cell>
          <cell r="OM37" t="str">
            <v>Income Statement</v>
          </cell>
          <cell r="ON37">
            <v>13</v>
          </cell>
          <cell r="OO37">
            <v>8481</v>
          </cell>
          <cell r="OP37" t="str">
            <v>SGGrids</v>
          </cell>
          <cell r="OQ37" t="str">
            <v>SGGridNames</v>
          </cell>
          <cell r="OT37" t="str">
            <v>Banking Analysis</v>
          </cell>
          <cell r="OU37">
            <v>15</v>
          </cell>
          <cell r="OV37">
            <v>16</v>
          </cell>
          <cell r="OW37" t="str">
            <v>ADGrids</v>
          </cell>
          <cell r="OX37" t="str">
            <v>ADGridNames</v>
          </cell>
        </row>
        <row r="38">
          <cell r="E38" t="str">
            <v>Insurance</v>
          </cell>
          <cell r="OM38" t="str">
            <v>Income Statement</v>
          </cell>
          <cell r="ON38">
            <v>12</v>
          </cell>
          <cell r="OO38">
            <v>8440</v>
          </cell>
          <cell r="OP38" t="str">
            <v>SGGrids</v>
          </cell>
          <cell r="OQ38" t="str">
            <v>SGGridNames</v>
          </cell>
          <cell r="OT38" t="str">
            <v>Banking Analysis</v>
          </cell>
          <cell r="OU38">
            <v>16</v>
          </cell>
          <cell r="OV38">
            <v>17</v>
          </cell>
          <cell r="OW38" t="str">
            <v>ADGrids</v>
          </cell>
          <cell r="OX38" t="str">
            <v>ADGridNames</v>
          </cell>
        </row>
        <row r="39">
          <cell r="E39" t="str">
            <v>Internet</v>
          </cell>
          <cell r="OM39" t="str">
            <v>Income Statement</v>
          </cell>
          <cell r="ON39">
            <v>11</v>
          </cell>
          <cell r="OO39">
            <v>8355</v>
          </cell>
          <cell r="OP39" t="str">
            <v>SGGrids</v>
          </cell>
          <cell r="OQ39" t="str">
            <v>SGGridNames</v>
          </cell>
          <cell r="OT39" t="str">
            <v>Banking Analysis</v>
          </cell>
          <cell r="OU39">
            <v>17</v>
          </cell>
          <cell r="OV39">
            <v>18</v>
          </cell>
          <cell r="OW39" t="str">
            <v>ADGrids</v>
          </cell>
          <cell r="OX39" t="str">
            <v>ADGridNames</v>
          </cell>
        </row>
        <row r="40">
          <cell r="E40" t="str">
            <v>Media</v>
          </cell>
          <cell r="OM40" t="str">
            <v>Income Statement</v>
          </cell>
          <cell r="ON40">
            <v>10</v>
          </cell>
          <cell r="OO40">
            <v>8281</v>
          </cell>
          <cell r="OP40" t="str">
            <v>SGGrids</v>
          </cell>
          <cell r="OQ40" t="str">
            <v>SGGridNames</v>
          </cell>
          <cell r="OT40" t="str">
            <v>Banking Analysis</v>
          </cell>
          <cell r="OU40">
            <v>18</v>
          </cell>
          <cell r="OV40">
            <v>19</v>
          </cell>
          <cell r="OW40" t="str">
            <v>ADGrids</v>
          </cell>
          <cell r="OX40" t="str">
            <v>ADGridNames</v>
          </cell>
        </row>
        <row r="41">
          <cell r="E41" t="str">
            <v>Medical Devices</v>
          </cell>
          <cell r="AL41">
            <v>92</v>
          </cell>
          <cell r="OM41" t="str">
            <v>Income Statement</v>
          </cell>
          <cell r="ON41">
            <v>9</v>
          </cell>
          <cell r="OO41">
            <v>8265</v>
          </cell>
          <cell r="OP41" t="str">
            <v>SGGrids</v>
          </cell>
          <cell r="OQ41" t="str">
            <v>SGGridNames</v>
          </cell>
          <cell r="OT41" t="str">
            <v>Banking Analysis</v>
          </cell>
          <cell r="OU41">
            <v>19</v>
          </cell>
          <cell r="OV41">
            <v>20</v>
          </cell>
          <cell r="OW41" t="str">
            <v>ADGrids</v>
          </cell>
          <cell r="OX41" t="str">
            <v>ADGridNames</v>
          </cell>
        </row>
        <row r="42">
          <cell r="E42" t="str">
            <v>Mining</v>
          </cell>
          <cell r="AL42">
            <v>81</v>
          </cell>
          <cell r="OM42" t="str">
            <v>Income Statement</v>
          </cell>
          <cell r="ON42">
            <v>8</v>
          </cell>
          <cell r="OO42">
            <v>8260</v>
          </cell>
          <cell r="OP42" t="str">
            <v>SGGrids</v>
          </cell>
          <cell r="OQ42" t="str">
            <v>SGGridNames</v>
          </cell>
          <cell r="OT42" t="str">
            <v>Banking Analysis</v>
          </cell>
          <cell r="OU42">
            <v>20</v>
          </cell>
          <cell r="OV42">
            <v>21</v>
          </cell>
          <cell r="OW42" t="str">
            <v>ADGrids</v>
          </cell>
          <cell r="OX42" t="str">
            <v>ADGridNames</v>
          </cell>
        </row>
        <row r="43">
          <cell r="E43" t="str">
            <v>Oil and Gas</v>
          </cell>
          <cell r="AL43"/>
          <cell r="OM43" t="str">
            <v>Income Statement</v>
          </cell>
          <cell r="ON43">
            <v>7</v>
          </cell>
          <cell r="OO43">
            <v>8256</v>
          </cell>
          <cell r="OP43" t="str">
            <v>SGGrids</v>
          </cell>
          <cell r="OQ43" t="str">
            <v>SGGridNames</v>
          </cell>
          <cell r="OT43" t="str">
            <v>Banking Analysis</v>
          </cell>
          <cell r="OU43">
            <v>21</v>
          </cell>
          <cell r="OV43">
            <v>22</v>
          </cell>
          <cell r="OW43" t="str">
            <v>ADGrids</v>
          </cell>
          <cell r="OX43" t="str">
            <v>ADGridNames</v>
          </cell>
        </row>
        <row r="44">
          <cell r="E44" t="str">
            <v>Real Estate</v>
          </cell>
          <cell r="AL44"/>
          <cell r="OM44" t="str">
            <v>Income Statement</v>
          </cell>
          <cell r="ON44">
            <v>6</v>
          </cell>
          <cell r="OO44">
            <v>8062</v>
          </cell>
          <cell r="OP44" t="str">
            <v>SGGrids</v>
          </cell>
          <cell r="OQ44" t="str">
            <v>SGGridNames</v>
          </cell>
          <cell r="OT44" t="str">
            <v>Banking Analysis</v>
          </cell>
          <cell r="OU44">
            <v>22</v>
          </cell>
          <cell r="OV44">
            <v>23</v>
          </cell>
          <cell r="OW44" t="str">
            <v>ADGrids</v>
          </cell>
          <cell r="OX44" t="str">
            <v>ADGridNames</v>
          </cell>
        </row>
        <row r="45">
          <cell r="E45" t="str">
            <v>Refining &amp; Marketing</v>
          </cell>
          <cell r="AL45"/>
          <cell r="OM45" t="str">
            <v>Income Statement</v>
          </cell>
          <cell r="ON45">
            <v>5</v>
          </cell>
          <cell r="OO45">
            <v>36</v>
          </cell>
          <cell r="OP45" t="str">
            <v>SGGrids</v>
          </cell>
          <cell r="OQ45" t="str">
            <v>SGGridNames</v>
          </cell>
          <cell r="OT45" t="str">
            <v>Banking Analysis</v>
          </cell>
          <cell r="OU45">
            <v>23</v>
          </cell>
          <cell r="OV45">
            <v>25</v>
          </cell>
          <cell r="OW45" t="str">
            <v>ADGrids</v>
          </cell>
          <cell r="OX45" t="str">
            <v>ADGridNames</v>
          </cell>
        </row>
        <row r="46">
          <cell r="E46" t="str">
            <v>Retail</v>
          </cell>
          <cell r="AL46"/>
          <cell r="OM46" t="str">
            <v>Income Statement</v>
          </cell>
          <cell r="ON46">
            <v>4</v>
          </cell>
          <cell r="OO46">
            <v>32.200000000000003</v>
          </cell>
          <cell r="OP46" t="str">
            <v>SGGrids</v>
          </cell>
          <cell r="OQ46" t="str">
            <v>SGGridNames</v>
          </cell>
          <cell r="OT46" t="str">
            <v>Banking Analysis</v>
          </cell>
          <cell r="OU46">
            <v>24</v>
          </cell>
          <cell r="OV46">
            <v>26</v>
          </cell>
          <cell r="OW46" t="str">
            <v>ADGrids</v>
          </cell>
          <cell r="OX46" t="str">
            <v>ADGridNames</v>
          </cell>
        </row>
        <row r="47">
          <cell r="E47" t="str">
            <v>Shipping</v>
          </cell>
          <cell r="AL47"/>
          <cell r="OM47" t="str">
            <v>Income Statement</v>
          </cell>
          <cell r="ON47">
            <v>3</v>
          </cell>
          <cell r="OO47">
            <v>29</v>
          </cell>
          <cell r="OP47" t="str">
            <v>SGGrids</v>
          </cell>
          <cell r="OQ47" t="str">
            <v>SGGridNames</v>
          </cell>
          <cell r="OT47" t="str">
            <v>Banking Analysis</v>
          </cell>
          <cell r="OU47">
            <v>25</v>
          </cell>
          <cell r="OV47">
            <v>27</v>
          </cell>
          <cell r="OW47" t="str">
            <v>ADGrids</v>
          </cell>
          <cell r="OX47" t="str">
            <v>ADGridNames</v>
          </cell>
        </row>
        <row r="48">
          <cell r="E48" t="str">
            <v>Telecom</v>
          </cell>
          <cell r="AL48"/>
          <cell r="OM48" t="str">
            <v>Income Statement</v>
          </cell>
          <cell r="ON48">
            <v>2</v>
          </cell>
          <cell r="OO48">
            <v>1</v>
          </cell>
          <cell r="OP48" t="str">
            <v>SGGrids</v>
          </cell>
          <cell r="OQ48" t="str">
            <v>SGGridNames</v>
          </cell>
          <cell r="OT48" t="str">
            <v>Banking Analysis</v>
          </cell>
          <cell r="OU48">
            <v>26</v>
          </cell>
          <cell r="OV48">
            <v>28</v>
          </cell>
          <cell r="OW48" t="str">
            <v>ADGrids</v>
          </cell>
          <cell r="OX48" t="str">
            <v>ADGridNames</v>
          </cell>
        </row>
        <row r="49">
          <cell r="E49" t="str">
            <v>Transportation</v>
          </cell>
          <cell r="OT49" t="str">
            <v>Banking Analysis</v>
          </cell>
          <cell r="OU49">
            <v>27</v>
          </cell>
          <cell r="OV49">
            <v>29</v>
          </cell>
          <cell r="OW49" t="str">
            <v>ADGrids</v>
          </cell>
          <cell r="OX49" t="str">
            <v>ADGridNames</v>
          </cell>
        </row>
        <row r="50">
          <cell r="E50" t="str">
            <v>Utilities</v>
          </cell>
          <cell r="OT50" t="str">
            <v>Banking Analysis</v>
          </cell>
          <cell r="OU50">
            <v>28</v>
          </cell>
          <cell r="OV50">
            <v>30</v>
          </cell>
          <cell r="OW50" t="str">
            <v>ADGrids</v>
          </cell>
          <cell r="OX50" t="str">
            <v>ADGridNames</v>
          </cell>
        </row>
        <row r="51">
          <cell r="OT51" t="str">
            <v>Banking Analysis</v>
          </cell>
          <cell r="OU51">
            <v>29</v>
          </cell>
          <cell r="OV51">
            <v>31</v>
          </cell>
          <cell r="OW51" t="str">
            <v>ADGrids</v>
          </cell>
          <cell r="OX51" t="str">
            <v>ADGridNames</v>
          </cell>
        </row>
        <row r="52">
          <cell r="OT52" t="str">
            <v>Banking Analysis</v>
          </cell>
          <cell r="OU52">
            <v>30</v>
          </cell>
          <cell r="OV52">
            <v>32</v>
          </cell>
          <cell r="OW52" t="str">
            <v>ADGrids</v>
          </cell>
          <cell r="OX52" t="str">
            <v>ADGridNames</v>
          </cell>
        </row>
        <row r="53">
          <cell r="OT53" t="str">
            <v>Banking Analysis</v>
          </cell>
          <cell r="OU53">
            <v>31</v>
          </cell>
          <cell r="OV53">
            <v>33</v>
          </cell>
          <cell r="OW53" t="str">
            <v>ADGrids</v>
          </cell>
          <cell r="OX53" t="str">
            <v>ADGridNames</v>
          </cell>
        </row>
        <row r="54">
          <cell r="OT54" t="str">
            <v>Banking Analysis</v>
          </cell>
          <cell r="OU54">
            <v>32</v>
          </cell>
          <cell r="OV54">
            <v>34</v>
          </cell>
          <cell r="OW54" t="str">
            <v>ADGrids</v>
          </cell>
          <cell r="OX54" t="str">
            <v>ADGridNames</v>
          </cell>
        </row>
        <row r="55">
          <cell r="OT55" t="str">
            <v>Banking Analysis</v>
          </cell>
          <cell r="OU55">
            <v>33</v>
          </cell>
          <cell r="OV55">
            <v>35</v>
          </cell>
          <cell r="OW55" t="str">
            <v>ADGrids</v>
          </cell>
          <cell r="OX55" t="str">
            <v>ADGridNames</v>
          </cell>
        </row>
        <row r="56">
          <cell r="OT56" t="str">
            <v>Banking Analysis</v>
          </cell>
          <cell r="OU56">
            <v>34</v>
          </cell>
          <cell r="OV56">
            <v>36</v>
          </cell>
          <cell r="OW56" t="str">
            <v>ADGrids</v>
          </cell>
          <cell r="OX56" t="str">
            <v>ADGridNames</v>
          </cell>
        </row>
        <row r="57">
          <cell r="OT57" t="str">
            <v>Banking Analysis</v>
          </cell>
          <cell r="OU57">
            <v>35</v>
          </cell>
          <cell r="OV57">
            <v>37</v>
          </cell>
          <cell r="OW57" t="str">
            <v>ADGrids</v>
          </cell>
          <cell r="OX57" t="str">
            <v>ADGridNames</v>
          </cell>
        </row>
        <row r="58">
          <cell r="OT58" t="str">
            <v>Banking Analysis</v>
          </cell>
          <cell r="OU58">
            <v>36</v>
          </cell>
          <cell r="OV58">
            <v>38</v>
          </cell>
          <cell r="OW58" t="str">
            <v>ADGrids</v>
          </cell>
          <cell r="OX58" t="str">
            <v>ADGridNames</v>
          </cell>
        </row>
        <row r="59">
          <cell r="OT59" t="str">
            <v>Banking Analysis</v>
          </cell>
          <cell r="OU59">
            <v>37</v>
          </cell>
          <cell r="OV59">
            <v>39</v>
          </cell>
          <cell r="OW59" t="str">
            <v>ADGrids</v>
          </cell>
          <cell r="OX59" t="str">
            <v>ADGridNames</v>
          </cell>
        </row>
        <row r="60">
          <cell r="OT60" t="str">
            <v>Banking Analysis</v>
          </cell>
          <cell r="OU60">
            <v>38</v>
          </cell>
          <cell r="OV60">
            <v>41</v>
          </cell>
          <cell r="OW60" t="str">
            <v>ADGrids</v>
          </cell>
          <cell r="OX60" t="str">
            <v>ADGridNames</v>
          </cell>
        </row>
        <row r="61">
          <cell r="OT61" t="str">
            <v>Banking Analysis</v>
          </cell>
          <cell r="OU61">
            <v>39</v>
          </cell>
          <cell r="OV61">
            <v>42</v>
          </cell>
          <cell r="OW61" t="str">
            <v>ADGrids</v>
          </cell>
          <cell r="OX61" t="str">
            <v>ADGridNames</v>
          </cell>
        </row>
        <row r="62">
          <cell r="OT62" t="str">
            <v>Banking Analysis</v>
          </cell>
          <cell r="OU62">
            <v>40</v>
          </cell>
          <cell r="OV62">
            <v>43</v>
          </cell>
          <cell r="OW62" t="str">
            <v>ADGrids</v>
          </cell>
          <cell r="OX62" t="str">
            <v>ADGridNames</v>
          </cell>
        </row>
        <row r="63">
          <cell r="OT63" t="str">
            <v>Banking Analysis</v>
          </cell>
          <cell r="OU63">
            <v>41</v>
          </cell>
          <cell r="OV63">
            <v>44</v>
          </cell>
          <cell r="OW63" t="str">
            <v>ADGrids</v>
          </cell>
          <cell r="OX63" t="str">
            <v>ADGridNames</v>
          </cell>
        </row>
        <row r="64">
          <cell r="OT64" t="str">
            <v>Banking Analysis</v>
          </cell>
          <cell r="OU64">
            <v>42</v>
          </cell>
          <cell r="OV64">
            <v>45</v>
          </cell>
          <cell r="OW64" t="str">
            <v>ADGrids</v>
          </cell>
          <cell r="OX64" t="str">
            <v>ADGridNames</v>
          </cell>
        </row>
        <row r="65">
          <cell r="OT65" t="str">
            <v>Banking Analysis</v>
          </cell>
          <cell r="OU65">
            <v>43</v>
          </cell>
          <cell r="OV65">
            <v>46</v>
          </cell>
          <cell r="OW65" t="str">
            <v>ADGrids</v>
          </cell>
          <cell r="OX65" t="str">
            <v>ADGridNames</v>
          </cell>
        </row>
        <row r="66">
          <cell r="OT66" t="str">
            <v>Banking Analysis</v>
          </cell>
          <cell r="OU66">
            <v>44</v>
          </cell>
          <cell r="OV66">
            <v>47</v>
          </cell>
          <cell r="OW66" t="str">
            <v>ADGrids</v>
          </cell>
          <cell r="OX66" t="str">
            <v>ADGridNames</v>
          </cell>
        </row>
        <row r="67">
          <cell r="OT67" t="str">
            <v>Banking Analysis</v>
          </cell>
          <cell r="OU67">
            <v>45</v>
          </cell>
          <cell r="OV67">
            <v>48</v>
          </cell>
          <cell r="OW67" t="str">
            <v>ADGrids</v>
          </cell>
          <cell r="OX67" t="str">
            <v>ADGridNames</v>
          </cell>
        </row>
        <row r="68">
          <cell r="OT68" t="str">
            <v>Banking Analysis</v>
          </cell>
          <cell r="OU68">
            <v>46</v>
          </cell>
          <cell r="OV68">
            <v>49</v>
          </cell>
          <cell r="OW68" t="str">
            <v>ADGrids</v>
          </cell>
          <cell r="OX68" t="str">
            <v>ADGridNames</v>
          </cell>
        </row>
        <row r="69">
          <cell r="OT69" t="str">
            <v>Banking Analysis</v>
          </cell>
          <cell r="OU69">
            <v>47</v>
          </cell>
          <cell r="OV69">
            <v>50</v>
          </cell>
          <cell r="OW69" t="str">
            <v>ADGrids</v>
          </cell>
          <cell r="OX69" t="str">
            <v>ADGridNames</v>
          </cell>
        </row>
        <row r="70">
          <cell r="OT70" t="str">
            <v>Banking Analysis</v>
          </cell>
          <cell r="OU70">
            <v>48</v>
          </cell>
          <cell r="OV70">
            <v>51</v>
          </cell>
          <cell r="OW70" t="str">
            <v>ADGrids</v>
          </cell>
          <cell r="OX70" t="str">
            <v>ADGridNames</v>
          </cell>
        </row>
        <row r="71">
          <cell r="OT71" t="str">
            <v>Banking Analysis</v>
          </cell>
          <cell r="OU71">
            <v>49</v>
          </cell>
          <cell r="OV71">
            <v>52</v>
          </cell>
          <cell r="OW71" t="str">
            <v>ADGrids</v>
          </cell>
          <cell r="OX71" t="str">
            <v>ADGridNames</v>
          </cell>
        </row>
        <row r="72">
          <cell r="OT72" t="str">
            <v>Banking Analysis</v>
          </cell>
          <cell r="OU72">
            <v>50</v>
          </cell>
          <cell r="OV72">
            <v>53</v>
          </cell>
          <cell r="OW72" t="str">
            <v>ADGrids</v>
          </cell>
          <cell r="OX72" t="str">
            <v>ADGridNames</v>
          </cell>
        </row>
        <row r="73">
          <cell r="OT73" t="str">
            <v>Banking Analysis</v>
          </cell>
          <cell r="OU73">
            <v>51</v>
          </cell>
          <cell r="OV73">
            <v>54</v>
          </cell>
          <cell r="OW73" t="str">
            <v>ADGrids</v>
          </cell>
          <cell r="OX73" t="str">
            <v>ADGridNames</v>
          </cell>
        </row>
        <row r="74">
          <cell r="OT74" t="str">
            <v>Banking Analysis</v>
          </cell>
          <cell r="OU74">
            <v>52</v>
          </cell>
          <cell r="OV74">
            <v>56</v>
          </cell>
          <cell r="OW74" t="str">
            <v>ADGrids</v>
          </cell>
          <cell r="OX74" t="str">
            <v>ADGridNames</v>
          </cell>
        </row>
        <row r="75">
          <cell r="OT75" t="str">
            <v>Banking Analysis</v>
          </cell>
          <cell r="OU75">
            <v>53</v>
          </cell>
          <cell r="OV75">
            <v>57</v>
          </cell>
          <cell r="OW75" t="str">
            <v>ADGrids</v>
          </cell>
          <cell r="OX75" t="str">
            <v>ADGridNames</v>
          </cell>
        </row>
        <row r="76">
          <cell r="OT76" t="str">
            <v>Banking Analysis</v>
          </cell>
          <cell r="OU76">
            <v>54</v>
          </cell>
          <cell r="OV76">
            <v>58</v>
          </cell>
          <cell r="OW76" t="str">
            <v>ADGrids</v>
          </cell>
          <cell r="OX76" t="str">
            <v>ADGridNames</v>
          </cell>
        </row>
        <row r="77">
          <cell r="OT77" t="str">
            <v>Banking Analysis</v>
          </cell>
          <cell r="OU77">
            <v>55</v>
          </cell>
          <cell r="OV77">
            <v>59</v>
          </cell>
          <cell r="OW77" t="str">
            <v>ADGrids</v>
          </cell>
          <cell r="OX77" t="str">
            <v>ADGridNames</v>
          </cell>
        </row>
        <row r="78">
          <cell r="OT78" t="str">
            <v>Banking Analysis</v>
          </cell>
          <cell r="OU78">
            <v>56</v>
          </cell>
          <cell r="OV78">
            <v>60</v>
          </cell>
          <cell r="OW78" t="str">
            <v>ADGrids</v>
          </cell>
          <cell r="OX78" t="str">
            <v>ADGridNames</v>
          </cell>
        </row>
        <row r="79">
          <cell r="OT79" t="str">
            <v>Banking Analysis</v>
          </cell>
          <cell r="OU79">
            <v>57</v>
          </cell>
          <cell r="OV79">
            <v>61</v>
          </cell>
          <cell r="OW79" t="str">
            <v>ADGrids</v>
          </cell>
          <cell r="OX79" t="str">
            <v>ADGridNames</v>
          </cell>
        </row>
        <row r="80">
          <cell r="OT80" t="str">
            <v>Banking Analysis</v>
          </cell>
          <cell r="OU80">
            <v>58</v>
          </cell>
          <cell r="OV80">
            <v>62</v>
          </cell>
          <cell r="OW80" t="str">
            <v>ADGrids</v>
          </cell>
          <cell r="OX80" t="str">
            <v>ADGridNames</v>
          </cell>
        </row>
        <row r="81">
          <cell r="OT81" t="str">
            <v>Banking Analysis</v>
          </cell>
          <cell r="OU81">
            <v>59</v>
          </cell>
          <cell r="OV81">
            <v>63</v>
          </cell>
          <cell r="OW81" t="str">
            <v>ADGrids</v>
          </cell>
          <cell r="OX81" t="str">
            <v>ADGridNames</v>
          </cell>
        </row>
        <row r="82">
          <cell r="OT82" t="str">
            <v>Banking Analysis</v>
          </cell>
          <cell r="OU82">
            <v>60</v>
          </cell>
          <cell r="OV82">
            <v>64</v>
          </cell>
          <cell r="OW82" t="str">
            <v>ADGrids</v>
          </cell>
          <cell r="OX82" t="str">
            <v>ADGridNames</v>
          </cell>
        </row>
        <row r="83">
          <cell r="OT83" t="str">
            <v>Banking Analysis</v>
          </cell>
          <cell r="OU83">
            <v>61</v>
          </cell>
          <cell r="OV83">
            <v>65</v>
          </cell>
          <cell r="OW83" t="str">
            <v>ADGrids</v>
          </cell>
          <cell r="OX83" t="str">
            <v>ADGridNames</v>
          </cell>
        </row>
        <row r="84">
          <cell r="OT84" t="str">
            <v>Banking Analysis</v>
          </cell>
          <cell r="OU84">
            <v>62</v>
          </cell>
          <cell r="OV84">
            <v>66</v>
          </cell>
          <cell r="OW84" t="str">
            <v>ADGrids</v>
          </cell>
          <cell r="OX84" t="str">
            <v>ADGridNames</v>
          </cell>
        </row>
        <row r="85">
          <cell r="OT85" t="str">
            <v>Banking Analysis</v>
          </cell>
          <cell r="OU85">
            <v>63</v>
          </cell>
          <cell r="OV85">
            <v>68</v>
          </cell>
          <cell r="OW85" t="str">
            <v>ADGrids</v>
          </cell>
          <cell r="OX85" t="str">
            <v>ADGridNames</v>
          </cell>
        </row>
        <row r="86">
          <cell r="OT86" t="str">
            <v>Banking Analysis</v>
          </cell>
          <cell r="OU86">
            <v>64</v>
          </cell>
          <cell r="OV86">
            <v>69</v>
          </cell>
          <cell r="OW86" t="str">
            <v>ADGrids</v>
          </cell>
          <cell r="OX86" t="str">
            <v>ADGridNames</v>
          </cell>
        </row>
        <row r="87">
          <cell r="OT87" t="str">
            <v>Banking Analysis</v>
          </cell>
          <cell r="OU87">
            <v>65</v>
          </cell>
          <cell r="OV87">
            <v>70</v>
          </cell>
          <cell r="OW87" t="str">
            <v>ADGrids</v>
          </cell>
          <cell r="OX87" t="str">
            <v>ADGridNames</v>
          </cell>
        </row>
        <row r="88">
          <cell r="OT88" t="str">
            <v>Banking Analysis</v>
          </cell>
          <cell r="OU88">
            <v>66</v>
          </cell>
          <cell r="OV88">
            <v>72</v>
          </cell>
          <cell r="OW88" t="str">
            <v>ADGrids</v>
          </cell>
          <cell r="OX88" t="str">
            <v>ADGridNames</v>
          </cell>
        </row>
        <row r="89">
          <cell r="OT89" t="str">
            <v>Banking Analysis</v>
          </cell>
          <cell r="OU89">
            <v>67</v>
          </cell>
          <cell r="OV89">
            <v>73</v>
          </cell>
          <cell r="OW89" t="str">
            <v>ADGrids</v>
          </cell>
          <cell r="OX89" t="str">
            <v>ADGridNames</v>
          </cell>
        </row>
        <row r="90">
          <cell r="OT90" t="str">
            <v>Banking Analysis</v>
          </cell>
          <cell r="OU90">
            <v>68</v>
          </cell>
          <cell r="OV90">
            <v>74</v>
          </cell>
          <cell r="OW90" t="str">
            <v>ADGrids</v>
          </cell>
          <cell r="OX90" t="str">
            <v>ADGridNames</v>
          </cell>
        </row>
        <row r="91">
          <cell r="OT91" t="str">
            <v>Banking Analysis</v>
          </cell>
          <cell r="OU91">
            <v>69</v>
          </cell>
          <cell r="OV91">
            <v>75</v>
          </cell>
          <cell r="OW91" t="str">
            <v>ADGrids</v>
          </cell>
          <cell r="OX91" t="str">
            <v>ADGridNames</v>
          </cell>
        </row>
        <row r="92">
          <cell r="OT92" t="str">
            <v>Banking Analysis</v>
          </cell>
          <cell r="OU92">
            <v>70</v>
          </cell>
          <cell r="OV92">
            <v>76</v>
          </cell>
          <cell r="OW92" t="str">
            <v>ADGrids</v>
          </cell>
          <cell r="OX92" t="str">
            <v>ADGridNames</v>
          </cell>
        </row>
        <row r="93">
          <cell r="OT93" t="str">
            <v>Banking Analysis</v>
          </cell>
          <cell r="OU93">
            <v>71</v>
          </cell>
          <cell r="OV93">
            <v>77</v>
          </cell>
          <cell r="OW93" t="str">
            <v>ADGrids</v>
          </cell>
          <cell r="OX93" t="str">
            <v>ADGridNames</v>
          </cell>
        </row>
        <row r="94">
          <cell r="OT94" t="str">
            <v>Banking Analysis</v>
          </cell>
          <cell r="OU94">
            <v>72</v>
          </cell>
          <cell r="OV94">
            <v>78</v>
          </cell>
          <cell r="OW94" t="str">
            <v>ADGrids</v>
          </cell>
          <cell r="OX94" t="str">
            <v>ADGridNames</v>
          </cell>
        </row>
        <row r="95">
          <cell r="OT95" t="str">
            <v>Banking Analysis</v>
          </cell>
          <cell r="OU95">
            <v>73</v>
          </cell>
          <cell r="OV95">
            <v>79</v>
          </cell>
          <cell r="OW95" t="str">
            <v>ADGrids</v>
          </cell>
          <cell r="OX95" t="str">
            <v>ADGridNames</v>
          </cell>
        </row>
        <row r="96">
          <cell r="OT96" t="str">
            <v>Banking Analysis</v>
          </cell>
          <cell r="OU96">
            <v>74</v>
          </cell>
          <cell r="OV96">
            <v>80</v>
          </cell>
          <cell r="OW96" t="str">
            <v>ADGrids</v>
          </cell>
          <cell r="OX96" t="str">
            <v>ADGridNames</v>
          </cell>
        </row>
        <row r="97">
          <cell r="OT97" t="str">
            <v>Banking Analysis</v>
          </cell>
          <cell r="OU97">
            <v>75</v>
          </cell>
          <cell r="OV97">
            <v>81</v>
          </cell>
          <cell r="OW97" t="str">
            <v>ADGrids</v>
          </cell>
          <cell r="OX97" t="str">
            <v>ADGridNames</v>
          </cell>
        </row>
        <row r="98">
          <cell r="OT98" t="str">
            <v>Banking Analysis</v>
          </cell>
          <cell r="OU98">
            <v>76</v>
          </cell>
          <cell r="OV98">
            <v>82</v>
          </cell>
          <cell r="OW98" t="str">
            <v>ADGrids</v>
          </cell>
          <cell r="OX98" t="str">
            <v>ADGridNames</v>
          </cell>
        </row>
        <row r="99">
          <cell r="OT99" t="str">
            <v>Banking Analysis</v>
          </cell>
          <cell r="OU99">
            <v>77</v>
          </cell>
          <cell r="OV99">
            <v>83</v>
          </cell>
          <cell r="OW99" t="str">
            <v>ADGrids</v>
          </cell>
          <cell r="OX99" t="str">
            <v>ADGridNames</v>
          </cell>
        </row>
        <row r="100">
          <cell r="OT100" t="str">
            <v>Banking Analysis</v>
          </cell>
          <cell r="OU100">
            <v>78</v>
          </cell>
          <cell r="OV100">
            <v>84</v>
          </cell>
          <cell r="OW100" t="str">
            <v>ADGrids</v>
          </cell>
          <cell r="OX100" t="str">
            <v>ADGridNames</v>
          </cell>
        </row>
        <row r="101">
          <cell r="OT101" t="str">
            <v>Banking Analysis</v>
          </cell>
          <cell r="OU101">
            <v>79</v>
          </cell>
          <cell r="OV101">
            <v>85</v>
          </cell>
          <cell r="OW101" t="str">
            <v>ADGrids</v>
          </cell>
          <cell r="OX101" t="str">
            <v>ADGridNames</v>
          </cell>
        </row>
        <row r="102">
          <cell r="OT102" t="str">
            <v>Banking Analysis</v>
          </cell>
          <cell r="OU102">
            <v>80</v>
          </cell>
          <cell r="OV102">
            <v>86</v>
          </cell>
          <cell r="OW102" t="str">
            <v>ADGrids</v>
          </cell>
          <cell r="OX102" t="str">
            <v>ADGridNames</v>
          </cell>
        </row>
        <row r="103">
          <cell r="OT103" t="str">
            <v>Banking Analysis</v>
          </cell>
          <cell r="OU103">
            <v>81</v>
          </cell>
          <cell r="OV103">
            <v>88</v>
          </cell>
          <cell r="OW103" t="str">
            <v>ADGrids</v>
          </cell>
          <cell r="OX103" t="str">
            <v>ADGridNames</v>
          </cell>
        </row>
        <row r="104">
          <cell r="OT104" t="str">
            <v>Banking Analysis</v>
          </cell>
          <cell r="OU104">
            <v>82</v>
          </cell>
          <cell r="OV104">
            <v>89</v>
          </cell>
          <cell r="OW104" t="str">
            <v>ADGrids</v>
          </cell>
          <cell r="OX104" t="str">
            <v>ADGridNames</v>
          </cell>
        </row>
        <row r="105">
          <cell r="OT105" t="str">
            <v>Banking Analysis</v>
          </cell>
          <cell r="OU105">
            <v>83</v>
          </cell>
          <cell r="OV105">
            <v>90</v>
          </cell>
          <cell r="OW105" t="str">
            <v>ADGrids</v>
          </cell>
          <cell r="OX105" t="str">
            <v>ADGridNames</v>
          </cell>
        </row>
        <row r="106">
          <cell r="OT106" t="str">
            <v>Banking Analysis</v>
          </cell>
          <cell r="OU106">
            <v>84</v>
          </cell>
          <cell r="OV106">
            <v>91</v>
          </cell>
          <cell r="OW106" t="str">
            <v>ADGrids</v>
          </cell>
          <cell r="OX106" t="str">
            <v>ADGridNames</v>
          </cell>
        </row>
        <row r="107">
          <cell r="OT107" t="str">
            <v>Banking Analysis</v>
          </cell>
          <cell r="OU107">
            <v>85</v>
          </cell>
          <cell r="OV107">
            <v>92</v>
          </cell>
          <cell r="OW107" t="str">
            <v>ADGrids</v>
          </cell>
          <cell r="OX107" t="str">
            <v>ADGridNames</v>
          </cell>
        </row>
        <row r="108">
          <cell r="OT108" t="str">
            <v>Banking Analysis</v>
          </cell>
          <cell r="OU108">
            <v>86</v>
          </cell>
          <cell r="OV108">
            <v>93</v>
          </cell>
          <cell r="OW108" t="str">
            <v>ADGrids</v>
          </cell>
          <cell r="OX108" t="str">
            <v>ADGridNames</v>
          </cell>
        </row>
        <row r="109">
          <cell r="OT109" t="str">
            <v>Banking Analysis</v>
          </cell>
          <cell r="OU109">
            <v>87</v>
          </cell>
          <cell r="OV109">
            <v>94</v>
          </cell>
          <cell r="OW109" t="str">
            <v>ADGrids</v>
          </cell>
          <cell r="OX109" t="str">
            <v>ADGridNames</v>
          </cell>
        </row>
        <row r="110">
          <cell r="OT110" t="str">
            <v>Banking Analysis</v>
          </cell>
          <cell r="OU110">
            <v>88</v>
          </cell>
          <cell r="OV110">
            <v>97</v>
          </cell>
          <cell r="OW110" t="str">
            <v>ADGrids</v>
          </cell>
          <cell r="OX110" t="str">
            <v>ADGridNames</v>
          </cell>
        </row>
        <row r="111">
          <cell r="OT111" t="str">
            <v>Banking Analysis</v>
          </cell>
          <cell r="OU111">
            <v>89</v>
          </cell>
          <cell r="OV111">
            <v>98</v>
          </cell>
          <cell r="OW111" t="str">
            <v>ADGrids</v>
          </cell>
          <cell r="OX111" t="str">
            <v>ADGridNames</v>
          </cell>
        </row>
        <row r="112">
          <cell r="OT112" t="str">
            <v>Banking Analysis</v>
          </cell>
          <cell r="OU112">
            <v>90</v>
          </cell>
          <cell r="OV112">
            <v>99</v>
          </cell>
          <cell r="OW112" t="str">
            <v>ADGrids</v>
          </cell>
          <cell r="OX112" t="str">
            <v>ADGridNames</v>
          </cell>
        </row>
        <row r="113">
          <cell r="OT113" t="str">
            <v>Banking Analysis</v>
          </cell>
          <cell r="OU113">
            <v>91</v>
          </cell>
          <cell r="OV113">
            <v>100</v>
          </cell>
          <cell r="OW113" t="str">
            <v>ADGrids</v>
          </cell>
          <cell r="OX113" t="str">
            <v>ADGridNames</v>
          </cell>
        </row>
        <row r="114">
          <cell r="OT114" t="str">
            <v>Banking Analysis</v>
          </cell>
          <cell r="OU114">
            <v>92</v>
          </cell>
          <cell r="OV114">
            <v>101</v>
          </cell>
          <cell r="OW114" t="str">
            <v>ADGrids</v>
          </cell>
          <cell r="OX114" t="str">
            <v>ADGridNames</v>
          </cell>
        </row>
        <row r="115">
          <cell r="OT115" t="str">
            <v>Banking Analysis</v>
          </cell>
          <cell r="OU115">
            <v>93</v>
          </cell>
          <cell r="OV115">
            <v>102</v>
          </cell>
          <cell r="OW115" t="str">
            <v>ADGrids</v>
          </cell>
          <cell r="OX115" t="str">
            <v>ADGridNames</v>
          </cell>
        </row>
        <row r="116">
          <cell r="OT116" t="str">
            <v>Banking Analysis</v>
          </cell>
          <cell r="OU116">
            <v>94</v>
          </cell>
          <cell r="OV116">
            <v>103</v>
          </cell>
          <cell r="OW116" t="str">
            <v>ADGrids</v>
          </cell>
          <cell r="OX116" t="str">
            <v>ADGridNames</v>
          </cell>
        </row>
        <row r="117">
          <cell r="OT117" t="str">
            <v>Banking Analysis</v>
          </cell>
          <cell r="OU117">
            <v>95</v>
          </cell>
          <cell r="OV117">
            <v>104</v>
          </cell>
          <cell r="OW117" t="str">
            <v>ADGrids</v>
          </cell>
          <cell r="OX117" t="str">
            <v>ADGridNames</v>
          </cell>
        </row>
        <row r="118">
          <cell r="OT118" t="str">
            <v>Banking Analysis</v>
          </cell>
          <cell r="OU118">
            <v>96</v>
          </cell>
          <cell r="OV118">
            <v>105</v>
          </cell>
          <cell r="OW118" t="str">
            <v>ADGrids</v>
          </cell>
          <cell r="OX118" t="str">
            <v>ADGridNames</v>
          </cell>
        </row>
        <row r="119">
          <cell r="OT119" t="str">
            <v>Banking Analysis</v>
          </cell>
          <cell r="OU119">
            <v>97</v>
          </cell>
          <cell r="OV119">
            <v>106</v>
          </cell>
          <cell r="OW119" t="str">
            <v>ADGrids</v>
          </cell>
          <cell r="OX119" t="str">
            <v>ADGridNames</v>
          </cell>
        </row>
        <row r="120">
          <cell r="OT120" t="str">
            <v>Banking Analysis</v>
          </cell>
          <cell r="OU120">
            <v>98</v>
          </cell>
          <cell r="OV120">
            <v>107</v>
          </cell>
          <cell r="OW120" t="str">
            <v>ADGrids</v>
          </cell>
          <cell r="OX120" t="str">
            <v>ADGridNames</v>
          </cell>
        </row>
        <row r="121">
          <cell r="OT121" t="str">
            <v>Banking Analysis</v>
          </cell>
          <cell r="OU121">
            <v>99</v>
          </cell>
          <cell r="OV121">
            <v>108</v>
          </cell>
          <cell r="OW121" t="str">
            <v>ADGrids</v>
          </cell>
          <cell r="OX121" t="str">
            <v>ADGridNames</v>
          </cell>
        </row>
        <row r="122">
          <cell r="OT122" t="str">
            <v>Banking Analysis</v>
          </cell>
          <cell r="OU122">
            <v>100</v>
          </cell>
          <cell r="OV122">
            <v>109</v>
          </cell>
          <cell r="OW122" t="str">
            <v>ADGrids</v>
          </cell>
          <cell r="OX122" t="str">
            <v>ADGridNames</v>
          </cell>
        </row>
        <row r="123">
          <cell r="OT123" t="str">
            <v>Banking Analysis</v>
          </cell>
          <cell r="OU123">
            <v>101</v>
          </cell>
          <cell r="OV123">
            <v>110</v>
          </cell>
          <cell r="OW123" t="str">
            <v>ADGrids</v>
          </cell>
          <cell r="OX123" t="str">
            <v>ADGridNames</v>
          </cell>
        </row>
        <row r="124">
          <cell r="OT124" t="str">
            <v>Banking Analysis</v>
          </cell>
          <cell r="OU124">
            <v>102</v>
          </cell>
          <cell r="OV124">
            <v>111</v>
          </cell>
          <cell r="OW124" t="str">
            <v>ADGrids</v>
          </cell>
          <cell r="OX124" t="str">
            <v>ADGridNames</v>
          </cell>
        </row>
        <row r="125">
          <cell r="OT125" t="str">
            <v>Banking Analysis</v>
          </cell>
          <cell r="OU125">
            <v>103</v>
          </cell>
          <cell r="OV125">
            <v>112</v>
          </cell>
          <cell r="OW125" t="str">
            <v>ADGrids</v>
          </cell>
          <cell r="OX125" t="str">
            <v>ADGridNames</v>
          </cell>
        </row>
        <row r="126">
          <cell r="OT126" t="str">
            <v>Banking Analysis</v>
          </cell>
          <cell r="OU126">
            <v>104</v>
          </cell>
          <cell r="OV126">
            <v>113</v>
          </cell>
          <cell r="OW126" t="str">
            <v>ADGrids</v>
          </cell>
          <cell r="OX126" t="str">
            <v>ADGridNames</v>
          </cell>
        </row>
        <row r="127">
          <cell r="OT127" t="str">
            <v>Banking Analysis</v>
          </cell>
          <cell r="OU127">
            <v>105</v>
          </cell>
          <cell r="OV127">
            <v>114</v>
          </cell>
          <cell r="OW127" t="str">
            <v>ADGrids</v>
          </cell>
          <cell r="OX127" t="str">
            <v>ADGridNames</v>
          </cell>
        </row>
        <row r="128">
          <cell r="OT128" t="str">
            <v>Banking Analysis</v>
          </cell>
          <cell r="OU128">
            <v>106</v>
          </cell>
          <cell r="OV128">
            <v>115</v>
          </cell>
          <cell r="OW128" t="str">
            <v>ADGrids</v>
          </cell>
          <cell r="OX128" t="str">
            <v>ADGridNames</v>
          </cell>
        </row>
        <row r="129">
          <cell r="OT129" t="str">
            <v>Banking Analysis</v>
          </cell>
          <cell r="OU129">
            <v>107</v>
          </cell>
          <cell r="OV129">
            <v>116</v>
          </cell>
          <cell r="OW129" t="str">
            <v>ADGrids</v>
          </cell>
          <cell r="OX129" t="str">
            <v>ADGridNames</v>
          </cell>
        </row>
        <row r="130">
          <cell r="OT130" t="str">
            <v>Banking Analysis</v>
          </cell>
          <cell r="OU130">
            <v>108</v>
          </cell>
          <cell r="OV130">
            <v>117</v>
          </cell>
          <cell r="OW130" t="str">
            <v>ADGrids</v>
          </cell>
          <cell r="OX130" t="str">
            <v>ADGridNames</v>
          </cell>
        </row>
        <row r="131">
          <cell r="OT131" t="str">
            <v>Banking Analysis</v>
          </cell>
          <cell r="OU131">
            <v>109</v>
          </cell>
          <cell r="OV131">
            <v>118</v>
          </cell>
          <cell r="OW131" t="str">
            <v>ADGrids</v>
          </cell>
          <cell r="OX131" t="str">
            <v>ADGridNames</v>
          </cell>
        </row>
        <row r="132">
          <cell r="OT132" t="str">
            <v>Banking Analysis</v>
          </cell>
          <cell r="OU132">
            <v>110</v>
          </cell>
          <cell r="OV132">
            <v>119</v>
          </cell>
          <cell r="OW132" t="str">
            <v>ADGrids</v>
          </cell>
          <cell r="OX132" t="str">
            <v>ADGridNames</v>
          </cell>
        </row>
        <row r="133">
          <cell r="OT133" t="str">
            <v>Banking Analysis</v>
          </cell>
          <cell r="OU133">
            <v>111</v>
          </cell>
          <cell r="OV133">
            <v>120</v>
          </cell>
          <cell r="OW133" t="str">
            <v>ADGrids</v>
          </cell>
          <cell r="OX133" t="str">
            <v>ADGridNames</v>
          </cell>
        </row>
        <row r="134">
          <cell r="OT134" t="str">
            <v>Banking Analysis</v>
          </cell>
          <cell r="OU134">
            <v>112</v>
          </cell>
          <cell r="OV134">
            <v>125</v>
          </cell>
          <cell r="OW134" t="str">
            <v>ADGrids</v>
          </cell>
          <cell r="OX134" t="str">
            <v>ADGridNames</v>
          </cell>
        </row>
        <row r="135">
          <cell r="OT135" t="str">
            <v>Banking Analysis</v>
          </cell>
          <cell r="OU135">
            <v>113</v>
          </cell>
          <cell r="OV135">
            <v>129</v>
          </cell>
          <cell r="OW135" t="str">
            <v>ADGrids</v>
          </cell>
          <cell r="OX135" t="str">
            <v>ADGridNames</v>
          </cell>
        </row>
        <row r="136">
          <cell r="OT136" t="str">
            <v>Banking Analysis</v>
          </cell>
          <cell r="OU136">
            <v>114</v>
          </cell>
          <cell r="OV136">
            <v>130</v>
          </cell>
          <cell r="OW136" t="str">
            <v>ADGrids</v>
          </cell>
          <cell r="OX136" t="str">
            <v>ADGridNames</v>
          </cell>
        </row>
        <row r="137">
          <cell r="OT137" t="str">
            <v>Banking Analysis</v>
          </cell>
          <cell r="OU137">
            <v>115</v>
          </cell>
          <cell r="OV137">
            <v>132</v>
          </cell>
          <cell r="OW137" t="str">
            <v>ADGrids</v>
          </cell>
          <cell r="OX137" t="str">
            <v>ADGridNames</v>
          </cell>
        </row>
        <row r="138">
          <cell r="OT138" t="str">
            <v>Financial Services</v>
          </cell>
          <cell r="OU138">
            <v>1</v>
          </cell>
          <cell r="OV138">
            <v>1</v>
          </cell>
          <cell r="OW138" t="str">
            <v>ADGrids</v>
          </cell>
          <cell r="OX138" t="str">
            <v>ADGridNames</v>
          </cell>
        </row>
        <row r="139">
          <cell r="OT139" t="str">
            <v>Financial Services</v>
          </cell>
          <cell r="OU139">
            <v>2</v>
          </cell>
          <cell r="OV139">
            <v>2</v>
          </cell>
          <cell r="OW139" t="str">
            <v>ADGrids</v>
          </cell>
          <cell r="OX139" t="str">
            <v>ADGridNames</v>
          </cell>
        </row>
        <row r="140">
          <cell r="OT140" t="str">
            <v>Financial Services</v>
          </cell>
          <cell r="OU140">
            <v>3</v>
          </cell>
          <cell r="OV140">
            <v>3</v>
          </cell>
          <cell r="OW140" t="str">
            <v>ADGrids</v>
          </cell>
          <cell r="OX140" t="str">
            <v>ADGridNames</v>
          </cell>
        </row>
        <row r="141">
          <cell r="OT141" t="str">
            <v>Financial Services</v>
          </cell>
          <cell r="OU141">
            <v>4</v>
          </cell>
          <cell r="OV141">
            <v>4</v>
          </cell>
          <cell r="OW141" t="str">
            <v>ADGrids</v>
          </cell>
          <cell r="OX141" t="str">
            <v>ADGridNames</v>
          </cell>
        </row>
        <row r="142">
          <cell r="OT142" t="str">
            <v>Financial Services</v>
          </cell>
          <cell r="OU142">
            <v>5</v>
          </cell>
          <cell r="OV142">
            <v>5</v>
          </cell>
          <cell r="OW142" t="str">
            <v>ADGrids</v>
          </cell>
          <cell r="OX142" t="str">
            <v>ADGridNames</v>
          </cell>
        </row>
        <row r="143">
          <cell r="OT143" t="str">
            <v>Financial Services</v>
          </cell>
          <cell r="OU143">
            <v>6</v>
          </cell>
          <cell r="OV143">
            <v>6</v>
          </cell>
          <cell r="OW143" t="str">
            <v>ADGrids</v>
          </cell>
          <cell r="OX143" t="str">
            <v>ADGridNames</v>
          </cell>
        </row>
        <row r="144">
          <cell r="OT144" t="str">
            <v>Financial Services</v>
          </cell>
          <cell r="OU144">
            <v>7</v>
          </cell>
          <cell r="OV144">
            <v>7</v>
          </cell>
          <cell r="OW144" t="str">
            <v>ADGrids</v>
          </cell>
          <cell r="OX144" t="str">
            <v>ADGridNames</v>
          </cell>
        </row>
        <row r="145">
          <cell r="OT145" t="str">
            <v>Financial Services</v>
          </cell>
          <cell r="OU145">
            <v>8</v>
          </cell>
          <cell r="OV145">
            <v>8</v>
          </cell>
          <cell r="OW145" t="str">
            <v>ADGrids</v>
          </cell>
          <cell r="OX145" t="str">
            <v>ADGridNames</v>
          </cell>
        </row>
        <row r="146">
          <cell r="OT146" t="str">
            <v>Financial Services</v>
          </cell>
          <cell r="OU146">
            <v>9</v>
          </cell>
          <cell r="OV146">
            <v>9</v>
          </cell>
          <cell r="OW146" t="str">
            <v>ADGrids</v>
          </cell>
          <cell r="OX146" t="str">
            <v>ADGridNames</v>
          </cell>
        </row>
        <row r="147">
          <cell r="OT147" t="str">
            <v>Financial Services</v>
          </cell>
          <cell r="OU147">
            <v>10</v>
          </cell>
          <cell r="OV147">
            <v>10</v>
          </cell>
          <cell r="OW147" t="str">
            <v>ADGrids</v>
          </cell>
          <cell r="OX147" t="str">
            <v>ADGridNames</v>
          </cell>
        </row>
        <row r="148">
          <cell r="OT148" t="str">
            <v>Financial Services</v>
          </cell>
          <cell r="OU148">
            <v>11</v>
          </cell>
          <cell r="OV148">
            <v>11</v>
          </cell>
          <cell r="OW148" t="str">
            <v>ADGrids</v>
          </cell>
          <cell r="OX148" t="str">
            <v>ADGridNames</v>
          </cell>
        </row>
        <row r="149">
          <cell r="OT149" t="str">
            <v>Financial Services</v>
          </cell>
          <cell r="OU149">
            <v>12</v>
          </cell>
          <cell r="OV149">
            <v>12</v>
          </cell>
          <cell r="OW149" t="str">
            <v>ADGrids</v>
          </cell>
          <cell r="OX149" t="str">
            <v>ADGridNames</v>
          </cell>
        </row>
        <row r="150">
          <cell r="OT150" t="str">
            <v>Financial Services</v>
          </cell>
          <cell r="OU150">
            <v>13</v>
          </cell>
          <cell r="OV150">
            <v>13</v>
          </cell>
          <cell r="OW150" t="str">
            <v>ADGrids</v>
          </cell>
          <cell r="OX150" t="str">
            <v>ADGridNames</v>
          </cell>
        </row>
        <row r="151">
          <cell r="OT151" t="str">
            <v>Financial Services</v>
          </cell>
          <cell r="OU151">
            <v>14</v>
          </cell>
          <cell r="OV151">
            <v>14</v>
          </cell>
          <cell r="OW151" t="str">
            <v>ADGrids</v>
          </cell>
          <cell r="OX151" t="str">
            <v>ADGridNames</v>
          </cell>
        </row>
        <row r="152">
          <cell r="OT152" t="str">
            <v>Financial Services</v>
          </cell>
          <cell r="OU152">
            <v>15</v>
          </cell>
          <cell r="OV152">
            <v>16</v>
          </cell>
          <cell r="OW152" t="str">
            <v>ADGrids</v>
          </cell>
          <cell r="OX152" t="str">
            <v>ADGridNames</v>
          </cell>
        </row>
        <row r="153">
          <cell r="OT153" t="str">
            <v>Financial Services</v>
          </cell>
          <cell r="OU153">
            <v>16</v>
          </cell>
          <cell r="OV153">
            <v>17</v>
          </cell>
          <cell r="OW153" t="str">
            <v>ADGrids</v>
          </cell>
          <cell r="OX153" t="str">
            <v>ADGridNames</v>
          </cell>
        </row>
        <row r="154">
          <cell r="OT154" t="str">
            <v>Financial Services</v>
          </cell>
          <cell r="OU154">
            <v>17</v>
          </cell>
          <cell r="OV154">
            <v>18</v>
          </cell>
          <cell r="OW154" t="str">
            <v>ADGrids</v>
          </cell>
          <cell r="OX154" t="str">
            <v>ADGridNames</v>
          </cell>
        </row>
        <row r="155">
          <cell r="OT155" t="str">
            <v>Financial Services</v>
          </cell>
          <cell r="OU155">
            <v>18</v>
          </cell>
          <cell r="OV155">
            <v>19</v>
          </cell>
          <cell r="OW155" t="str">
            <v>ADGrids</v>
          </cell>
          <cell r="OX155" t="str">
            <v>ADGridNames</v>
          </cell>
        </row>
        <row r="156">
          <cell r="OT156" t="str">
            <v>Financial Services</v>
          </cell>
          <cell r="OU156">
            <v>19</v>
          </cell>
          <cell r="OV156">
            <v>20</v>
          </cell>
          <cell r="OW156" t="str">
            <v>ADGrids</v>
          </cell>
          <cell r="OX156" t="str">
            <v>ADGridNames</v>
          </cell>
        </row>
        <row r="157">
          <cell r="OT157" t="str">
            <v>Financial Services</v>
          </cell>
          <cell r="OU157">
            <v>20</v>
          </cell>
          <cell r="OV157">
            <v>21</v>
          </cell>
          <cell r="OW157" t="str">
            <v>ADGrids</v>
          </cell>
          <cell r="OX157" t="str">
            <v>ADGridNames</v>
          </cell>
        </row>
        <row r="158">
          <cell r="OT158" t="str">
            <v>Financial Services</v>
          </cell>
          <cell r="OU158">
            <v>21</v>
          </cell>
          <cell r="OV158">
            <v>22</v>
          </cell>
          <cell r="OW158" t="str">
            <v>ADGrids</v>
          </cell>
          <cell r="OX158" t="str">
            <v>ADGridNames</v>
          </cell>
        </row>
        <row r="159">
          <cell r="OT159" t="str">
            <v>Financial Services</v>
          </cell>
          <cell r="OU159">
            <v>22</v>
          </cell>
          <cell r="OV159">
            <v>23</v>
          </cell>
          <cell r="OW159" t="str">
            <v>ADGrids</v>
          </cell>
          <cell r="OX159" t="str">
            <v>ADGridNames</v>
          </cell>
        </row>
        <row r="160">
          <cell r="OT160" t="str">
            <v>Financial Services</v>
          </cell>
          <cell r="OU160">
            <v>23</v>
          </cell>
          <cell r="OV160">
            <v>24</v>
          </cell>
          <cell r="OW160" t="str">
            <v>ADGrids</v>
          </cell>
          <cell r="OX160" t="str">
            <v>ADGridNames</v>
          </cell>
        </row>
        <row r="161">
          <cell r="OT161" t="str">
            <v>Financial Services</v>
          </cell>
          <cell r="OU161">
            <v>24</v>
          </cell>
          <cell r="OV161">
            <v>25</v>
          </cell>
          <cell r="OW161" t="str">
            <v>ADGrids</v>
          </cell>
          <cell r="OX161" t="str">
            <v>ADGridNames</v>
          </cell>
        </row>
        <row r="162">
          <cell r="OT162" t="str">
            <v>Financial Services</v>
          </cell>
          <cell r="OU162">
            <v>25</v>
          </cell>
          <cell r="OV162">
            <v>26</v>
          </cell>
          <cell r="OW162" t="str">
            <v>ADGrids</v>
          </cell>
          <cell r="OX162" t="str">
            <v>ADGridNames</v>
          </cell>
        </row>
        <row r="163">
          <cell r="OT163" t="str">
            <v>Financial Services</v>
          </cell>
          <cell r="OU163">
            <v>26</v>
          </cell>
          <cell r="OV163">
            <v>28</v>
          </cell>
          <cell r="OW163" t="str">
            <v>ADGrids</v>
          </cell>
          <cell r="OX163" t="str">
            <v>ADGridNames</v>
          </cell>
        </row>
        <row r="164">
          <cell r="OT164" t="str">
            <v>Financial Services</v>
          </cell>
          <cell r="OU164">
            <v>27</v>
          </cell>
          <cell r="OV164">
            <v>29</v>
          </cell>
          <cell r="OW164" t="str">
            <v>ADGrids</v>
          </cell>
          <cell r="OX164" t="str">
            <v>ADGridNames</v>
          </cell>
        </row>
        <row r="165">
          <cell r="OT165" t="str">
            <v>Financial Services</v>
          </cell>
          <cell r="OU165">
            <v>28</v>
          </cell>
          <cell r="OV165">
            <v>30</v>
          </cell>
          <cell r="OW165" t="str">
            <v>ADGrids</v>
          </cell>
          <cell r="OX165" t="str">
            <v>ADGridNames</v>
          </cell>
        </row>
        <row r="166">
          <cell r="OT166" t="str">
            <v>Financial Services</v>
          </cell>
          <cell r="OU166">
            <v>29</v>
          </cell>
          <cell r="OV166">
            <v>31</v>
          </cell>
          <cell r="OW166" t="str">
            <v>ADGrids</v>
          </cell>
          <cell r="OX166" t="str">
            <v>ADGridNames</v>
          </cell>
        </row>
        <row r="167">
          <cell r="OT167" t="str">
            <v>Financial Services</v>
          </cell>
          <cell r="OU167">
            <v>30</v>
          </cell>
          <cell r="OV167">
            <v>32</v>
          </cell>
          <cell r="OW167" t="str">
            <v>ADGrids</v>
          </cell>
          <cell r="OX167" t="str">
            <v>ADGridNames</v>
          </cell>
        </row>
        <row r="168">
          <cell r="OT168" t="str">
            <v>Financial Services</v>
          </cell>
          <cell r="OU168">
            <v>31</v>
          </cell>
          <cell r="OV168">
            <v>33</v>
          </cell>
          <cell r="OW168" t="str">
            <v>ADGrids</v>
          </cell>
          <cell r="OX168" t="str">
            <v>ADGridNames</v>
          </cell>
        </row>
        <row r="169">
          <cell r="OT169" t="str">
            <v>Financial Services</v>
          </cell>
          <cell r="OU169">
            <v>32</v>
          </cell>
          <cell r="OV169">
            <v>34</v>
          </cell>
          <cell r="OW169" t="str">
            <v>ADGrids</v>
          </cell>
          <cell r="OX169" t="str">
            <v>ADGridNames</v>
          </cell>
        </row>
        <row r="170">
          <cell r="OT170" t="str">
            <v>Financial Services</v>
          </cell>
          <cell r="OU170">
            <v>33</v>
          </cell>
          <cell r="OV170">
            <v>35</v>
          </cell>
          <cell r="OW170" t="str">
            <v>ADGrids</v>
          </cell>
          <cell r="OX170" t="str">
            <v>ADGridNames</v>
          </cell>
        </row>
        <row r="171">
          <cell r="OT171" t="str">
            <v>Financial Services</v>
          </cell>
          <cell r="OU171">
            <v>34</v>
          </cell>
          <cell r="OV171">
            <v>36</v>
          </cell>
          <cell r="OW171" t="str">
            <v>ADGrids</v>
          </cell>
          <cell r="OX171" t="str">
            <v>ADGridNames</v>
          </cell>
        </row>
        <row r="172">
          <cell r="OT172" t="str">
            <v>Financial Services</v>
          </cell>
          <cell r="OU172">
            <v>35</v>
          </cell>
          <cell r="OV172">
            <v>37</v>
          </cell>
          <cell r="OW172" t="str">
            <v>ADGrids</v>
          </cell>
          <cell r="OX172" t="str">
            <v>ADGridNames</v>
          </cell>
        </row>
        <row r="173">
          <cell r="OT173" t="str">
            <v>Financial Services</v>
          </cell>
          <cell r="OU173">
            <v>36</v>
          </cell>
          <cell r="OV173">
            <v>38</v>
          </cell>
          <cell r="OW173" t="str">
            <v>ADGrids</v>
          </cell>
          <cell r="OX173" t="str">
            <v>ADGridNames</v>
          </cell>
        </row>
        <row r="174">
          <cell r="OT174" t="str">
            <v>Financial Services</v>
          </cell>
          <cell r="OU174">
            <v>37</v>
          </cell>
          <cell r="OV174">
            <v>39</v>
          </cell>
          <cell r="OW174" t="str">
            <v>ADGrids</v>
          </cell>
          <cell r="OX174" t="str">
            <v>ADGridNames</v>
          </cell>
        </row>
        <row r="175">
          <cell r="OT175" t="str">
            <v>Financial Services</v>
          </cell>
          <cell r="OU175">
            <v>38</v>
          </cell>
          <cell r="OV175">
            <v>40</v>
          </cell>
          <cell r="OW175" t="str">
            <v>ADGrids</v>
          </cell>
          <cell r="OX175" t="str">
            <v>ADGridNames</v>
          </cell>
        </row>
        <row r="176">
          <cell r="OT176" t="str">
            <v>Financial Services</v>
          </cell>
          <cell r="OU176">
            <v>39</v>
          </cell>
          <cell r="OV176">
            <v>41</v>
          </cell>
          <cell r="OW176" t="str">
            <v>ADGrids</v>
          </cell>
          <cell r="OX176" t="str">
            <v>ADGridNames</v>
          </cell>
        </row>
        <row r="177">
          <cell r="OT177" t="str">
            <v>Financial Services</v>
          </cell>
          <cell r="OU177">
            <v>40</v>
          </cell>
          <cell r="OV177">
            <v>42</v>
          </cell>
          <cell r="OW177" t="str">
            <v>ADGrids</v>
          </cell>
          <cell r="OX177" t="str">
            <v>ADGridNames</v>
          </cell>
        </row>
        <row r="178">
          <cell r="OT178" t="str">
            <v>Financial Services</v>
          </cell>
          <cell r="OU178">
            <v>41</v>
          </cell>
          <cell r="OV178">
            <v>44</v>
          </cell>
          <cell r="OW178" t="str">
            <v>ADGrids</v>
          </cell>
          <cell r="OX178" t="str">
            <v>ADGridNames</v>
          </cell>
        </row>
        <row r="179">
          <cell r="OT179" t="str">
            <v>Financial Services</v>
          </cell>
          <cell r="OU179">
            <v>42</v>
          </cell>
          <cell r="OV179">
            <v>45</v>
          </cell>
          <cell r="OW179" t="str">
            <v>ADGrids</v>
          </cell>
          <cell r="OX179" t="str">
            <v>ADGridNames</v>
          </cell>
        </row>
        <row r="180">
          <cell r="OT180" t="str">
            <v>Financial Services</v>
          </cell>
          <cell r="OU180">
            <v>43</v>
          </cell>
          <cell r="OV180">
            <v>46</v>
          </cell>
          <cell r="OW180" t="str">
            <v>ADGrids</v>
          </cell>
          <cell r="OX180" t="str">
            <v>ADGridNames</v>
          </cell>
        </row>
        <row r="181">
          <cell r="OT181" t="str">
            <v>Financial Services</v>
          </cell>
          <cell r="OU181">
            <v>44</v>
          </cell>
          <cell r="OV181">
            <v>47</v>
          </cell>
          <cell r="OW181" t="str">
            <v>ADGrids</v>
          </cell>
          <cell r="OX181" t="str">
            <v>ADGridNames</v>
          </cell>
        </row>
        <row r="182">
          <cell r="OT182" t="str">
            <v>Financial Services</v>
          </cell>
          <cell r="OU182">
            <v>45</v>
          </cell>
          <cell r="OV182">
            <v>48</v>
          </cell>
          <cell r="OW182" t="str">
            <v>ADGrids</v>
          </cell>
          <cell r="OX182" t="str">
            <v>ADGridNames</v>
          </cell>
        </row>
        <row r="183">
          <cell r="OT183" t="str">
            <v>Financial Services</v>
          </cell>
          <cell r="OU183">
            <v>46</v>
          </cell>
          <cell r="OV183">
            <v>49</v>
          </cell>
          <cell r="OW183" t="str">
            <v>ADGrids</v>
          </cell>
          <cell r="OX183" t="str">
            <v>ADGridNames</v>
          </cell>
        </row>
        <row r="184">
          <cell r="OT184" t="str">
            <v>Financial Services</v>
          </cell>
          <cell r="OU184">
            <v>47</v>
          </cell>
          <cell r="OV184">
            <v>50</v>
          </cell>
          <cell r="OW184" t="str">
            <v>ADGrids</v>
          </cell>
          <cell r="OX184" t="str">
            <v>ADGridNames</v>
          </cell>
        </row>
        <row r="185">
          <cell r="OT185" t="str">
            <v>Financial Services</v>
          </cell>
          <cell r="OU185">
            <v>48</v>
          </cell>
          <cell r="OV185">
            <v>51</v>
          </cell>
          <cell r="OW185" t="str">
            <v>ADGrids</v>
          </cell>
          <cell r="OX185" t="str">
            <v>ADGridNames</v>
          </cell>
        </row>
        <row r="186">
          <cell r="OT186" t="str">
            <v>Financial Services</v>
          </cell>
          <cell r="OU186">
            <v>49</v>
          </cell>
          <cell r="OV186">
            <v>52</v>
          </cell>
          <cell r="OW186" t="str">
            <v>ADGrids</v>
          </cell>
          <cell r="OX186" t="str">
            <v>ADGridNames</v>
          </cell>
        </row>
        <row r="187">
          <cell r="OT187" t="str">
            <v>Financial Services</v>
          </cell>
          <cell r="OU187">
            <v>50</v>
          </cell>
          <cell r="OV187">
            <v>53</v>
          </cell>
          <cell r="OW187" t="str">
            <v>ADGrids</v>
          </cell>
          <cell r="OX187" t="str">
            <v>ADGridNames</v>
          </cell>
        </row>
        <row r="188">
          <cell r="OT188" t="str">
            <v>Financial Services</v>
          </cell>
          <cell r="OU188">
            <v>51</v>
          </cell>
          <cell r="OV188">
            <v>54</v>
          </cell>
          <cell r="OW188" t="str">
            <v>ADGrids</v>
          </cell>
          <cell r="OX188" t="str">
            <v>ADGridNames</v>
          </cell>
        </row>
        <row r="189">
          <cell r="OT189" t="str">
            <v>Financial Services</v>
          </cell>
          <cell r="OU189">
            <v>52</v>
          </cell>
          <cell r="OV189">
            <v>55</v>
          </cell>
          <cell r="OW189" t="str">
            <v>ADGrids</v>
          </cell>
          <cell r="OX189" t="str">
            <v>ADGridNames</v>
          </cell>
        </row>
        <row r="190">
          <cell r="OT190" t="str">
            <v>Financial Services</v>
          </cell>
          <cell r="OU190">
            <v>53</v>
          </cell>
          <cell r="OV190">
            <v>56</v>
          </cell>
          <cell r="OW190" t="str">
            <v>ADGrids</v>
          </cell>
          <cell r="OX190" t="str">
            <v>ADGridNames</v>
          </cell>
        </row>
        <row r="191">
          <cell r="OT191" t="str">
            <v>Financial Services</v>
          </cell>
          <cell r="OU191">
            <v>54</v>
          </cell>
          <cell r="OV191">
            <v>57</v>
          </cell>
          <cell r="OW191" t="str">
            <v>ADGrids</v>
          </cell>
          <cell r="OX191" t="str">
            <v>ADGridNames</v>
          </cell>
        </row>
        <row r="192">
          <cell r="OT192" t="str">
            <v>Financial Services</v>
          </cell>
          <cell r="OU192">
            <v>55</v>
          </cell>
          <cell r="OV192">
            <v>58</v>
          </cell>
          <cell r="OW192" t="str">
            <v>ADGrids</v>
          </cell>
          <cell r="OX192" t="str">
            <v>ADGridNames</v>
          </cell>
        </row>
        <row r="193">
          <cell r="OT193" t="str">
            <v>Financial Services</v>
          </cell>
          <cell r="OU193">
            <v>56</v>
          </cell>
          <cell r="OV193">
            <v>59</v>
          </cell>
          <cell r="OW193" t="str">
            <v>ADGrids</v>
          </cell>
          <cell r="OX193" t="str">
            <v>ADGridNames</v>
          </cell>
        </row>
        <row r="194">
          <cell r="OT194" t="str">
            <v>Financial Services</v>
          </cell>
          <cell r="OU194">
            <v>57</v>
          </cell>
          <cell r="OV194">
            <v>60</v>
          </cell>
          <cell r="OW194" t="str">
            <v>ADGrids</v>
          </cell>
          <cell r="OX194" t="str">
            <v>ADGridNames</v>
          </cell>
        </row>
        <row r="195">
          <cell r="OT195" t="str">
            <v>Financial Services</v>
          </cell>
          <cell r="OU195">
            <v>58</v>
          </cell>
          <cell r="OV195">
            <v>61</v>
          </cell>
          <cell r="OW195" t="str">
            <v>ADGrids</v>
          </cell>
          <cell r="OX195" t="str">
            <v>ADGridNames</v>
          </cell>
        </row>
        <row r="196">
          <cell r="OT196" t="str">
            <v>Financial Services</v>
          </cell>
          <cell r="OU196">
            <v>59</v>
          </cell>
          <cell r="OV196">
            <v>62</v>
          </cell>
          <cell r="OW196" t="str">
            <v>ADGrids</v>
          </cell>
          <cell r="OX196" t="str">
            <v>ADGridNames</v>
          </cell>
        </row>
        <row r="197">
          <cell r="OT197" t="str">
            <v>Financial Services</v>
          </cell>
          <cell r="OU197">
            <v>60</v>
          </cell>
          <cell r="OV197">
            <v>63</v>
          </cell>
          <cell r="OW197" t="str">
            <v>ADGrids</v>
          </cell>
          <cell r="OX197" t="str">
            <v>ADGridNames</v>
          </cell>
        </row>
        <row r="198">
          <cell r="OT198" t="str">
            <v>Financial Services</v>
          </cell>
          <cell r="OU198">
            <v>61</v>
          </cell>
          <cell r="OV198">
            <v>64</v>
          </cell>
          <cell r="OW198" t="str">
            <v>ADGrids</v>
          </cell>
          <cell r="OX198" t="str">
            <v>ADGridNames</v>
          </cell>
        </row>
        <row r="199">
          <cell r="OT199" t="str">
            <v>Financial Services</v>
          </cell>
          <cell r="OU199">
            <v>62</v>
          </cell>
          <cell r="OV199">
            <v>65</v>
          </cell>
          <cell r="OW199" t="str">
            <v>ADGrids</v>
          </cell>
          <cell r="OX199" t="str">
            <v>ADGridNames</v>
          </cell>
        </row>
        <row r="200">
          <cell r="OT200" t="str">
            <v>Financial Services</v>
          </cell>
          <cell r="OU200">
            <v>63</v>
          </cell>
          <cell r="OV200">
            <v>66</v>
          </cell>
          <cell r="OW200" t="str">
            <v>ADGrids</v>
          </cell>
          <cell r="OX200" t="str">
            <v>ADGridNames</v>
          </cell>
        </row>
        <row r="201">
          <cell r="OT201" t="str">
            <v>Financial Services</v>
          </cell>
          <cell r="OU201">
            <v>64</v>
          </cell>
          <cell r="OV201">
            <v>67</v>
          </cell>
          <cell r="OW201" t="str">
            <v>ADGrids</v>
          </cell>
          <cell r="OX201" t="str">
            <v>ADGridNames</v>
          </cell>
        </row>
        <row r="202">
          <cell r="OT202" t="str">
            <v>Financial Services</v>
          </cell>
          <cell r="OU202">
            <v>65</v>
          </cell>
          <cell r="OV202">
            <v>68</v>
          </cell>
          <cell r="OW202" t="str">
            <v>ADGrids</v>
          </cell>
          <cell r="OX202" t="str">
            <v>ADGridNames</v>
          </cell>
        </row>
        <row r="203">
          <cell r="OT203" t="str">
            <v>Financial Services</v>
          </cell>
          <cell r="OU203">
            <v>66</v>
          </cell>
          <cell r="OV203">
            <v>69</v>
          </cell>
          <cell r="OW203" t="str">
            <v>ADGrids</v>
          </cell>
          <cell r="OX203" t="str">
            <v>ADGridNames</v>
          </cell>
        </row>
        <row r="204">
          <cell r="OT204" t="str">
            <v>Financial Services</v>
          </cell>
          <cell r="OU204">
            <v>67</v>
          </cell>
          <cell r="OV204">
            <v>70</v>
          </cell>
          <cell r="OW204" t="str">
            <v>ADGrids</v>
          </cell>
          <cell r="OX204" t="str">
            <v>ADGridNames</v>
          </cell>
        </row>
        <row r="205">
          <cell r="OT205" t="str">
            <v>Financial Services</v>
          </cell>
          <cell r="OU205">
            <v>68</v>
          </cell>
          <cell r="OV205">
            <v>71</v>
          </cell>
          <cell r="OW205" t="str">
            <v>ADGrids</v>
          </cell>
          <cell r="OX205" t="str">
            <v>ADGridNames</v>
          </cell>
        </row>
        <row r="206">
          <cell r="OT206" t="str">
            <v>Financial Services</v>
          </cell>
          <cell r="OU206">
            <v>69</v>
          </cell>
          <cell r="OV206">
            <v>72</v>
          </cell>
          <cell r="OW206" t="str">
            <v>ADGrids</v>
          </cell>
          <cell r="OX206" t="str">
            <v>ADGridNames</v>
          </cell>
        </row>
        <row r="207">
          <cell r="OT207" t="str">
            <v>Financial Services</v>
          </cell>
          <cell r="OU207">
            <v>70</v>
          </cell>
          <cell r="OV207">
            <v>73</v>
          </cell>
          <cell r="OW207" t="str">
            <v>ADGrids</v>
          </cell>
          <cell r="OX207" t="str">
            <v>ADGridNames</v>
          </cell>
        </row>
        <row r="208">
          <cell r="OT208" t="str">
            <v>Financial Services</v>
          </cell>
          <cell r="OU208">
            <v>71</v>
          </cell>
          <cell r="OV208">
            <v>75</v>
          </cell>
          <cell r="OW208" t="str">
            <v>ADGrids</v>
          </cell>
          <cell r="OX208" t="str">
            <v>ADGridNames</v>
          </cell>
        </row>
        <row r="209">
          <cell r="OT209" t="str">
            <v>Financial Services</v>
          </cell>
          <cell r="OU209">
            <v>72</v>
          </cell>
          <cell r="OV209">
            <v>76</v>
          </cell>
          <cell r="OW209" t="str">
            <v>ADGrids</v>
          </cell>
          <cell r="OX209" t="str">
            <v>ADGridNames</v>
          </cell>
        </row>
        <row r="210">
          <cell r="OT210" t="str">
            <v>Financial Services</v>
          </cell>
          <cell r="OU210">
            <v>73</v>
          </cell>
          <cell r="OV210">
            <v>77</v>
          </cell>
          <cell r="OW210" t="str">
            <v>ADGrids</v>
          </cell>
          <cell r="OX210" t="str">
            <v>ADGridNames</v>
          </cell>
        </row>
        <row r="211">
          <cell r="OT211" t="str">
            <v>Financial Services</v>
          </cell>
          <cell r="OU211">
            <v>74</v>
          </cell>
          <cell r="OV211">
            <v>78</v>
          </cell>
          <cell r="OW211" t="str">
            <v>ADGrids</v>
          </cell>
          <cell r="OX211" t="str">
            <v>ADGridNames</v>
          </cell>
        </row>
        <row r="212">
          <cell r="OT212" t="str">
            <v>Financial Services</v>
          </cell>
          <cell r="OU212">
            <v>75</v>
          </cell>
          <cell r="OV212">
            <v>79</v>
          </cell>
          <cell r="OW212" t="str">
            <v>ADGrids</v>
          </cell>
          <cell r="OX212" t="str">
            <v>ADGridNames</v>
          </cell>
        </row>
        <row r="213">
          <cell r="OT213" t="str">
            <v>Financial Services</v>
          </cell>
          <cell r="OU213">
            <v>76</v>
          </cell>
          <cell r="OV213">
            <v>80</v>
          </cell>
          <cell r="OW213" t="str">
            <v>ADGrids</v>
          </cell>
          <cell r="OX213" t="str">
            <v>ADGridNames</v>
          </cell>
        </row>
        <row r="214">
          <cell r="OT214" t="str">
            <v>Financial Services</v>
          </cell>
          <cell r="OU214">
            <v>77</v>
          </cell>
          <cell r="OV214">
            <v>81</v>
          </cell>
          <cell r="OW214" t="str">
            <v>ADGrids</v>
          </cell>
          <cell r="OX214" t="str">
            <v>ADGridNames</v>
          </cell>
        </row>
        <row r="215">
          <cell r="OT215" t="str">
            <v>Financial Services</v>
          </cell>
          <cell r="OU215">
            <v>78</v>
          </cell>
          <cell r="OV215">
            <v>83</v>
          </cell>
          <cell r="OW215" t="str">
            <v>ADGrids</v>
          </cell>
          <cell r="OX215" t="str">
            <v>ADGridNames</v>
          </cell>
        </row>
        <row r="216">
          <cell r="OT216" t="str">
            <v>Financial Services</v>
          </cell>
          <cell r="OU216">
            <v>79</v>
          </cell>
          <cell r="OV216">
            <v>84</v>
          </cell>
          <cell r="OW216" t="str">
            <v>ADGrids</v>
          </cell>
          <cell r="OX216" t="str">
            <v>ADGridNames</v>
          </cell>
        </row>
        <row r="217">
          <cell r="OT217" t="str">
            <v>Financial Services</v>
          </cell>
          <cell r="OU217">
            <v>80</v>
          </cell>
          <cell r="OV217">
            <v>85</v>
          </cell>
          <cell r="OW217" t="str">
            <v>ADGrids</v>
          </cell>
          <cell r="OX217" t="str">
            <v>ADGridNames</v>
          </cell>
        </row>
        <row r="218">
          <cell r="OT218" t="str">
            <v>Financial Services</v>
          </cell>
          <cell r="OU218">
            <v>81</v>
          </cell>
          <cell r="OV218">
            <v>86</v>
          </cell>
          <cell r="OW218" t="str">
            <v>ADGrids</v>
          </cell>
          <cell r="OX218" t="str">
            <v>ADGridNames</v>
          </cell>
        </row>
        <row r="219">
          <cell r="OT219" t="str">
            <v>Financial Services</v>
          </cell>
          <cell r="OU219">
            <v>82</v>
          </cell>
          <cell r="OV219">
            <v>87</v>
          </cell>
          <cell r="OW219" t="str">
            <v>ADGrids</v>
          </cell>
          <cell r="OX219" t="str">
            <v>ADGridNames</v>
          </cell>
        </row>
        <row r="220">
          <cell r="OT220" t="str">
            <v>Financial Services</v>
          </cell>
          <cell r="OU220">
            <v>83</v>
          </cell>
          <cell r="OV220">
            <v>88</v>
          </cell>
          <cell r="OW220" t="str">
            <v>ADGrids</v>
          </cell>
          <cell r="OX220" t="str">
            <v>ADGridNames</v>
          </cell>
        </row>
        <row r="221">
          <cell r="OT221" t="str">
            <v>Financial Services</v>
          </cell>
          <cell r="OU221">
            <v>84</v>
          </cell>
          <cell r="OV221">
            <v>89</v>
          </cell>
          <cell r="OW221" t="str">
            <v>ADGrids</v>
          </cell>
          <cell r="OX221" t="str">
            <v>ADGridNames</v>
          </cell>
        </row>
        <row r="222">
          <cell r="OT222" t="str">
            <v>Financial Services</v>
          </cell>
          <cell r="OU222">
            <v>85</v>
          </cell>
          <cell r="OV222">
            <v>90</v>
          </cell>
          <cell r="OW222" t="str">
            <v>ADGrids</v>
          </cell>
          <cell r="OX222" t="str">
            <v>ADGridNames</v>
          </cell>
        </row>
        <row r="223">
          <cell r="OT223" t="str">
            <v>Financial Services</v>
          </cell>
          <cell r="OU223">
            <v>86</v>
          </cell>
          <cell r="OV223">
            <v>91</v>
          </cell>
          <cell r="OW223" t="str">
            <v>ADGrids</v>
          </cell>
          <cell r="OX223" t="str">
            <v>ADGridNames</v>
          </cell>
        </row>
        <row r="224">
          <cell r="OT224" t="str">
            <v>Financial Services</v>
          </cell>
          <cell r="OU224">
            <v>87</v>
          </cell>
          <cell r="OV224">
            <v>92</v>
          </cell>
          <cell r="OW224" t="str">
            <v>ADGrids</v>
          </cell>
          <cell r="OX224" t="str">
            <v>ADGridNames</v>
          </cell>
        </row>
        <row r="225">
          <cell r="OT225" t="str">
            <v>Financial Services</v>
          </cell>
          <cell r="OU225">
            <v>88</v>
          </cell>
          <cell r="OV225">
            <v>93</v>
          </cell>
          <cell r="OW225" t="str">
            <v>ADGrids</v>
          </cell>
          <cell r="OX225" t="str">
            <v>ADGridNames</v>
          </cell>
        </row>
        <row r="226">
          <cell r="OT226" t="str">
            <v>Financial Services</v>
          </cell>
          <cell r="OU226">
            <v>89</v>
          </cell>
          <cell r="OV226">
            <v>94</v>
          </cell>
          <cell r="OW226" t="str">
            <v>ADGrids</v>
          </cell>
          <cell r="OX226" t="str">
            <v>ADGridNames</v>
          </cell>
        </row>
        <row r="227">
          <cell r="OT227" t="str">
            <v>Financial Services</v>
          </cell>
          <cell r="OU227">
            <v>90</v>
          </cell>
          <cell r="OV227">
            <v>95</v>
          </cell>
          <cell r="OW227" t="str">
            <v>ADGrids</v>
          </cell>
          <cell r="OX227" t="str">
            <v>ADGridNames</v>
          </cell>
        </row>
        <row r="228">
          <cell r="OT228" t="str">
            <v>Financial Services</v>
          </cell>
          <cell r="OU228">
            <v>91</v>
          </cell>
          <cell r="OV228">
            <v>96</v>
          </cell>
          <cell r="OW228" t="str">
            <v>ADGrids</v>
          </cell>
          <cell r="OX228" t="str">
            <v>ADGridNames</v>
          </cell>
        </row>
        <row r="229">
          <cell r="OT229" t="str">
            <v>Financial Services</v>
          </cell>
          <cell r="OU229">
            <v>92</v>
          </cell>
          <cell r="OV229">
            <v>97</v>
          </cell>
          <cell r="OW229" t="str">
            <v>ADGrids</v>
          </cell>
          <cell r="OX229" t="str">
            <v>ADGridNames</v>
          </cell>
        </row>
        <row r="230">
          <cell r="OT230" t="str">
            <v>Financial Services</v>
          </cell>
          <cell r="OU230">
            <v>93</v>
          </cell>
          <cell r="OV230">
            <v>98</v>
          </cell>
          <cell r="OW230" t="str">
            <v>ADGrids</v>
          </cell>
          <cell r="OX230" t="str">
            <v>ADGridNames</v>
          </cell>
        </row>
        <row r="231">
          <cell r="OT231" t="str">
            <v>Financial Services</v>
          </cell>
          <cell r="OU231">
            <v>94</v>
          </cell>
          <cell r="OV231">
            <v>99</v>
          </cell>
          <cell r="OW231" t="str">
            <v>ADGrids</v>
          </cell>
          <cell r="OX231" t="str">
            <v>ADGridNames</v>
          </cell>
        </row>
        <row r="232">
          <cell r="OT232" t="str">
            <v>Financial Services</v>
          </cell>
          <cell r="OU232">
            <v>95</v>
          </cell>
          <cell r="OV232">
            <v>100</v>
          </cell>
          <cell r="OW232" t="str">
            <v>ADGrids</v>
          </cell>
          <cell r="OX232" t="str">
            <v>ADGridNames</v>
          </cell>
        </row>
        <row r="233">
          <cell r="OT233" t="str">
            <v>Financial Services</v>
          </cell>
          <cell r="OU233">
            <v>96</v>
          </cell>
          <cell r="OV233">
            <v>101</v>
          </cell>
          <cell r="OW233" t="str">
            <v>ADGrids</v>
          </cell>
          <cell r="OX233" t="str">
            <v>ADGridNames</v>
          </cell>
        </row>
        <row r="234">
          <cell r="OT234" t="str">
            <v>Financial Services</v>
          </cell>
          <cell r="OU234">
            <v>97</v>
          </cell>
          <cell r="OV234">
            <v>102</v>
          </cell>
          <cell r="OW234" t="str">
            <v>ADGrids</v>
          </cell>
          <cell r="OX234" t="str">
            <v>ADGridNames</v>
          </cell>
        </row>
        <row r="235">
          <cell r="OT235" t="str">
            <v>Financial Services</v>
          </cell>
          <cell r="OU235">
            <v>98</v>
          </cell>
          <cell r="OV235">
            <v>103</v>
          </cell>
          <cell r="OW235" t="str">
            <v>ADGrids</v>
          </cell>
          <cell r="OX235" t="str">
            <v>ADGridNames</v>
          </cell>
        </row>
        <row r="236">
          <cell r="OT236" t="str">
            <v>Financial Services</v>
          </cell>
          <cell r="OU236">
            <v>99</v>
          </cell>
          <cell r="OV236">
            <v>104</v>
          </cell>
          <cell r="OW236" t="str">
            <v>ADGrids</v>
          </cell>
          <cell r="OX236" t="str">
            <v>ADGridNames</v>
          </cell>
        </row>
        <row r="237">
          <cell r="OT237" t="str">
            <v>Financial Services</v>
          </cell>
          <cell r="OU237">
            <v>100</v>
          </cell>
          <cell r="OV237">
            <v>105</v>
          </cell>
          <cell r="OW237" t="str">
            <v>ADGrids</v>
          </cell>
          <cell r="OX237" t="str">
            <v>ADGridNames</v>
          </cell>
        </row>
        <row r="238">
          <cell r="OT238"/>
          <cell r="OU238">
            <v>1</v>
          </cell>
          <cell r="OV238"/>
          <cell r="OW238"/>
          <cell r="OX238"/>
        </row>
        <row r="239">
          <cell r="OT239"/>
          <cell r="OU239"/>
          <cell r="OV239"/>
          <cell r="OW239"/>
          <cell r="OX239"/>
        </row>
        <row r="240">
          <cell r="OT240"/>
          <cell r="OU240"/>
          <cell r="OV240"/>
          <cell r="OW240"/>
          <cell r="OX240"/>
        </row>
        <row r="241">
          <cell r="OT241"/>
          <cell r="OU241"/>
          <cell r="OV241"/>
          <cell r="OW241"/>
          <cell r="OX241"/>
        </row>
        <row r="242">
          <cell r="OT242"/>
          <cell r="OU242"/>
          <cell r="OV242"/>
          <cell r="OW242"/>
          <cell r="OX242"/>
        </row>
        <row r="243">
          <cell r="OT243"/>
          <cell r="OU243"/>
          <cell r="OV243"/>
          <cell r="OW243"/>
          <cell r="OX243"/>
        </row>
        <row r="244">
          <cell r="OT244"/>
          <cell r="OU244"/>
          <cell r="OV244"/>
          <cell r="OW244"/>
          <cell r="OX244"/>
        </row>
        <row r="245">
          <cell r="OT245"/>
          <cell r="OU245"/>
          <cell r="OV245"/>
          <cell r="OW245"/>
          <cell r="OX245"/>
        </row>
        <row r="246">
          <cell r="OT246"/>
          <cell r="OU246"/>
          <cell r="OV246"/>
          <cell r="OW246"/>
          <cell r="OX246"/>
        </row>
        <row r="247">
          <cell r="OT247"/>
          <cell r="OU247"/>
          <cell r="OV247"/>
          <cell r="OW247"/>
          <cell r="OX247"/>
        </row>
        <row r="248">
          <cell r="OT248"/>
          <cell r="OU248"/>
          <cell r="OV248"/>
          <cell r="OW248"/>
          <cell r="OX248"/>
        </row>
        <row r="249">
          <cell r="OT249"/>
          <cell r="OU249"/>
          <cell r="OV249"/>
          <cell r="OW249"/>
          <cell r="OX249"/>
        </row>
        <row r="250">
          <cell r="OT250"/>
          <cell r="OU250"/>
          <cell r="OV250"/>
          <cell r="OW250"/>
          <cell r="OX250"/>
        </row>
        <row r="251">
          <cell r="OT251"/>
          <cell r="OU251"/>
          <cell r="OV251"/>
          <cell r="OW251"/>
          <cell r="OX251"/>
        </row>
        <row r="252">
          <cell r="OT252"/>
          <cell r="OU252"/>
          <cell r="OV252"/>
          <cell r="OW252"/>
          <cell r="OX252"/>
        </row>
        <row r="253">
          <cell r="OT253"/>
          <cell r="OU253"/>
          <cell r="OV253"/>
          <cell r="OW253"/>
          <cell r="OX253"/>
        </row>
        <row r="254">
          <cell r="OT254"/>
          <cell r="OU254"/>
          <cell r="OV254"/>
          <cell r="OW254"/>
          <cell r="OX254"/>
        </row>
        <row r="255">
          <cell r="OT255"/>
          <cell r="OU255"/>
          <cell r="OV255"/>
          <cell r="OW255"/>
          <cell r="OX255"/>
        </row>
        <row r="256">
          <cell r="OT256"/>
          <cell r="OU256"/>
          <cell r="OV256"/>
          <cell r="OW256"/>
          <cell r="OX256"/>
        </row>
        <row r="257">
          <cell r="OT257"/>
          <cell r="OU257"/>
          <cell r="OV257"/>
          <cell r="OW257"/>
          <cell r="OX257"/>
        </row>
        <row r="258">
          <cell r="OT258"/>
          <cell r="OU258"/>
          <cell r="OV258"/>
          <cell r="OW258"/>
          <cell r="OX258"/>
        </row>
        <row r="259">
          <cell r="OT259"/>
          <cell r="OU259"/>
          <cell r="OV259"/>
          <cell r="OW259"/>
          <cell r="OX259"/>
        </row>
        <row r="260">
          <cell r="OT260"/>
          <cell r="OU260"/>
          <cell r="OV260"/>
          <cell r="OW260"/>
          <cell r="OX260"/>
        </row>
        <row r="261">
          <cell r="OT261"/>
          <cell r="OU261"/>
          <cell r="OV261"/>
          <cell r="OW261"/>
          <cell r="OX261"/>
        </row>
        <row r="262">
          <cell r="OT262"/>
          <cell r="OU262"/>
          <cell r="OV262"/>
          <cell r="OW262"/>
          <cell r="OX262"/>
        </row>
        <row r="263">
          <cell r="OT263"/>
          <cell r="OU263"/>
          <cell r="OV263"/>
          <cell r="OW263"/>
          <cell r="OX263"/>
        </row>
        <row r="264">
          <cell r="OT264"/>
          <cell r="OU264"/>
          <cell r="OV264"/>
          <cell r="OW264"/>
          <cell r="OX264"/>
        </row>
        <row r="265">
          <cell r="OT265"/>
          <cell r="OU265"/>
          <cell r="OV265"/>
          <cell r="OW265"/>
          <cell r="OX265"/>
        </row>
        <row r="266">
          <cell r="OT266"/>
          <cell r="OU266"/>
          <cell r="OV266"/>
          <cell r="OW266"/>
          <cell r="OX266"/>
        </row>
        <row r="267">
          <cell r="OT267"/>
          <cell r="OU267"/>
          <cell r="OV267"/>
          <cell r="OW267"/>
          <cell r="OX267"/>
        </row>
        <row r="268">
          <cell r="OT268"/>
          <cell r="OU268"/>
          <cell r="OV268"/>
          <cell r="OW268"/>
          <cell r="OX268"/>
        </row>
        <row r="269">
          <cell r="OT269"/>
          <cell r="OU269"/>
          <cell r="OV269"/>
          <cell r="OW269"/>
          <cell r="OX269"/>
        </row>
        <row r="270">
          <cell r="OT270"/>
          <cell r="OU270"/>
          <cell r="OV270"/>
          <cell r="OW270"/>
          <cell r="OX270"/>
        </row>
        <row r="271">
          <cell r="OT271"/>
          <cell r="OU271"/>
          <cell r="OV271"/>
          <cell r="OW271"/>
          <cell r="OX271"/>
        </row>
        <row r="272">
          <cell r="OT272"/>
          <cell r="OU272"/>
          <cell r="OV272"/>
          <cell r="OW272"/>
          <cell r="OX272"/>
        </row>
        <row r="273">
          <cell r="OT273"/>
          <cell r="OU273"/>
          <cell r="OV273"/>
          <cell r="OW273"/>
          <cell r="OX273"/>
        </row>
        <row r="274">
          <cell r="OT274"/>
          <cell r="OU274"/>
          <cell r="OV274"/>
          <cell r="OW274"/>
          <cell r="OX274"/>
        </row>
        <row r="275">
          <cell r="OT275"/>
          <cell r="OU275"/>
          <cell r="OV275"/>
          <cell r="OW275"/>
          <cell r="OX275"/>
        </row>
        <row r="276">
          <cell r="OT276"/>
          <cell r="OU276"/>
          <cell r="OV276"/>
          <cell r="OW276"/>
          <cell r="OX276"/>
        </row>
        <row r="277">
          <cell r="OT277"/>
          <cell r="OU277"/>
          <cell r="OV277"/>
          <cell r="OW277"/>
          <cell r="OX277"/>
        </row>
        <row r="278">
          <cell r="OT278"/>
          <cell r="OU278"/>
          <cell r="OV278"/>
          <cell r="OW278"/>
          <cell r="OX278"/>
        </row>
        <row r="279">
          <cell r="OT279"/>
          <cell r="OU279"/>
          <cell r="OV279"/>
          <cell r="OW279"/>
          <cell r="OX279"/>
        </row>
        <row r="280">
          <cell r="OT280"/>
          <cell r="OU280"/>
          <cell r="OV280"/>
          <cell r="OW280"/>
          <cell r="OX280"/>
        </row>
        <row r="281">
          <cell r="OT281"/>
          <cell r="OU281"/>
          <cell r="OV281"/>
          <cell r="OW281"/>
          <cell r="OX281"/>
        </row>
        <row r="282">
          <cell r="OT282"/>
          <cell r="OU282"/>
          <cell r="OV282"/>
          <cell r="OW282"/>
          <cell r="OX282"/>
        </row>
        <row r="283">
          <cell r="OT283"/>
          <cell r="OU283"/>
          <cell r="OV283"/>
          <cell r="OW283"/>
          <cell r="OX283"/>
        </row>
        <row r="284">
          <cell r="OT284"/>
          <cell r="OU284"/>
          <cell r="OV284"/>
          <cell r="OW284"/>
          <cell r="OX284"/>
        </row>
        <row r="285">
          <cell r="OT285"/>
          <cell r="OU285"/>
          <cell r="OV285"/>
          <cell r="OW285"/>
          <cell r="OX285"/>
        </row>
        <row r="286">
          <cell r="OT286"/>
          <cell r="OU286"/>
          <cell r="OV286"/>
          <cell r="OW286"/>
          <cell r="OX286"/>
        </row>
        <row r="287">
          <cell r="OT287"/>
          <cell r="OU287"/>
          <cell r="OV287"/>
          <cell r="OW287"/>
          <cell r="OX287"/>
        </row>
        <row r="288">
          <cell r="OT288"/>
          <cell r="OU288"/>
          <cell r="OV288"/>
          <cell r="OW288"/>
          <cell r="OX288"/>
        </row>
        <row r="289">
          <cell r="OT289"/>
          <cell r="OU289"/>
          <cell r="OV289"/>
          <cell r="OW289"/>
          <cell r="OX289"/>
        </row>
        <row r="290">
          <cell r="OT290"/>
          <cell r="OU290"/>
          <cell r="OV290"/>
          <cell r="OW290"/>
          <cell r="OX290"/>
        </row>
        <row r="291">
          <cell r="OT291"/>
          <cell r="OU291"/>
          <cell r="OV291"/>
          <cell r="OW291"/>
          <cell r="OX291"/>
        </row>
        <row r="292">
          <cell r="OT292"/>
          <cell r="OU292"/>
          <cell r="OV292"/>
          <cell r="OW292"/>
          <cell r="OX292"/>
        </row>
        <row r="293">
          <cell r="OT293"/>
          <cell r="OU293"/>
          <cell r="OV293"/>
          <cell r="OW293"/>
          <cell r="OX293"/>
        </row>
        <row r="294">
          <cell r="OT294"/>
          <cell r="OU294"/>
          <cell r="OV294"/>
          <cell r="OW294"/>
          <cell r="OX294"/>
        </row>
        <row r="295">
          <cell r="OT295"/>
          <cell r="OU295"/>
          <cell r="OV295"/>
          <cell r="OW295"/>
          <cell r="OX295"/>
        </row>
        <row r="296">
          <cell r="OT296"/>
          <cell r="OU296"/>
          <cell r="OV296"/>
          <cell r="OW296"/>
          <cell r="OX296"/>
        </row>
        <row r="297">
          <cell r="OT297"/>
          <cell r="OU297"/>
          <cell r="OV297"/>
          <cell r="OW297"/>
          <cell r="OX297"/>
        </row>
        <row r="298">
          <cell r="OT298"/>
          <cell r="OU298"/>
          <cell r="OV298"/>
          <cell r="OW298"/>
          <cell r="OX298"/>
        </row>
        <row r="299">
          <cell r="OT299"/>
          <cell r="OU299"/>
          <cell r="OV299"/>
          <cell r="OW299"/>
          <cell r="OX299"/>
        </row>
        <row r="300">
          <cell r="OT300"/>
          <cell r="OU300"/>
          <cell r="OV300"/>
          <cell r="OW300"/>
          <cell r="OX300"/>
        </row>
        <row r="301">
          <cell r="OT301"/>
          <cell r="OU301"/>
          <cell r="OV301"/>
          <cell r="OW301"/>
          <cell r="OX301"/>
        </row>
        <row r="302">
          <cell r="OT302"/>
          <cell r="OU302"/>
          <cell r="OV302"/>
          <cell r="OW302"/>
          <cell r="OX302"/>
        </row>
        <row r="303">
          <cell r="OT303"/>
          <cell r="OU303"/>
          <cell r="OV303"/>
          <cell r="OW303"/>
          <cell r="OX303"/>
        </row>
        <row r="304">
          <cell r="OT304"/>
          <cell r="OU304"/>
          <cell r="OV304"/>
          <cell r="OW304"/>
          <cell r="OX304"/>
        </row>
        <row r="305">
          <cell r="OT305"/>
          <cell r="OU305"/>
          <cell r="OV305"/>
          <cell r="OW305"/>
          <cell r="OX305"/>
        </row>
        <row r="306">
          <cell r="OT306"/>
          <cell r="OU306"/>
          <cell r="OV306"/>
          <cell r="OW306"/>
          <cell r="OX306"/>
        </row>
        <row r="307">
          <cell r="OT307"/>
          <cell r="OU307"/>
          <cell r="OV307"/>
          <cell r="OW307"/>
          <cell r="OX307"/>
        </row>
        <row r="308">
          <cell r="OT308"/>
          <cell r="OU308"/>
          <cell r="OV308"/>
          <cell r="OW308"/>
          <cell r="OX308"/>
        </row>
        <row r="309">
          <cell r="OT309"/>
          <cell r="OU309"/>
          <cell r="OV309"/>
          <cell r="OW309"/>
          <cell r="OX309"/>
        </row>
        <row r="310">
          <cell r="OT310"/>
          <cell r="OU310"/>
          <cell r="OV310"/>
          <cell r="OW310"/>
          <cell r="OX310"/>
        </row>
        <row r="311">
          <cell r="OT311"/>
          <cell r="OU311"/>
          <cell r="OV311"/>
          <cell r="OW311"/>
          <cell r="OX311"/>
        </row>
        <row r="312">
          <cell r="OT312"/>
          <cell r="OU312"/>
          <cell r="OV312"/>
          <cell r="OW312"/>
          <cell r="OX312"/>
        </row>
        <row r="313">
          <cell r="OT313"/>
          <cell r="OU313"/>
          <cell r="OV313"/>
          <cell r="OW313"/>
          <cell r="OX313"/>
        </row>
        <row r="314">
          <cell r="OT314"/>
          <cell r="OU314"/>
          <cell r="OV314"/>
          <cell r="OW314"/>
          <cell r="OX314"/>
        </row>
        <row r="315">
          <cell r="OT315"/>
          <cell r="OU315"/>
          <cell r="OV315"/>
          <cell r="OW315"/>
          <cell r="OX315"/>
        </row>
        <row r="316">
          <cell r="OT316"/>
          <cell r="OU316"/>
          <cell r="OV316"/>
          <cell r="OW316"/>
          <cell r="OX316"/>
        </row>
        <row r="317">
          <cell r="OT317"/>
          <cell r="OU317"/>
          <cell r="OV317"/>
          <cell r="OW317"/>
          <cell r="OX317"/>
        </row>
        <row r="318">
          <cell r="OT318"/>
          <cell r="OU318"/>
          <cell r="OV318"/>
          <cell r="OW318"/>
          <cell r="OX318"/>
        </row>
        <row r="319">
          <cell r="OT319"/>
          <cell r="OU319"/>
          <cell r="OV319"/>
          <cell r="OW319"/>
          <cell r="OX319"/>
        </row>
        <row r="320">
          <cell r="OT320"/>
          <cell r="OU320"/>
          <cell r="OV320"/>
          <cell r="OW320"/>
          <cell r="OX320"/>
        </row>
        <row r="321">
          <cell r="OT321"/>
          <cell r="OU321"/>
          <cell r="OV321"/>
          <cell r="OW321"/>
          <cell r="OX321"/>
        </row>
        <row r="322">
          <cell r="OT322"/>
          <cell r="OU322"/>
          <cell r="OV322"/>
          <cell r="OW322"/>
          <cell r="OX322"/>
        </row>
        <row r="323">
          <cell r="OT323"/>
          <cell r="OU323"/>
          <cell r="OV323"/>
          <cell r="OW323"/>
          <cell r="OX323"/>
        </row>
        <row r="324">
          <cell r="OT324"/>
          <cell r="OU324"/>
          <cell r="OV324"/>
          <cell r="OW324"/>
          <cell r="OX324"/>
        </row>
        <row r="325">
          <cell r="OT325"/>
          <cell r="OU325"/>
          <cell r="OV325"/>
          <cell r="OW325"/>
          <cell r="OX325"/>
        </row>
        <row r="326">
          <cell r="OT326"/>
          <cell r="OU326"/>
          <cell r="OV326"/>
          <cell r="OW326"/>
          <cell r="OX326"/>
        </row>
        <row r="327">
          <cell r="OT327"/>
          <cell r="OU327"/>
          <cell r="OV327"/>
          <cell r="OW327"/>
          <cell r="OX327"/>
        </row>
        <row r="328">
          <cell r="OT328"/>
          <cell r="OU328"/>
          <cell r="OV328"/>
          <cell r="OW328"/>
          <cell r="OX328"/>
        </row>
        <row r="329">
          <cell r="OT329"/>
          <cell r="OU329"/>
          <cell r="OV329"/>
          <cell r="OW329"/>
          <cell r="OX329"/>
        </row>
        <row r="330">
          <cell r="OT330"/>
          <cell r="OU330"/>
          <cell r="OV330"/>
          <cell r="OW330"/>
          <cell r="OX330"/>
        </row>
        <row r="331">
          <cell r="OT331"/>
          <cell r="OU331"/>
          <cell r="OV331"/>
          <cell r="OW331"/>
          <cell r="OX331"/>
        </row>
        <row r="332">
          <cell r="OT332"/>
          <cell r="OU332"/>
          <cell r="OV332"/>
          <cell r="OW332"/>
          <cell r="OX332"/>
        </row>
        <row r="333">
          <cell r="OT333"/>
          <cell r="OU333"/>
          <cell r="OV333"/>
          <cell r="OW333"/>
          <cell r="OX333"/>
        </row>
        <row r="334">
          <cell r="OT334"/>
          <cell r="OU334"/>
          <cell r="OV334"/>
          <cell r="OW334"/>
          <cell r="OX334"/>
        </row>
        <row r="335">
          <cell r="OT335"/>
          <cell r="OU335"/>
          <cell r="OV335"/>
          <cell r="OW335"/>
          <cell r="OX335"/>
        </row>
        <row r="336">
          <cell r="OT336"/>
          <cell r="OU336"/>
          <cell r="OV336"/>
          <cell r="OW336"/>
          <cell r="OX336"/>
        </row>
        <row r="337">
          <cell r="OT337"/>
          <cell r="OU337"/>
          <cell r="OV337"/>
          <cell r="OW337"/>
          <cell r="OX337"/>
        </row>
        <row r="338">
          <cell r="OT338"/>
          <cell r="OU338"/>
          <cell r="OV338"/>
          <cell r="OW338"/>
          <cell r="OX338"/>
        </row>
        <row r="339">
          <cell r="OT339"/>
          <cell r="OU339"/>
          <cell r="OV339"/>
          <cell r="OW339"/>
          <cell r="OX339"/>
        </row>
        <row r="340">
          <cell r="OT340"/>
          <cell r="OU340"/>
          <cell r="OV340"/>
          <cell r="OW340"/>
          <cell r="OX340"/>
        </row>
        <row r="341">
          <cell r="OT341"/>
          <cell r="OU341"/>
          <cell r="OV341"/>
          <cell r="OW341"/>
          <cell r="OX341"/>
        </row>
        <row r="342">
          <cell r="OT342"/>
          <cell r="OU342"/>
          <cell r="OV342"/>
          <cell r="OW342"/>
          <cell r="OX342"/>
        </row>
        <row r="343">
          <cell r="OT343"/>
          <cell r="OU343"/>
          <cell r="OV343"/>
          <cell r="OW343"/>
          <cell r="OX343"/>
        </row>
        <row r="344">
          <cell r="OT344"/>
          <cell r="OU344"/>
          <cell r="OV344"/>
          <cell r="OW344"/>
          <cell r="OX344"/>
        </row>
        <row r="345">
          <cell r="OT345"/>
          <cell r="OU345"/>
          <cell r="OV345"/>
          <cell r="OW345"/>
          <cell r="OX345"/>
        </row>
        <row r="346">
          <cell r="OT346"/>
          <cell r="OU346"/>
          <cell r="OV346"/>
          <cell r="OW346"/>
          <cell r="OX346"/>
        </row>
        <row r="347">
          <cell r="OT347"/>
          <cell r="OU347"/>
          <cell r="OV347"/>
          <cell r="OW347"/>
          <cell r="OX347"/>
        </row>
        <row r="348">
          <cell r="OT348"/>
          <cell r="OU348"/>
          <cell r="OV348"/>
          <cell r="OW348"/>
          <cell r="OX348"/>
        </row>
        <row r="349">
          <cell r="OT349"/>
          <cell r="OU349"/>
          <cell r="OV349"/>
          <cell r="OW349"/>
          <cell r="OX349"/>
        </row>
        <row r="350">
          <cell r="OT350"/>
          <cell r="OU350"/>
          <cell r="OV350"/>
          <cell r="OW350"/>
          <cell r="OX350"/>
        </row>
        <row r="351">
          <cell r="OT351"/>
          <cell r="OU351"/>
          <cell r="OV351"/>
          <cell r="OW351"/>
          <cell r="OX351"/>
        </row>
        <row r="352">
          <cell r="OT352"/>
          <cell r="OU352"/>
          <cell r="OV352"/>
          <cell r="OW352"/>
          <cell r="OX352"/>
        </row>
        <row r="353">
          <cell r="OT353"/>
          <cell r="OU353"/>
          <cell r="OV353"/>
          <cell r="OW353"/>
          <cell r="OX353"/>
        </row>
        <row r="354">
          <cell r="OT354"/>
          <cell r="OU354"/>
          <cell r="OV354"/>
          <cell r="OW354"/>
          <cell r="OX354"/>
        </row>
        <row r="355">
          <cell r="OT355"/>
          <cell r="OU355"/>
          <cell r="OV355"/>
          <cell r="OW355"/>
          <cell r="OX355"/>
        </row>
        <row r="356">
          <cell r="OT356"/>
          <cell r="OU356"/>
          <cell r="OV356"/>
          <cell r="OW356"/>
          <cell r="OX356"/>
        </row>
        <row r="357">
          <cell r="OT357"/>
          <cell r="OU357"/>
          <cell r="OV357"/>
          <cell r="OW357"/>
          <cell r="OX357"/>
        </row>
        <row r="358">
          <cell r="OT358"/>
          <cell r="OU358"/>
          <cell r="OV358"/>
          <cell r="OW358"/>
          <cell r="OX358"/>
        </row>
        <row r="359">
          <cell r="OT359"/>
          <cell r="OU359"/>
          <cell r="OV359"/>
          <cell r="OW359"/>
          <cell r="OX359"/>
        </row>
        <row r="360">
          <cell r="OT360"/>
          <cell r="OU360"/>
          <cell r="OV360"/>
          <cell r="OW360"/>
          <cell r="OX360"/>
        </row>
        <row r="361">
          <cell r="OT361"/>
          <cell r="OU361"/>
          <cell r="OV361"/>
          <cell r="OW361"/>
          <cell r="OX361"/>
        </row>
        <row r="362">
          <cell r="OT362"/>
          <cell r="OU362"/>
          <cell r="OV362"/>
          <cell r="OW362"/>
          <cell r="OX362"/>
        </row>
        <row r="363">
          <cell r="OT363"/>
          <cell r="OU363"/>
          <cell r="OV363"/>
          <cell r="OW363"/>
          <cell r="OX363"/>
        </row>
        <row r="364">
          <cell r="OT364"/>
          <cell r="OU364"/>
          <cell r="OV364"/>
          <cell r="OW364"/>
          <cell r="OX364"/>
        </row>
        <row r="365">
          <cell r="OT365"/>
          <cell r="OU365"/>
          <cell r="OV365"/>
          <cell r="OW365"/>
          <cell r="OX365"/>
        </row>
        <row r="366">
          <cell r="OT366"/>
          <cell r="OU366"/>
          <cell r="OV366"/>
          <cell r="OW366"/>
          <cell r="OX366"/>
        </row>
        <row r="367">
          <cell r="OT367"/>
          <cell r="OU367"/>
          <cell r="OV367"/>
          <cell r="OW367"/>
          <cell r="OX367"/>
        </row>
        <row r="368">
          <cell r="OT368"/>
          <cell r="OU368"/>
          <cell r="OV368"/>
          <cell r="OW368"/>
          <cell r="OX368"/>
        </row>
        <row r="369">
          <cell r="OT369"/>
          <cell r="OU369"/>
          <cell r="OV369"/>
          <cell r="OW369"/>
          <cell r="OX369"/>
        </row>
        <row r="370">
          <cell r="OT370"/>
          <cell r="OU370"/>
          <cell r="OV370"/>
          <cell r="OW370"/>
          <cell r="OX370"/>
        </row>
        <row r="371">
          <cell r="OT371"/>
          <cell r="OU371"/>
          <cell r="OV371"/>
          <cell r="OW371"/>
          <cell r="OX371"/>
        </row>
        <row r="372">
          <cell r="OT372"/>
          <cell r="OU372"/>
          <cell r="OV372"/>
          <cell r="OW372"/>
          <cell r="OX372"/>
        </row>
      </sheetData>
      <sheetData sheetId="16">
        <row r="7">
          <cell r="E7">
            <v>28105</v>
          </cell>
          <cell r="G7"/>
        </row>
        <row r="8">
          <cell r="E8">
            <v>27931</v>
          </cell>
        </row>
        <row r="9">
          <cell r="E9">
            <v>27686</v>
          </cell>
        </row>
        <row r="10">
          <cell r="E10">
            <v>27079</v>
          </cell>
        </row>
        <row r="11">
          <cell r="E11">
            <v>26970</v>
          </cell>
        </row>
        <row r="12">
          <cell r="E12">
            <v>26405</v>
          </cell>
        </row>
        <row r="13">
          <cell r="E13">
            <v>26313</v>
          </cell>
        </row>
        <row r="14">
          <cell r="E14">
            <v>25778</v>
          </cell>
        </row>
        <row r="15">
          <cell r="E15">
            <v>25003</v>
          </cell>
        </row>
        <row r="16">
          <cell r="E16">
            <v>24892</v>
          </cell>
        </row>
        <row r="17">
          <cell r="E17">
            <v>23489</v>
          </cell>
        </row>
        <row r="18">
          <cell r="E18">
            <v>8678</v>
          </cell>
        </row>
        <row r="19">
          <cell r="E19">
            <v>8554</v>
          </cell>
        </row>
        <row r="20">
          <cell r="E20">
            <v>8482</v>
          </cell>
        </row>
        <row r="21">
          <cell r="E21">
            <v>8481</v>
          </cell>
        </row>
      </sheetData>
      <sheetData sheetId="17"/>
      <sheetData sheetId="18">
        <row r="3">
          <cell r="C3" t="str">
            <v>Segment Name</v>
          </cell>
        </row>
      </sheetData>
      <sheetData sheetId="19"/>
      <sheetData sheetId="20"/>
      <sheetData sheetId="21">
        <row r="1">
          <cell r="A1" t="str">
            <v>Index Row</v>
          </cell>
          <cell r="B1" t="str">
            <v>Income Statement</v>
          </cell>
          <cell r="F1" t="str">
            <v>Balance Sheet</v>
          </cell>
          <cell r="J1" t="str">
            <v>Cash Flow Statement</v>
          </cell>
          <cell r="N1" t="str">
            <v xml:space="preserve">Adjusted </v>
          </cell>
          <cell r="R1" t="str">
            <v>Company Information</v>
          </cell>
          <cell r="V1" t="str">
            <v>General</v>
          </cell>
          <cell r="Z1" t="str">
            <v>Alternative Energy</v>
          </cell>
          <cell r="AD1" t="str">
            <v>Aerospace</v>
          </cell>
          <cell r="AH1" t="str">
            <v>Auto</v>
          </cell>
          <cell r="AL1" t="str">
            <v>Banks &amp; Financials</v>
          </cell>
          <cell r="AP1" t="str">
            <v>Cement</v>
          </cell>
          <cell r="AT1" t="str">
            <v>Chemicals</v>
          </cell>
          <cell r="AX1" t="str">
            <v>Credit Card</v>
          </cell>
          <cell r="BB1" t="str">
            <v>Cruise Lines</v>
          </cell>
          <cell r="BF1" t="str">
            <v>Drilling</v>
          </cell>
          <cell r="BJ1" t="str">
            <v>Exchanges</v>
          </cell>
          <cell r="BN1" t="str">
            <v>Gaming</v>
          </cell>
          <cell r="BR1" t="str">
            <v>Homebuilders</v>
          </cell>
          <cell r="BV1" t="str">
            <v>Hospitals</v>
          </cell>
          <cell r="BZ1" t="str">
            <v>Hotels</v>
          </cell>
          <cell r="CD1" t="str">
            <v>Industrial</v>
          </cell>
          <cell r="CH1" t="str">
            <v>Insurance</v>
          </cell>
          <cell r="CL1" t="str">
            <v>Internet</v>
          </cell>
          <cell r="CP1" t="str">
            <v>Media</v>
          </cell>
          <cell r="CT1" t="str">
            <v>Medical Devices</v>
          </cell>
          <cell r="CX1" t="str">
            <v>Mining</v>
          </cell>
          <cell r="DB1" t="str">
            <v>Oil and Gas</v>
          </cell>
          <cell r="DF1" t="str">
            <v>Real Estate</v>
          </cell>
          <cell r="DJ1" t="str">
            <v>Refining &amp; Marketing</v>
          </cell>
          <cell r="DN1" t="str">
            <v>Retail</v>
          </cell>
          <cell r="DR1" t="str">
            <v>Shipping</v>
          </cell>
          <cell r="DV1" t="str">
            <v>Telecom</v>
          </cell>
          <cell r="DZ1" t="str">
            <v>Transportation</v>
          </cell>
          <cell r="ED1" t="str">
            <v>Utilities</v>
          </cell>
        </row>
        <row r="2">
          <cell r="A2">
            <v>1</v>
          </cell>
          <cell r="B2" t="str">
            <v>Revenue</v>
          </cell>
          <cell r="C2" t="str">
            <v>PG_REVENUE</v>
          </cell>
          <cell r="F2" t="str">
            <v xml:space="preserve">Assets </v>
          </cell>
          <cell r="G2" t="str">
            <v>PG_ASSETS</v>
          </cell>
          <cell r="J2" t="str">
            <v xml:space="preserve">Capital Expenditures </v>
          </cell>
          <cell r="K2" t="str">
            <v>PG_CAPITAL_EXPENDITURES</v>
          </cell>
          <cell r="N2" t="str">
            <v>Adjusted Sales</v>
          </cell>
          <cell r="O2" t="str">
            <v>PG_ADJUSTED_SALES</v>
          </cell>
          <cell r="R2" t="str">
            <v xml:space="preserve">Number of Employees </v>
          </cell>
          <cell r="S2" t="str">
            <v>PG_NUM_EMPLOYEES</v>
          </cell>
          <cell r="V2" t="str">
            <v>Amount Produced (in KG)</v>
          </cell>
          <cell r="W2" t="str">
            <v>PG_AMOUNT_PRODUCED_KG</v>
          </cell>
          <cell r="Z2" t="str">
            <v>Wind Turbines Delivered in Units</v>
          </cell>
          <cell r="AA2" t="str">
            <v>PG_WIND_TURBINES_DEL_IN_UNITS</v>
          </cell>
          <cell r="AD2" t="str">
            <v>Defense Aircraft Deliveries by Program &amp; Model</v>
          </cell>
          <cell r="AE2" t="str">
            <v>PG_AIRCRFT_DEFENSE_DEL_MODEL</v>
          </cell>
          <cell r="AH2" t="str">
            <v>Vehicles Produced - Worldwide</v>
          </cell>
          <cell r="AI2" t="str">
            <v>PG_VEHICLES_PRODUCED_WW</v>
          </cell>
          <cell r="AL2" t="str">
            <v xml:space="preserve">Net Revenue </v>
          </cell>
          <cell r="AM2" t="str">
            <v>PG_NET_REVENUE</v>
          </cell>
          <cell r="AP2" t="str">
            <v>Cement Volume/Shipments</v>
          </cell>
          <cell r="AQ2" t="str">
            <v>PG_CEMENT_VOLUME_SHIPMENTS</v>
          </cell>
          <cell r="AT2" t="str">
            <v>Potash Reserves</v>
          </cell>
          <cell r="AU2" t="str">
            <v>PG_POTASH_RESERVES</v>
          </cell>
          <cell r="AX2" t="str">
            <v>Network Spending Volume</v>
          </cell>
          <cell r="AY2" t="str">
            <v>PG_NETWORK_SPENDING_VOLUME</v>
          </cell>
          <cell r="BB2" t="str">
            <v>Number of Ships in Service</v>
          </cell>
          <cell r="BC2" t="str">
            <v>PG_NUMBER_SHIPS_IN_SERVICE</v>
          </cell>
          <cell r="BF2" t="str">
            <v xml:space="preserve">Onshore Rigs </v>
          </cell>
          <cell r="BG2" t="str">
            <v>PRODUCT/GEOGRAPHIC_ONSHORE_RIGS</v>
          </cell>
          <cell r="BJ2" t="str">
            <v>Trading Days</v>
          </cell>
          <cell r="BK2" t="str">
            <v>PG_TRADING_DAYS</v>
          </cell>
          <cell r="BN2" t="str">
            <v>Casinos Revenue</v>
          </cell>
          <cell r="BO2" t="str">
            <v>PG_CASINOS_REVENUE</v>
          </cell>
          <cell r="BR2" t="str">
            <v># of Homes Closed/Delivered</v>
          </cell>
          <cell r="BS2" t="str">
            <v>PG_HOMEBUILDERS_NUM_HOMES_CLOSED</v>
          </cell>
          <cell r="BV2" t="str">
            <v>Number of Hospitals</v>
          </cell>
          <cell r="BW2" t="str">
            <v>PG_NUMBER_HOSPITALS</v>
          </cell>
          <cell r="BZ2" t="str">
            <v>Number of Hotel Locations</v>
          </cell>
          <cell r="CA2" t="str">
            <v>PG_NUMBER_HOTEL_LOCATIONS</v>
          </cell>
          <cell r="CD2" t="str">
            <v>Daily Order Rates - Ex Acquisitions/Divestitures</v>
          </cell>
          <cell r="CE2" t="str">
            <v>PG_DLY_ORD_RATES_EXCL_AQUI_&amp;_DIV</v>
          </cell>
          <cell r="CH2" t="str">
            <v>Gross Premiums Written</v>
          </cell>
          <cell r="CI2" t="str">
            <v>PG_GROSS_PREMIUMS_WRITTEN</v>
          </cell>
          <cell r="CL2" t="str">
            <v>Daily Active Users (DAUs)</v>
          </cell>
          <cell r="CM2" t="str">
            <v>PG_DAILY_ACTIVE_USERS</v>
          </cell>
          <cell r="CP2" t="str">
            <v>Number of Displays</v>
          </cell>
          <cell r="CQ2" t="str">
            <v>PG_NUMBER_OF_DISPLAYS</v>
          </cell>
          <cell r="CT2" t="str">
            <v>Estimated Market Size</v>
          </cell>
          <cell r="CU2" t="str">
            <v>PG_ESTIMATED_MARKET_SIZE</v>
          </cell>
          <cell r="CX2" t="str">
            <v>Exploration Expenses</v>
          </cell>
          <cell r="CY2" t="str">
            <v>PG_MINING_EXPLORATION_EXPENSES</v>
          </cell>
          <cell r="DB2" t="str">
            <v>Average Sales Price-$/BOE</v>
          </cell>
          <cell r="DC2" t="str">
            <v>PG_AVG_SALES_PX_IN_USD_PER_BOE</v>
          </cell>
          <cell r="DF2" t="str">
            <v>Number of Properties</v>
          </cell>
          <cell r="DG2" t="str">
            <v>PG_RE_NUMBER_PROPERTIES</v>
          </cell>
          <cell r="DJ2" t="str">
            <v>Marketing Retail Sites</v>
          </cell>
          <cell r="DK2" t="str">
            <v>PG_MARKETING_RETAIL_SITES</v>
          </cell>
          <cell r="DN2" t="str">
            <v xml:space="preserve">YTD Revenue </v>
          </cell>
          <cell r="DO2" t="str">
            <v>PG_YTD_REVENUE</v>
          </cell>
          <cell r="DR2" t="str">
            <v>Total Shipping Fleet</v>
          </cell>
          <cell r="DS2" t="str">
            <v>PG_TOTAL_SHIPPING_FLEET</v>
          </cell>
          <cell r="DV2" t="str">
            <v>Number of Subscribers (end of period)</v>
          </cell>
          <cell r="DW2" t="str">
            <v>PG_NUM_SUBSCRIBERS_PERIOD_END</v>
          </cell>
          <cell r="DZ2" t="str">
            <v xml:space="preserve">Revenue Passenger Miles (Km) </v>
          </cell>
          <cell r="EA2" t="str">
            <v>PG_REVENUE_PASSENGER_MILES_KM</v>
          </cell>
          <cell r="ED2" t="str">
            <v>Attributable Generating Capacity (MW)</v>
          </cell>
          <cell r="EE2" t="str">
            <v>PG_ATTRIB_GENER_CAP_TOT_MW</v>
          </cell>
        </row>
        <row r="3">
          <cell r="A3">
            <v>2</v>
          </cell>
          <cell r="B3" t="str">
            <v>Revenue by Origin</v>
          </cell>
          <cell r="C3" t="str">
            <v>PG_REVENUE_BY_ORIGIN</v>
          </cell>
          <cell r="F3" t="str">
            <v xml:space="preserve">Assets - Supplementary Breakdown </v>
          </cell>
          <cell r="G3" t="str">
            <v>PG_ASSETS_SUPPLEMENTARY_BREAKDWN</v>
          </cell>
          <cell r="J3" t="str">
            <v>Capital Expenditures - Supplementary Breakdown</v>
          </cell>
          <cell r="K3" t="str">
            <v>PG_CAPEX_SUPPLEMENTARY_BREAKDOWN</v>
          </cell>
          <cell r="N3" t="str">
            <v>Adjusted Sales - Supplementary Breakdown</v>
          </cell>
          <cell r="O3" t="str">
            <v>PG_ADJ_REV_SUPP_BREAKDWN</v>
          </cell>
          <cell r="R3" t="str">
            <v>Number of Consultants</v>
          </cell>
          <cell r="S3" t="str">
            <v>PG_NUMBER_OF_CONSULTANTS</v>
          </cell>
          <cell r="V3" t="str">
            <v>Amount Produced (in Metric Tonnes)</v>
          </cell>
          <cell r="W3" t="str">
            <v>PG_AMOUNT_PRODUCED_METRIC_TONNES</v>
          </cell>
          <cell r="Z3" t="str">
            <v>Wind Turbines Delivered in Megawatts</v>
          </cell>
          <cell r="AA3" t="str">
            <v>PG_WIND_TURBINES_DELIVERED_IN_MW</v>
          </cell>
          <cell r="AD3" t="str">
            <v>Backlog by Aircraft Program &amp; Model</v>
          </cell>
          <cell r="AE3" t="str">
            <v>PG_AIRCRFT_BACKLOG_PROG_MODEL</v>
          </cell>
          <cell r="AH3" t="str">
            <v xml:space="preserve">Vehicles Produced - North America </v>
          </cell>
          <cell r="AI3" t="str">
            <v>PG_VEHICLES_PRODUCED_NA</v>
          </cell>
          <cell r="AL3" t="str">
            <v xml:space="preserve">Net Revenue - Supplementary Breakdown </v>
          </cell>
          <cell r="AM3" t="str">
            <v>PG_NET_REV_SUPP_BREAKDWN</v>
          </cell>
          <cell r="AP3" t="str">
            <v>Cement Price</v>
          </cell>
          <cell r="AQ3" t="str">
            <v>PG_CEMENT_PRICE</v>
          </cell>
          <cell r="AT3" t="str">
            <v>Phosphate Reserves</v>
          </cell>
          <cell r="AU3" t="str">
            <v>PG_PHOSPHATE_RESERVES</v>
          </cell>
          <cell r="AX3" t="str">
            <v>Network Spending Volume Growth</v>
          </cell>
          <cell r="AY3" t="str">
            <v>PG_NETWORK_SPENDING_VOL_GROWTH</v>
          </cell>
          <cell r="BF3" t="str">
            <v xml:space="preserve">Offshore Rigs </v>
          </cell>
          <cell r="BG3" t="str">
            <v>PRODUCT/GEOGRAPHIC_OFFSHORE_RIGS</v>
          </cell>
          <cell r="BJ3" t="str">
            <v>Total Trading Volume</v>
          </cell>
          <cell r="BK3" t="str">
            <v>PG_TOTAL_TRADING_VOLUME</v>
          </cell>
          <cell r="BN3" t="str">
            <v>Casinos Revenue YTD</v>
          </cell>
          <cell r="BO3" t="str">
            <v>PG_YTD_CASINOS_REVENUE</v>
          </cell>
          <cell r="BR3" t="str">
            <v>Avg Selling Price</v>
          </cell>
          <cell r="BS3" t="str">
            <v>PG_HOMEBUILDERS_AVG_SELLING_PX</v>
          </cell>
          <cell r="BV3" t="str">
            <v>Number of Admissions</v>
          </cell>
          <cell r="BW3" t="str">
            <v>PG_NUMBER_TREATMENTS</v>
          </cell>
          <cell r="BZ3" t="str">
            <v>Number of Hotel Rooms</v>
          </cell>
          <cell r="CA3" t="str">
            <v>PG_NUMBER_HOTEL_ROOMS</v>
          </cell>
          <cell r="CD3" t="str">
            <v xml:space="preserve">Daily Order Rates </v>
          </cell>
          <cell r="CE3" t="str">
            <v>PG_DAILY_ORDER_RATES</v>
          </cell>
          <cell r="CH3" t="str">
            <v xml:space="preserve">Gross Premiums Written (Non-life) </v>
          </cell>
          <cell r="CI3" t="str">
            <v>PG_GROSS_PREMIUMS_WRITTEN_NL</v>
          </cell>
          <cell r="CL3" t="str">
            <v>Monthly Active Users (MAUs)</v>
          </cell>
          <cell r="CM3" t="str">
            <v>PG_MONTHLY_ACTIVE_USERS</v>
          </cell>
          <cell r="CP3" t="str">
            <v>Circulation Per Issue</v>
          </cell>
          <cell r="CQ3" t="str">
            <v>PG_CIRCULATION_PER_ISSUE</v>
          </cell>
          <cell r="CT3" t="str">
            <v>Estimated Market Growth %</v>
          </cell>
          <cell r="CU3" t="str">
            <v>PG_ESTIMATED_MARKET_GROWTH_%</v>
          </cell>
          <cell r="CX3" t="str">
            <v>Cash Costs Per Short Ton</v>
          </cell>
          <cell r="CY3" t="str">
            <v>PG_CASH_COST_SHORT_TON</v>
          </cell>
          <cell r="DB3" t="str">
            <v>Total Production-MBOE/D</v>
          </cell>
          <cell r="DC3" t="str">
            <v>PG_TOT_PROD_IN_MBOE_PER_DAY</v>
          </cell>
          <cell r="DF3" t="str">
            <v>Number of Properties by Ownership Type</v>
          </cell>
          <cell r="DG3" t="str">
            <v>PG_#_OF_PROPERTIES_BY_OWNER_TYP</v>
          </cell>
          <cell r="DJ3" t="str">
            <v>Marketing Convenience stores</v>
          </cell>
          <cell r="DK3" t="str">
            <v>PG_MARKETING_CONVENIENCE_STORES</v>
          </cell>
          <cell r="DN3" t="str">
            <v xml:space="preserve">Revenue Previous Year </v>
          </cell>
          <cell r="DO3" t="str">
            <v>PG_REVENUE_PREVIOUS_YEAR</v>
          </cell>
          <cell r="DR3" t="str">
            <v xml:space="preserve">Shipping Deadweight Tonnage </v>
          </cell>
          <cell r="DS3" t="str">
            <v>PG_SHIPPING_DWT</v>
          </cell>
          <cell r="DV3" t="str">
            <v>Number of Subscribers (end of period) - Supplementary Breakdown</v>
          </cell>
          <cell r="DW3" t="str">
            <v>PG_#_SUBS_END_PER_SUPP_BREAKDWN</v>
          </cell>
          <cell r="DZ3" t="str">
            <v xml:space="preserve">Revenue Passenger Miles (Km) YTD </v>
          </cell>
          <cell r="EA3" t="str">
            <v>PG_YTD_REV_PASSENGER_MILES_KM</v>
          </cell>
          <cell r="ED3" t="str">
            <v>Controlling Generating Capacity (MW)</v>
          </cell>
          <cell r="EE3" t="str">
            <v>PG_CONTROLLING_GENERATING_CAP_MW</v>
          </cell>
        </row>
        <row r="4">
          <cell r="A4">
            <v>3</v>
          </cell>
          <cell r="B4" t="str">
            <v>Revenue- Supplement Breakdown</v>
          </cell>
          <cell r="C4" t="str">
            <v>PG_REVENUE_SUPP_BREAKDOWN</v>
          </cell>
          <cell r="F4" t="str">
            <v>Cash, Cash Equivalents &amp; Marketable Securities</v>
          </cell>
          <cell r="G4" t="str">
            <v>PG_CASH_CE_AND_MARKETABLE_SECS</v>
          </cell>
          <cell r="J4" t="str">
            <v>Free Cash Flow</v>
          </cell>
          <cell r="K4" t="str">
            <v>PG_FREE_CASH_FLOW</v>
          </cell>
          <cell r="N4" t="str">
            <v>Organic Revenue Growth Non-GAAP</v>
          </cell>
          <cell r="O4" t="str">
            <v>PG_ADJ_ORGANIC_REV_GROWTH</v>
          </cell>
          <cell r="V4" t="str">
            <v>Amount Produced (in Short Tons)</v>
          </cell>
          <cell r="W4" t="str">
            <v>PG_AMOUNT_PRODUCED_SHORT_TONNES</v>
          </cell>
          <cell r="AD4" t="str">
            <v>Backlog by Airline Program &amp; Model</v>
          </cell>
          <cell r="AE4" t="str">
            <v>PG_AIRLN_BACKLOG_PROG_MODEL</v>
          </cell>
          <cell r="AH4" t="str">
            <v>Vehicles Produced - Europe</v>
          </cell>
          <cell r="AI4" t="str">
            <v>PG_VEHICLES_PRODUCED_EUROPE</v>
          </cell>
          <cell r="AL4" t="str">
            <v xml:space="preserve">Net Interest Income </v>
          </cell>
          <cell r="AM4" t="str">
            <v>PG_NET_INTEREST_INCOME</v>
          </cell>
          <cell r="AP4" t="str">
            <v>Cement Price Growth</v>
          </cell>
          <cell r="AQ4" t="str">
            <v>PG_CEMENT_PRICE_GROWTH</v>
          </cell>
          <cell r="AT4" t="str">
            <v>Chemicals Ore Grade</v>
          </cell>
          <cell r="AU4" t="str">
            <v>PG_CHEMICALS_ORE_GRADE</v>
          </cell>
          <cell r="AX4" t="str">
            <v>Network Spending Volume Growth, LC</v>
          </cell>
          <cell r="AY4" t="str">
            <v>PG_NETWORK_SPENDING_VOL_GRWTH_LC</v>
          </cell>
          <cell r="BF4" t="str">
            <v>Drilling OFS Company Average Dayrates</v>
          </cell>
          <cell r="BG4" t="str">
            <v>PG_DRILL_OIL_FLD_SRVCS_CO_AVG_DR</v>
          </cell>
          <cell r="BJ4" t="str">
            <v>Average Daily Volume</v>
          </cell>
          <cell r="BK4" t="str">
            <v>PG_AVG_DAILY_VOLUME</v>
          </cell>
          <cell r="BN4" t="str">
            <v>Casinos Number of Tables</v>
          </cell>
          <cell r="BO4" t="str">
            <v>PG_CASINOS_NUMBER_TABLES</v>
          </cell>
          <cell r="BR4" t="str">
            <v># of Homes Contracted</v>
          </cell>
          <cell r="BS4" t="str">
            <v>PG_HOMEBUILDERS_HOMES_CONTRACTED</v>
          </cell>
          <cell r="BV4" t="str">
            <v>Number of Treatments</v>
          </cell>
          <cell r="BW4" t="str">
            <v>PG_NUMBER_ADMISSIONS</v>
          </cell>
          <cell r="BZ4" t="str">
            <v>Number of Nights Available</v>
          </cell>
          <cell r="CA4" t="str">
            <v>PG_ROOM_NIGHTS_AVAILABLE</v>
          </cell>
          <cell r="CD4" t="str">
            <v>Order Rates by Segment</v>
          </cell>
          <cell r="CE4" t="str">
            <v>PG_ORDER_RATES_BY_SEGMENT</v>
          </cell>
          <cell r="CH4" t="str">
            <v xml:space="preserve">Gross Premium Written (Non Life) –Supplementary Breakdown   </v>
          </cell>
          <cell r="CI4" t="str">
            <v>PG_GR_PREM_WRT_NL_SUPP_BREAKDOWN</v>
          </cell>
          <cell r="CL4" t="str">
            <v>Peak Concurrent Users</v>
          </cell>
          <cell r="CM4" t="str">
            <v>PG_PEAK_CONCURRENT_USERS</v>
          </cell>
          <cell r="CT4" t="str">
            <v>Estimated Market Growth % (Constant Currency)</v>
          </cell>
          <cell r="CU4" t="str">
            <v>PG_ESTIMATED_MARKET_GROWTH_%_CC</v>
          </cell>
          <cell r="CX4" t="str">
            <v>Cash Costs Per Metric Tonne</v>
          </cell>
          <cell r="CY4" t="str">
            <v>PG_CASH_COST_METRIC_TONNE</v>
          </cell>
          <cell r="DB4" t="str">
            <v>Oil Production-MBPD</v>
          </cell>
          <cell r="DC4" t="str">
            <v>PG_OIL_PRODUCTION_IN_MBPD</v>
          </cell>
          <cell r="DF4" t="str">
            <v>Gross Leaseable Area (GLA)</v>
          </cell>
          <cell r="DG4" t="str">
            <v>PG_RE_GROSS_LEASABLE_AREA</v>
          </cell>
          <cell r="DJ4" t="str">
            <v>Total Marketing Volume (mbpd)</v>
          </cell>
          <cell r="DK4" t="str">
            <v>PG_TOTAL_MARKETING_VOLUME_MBPD</v>
          </cell>
          <cell r="DN4" t="str">
            <v xml:space="preserve">YTD Revenue Previous Year </v>
          </cell>
          <cell r="DO4" t="str">
            <v>PG_YTD_REVENUE_PREVIOUS_YEAR</v>
          </cell>
          <cell r="DR4" t="str">
            <v>Shipping Fleet Average Age</v>
          </cell>
          <cell r="DS4" t="str">
            <v>PG_SHIPPING_FLEET_AVERAGE_AGE</v>
          </cell>
          <cell r="DV4" t="str">
            <v>Net Subscriber Additions</v>
          </cell>
          <cell r="DW4" t="str">
            <v>PG_NET_SUBSCRIBER_ADDITIONS</v>
          </cell>
          <cell r="DZ4" t="str">
            <v xml:space="preserve">Passenger Load Factor </v>
          </cell>
          <cell r="EA4" t="str">
            <v>PG_LOAD_FACTOR</v>
          </cell>
          <cell r="ED4" t="str">
            <v>Total Gas Delivered (Therms)</v>
          </cell>
          <cell r="EE4" t="str">
            <v>PG_UTILS_TOT_GAS_DELIVERED_THERM</v>
          </cell>
        </row>
        <row r="5">
          <cell r="A5">
            <v>4</v>
          </cell>
          <cell r="B5" t="str">
            <v>Revenue by Distribution Channel</v>
          </cell>
          <cell r="C5" t="str">
            <v>PG_REVENUE_DISTRIBUTION_CHANNEL</v>
          </cell>
          <cell r="F5" t="str">
            <v>Inventories</v>
          </cell>
          <cell r="G5" t="str">
            <v>PG_INVENTORIES</v>
          </cell>
          <cell r="J5" t="str">
            <v>Operating Cash Flow</v>
          </cell>
          <cell r="K5" t="str">
            <v>PG_OPERATING_CASH_FLOW</v>
          </cell>
          <cell r="N5" t="str">
            <v>Adjusted EBITDA</v>
          </cell>
          <cell r="O5" t="str">
            <v>PG_ADJUSTED_EBITDA</v>
          </cell>
          <cell r="V5" t="str">
            <v>Amount Produced (in Cubic Meter)</v>
          </cell>
          <cell r="W5" t="str">
            <v>PG_AMOUNT_PRODUCED_CUBIC_METERS</v>
          </cell>
          <cell r="AD5" t="str">
            <v>Orders by Aircraft Program &amp; Model</v>
          </cell>
          <cell r="AE5" t="str">
            <v>PG_AIRCRFT_ORDERS_PROG_MODEL</v>
          </cell>
          <cell r="AH5" t="str">
            <v>Vehicles Produced - Asia Pacific</v>
          </cell>
          <cell r="AI5" t="str">
            <v>PG_VEHICLES_PRODUCED_ASIA_PAC</v>
          </cell>
          <cell r="AL5" t="str">
            <v xml:space="preserve">Non Interest Income </v>
          </cell>
          <cell r="AM5" t="str">
            <v>PG_NON_INTEREST_INCOME</v>
          </cell>
          <cell r="AP5" t="str">
            <v>Cement Volume Growth</v>
          </cell>
          <cell r="AQ5" t="str">
            <v>PG_CEMENT_VOLUME_GROWTH</v>
          </cell>
          <cell r="AX5" t="str">
            <v>Number of Transactions</v>
          </cell>
          <cell r="AY5" t="str">
            <v>PG_NUMBER_OF_TRANSACTIONS</v>
          </cell>
          <cell r="BF5" t="str">
            <v>Average Utilization %</v>
          </cell>
          <cell r="BG5" t="str">
            <v>PG_AVERAGE_UTILIZATION_%</v>
          </cell>
          <cell r="BJ5" t="str">
            <v>Rate Per Contract</v>
          </cell>
          <cell r="BK5" t="str">
            <v>PG_RATE_PER_CONTRACT</v>
          </cell>
          <cell r="BN5" t="str">
            <v>Casinos Table Win</v>
          </cell>
          <cell r="BO5" t="str">
            <v>PG_CASINOS_TABLE_WIN</v>
          </cell>
          <cell r="BR5" t="str">
            <v>Value of Homes Contracted</v>
          </cell>
          <cell r="BS5" t="str">
            <v>PG_HOMEBUILDERS_VALUE_CONTRACTED</v>
          </cell>
          <cell r="BV5" t="str">
            <v>Number of Licensed Beds</v>
          </cell>
          <cell r="BW5" t="str">
            <v>PG_HOSPITALS_NUM_LICENSED_BEDS</v>
          </cell>
          <cell r="BZ5" t="str">
            <v>Average Occupancy</v>
          </cell>
          <cell r="CA5" t="str">
            <v>PG_AVERAGE_OCCUPANCY</v>
          </cell>
          <cell r="CD5" t="str">
            <v>Power Systems Retail Statistics</v>
          </cell>
          <cell r="CE5" t="str">
            <v>PG_RECIP_&amp;_TURB_ENGINE_RTL_STAT</v>
          </cell>
          <cell r="CH5" t="str">
            <v xml:space="preserve">Gross Premiums Written (Life) </v>
          </cell>
          <cell r="CI5" t="str">
            <v>PG_GROSS_PREMIUMS_WRITTEN_LIFE</v>
          </cell>
          <cell r="CL5" t="str">
            <v>Gross Merchandise Volume/Transaction Value</v>
          </cell>
          <cell r="CM5" t="str">
            <v>PG_GROSS_MERCH_TRANS_VALUE</v>
          </cell>
          <cell r="CX5" t="str">
            <v>Cash Margin Per Short Ton</v>
          </cell>
          <cell r="CY5" t="str">
            <v>PG_CASH_MARGIN_PER_SHORT_TONNE</v>
          </cell>
          <cell r="DB5" t="str">
            <v>Natural Gas Production (MMCF/D)</v>
          </cell>
          <cell r="DC5" t="str">
            <v>PG_NATGAS_PROD_MMCF_DAY</v>
          </cell>
          <cell r="DF5" t="str">
            <v>Vacancy Rate</v>
          </cell>
          <cell r="DG5" t="str">
            <v>PG_RE_VACANCY_RATE</v>
          </cell>
          <cell r="DJ5" t="str">
            <v>Reference Benchmark Margin ($/bbl)</v>
          </cell>
          <cell r="DK5" t="str">
            <v>PG_REFERENCE_BENCHMARK_MRGN_BBL</v>
          </cell>
          <cell r="DN5" t="str">
            <v>Gross Revenue</v>
          </cell>
          <cell r="DO5" t="str">
            <v>PG_GROSS_REVENUE</v>
          </cell>
          <cell r="DR5" t="str">
            <v>Shipping TEU Capacity</v>
          </cell>
          <cell r="DS5" t="str">
            <v>PG_SHIPPING_CAPACITY_IN_TEU</v>
          </cell>
          <cell r="DV5" t="str">
            <v>Revenue Generating Units (RGUs)</v>
          </cell>
          <cell r="DW5" t="str">
            <v>PG_REVENUE_GENERATING_UNITS</v>
          </cell>
          <cell r="DZ5" t="str">
            <v>Freight Load Factor</v>
          </cell>
          <cell r="EA5" t="str">
            <v>PG_FREIGHT_LOAD_FACTOR</v>
          </cell>
          <cell r="ED5" t="str">
            <v>Total Electric Power Delivered (kWh)</v>
          </cell>
          <cell r="EE5" t="str">
            <v>PG_UTILS_TOT_ELEC_PWR_DELIVERED</v>
          </cell>
        </row>
        <row r="6">
          <cell r="A6">
            <v>5</v>
          </cell>
          <cell r="B6" t="str">
            <v xml:space="preserve">Revenue by End User </v>
          </cell>
          <cell r="C6" t="str">
            <v>PG_REVENUE_END_USER</v>
          </cell>
          <cell r="F6" t="str">
            <v xml:space="preserve">Long-Term Asset </v>
          </cell>
          <cell r="G6" t="str">
            <v>PG_LT_ASSETS</v>
          </cell>
          <cell r="N6" t="str">
            <v>Adjusted Operating Income</v>
          </cell>
          <cell r="O6" t="str">
            <v>PG_ADJUSTED_OPERATING_INCOME</v>
          </cell>
          <cell r="V6" t="str">
            <v>Amount Produced (in Bunches)</v>
          </cell>
          <cell r="W6" t="str">
            <v>PG_AMOUNT_PRODUCED_BUNCHES</v>
          </cell>
          <cell r="AD6" t="str">
            <v>Net New Orders in reporting currency for Commercial Aircraft</v>
          </cell>
          <cell r="AE6" t="str">
            <v>PG_COML_AIRCRFT_NET_NEW_ORDERS</v>
          </cell>
          <cell r="AH6" t="str">
            <v>Vehicles Produced - Latin America</v>
          </cell>
          <cell r="AI6" t="str">
            <v>PG_VEHICLES_PRODUCED_LATAM</v>
          </cell>
          <cell r="AL6" t="str">
            <v>Non Interest Expense</v>
          </cell>
          <cell r="AM6" t="str">
            <v>PG_NON_INTEREST_EXPN</v>
          </cell>
          <cell r="AP6" t="str">
            <v>Number of Cement Plants</v>
          </cell>
          <cell r="AQ6" t="str">
            <v>PG_NUMBER_CEMENT_PLANTS</v>
          </cell>
          <cell r="AX6" t="str">
            <v>Number of Accounts</v>
          </cell>
          <cell r="AY6" t="str">
            <v>PG_NUMBER_OF_ACCOUNTS</v>
          </cell>
          <cell r="BF6" t="str">
            <v xml:space="preserve">Drilling OFS Backlog </v>
          </cell>
          <cell r="BG6" t="str">
            <v>PG_DRILL_OIL_FLD_SRVCS_BKLG_AMT</v>
          </cell>
          <cell r="BN6" t="str">
            <v>Casinos Table Win YTD</v>
          </cell>
          <cell r="BO6" t="str">
            <v>PG_YTD_CASINOS_TABLE_WIN</v>
          </cell>
          <cell r="BR6" t="str">
            <v>Contracts/Orders Average Value</v>
          </cell>
          <cell r="BS6" t="str">
            <v>PG_HOMEBLDR_CONTRACTS_AVG_VALUE</v>
          </cell>
          <cell r="BV6" t="str">
            <v>Benefit Ratio</v>
          </cell>
          <cell r="BW6" t="str">
            <v>PG_BENEFIT_RATIO</v>
          </cell>
          <cell r="BZ6" t="str">
            <v>Comparable Same Store Occupancy Rate YoY%</v>
          </cell>
          <cell r="CA6" t="str">
            <v>PG_COMP_SS_OCCUP_RATE_YOY%</v>
          </cell>
          <cell r="CD6" t="str">
            <v>Dealer Reported Retail Statistics - Machines</v>
          </cell>
          <cell r="CE6" t="str">
            <v>PG_DEALER_REPORTED_RTL_STAT_MACH</v>
          </cell>
          <cell r="CH6" t="str">
            <v>Gross Premiums Written and Deposits (Life)</v>
          </cell>
          <cell r="CI6" t="str">
            <v>PG_GROSS_PREM_WRIT_&amp;_DEPST_LIFE</v>
          </cell>
          <cell r="CX6" t="str">
            <v>Operating Costs Per Short Ton</v>
          </cell>
          <cell r="CY6" t="str">
            <v>PG_OPER_COSTS_PER_SHRT_TONNE</v>
          </cell>
          <cell r="DB6" t="str">
            <v>NGL Production (MBBL/Day)</v>
          </cell>
          <cell r="DC6" t="str">
            <v>PG_NGL_PRODUCTION_MBBL_DAY</v>
          </cell>
          <cell r="DF6" t="str">
            <v>Occupancy Rate</v>
          </cell>
          <cell r="DG6" t="str">
            <v>PG_REAL_ESTATE_OCCUPANCY_RATE</v>
          </cell>
          <cell r="DJ6" t="str">
            <v>Gross Margin ($/bbl)</v>
          </cell>
          <cell r="DK6" t="str">
            <v>PG_GROSS_MARGIN_BBL</v>
          </cell>
          <cell r="DN6" t="str">
            <v>Alcohol Sales Percentage</v>
          </cell>
          <cell r="DO6" t="str">
            <v>PG_ALCOHOL_SALES_PERCENTAGE</v>
          </cell>
          <cell r="DR6" t="str">
            <v>Shipping Fleet Utilization (%)</v>
          </cell>
          <cell r="DS6" t="str">
            <v>PG_SHIPPING_FLEET_UTILIZATION_%</v>
          </cell>
          <cell r="DV6" t="str">
            <v>Voice Minutes</v>
          </cell>
          <cell r="DW6" t="str">
            <v>PG_VOICE_MINUTES</v>
          </cell>
          <cell r="DZ6" t="str">
            <v>Overall Load Factor</v>
          </cell>
          <cell r="EA6" t="str">
            <v>PG_OVERALL_LOAD_FACTOR</v>
          </cell>
          <cell r="ED6" t="str">
            <v xml:space="preserve">Total Electric Power Delivered (kWh) - Supplementary </v>
          </cell>
          <cell r="EE6" t="str">
            <v>PG_TOT_ELEC_PWR_DEL_KWH_SUPP</v>
          </cell>
        </row>
        <row r="7">
          <cell r="A7">
            <v>6</v>
          </cell>
          <cell r="B7" t="str">
            <v>Revenue - by Payor Source</v>
          </cell>
          <cell r="C7" t="str">
            <v>PG_REVENUE_BY_PAYOR_SOURCE</v>
          </cell>
          <cell r="F7" t="str">
            <v>Property Plant &amp; Equip (Gross)</v>
          </cell>
          <cell r="G7" t="str">
            <v>PG_PPE_GROSS</v>
          </cell>
          <cell r="N7" t="str">
            <v>Adjusted Operating Margin</v>
          </cell>
          <cell r="O7" t="str">
            <v>PG_ADJUSTED_OPERATING_MARGIN</v>
          </cell>
          <cell r="V7" t="str">
            <v>Amount Produced (in Pounds)</v>
          </cell>
          <cell r="W7" t="str">
            <v>PG_AMOUNT_PRODUCED_POUNDS</v>
          </cell>
          <cell r="AD7" t="str">
            <v>Narrowbody Deliveries</v>
          </cell>
          <cell r="AE7" t="str">
            <v>PG_AIRCRFT_NARROWBODY_DELIV</v>
          </cell>
          <cell r="AH7" t="str">
            <v>Vehicles Produced - Africa/Middle East</v>
          </cell>
          <cell r="AI7" t="str">
            <v>PG_VEHICLES_PRODUCED_AFRICA_ME</v>
          </cell>
          <cell r="AL7" t="str">
            <v>Total Loans</v>
          </cell>
          <cell r="AM7" t="str">
            <v>PG_TOTAL_LOANS</v>
          </cell>
          <cell r="AP7" t="str">
            <v>Cement Capacity</v>
          </cell>
          <cell r="AQ7" t="str">
            <v>PG_CEMENT_CAPACITY</v>
          </cell>
          <cell r="AX7" t="str">
            <v>Number of Cards</v>
          </cell>
          <cell r="AY7" t="str">
            <v>PG_NUMBER_OF_CARDS</v>
          </cell>
          <cell r="BF7" t="str">
            <v>Volumes Sold -Proppants (lbs)</v>
          </cell>
          <cell r="BG7" t="str">
            <v>PG_VOL_SOLD_PROPPANTS_POUNDS</v>
          </cell>
          <cell r="BN7" t="str">
            <v>Casinos Table Win %</v>
          </cell>
          <cell r="BO7" t="str">
            <v>PG_CASINOS_TABLE_WIN_PCT</v>
          </cell>
          <cell r="BR7" t="str">
            <v># of Homes in Backlog</v>
          </cell>
          <cell r="BS7" t="str">
            <v>PG_HOMEBLDR_NUM_HOMES_BACKLOG</v>
          </cell>
          <cell r="BV7" t="str">
            <v>Operating Cost Ratio</v>
          </cell>
          <cell r="BW7" t="str">
            <v>PG_OPERATING_COST_RATIO</v>
          </cell>
          <cell r="BZ7" t="str">
            <v>Average Daily Rate</v>
          </cell>
          <cell r="CA7" t="str">
            <v>PG_AVERAGE_DAILY_RATE</v>
          </cell>
          <cell r="CD7" t="str">
            <v>Production Tonnage</v>
          </cell>
          <cell r="CE7" t="str">
            <v>PG_PRODUCT_TONNAGE</v>
          </cell>
          <cell r="CH7" t="str">
            <v xml:space="preserve">Net Premiums Written </v>
          </cell>
          <cell r="CI7" t="str">
            <v>PG_NET_PREMIUMS_WRITTEN</v>
          </cell>
          <cell r="CX7" t="str">
            <v>Operating Costs Per MetricTonne</v>
          </cell>
          <cell r="CY7" t="str">
            <v>PG_OPER_CST_PER_METRIC_TONNE</v>
          </cell>
          <cell r="DB7" t="str">
            <v>Liquids Average $/BBL</v>
          </cell>
          <cell r="DC7" t="str">
            <v>PG_LIQUIDS_AVG_SA_PX_USD_BBL</v>
          </cell>
          <cell r="DF7" t="str">
            <v>Number of Units (Apartments, Hospital Beds, etc.) - Owned</v>
          </cell>
          <cell r="DG7" t="str">
            <v>PG_RE_NUMBER_UNITS</v>
          </cell>
          <cell r="DJ7" t="str">
            <v>Net Margin  ($/bbl)</v>
          </cell>
          <cell r="DK7" t="str">
            <v>PG_NET_MARGIN_BBL</v>
          </cell>
          <cell r="DN7" t="str">
            <v>Restaurant Margin %</v>
          </cell>
          <cell r="DO7" t="str">
            <v>PG_RESTAURANT_MARGIN_%</v>
          </cell>
          <cell r="DR7" t="str">
            <v>Container Shipping Average Revenue (USD/TEU)</v>
          </cell>
          <cell r="DS7" t="str">
            <v>PG_CONTAINER_SHIP_AVG_REV_P_TEU</v>
          </cell>
          <cell r="DV7" t="str">
            <v>Number of messages</v>
          </cell>
          <cell r="DW7" t="str">
            <v>PG_NUMBER_OF_MESSAGES</v>
          </cell>
          <cell r="DZ7" t="str">
            <v xml:space="preserve">Load factor YTD </v>
          </cell>
          <cell r="EA7" t="str">
            <v>PG_YTD_LOAD_FACTOR</v>
          </cell>
          <cell r="ED7" t="str">
            <v>Fuel Imports (kl)</v>
          </cell>
          <cell r="EE7" t="str">
            <v>PG_UTILITIES_FUEL_IMPORTS_KL</v>
          </cell>
        </row>
        <row r="8">
          <cell r="A8">
            <v>7</v>
          </cell>
          <cell r="B8" t="str">
            <v>Combined Revenue</v>
          </cell>
          <cell r="C8" t="str">
            <v>PG_COMBINED_REVENUE</v>
          </cell>
          <cell r="F8" t="str">
            <v>Property Plant &amp; Equip (Net)</v>
          </cell>
          <cell r="G8" t="str">
            <v>PG_PROPERTY_PLANT_EQUIP</v>
          </cell>
          <cell r="N8" t="str">
            <v>Adjusted Pretax Income</v>
          </cell>
          <cell r="O8" t="str">
            <v>PG_ADJUSTED_PRETAX_INCOME</v>
          </cell>
          <cell r="V8" t="str">
            <v>Average Gross Margin (in Short Tons)</v>
          </cell>
          <cell r="W8" t="str">
            <v>PG_AVG_GR_MRGN_IN_SHRT_TONS</v>
          </cell>
          <cell r="AD8" t="str">
            <v>Widebody Deliveries</v>
          </cell>
          <cell r="AE8" t="str">
            <v>PG_AIRCRFT_WIDEBODY_DELIVERIES</v>
          </cell>
          <cell r="AH8" t="str">
            <v>Vehicles Sold - Worldwide</v>
          </cell>
          <cell r="AI8" t="str">
            <v>PG_VEHICLES_SOLD_WW</v>
          </cell>
          <cell r="AL8" t="str">
            <v>Total Loans (Period Average)</v>
          </cell>
          <cell r="AM8" t="str">
            <v>PG_TOTAL_LOANS_PERIOD_AVG</v>
          </cell>
          <cell r="AP8" t="str">
            <v>Aggregates Volume/Shipments</v>
          </cell>
          <cell r="AQ8" t="str">
            <v>PG_AGGREGATES_VOLUME_SHIPMENTS</v>
          </cell>
          <cell r="AX8" t="str">
            <v>Number of Merchants</v>
          </cell>
          <cell r="AY8" t="str">
            <v>PG_NUMBER_OF_MERCHANTS</v>
          </cell>
          <cell r="BF8" t="str">
            <v>Total Newbuilds/Under Construction Units</v>
          </cell>
          <cell r="BG8" t="str">
            <v>PG_TOT_NEWBUILDS_UND_CONST_UNITS</v>
          </cell>
          <cell r="BN8" t="str">
            <v>Casinos Table Drop</v>
          </cell>
          <cell r="BO8" t="str">
            <v>PG_CASINOS_TABLE_DROP</v>
          </cell>
          <cell r="BR8" t="str">
            <v>Value of Homes in Backlog</v>
          </cell>
          <cell r="BS8" t="str">
            <v>PG_HOMEBLDR_VAL_HOMES_BACKLOG</v>
          </cell>
          <cell r="BV8" t="str">
            <v>Medical Membership</v>
          </cell>
          <cell r="BW8" t="str">
            <v>PG_MEDICAL_MEMBERSHIP</v>
          </cell>
          <cell r="BZ8" t="str">
            <v>Comparable Same Store ADR YoY%</v>
          </cell>
          <cell r="CA8" t="str">
            <v>PG_COMP_SS_ADR_YOY%</v>
          </cell>
          <cell r="CD8" t="str">
            <v>Fleet Composition</v>
          </cell>
          <cell r="CE8" t="str">
            <v>PG_FLEET_COMPOSITION</v>
          </cell>
          <cell r="CH8" t="str">
            <v>Net Premiums Written (Non-Life)</v>
          </cell>
          <cell r="CI8" t="str">
            <v>PG_NET_PREMIUMS_WRITTEN_NL</v>
          </cell>
          <cell r="CX8" t="str">
            <v>Operating Margin Per Short Ton</v>
          </cell>
          <cell r="CY8" t="str">
            <v>PG_OPERATING_MRGN_PER_SHRT_TONNE</v>
          </cell>
          <cell r="DB8" t="str">
            <v>EBITDAX</v>
          </cell>
          <cell r="DC8" t="str">
            <v>PG_EBITDAX</v>
          </cell>
          <cell r="DF8" t="str">
            <v>Number of Units - Managed</v>
          </cell>
          <cell r="DG8" t="str">
            <v>PG_NUMBER_OF_UNITS_MANAGED</v>
          </cell>
          <cell r="DJ8" t="str">
            <v>Operating Costs ($/bbl)</v>
          </cell>
          <cell r="DK8" t="str">
            <v>PG_OPERATING_COSTS_BBL</v>
          </cell>
          <cell r="DN8" t="str">
            <v xml:space="preserve">Same Store Sales % </v>
          </cell>
          <cell r="DO8" t="str">
            <v>PG_SAME_STORE_SALES_PCT</v>
          </cell>
          <cell r="DR8" t="str">
            <v>General Rate Increase ($/TEU)</v>
          </cell>
          <cell r="DS8" t="str">
            <v>PG_GENERAL_RATE_INC_USD_PER_TEU</v>
          </cell>
          <cell r="DV8" t="str">
            <v>Average Revenue per User (ARPU)</v>
          </cell>
          <cell r="DW8" t="str">
            <v>PG_AVERAGE_REVENUE_PER_USER</v>
          </cell>
          <cell r="DZ8" t="str">
            <v>Available Seat Miles / Kms</v>
          </cell>
          <cell r="EA8" t="str">
            <v>PG_AVAILABLE_SEAT_MILES</v>
          </cell>
          <cell r="ED8" t="str">
            <v>Fuel Cost for Power Generation</v>
          </cell>
          <cell r="EE8" t="str">
            <v>PG_FUEL_COST_FOR_POWER_GEN</v>
          </cell>
        </row>
        <row r="9">
          <cell r="A9">
            <v>8</v>
          </cell>
          <cell r="B9" t="str">
            <v>Intersegment Revenue</v>
          </cell>
          <cell r="C9" t="str">
            <v>PG_INTERSEGMENT_REVENUE</v>
          </cell>
          <cell r="F9" t="str">
            <v xml:space="preserve">Goodwill </v>
          </cell>
          <cell r="G9" t="str">
            <v>PG_GOODWILL</v>
          </cell>
          <cell r="N9" t="str">
            <v>Adjusted Net Income</v>
          </cell>
          <cell r="O9" t="str">
            <v>PG_ADJUSTED_NET_INCOME</v>
          </cell>
          <cell r="V9" t="str">
            <v>Number of Units Sold</v>
          </cell>
          <cell r="W9" t="str">
            <v>PG_NUMBER_OF_UNITS_SOLD</v>
          </cell>
          <cell r="AD9" t="str">
            <v>Regional Deliveries</v>
          </cell>
          <cell r="AE9" t="str">
            <v>PG_AIRCRFT_REGIONAL_DELIVERIES</v>
          </cell>
          <cell r="AH9" t="str">
            <v>Vehicles Sold - Worldwide YTD</v>
          </cell>
          <cell r="AI9" t="str">
            <v>PG_YTD_VEHICLES_SOLD_WW</v>
          </cell>
          <cell r="AL9" t="str">
            <v>Provision for Loan Losses</v>
          </cell>
          <cell r="AM9" t="str">
            <v>PG_PROV_LOAN_LOSS</v>
          </cell>
          <cell r="AP9" t="str">
            <v>Aggregates Volume Growth</v>
          </cell>
          <cell r="AQ9" t="str">
            <v>PG_AGGREGATES_VOLUME_GROWTH</v>
          </cell>
          <cell r="AX9" t="str">
            <v>Card Issuer Spending Volume</v>
          </cell>
          <cell r="AY9" t="str">
            <v>PG_CARD_ISSUER_SPENDING_VOLUME</v>
          </cell>
          <cell r="BN9" t="str">
            <v>Casinos Number of Slot Machines</v>
          </cell>
          <cell r="BO9" t="str">
            <v>PG_CASINOS_NUM_SLOT_MACHINES</v>
          </cell>
          <cell r="BR9" t="str">
            <v>Backlog Average Value</v>
          </cell>
          <cell r="BS9" t="str">
            <v>PG_HOMEBLDR_BACKLOG_AVG_VALUE</v>
          </cell>
          <cell r="BZ9" t="str">
            <v>Revenue per Available Room</v>
          </cell>
          <cell r="CA9" t="str">
            <v>PG_REVENUE_PER_AVAILABLE_ROOM</v>
          </cell>
          <cell r="CD9" t="str">
            <v>Average Fleet Age (Months)</v>
          </cell>
          <cell r="CE9" t="str">
            <v>PG_AVERAGE_FLEET_AGE_MONTHS</v>
          </cell>
          <cell r="CH9" t="str">
            <v xml:space="preserve">Net Premiums Written (Life) </v>
          </cell>
          <cell r="CI9" t="str">
            <v>PG_NET_PREMIUMS_WRITTEN_LIFE</v>
          </cell>
          <cell r="CX9" t="str">
            <v>Operating Margin Per Metric Tonne</v>
          </cell>
          <cell r="CY9" t="str">
            <v>PG_OPER_MRGN_PER_METRIC_TONNE</v>
          </cell>
          <cell r="DB9" t="str">
            <v>Total Proved Reserves  (MMBOE)</v>
          </cell>
          <cell r="DC9" t="str">
            <v>PG_TOTAL_PROVED_RSRV_MMBOE</v>
          </cell>
          <cell r="DF9" t="str">
            <v>Number of Units - Owned &amp; Managed</v>
          </cell>
          <cell r="DG9" t="str">
            <v>PG_NUM_OF_UNITS_OWNED_&amp;_MANAGED</v>
          </cell>
          <cell r="DJ9" t="str">
            <v>DD&amp;A ($/bbl)</v>
          </cell>
          <cell r="DK9" t="str">
            <v>PG_D&amp;A_BBL</v>
          </cell>
          <cell r="DN9" t="str">
            <v>Same Store Sales</v>
          </cell>
          <cell r="DO9" t="str">
            <v>PG_SAME_STORE_SALES_QUAL_NOTE</v>
          </cell>
          <cell r="DR9" t="str">
            <v>Container Shipping Volume(TEU)</v>
          </cell>
          <cell r="DS9" t="str">
            <v>PG_CONTAINER_SHIPPING_VOL_IN_TEU</v>
          </cell>
          <cell r="DV9" t="str">
            <v>Average Usage per User per Month (MOU)</v>
          </cell>
          <cell r="DW9" t="str">
            <v>PG_AVG_USE_PER_USER_PER_MONTH</v>
          </cell>
          <cell r="DZ9" t="str">
            <v xml:space="preserve">Available Seat Miles / Kms YTD </v>
          </cell>
          <cell r="EA9" t="str">
            <v>PG_AVAILABLE_SEAT_MILES_YTD</v>
          </cell>
          <cell r="ED9" t="str">
            <v xml:space="preserve">Purchased Power Cost </v>
          </cell>
          <cell r="EE9" t="str">
            <v>PG_PURCHASED_POWER_COST</v>
          </cell>
        </row>
        <row r="10">
          <cell r="A10">
            <v>9</v>
          </cell>
          <cell r="B10" t="str">
            <v>Revenue Including Intersegment Revenue</v>
          </cell>
          <cell r="C10" t="str">
            <v>PG_REV_INCLUDING_INTERSEG_REV</v>
          </cell>
          <cell r="F10" t="str">
            <v>Intangible Assets</v>
          </cell>
          <cell r="G10" t="str">
            <v>PG_INTANGIBLE_ASSETS</v>
          </cell>
          <cell r="N10" t="str">
            <v>Adjusted EPS</v>
          </cell>
          <cell r="O10" t="str">
            <v>PG_ADJUSTED_EARNINGS_PER_SHARE</v>
          </cell>
          <cell r="V10" t="str">
            <v>Average Sales Price</v>
          </cell>
          <cell r="W10" t="str">
            <v>PG_AVG_SALES_PX</v>
          </cell>
          <cell r="AD10" t="str">
            <v>Parked Widebody Aircraft</v>
          </cell>
          <cell r="AE10" t="str">
            <v>PG_PARKED_WIDEBODY_AIRCRFT</v>
          </cell>
          <cell r="AH10" t="str">
            <v xml:space="preserve">Vehicles Sold - North America </v>
          </cell>
          <cell r="AI10" t="str">
            <v>PG_VEHICLES_SOLD_NA</v>
          </cell>
          <cell r="AL10" t="str">
            <v xml:space="preserve">Net Charge Off </v>
          </cell>
          <cell r="AM10" t="str">
            <v>PG_NET_CHGOFF</v>
          </cell>
          <cell r="AP10" t="str">
            <v>Aggregates Price</v>
          </cell>
          <cell r="AQ10" t="str">
            <v>PG_AGGREGATES_PRICE</v>
          </cell>
          <cell r="AX10" t="str">
            <v>Net Loss Ratio as % of Volume</v>
          </cell>
          <cell r="AY10" t="str">
            <v>PG_NET_LOSS_RATIO_AS_%_OF_VOLUME</v>
          </cell>
          <cell r="BN10" t="str">
            <v>Casinos Slot Machine Win</v>
          </cell>
          <cell r="BO10" t="str">
            <v>PG_CASINOS_SLOT_MACHINE_WIN</v>
          </cell>
          <cell r="BR10" t="str">
            <v>Cancellation Rate</v>
          </cell>
          <cell r="BS10" t="str">
            <v>PG_CANCELLATION_RATE</v>
          </cell>
          <cell r="BZ10" t="str">
            <v>Comparable  Same Store  RevPAR YoY %</v>
          </cell>
          <cell r="CA10" t="str">
            <v>PG_COMP_SS_REVPAR_YOY%</v>
          </cell>
          <cell r="CD10" t="str">
            <v>Dollar Utilization</v>
          </cell>
          <cell r="CE10" t="str">
            <v>PG_DOLLAR_UTILIZATION</v>
          </cell>
          <cell r="CH10" t="str">
            <v xml:space="preserve">Net Premiums Earned </v>
          </cell>
          <cell r="CI10" t="str">
            <v>PG_NET_PREMIUMS_EARNED</v>
          </cell>
          <cell r="DB10" t="str">
            <v>Total Proved Gas Reserves (BCF)</v>
          </cell>
          <cell r="DC10" t="str">
            <v>PG_TOT_PROVED_GAS_RSRV_BCF</v>
          </cell>
          <cell r="DF10" t="str">
            <v>Number of Units  by Ownership Type</v>
          </cell>
          <cell r="DG10" t="str">
            <v>PG_#_OF_UNITS_BY_OWNERSHIP_TYP</v>
          </cell>
          <cell r="DJ10" t="str">
            <v>Merchandise Sales ($/MM)</v>
          </cell>
          <cell r="DK10" t="str">
            <v>PG_MERCHANDISE_SALES_MM</v>
          </cell>
          <cell r="DN10" t="str">
            <v>QTD Same Store Sales</v>
          </cell>
          <cell r="DO10" t="str">
            <v>PG_QTD_SAME_STORE_SALES</v>
          </cell>
          <cell r="DR10" t="str">
            <v>Time Charter Equivalent (USD/Day)</v>
          </cell>
          <cell r="DS10" t="str">
            <v>PG_TCE_IN_USD_PER_DAY</v>
          </cell>
          <cell r="DV10" t="str">
            <v>Churn Rate</v>
          </cell>
          <cell r="DW10" t="str">
            <v>PG_CHURN_RATE</v>
          </cell>
          <cell r="DZ10" t="str">
            <v>Available Cargo Tonne Miles (Kms)</v>
          </cell>
          <cell r="EA10" t="str">
            <v>PG_AVAILABLE_FREIGHT_TONNE_MILES</v>
          </cell>
          <cell r="ED10" t="str">
            <v>Deferred Energy  &amp; Other Cost</v>
          </cell>
          <cell r="EE10" t="str">
            <v>PG_DEFERRED_ENERGY_&amp;_OTHER_COST</v>
          </cell>
        </row>
        <row r="11">
          <cell r="A11">
            <v>10</v>
          </cell>
          <cell r="B11" t="str">
            <v>Net Sales % Increased at Constant Currency</v>
          </cell>
          <cell r="C11" t="str">
            <v>PG_NET_SALES_%_INC_AT_CC</v>
          </cell>
          <cell r="F11" t="str">
            <v>Debt</v>
          </cell>
          <cell r="G11" t="str">
            <v>PG_DEBT</v>
          </cell>
          <cell r="N11" t="str">
            <v>Adjusted Gross Profit</v>
          </cell>
          <cell r="O11" t="str">
            <v>PG_ADJUSTED_GROSS_PROFIT</v>
          </cell>
          <cell r="V11" t="str">
            <v>Average Selling Price Change (%)</v>
          </cell>
          <cell r="W11" t="str">
            <v>PG_ASP_CHANGE_PERCENTAGE</v>
          </cell>
          <cell r="AD11" t="str">
            <v>Parked Narrowbody Aircraft</v>
          </cell>
          <cell r="AE11" t="str">
            <v>PG_PARKED_NARROWBODY_AIRCRFT</v>
          </cell>
          <cell r="AH11" t="str">
            <v>Vehicles Sold - North America YTD</v>
          </cell>
          <cell r="AI11" t="str">
            <v>PG_YTD_VEHICLES_SOLD_NA</v>
          </cell>
          <cell r="AL11" t="str">
            <v>Total Deposits</v>
          </cell>
          <cell r="AM11" t="str">
            <v>PG_TOTAL_DEPOSITS</v>
          </cell>
          <cell r="AP11" t="str">
            <v>Aggregates Price Growth</v>
          </cell>
          <cell r="AQ11" t="str">
            <v>PG_AGGREGATES_PRICE_GROWTH</v>
          </cell>
          <cell r="AX11" t="str">
            <v>Net Interest Margin - Managed Basis</v>
          </cell>
          <cell r="AY11" t="str">
            <v>PG_NET_INT_MARGIN_MANAGED_BASIS</v>
          </cell>
          <cell r="BN11" t="str">
            <v>Casinos Slot Machine Win YTD</v>
          </cell>
          <cell r="BO11" t="str">
            <v>PG_YTD_CASINOS_SLOT_MACHINE_WIN</v>
          </cell>
          <cell r="BZ11" t="str">
            <v>Room Revenue</v>
          </cell>
          <cell r="CA11" t="str">
            <v>PG_ROOM_REVENUE</v>
          </cell>
          <cell r="CD11" t="str">
            <v>Time Utilization</v>
          </cell>
          <cell r="CE11" t="str">
            <v>PG_TIME_UTILIZATION</v>
          </cell>
          <cell r="CH11" t="str">
            <v xml:space="preserve">Net Premiums Earned (Non-Life) </v>
          </cell>
          <cell r="CI11" t="str">
            <v>PG_NET_PREMIUMS_EARNED_NL</v>
          </cell>
          <cell r="DB11" t="str">
            <v>Total Proved Oil Reserves (MMBBL)</v>
          </cell>
          <cell r="DC11" t="str">
            <v>PG_TOT_PRV_OIL_RSRV_MMBBL</v>
          </cell>
          <cell r="DF11" t="str">
            <v>No of Units - Development</v>
          </cell>
          <cell r="DG11" t="str">
            <v>PG_NUMBER_UNITS_DEVELOPMENT</v>
          </cell>
          <cell r="DJ11" t="str">
            <v>Merchandise Margin (%)</v>
          </cell>
          <cell r="DK11" t="str">
            <v>PG_MERCHANDISE_MARGIN_%</v>
          </cell>
          <cell r="DN11" t="str">
            <v xml:space="preserve">YTD Same Store Sales % </v>
          </cell>
          <cell r="DO11" t="str">
            <v>PG_YTD_SAME_STORE_SALES_PCT</v>
          </cell>
          <cell r="DR11" t="str">
            <v>Shipping Volume (Tons)</v>
          </cell>
          <cell r="DS11" t="str">
            <v>PG_SHIPPING_VOLUME_IN_TONS</v>
          </cell>
          <cell r="DV11" t="str">
            <v>Subscriber Acquisition Cost</v>
          </cell>
          <cell r="DW11" t="str">
            <v>PG_SUBSCRIBER_ACQUIS_COST</v>
          </cell>
          <cell r="DZ11" t="str">
            <v>Available Tonne-Km/Miles</v>
          </cell>
          <cell r="EA11" t="str">
            <v>PG_AVAILABLE_TONNE_KM_MILES</v>
          </cell>
          <cell r="ED11" t="str">
            <v>Electricity Generated in KWh</v>
          </cell>
          <cell r="EE11" t="str">
            <v>PG_ELECTRICITY_GENERATED_IN_KWH</v>
          </cell>
        </row>
        <row r="12">
          <cell r="A12">
            <v>11</v>
          </cell>
          <cell r="B12" t="str">
            <v>Cost of Revenue</v>
          </cell>
          <cell r="C12" t="str">
            <v>PG_COST_OF_REVENUE</v>
          </cell>
          <cell r="F12" t="str">
            <v>Liabilities</v>
          </cell>
          <cell r="G12" t="str">
            <v>PG_LIABILITIES</v>
          </cell>
          <cell r="N12" t="str">
            <v>Adjusted Gross Profit Margin</v>
          </cell>
          <cell r="O12" t="str">
            <v>PG_ADJUSTED_GROSS_PROFIT_MARGIN</v>
          </cell>
          <cell r="V12" t="str">
            <v>List Price</v>
          </cell>
          <cell r="W12" t="str">
            <v>PRODUCT/GEOGRAPHIC_LIST_PRICE</v>
          </cell>
          <cell r="AD12" t="str">
            <v>Parked Regional Aircraft</v>
          </cell>
          <cell r="AE12" t="str">
            <v>PG_PARKED_REGIONAL_AIRCRFT</v>
          </cell>
          <cell r="AH12" t="str">
            <v>Vehicles Sold - United States</v>
          </cell>
          <cell r="AI12" t="str">
            <v>PG_VEHICLES_SOLD_US</v>
          </cell>
          <cell r="AL12" t="str">
            <v>Total Deposits (Period Average)</v>
          </cell>
          <cell r="AM12" t="str">
            <v>PG_TOTAL_DEPOSITS_PERIOD_AVG</v>
          </cell>
          <cell r="AP12" t="str">
            <v>Aggregates Reserves</v>
          </cell>
          <cell r="AQ12" t="str">
            <v>PG_AGGREGATES_RESERVES</v>
          </cell>
          <cell r="AX12" t="str">
            <v>Card Loans</v>
          </cell>
          <cell r="AY12" t="str">
            <v>PG_CARD_LOANS</v>
          </cell>
          <cell r="BN12" t="str">
            <v>Casinos Slot Machine Win %</v>
          </cell>
          <cell r="BO12" t="str">
            <v>PG_CASINOS_SLOT_MACHINE_WIN_PCT</v>
          </cell>
          <cell r="BZ12" t="str">
            <v>Hotel Room Additions</v>
          </cell>
          <cell r="CA12" t="str">
            <v>PG_HOTEL_ROOM_ADDITIONS</v>
          </cell>
          <cell r="CH12" t="str">
            <v>Net Premiums Earned (Life)</v>
          </cell>
          <cell r="CI12" t="str">
            <v>PG_NET_PREMIUMS_EARNED_LIFE</v>
          </cell>
          <cell r="DB12" t="str">
            <v>Total Proved NGL Reserves (MMBBL)</v>
          </cell>
          <cell r="DC12" t="str">
            <v>PG_TOT_PRV_NGL_RSRV_MMBBL</v>
          </cell>
          <cell r="DF12" t="str">
            <v>No of Units - Acquisition</v>
          </cell>
          <cell r="DG12" t="str">
            <v>PG_NUMBER_UNITS_ACQUISITION</v>
          </cell>
          <cell r="DJ12" t="str">
            <v>Total Refining Inputs (mbpd)</v>
          </cell>
          <cell r="DK12" t="str">
            <v>PG_TOTAL_REFINING_INPUTS_MBPD</v>
          </cell>
          <cell r="DN12" t="str">
            <v xml:space="preserve">Same Store Sales % Previous Year </v>
          </cell>
          <cell r="DO12" t="str">
            <v>PG_SAME_STORE_SALES_PCT_PREV_YR</v>
          </cell>
          <cell r="DR12" t="str">
            <v>Shipping Transportation Turnover</v>
          </cell>
          <cell r="DS12" t="str">
            <v>PG_SHIPPING_TRANSPORT_TURNOVER</v>
          </cell>
          <cell r="DV12" t="str">
            <v>Penetration Rate %</v>
          </cell>
          <cell r="DW12" t="str">
            <v>PG_PENETRATION_RATE_PERCENT</v>
          </cell>
          <cell r="DZ12" t="str">
            <v>Available Tonne-Km/Miles (YTD)</v>
          </cell>
          <cell r="EA12" t="str">
            <v>PG_YTD_AVAILABLE_TONNE_KM_MILES</v>
          </cell>
          <cell r="ED12" t="str">
            <v>Purchased Power in KWh</v>
          </cell>
          <cell r="EE12" t="str">
            <v>PG_PURCHASED_POWER_IN_KWH</v>
          </cell>
        </row>
        <row r="13">
          <cell r="A13">
            <v>12</v>
          </cell>
          <cell r="B13" t="str">
            <v>Gross Profit</v>
          </cell>
          <cell r="C13" t="str">
            <v>PG_GROSS_PROFIT</v>
          </cell>
          <cell r="F13" t="str">
            <v>Capital Employed</v>
          </cell>
          <cell r="G13" t="str">
            <v>PG_CAPITAL_EMPLOYED</v>
          </cell>
          <cell r="N13" t="str">
            <v>Restructuring/Workflow Balance - Adjusted EBITDA</v>
          </cell>
          <cell r="O13" t="str">
            <v>PG_RESTRUCT_WF_BAL_ADJ_EBITDA</v>
          </cell>
          <cell r="V13" t="str">
            <v>Volume &amp; Mix Change (%)</v>
          </cell>
          <cell r="W13" t="str">
            <v>PG_VOLUME_AND_MIX_CHANGE_%</v>
          </cell>
          <cell r="AD13" t="str">
            <v>Scrapped Widebody Aircraft</v>
          </cell>
          <cell r="AE13" t="str">
            <v>PG_SCRAPPED_WIDEBODY_AIRCRFT</v>
          </cell>
          <cell r="AH13" t="str">
            <v>Vehicles Sold - Europe</v>
          </cell>
          <cell r="AI13" t="str">
            <v>PG_VEHICLES_SOLD_EUROPE</v>
          </cell>
          <cell r="AL13" t="str">
            <v>Number of Outlets and Branches</v>
          </cell>
          <cell r="AM13" t="str">
            <v>PG_NUMBER_OUTLETS_BRANCHES</v>
          </cell>
          <cell r="AP13" t="str">
            <v>Number of Quarries - Aggregates</v>
          </cell>
          <cell r="AQ13" t="str">
            <v>PG_NUMBER_QUARRIES_AGGREGATES</v>
          </cell>
          <cell r="AX13" t="str">
            <v>Managed Card Loans</v>
          </cell>
          <cell r="AY13" t="str">
            <v>PG_MANAGED_CARD_LOANS</v>
          </cell>
          <cell r="BN13" t="str">
            <v>Casinos Slot Machine Handle</v>
          </cell>
          <cell r="BO13" t="str">
            <v>PG_CASINOS_SLOT_MACHINE_HANDLE</v>
          </cell>
          <cell r="BZ13" t="str">
            <v>Hotel Room Removals</v>
          </cell>
          <cell r="CA13" t="str">
            <v>PG_HOTEL_ROOM_REMOVALS</v>
          </cell>
          <cell r="CH13" t="str">
            <v>Underwriting Profit (Loss)</v>
          </cell>
          <cell r="CI13" t="str">
            <v>PG_UNDERWRITING_PROFIT_LOSS</v>
          </cell>
          <cell r="DB13" t="str">
            <v>Gross 2P Oil Reserves (MMBBL)</v>
          </cell>
          <cell r="DC13" t="str">
            <v>PG_GROSS_2P_OIL_RSRV_MMBBL</v>
          </cell>
          <cell r="DF13" t="str">
            <v>Average Number of Units</v>
          </cell>
          <cell r="DG13" t="str">
            <v>PG_AVERAGE_NUMBER_OF_UNITS</v>
          </cell>
          <cell r="DJ13" t="str">
            <v>Total Refining Outputs (mbpd)</v>
          </cell>
          <cell r="DK13" t="str">
            <v>PG_TOTAL_REFINING_OUTPUTS_MBPD</v>
          </cell>
          <cell r="DN13" t="str">
            <v xml:space="preserve">YTD Same Store Sales % Previous Year </v>
          </cell>
          <cell r="DO13" t="str">
            <v>PG_YTD_SAME_STORE_SALES_%_PREV_Y</v>
          </cell>
          <cell r="DR13" t="str">
            <v>Newbuildings</v>
          </cell>
          <cell r="DS13" t="str">
            <v>PG_NEWBUILDINGS</v>
          </cell>
          <cell r="DV13" t="str">
            <v>Cell Sites</v>
          </cell>
          <cell r="DW13" t="str">
            <v>PG_CELLULAR_SITES</v>
          </cell>
          <cell r="DZ13" t="str">
            <v>Cargo Tonnes</v>
          </cell>
          <cell r="EA13" t="str">
            <v>PG_CARGO_TONNES</v>
          </cell>
          <cell r="ED13" t="str">
            <v>Electricity Supply in KWh</v>
          </cell>
          <cell r="EE13" t="str">
            <v>PG_ELECTRICITY_SUPPLY_IN_KWH</v>
          </cell>
        </row>
        <row r="14">
          <cell r="A14">
            <v>13</v>
          </cell>
          <cell r="B14" t="str">
            <v>Other Operating Income</v>
          </cell>
          <cell r="C14" t="str">
            <v>PG_OTHER_OPERATING_INCOME</v>
          </cell>
          <cell r="F14" t="str">
            <v>Gross Sovereign Exposure</v>
          </cell>
          <cell r="G14" t="str">
            <v>PG_GROSS_SOVEREIGN_EXPOSURE</v>
          </cell>
          <cell r="N14" t="str">
            <v>Acquisition Related Charges - Adjusted EBITDA</v>
          </cell>
          <cell r="O14" t="str">
            <v>PG_ACQ_REL_CHRG_ADJ_EBITDA</v>
          </cell>
          <cell r="V14" t="str">
            <v>Market Share</v>
          </cell>
          <cell r="W14" t="str">
            <v>PG_MARKET_SHARE</v>
          </cell>
          <cell r="AD14" t="str">
            <v>Scrapped Narrowbody Aircraft</v>
          </cell>
          <cell r="AE14" t="str">
            <v>PG_SCRAPPED_NARROWBODY_AIRCRFT</v>
          </cell>
          <cell r="AH14" t="str">
            <v>Vehicles Sold - Asia Pacific</v>
          </cell>
          <cell r="AI14" t="str">
            <v>PG_VEHICLES_SOLD_ASIA_PAC</v>
          </cell>
          <cell r="AL14" t="str">
            <v>Compensation Ratio</v>
          </cell>
          <cell r="AM14" t="str">
            <v>PG_COMPENSATION_RATIO</v>
          </cell>
          <cell r="AP14" t="str">
            <v>Number of Years Production Available - Aggregates</v>
          </cell>
          <cell r="AQ14" t="str">
            <v>PG_#_YEARS_PROD_AVAIL_AGGREGATES</v>
          </cell>
          <cell r="AX14" t="str">
            <v>Average Card Loans</v>
          </cell>
          <cell r="AY14" t="str">
            <v>PG_AVERAGE_CARD_LOANS</v>
          </cell>
          <cell r="BN14" t="str">
            <v>Casinos Racing/Simulcasting Revenue</v>
          </cell>
          <cell r="BO14" t="str">
            <v>PG_CASINOS_RACING_SIMLCST_REV</v>
          </cell>
          <cell r="BZ14" t="str">
            <v>Hotel Room Net Additions</v>
          </cell>
          <cell r="CA14" t="str">
            <v>PG_HOTEL_ROOM_NET_ADDITIONS</v>
          </cell>
          <cell r="CH14" t="str">
            <v>Insurance Claims &amp; Losses</v>
          </cell>
          <cell r="CI14" t="str">
            <v>PG_INSURANCE_CLAIMS_LOSSES</v>
          </cell>
          <cell r="DB14" t="str">
            <v>Net 2P Oil Reserves (MMBBL)</v>
          </cell>
          <cell r="DC14" t="str">
            <v>PG_NET_2P_OIL_RSRV_MMBBL</v>
          </cell>
          <cell r="DF14" t="str">
            <v>NOI Growth</v>
          </cell>
          <cell r="DG14" t="str">
            <v>PG_NOI_GROWTH</v>
          </cell>
          <cell r="DJ14" t="str">
            <v>Total Refining Capacity (mbpd)</v>
          </cell>
          <cell r="DK14" t="str">
            <v>PG_TOTAL_REFINING_CAPACITY_MBPD</v>
          </cell>
          <cell r="DN14" t="str">
            <v xml:space="preserve">Number of Locations </v>
          </cell>
          <cell r="DO14" t="str">
            <v>PG_NUMBER_LOCATIONS</v>
          </cell>
          <cell r="DR14" t="str">
            <v>Newbuildings Container Capacity (TEU)</v>
          </cell>
          <cell r="DS14" t="str">
            <v>PG_NEWBLDGS_CONTAINER_CAP_TEU</v>
          </cell>
          <cell r="DV14" t="str">
            <v>Telecom- Wireless Data Traffic (MB)</v>
          </cell>
          <cell r="DW14" t="str">
            <v>PG_TELECOM_WRLS_DATA_TRAFFIC</v>
          </cell>
          <cell r="DZ14" t="str">
            <v xml:space="preserve">Cargo Ton Miles Kms </v>
          </cell>
          <cell r="EA14" t="str">
            <v>PG_CARGO_TON_MILES_KM</v>
          </cell>
          <cell r="ED14" t="str">
            <v>Average Fuel Cost per KWh of Generated Power</v>
          </cell>
          <cell r="EE14" t="str">
            <v>PG_AVG_FUEL_COST_KWH_OF_GEN</v>
          </cell>
        </row>
        <row r="15">
          <cell r="A15">
            <v>14</v>
          </cell>
          <cell r="B15" t="str">
            <v>EBITA (Earnings Before Interest/Taxes/Amortization)</v>
          </cell>
          <cell r="C15" t="str">
            <v>PG_EBITA</v>
          </cell>
          <cell r="F15" t="str">
            <v>Sovereign Exposure - Derivatives</v>
          </cell>
          <cell r="G15" t="str">
            <v>PG_SOV_EXPOSURE_DERIVATIVES</v>
          </cell>
          <cell r="N15" t="str">
            <v>Disposal of Assets - Adjusted EBITDA</v>
          </cell>
          <cell r="O15" t="str">
            <v>PG_DISPOSAL_ASSETS_ADJ_EBITDA</v>
          </cell>
          <cell r="V15" t="str">
            <v>Nameplate/Theoretical/Original Capacity (in Metric Tonnes)</v>
          </cell>
          <cell r="W15" t="str">
            <v>PG_NAMEPLATE_THEO_ORIG_CAP_MT</v>
          </cell>
          <cell r="AD15" t="str">
            <v>Scrapped Regional Aircraft</v>
          </cell>
          <cell r="AE15" t="str">
            <v>PG_SCRAPPED_REGIONAL_AIRCRFT</v>
          </cell>
          <cell r="AH15" t="str">
            <v>Vehicles Sold - Latin America</v>
          </cell>
          <cell r="AI15" t="str">
            <v>PG_VEHICLES_SOLD_LATAM</v>
          </cell>
          <cell r="AL15" t="str">
            <v>Overhead Ratio</v>
          </cell>
          <cell r="AM15" t="str">
            <v>PG_OVERHEAD_RATIO</v>
          </cell>
          <cell r="AP15" t="str">
            <v>Ready Mix Concrete Volumes/Shipments</v>
          </cell>
          <cell r="AQ15" t="str">
            <v>PG_READY_MIX_CONCRETE_VOL_SHPMNT</v>
          </cell>
          <cell r="AX15" t="str">
            <v>Average Managed Card Loans</v>
          </cell>
          <cell r="AY15" t="str">
            <v>PG_AVG_MANAGED_CARD_LOANS</v>
          </cell>
          <cell r="BN15" t="str">
            <v>Casinos Racing/Simulcasting Handle</v>
          </cell>
          <cell r="BO15" t="str">
            <v>PG_CASINOS_RACING_SIMLCST_HANDLE</v>
          </cell>
          <cell r="BZ15" t="str">
            <v>Hotel Pipeline Signings</v>
          </cell>
          <cell r="CA15" t="str">
            <v>PG_HOTEL_PIPELINE_SIGNINGS</v>
          </cell>
          <cell r="CH15" t="str">
            <v>Loss Ratio</v>
          </cell>
          <cell r="CI15" t="str">
            <v>PG_LOSS_RATIO</v>
          </cell>
          <cell r="DB15" t="str">
            <v>Gross 2P Gas Reserves (BCF)</v>
          </cell>
          <cell r="DC15" t="str">
            <v>PG_GROSS_2P_GAS_RSRV_BCF</v>
          </cell>
          <cell r="DF15" t="str">
            <v>Same Store NOI Growth</v>
          </cell>
          <cell r="DG15" t="str">
            <v>PG_SS_NOI_GROWTH</v>
          </cell>
          <cell r="DJ15" t="str">
            <v>Total Refining Utilization (%)</v>
          </cell>
          <cell r="DK15" t="str">
            <v>PG_TOTAL_REFINING_UTILIZATION_%</v>
          </cell>
          <cell r="DN15" t="str">
            <v>Number of Locations Opened</v>
          </cell>
          <cell r="DO15" t="str">
            <v>PG_RETAIL_NUM_LOCATIONS_OPENED</v>
          </cell>
          <cell r="DR15" t="str">
            <v>Newbuildings Capacity (DWT)</v>
          </cell>
          <cell r="DS15" t="str">
            <v>PG_NEWBUILDINGS_CAPACITY_DWT</v>
          </cell>
          <cell r="DV15" t="str">
            <v>Population Coverage %</v>
          </cell>
          <cell r="DW15" t="str">
            <v>PG_POPULATION_COVERAGE_PCT</v>
          </cell>
          <cell r="DZ15" t="str">
            <v xml:space="preserve">Cargo Ton Miles Kms YTD </v>
          </cell>
          <cell r="EA15" t="str">
            <v>PG_YTD_CARGO_TON_MILES_KM</v>
          </cell>
          <cell r="ED15" t="str">
            <v>Average Fuel Cost per KWh of Purchased Power</v>
          </cell>
          <cell r="EE15" t="str">
            <v>PG_AVG_FUEL_COST_P_KWH_PR_PWR</v>
          </cell>
        </row>
        <row r="16">
          <cell r="A16">
            <v>15</v>
          </cell>
          <cell r="B16" t="str">
            <v>EBITDA</v>
          </cell>
          <cell r="C16" t="str">
            <v>PG_EBITDA</v>
          </cell>
          <cell r="F16" t="str">
            <v>Sovereign Exposure</v>
          </cell>
          <cell r="G16" t="str">
            <v>PG_SOVEREIGN_EXPOSURE</v>
          </cell>
          <cell r="N16" t="str">
            <v>Other Adjustments - Adjusted EBITDA</v>
          </cell>
          <cell r="O16" t="str">
            <v>PG_OTH_ADJ_ADJUSTED_EBITDA</v>
          </cell>
          <cell r="V16" t="str">
            <v>Nameplate/Theoretical/Original Capacity (in Pounds)</v>
          </cell>
          <cell r="W16" t="str">
            <v>PG_NP_THEORETICAL_ORIG_CAP_LBS</v>
          </cell>
          <cell r="AD16" t="str">
            <v>Business Jet Deliveries</v>
          </cell>
          <cell r="AE16" t="str">
            <v>PG_BUSINESS_JET_DELIVERIES</v>
          </cell>
          <cell r="AH16" t="str">
            <v>Vehicles Sold - Africa/Middle East</v>
          </cell>
          <cell r="AI16" t="str">
            <v>PG_VEHICLES_SOLD_AFRICA_ME</v>
          </cell>
          <cell r="AL16" t="str">
            <v>Average Allocated Equity</v>
          </cell>
          <cell r="AM16" t="str">
            <v>PG_AVERAGE_ALLOCATED_EQUITY</v>
          </cell>
          <cell r="AP16" t="str">
            <v>Ready Mix Concrete Volume Growth</v>
          </cell>
          <cell r="AQ16" t="str">
            <v>PG_READY_MIX_CONCRETE_VOL_GRWTH</v>
          </cell>
          <cell r="AX16" t="str">
            <v>Average Yield-Managed Basis</v>
          </cell>
          <cell r="AY16" t="str">
            <v>PG_AVG_YIELD_MANAGED_BASIS</v>
          </cell>
          <cell r="BN16" t="str">
            <v>Trade/Convention Visitors</v>
          </cell>
          <cell r="BO16" t="str">
            <v>PG_TRADE_CONVENTION_VISITORS</v>
          </cell>
          <cell r="BZ16" t="str">
            <v>Hotel Pipeline Under Construction</v>
          </cell>
          <cell r="CA16" t="str">
            <v>PG_HOTEL_PIPELINE_UND_CONSTR</v>
          </cell>
          <cell r="CH16" t="str">
            <v>Combined Ratio - GAAP</v>
          </cell>
          <cell r="CI16" t="str">
            <v>PG_COMBINED_RATIO_GAAP</v>
          </cell>
          <cell r="DB16" t="str">
            <v>Net 2P Gas Reserves (BCF)</v>
          </cell>
          <cell r="DC16" t="str">
            <v>PG_NET_2P_GAS_RESERVES_BCF</v>
          </cell>
          <cell r="DF16" t="str">
            <v>% of NOI</v>
          </cell>
          <cell r="DG16" t="str">
            <v>PG_PERCENTAGE_OF_NOI</v>
          </cell>
          <cell r="DJ16" t="str">
            <v>Total Crude Oil Throughput (mbpd)</v>
          </cell>
          <cell r="DK16" t="str">
            <v>PG_TOT_CRUDE_THRUPUT_MBPD</v>
          </cell>
          <cell r="DN16" t="str">
            <v>Number of Locations Closed</v>
          </cell>
          <cell r="DO16" t="str">
            <v>PG_RETAIL_NUM_LOCATIONS_CLOSED</v>
          </cell>
          <cell r="DR16" t="str">
            <v>Average Fuel Price (USD/Tonne)</v>
          </cell>
          <cell r="DS16" t="str">
            <v>PG_AVG_FUEL_PX_IN_USD_PER_TONNE</v>
          </cell>
          <cell r="DZ16" t="str">
            <v xml:space="preserve">Avg Aircraft Flight Length </v>
          </cell>
          <cell r="EA16" t="str">
            <v>PG_AVG_AIRCRAFT_FLIGHT_LENGTH</v>
          </cell>
          <cell r="ED16" t="str">
            <v>Average Electricity Cost per KWh</v>
          </cell>
          <cell r="EE16" t="str">
            <v>PG_AVG_ELECTRICITY_COST_PER_KWH</v>
          </cell>
        </row>
        <row r="17">
          <cell r="A17">
            <v>16</v>
          </cell>
          <cell r="B17" t="str">
            <v>EBITDA - Supplementary Breakdown</v>
          </cell>
          <cell r="C17" t="str">
            <v>PG_EBITDA_SUPP_BREAKDOWN</v>
          </cell>
          <cell r="F17" t="str">
            <v>Gross Sovereign, Financial Institution &amp; Corporate Exposure</v>
          </cell>
          <cell r="G17" t="str">
            <v>PG_GROSS_SOV_FINL_INST_CORP_EXP</v>
          </cell>
          <cell r="N17" t="str">
            <v>Restructuring/Wokrflow Balance - Adjusted EBIT</v>
          </cell>
          <cell r="O17" t="str">
            <v>PG_RESTRUCT_WF_BAL_ADJ_EBIT</v>
          </cell>
          <cell r="V17" t="str">
            <v>Nameplate/Theoretical/Original Capacity (in Gallons)</v>
          </cell>
          <cell r="W17" t="str">
            <v>PG_NP_THEO_ORIG_CAP_IN_GAL</v>
          </cell>
          <cell r="AD17" t="str">
            <v>Engine Deliveries (units)</v>
          </cell>
          <cell r="AE17" t="str">
            <v>PG_ENGINE_DELIVERIES_UNITS</v>
          </cell>
          <cell r="AH17" t="str">
            <v>Vehicles Sold - Retail Basis</v>
          </cell>
          <cell r="AI17" t="str">
            <v>PG_VEHICLES_SOLD_RTL_BASIS</v>
          </cell>
          <cell r="AL17" t="str">
            <v>Allocated Equity</v>
          </cell>
          <cell r="AM17" t="str">
            <v>PG_ALLOCATED_EQUITY</v>
          </cell>
          <cell r="AP17" t="str">
            <v>Ready Mix Concrete Price</v>
          </cell>
          <cell r="AQ17" t="str">
            <v>PG_READY_MIX_CONCRETE_PRICE</v>
          </cell>
          <cell r="AX17" t="str">
            <v>Consumer Travel Sales</v>
          </cell>
          <cell r="AY17" t="str">
            <v>PG_CONSUMER_TRAVEL_SALES</v>
          </cell>
          <cell r="BN17" t="str">
            <v>Credit Play % of Table Games</v>
          </cell>
          <cell r="BO17" t="str">
            <v>PG_CREDIT_PLAY_%_TBL_GAMES</v>
          </cell>
          <cell r="BZ17" t="str">
            <v>Hotel Pipeline Total</v>
          </cell>
          <cell r="CA17" t="str">
            <v>PG_HOTEL_PIPELINE_TOTAL</v>
          </cell>
          <cell r="CH17" t="str">
            <v>Expense Ratio - GAAP</v>
          </cell>
          <cell r="CI17" t="str">
            <v>PG_EXPENSE_RATIO_GAAP</v>
          </cell>
          <cell r="DB17" t="str">
            <v>Gross 2P NGL Reserves (MMBBL)</v>
          </cell>
          <cell r="DC17" t="str">
            <v>PG_GROSS_2P_NGL_RSRV_MMBBL</v>
          </cell>
          <cell r="DF17" t="str">
            <v>Total Purchase Price Per Unit</v>
          </cell>
          <cell r="DG17" t="str">
            <v>PG_TOTAL_PURCHASE_PPU</v>
          </cell>
          <cell r="DN17" t="str">
            <v>Number of Locations Refurbished</v>
          </cell>
          <cell r="DO17" t="str">
            <v>PG_#_LOCATIONS_REFURBISHED</v>
          </cell>
          <cell r="DR17" t="str">
            <v>Container Shipping Average Revenue  Growth %</v>
          </cell>
          <cell r="DS17" t="str">
            <v>PG_CONTAINER_SHIP_AVG_REV_GR_%</v>
          </cell>
          <cell r="DZ17" t="str">
            <v xml:space="preserve">Avg Aircraft Flight Length YTD </v>
          </cell>
          <cell r="EA17" t="str">
            <v>PG_YTD_AVG_AIRCRAFT_FLIGHT_LEN</v>
          </cell>
          <cell r="ED17" t="str">
            <v>Average Electricity Revenue per KWh</v>
          </cell>
          <cell r="EE17" t="str">
            <v>PG_AVG_ELECTRICITY_REV_PER_KWH</v>
          </cell>
        </row>
        <row r="18">
          <cell r="A18">
            <v>17</v>
          </cell>
          <cell r="B18" t="str">
            <v>EBITDA Margin</v>
          </cell>
          <cell r="C18" t="str">
            <v>PG_EBITDA_MARGIN</v>
          </cell>
          <cell r="F18" t="str">
            <v>Net Sovereign, Financial Institution &amp; Corporate Exposure</v>
          </cell>
          <cell r="G18" t="str">
            <v>PG_NET_SOV_FINL_INST_CORP_EXP</v>
          </cell>
          <cell r="N18" t="str">
            <v>Acquisition Related Charges - Adjusted EBIT</v>
          </cell>
          <cell r="O18" t="str">
            <v>PG_ACQ_REL_CHRG_ADJ_EBIT</v>
          </cell>
          <cell r="V18" t="str">
            <v>Operational/Available/Effective Capacity (in Metric Tonnes)</v>
          </cell>
          <cell r="W18" t="str">
            <v>PG_OPERATIONAL_AVAIL_EFF_CAP_MT</v>
          </cell>
          <cell r="AD18" t="str">
            <v>Engine Deliveries</v>
          </cell>
          <cell r="AE18" t="str">
            <v>PG_ENGINE_DELIVERIES</v>
          </cell>
          <cell r="AH18" t="str">
            <v>Number of Newly Registered Vehicles</v>
          </cell>
          <cell r="AI18" t="str">
            <v>PG_NUMBER_REGISTERED_VEHICLES</v>
          </cell>
          <cell r="AL18" t="str">
            <v>Cost income Ratio</v>
          </cell>
          <cell r="AM18" t="str">
            <v>PG_COST_INCOME_RATIO</v>
          </cell>
          <cell r="AP18" t="str">
            <v>Ready Mix Concrete Price Growth</v>
          </cell>
          <cell r="AQ18" t="str">
            <v>PG_READY_MIX_CONCRETE_PX_GROWTH</v>
          </cell>
          <cell r="AX18" t="str">
            <v>Travel Commissions and Fee Rate</v>
          </cell>
          <cell r="AY18" t="str">
            <v>PG_TRAVEL_COMMISSIONS_&amp;_FEE_RATE</v>
          </cell>
          <cell r="BN18" t="str">
            <v>Win per Unit per Day</v>
          </cell>
          <cell r="BO18" t="str">
            <v>PG_WIN_PER_UNIT_PER_DAY</v>
          </cell>
          <cell r="BZ18" t="str">
            <v>Comparable Same Store EBITDA</v>
          </cell>
          <cell r="CA18" t="str">
            <v>PG_COMP_SAME_STORE_EBITDA</v>
          </cell>
          <cell r="CH18" t="str">
            <v>Current Catastrophes' Effect</v>
          </cell>
          <cell r="CI18" t="str">
            <v>PG_CURRENT_CATASTROPHES_EFFECT</v>
          </cell>
          <cell r="DB18" t="str">
            <v>Net 2P NGL Reserves (MMBBL)</v>
          </cell>
          <cell r="DC18" t="str">
            <v>PG_NET_2P_NGL_RSRV_MMBBL</v>
          </cell>
          <cell r="DF18" t="str">
            <v>Total Purchase Price</v>
          </cell>
          <cell r="DG18" t="str">
            <v>PG_TOTAL_PURCHASE_PRICE</v>
          </cell>
          <cell r="DN18" t="str">
            <v>Net Store Additions</v>
          </cell>
          <cell r="DO18" t="str">
            <v>PG_NET_STORE_ADDITIONS</v>
          </cell>
          <cell r="DR18" t="str">
            <v>Shipping Volume Growth %</v>
          </cell>
          <cell r="DS18" t="str">
            <v>PG_SHIPPING_VOLUME_GROWTH_%</v>
          </cell>
          <cell r="DZ18" t="str">
            <v>Total Flight Operation Rate (%)</v>
          </cell>
          <cell r="EA18" t="str">
            <v>PG_TOTAL_FLIGHT_OPERATION_RATE</v>
          </cell>
          <cell r="ED18" t="str">
            <v>Average Gas Revenue per Therm</v>
          </cell>
          <cell r="EE18" t="str">
            <v>PG_AVERAGE_GAS_REVENUE_PER_THERM</v>
          </cell>
        </row>
        <row r="19">
          <cell r="A19">
            <v>18</v>
          </cell>
          <cell r="B19" t="str">
            <v xml:space="preserve">Depreciation and Amortization </v>
          </cell>
          <cell r="C19" t="str">
            <v>PG_DEPR_AMORTIZATION</v>
          </cell>
          <cell r="N19" t="str">
            <v>Disposal of Assets - Adjusted EBIT</v>
          </cell>
          <cell r="O19" t="str">
            <v>PG_DISP_ASSETS_ADJUSTED_EBIT</v>
          </cell>
          <cell r="V19" t="str">
            <v>Announced Incremental Capacity (in Metric Tonnes)</v>
          </cell>
          <cell r="W19" t="str">
            <v>PG_ANNOUNCED_INCREMENTAL_CAP_MT</v>
          </cell>
          <cell r="AD19" t="str">
            <v>Engine Orders (units)</v>
          </cell>
          <cell r="AE19" t="str">
            <v>PG_ENGINE_ORDERS_UNITS</v>
          </cell>
          <cell r="AH19" t="str">
            <v>Number of Newly Registered Vehicles YTD</v>
          </cell>
          <cell r="AI19" t="str">
            <v>PG_YTD_NUM_REGISTERED_VEHICLES</v>
          </cell>
          <cell r="AL19" t="str">
            <v>Loan Origination Volume</v>
          </cell>
          <cell r="AM19" t="str">
            <v>PG_LOAN_ORIGINATION_VOLUME</v>
          </cell>
          <cell r="AP19" t="str">
            <v>Number of Ready Mix Concrete Plants</v>
          </cell>
          <cell r="AQ19" t="str">
            <v>PG_NUM_READY_MIX_CNCRT_PLANTS</v>
          </cell>
          <cell r="AX19" t="str">
            <v>Delinquencies - Managed Basis</v>
          </cell>
          <cell r="AY19" t="str">
            <v>PG_DELINQUENCIES_MANAGED_BASIS</v>
          </cell>
          <cell r="BN19" t="str">
            <v>Number of Units Shipped</v>
          </cell>
          <cell r="BO19" t="str">
            <v>PG_NUMBER_UNITS_SHIPPED</v>
          </cell>
          <cell r="BZ19" t="str">
            <v>Comparable Same Store EBITDA Margin</v>
          </cell>
          <cell r="CA19" t="str">
            <v>PG_COMP_SS_EBITDA_MARGIN</v>
          </cell>
          <cell r="CH19" t="str">
            <v>Catastrophe Losses</v>
          </cell>
          <cell r="CI19" t="str">
            <v>PG_CATASTROPHE_LOSSES</v>
          </cell>
          <cell r="DB19" t="str">
            <v>Gross 2P Total Reserves (MMBOE)</v>
          </cell>
          <cell r="DC19" t="str">
            <v>PG_GROSS_2P_TOT_RSRV_MMBOE</v>
          </cell>
          <cell r="DF19" t="str">
            <v>Construction in Progress</v>
          </cell>
          <cell r="DG19" t="str">
            <v>PG_CONSTRUCTION_IN_PROGRESS</v>
          </cell>
          <cell r="DN19" t="str">
            <v xml:space="preserve">Same Store Number of Locations </v>
          </cell>
          <cell r="DO19" t="str">
            <v>PG_SAME_STORE_NUM_LOCATIONS</v>
          </cell>
          <cell r="DR19" t="str">
            <v xml:space="preserve">% Distribution of Shipping Volume </v>
          </cell>
          <cell r="DS19" t="str">
            <v>PG_%_DISTRIBUTION_SHIPPING_VOL</v>
          </cell>
          <cell r="DZ19" t="str">
            <v xml:space="preserve">Number of Departures </v>
          </cell>
          <cell r="EA19" t="str">
            <v>PG_NUMBER_DEPARTURES</v>
          </cell>
          <cell r="ED19" t="str">
            <v>Gas Purchased for Resale in Therm</v>
          </cell>
          <cell r="EE19" t="str">
            <v>PG_GAS_PURCH_FOR_RESALE_IN_THERM</v>
          </cell>
        </row>
        <row r="20">
          <cell r="A20">
            <v>19</v>
          </cell>
          <cell r="B20" t="str">
            <v xml:space="preserve">Depreciation </v>
          </cell>
          <cell r="C20" t="str">
            <v>PG_DEPRECIATION</v>
          </cell>
          <cell r="N20" t="str">
            <v>Other Adjustments - Adjusted EBIT</v>
          </cell>
          <cell r="O20" t="str">
            <v>PG_REST_WF_BAL_ADJ_GR_PROF</v>
          </cell>
          <cell r="V20" t="str">
            <v>Shipments/Sales (in Metric Tonnes)</v>
          </cell>
          <cell r="W20" t="str">
            <v>PG_SHIPMENTS_SALES_MT</v>
          </cell>
          <cell r="AD20" t="str">
            <v>Engine Orders</v>
          </cell>
          <cell r="AE20" t="str">
            <v>PG_ENGINE_ORDERS</v>
          </cell>
          <cell r="AH20" t="str">
            <v>Selling Days</v>
          </cell>
          <cell r="AI20" t="str">
            <v>PG_SELLING_DAYS</v>
          </cell>
          <cell r="AL20" t="str">
            <v>Net New Money (Assets)</v>
          </cell>
          <cell r="AM20" t="str">
            <v>PG_NET_NEW_MONEY_ASSETS</v>
          </cell>
          <cell r="AP20" t="str">
            <v>Asphalt Volume/Shipments</v>
          </cell>
          <cell r="AQ20" t="str">
            <v>PG_ASPHALT_VOLUME_SHIPMENTS</v>
          </cell>
          <cell r="AX20" t="str">
            <v xml:space="preserve">Delinquency Rate - Managed Basis </v>
          </cell>
          <cell r="AY20" t="str">
            <v>PG_DELINQUENCY_RT_MANAGED_BASIS</v>
          </cell>
          <cell r="BN20" t="str">
            <v>Rolling Chip Turnover</v>
          </cell>
          <cell r="BO20" t="str">
            <v>PG_ROLLING_CHIP_TURNOVER</v>
          </cell>
          <cell r="BZ20" t="str">
            <v>Comparable Same Store EBITDA YoY%</v>
          </cell>
          <cell r="CA20" t="str">
            <v>PG_COMP_SS_EBITDA_YOY%</v>
          </cell>
          <cell r="CH20" t="str">
            <v>Gross Loss and LAE Reserves</v>
          </cell>
          <cell r="CI20" t="str">
            <v>PG_GROSS_LOSS_AND_LAE_RESERVES</v>
          </cell>
          <cell r="DB20" t="str">
            <v>Net 2P Total Reserves (MMBOE)</v>
          </cell>
          <cell r="DC20" t="str">
            <v>PG_NET_2P_TOTAL_RSRV_MMBOE</v>
          </cell>
          <cell r="DF20" t="str">
            <v>Total Estimated Cost</v>
          </cell>
          <cell r="DG20" t="str">
            <v>PG_TOTAL_ESTIMATED_COST</v>
          </cell>
          <cell r="DN20" t="str">
            <v xml:space="preserve">Same Store Sales % with fuel </v>
          </cell>
          <cell r="DO20" t="str">
            <v>PG_SAME_STORE_SALES_%_W_FUEL</v>
          </cell>
          <cell r="DR20" t="str">
            <v>Shipping Ownership Days</v>
          </cell>
          <cell r="DS20" t="str">
            <v>PG_SHIPPING_OWNERSHIP_DAYS</v>
          </cell>
          <cell r="DZ20" t="str">
            <v xml:space="preserve">Number of Departures YTD </v>
          </cell>
          <cell r="EA20" t="str">
            <v>PG_YTD_NUMBER_DEPARTURES</v>
          </cell>
          <cell r="ED20" t="str">
            <v>Gas Purchased for Resale Cost</v>
          </cell>
          <cell r="EE20" t="str">
            <v>PG_GAS_PURCHASED_FOR_RESALE_COST</v>
          </cell>
        </row>
        <row r="21">
          <cell r="A21">
            <v>20</v>
          </cell>
          <cell r="B21" t="str">
            <v>Depreciation Expense - Supplementary Breakdown</v>
          </cell>
          <cell r="C21" t="str">
            <v>PG_DEPREC_EXPN_SUPP_BREAKDWN</v>
          </cell>
          <cell r="V21" t="str">
            <v>Shipments/Sales (in Short Tons)</v>
          </cell>
          <cell r="W21" t="str">
            <v>PG_SHIPMENTS_SALES_IN_SHORT_TON</v>
          </cell>
          <cell r="AD21" t="str">
            <v>Engine Backlog (units)</v>
          </cell>
          <cell r="AE21" t="str">
            <v>PG_ENGINE_BACKLOG_UNITS</v>
          </cell>
          <cell r="AH21" t="str">
            <v>Selling Days YTD</v>
          </cell>
          <cell r="AI21" t="str">
            <v>PG_YTD_SELLING_DAYS</v>
          </cell>
          <cell r="AL21" t="str">
            <v>Net New Money  -Supplementary Breakdown</v>
          </cell>
          <cell r="AM21" t="str">
            <v>PG_NET_NEW_MONEY_SUPP_BREAKDWN</v>
          </cell>
          <cell r="AP21" t="str">
            <v>Asphalt Volume Growth</v>
          </cell>
          <cell r="AQ21" t="str">
            <v>PG_ASPHALT_VOLUME_GROWTH</v>
          </cell>
          <cell r="AX21" t="str">
            <v xml:space="preserve">Net Charge-Off Rate - Managed Basis </v>
          </cell>
          <cell r="AY21" t="str">
            <v>PG_NET_CHARGE_OFF_RATE_MANAGED</v>
          </cell>
          <cell r="BN21" t="str">
            <v>Rolling Chip Turnover YoY</v>
          </cell>
          <cell r="BO21" t="str">
            <v>PG_ROLL_CHIP_TURNOVER_YOY</v>
          </cell>
          <cell r="BZ21" t="str">
            <v>Comparable Same Store Constant Dollar RevPAR YoY%</v>
          </cell>
          <cell r="CA21" t="str">
            <v>PG_COMP_SS_CNST_REVPAR_YOY%</v>
          </cell>
          <cell r="CH21" t="str">
            <v>Net Loss and LAE Reserves</v>
          </cell>
          <cell r="CI21" t="str">
            <v>PG_NET_LOSS_AND_LAE_RESERVES</v>
          </cell>
          <cell r="DB21" t="str">
            <v>Crude Oil Sales Volume - MBPD</v>
          </cell>
          <cell r="DC21" t="str">
            <v>PG_CRUDE_OIL_SALES_VOL_IN_MBPD</v>
          </cell>
          <cell r="DF21" t="str">
            <v>Total Projected Square Feet</v>
          </cell>
          <cell r="DG21" t="str">
            <v>PG_TOTAL_PROJECTED_SF</v>
          </cell>
          <cell r="DN21" t="str">
            <v xml:space="preserve">YTD Same Store Sales % with fuel </v>
          </cell>
          <cell r="DO21" t="str">
            <v>PG_YTD_SAME_STORE_SALES_%_W_FUEL</v>
          </cell>
          <cell r="DR21" t="str">
            <v>Shipping Available Days</v>
          </cell>
          <cell r="DS21" t="str">
            <v>PG_SHIPPING_AVAILABLE_DAYS</v>
          </cell>
          <cell r="DZ21" t="str">
            <v>On-Time Departure Rate (%)</v>
          </cell>
          <cell r="EA21" t="str">
            <v>PG_ON_TIME_DEPARTURE_RATE</v>
          </cell>
          <cell r="ED21" t="str">
            <v>Weather Normalized Electric Sales Growth, % yoy</v>
          </cell>
          <cell r="EE21" t="str">
            <v>PG_WTHR_NORM_ELEC_SL_GR_%_YOY</v>
          </cell>
        </row>
        <row r="22">
          <cell r="A22">
            <v>21</v>
          </cell>
          <cell r="B22" t="str">
            <v>Amortization of Intangible Assets</v>
          </cell>
          <cell r="C22" t="str">
            <v>PG_AMORT_OF_INTANGIBLE_ASSETS</v>
          </cell>
          <cell r="V22" t="str">
            <v>Shipment/Sales in Board Feet</v>
          </cell>
          <cell r="W22" t="str">
            <v>PG_SHIP_SALES_IN_BOARD_FT</v>
          </cell>
          <cell r="AD22" t="str">
            <v>Engine Backlog</v>
          </cell>
          <cell r="AE22" t="str">
            <v>PG_ENGINE_BACKLOG</v>
          </cell>
          <cell r="AH22" t="str">
            <v xml:space="preserve">Vehicle Inventories </v>
          </cell>
          <cell r="AI22" t="str">
            <v>PG_VEHICLE_INVENTORIES</v>
          </cell>
          <cell r="AL22" t="str">
            <v>Bonds Underwritten - Amount</v>
          </cell>
          <cell r="AM22" t="str">
            <v>PG_BONDS_UNDERWRITTEN_AMOUNT</v>
          </cell>
          <cell r="AP22" t="str">
            <v>Number of Asphalt Plants</v>
          </cell>
          <cell r="AQ22" t="str">
            <v>PG_NUMBER_OF_ASPHALT_PLANTS</v>
          </cell>
          <cell r="AX22" t="str">
            <v xml:space="preserve">Net Charge-Offs - Managed Basis </v>
          </cell>
          <cell r="AY22" t="str">
            <v>PG_NET_CHARGE_OFFS_MANAGED_BASIS</v>
          </cell>
          <cell r="BN22" t="str">
            <v>Rolling Chip Turnover YTD</v>
          </cell>
          <cell r="BO22" t="str">
            <v>PG_ROLLING_CHIP_TURNOVER_YTD</v>
          </cell>
          <cell r="BZ22" t="str">
            <v>Comparable Same Store Constant Dollar ADR YoY%</v>
          </cell>
          <cell r="CA22" t="str">
            <v>PG_COMP_SS_CNST_DOL_ADR_YOY%</v>
          </cell>
          <cell r="CH22" t="str">
            <v>Policy in Force (PIF)</v>
          </cell>
          <cell r="CI22" t="str">
            <v>PG_POLICY_IN_FORCE</v>
          </cell>
          <cell r="DF22" t="str">
            <v xml:space="preserve"> % of  Gross Leasable Area (GLA)</v>
          </cell>
          <cell r="DG22" t="str">
            <v>PG_TOP_TENANTS_%_OF_GLA</v>
          </cell>
          <cell r="DN22" t="str">
            <v xml:space="preserve">Same Store Sales % with fuel previous year </v>
          </cell>
          <cell r="DO22" t="str">
            <v>PG_SM_STR_SALES_%_W_FUEL_PREV_YR</v>
          </cell>
          <cell r="DR22" t="str">
            <v>Shipping Operating Days</v>
          </cell>
          <cell r="DS22" t="str">
            <v>PG_SHIPPING_OPERATING_DAYS</v>
          </cell>
          <cell r="DZ22" t="str">
            <v>Revenue passengers carried</v>
          </cell>
          <cell r="EA22" t="str">
            <v>PG_REV_PASSENGERS_CARRIED</v>
          </cell>
          <cell r="ED22" t="str">
            <v>Rate Base</v>
          </cell>
          <cell r="EE22" t="str">
            <v>PG_RATE_BASE</v>
          </cell>
        </row>
        <row r="23">
          <cell r="A23">
            <v>22</v>
          </cell>
          <cell r="B23" t="str">
            <v>R &amp; D Expenses</v>
          </cell>
          <cell r="C23" t="str">
            <v>PG_RD_EXPENSES</v>
          </cell>
          <cell r="V23" t="str">
            <v>Shipment/Sales in Cubic Feet</v>
          </cell>
          <cell r="W23" t="str">
            <v>PG_SHIP_SALES_IN_CUBIC_FT</v>
          </cell>
          <cell r="AD23" t="str">
            <v>Installed Thrust (lbs)</v>
          </cell>
          <cell r="AE23" t="str">
            <v>PG_INSTALLED_THRUST_POUNDS</v>
          </cell>
          <cell r="AH23" t="str">
            <v xml:space="preserve">Certified Vehicles Sold </v>
          </cell>
          <cell r="AI23" t="str">
            <v>PG_CERTIFIED_VEHICLES_SOLD</v>
          </cell>
          <cell r="AL23" t="str">
            <v>Bonds Underwritten - Number of Issues</v>
          </cell>
          <cell r="AM23" t="str">
            <v>PG_BND_UNDERWRITTEN_#_OF_ISSUES</v>
          </cell>
          <cell r="AP23" t="str">
            <v>Gypsum Volume/Shipments</v>
          </cell>
          <cell r="AQ23" t="str">
            <v>PG_GYPSUM_VOLUME_SHIPMENTS</v>
          </cell>
          <cell r="BN23" t="str">
            <v>Rolling Chip Turnover YTD YoY</v>
          </cell>
          <cell r="BO23" t="str">
            <v>PG_ROLLING_CHIP_TURN_YTD_YOY</v>
          </cell>
          <cell r="BZ23" t="str">
            <v>Comparable Same Store Constant Dollar RevPAR</v>
          </cell>
          <cell r="CA23" t="str">
            <v>PG_COMP_SS_CNST_DOL_REVPAR</v>
          </cell>
          <cell r="CH23" t="str">
            <v>Policy Renewal Rate</v>
          </cell>
          <cell r="CI23" t="str">
            <v>PG_POLICY_RENEWAL_RATE</v>
          </cell>
          <cell r="DF23" t="str">
            <v xml:space="preserve"> % of Rent</v>
          </cell>
          <cell r="DG23" t="str">
            <v>PG_TOP_TENANTS_%_OF_RENT</v>
          </cell>
          <cell r="DN23" t="str">
            <v xml:space="preserve">YTD Same Store Sales % with fuel previous year </v>
          </cell>
          <cell r="DO23" t="str">
            <v>PG_YTD_SM_STR_SAL_%_W_FUEL_PRV_Y</v>
          </cell>
          <cell r="DR23" t="str">
            <v>Shipping Fleet - Owned</v>
          </cell>
          <cell r="DS23" t="str">
            <v>PG_SHIPPING_FLEET_OWNED</v>
          </cell>
          <cell r="DZ23" t="str">
            <v xml:space="preserve">Revenue passengers carried YTD </v>
          </cell>
          <cell r="EA23" t="str">
            <v>PG_YTD_REV_PASSENGERS_CARRIED</v>
          </cell>
          <cell r="ED23" t="str">
            <v>Regulated Generation Capacity  (MW)</v>
          </cell>
          <cell r="EE23" t="str">
            <v>PG_REG_GENERATION_CAPACITY_MW</v>
          </cell>
        </row>
        <row r="24">
          <cell r="A24">
            <v>23</v>
          </cell>
          <cell r="B24" t="str">
            <v>Capitalized R&amp;D Expense</v>
          </cell>
          <cell r="C24" t="str">
            <v>PG_CAPITALIZED_R&amp;D_EXPENSES</v>
          </cell>
          <cell r="V24" t="str">
            <v>Shipment/Sales in Square Feet</v>
          </cell>
          <cell r="W24" t="str">
            <v>PG_SHIP_SALES_IN_SQ_FT</v>
          </cell>
          <cell r="AD24" t="str">
            <v>Delivered Thrust (lbs)</v>
          </cell>
          <cell r="AE24" t="str">
            <v>PG_DELIVERED_THRUST_POUNDS</v>
          </cell>
          <cell r="AH24" t="str">
            <v>Motorcycles Produced</v>
          </cell>
          <cell r="AI24" t="str">
            <v>PG_MOTORCYCLES_PRODUCED</v>
          </cell>
          <cell r="AL24" t="str">
            <v>Assets under Management</v>
          </cell>
          <cell r="AM24" t="str">
            <v>PG_ASSETS_UNDER_MANAGEMENT</v>
          </cell>
          <cell r="AP24" t="str">
            <v>Gypsum Price</v>
          </cell>
          <cell r="AQ24" t="str">
            <v>PG_GYPSUM_PRICE</v>
          </cell>
          <cell r="BN24" t="str">
            <v>Monthly Average Rolling Chip Turnover YTD</v>
          </cell>
          <cell r="BO24" t="str">
            <v>PG_MON_AVG_ROLL_CHIP_TURN_YTD</v>
          </cell>
          <cell r="BZ24" t="str">
            <v>Comparable Same Store Constant Dollar ADR</v>
          </cell>
          <cell r="CA24" t="str">
            <v>PG_COMP_SS_CNST_DOLLAR_ADR</v>
          </cell>
          <cell r="CH24" t="str">
            <v>Value of New Business</v>
          </cell>
          <cell r="CI24" t="str">
            <v>PG_VALUE_NEW_BUSINESS</v>
          </cell>
          <cell r="DF24" t="str">
            <v>Average Rental Rate</v>
          </cell>
          <cell r="DG24" t="str">
            <v>PG_AVERAGE_RENTAL_RATE</v>
          </cell>
          <cell r="DN24" t="str">
            <v>Total Square Feet/Meter</v>
          </cell>
          <cell r="DO24" t="str">
            <v>PG_SQUARE_FOOTAGE</v>
          </cell>
          <cell r="DR24" t="str">
            <v>Shipping Fleet - Chartered</v>
          </cell>
          <cell r="DS24" t="str">
            <v>PG_SHIPPING_FLEET_CHARTERED</v>
          </cell>
          <cell r="DZ24" t="str">
            <v xml:space="preserve">On-time arrival rate </v>
          </cell>
          <cell r="EA24" t="str">
            <v>PG_ON_TIME_ARRIVAL_RATE</v>
          </cell>
          <cell r="ED24" t="str">
            <v>Generation Capacity  (%)</v>
          </cell>
          <cell r="EE24" t="str">
            <v>PG_GENERATION_CAPACITY_PCT</v>
          </cell>
        </row>
        <row r="25">
          <cell r="A25">
            <v>24</v>
          </cell>
          <cell r="B25" t="str">
            <v>Salaries Wages and Employee Benefits</v>
          </cell>
          <cell r="C25" t="str">
            <v>PG_SALARIES_WAGES_&amp;_EMP_BENEFITS</v>
          </cell>
          <cell r="V25" t="str">
            <v>Unit Sales Growth</v>
          </cell>
          <cell r="W25" t="str">
            <v>PG_UNIT_SALES_GROWTH</v>
          </cell>
          <cell r="AD25" t="str">
            <v>MRO/Shop Visits (units)</v>
          </cell>
          <cell r="AE25" t="str">
            <v>PG_MRO_SHOP_VISITS_UNITS</v>
          </cell>
          <cell r="AH25" t="str">
            <v>Motorcycles Sold</v>
          </cell>
          <cell r="AI25" t="str">
            <v>PG_MOTORCYCLES_SOLD</v>
          </cell>
          <cell r="AL25" t="str">
            <v>Assets under Management - Supplementary Breakdown</v>
          </cell>
          <cell r="AM25" t="str">
            <v>PG_AUM_SUPPLEMENTARY_BREAKDOWN</v>
          </cell>
          <cell r="AP25" t="str">
            <v>Gypsum Plants</v>
          </cell>
          <cell r="AQ25" t="str">
            <v>PG_GYPSUM_PLANTS</v>
          </cell>
          <cell r="BZ25" t="str">
            <v>Year-to-date Revenue Per Available Room (RevPar)</v>
          </cell>
          <cell r="CA25" t="str">
            <v>PG_YTD_REVPAR</v>
          </cell>
          <cell r="CH25" t="str">
            <v>First Year Premium</v>
          </cell>
          <cell r="CI25" t="str">
            <v>PG_FIRST_YEAR_PREMIUM</v>
          </cell>
          <cell r="DF25" t="str">
            <v>Average Same Store Rental Rate Growth</v>
          </cell>
          <cell r="DG25" t="str">
            <v>PG_AVG_SS_RENTAL_RATE_GROWTH</v>
          </cell>
          <cell r="DN25" t="str">
            <v>Retail Square Feet/Meter</v>
          </cell>
          <cell r="DO25" t="str">
            <v>PG_RETAIL_SQUARE_FOOTAGE</v>
          </cell>
          <cell r="DR25" t="str">
            <v>Spot Time Charter Equivalent (TCE) rate</v>
          </cell>
          <cell r="DS25" t="str">
            <v>PG_SPOT_TCE</v>
          </cell>
          <cell r="DZ25" t="str">
            <v xml:space="preserve">On-time arrival rate YTD </v>
          </cell>
          <cell r="EA25" t="str">
            <v>PG_YTD_ON_TIME_ARRIVAL_RATE</v>
          </cell>
          <cell r="ED25" t="str">
            <v>Generation  (%)</v>
          </cell>
          <cell r="EE25" t="str">
            <v>PG_GENERATION_PERCENT</v>
          </cell>
        </row>
        <row r="26">
          <cell r="A26">
            <v>25</v>
          </cell>
          <cell r="B26" t="str">
            <v>Advertising Expenses</v>
          </cell>
          <cell r="C26" t="str">
            <v>PG_ADVERTISING_EXPENSES</v>
          </cell>
          <cell r="V26" t="str">
            <v>Sales Change - Volume</v>
          </cell>
          <cell r="W26" t="str">
            <v>PG_SALES_CHANGE_VOLUME</v>
          </cell>
          <cell r="AD26" t="str">
            <v>MRO/Shop Visits</v>
          </cell>
          <cell r="AE26" t="str">
            <v>PG_MRO_SHOP_VISITS</v>
          </cell>
          <cell r="AH26" t="str">
            <v>Number of Dealerships</v>
          </cell>
          <cell r="AI26" t="str">
            <v>PG_NUMBER_DEALERSHIPS</v>
          </cell>
          <cell r="AL26" t="str">
            <v>Daily Average Revenue Trades</v>
          </cell>
          <cell r="AM26" t="str">
            <v>PG_DAILY_AVERAGE_REV_TRADES</v>
          </cell>
          <cell r="AP26" t="str">
            <v>Gypsum Volume Growth</v>
          </cell>
          <cell r="AQ26" t="str">
            <v>PG_GYPSUM_VOLUME_GROWTH</v>
          </cell>
          <cell r="BZ26" t="str">
            <v>Year-to-date Comparable Same Store RevPAR Yoy %</v>
          </cell>
          <cell r="CA26" t="str">
            <v>PG_YTD_COMP_SS_REVPAR_YOY%</v>
          </cell>
          <cell r="CH26" t="str">
            <v>First Year Premium (Supplementary)</v>
          </cell>
          <cell r="CI26" t="str">
            <v>PG_FIRST_YEAR_PREM_SUPPLEMENTARY</v>
          </cell>
          <cell r="DF26" t="str">
            <v>Top Tenants ? Average Store Size</v>
          </cell>
          <cell r="DG26" t="str">
            <v>PG_TOP_TENANTS_AVG_STORE_SIZE</v>
          </cell>
          <cell r="DN26" t="str">
            <v>Number of Customers</v>
          </cell>
          <cell r="DO26" t="str">
            <v>PG_NUMBER_CUSTOMERS</v>
          </cell>
          <cell r="DZ26" t="str">
            <v xml:space="preserve">Yield per Passenger Mile / Kms (cents) </v>
          </cell>
          <cell r="EA26" t="str">
            <v>PG_YIELD_PER_PASSENGER_MILE</v>
          </cell>
          <cell r="ED26" t="str">
            <v>Merchant Generation  %, MWH</v>
          </cell>
          <cell r="EE26" t="str">
            <v>PG_MERCHANT_GENERATION_%_MWH</v>
          </cell>
        </row>
        <row r="27">
          <cell r="A27">
            <v>26</v>
          </cell>
          <cell r="B27" t="str">
            <v>Stock Based Compensation</v>
          </cell>
          <cell r="C27" t="str">
            <v>PG_STOCK_BASED_COMPENSATION</v>
          </cell>
          <cell r="V27" t="str">
            <v>Sales Change - Prices</v>
          </cell>
          <cell r="W27" t="str">
            <v>PG_SALES_CHANGE_PRICES</v>
          </cell>
          <cell r="AD27" t="str">
            <v>Ship Set Deliveries</v>
          </cell>
          <cell r="AE27" t="str">
            <v>PG_SHIP_SET_DELIVERIES</v>
          </cell>
          <cell r="AL27" t="str">
            <v>Average Interest Earnings Assets</v>
          </cell>
          <cell r="AM27" t="str">
            <v>PG_AVG_INT_EARNING_ASSETS</v>
          </cell>
          <cell r="AP27" t="str">
            <v>Gypsum Price Growth</v>
          </cell>
          <cell r="AQ27" t="str">
            <v>PG_GYPSUM_PRICE_GROWTH</v>
          </cell>
          <cell r="BZ27" t="str">
            <v>Year-to-date Average Daily Rate (ADR)</v>
          </cell>
          <cell r="CA27" t="str">
            <v>PG_YTD_AVERAGE_DAILY_RATE</v>
          </cell>
          <cell r="CH27" t="str">
            <v>APE (Annual Premium Equivalent)</v>
          </cell>
          <cell r="CI27" t="str">
            <v>PG_APE</v>
          </cell>
          <cell r="DF27" t="str">
            <v>Investment Balance</v>
          </cell>
          <cell r="DG27" t="str">
            <v>PG_INVESTMENT_BALANCE</v>
          </cell>
          <cell r="DN27" t="str">
            <v>Number of Customers Growth (%)</v>
          </cell>
          <cell r="DO27" t="str">
            <v>PG_NUMBER_CUSTOMERS_GROWTH_PCT</v>
          </cell>
          <cell r="DZ27" t="str">
            <v>Yield per Passenger Mile YTD / Kms(cents)</v>
          </cell>
          <cell r="EA27" t="str">
            <v>PG_YTD_YIELD_PER_PASSENGER_MILE</v>
          </cell>
          <cell r="ED27" t="str">
            <v>Capacity %, MW</v>
          </cell>
          <cell r="EE27" t="str">
            <v>PG_CAPACITY_PERCENT_MW</v>
          </cell>
        </row>
        <row r="28">
          <cell r="A28">
            <v>27</v>
          </cell>
          <cell r="B28" t="str">
            <v>Other Operating Expense</v>
          </cell>
          <cell r="C28" t="str">
            <v>PG_OTHER_OPEX</v>
          </cell>
          <cell r="V28" t="str">
            <v>Sales Change - Currencies</v>
          </cell>
          <cell r="W28" t="str">
            <v>PG_SALES_CHANGE_CURRENCIES</v>
          </cell>
          <cell r="AD28" t="str">
            <v>Aircraft Deliveries</v>
          </cell>
          <cell r="AE28" t="str">
            <v>PG_AIRCRAFT_DELIVERIES</v>
          </cell>
          <cell r="AL28" t="str">
            <v>Assets Under Administration</v>
          </cell>
          <cell r="AM28" t="str">
            <v>PG_ASSETS_UNDER_ADMIN</v>
          </cell>
          <cell r="BZ28" t="str">
            <v>Year-to-date Comparable (Same Store) ADR Yoy %</v>
          </cell>
          <cell r="CA28" t="str">
            <v>PG_YTD_COMP_SS_ADR_YOY%</v>
          </cell>
          <cell r="CH28" t="str">
            <v>APE (Annual Premium Equivalent)- Supplementary</v>
          </cell>
          <cell r="CI28" t="str">
            <v>PG_APE_SUPPLEMENTARY</v>
          </cell>
          <cell r="DF28" t="str">
            <v xml:space="preserve">Cash Flow Coverage </v>
          </cell>
          <cell r="DG28" t="str">
            <v>PG_CASH_FLOW_COVERAGE</v>
          </cell>
          <cell r="DN28" t="str">
            <v>Same Store Number of Customers</v>
          </cell>
          <cell r="DO28" t="str">
            <v>PG_SAME_STORE_NUM_CUSTOMERS</v>
          </cell>
          <cell r="DZ28" t="str">
            <v>Passenger Revenue Per ASM /ASK(cents)</v>
          </cell>
          <cell r="EA28" t="str">
            <v>PG_REVENUE_ASM</v>
          </cell>
          <cell r="ED28" t="str">
            <v>Heating Degree Days Normal</v>
          </cell>
          <cell r="EE28" t="str">
            <v>PG_HEATING_DEGREE_DAYS_NORMAL</v>
          </cell>
        </row>
        <row r="29">
          <cell r="A29">
            <v>28</v>
          </cell>
          <cell r="B29" t="str">
            <v>Total Operating Expense</v>
          </cell>
          <cell r="C29" t="str">
            <v>PG_TOTAL_OPEX</v>
          </cell>
          <cell r="V29" t="str">
            <v>Sales Change - Acquisitions &amp; Divestitures</v>
          </cell>
          <cell r="W29" t="str">
            <v>PG_SALES_CHG_ACQ_&amp;_DIVESTITURES</v>
          </cell>
          <cell r="AL29" t="str">
            <v>Client Assets in Brokerage Accounts</v>
          </cell>
          <cell r="AM29" t="str">
            <v>PG_CLNT_ASSETS_IN_BROK_ACCT</v>
          </cell>
          <cell r="BZ29" t="str">
            <v>Year - to- date Occupancy Rate</v>
          </cell>
          <cell r="CA29" t="str">
            <v>PG_YTD_OCCUPANCY_RATE</v>
          </cell>
          <cell r="CH29" t="str">
            <v xml:space="preserve">Impact on EV of 100 bp Increase in the Interest Rate </v>
          </cell>
          <cell r="CI29" t="str">
            <v>PG_IMPACT_EV_100_BP_INC_IN_IR</v>
          </cell>
          <cell r="DF29" t="str">
            <v>Contracted Sales Amount</v>
          </cell>
          <cell r="DG29" t="str">
            <v>PG_CONTRACTED_SALES</v>
          </cell>
          <cell r="DN29" t="str">
            <v>Same Store Number of Customers Growth (%)</v>
          </cell>
          <cell r="DO29" t="str">
            <v>PG_SAME_STORE_NUM_CSTMR_GROWTH_%</v>
          </cell>
          <cell r="DZ29" t="str">
            <v>Passenger Revenue Per ASM/ASK YTD (cents)</v>
          </cell>
          <cell r="EA29" t="str">
            <v>PG_YTD_REVENUE_ASM</v>
          </cell>
          <cell r="ED29" t="str">
            <v>Heating Degree Days Actual</v>
          </cell>
          <cell r="EE29" t="str">
            <v>PG_HEATING_DEGREE_DAYS_ACTUAL</v>
          </cell>
        </row>
        <row r="30">
          <cell r="A30">
            <v>29</v>
          </cell>
          <cell r="B30" t="str">
            <v xml:space="preserve">Operating Income </v>
          </cell>
          <cell r="C30" t="str">
            <v>PG_OPERATING_INCOME</v>
          </cell>
          <cell r="V30" t="str">
            <v>Sales Change - Mix</v>
          </cell>
          <cell r="W30" t="str">
            <v>PG_SALES_CHANGE_MIX</v>
          </cell>
          <cell r="AL30" t="str">
            <v>Average Value At  Risk</v>
          </cell>
          <cell r="AM30" t="str">
            <v>PG_AVERAGE_VALUE_AT_RISK</v>
          </cell>
          <cell r="BZ30" t="str">
            <v>Year-to-date Comparable (Same Store) Occupancy Rate Yoy %</v>
          </cell>
          <cell r="CA30" t="str">
            <v>PG_YTD_COMP_SS_OCCUP_RT_YOY%</v>
          </cell>
          <cell r="CH30" t="str">
            <v xml:space="preserve">Impact on EV of 100 bp Decrease in the Interest Rate </v>
          </cell>
          <cell r="CI30" t="str">
            <v>PG_IMPACT_EV_100_BP_DECR_IN_IR</v>
          </cell>
          <cell r="DF30" t="str">
            <v>YTD Contracted Sales amount</v>
          </cell>
          <cell r="DG30" t="str">
            <v>PG_YTD_CONTRACTED_SALES_AMT</v>
          </cell>
          <cell r="DN30" t="str">
            <v>Average Sales Per Customer</v>
          </cell>
          <cell r="DO30" t="str">
            <v>PG_AVERAGE_SALES_PER_CUSTOMER</v>
          </cell>
          <cell r="DZ30" t="str">
            <v>Passenger Revenue p/ASM (PRASM) , p/ASK YOY</v>
          </cell>
          <cell r="EA30" t="str">
            <v>PG_PASSENGER_REV_PER_ASM_ASK_YOY</v>
          </cell>
          <cell r="ED30" t="str">
            <v>Cooling Degree Days Normal</v>
          </cell>
          <cell r="EE30" t="str">
            <v>PG_COOLING_DEGREE_DAYS_NORMAL</v>
          </cell>
        </row>
        <row r="31">
          <cell r="A31">
            <v>30</v>
          </cell>
          <cell r="B31" t="str">
            <v xml:space="preserve">Operating Income - Supplementary Breakdown </v>
          </cell>
          <cell r="C31" t="str">
            <v>PG_OPERATING_INC_SUPP_BREAKDWN</v>
          </cell>
          <cell r="V31" t="str">
            <v>Sales Change - Other</v>
          </cell>
          <cell r="W31" t="str">
            <v>PG_SALES_CHANGE_OTHER</v>
          </cell>
          <cell r="AL31" t="str">
            <v>Credit Valuation Adjustment</v>
          </cell>
          <cell r="AM31" t="str">
            <v>PG_CVA</v>
          </cell>
          <cell r="CH31" t="str">
            <v xml:space="preserve">Impact on EV of 10% Increase in Equity/Property Capital Value  </v>
          </cell>
          <cell r="CI31" t="str">
            <v>PG_IM_EV_10%_INC_EQ_PTY_CAP_VL</v>
          </cell>
          <cell r="DF31" t="str">
            <v>Land Cost</v>
          </cell>
          <cell r="DG31" t="str">
            <v>PG_LAND_COST</v>
          </cell>
          <cell r="DN31" t="str">
            <v>Average Sales Per Customer Growth (%)</v>
          </cell>
          <cell r="DO31" t="str">
            <v>PG_AVG_SALES_PER_CUSTOMER_GROWTH</v>
          </cell>
          <cell r="DZ31" t="str">
            <v>Revenue Passenger Miles /KmsYoY</v>
          </cell>
          <cell r="EA31" t="str">
            <v>PG_REVENUE_PASSENGER_MI_KM_YOY</v>
          </cell>
          <cell r="ED31" t="str">
            <v>Cooling Degree Days Actual</v>
          </cell>
          <cell r="EE31" t="str">
            <v>PG_COOLING_DEGREE_DAYS_ACTUAL</v>
          </cell>
        </row>
        <row r="32">
          <cell r="A32">
            <v>31</v>
          </cell>
          <cell r="B32" t="str">
            <v>Interest Expense</v>
          </cell>
          <cell r="C32" t="str">
            <v>PG_INTEREST_EXPENSE</v>
          </cell>
          <cell r="V32" t="str">
            <v>Raw Material Consumption in Units</v>
          </cell>
          <cell r="W32" t="str">
            <v>PG_RAW_MATERIAL_CONS_IN_UNITS</v>
          </cell>
          <cell r="AL32" t="str">
            <v>Debt Valuation Adjustment</v>
          </cell>
          <cell r="AM32" t="str">
            <v>PG_DVA</v>
          </cell>
          <cell r="CH32" t="str">
            <v xml:space="preserve">Impact on EV of 10% Decrease in Equity/Property Capital Value  </v>
          </cell>
          <cell r="CI32" t="str">
            <v>PG_IM_EV_10%_DEC_EQ_PTY_CAP_VL</v>
          </cell>
          <cell r="DF32" t="str">
            <v xml:space="preserve">Property Expenses </v>
          </cell>
          <cell r="DG32" t="str">
            <v>PG_PROPERTY_EXPENSES</v>
          </cell>
          <cell r="DN32" t="str">
            <v>Same Store Average Sales Per Customer</v>
          </cell>
          <cell r="DO32" t="str">
            <v>PG_SAME_STORE_AVG_SALES_CSTMR</v>
          </cell>
          <cell r="DZ32" t="str">
            <v>Available Seat Miles / Kms YoY</v>
          </cell>
          <cell r="EA32" t="str">
            <v>PG_ASM_YOY</v>
          </cell>
          <cell r="ED32" t="str">
            <v>Distribution Overhead Lines - Circuit Miles</v>
          </cell>
          <cell r="EE32" t="str">
            <v>PG_DIST_OVRHD_LINES_CIRCUIT_MI</v>
          </cell>
        </row>
        <row r="33">
          <cell r="A33">
            <v>32</v>
          </cell>
          <cell r="B33" t="str">
            <v>Interest Income</v>
          </cell>
          <cell r="C33" t="str">
            <v>PG_INTEREST_INCOME</v>
          </cell>
          <cell r="V33" t="str">
            <v>Raw Material Consumption Total Cost ($)</v>
          </cell>
          <cell r="W33" t="str">
            <v>PG_RAW_MAT_CONSUMPT_TOT_CST_DOL</v>
          </cell>
          <cell r="AL33" t="str">
            <v>Number of ATMs</v>
          </cell>
          <cell r="AM33" t="str">
            <v>PG_NUMBER_OF_ATM</v>
          </cell>
          <cell r="CH33" t="str">
            <v>Impact on EV of 10% Proportionate Increase in Lapse rates</v>
          </cell>
          <cell r="CI33" t="str">
            <v>PG_IMP_EV_10%_PROP_INC_IN_LPS_RT</v>
          </cell>
          <cell r="DF33" t="str">
            <v>Net Property Income</v>
          </cell>
          <cell r="DG33" t="str">
            <v>PG_NET_PROPERTY_INCOME</v>
          </cell>
          <cell r="DN33" t="str">
            <v>Same Store Average Sales Per Customer Growth (%)</v>
          </cell>
          <cell r="DO33" t="str">
            <v>PG_SM_STR_AVG_SALES_CSTMR_GR_%</v>
          </cell>
          <cell r="DZ33" t="str">
            <v>Load Factors YoY</v>
          </cell>
          <cell r="EA33" t="str">
            <v>PG_LOAD_FACTORS_YOY</v>
          </cell>
          <cell r="ED33" t="str">
            <v>Distribution Underground Lines - Cable Miles</v>
          </cell>
          <cell r="EE33" t="str">
            <v>PG_DIST_UNDGRND_LINES_CABLE_MI</v>
          </cell>
        </row>
        <row r="34">
          <cell r="A34">
            <v>33</v>
          </cell>
          <cell r="B34" t="str">
            <v>Investment Income</v>
          </cell>
          <cell r="C34" t="str">
            <v>PG_INVESTMENT_INCOME</v>
          </cell>
          <cell r="V34" t="str">
            <v>Raw Material Consumption Cost Per Unit ($)</v>
          </cell>
          <cell r="W34" t="str">
            <v>PG_RAW_MAT_CONS_CST_PER_UNIT</v>
          </cell>
          <cell r="AL34" t="str">
            <v>Sovereign Exposure - EBA</v>
          </cell>
          <cell r="AM34" t="str">
            <v>PG_SOV_EXPOSURE_EUROPEAN_BK_AUTH</v>
          </cell>
          <cell r="CH34" t="str">
            <v>Impact on EV of 10% Proportionate Decrease in Lapse rates</v>
          </cell>
          <cell r="CI34" t="str">
            <v>PG_IM_EV_10%_PROP_DECR_IN_LPS_RT</v>
          </cell>
          <cell r="DF34" t="str">
            <v>Net Operating Income( NOI)</v>
          </cell>
          <cell r="DG34" t="str">
            <v>PG_NET_OPERATING_INCOME</v>
          </cell>
          <cell r="DN34" t="str">
            <v>Same Store Sales Gas Effect</v>
          </cell>
          <cell r="DO34" t="str">
            <v>PG_SAME_STORE_SALES_GAS_EFFECT</v>
          </cell>
          <cell r="DZ34" t="str">
            <v>Yield YOY</v>
          </cell>
          <cell r="EA34" t="str">
            <v>PG_YIELD_YOY</v>
          </cell>
          <cell r="ED34" t="str">
            <v>Distribution Trench and Submarine - Cable Miles</v>
          </cell>
          <cell r="EE34" t="str">
            <v>PG_DIST_TRENCH_&amp;_SUB_CABLE_MI</v>
          </cell>
        </row>
        <row r="35">
          <cell r="A35">
            <v>34</v>
          </cell>
          <cell r="B35" t="str">
            <v>Impairment Charges</v>
          </cell>
          <cell r="C35" t="str">
            <v>PG_IMPAIRMENT_CHARGES</v>
          </cell>
          <cell r="V35" t="str">
            <v>Unit Per Labor YOY Change</v>
          </cell>
          <cell r="W35" t="str">
            <v>PG_UNIT_PER_LABOR_YOY_CHANGE</v>
          </cell>
          <cell r="CH35" t="str">
            <v>Impact on EV of 10% Increase in Maintenance Expenses</v>
          </cell>
          <cell r="CI35" t="str">
            <v>PG_IM_EV_10%_INC_IN_MAIN_EXPN</v>
          </cell>
          <cell r="DF35" t="str">
            <v>Lease Expiry - Number of Leases</v>
          </cell>
          <cell r="DG35" t="str">
            <v>PG_LEASE_EXPIRY_#_LEASES</v>
          </cell>
          <cell r="DN35" t="str">
            <v>Same Store Sales Foreign Exchange Effect</v>
          </cell>
          <cell r="DO35" t="str">
            <v>PG_SAME_STORE_SALES_FX_EFFECT</v>
          </cell>
          <cell r="DZ35" t="str">
            <v>Completion Factor</v>
          </cell>
          <cell r="EA35" t="str">
            <v>PG_COMPLETION_FACTOR</v>
          </cell>
          <cell r="ED35" t="str">
            <v>Distribution Overhead Lines - Pole Miles</v>
          </cell>
          <cell r="EE35" t="str">
            <v>PG_DIST_OVRHD_LINES_POLE_MI</v>
          </cell>
        </row>
        <row r="36">
          <cell r="A36">
            <v>35</v>
          </cell>
          <cell r="B36" t="str">
            <v>Share Profits of JV/Associates Results</v>
          </cell>
          <cell r="C36" t="str">
            <v>PG_SHARE_OF_JV_ASSOC_RES</v>
          </cell>
          <cell r="V36" t="str">
            <v>Labor Productivity YOY Change</v>
          </cell>
          <cell r="W36" t="str">
            <v>PG_LABOR_PRODUCTIVITY_YOY_CHANGE</v>
          </cell>
          <cell r="CH36" t="str">
            <v>Impact on EV of 10% Decrease in Maintenance Expenses</v>
          </cell>
          <cell r="CI36" t="str">
            <v>PG_IM_EV_10%_DEC_IN_MAIN_EXPN</v>
          </cell>
          <cell r="DF36" t="str">
            <v xml:space="preserve">Lease Expiry - NLA </v>
          </cell>
          <cell r="DG36" t="str">
            <v>PG_LEA_EXPIRY_N_LETTABLE_AREA</v>
          </cell>
          <cell r="DN36" t="str">
            <v>Number of Distribution Centers/Terminals</v>
          </cell>
          <cell r="DO36" t="str">
            <v>PG_#_OF_DIST_CTRS_TERMINALS</v>
          </cell>
          <cell r="DZ36" t="str">
            <v xml:space="preserve">Completion Factor YTD </v>
          </cell>
          <cell r="EA36" t="str">
            <v>PG_YTD_COMPLETION_FACTOR</v>
          </cell>
          <cell r="ED36" t="str">
            <v>Natural Gas Pipeline Miles</v>
          </cell>
          <cell r="EE36" t="str">
            <v>PG_NATGAS_PIPELINE_MILES</v>
          </cell>
        </row>
        <row r="37">
          <cell r="A37">
            <v>36</v>
          </cell>
          <cell r="B37" t="str">
            <v>Pretax Income</v>
          </cell>
          <cell r="C37" t="str">
            <v>PG_PRETAX_INCOME</v>
          </cell>
          <cell r="V37" t="str">
            <v>Order Backlog</v>
          </cell>
          <cell r="W37" t="str">
            <v>PG_ORDER_BACKLOG</v>
          </cell>
          <cell r="CH37" t="str">
            <v>Impact on EV of 5% Lower Mortality Rate for Longevity (Life Assurance)</v>
          </cell>
          <cell r="CI37" t="str">
            <v>PG_IM_EV_5%_LW_MORT_RT_LNG_LA</v>
          </cell>
          <cell r="DF37" t="str">
            <v>Lease Expiry - Rental Income</v>
          </cell>
          <cell r="DG37" t="str">
            <v>PG_LEASE_EXPIRY_RENTAL_INC</v>
          </cell>
          <cell r="DN37" t="str">
            <v>Internet Sales Growth</v>
          </cell>
          <cell r="DO37" t="str">
            <v>PG_RETAIL_INTERNET_SALES_GROWTH</v>
          </cell>
          <cell r="DZ37" t="str">
            <v xml:space="preserve">Block Hours </v>
          </cell>
          <cell r="EA37" t="str">
            <v>PG_BLOCK_HOURS</v>
          </cell>
          <cell r="ED37" t="str">
            <v>Miles of Transmission System</v>
          </cell>
          <cell r="EE37" t="str">
            <v>PG_MILES_OF_TRANSMISSION_SYSTEM</v>
          </cell>
        </row>
        <row r="38">
          <cell r="A38">
            <v>37</v>
          </cell>
          <cell r="B38" t="str">
            <v xml:space="preserve">Pretax Income - Supplementary Breakdown </v>
          </cell>
          <cell r="C38" t="str">
            <v>PG_PRETAX_INC_SUPP_BREAKDWN</v>
          </cell>
          <cell r="V38" t="str">
            <v>Order Backlog (in Unit)</v>
          </cell>
          <cell r="W38" t="str">
            <v>PG_ORDER_BACKLOG_IN_UNITS</v>
          </cell>
          <cell r="CH38" t="str">
            <v>Impact on EV of 5% Lower Mortality rate for Longevity ( Annuities)</v>
          </cell>
          <cell r="CI38" t="str">
            <v>PG_IMP_EV_5%_LWR_MORT_LNG_ANN</v>
          </cell>
          <cell r="DF38" t="str">
            <v>Rental Reversion - Number of Leases</v>
          </cell>
          <cell r="DG38" t="str">
            <v>PG_RENTAL_REVERSION_#_LEAS</v>
          </cell>
          <cell r="DN38" t="str">
            <v xml:space="preserve">Number of stores by Ownership </v>
          </cell>
          <cell r="DO38" t="str">
            <v>PG_NUM_OF_STORES_BY_OWNERSHIP</v>
          </cell>
          <cell r="DZ38" t="str">
            <v xml:space="preserve">Block Hours YTD </v>
          </cell>
          <cell r="EA38" t="str">
            <v>PG_YTD_BLOCK_HOURS</v>
          </cell>
          <cell r="ED38" t="str">
            <v>Number of Substations</v>
          </cell>
          <cell r="EE38" t="str">
            <v>PG_NUMBER_OF_SUBSTATIONS</v>
          </cell>
        </row>
        <row r="39">
          <cell r="A39">
            <v>38</v>
          </cell>
          <cell r="B39" t="str">
            <v>Income Taxes</v>
          </cell>
          <cell r="C39" t="str">
            <v>PG_INCOME_TAXES</v>
          </cell>
          <cell r="V39" t="str">
            <v>Orders Received</v>
          </cell>
          <cell r="W39" t="str">
            <v>PG_ORDER_RECEIVED</v>
          </cell>
          <cell r="CH39" t="str">
            <v xml:space="preserve">Impact on EV of 25% Increase in Equity/ Property Implied Volatilities  </v>
          </cell>
          <cell r="CI39" t="str">
            <v>PG_IM_EV_25%_INC_EQY_PTY_IVOL</v>
          </cell>
          <cell r="DF39" t="str">
            <v>Rental Reversion - Retention Rate</v>
          </cell>
          <cell r="DG39" t="str">
            <v>PG_RENTAL_REV_RETEN_RT</v>
          </cell>
          <cell r="DN39" t="str">
            <v>Number of stores by Location</v>
          </cell>
          <cell r="DO39" t="str">
            <v>PG_NUM_OF_STORES_BY_LOCATION</v>
          </cell>
          <cell r="DZ39" t="str">
            <v xml:space="preserve">Avg Number of Employees </v>
          </cell>
          <cell r="EA39" t="str">
            <v>PG_AVG_NUMBER_EMPLOYEES</v>
          </cell>
          <cell r="ED39" t="str">
            <v>Substation Transformer Capacity in kV Amperes</v>
          </cell>
          <cell r="EE39" t="str">
            <v>PG_SUBS_TRNFMR_CAP_IN_KV_AMPS</v>
          </cell>
        </row>
        <row r="40">
          <cell r="A40">
            <v>39</v>
          </cell>
          <cell r="B40" t="str">
            <v>Gross Revenue Tax Rate</v>
          </cell>
          <cell r="C40" t="str">
            <v>PG_GROSS_REVENUE_TAX_RATE</v>
          </cell>
          <cell r="V40" t="str">
            <v>Orders Received (in Unit)</v>
          </cell>
          <cell r="W40" t="str">
            <v>PG_ORDERS_RECEIVED_IN_UNITS</v>
          </cell>
          <cell r="CH40" t="str">
            <v xml:space="preserve">Impact on EV of 25% Increase in Swaption Implied Volatilities </v>
          </cell>
          <cell r="CI40" t="str">
            <v>PG_IMP_EV_25%_INCR_SWPN_IVOL</v>
          </cell>
          <cell r="DF40" t="str">
            <v>Rental Reversion - NLA</v>
          </cell>
          <cell r="DG40" t="str">
            <v>PG_RNTL_REV_NT_LETTABLE_AREA</v>
          </cell>
          <cell r="DN40" t="str">
            <v>Impact of Internet on Same-Store Sales</v>
          </cell>
          <cell r="DO40" t="str">
            <v>PG_IMPACT_OF_INTERNET_ON_SSS</v>
          </cell>
          <cell r="DZ40" t="str">
            <v xml:space="preserve">Airlines- Fuel Price per Gallon Liter </v>
          </cell>
          <cell r="EA40" t="str">
            <v>PG_AIRLINES_FUEL_PX_GALLON_LITER</v>
          </cell>
          <cell r="ED40" t="str">
            <v>Natural Gas Storage Capacity</v>
          </cell>
          <cell r="EE40" t="str">
            <v>PG_NATGAS_STORAGE_CAPACITY</v>
          </cell>
        </row>
        <row r="41">
          <cell r="A41">
            <v>40</v>
          </cell>
          <cell r="B41" t="str">
            <v>Effective Tax Rate</v>
          </cell>
          <cell r="C41" t="str">
            <v>PG_EFFECTIVE_TAX_RATE</v>
          </cell>
          <cell r="V41" t="str">
            <v>Organic Order Growth</v>
          </cell>
          <cell r="W41" t="str">
            <v>PG_ORGANIC_ORDER_GROWTH</v>
          </cell>
          <cell r="CH41" t="str">
            <v xml:space="preserve">Impact on EV of  25% Decrease in Swaption Implied Volatilities </v>
          </cell>
          <cell r="CI41" t="str">
            <v>PG_IMP_EV_25%_DECR_SWPN_IVOL</v>
          </cell>
          <cell r="DF41" t="str">
            <v>Landbank (Square Meters) - Attributable GFA</v>
          </cell>
          <cell r="DG41" t="str">
            <v>PG_LANDBANK_SQUARE_METERS</v>
          </cell>
          <cell r="DN41" t="str">
            <v>Credit Card Delinquency Rate</v>
          </cell>
          <cell r="DO41" t="str">
            <v>PG_CREDIT_CARD_DELINQUENCY_RATE</v>
          </cell>
          <cell r="DZ41" t="str">
            <v>Fuel Consumption in Gallons</v>
          </cell>
          <cell r="EA41" t="str">
            <v>PG_FUEL_CONS_IN_GALLONS</v>
          </cell>
          <cell r="ED41" t="str">
            <v>Authorized ROE</v>
          </cell>
          <cell r="EE41" t="str">
            <v>PG_AUTHORIZED_RETURN_ON_EQUITY</v>
          </cell>
        </row>
        <row r="42">
          <cell r="A42">
            <v>41</v>
          </cell>
          <cell r="B42" t="str">
            <v xml:space="preserve">Net Income </v>
          </cell>
          <cell r="C42" t="str">
            <v>PG_NET_INCOME</v>
          </cell>
          <cell r="V42" t="str">
            <v>Foreign Currency Order Growth</v>
          </cell>
          <cell r="W42" t="str">
            <v>PG_FC_ORDER_GROWTH</v>
          </cell>
          <cell r="CH42" t="str">
            <v>Impact on EV of   50 bp Higher in Credit Spread</v>
          </cell>
          <cell r="CI42" t="str">
            <v>PG_IMP_EV_50BP_HGHR_CRED_SPRD</v>
          </cell>
          <cell r="DF42" t="str">
            <v>Landbank (Square Foot) - Attributable GFA</v>
          </cell>
          <cell r="DG42" t="str">
            <v>PG_LANDBANK_SQUARE_FOOT</v>
          </cell>
          <cell r="DN42" t="str">
            <v>Traffic</v>
          </cell>
          <cell r="DO42" t="str">
            <v>PG_TRAFFIC_OR_CUSTOMER_TRAFFIC</v>
          </cell>
          <cell r="DZ42" t="str">
            <v>Size of Fleet</v>
          </cell>
          <cell r="EA42" t="str">
            <v>PG_SIZE_OF_FLEET</v>
          </cell>
          <cell r="ED42" t="str">
            <v>Gas Throughput (Bcf)</v>
          </cell>
          <cell r="EE42" t="str">
            <v>PG_GAS_THROUGHPUT_BCF</v>
          </cell>
        </row>
        <row r="43">
          <cell r="A43">
            <v>42</v>
          </cell>
          <cell r="B43" t="str">
            <v>Economic Net Income</v>
          </cell>
          <cell r="C43" t="str">
            <v>PG_ECONOMIC_NET_INCOME</v>
          </cell>
          <cell r="V43" t="str">
            <v>Acquisition/Divestiture &amp; Other Order Growth</v>
          </cell>
          <cell r="W43" t="str">
            <v>PG_ACQ_DIVEST_&amp;_OTH_ORD_GRWTH</v>
          </cell>
          <cell r="CH43" t="str">
            <v>Impact on EV of 50 bp Lower in Credit Spread</v>
          </cell>
          <cell r="CI43" t="str">
            <v>PG_IMP_EV_50BP_LWR_CRED_SPRD</v>
          </cell>
          <cell r="DF43" t="str">
            <v>Landbank (Square Meters) -Total GFA</v>
          </cell>
          <cell r="DG43" t="str">
            <v>PG_LANDBANK_TOTAL_GFA_SQM</v>
          </cell>
          <cell r="DN43" t="str">
            <v>Traffic - Range [High]</v>
          </cell>
          <cell r="DO43" t="str">
            <v>PG_TRAFFIC_RANGE_HIGH</v>
          </cell>
          <cell r="DZ43" t="str">
            <v>Aircrafts on Firm Order</v>
          </cell>
          <cell r="EA43" t="str">
            <v>PG_AIRLINES_AIRCRAFT_FIRM_ORDER</v>
          </cell>
          <cell r="ED43" t="str">
            <v>Electric Throughput (Gwh)</v>
          </cell>
          <cell r="EE43" t="str">
            <v>PG_ELECTRIC_THROUGHPUT_IN_KWH</v>
          </cell>
        </row>
        <row r="44">
          <cell r="A44">
            <v>43</v>
          </cell>
          <cell r="B44" t="str">
            <v>Distributable Income</v>
          </cell>
          <cell r="C44" t="str">
            <v>PG_DISTRIBUTABLE_EARNINGS</v>
          </cell>
          <cell r="V44" t="str">
            <v>Book to Bill</v>
          </cell>
          <cell r="W44" t="str">
            <v>PRODUCT/GEOGRAPHIC_BOOK_TO_BILL</v>
          </cell>
          <cell r="CH44" t="str">
            <v>Impact on EV of Reference Rate Without Liquidity Premia</v>
          </cell>
          <cell r="CI44" t="str">
            <v>PG_IMP_EV_REF_RT_WO_LIQ_PREM</v>
          </cell>
          <cell r="DF44" t="str">
            <v>Landbank (Square Foot) - Total GFA</v>
          </cell>
          <cell r="DG44" t="str">
            <v>PG_LANDBANK_TOTAL_GFA_SF</v>
          </cell>
          <cell r="DN44" t="str">
            <v>Traffic - Range [Low]</v>
          </cell>
          <cell r="DO44" t="str">
            <v>PG_TRAFFIC_RANGE_LOW</v>
          </cell>
          <cell r="DZ44" t="str">
            <v>Aircrafts on Option</v>
          </cell>
          <cell r="EA44" t="str">
            <v>PG_AIRLINES_AIRCRAFT_ON_OPTION</v>
          </cell>
          <cell r="ED44" t="str">
            <v>Maximum Daily Withdrawal Rate (Bcf)</v>
          </cell>
          <cell r="EE44" t="str">
            <v>PG_MAXIMUM_DAILY_WITHDRAWAL_RATE</v>
          </cell>
        </row>
        <row r="45">
          <cell r="A45">
            <v>44</v>
          </cell>
          <cell r="B45" t="str">
            <v xml:space="preserve">Revenue Per Unit </v>
          </cell>
          <cell r="C45" t="str">
            <v>PG_REVENUE_PER_UNIT</v>
          </cell>
          <cell r="V45" t="str">
            <v>Capacity Operating Rate</v>
          </cell>
          <cell r="W45" t="str">
            <v>PG_CAPACITY_OPERATING_RATE</v>
          </cell>
          <cell r="CH45" t="str">
            <v>Impact on EV of Reference Rate With Liquidity Premia 10 bp Higher</v>
          </cell>
          <cell r="CI45" t="str">
            <v>PG_IM_EV_REF_RT_W_LIQ_PR_10_BP_H</v>
          </cell>
          <cell r="DF45" t="str">
            <v>Gross Floor Area (GFA) Acquired (Square Meters)</v>
          </cell>
          <cell r="DG45" t="str">
            <v>PG_GFA_ACQUIRED_SQ_METERS</v>
          </cell>
          <cell r="DN45" t="str">
            <v>Traffic - Qualitative Note</v>
          </cell>
          <cell r="DO45" t="str">
            <v>PG_TRAFFIC_QUAL_NOTE</v>
          </cell>
          <cell r="DZ45" t="str">
            <v>Aircrafts on Option – Rolling Options</v>
          </cell>
          <cell r="EA45" t="str">
            <v>PG_AIRLINE_AIRCRFT_OPT_ROLL_OPTS</v>
          </cell>
          <cell r="ED45" t="str">
            <v>Electric Peak Demand (in MW)</v>
          </cell>
          <cell r="EE45" t="str">
            <v>PG_ELECTRIC_PEAK_DEMAND_IN_MW</v>
          </cell>
        </row>
        <row r="46">
          <cell r="A46">
            <v>45</v>
          </cell>
          <cell r="B46" t="str">
            <v>Revenue Growth</v>
          </cell>
          <cell r="C46" t="str">
            <v>PG_SALES_1_YEAR_GROWTH</v>
          </cell>
          <cell r="V46" t="str">
            <v>Capacity Utilization</v>
          </cell>
          <cell r="W46" t="str">
            <v>PG_CAPACITY_UTILIZATION</v>
          </cell>
          <cell r="CH46" t="str">
            <v>Required Capital to be Equal to the Level of Solvency Capital</v>
          </cell>
          <cell r="CI46" t="str">
            <v>PG_REQ_CAP_EQ_LEVL_OF_SOLV_CPTL</v>
          </cell>
          <cell r="DF46" t="str">
            <v>Gross Floor Area (GFA) Acquired (Square Foot)</v>
          </cell>
          <cell r="DG46" t="str">
            <v>PG_GFA_ACQUIRED_SQUARE_FOOT</v>
          </cell>
          <cell r="DN46" t="str">
            <v>Ticket</v>
          </cell>
          <cell r="DO46" t="str">
            <v>PG_TICKET_OR_TKT_PER_TRANSACTION</v>
          </cell>
          <cell r="DZ46" t="str">
            <v>Aircraft Operating Fleet by Aircraft Program &amp; Model - Total</v>
          </cell>
          <cell r="EA46" t="str">
            <v>PG_AIRCRFT_OP_FLT_MODEL_TOTAL</v>
          </cell>
          <cell r="ED46" t="str">
            <v>Gas Peak Demand (in Therm)</v>
          </cell>
          <cell r="EE46" t="str">
            <v>PG_GAS_PEAK_DEMAND_IN_THERMS</v>
          </cell>
        </row>
        <row r="47">
          <cell r="A47">
            <v>46</v>
          </cell>
          <cell r="B47" t="str">
            <v>Revenue Growth</v>
          </cell>
          <cell r="C47" t="str">
            <v>PG_REVENUE_GROWTH</v>
          </cell>
          <cell r="V47" t="str">
            <v>Shipment (Metric Tonnes)</v>
          </cell>
          <cell r="W47" t="str">
            <v>PG_STEEL_SHIPMENT_METRIC_TONNES</v>
          </cell>
          <cell r="CH47" t="str">
            <v>Present Value of New Business Premiums (PVNBP)</v>
          </cell>
          <cell r="CI47" t="str">
            <v>PG_PV_OF_NEW_BUSINESS_PREMIUMS</v>
          </cell>
          <cell r="DF47" t="str">
            <v>Gross Floor Area (GFA) Sold (Square Meters)</v>
          </cell>
          <cell r="DG47" t="str">
            <v>PG_GFA_SOLD_SQUARE_METERS</v>
          </cell>
          <cell r="DN47" t="str">
            <v>Ticket - Range [High]</v>
          </cell>
          <cell r="DO47" t="str">
            <v>PG_TICKET_RANGE_HIGH</v>
          </cell>
          <cell r="DZ47" t="str">
            <v>Aircraft Operating Fleet by Aircraft Program &amp; Model - Owned</v>
          </cell>
          <cell r="EA47" t="str">
            <v>PG_AIRCRFT_OP_FLT_MODEL_OWNED</v>
          </cell>
          <cell r="ED47" t="str">
            <v>Gas Supply in MMcf</v>
          </cell>
          <cell r="EE47" t="str">
            <v>PG_GAS_SUPPLY_IN_MMCF</v>
          </cell>
        </row>
        <row r="48">
          <cell r="A48">
            <v>47</v>
          </cell>
          <cell r="B48" t="str">
            <v>Revenue Growth - Supplemental Breakdown</v>
          </cell>
          <cell r="C48" t="str">
            <v>PG_REV_GROWTH_SUPP_BREAKDWN</v>
          </cell>
          <cell r="V48" t="str">
            <v>Production (Metric Tonnes)</v>
          </cell>
          <cell r="W48" t="str">
            <v>PG_STEEL_PROD_METRIC_TONNES</v>
          </cell>
          <cell r="CH48" t="str">
            <v>Total Opening Embedded Value</v>
          </cell>
          <cell r="CI48" t="str">
            <v>PG_TOTAL_OPENING_EV</v>
          </cell>
          <cell r="DF48" t="str">
            <v>Gross Floor Area (GFA) Sold (Square Foot)</v>
          </cell>
          <cell r="DG48" t="str">
            <v>PG_GFA_SOLD_SQUARE_FOOT</v>
          </cell>
          <cell r="DN48" t="str">
            <v>Ticket - Range [Low]</v>
          </cell>
          <cell r="DO48" t="str">
            <v>PG_TICKET_RANGE_LOW</v>
          </cell>
          <cell r="DZ48" t="str">
            <v>Aircraft Operating Fleet by Aircraft Program &amp; Model - Operating Lease</v>
          </cell>
          <cell r="EA48" t="str">
            <v>PG_AIRCRFT_OP_FLT_MODEL_LEASE</v>
          </cell>
          <cell r="ED48" t="str">
            <v>Average Gas Cost (in $/Mcf)</v>
          </cell>
          <cell r="EE48" t="str">
            <v>PG_AVG_GAS_CST_IN_DOLLARS_MMCF</v>
          </cell>
        </row>
        <row r="49">
          <cell r="A49">
            <v>48</v>
          </cell>
          <cell r="B49" t="str">
            <v>Organic Growth</v>
          </cell>
          <cell r="C49" t="str">
            <v>PG_ORGANIC_GROWTH</v>
          </cell>
          <cell r="V49" t="str">
            <v>Production in Board Feet</v>
          </cell>
          <cell r="W49" t="str">
            <v>PG_PRODUCTION_IN_BOARD_FT</v>
          </cell>
          <cell r="CH49" t="str">
            <v>Total Adjusted Opening Embedded Value</v>
          </cell>
          <cell r="CI49" t="str">
            <v>PG_TOTAL_ADJUSTED_OPENING_EV</v>
          </cell>
          <cell r="DF49" t="str">
            <v>Gross Floor Area (GFA) Completed (Square Meters)</v>
          </cell>
          <cell r="DG49" t="str">
            <v>PG_GFA_COMPLETED_SQUARE_METERS</v>
          </cell>
          <cell r="DN49" t="str">
            <v>Ticket - Qualitative Note</v>
          </cell>
          <cell r="DO49" t="str">
            <v>PG_TICKET_QUAL_NOTE</v>
          </cell>
          <cell r="DZ49" t="str">
            <v>Aircraft Operating Fleet by Aircraft Program &amp; Model - Capital Lease</v>
          </cell>
          <cell r="EA49" t="str">
            <v>PG_AIRLINES_FLEET_CAPITAL_LEASE</v>
          </cell>
          <cell r="ED49" t="str">
            <v>Availability Factor</v>
          </cell>
          <cell r="EE49" t="str">
            <v>PG_AVAILABILITY_FACTOR</v>
          </cell>
        </row>
        <row r="50">
          <cell r="A50">
            <v>49</v>
          </cell>
          <cell r="B50" t="str">
            <v>Foreign Currency Growth</v>
          </cell>
          <cell r="C50" t="str">
            <v>PG_FOREIGN_CURRENCY_GROWTH</v>
          </cell>
          <cell r="V50" t="str">
            <v>Productioin in Cubic Feet</v>
          </cell>
          <cell r="W50" t="str">
            <v>PG_PRODUCTION_IN_CUBIC_FT</v>
          </cell>
          <cell r="CH50" t="str">
            <v>New Business Value / Contribution (Post Tax)</v>
          </cell>
          <cell r="CI50" t="str">
            <v>PG_NEW_BUSN_VAL_CONTRIB_POST_TAX</v>
          </cell>
          <cell r="DF50" t="str">
            <v>Gross Floor Area (GFA) Completed (Square Foot)</v>
          </cell>
          <cell r="DG50" t="str">
            <v>PG_GFA_COMPLETED_SF</v>
          </cell>
          <cell r="DN50" t="str">
            <v>Transactions per Store Growth</v>
          </cell>
          <cell r="DO50" t="str">
            <v>PG_TRANSACTIONS_PER_STORE_GROWTH</v>
          </cell>
          <cell r="DZ50" t="str">
            <v>Aircraft Fleet by Aircraft Program &amp; Model - 3rd Party Contractual</v>
          </cell>
          <cell r="EA50" t="str">
            <v>PG_AIRCRFT_OP_FLT_3RD_PRTY</v>
          </cell>
          <cell r="ED50" t="str">
            <v>Average Cost of Coal for Power Generation (Per Metric Tonne)</v>
          </cell>
          <cell r="EE50" t="str">
            <v>PG_AV_CST_COAL_PWR_GEN_MET_TN</v>
          </cell>
        </row>
        <row r="51">
          <cell r="A51">
            <v>50</v>
          </cell>
          <cell r="B51" t="str">
            <v>Foreign Currency Impact on Revenue</v>
          </cell>
          <cell r="C51" t="str">
            <v>PG_FC_IMPACT_REVENUE</v>
          </cell>
          <cell r="V51" t="str">
            <v>Production in Square Feet</v>
          </cell>
          <cell r="W51" t="str">
            <v>PG_PRODUCTION_IN_SQ_FT</v>
          </cell>
          <cell r="CH51" t="str">
            <v>Total Expected Existing Business Contribution</v>
          </cell>
          <cell r="CI51" t="str">
            <v>PG_TOT_EXP_EXISTING_BUSN_CONTRIB</v>
          </cell>
          <cell r="DF51" t="str">
            <v>Target  GFA (Square Meters) to be Completed</v>
          </cell>
          <cell r="DG51" t="str">
            <v>PG_TARGET_GFA_SQ_M_TO_BE_CMPL</v>
          </cell>
          <cell r="DN51" t="str">
            <v>Unit per Transactions Growth</v>
          </cell>
          <cell r="DO51" t="str">
            <v>PG_UNIT_PER_TRANSACTIONS_GROWTH</v>
          </cell>
          <cell r="DZ51" t="str">
            <v>Aircraft Grounded/Parked by Aircraft Program &amp; Model</v>
          </cell>
          <cell r="EA51" t="str">
            <v>PG_AIRCRFT_OP_FLT_GRND_PARKED</v>
          </cell>
          <cell r="ED51" t="str">
            <v>Average Tariffs - End Users</v>
          </cell>
          <cell r="EE51" t="str">
            <v>PG_AVERAGE_TARIFFS_END_USERS</v>
          </cell>
        </row>
        <row r="52">
          <cell r="A52">
            <v>51</v>
          </cell>
          <cell r="B52" t="str">
            <v>Acquisition/Divestiture &amp; Other Growth</v>
          </cell>
          <cell r="C52" t="str">
            <v>PG_ACQ_DIVEST_&amp;_OTHER_GROWTH</v>
          </cell>
          <cell r="V52" t="str">
            <v>Capacity (Metric Tonnes)</v>
          </cell>
          <cell r="W52" t="str">
            <v>PG_STEEL_CAPACITY_METRIC_TONNES</v>
          </cell>
          <cell r="CH52" t="str">
            <v>Total Experience and Assumption Variances</v>
          </cell>
          <cell r="CI52" t="str">
            <v>PG_TOT_EXPER_&amp;_ASSUMPTION_VARS</v>
          </cell>
          <cell r="DF52" t="str">
            <v>Target  GFA (Square Foot)to be Completed</v>
          </cell>
          <cell r="DG52" t="str">
            <v>PG_TARGET_GFA_SF_TO_BE_COMPLETED</v>
          </cell>
          <cell r="DN52" t="str">
            <v>Average SQFT</v>
          </cell>
          <cell r="DO52" t="str">
            <v>PG_AVERAGE_SQUARE_FOOT</v>
          </cell>
          <cell r="DZ52" t="str">
            <v>Expiry of Operating Lease</v>
          </cell>
          <cell r="EA52" t="str">
            <v>PG_EXPIRY_OF_OPERATING_LEASE</v>
          </cell>
          <cell r="ED52" t="str">
            <v>Average Tariffs</v>
          </cell>
          <cell r="EE52" t="str">
            <v>PG_AVERAGE_TARIFFS</v>
          </cell>
        </row>
        <row r="53">
          <cell r="A53">
            <v>52</v>
          </cell>
          <cell r="B53" t="str">
            <v>Daily Sales Growth</v>
          </cell>
          <cell r="C53" t="str">
            <v>PG_DAILY_SALES_GROWTH</v>
          </cell>
          <cell r="V53" t="str">
            <v>Capacity (Short Tons)</v>
          </cell>
          <cell r="W53" t="str">
            <v>PG_CAPACITY_SHORT_TONS</v>
          </cell>
          <cell r="CH53" t="str">
            <v>Total Operating Embedded Value Earnings</v>
          </cell>
          <cell r="CI53" t="str">
            <v>PG_TOT_OPERATING_EV_EARNINGS</v>
          </cell>
          <cell r="DF53" t="str">
            <v>Contracted Sales Gross Floor Area (GFA)</v>
          </cell>
          <cell r="DG53" t="str">
            <v>PG_CONTRACTED_SALES_GFA</v>
          </cell>
          <cell r="DN53" t="str">
            <v>Warehouse Club Membership Base</v>
          </cell>
          <cell r="DO53" t="str">
            <v>PG_WAREHOUSE_CLUB_MEMB_BASE</v>
          </cell>
          <cell r="DZ53" t="str">
            <v>Lease Commitment</v>
          </cell>
          <cell r="EA53" t="str">
            <v>PG_LEASE_COMMITMENT</v>
          </cell>
          <cell r="ED53" t="str">
            <v>Coal Consumed</v>
          </cell>
          <cell r="EE53" t="str">
            <v>PG_COAL_CONSUMED</v>
          </cell>
        </row>
        <row r="54">
          <cell r="A54">
            <v>53</v>
          </cell>
          <cell r="B54" t="str">
            <v>Daily Sales Growth - Supplemental</v>
          </cell>
          <cell r="C54" t="str">
            <v>PG_DAILY_SALES_GROWTH_SUPP</v>
          </cell>
          <cell r="V54" t="str">
            <v>Capacity in Board Feet</v>
          </cell>
          <cell r="W54" t="str">
            <v>PG_CAPACITY_IN_BOARD_FEET</v>
          </cell>
          <cell r="CH54" t="str">
            <v>Total Non Operating Variances</v>
          </cell>
          <cell r="CI54" t="str">
            <v>PG_TOT_NON_OPERATING_VARIANCES</v>
          </cell>
          <cell r="DF54" t="str">
            <v>YTD Contracted Sales Gross Floor Area (GFA)</v>
          </cell>
          <cell r="DG54" t="str">
            <v>PG_YTD_CONTRACTED_SALES_GFA</v>
          </cell>
          <cell r="DN54" t="str">
            <v>Number of Drive-Ins</v>
          </cell>
          <cell r="DO54" t="str">
            <v>PG_NUMBER_DRIVE_INS</v>
          </cell>
          <cell r="DZ54" t="str">
            <v>Passenger Volume</v>
          </cell>
          <cell r="EA54" t="str">
            <v>PG_AIRPORT_PASSENGER_VOLUME</v>
          </cell>
          <cell r="ED54" t="str">
            <v>Average Utilization Hours</v>
          </cell>
          <cell r="EE54" t="str">
            <v>PG_AVERAGE_UTILIZATION_HOURS</v>
          </cell>
        </row>
        <row r="55">
          <cell r="A55">
            <v>54</v>
          </cell>
          <cell r="B55" t="str">
            <v xml:space="preserve">Daily Sales </v>
          </cell>
          <cell r="C55" t="str">
            <v>PG_DAILY_SALES_AMOUNT</v>
          </cell>
          <cell r="V55" t="str">
            <v>Capacity in Cubic Feet</v>
          </cell>
          <cell r="W55" t="str">
            <v>PG_CAPACITY_IN_CUBIC_FEET</v>
          </cell>
          <cell r="CH55" t="str">
            <v>Total Embedded Value Earnings</v>
          </cell>
          <cell r="CI55" t="str">
            <v>PG_TOTAL_EV_EARNINGS</v>
          </cell>
          <cell r="DF55" t="str">
            <v>Land Bank - Car Park (Unit)</v>
          </cell>
          <cell r="DG55" t="str">
            <v>PG_LANDBANK_CAR_PARK_UNIT</v>
          </cell>
          <cell r="DN55" t="str">
            <v>Same Store Prescriptions Filled Growth</v>
          </cell>
          <cell r="DO55" t="str">
            <v>PG_SS_RX_FILLED_GRWTH</v>
          </cell>
          <cell r="DZ55" t="str">
            <v>Aircraft Movement</v>
          </cell>
          <cell r="EA55" t="str">
            <v>PG_AIRPORT_AIRCRAFT_MOVEMENT</v>
          </cell>
          <cell r="ED55" t="str">
            <v>Average Coal Consumption for Power</v>
          </cell>
          <cell r="EE55" t="str">
            <v>PG_AVG_COAL_CONSUMPTION_FOR_PWR</v>
          </cell>
        </row>
        <row r="56">
          <cell r="A56">
            <v>55</v>
          </cell>
          <cell r="B56" t="str">
            <v>Cost of Revenue Growth</v>
          </cell>
          <cell r="C56" t="str">
            <v>PG_COST_OF_REVENUE_GROWTH</v>
          </cell>
          <cell r="V56" t="str">
            <v>Capacity in Square feet</v>
          </cell>
          <cell r="W56" t="str">
            <v>PG_CAPACITY_IN_SQUARE_FEET</v>
          </cell>
          <cell r="CH56" t="str">
            <v>Total Closing Adjustments</v>
          </cell>
          <cell r="CI56" t="str">
            <v>PG_TOTAL_CLOSING_ADJUSTMENTS</v>
          </cell>
          <cell r="DF56" t="str">
            <v>Land Bank - Car Park  (Square Meters)</v>
          </cell>
          <cell r="DG56" t="str">
            <v>PG_LNDBK_CAR_PARK_SQUARE_M</v>
          </cell>
          <cell r="DN56" t="str">
            <v>3rd Party Prescription Revenue as % Total Prescription Revenue</v>
          </cell>
          <cell r="DO56" t="str">
            <v>PG_3RD_PTY_RX_REV_AS_%_TOT_RX_RV</v>
          </cell>
          <cell r="DZ56" t="str">
            <v>Maximum Takeoff Weight (Tons)</v>
          </cell>
          <cell r="EA56" t="str">
            <v>PG_MTOW_TONS</v>
          </cell>
          <cell r="ED56" t="str">
            <v>Net Power Generation in KWh</v>
          </cell>
          <cell r="EE56" t="str">
            <v>PG_NET_POWER_GENERATION_IN_KWH</v>
          </cell>
        </row>
        <row r="57">
          <cell r="A57">
            <v>56</v>
          </cell>
          <cell r="B57" t="str">
            <v>Gross Margin</v>
          </cell>
          <cell r="C57" t="str">
            <v>PG_GROSS_MARGIN</v>
          </cell>
          <cell r="V57" t="str">
            <v>Capacity - Cubic Metres</v>
          </cell>
          <cell r="W57" t="str">
            <v>PG_CAPACITY_CUBIC_METERS</v>
          </cell>
          <cell r="CH57" t="str">
            <v>Total Closing Embedded Value</v>
          </cell>
          <cell r="CI57" t="str">
            <v>PG_TOTAL_CLOSING_EV</v>
          </cell>
          <cell r="DF57" t="str">
            <v>Land Bank - Car Park  (Square Foot)</v>
          </cell>
          <cell r="DG57" t="str">
            <v>PG_LANDBANK_CAR_PARK_SF</v>
          </cell>
          <cell r="DZ57" t="str">
            <v>Connecting Rate</v>
          </cell>
          <cell r="EA57" t="str">
            <v>PG_CONNECTING_RATE</v>
          </cell>
          <cell r="ED57" t="str">
            <v>Power System Load Factor</v>
          </cell>
          <cell r="EE57" t="str">
            <v>PG_POWER_SYSTEM_LOAD_FACTOR</v>
          </cell>
        </row>
        <row r="58">
          <cell r="A58">
            <v>57</v>
          </cell>
          <cell r="B58" t="str">
            <v>Operating Ratio (Operating Expense/Operating Revenue)</v>
          </cell>
          <cell r="C58" t="str">
            <v>PG_OPERATING_RATIO</v>
          </cell>
          <cell r="V58" t="str">
            <v>Capacity  (Units)</v>
          </cell>
          <cell r="W58" t="str">
            <v>PG_CAPACITY_UNITS</v>
          </cell>
          <cell r="CH58" t="str">
            <v>Fees and Other Consideration</v>
          </cell>
          <cell r="CI58" t="str">
            <v>PG_FEES_AND_OTHER_CONSIDERATION</v>
          </cell>
          <cell r="DF58" t="str">
            <v>Capitalization Rate</v>
          </cell>
          <cell r="DG58" t="str">
            <v>PG_CAPITALIZATION_RATE</v>
          </cell>
          <cell r="DZ58" t="str">
            <v>Passengers per Movement</v>
          </cell>
          <cell r="EA58" t="str">
            <v>PG_PASSENGERS_PER_MOVEMENT</v>
          </cell>
        </row>
        <row r="59">
          <cell r="A59">
            <v>58</v>
          </cell>
          <cell r="B59" t="str">
            <v>Operating Margin</v>
          </cell>
          <cell r="C59" t="str">
            <v>PG_OPERATING_MARGIN</v>
          </cell>
          <cell r="V59" t="str">
            <v>Unit Cost</v>
          </cell>
          <cell r="W59" t="str">
            <v>PG_UNIT_COST</v>
          </cell>
          <cell r="CH59" t="str">
            <v>Future Policy Benefits</v>
          </cell>
          <cell r="CI59" t="str">
            <v>PG_FUTURE_POLICY_BENEFITS</v>
          </cell>
          <cell r="DF59" t="str">
            <v>Capitalization Rate - Range (High)</v>
          </cell>
          <cell r="DG59" t="str">
            <v>PG_CAP_RATE_RANGE_HIGH</v>
          </cell>
          <cell r="DZ59" t="str">
            <v>Seats per Movement</v>
          </cell>
          <cell r="EA59" t="str">
            <v>PG_SEATS_PER_MOVEMENT</v>
          </cell>
        </row>
        <row r="60">
          <cell r="A60">
            <v>59</v>
          </cell>
          <cell r="B60" t="str">
            <v>Operating Income Growth %</v>
          </cell>
          <cell r="C60" t="str">
            <v>PG_OPERATING_INCOME_GROWTH_PCT</v>
          </cell>
          <cell r="V60" t="str">
            <v>Unit Cost Per Tonne</v>
          </cell>
          <cell r="W60" t="str">
            <v>PG_UNIT_COST_PER_TONNE</v>
          </cell>
          <cell r="CH60" t="str">
            <v>Policyholder Account Balances</v>
          </cell>
          <cell r="CI60" t="str">
            <v>PG_POLICYHOLDER_ACCOUNT_BALANCES</v>
          </cell>
          <cell r="DF60" t="str">
            <v>Capitalization Rate - Range (Low)</v>
          </cell>
          <cell r="DG60" t="str">
            <v>PG_CAPITALIZATION_RATE_RANGE_LOW</v>
          </cell>
          <cell r="DZ60" t="str">
            <v>Average MTOW</v>
          </cell>
          <cell r="EA60" t="str">
            <v>PG_AVERAGE_MAXIMUM_TAKEOFF_WT</v>
          </cell>
        </row>
        <row r="61">
          <cell r="A61">
            <v>60</v>
          </cell>
          <cell r="B61" t="str">
            <v>Profit Margin</v>
          </cell>
          <cell r="C61" t="str">
            <v>PG_PROFIT_MARGIN</v>
          </cell>
          <cell r="V61" t="str">
            <v>Unit Cost  Per Cubic Meter</v>
          </cell>
          <cell r="W61" t="str">
            <v>PG_UNIT_COST_PER_CUBIC_METER</v>
          </cell>
          <cell r="CH61" t="str">
            <v>Life Policy Benefits</v>
          </cell>
          <cell r="CI61" t="str">
            <v>PG_LIFE_POLICY_BENEFITS</v>
          </cell>
          <cell r="DF61" t="str">
            <v>Average Expiring Rent per Square Meter</v>
          </cell>
          <cell r="DG61" t="str">
            <v>PG_AVG_EXP_RENT_SQ_METER</v>
          </cell>
          <cell r="DZ61" t="str">
            <v>Seat Capacity</v>
          </cell>
          <cell r="EA61" t="str">
            <v>PG_SEAT_CAPACITY</v>
          </cell>
        </row>
        <row r="62">
          <cell r="A62">
            <v>61</v>
          </cell>
          <cell r="B62" t="str">
            <v>Pretax Margin</v>
          </cell>
          <cell r="C62" t="str">
            <v>PG_PRETAX_MARGIN</v>
          </cell>
          <cell r="V62" t="str">
            <v>Facility Downtime</v>
          </cell>
          <cell r="W62" t="str">
            <v>PG_FACILITY_DOWNTIME</v>
          </cell>
          <cell r="CH62" t="str">
            <v>Certainty Equivalent PVFP</v>
          </cell>
          <cell r="CI62" t="str">
            <v>PG_CERTAINTY_EQUIV_PVFP</v>
          </cell>
          <cell r="DF62" t="str">
            <v>Average Expiring Rent per Square Foot</v>
          </cell>
          <cell r="DG62" t="str">
            <v>PG_AVERAGE_EXPIRING_RSF</v>
          </cell>
          <cell r="DZ62" t="str">
            <v>Carloads/Unit Volumes</v>
          </cell>
          <cell r="EA62" t="str">
            <v>PG_CARLOADS_UNIT_VOLUME</v>
          </cell>
        </row>
        <row r="63">
          <cell r="A63">
            <v>62</v>
          </cell>
          <cell r="B63" t="str">
            <v xml:space="preserve">Rental Income </v>
          </cell>
          <cell r="C63" t="str">
            <v>PG_RENTAL_INCOME</v>
          </cell>
          <cell r="CH63" t="str">
            <v>Time Value of Options and Guarantees</v>
          </cell>
          <cell r="CI63" t="str">
            <v>PG_TIME_VAL_OPTS_GUARANTEES</v>
          </cell>
          <cell r="DF63" t="str">
            <v>Weighted Average Lease Expiry (Years)</v>
          </cell>
          <cell r="DG63" t="str">
            <v>PG_WAVG_LEASE_EXPIRY_YEARS</v>
          </cell>
          <cell r="DZ63" t="str">
            <v>Revenue Ton-Miles / Kms</v>
          </cell>
          <cell r="EA63" t="str">
            <v>PG_REVENUE_TON_MILES</v>
          </cell>
        </row>
        <row r="64">
          <cell r="A64">
            <v>63</v>
          </cell>
          <cell r="B64" t="str">
            <v xml:space="preserve">Current Profit </v>
          </cell>
          <cell r="C64" t="str">
            <v>PG_CURRENT_PROFIT</v>
          </cell>
          <cell r="CH64" t="str">
            <v xml:space="preserve">Cost of Capital/Non Hedgable Risk  </v>
          </cell>
          <cell r="CI64" t="str">
            <v>PG_COST_CPTL_NON_HEDG_RISK</v>
          </cell>
          <cell r="DF64" t="str">
            <v>Site Area (Square Meters)</v>
          </cell>
          <cell r="DG64" t="str">
            <v>PG_SITE_AREA_SQUARE_METERS</v>
          </cell>
          <cell r="DZ64" t="str">
            <v>Purchased Transportation</v>
          </cell>
          <cell r="EA64" t="str">
            <v>PG_PURCHASED_TRANSPORTATION</v>
          </cell>
        </row>
        <row r="65">
          <cell r="A65">
            <v>64</v>
          </cell>
          <cell r="B65" t="str">
            <v>SG&amp;A (Selling, General &amp; Administrative)</v>
          </cell>
          <cell r="C65" t="str">
            <v>PG_SG&amp;A_EXPENSES</v>
          </cell>
          <cell r="DF65" t="str">
            <v>Site Area (Square Foot)</v>
          </cell>
          <cell r="DG65" t="str">
            <v>PG_SITE_AREA_SF</v>
          </cell>
          <cell r="DZ65" t="str">
            <v>Average Daily Package Volume</v>
          </cell>
          <cell r="EA65" t="str">
            <v>PG_AVERAGE_DAILY_PACKAGE_VOLUME</v>
          </cell>
        </row>
        <row r="66">
          <cell r="A66">
            <v>65</v>
          </cell>
          <cell r="B66" t="str">
            <v>SG&amp;A to Sales (SG&amp;A Margin/Rate)</v>
          </cell>
          <cell r="C66" t="str">
            <v>PG_SG&amp;A_EXPENSES_TO_SALES</v>
          </cell>
          <cell r="DF66" t="str">
            <v>Accomodation Value</v>
          </cell>
          <cell r="DG66" t="str">
            <v>PG_ACCOMMODATION_VALUE</v>
          </cell>
          <cell r="DZ66" t="str">
            <v xml:space="preserve">Average Daily Package Volume Growth </v>
          </cell>
          <cell r="EA66" t="str">
            <v>PG_AVG_DLY_PACKAGE_VOLUME_GROWTH</v>
          </cell>
        </row>
        <row r="67">
          <cell r="A67">
            <v>66</v>
          </cell>
          <cell r="B67" t="str">
            <v>Amount Produced (Monetary Amount)</v>
          </cell>
          <cell r="C67" t="str">
            <v>PG_AMOUNT_PRODUCED</v>
          </cell>
          <cell r="DF67" t="str">
            <v>Property Funding YTD</v>
          </cell>
          <cell r="DG67" t="str">
            <v>PG_PROPERTY_FUNDING_YTD</v>
          </cell>
          <cell r="DZ67" t="str">
            <v>Revenue Per Package (Yield)</v>
          </cell>
          <cell r="EA67" t="str">
            <v>PG_REVENUE_PER_PACKAGE_YIELD</v>
          </cell>
        </row>
        <row r="68">
          <cell r="A68">
            <v>67</v>
          </cell>
          <cell r="B68" t="str">
            <v>Return on Assets (ROA)</v>
          </cell>
          <cell r="C68" t="str">
            <v>PG_RETURN_ON_ASSETS</v>
          </cell>
          <cell r="DF68" t="str">
            <v>EBITDAR</v>
          </cell>
          <cell r="DG68" t="str">
            <v>PG_EBITDAR</v>
          </cell>
          <cell r="DZ68" t="str">
            <v xml:space="preserve">Revenue Per Package (Yield) Growth % </v>
          </cell>
          <cell r="EA68" t="str">
            <v>PG_REV_PER_PACKAGE_YLD_GROWTH_%</v>
          </cell>
        </row>
        <row r="69">
          <cell r="A69">
            <v>68</v>
          </cell>
          <cell r="B69" t="str">
            <v>Return on Equity (ROE)</v>
          </cell>
          <cell r="C69" t="str">
            <v>PG_RETURN_ON_EQUITY</v>
          </cell>
          <cell r="DF69" t="str">
            <v>EBITDAR Cash Flow Coverage Per Unit</v>
          </cell>
          <cell r="DG69" t="str">
            <v>PG_EBITDAR_CF_CVRG_PER_UNIT</v>
          </cell>
          <cell r="DZ69" t="str">
            <v xml:space="preserve">Revenue Per Package (Yield) Growth Excluding Fuel Surcharge </v>
          </cell>
          <cell r="EA69" t="str">
            <v>PG_RV_PCKG_GR_EX_FUEL_SURCHRG</v>
          </cell>
        </row>
        <row r="70">
          <cell r="A70">
            <v>69</v>
          </cell>
          <cell r="DF70" t="str">
            <v>EBITDARM Cash Flow Coverage</v>
          </cell>
          <cell r="DG70" t="str">
            <v>PG_EBITDARM_CF_COVERAGE</v>
          </cell>
          <cell r="DZ70" t="str">
            <v xml:space="preserve">Average Daily Freight Pounds </v>
          </cell>
          <cell r="EA70" t="str">
            <v>PG_AVG_DLY_FREIGHT_POUNDS</v>
          </cell>
        </row>
        <row r="71">
          <cell r="A71">
            <v>70</v>
          </cell>
          <cell r="DF71" t="str">
            <v>Same Store Revenue Growth</v>
          </cell>
          <cell r="DG71" t="str">
            <v>PG_SS_REVENUE_GROWTH</v>
          </cell>
          <cell r="DZ71" t="str">
            <v>Revenue per Freight Pound (Yield)</v>
          </cell>
          <cell r="EA71" t="str">
            <v>PG_REV_PER_FREIGHT_POUND_YLD</v>
          </cell>
        </row>
        <row r="72">
          <cell r="A72">
            <v>71</v>
          </cell>
          <cell r="DF72" t="str">
            <v>Same Store Expense Growth</v>
          </cell>
          <cell r="DG72" t="str">
            <v>PG_SS_EXPENSE_GROWTH</v>
          </cell>
          <cell r="DZ72" t="str">
            <v>Revenue per Freight Pound (Yield) Growth %</v>
          </cell>
          <cell r="EA72" t="str">
            <v>PG_REV_PER_FRE_POUND_YLD_GRWTH_%</v>
          </cell>
        </row>
        <row r="73">
          <cell r="A73">
            <v>72</v>
          </cell>
          <cell r="DZ73" t="str">
            <v>Chargeouts</v>
          </cell>
          <cell r="EA73" t="str">
            <v>PG_CHARGEOUTS</v>
          </cell>
        </row>
        <row r="74">
          <cell r="A74">
            <v>73</v>
          </cell>
          <cell r="DZ74" t="str">
            <v>Retail Unit Sales - Truck</v>
          </cell>
          <cell r="EA74" t="str">
            <v>PG_RETAIL_UNIT_SALES_TRUCK</v>
          </cell>
        </row>
        <row r="75">
          <cell r="A75">
            <v>74</v>
          </cell>
          <cell r="DZ75" t="str">
            <v>Trucking Loads</v>
          </cell>
          <cell r="EA75" t="str">
            <v>PG_TRUCKING_LOADS</v>
          </cell>
        </row>
        <row r="76">
          <cell r="A76">
            <v>75</v>
          </cell>
          <cell r="DZ76" t="str">
            <v>Revenue Per Load</v>
          </cell>
          <cell r="EA76" t="str">
            <v>PG_REVENUE_PER_LOAD</v>
          </cell>
        </row>
        <row r="77">
          <cell r="A77">
            <v>76</v>
          </cell>
          <cell r="DZ77" t="str">
            <v>Average Length of Haul</v>
          </cell>
          <cell r="EA77" t="str">
            <v>PG_AVERAGE_LENGTH_OF_HAUL</v>
          </cell>
        </row>
        <row r="78">
          <cell r="A78">
            <v>77</v>
          </cell>
          <cell r="DZ78" t="str">
            <v>Revenue Per Truck Per Week</v>
          </cell>
          <cell r="EA78" t="str">
            <v>PG_REVENUE_PER_TRUCK_PER_WEEK</v>
          </cell>
        </row>
        <row r="79">
          <cell r="A79">
            <v>78</v>
          </cell>
          <cell r="DZ79" t="str">
            <v>Total Loaded Miles</v>
          </cell>
          <cell r="EA79" t="str">
            <v>PG_TOTAL_LOADED_MILES</v>
          </cell>
        </row>
        <row r="80">
          <cell r="A80">
            <v>79</v>
          </cell>
          <cell r="DZ80" t="str">
            <v>Total Tractors</v>
          </cell>
          <cell r="EA80" t="str">
            <v>PG_TOTAL_TRACTORS</v>
          </cell>
        </row>
        <row r="81">
          <cell r="A81">
            <v>80</v>
          </cell>
          <cell r="DZ81" t="str">
            <v>Tractors Owned</v>
          </cell>
          <cell r="EA81" t="str">
            <v>PG_TRACTORS_OWNED</v>
          </cell>
        </row>
        <row r="82">
          <cell r="A82">
            <v>81</v>
          </cell>
          <cell r="DZ82" t="str">
            <v>Tractors-Owner Operator</v>
          </cell>
          <cell r="EA82" t="str">
            <v>PG_TRACTORS_OWNER_OPERATOR</v>
          </cell>
        </row>
        <row r="83">
          <cell r="A83">
            <v>82</v>
          </cell>
          <cell r="DZ83" t="str">
            <v>Average Number of Tractors</v>
          </cell>
          <cell r="EA83" t="str">
            <v>PG_AVERAGE_NUMBER_OF_TRACTORS</v>
          </cell>
        </row>
        <row r="84">
          <cell r="A84">
            <v>83</v>
          </cell>
          <cell r="DZ84" t="str">
            <v>Total Trailers</v>
          </cell>
          <cell r="EA84" t="str">
            <v>PG_TOTAL_TRAILERS</v>
          </cell>
        </row>
        <row r="85">
          <cell r="A85">
            <v>84</v>
          </cell>
          <cell r="DZ85" t="str">
            <v>Average Number of Trailers</v>
          </cell>
          <cell r="EA85" t="str">
            <v>PG_AVERAGE_NUMBER_OF_TRAILERS</v>
          </cell>
        </row>
        <row r="86">
          <cell r="A86">
            <v>85</v>
          </cell>
          <cell r="DZ86" t="str">
            <v>Total Tons</v>
          </cell>
          <cell r="EA86" t="str">
            <v>PG_TOTAL_TONS</v>
          </cell>
        </row>
        <row r="87">
          <cell r="A87">
            <v>86</v>
          </cell>
          <cell r="DZ87" t="str">
            <v>Total Shipments</v>
          </cell>
          <cell r="EA87" t="str">
            <v>PG_TOTAL_SHIPMENTS</v>
          </cell>
        </row>
        <row r="88">
          <cell r="A88">
            <v>87</v>
          </cell>
          <cell r="DZ88" t="str">
            <v>Average Shipments Per Workday</v>
          </cell>
          <cell r="EA88" t="str">
            <v>PG_AVERAGE_SHIPMENTS_PER_WORKDAY</v>
          </cell>
        </row>
        <row r="89">
          <cell r="A89">
            <v>88</v>
          </cell>
          <cell r="DZ89" t="str">
            <v>Revenue Per Shipment</v>
          </cell>
          <cell r="EA89" t="str">
            <v>PG_REVENUE_PER_SHIPMENT</v>
          </cell>
        </row>
        <row r="90">
          <cell r="A90">
            <v>89</v>
          </cell>
          <cell r="DZ90" t="str">
            <v>Weight Per Shipment</v>
          </cell>
          <cell r="EA90" t="str">
            <v>PG_WEIGHT_PER_SHIPMENT</v>
          </cell>
        </row>
        <row r="91">
          <cell r="A91">
            <v>90</v>
          </cell>
          <cell r="DZ91" t="str">
            <v>Revenue Per Hundredweight</v>
          </cell>
          <cell r="EA91" t="str">
            <v>PG_REVENUE_PER_HUNDREDWEIGHT</v>
          </cell>
        </row>
        <row r="92">
          <cell r="A92">
            <v>91</v>
          </cell>
          <cell r="DZ92" t="str">
            <v>Total Miles</v>
          </cell>
          <cell r="EA92" t="str">
            <v>PG_TOTAL_MILES</v>
          </cell>
        </row>
        <row r="93">
          <cell r="A93">
            <v>92</v>
          </cell>
          <cell r="DZ93" t="str">
            <v>Average Age of Locomotives</v>
          </cell>
          <cell r="EA93" t="str">
            <v>PG_AVERAGE_AGE_OF_LOCOMOTIVES</v>
          </cell>
        </row>
        <row r="94">
          <cell r="A94">
            <v>93</v>
          </cell>
          <cell r="DZ94" t="str">
            <v>Average Age of Freight Cars</v>
          </cell>
          <cell r="EA94" t="str">
            <v>PG_AVERAGE_AGE_OF_FREIGHT_CARS</v>
          </cell>
        </row>
        <row r="95">
          <cell r="A95">
            <v>94</v>
          </cell>
          <cell r="DZ95" t="str">
            <v>Adjusted Operating Ratio</v>
          </cell>
          <cell r="EA95" t="str">
            <v>PG_ADJUSTED_OPERATING_RATIO</v>
          </cell>
        </row>
        <row r="96">
          <cell r="A96">
            <v>95</v>
          </cell>
          <cell r="DZ96" t="str">
            <v>Operating Ratio Excluding Fuel Surcharges</v>
          </cell>
          <cell r="EA96" t="str">
            <v>PG_OPER_RATIO_EX_FUEL_SURCHRG</v>
          </cell>
        </row>
        <row r="97">
          <cell r="A97">
            <v>96</v>
          </cell>
          <cell r="DZ97" t="str">
            <v>Number of Terminals</v>
          </cell>
          <cell r="EA97" t="str">
            <v>PG_NUMBER_OF_TERMINALS</v>
          </cell>
        </row>
        <row r="98">
          <cell r="A98">
            <v>97</v>
          </cell>
          <cell r="DZ98" t="str">
            <v>Weight Per Workday</v>
          </cell>
          <cell r="EA98" t="str">
            <v>PG_WEIGHT_PER_WORKDAY</v>
          </cell>
        </row>
        <row r="99">
          <cell r="A99">
            <v>98</v>
          </cell>
          <cell r="DZ99" t="str">
            <v>Average Pounds per Package</v>
          </cell>
          <cell r="EA99" t="str">
            <v>PG_AVERAGE_LBS_PER_PACKAGE</v>
          </cell>
        </row>
        <row r="100">
          <cell r="A100">
            <v>99</v>
          </cell>
          <cell r="DZ100" t="str">
            <v>Average Revenue per Package per Pound</v>
          </cell>
          <cell r="EA100" t="str">
            <v>PG_AVG_REV_PER_PCKG_PER_POUND</v>
          </cell>
        </row>
        <row r="101">
          <cell r="A101">
            <v>100</v>
          </cell>
          <cell r="DZ101" t="str">
            <v>Number of Workdays</v>
          </cell>
          <cell r="EA101" t="str">
            <v>PG_NUMBER_WORKDAYS</v>
          </cell>
        </row>
        <row r="102">
          <cell r="A102">
            <v>101</v>
          </cell>
          <cell r="DZ102" t="str">
            <v>General Rate Increase</v>
          </cell>
          <cell r="EA102" t="str">
            <v>PG_GENERAL_RATE_INCREASE</v>
          </cell>
        </row>
        <row r="103">
          <cell r="A103">
            <v>102</v>
          </cell>
          <cell r="DZ103" t="str">
            <v>Average Fuel Surcharge %</v>
          </cell>
          <cell r="EA103" t="str">
            <v>PG_AVERAGE_FUEL_SURCHARGE_%</v>
          </cell>
        </row>
        <row r="104">
          <cell r="A104">
            <v>103</v>
          </cell>
          <cell r="DZ104" t="str">
            <v>Facilities</v>
          </cell>
          <cell r="EA104" t="str">
            <v>PG_FACILITIES</v>
          </cell>
        </row>
        <row r="105">
          <cell r="A105">
            <v>104</v>
          </cell>
          <cell r="DZ105" t="str">
            <v>Total Package Volume</v>
          </cell>
          <cell r="EA105" t="str">
            <v>PG_TOTAL_PACKAGE_VOLUME</v>
          </cell>
        </row>
        <row r="106">
          <cell r="A106">
            <v>105</v>
          </cell>
          <cell r="DZ106" t="str">
            <v>Total Package Volume Growth %</v>
          </cell>
          <cell r="EA106" t="str">
            <v>PG_TOTAL_PACKAGE_VOLUME_GROWTH_%</v>
          </cell>
        </row>
        <row r="107">
          <cell r="A107">
            <v>106</v>
          </cell>
          <cell r="DZ107" t="str">
            <v>Average Daily Freight Pounds Growth%</v>
          </cell>
          <cell r="EA107" t="str">
            <v>PG_AVG_DLY_FRE_POUNDS_GRWTH_%</v>
          </cell>
        </row>
        <row r="108">
          <cell r="A108">
            <v>107</v>
          </cell>
          <cell r="DZ108" t="str">
            <v>Total Freight Pounds</v>
          </cell>
          <cell r="EA108" t="str">
            <v>PG_TOTAL_FREIGHT_POUNDS</v>
          </cell>
        </row>
        <row r="109">
          <cell r="A109">
            <v>108</v>
          </cell>
          <cell r="DZ109" t="str">
            <v>Seasonal Hiring</v>
          </cell>
          <cell r="EA109" t="str">
            <v>PG_SEASONAL_HIRING</v>
          </cell>
        </row>
        <row r="110">
          <cell r="A110">
            <v>109</v>
          </cell>
          <cell r="DZ110" t="str">
            <v>Warehousing Scale</v>
          </cell>
          <cell r="EA110" t="str">
            <v>PG_WAREHOUSING_SCALE</v>
          </cell>
        </row>
        <row r="111">
          <cell r="A111">
            <v>110</v>
          </cell>
          <cell r="DZ111" t="str">
            <v>Bulk Cargo Handled (Tonnes)</v>
          </cell>
          <cell r="EA111" t="str">
            <v>PG_BULK_CARGO_HANDLED_TONNES</v>
          </cell>
        </row>
        <row r="112">
          <cell r="A112">
            <v>111</v>
          </cell>
          <cell r="DZ112" t="str">
            <v>Container Cargo Handled (TEU)</v>
          </cell>
          <cell r="EA112" t="str">
            <v>PG_CONTAINER_CARGO_HANDLED_TEU</v>
          </cell>
        </row>
        <row r="113">
          <cell r="A113">
            <v>112</v>
          </cell>
          <cell r="DZ113" t="str">
            <v>Freight Volume Handled Yoy % Change</v>
          </cell>
          <cell r="EA113" t="str">
            <v>PG_FREIGHT_VOLUME_HANDLED_YOY%</v>
          </cell>
        </row>
        <row r="114">
          <cell r="A114">
            <v>113</v>
          </cell>
          <cell r="DZ114" t="str">
            <v>Freight Yield Yoy % Change</v>
          </cell>
          <cell r="EA114" t="str">
            <v>PG_FREIGHT_YIELD_YOY%</v>
          </cell>
        </row>
        <row r="115">
          <cell r="A115">
            <v>114</v>
          </cell>
          <cell r="DZ115" t="str">
            <v>Revenue Excluding Purchased Transportation Costs</v>
          </cell>
          <cell r="EA115" t="str">
            <v>PG_REV_EX_PURCH_TRANSPORT_COSTS</v>
          </cell>
        </row>
        <row r="116">
          <cell r="A116">
            <v>115</v>
          </cell>
          <cell r="DZ116" t="str">
            <v>Length of Rail (Kilometer)</v>
          </cell>
          <cell r="EA116" t="str">
            <v>PG_LENGTH_OF_RAIL_KILOMETER</v>
          </cell>
        </row>
        <row r="117">
          <cell r="A117">
            <v>116</v>
          </cell>
          <cell r="DZ117" t="str">
            <v>Commuter Percentage</v>
          </cell>
          <cell r="EA117" t="str">
            <v>PG_COMMUTER_EXPENSE</v>
          </cell>
        </row>
        <row r="118">
          <cell r="A118">
            <v>117</v>
          </cell>
          <cell r="DZ118" t="str">
            <v>Revnue Percentage from Commuter</v>
          </cell>
          <cell r="EA118" t="str">
            <v>PG_REVENUE_PERCENTAGE_COMMUTER</v>
          </cell>
        </row>
        <row r="119">
          <cell r="A119">
            <v>118</v>
          </cell>
          <cell r="DZ119" t="str">
            <v>Freight Transport Volume  (Tons)</v>
          </cell>
          <cell r="EA119" t="str">
            <v>PG_FREIGHT_TRANSP_VOLUME_TONS</v>
          </cell>
        </row>
        <row r="120">
          <cell r="A120">
            <v>119</v>
          </cell>
          <cell r="DZ120" t="str">
            <v>Traffic Volume</v>
          </cell>
          <cell r="EA120" t="str">
            <v>PG_TRAFFIC_VOLUME</v>
          </cell>
        </row>
        <row r="121">
          <cell r="A121">
            <v>120</v>
          </cell>
          <cell r="DZ121" t="str">
            <v>Cargo Throughput</v>
          </cell>
          <cell r="EA121" t="str">
            <v>PG_CARGO_THROUGHPUT_BY_SEG</v>
          </cell>
        </row>
        <row r="122">
          <cell r="A122">
            <v>121</v>
          </cell>
          <cell r="DZ122" t="str">
            <v>Container Throughput</v>
          </cell>
          <cell r="EA122" t="str">
            <v>PG_CONTAINER_THRUPUT_BY_PORT</v>
          </cell>
        </row>
        <row r="123">
          <cell r="A123">
            <v>122</v>
          </cell>
          <cell r="DZ123" t="str">
            <v xml:space="preserve">Freight Throughput </v>
          </cell>
          <cell r="EA123" t="str">
            <v>PG_FREIGHT_THROUGHPUT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</sheetData>
      <sheetData sheetId="22">
        <row r="1">
          <cell r="A1" t="str">
            <v>Index Row</v>
          </cell>
          <cell r="B1" t="str">
            <v>Industrial- RA</v>
          </cell>
          <cell r="F1" t="str">
            <v>Utility- RA</v>
          </cell>
          <cell r="J1" t="str">
            <v>Bank- RA</v>
          </cell>
          <cell r="N1" t="str">
            <v>REIT- RA</v>
          </cell>
          <cell r="R1" t="str">
            <v>Insurance- RA</v>
          </cell>
          <cell r="V1" t="str">
            <v>Financial- RA</v>
          </cell>
        </row>
      </sheetData>
      <sheetData sheetId="23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(XFA)"/>
      <sheetName val="Help (XFA)"/>
      <sheetName val="Utility (XHFU)"/>
      <sheetName val="Help (XHFU)"/>
      <sheetName val="Energy (XHFG)"/>
      <sheetName val="Help (XHFG)"/>
      <sheetName val="REIT (XHFR)"/>
      <sheetName val="Help (XHFR)"/>
      <sheetName val="Bank (XHFB)"/>
      <sheetName val="Help (XHFB)"/>
      <sheetName val="Mining (XHFM)"/>
      <sheetName val=" Help (XHFM)"/>
      <sheetName val="Financial (XHFF)"/>
      <sheetName val="Help (XHFF)"/>
      <sheetName val="Industrial (XHFN)"/>
      <sheetName val="Help (XHFN)"/>
      <sheetName val="Calc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">
          <cell r="B1" t="str">
            <v>GOOG US Equity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53011-89C0-4441-9AB5-335CB1E2338B}">
  <sheetPr codeName="Welcome"/>
  <dimension ref="B1:Z6"/>
  <sheetViews>
    <sheetView showGridLines="0" showRowColHeaders="0" tabSelected="1" zoomScale="70" zoomScaleNormal="70" workbookViewId="0">
      <selection activeCell="E1" sqref="E1"/>
    </sheetView>
  </sheetViews>
  <sheetFormatPr defaultColWidth="11.42578125" defaultRowHeight="15" x14ac:dyDescent="0.25"/>
  <cols>
    <col min="1" max="1" width="2.7109375" customWidth="1"/>
    <col min="2" max="3" width="15.7109375" style="89" customWidth="1"/>
    <col min="4" max="4" width="2.7109375" customWidth="1"/>
  </cols>
  <sheetData>
    <row r="1" spans="2:26" x14ac:dyDescent="0.25">
      <c r="B1" s="222" t="s">
        <v>157</v>
      </c>
      <c r="C1" s="223"/>
    </row>
    <row r="2" spans="2:26" x14ac:dyDescent="0.25">
      <c r="B2" s="223"/>
      <c r="C2" s="223"/>
      <c r="E2" s="224" t="s">
        <v>158</v>
      </c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225"/>
      <c r="W2" s="225"/>
      <c r="X2" s="225"/>
      <c r="Y2" s="225"/>
      <c r="Z2" s="226"/>
    </row>
    <row r="3" spans="2:26" x14ac:dyDescent="0.25">
      <c r="B3" s="223"/>
      <c r="C3" s="223"/>
      <c r="E3" s="227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8"/>
      <c r="U3" s="228"/>
      <c r="V3" s="228"/>
      <c r="W3" s="228"/>
      <c r="X3" s="228"/>
      <c r="Y3" s="228"/>
      <c r="Z3" s="229"/>
    </row>
    <row r="4" spans="2:26" x14ac:dyDescent="0.25">
      <c r="B4" s="223"/>
      <c r="C4" s="223"/>
      <c r="E4" s="227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9"/>
    </row>
    <row r="5" spans="2:26" x14ac:dyDescent="0.25">
      <c r="B5" s="223"/>
      <c r="C5" s="223"/>
      <c r="E5" s="227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  <c r="U5" s="228"/>
      <c r="V5" s="228"/>
      <c r="W5" s="228"/>
      <c r="X5" s="228"/>
      <c r="Y5" s="228"/>
      <c r="Z5" s="229"/>
    </row>
    <row r="6" spans="2:26" x14ac:dyDescent="0.25">
      <c r="B6" s="223"/>
      <c r="C6" s="223"/>
      <c r="E6" s="230"/>
      <c r="F6" s="231"/>
      <c r="G6" s="231"/>
      <c r="H6" s="231"/>
      <c r="I6" s="231"/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31"/>
      <c r="X6" s="231"/>
      <c r="Y6" s="231"/>
      <c r="Z6" s="232"/>
    </row>
  </sheetData>
  <mergeCells count="2">
    <mergeCell ref="B1:C6"/>
    <mergeCell ref="E2:Z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Sheet">
    <tabColor theme="7" tint="0.39997558519241921"/>
  </sheetPr>
  <dimension ref="A1:AX100"/>
  <sheetViews>
    <sheetView showGridLines="0" zoomScale="70" zoomScaleNormal="70" workbookViewId="0">
      <selection activeCell="F48" sqref="F48:H48"/>
    </sheetView>
  </sheetViews>
  <sheetFormatPr defaultColWidth="11.42578125" defaultRowHeight="15" x14ac:dyDescent="0.25"/>
  <cols>
    <col min="1" max="1" width="2.7109375" style="47" customWidth="1"/>
    <col min="2" max="3" width="15.7109375" style="90" customWidth="1"/>
    <col min="4" max="4" width="2.7109375" style="47" customWidth="1"/>
    <col min="5" max="5" width="32.85546875" style="47" bestFit="1" customWidth="1"/>
    <col min="6" max="6" width="33.140625" style="47" bestFit="1" customWidth="1"/>
    <col min="7" max="7" width="15.5703125" style="47" bestFit="1" customWidth="1"/>
    <col min="8" max="8" width="22.5703125" style="47" bestFit="1" customWidth="1"/>
    <col min="9" max="9" width="22.140625" style="47" bestFit="1" customWidth="1"/>
    <col min="10" max="10" width="13.7109375" style="47" bestFit="1" customWidth="1"/>
    <col min="11" max="11" width="23.5703125" style="47" bestFit="1" customWidth="1"/>
    <col min="12" max="12" width="28.85546875" style="47" bestFit="1" customWidth="1"/>
    <col min="13" max="16384" width="11.42578125" style="47"/>
  </cols>
  <sheetData>
    <row r="1" spans="2:12" customFormat="1" x14ac:dyDescent="0.25">
      <c r="B1" s="89"/>
      <c r="C1" s="89"/>
    </row>
    <row r="2" spans="2:12" customFormat="1" ht="15.75" thickBot="1" x14ac:dyDescent="0.3">
      <c r="B2" s="222" t="s">
        <v>159</v>
      </c>
      <c r="C2" s="223"/>
      <c r="E2" s="13" t="s">
        <v>118</v>
      </c>
    </row>
    <row r="3" spans="2:12" customFormat="1" ht="15.75" thickBot="1" x14ac:dyDescent="0.3">
      <c r="B3" s="223"/>
      <c r="C3" s="223"/>
      <c r="E3" s="110" t="s">
        <v>0</v>
      </c>
      <c r="F3" s="111" t="s">
        <v>1</v>
      </c>
      <c r="G3" s="111" t="s">
        <v>2</v>
      </c>
      <c r="H3" s="111" t="s">
        <v>3</v>
      </c>
      <c r="I3" s="125" t="s">
        <v>4</v>
      </c>
      <c r="J3" s="125" t="s">
        <v>5</v>
      </c>
      <c r="K3" s="125" t="s">
        <v>6</v>
      </c>
      <c r="L3" s="126" t="s">
        <v>7</v>
      </c>
    </row>
    <row r="4" spans="2:12" customFormat="1" x14ac:dyDescent="0.25">
      <c r="B4" s="223"/>
      <c r="C4" s="223"/>
      <c r="E4" s="199"/>
      <c r="F4" s="81"/>
      <c r="G4" s="81"/>
      <c r="H4" s="112"/>
      <c r="I4" s="74"/>
      <c r="J4" s="162"/>
      <c r="K4" s="81"/>
      <c r="L4" s="204"/>
    </row>
    <row r="5" spans="2:12" customFormat="1" x14ac:dyDescent="0.25">
      <c r="B5" s="223"/>
      <c r="C5" s="223"/>
      <c r="E5" s="200"/>
      <c r="F5" s="82"/>
      <c r="G5" s="82"/>
      <c r="H5" s="113"/>
      <c r="I5" s="74"/>
      <c r="J5" s="162"/>
      <c r="K5" s="82"/>
      <c r="L5" s="205"/>
    </row>
    <row r="6" spans="2:12" customFormat="1" x14ac:dyDescent="0.25">
      <c r="B6" s="223"/>
      <c r="C6" s="223"/>
      <c r="E6" s="199"/>
      <c r="F6" s="81"/>
      <c r="G6" s="81"/>
      <c r="H6" s="112"/>
      <c r="I6" s="74"/>
      <c r="J6" s="162"/>
      <c r="K6" s="81"/>
      <c r="L6" s="204"/>
    </row>
    <row r="7" spans="2:12" customFormat="1" x14ac:dyDescent="0.25">
      <c r="B7" s="223"/>
      <c r="C7" s="223"/>
      <c r="E7" s="200"/>
      <c r="F7" s="82"/>
      <c r="G7" s="82"/>
      <c r="H7" s="113"/>
      <c r="I7" s="74"/>
      <c r="J7" s="162"/>
      <c r="K7" s="82"/>
      <c r="L7" s="205"/>
    </row>
    <row r="8" spans="2:12" customFormat="1" x14ac:dyDescent="0.25">
      <c r="B8" s="89"/>
      <c r="C8" s="89"/>
      <c r="E8" s="199"/>
      <c r="F8" s="81"/>
      <c r="G8" s="81"/>
      <c r="H8" s="112"/>
      <c r="I8" s="74"/>
      <c r="J8" s="162"/>
      <c r="K8" s="81"/>
      <c r="L8" s="204"/>
    </row>
    <row r="9" spans="2:12" customFormat="1" x14ac:dyDescent="0.25">
      <c r="B9" s="89"/>
      <c r="C9" s="89"/>
      <c r="E9" s="200"/>
      <c r="F9" s="82"/>
      <c r="G9" s="82"/>
      <c r="H9" s="113"/>
      <c r="I9" s="74"/>
      <c r="J9" s="162"/>
      <c r="K9" s="82"/>
      <c r="L9" s="205"/>
    </row>
    <row r="10" spans="2:12" customFormat="1" x14ac:dyDescent="0.25">
      <c r="B10" s="89"/>
      <c r="C10" s="89"/>
      <c r="E10" s="199"/>
      <c r="F10" s="81"/>
      <c r="G10" s="81"/>
      <c r="H10" s="112"/>
      <c r="I10" s="74"/>
      <c r="J10" s="162"/>
      <c r="K10" s="81"/>
      <c r="L10" s="204"/>
    </row>
    <row r="11" spans="2:12" customFormat="1" x14ac:dyDescent="0.25">
      <c r="B11" s="89"/>
      <c r="C11" s="89"/>
      <c r="E11" s="200"/>
      <c r="F11" s="82"/>
      <c r="G11" s="82"/>
      <c r="H11" s="113"/>
      <c r="I11" s="74"/>
      <c r="J11" s="162"/>
      <c r="K11" s="82"/>
      <c r="L11" s="205"/>
    </row>
    <row r="12" spans="2:12" customFormat="1" x14ac:dyDescent="0.25">
      <c r="B12" s="89"/>
      <c r="C12" s="89"/>
      <c r="E12" s="199"/>
      <c r="F12" s="81"/>
      <c r="G12" s="81"/>
      <c r="H12" s="112"/>
      <c r="I12" s="74"/>
      <c r="J12" s="162"/>
      <c r="K12" s="81"/>
      <c r="L12" s="204"/>
    </row>
    <row r="13" spans="2:12" customFormat="1" x14ac:dyDescent="0.25">
      <c r="B13" s="89"/>
      <c r="C13" s="89"/>
      <c r="E13" s="200"/>
      <c r="F13" s="82"/>
      <c r="G13" s="82"/>
      <c r="H13" s="113"/>
      <c r="I13" s="74"/>
      <c r="J13" s="162"/>
      <c r="K13" s="82"/>
      <c r="L13" s="205"/>
    </row>
    <row r="14" spans="2:12" customFormat="1" x14ac:dyDescent="0.25">
      <c r="B14" s="89"/>
      <c r="C14" s="89"/>
      <c r="E14" s="199"/>
      <c r="F14" s="81"/>
      <c r="G14" s="81"/>
      <c r="H14" s="112"/>
      <c r="I14" s="74"/>
      <c r="J14" s="162"/>
      <c r="K14" s="81"/>
      <c r="L14" s="204"/>
    </row>
    <row r="15" spans="2:12" customFormat="1" x14ac:dyDescent="0.25">
      <c r="B15" s="89"/>
      <c r="C15" s="89"/>
      <c r="E15" s="201"/>
      <c r="F15" s="47"/>
      <c r="G15" s="85"/>
      <c r="H15" s="85"/>
      <c r="I15" s="74"/>
      <c r="J15" s="162"/>
      <c r="K15" s="85"/>
      <c r="L15" s="206"/>
    </row>
    <row r="16" spans="2:12" customFormat="1" ht="15.75" thickBot="1" x14ac:dyDescent="0.3">
      <c r="B16" s="89"/>
      <c r="C16" s="89"/>
      <c r="E16" s="202"/>
      <c r="F16" s="163"/>
      <c r="G16" s="164"/>
      <c r="H16" s="164"/>
      <c r="I16" s="165"/>
      <c r="J16" s="203"/>
      <c r="K16" s="164"/>
      <c r="L16" s="207"/>
    </row>
    <row r="17" spans="1:50" customFormat="1" ht="15.75" thickBot="1" x14ac:dyDescent="0.3">
      <c r="B17" s="89"/>
      <c r="C17" s="89"/>
    </row>
    <row r="18" spans="1:50" customFormat="1" ht="15.75" thickBot="1" x14ac:dyDescent="0.3">
      <c r="B18" s="89"/>
      <c r="C18" s="89"/>
      <c r="K18" s="83"/>
      <c r="L18" s="26"/>
    </row>
    <row r="19" spans="1:50" customFormat="1" x14ac:dyDescent="0.25">
      <c r="B19" s="89"/>
      <c r="C19" s="89"/>
    </row>
    <row r="20" spans="1:50" customFormat="1" ht="15.75" thickBot="1" x14ac:dyDescent="0.3">
      <c r="B20" s="89"/>
      <c r="C20" s="89"/>
      <c r="E20" s="13" t="s">
        <v>119</v>
      </c>
    </row>
    <row r="21" spans="1:50" customFormat="1" ht="15.75" thickBot="1" x14ac:dyDescent="0.3">
      <c r="B21" s="89"/>
      <c r="C21" s="89"/>
      <c r="E21" s="72" t="s">
        <v>109</v>
      </c>
      <c r="F21" s="73" t="s">
        <v>110</v>
      </c>
      <c r="G21" s="119" t="s">
        <v>68</v>
      </c>
      <c r="H21" s="119" t="s">
        <v>54</v>
      </c>
      <c r="I21" s="120" t="s">
        <v>4</v>
      </c>
      <c r="J21" s="73" t="s">
        <v>5</v>
      </c>
      <c r="K21" s="53" t="s">
        <v>74</v>
      </c>
      <c r="L21" s="54" t="s">
        <v>70</v>
      </c>
    </row>
    <row r="22" spans="1:50" customFormat="1" x14ac:dyDescent="0.25">
      <c r="B22" s="89"/>
      <c r="C22" s="89"/>
      <c r="E22" s="167"/>
      <c r="F22" s="47"/>
      <c r="G22" s="85"/>
      <c r="H22" s="85"/>
      <c r="I22" s="74"/>
      <c r="J22" s="47"/>
      <c r="K22" s="48"/>
      <c r="L22" s="209"/>
    </row>
    <row r="23" spans="1:50" customFormat="1" x14ac:dyDescent="0.25">
      <c r="B23" s="89"/>
      <c r="C23" s="89"/>
      <c r="E23" s="167"/>
      <c r="F23" s="47"/>
      <c r="G23" s="85"/>
      <c r="H23" s="85"/>
      <c r="I23" s="74"/>
      <c r="J23" s="47"/>
      <c r="K23" s="48"/>
      <c r="L23" s="209"/>
    </row>
    <row r="24" spans="1:50" customFormat="1" x14ac:dyDescent="0.25">
      <c r="B24" s="89"/>
      <c r="C24" s="89"/>
      <c r="E24" s="167"/>
      <c r="F24" s="47"/>
      <c r="G24" s="85"/>
      <c r="H24" s="85"/>
      <c r="I24" s="74"/>
      <c r="J24" s="47"/>
      <c r="K24" s="48"/>
      <c r="L24" s="209"/>
    </row>
    <row r="25" spans="1:50" customFormat="1" x14ac:dyDescent="0.25">
      <c r="B25" s="89"/>
      <c r="C25" s="89"/>
      <c r="E25" s="167"/>
      <c r="F25" s="47"/>
      <c r="G25" s="85"/>
      <c r="H25" s="85"/>
      <c r="I25" s="74"/>
      <c r="J25" s="47"/>
      <c r="K25" s="48"/>
      <c r="L25" s="209"/>
    </row>
    <row r="26" spans="1:50" customFormat="1" x14ac:dyDescent="0.25">
      <c r="B26" s="89"/>
      <c r="C26" s="89"/>
      <c r="E26" s="167"/>
      <c r="F26" s="47"/>
      <c r="G26" s="85"/>
      <c r="H26" s="85"/>
      <c r="I26" s="74"/>
      <c r="J26" s="47"/>
      <c r="K26" s="48"/>
      <c r="L26" s="209"/>
    </row>
    <row r="27" spans="1:50" customFormat="1" x14ac:dyDescent="0.25">
      <c r="B27" s="89"/>
      <c r="C27" s="89"/>
      <c r="E27" s="167"/>
      <c r="F27" s="47"/>
      <c r="G27" s="85"/>
      <c r="H27" s="85"/>
      <c r="I27" s="74"/>
      <c r="J27" s="47"/>
      <c r="K27" s="48"/>
      <c r="L27" s="209"/>
    </row>
    <row r="28" spans="1:50" customFormat="1" x14ac:dyDescent="0.25">
      <c r="B28" s="89"/>
      <c r="C28" s="89"/>
      <c r="E28" s="167"/>
      <c r="F28" s="47"/>
      <c r="G28" s="85"/>
      <c r="H28" s="85"/>
      <c r="I28" s="74"/>
      <c r="J28" s="47"/>
      <c r="K28" s="48"/>
      <c r="L28" s="209"/>
    </row>
    <row r="29" spans="1:50" customFormat="1" x14ac:dyDescent="0.25">
      <c r="B29" s="89"/>
      <c r="C29" s="89"/>
      <c r="E29" s="167"/>
      <c r="F29" s="47"/>
      <c r="G29" s="85"/>
      <c r="H29" s="85"/>
      <c r="I29" s="74"/>
      <c r="J29" s="47"/>
      <c r="K29" s="48"/>
      <c r="L29" s="209"/>
    </row>
    <row r="30" spans="1:50" customFormat="1" x14ac:dyDescent="0.25">
      <c r="B30" s="89"/>
      <c r="C30" s="89"/>
      <c r="E30" s="167"/>
      <c r="F30" s="47"/>
      <c r="G30" s="85"/>
      <c r="H30" s="85"/>
      <c r="I30" s="74"/>
      <c r="J30" s="47"/>
      <c r="K30" s="48"/>
      <c r="L30" s="209"/>
    </row>
    <row r="31" spans="1:50" customFormat="1" ht="15.75" thickBot="1" x14ac:dyDescent="0.3">
      <c r="B31" s="89"/>
      <c r="C31" s="89"/>
      <c r="E31" s="168"/>
      <c r="F31" s="163"/>
      <c r="G31" s="164"/>
      <c r="H31" s="164"/>
      <c r="I31" s="165"/>
      <c r="J31" s="163"/>
      <c r="K31" s="208"/>
      <c r="L31" s="210"/>
    </row>
    <row r="32" spans="1:50" ht="15.75" thickBot="1" x14ac:dyDescent="0.3">
      <c r="A32"/>
      <c r="B32" s="89"/>
      <c r="C32" s="89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ht="15.75" thickBot="1" x14ac:dyDescent="0.3">
      <c r="A33"/>
      <c r="B33" s="89"/>
      <c r="C33" s="89"/>
      <c r="D33"/>
      <c r="E33"/>
      <c r="F33"/>
      <c r="G33"/>
      <c r="H33"/>
      <c r="I33"/>
      <c r="J33"/>
      <c r="K33" s="25"/>
      <c r="L33" s="26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25">
      <c r="A34"/>
      <c r="B34" s="89"/>
      <c r="C34" s="89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ht="15.75" thickBot="1" x14ac:dyDescent="0.3">
      <c r="A35"/>
      <c r="B35" s="89"/>
      <c r="C35" s="89"/>
      <c r="D35"/>
      <c r="E35" s="13" t="s">
        <v>152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ht="15.75" thickBot="1" x14ac:dyDescent="0.3">
      <c r="A36"/>
      <c r="B36" s="89"/>
      <c r="C36" s="89"/>
      <c r="D36"/>
      <c r="E36" s="76" t="s">
        <v>135</v>
      </c>
      <c r="F36" s="77"/>
      <c r="G36" s="122" t="s">
        <v>127</v>
      </c>
      <c r="H36" s="122" t="s">
        <v>138</v>
      </c>
      <c r="I36" s="123" t="s">
        <v>4</v>
      </c>
      <c r="J36" s="124" t="s">
        <v>5</v>
      </c>
      <c r="K36" s="78" t="s">
        <v>137</v>
      </c>
      <c r="L36" s="161" t="s">
        <v>70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25">
      <c r="A37"/>
      <c r="B37" s="89"/>
      <c r="C37" s="89"/>
      <c r="D37"/>
      <c r="E37" s="167"/>
      <c r="G37" s="85"/>
      <c r="H37" s="85"/>
      <c r="I37" s="74"/>
      <c r="J37" s="121"/>
      <c r="K37" s="138"/>
      <c r="L37" s="21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ht="15.75" thickBot="1" x14ac:dyDescent="0.3">
      <c r="A38"/>
      <c r="B38" s="89"/>
      <c r="C38" s="89"/>
      <c r="D38"/>
      <c r="E38" s="211"/>
      <c r="F38" s="212"/>
      <c r="G38" s="213"/>
      <c r="H38" s="213"/>
      <c r="I38" s="214"/>
      <c r="J38" s="215"/>
      <c r="K38" s="216"/>
      <c r="L38" s="21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ht="15.75" thickBot="1" x14ac:dyDescent="0.3">
      <c r="A39"/>
      <c r="B39" s="89"/>
      <c r="C39" s="89"/>
      <c r="D39"/>
      <c r="E39"/>
      <c r="F39"/>
      <c r="G39"/>
      <c r="H39"/>
      <c r="I39"/>
      <c r="J39"/>
      <c r="K39" s="91"/>
      <c r="L39" s="92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ht="15.75" thickBot="1" x14ac:dyDescent="0.3">
      <c r="A40"/>
      <c r="B40" s="89"/>
      <c r="C40" s="89"/>
      <c r="D40"/>
      <c r="E40"/>
      <c r="F40"/>
      <c r="G40"/>
      <c r="H40"/>
      <c r="I40"/>
      <c r="J40"/>
      <c r="K40" s="79"/>
      <c r="L40" s="8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25">
      <c r="A41"/>
      <c r="B41" s="89"/>
      <c r="C41" s="89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ht="15.75" thickBot="1" x14ac:dyDescent="0.3">
      <c r="A42"/>
      <c r="B42" s="89"/>
      <c r="C42" s="89"/>
      <c r="D42"/>
      <c r="E42" s="13" t="s">
        <v>153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ht="15.75" thickBot="1" x14ac:dyDescent="0.3">
      <c r="A43"/>
      <c r="B43" s="89"/>
      <c r="C43" s="89"/>
      <c r="D43"/>
      <c r="E43" s="86" t="s">
        <v>145</v>
      </c>
      <c r="F43" s="87" t="s">
        <v>154</v>
      </c>
      <c r="G43" s="87" t="s">
        <v>155</v>
      </c>
      <c r="H43" s="88" t="s">
        <v>156</v>
      </c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25">
      <c r="A44"/>
      <c r="B44" s="89"/>
      <c r="C44" s="89"/>
      <c r="D44"/>
      <c r="E44" s="167"/>
      <c r="F44" s="85"/>
      <c r="G44" s="166"/>
      <c r="H44" s="220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25">
      <c r="A45"/>
      <c r="B45" s="89"/>
      <c r="C45" s="89"/>
      <c r="D45"/>
      <c r="E45" s="167"/>
      <c r="F45" s="85"/>
      <c r="G45" s="166"/>
      <c r="H45" s="220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ht="15.75" thickBot="1" x14ac:dyDescent="0.3">
      <c r="A46"/>
      <c r="B46" s="89"/>
      <c r="C46" s="89"/>
      <c r="D46"/>
      <c r="E46" s="168"/>
      <c r="F46" s="164"/>
      <c r="G46" s="219"/>
      <c r="H46" s="221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ht="15.75" thickBot="1" x14ac:dyDescent="0.3">
      <c r="A47"/>
      <c r="B47" s="89"/>
      <c r="C47" s="89"/>
      <c r="D47"/>
      <c r="E47"/>
      <c r="F47" s="84"/>
      <c r="G47" s="22"/>
      <c r="H47" s="84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ht="15.75" thickBot="1" x14ac:dyDescent="0.3">
      <c r="A48"/>
      <c r="B48" s="89"/>
      <c r="C48" s="89"/>
      <c r="D48"/>
      <c r="E48"/>
      <c r="F48" s="83"/>
      <c r="G48" s="26"/>
      <c r="H48" s="83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25">
      <c r="A49"/>
      <c r="B49" s="89"/>
      <c r="C49" s="8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25">
      <c r="A50"/>
      <c r="B50" s="89"/>
      <c r="C50" s="89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25">
      <c r="A51"/>
      <c r="B51" s="89"/>
      <c r="C51" s="89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25">
      <c r="A52"/>
      <c r="B52" s="89"/>
      <c r="C52" s="89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25">
      <c r="A53"/>
      <c r="B53" s="89"/>
      <c r="C53" s="89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25">
      <c r="A54"/>
      <c r="B54" s="89"/>
      <c r="C54" s="89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25">
      <c r="A55"/>
      <c r="B55" s="89"/>
      <c r="C55" s="89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25">
      <c r="A56"/>
      <c r="B56" s="89"/>
      <c r="C56" s="89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25">
      <c r="A57"/>
      <c r="B57" s="89"/>
      <c r="C57" s="89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25">
      <c r="A58"/>
      <c r="B58" s="89"/>
      <c r="C58" s="89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25">
      <c r="A59"/>
      <c r="B59" s="89"/>
      <c r="C59" s="8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25">
      <c r="A60"/>
      <c r="B60" s="89"/>
      <c r="C60" s="89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25">
      <c r="A61"/>
      <c r="B61" s="89"/>
      <c r="C61" s="89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25">
      <c r="A62"/>
      <c r="B62" s="89"/>
      <c r="C62" s="89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25">
      <c r="A63"/>
      <c r="B63" s="89"/>
      <c r="C63" s="89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25">
      <c r="A64"/>
      <c r="B64" s="89"/>
      <c r="C64" s="89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25">
      <c r="A65"/>
      <c r="B65" s="89"/>
      <c r="C65" s="89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25">
      <c r="A66"/>
      <c r="B66" s="89"/>
      <c r="C66" s="89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25">
      <c r="A67"/>
      <c r="B67" s="89"/>
      <c r="C67" s="89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25">
      <c r="A68"/>
      <c r="B68" s="89"/>
      <c r="C68" s="89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25">
      <c r="A69"/>
      <c r="B69" s="89"/>
      <c r="C69" s="8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25">
      <c r="A70"/>
      <c r="B70" s="89"/>
      <c r="C70" s="89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25">
      <c r="A71"/>
      <c r="B71" s="89"/>
      <c r="C71" s="89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25">
      <c r="A72"/>
      <c r="B72" s="89"/>
      <c r="C72" s="89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25">
      <c r="A73"/>
      <c r="B73" s="89"/>
      <c r="C73" s="89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25">
      <c r="A74"/>
      <c r="B74" s="89"/>
      <c r="C74" s="89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25">
      <c r="A75"/>
      <c r="B75" s="89"/>
      <c r="C75" s="89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25">
      <c r="A76"/>
      <c r="B76" s="89"/>
      <c r="C76" s="89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25">
      <c r="A77"/>
      <c r="B77" s="89"/>
      <c r="C77" s="89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25">
      <c r="A78"/>
      <c r="B78" s="89"/>
      <c r="C78" s="89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25">
      <c r="A79"/>
      <c r="B79" s="89"/>
      <c r="C79" s="8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25">
      <c r="A80"/>
      <c r="B80" s="89"/>
      <c r="C80" s="89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25">
      <c r="A81"/>
      <c r="B81" s="89"/>
      <c r="C81" s="89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25">
      <c r="A82"/>
      <c r="B82" s="89"/>
      <c r="C82" s="89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25">
      <c r="A83"/>
      <c r="B83" s="89"/>
      <c r="C83" s="89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25">
      <c r="A84"/>
      <c r="B84" s="89"/>
      <c r="C84" s="89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25">
      <c r="A85"/>
      <c r="B85" s="89"/>
      <c r="C85" s="89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25">
      <c r="A86"/>
      <c r="B86" s="89"/>
      <c r="C86" s="89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25">
      <c r="A87"/>
      <c r="B87" s="89"/>
      <c r="C87" s="89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25">
      <c r="A88"/>
      <c r="B88" s="89"/>
      <c r="C88" s="89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25">
      <c r="A89"/>
      <c r="B89" s="89"/>
      <c r="C89" s="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25">
      <c r="A90"/>
      <c r="B90" s="89"/>
      <c r="C90" s="89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25">
      <c r="A91"/>
      <c r="B91" s="89"/>
      <c r="C91" s="89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25">
      <c r="A92"/>
      <c r="B92" s="89"/>
      <c r="C92" s="89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25">
      <c r="A93"/>
      <c r="B93" s="89"/>
      <c r="C93" s="89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25">
      <c r="A94"/>
      <c r="B94" s="89"/>
      <c r="C94" s="89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25">
      <c r="A95"/>
      <c r="B95" s="89"/>
      <c r="C95" s="89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25">
      <c r="A96"/>
      <c r="B96" s="89"/>
      <c r="C96" s="89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25">
      <c r="A97"/>
      <c r="B97" s="89"/>
      <c r="C97" s="89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25">
      <c r="A98"/>
      <c r="B98" s="89"/>
      <c r="C98" s="89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25">
      <c r="A99"/>
      <c r="B99" s="89"/>
      <c r="C99" s="8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25">
      <c r="A100"/>
      <c r="B100" s="89"/>
      <c r="C100" s="89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</sheetData>
  <mergeCells count="1">
    <mergeCell ref="B2:C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quityPortfolio">
    <tabColor rgb="FF0070C0"/>
  </sheetPr>
  <dimension ref="B1:OPD18"/>
  <sheetViews>
    <sheetView showGridLines="0" zoomScale="80" zoomScaleNormal="80" workbookViewId="0">
      <selection activeCell="B3" sqref="B3:I15"/>
    </sheetView>
  </sheetViews>
  <sheetFormatPr defaultColWidth="11.42578125" defaultRowHeight="15" x14ac:dyDescent="0.25"/>
  <cols>
    <col min="1" max="1" width="2.7109375" customWidth="1"/>
    <col min="2" max="2" width="17.42578125" bestFit="1" customWidth="1"/>
    <col min="3" max="4" width="16.85546875" customWidth="1"/>
    <col min="5" max="5" width="23.28515625" customWidth="1"/>
    <col min="6" max="6" width="23" customWidth="1"/>
    <col min="7" max="7" width="15.140625" customWidth="1"/>
    <col min="8" max="8" width="37.42578125" bestFit="1" customWidth="1"/>
    <col min="9" max="9" width="29.28515625" customWidth="1"/>
    <col min="10" max="10" width="2.7109375" customWidth="1"/>
    <col min="11" max="12" width="15.7109375" style="169" customWidth="1"/>
    <col min="13" max="13" width="2.7109375" customWidth="1"/>
  </cols>
  <sheetData>
    <row r="1" spans="2:10560" ht="15.75" thickBot="1" x14ac:dyDescent="0.3"/>
    <row r="2" spans="2:10560" s="47" customFormat="1" ht="15.75" thickBot="1" x14ac:dyDescent="0.3">
      <c r="B2" s="110" t="s">
        <v>0</v>
      </c>
      <c r="C2" s="111" t="s">
        <v>1</v>
      </c>
      <c r="D2" s="111" t="s">
        <v>2</v>
      </c>
      <c r="E2" s="111" t="s">
        <v>3</v>
      </c>
      <c r="F2" s="125" t="s">
        <v>4</v>
      </c>
      <c r="G2" s="125" t="s">
        <v>5</v>
      </c>
      <c r="H2" s="125" t="s">
        <v>6</v>
      </c>
      <c r="I2" s="126" t="s">
        <v>7</v>
      </c>
      <c r="J2" s="74"/>
      <c r="K2" s="170"/>
      <c r="L2" s="170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  <c r="ED2" s="74"/>
      <c r="EE2" s="74"/>
      <c r="EF2" s="74"/>
      <c r="EG2" s="74"/>
      <c r="EH2" s="74"/>
      <c r="EI2" s="74"/>
      <c r="EJ2" s="74"/>
      <c r="EK2" s="74"/>
      <c r="EL2" s="74"/>
      <c r="EM2" s="74"/>
      <c r="EN2" s="74"/>
      <c r="EO2" s="74"/>
      <c r="EP2" s="74"/>
      <c r="EQ2" s="74"/>
      <c r="ER2" s="74"/>
      <c r="ES2" s="74"/>
      <c r="ET2" s="74"/>
      <c r="EU2" s="74"/>
      <c r="EV2" s="74"/>
      <c r="EW2" s="74"/>
      <c r="EX2" s="74"/>
      <c r="EY2" s="74"/>
      <c r="EZ2" s="74"/>
      <c r="FA2" s="74"/>
      <c r="FB2" s="74"/>
      <c r="FC2" s="74"/>
      <c r="FD2" s="74"/>
      <c r="FE2" s="74"/>
      <c r="FF2" s="74"/>
      <c r="FG2" s="74"/>
      <c r="FH2" s="74"/>
      <c r="FI2" s="74"/>
      <c r="FJ2" s="74"/>
      <c r="FK2" s="74"/>
      <c r="FL2" s="74"/>
      <c r="FM2" s="74"/>
      <c r="FN2" s="74"/>
      <c r="FO2" s="74"/>
      <c r="FP2" s="74"/>
      <c r="FQ2" s="74"/>
      <c r="FR2" s="74"/>
      <c r="FS2" s="74"/>
      <c r="FT2" s="74"/>
      <c r="FU2" s="74"/>
      <c r="FV2" s="74"/>
      <c r="FW2" s="74"/>
      <c r="FX2" s="74"/>
      <c r="FY2" s="74"/>
      <c r="FZ2" s="74"/>
      <c r="GA2" s="74"/>
      <c r="GB2" s="74"/>
      <c r="GC2" s="74"/>
      <c r="GD2" s="74"/>
      <c r="GE2" s="74"/>
      <c r="GF2" s="74"/>
      <c r="GG2" s="74"/>
      <c r="GH2" s="74"/>
      <c r="GI2" s="74"/>
      <c r="GJ2" s="74"/>
      <c r="GK2" s="74"/>
      <c r="GL2" s="74"/>
      <c r="GM2" s="74"/>
      <c r="GN2" s="74"/>
      <c r="GO2" s="74"/>
      <c r="GP2" s="74"/>
      <c r="GQ2" s="74"/>
      <c r="GR2" s="74"/>
      <c r="GS2" s="74"/>
      <c r="GT2" s="74"/>
      <c r="GU2" s="74"/>
      <c r="GV2" s="74"/>
      <c r="GW2" s="74"/>
      <c r="GX2" s="74"/>
      <c r="GY2" s="74"/>
      <c r="GZ2" s="74"/>
      <c r="HA2" s="74"/>
      <c r="HB2" s="74"/>
      <c r="HC2" s="74"/>
      <c r="HD2" s="74"/>
      <c r="HE2" s="74"/>
      <c r="HF2" s="74"/>
      <c r="HG2" s="74"/>
      <c r="HH2" s="74"/>
      <c r="HI2" s="74"/>
      <c r="HJ2" s="74"/>
      <c r="HK2" s="74"/>
      <c r="HL2" s="74"/>
      <c r="HM2" s="74"/>
      <c r="HN2" s="74"/>
      <c r="HO2" s="74"/>
      <c r="HP2" s="74"/>
      <c r="HQ2" s="74"/>
      <c r="HR2" s="74"/>
      <c r="HS2" s="74"/>
      <c r="HT2" s="74"/>
      <c r="HU2" s="74"/>
      <c r="HV2" s="74"/>
      <c r="HW2" s="74"/>
      <c r="HX2" s="74"/>
      <c r="HY2" s="74"/>
      <c r="HZ2" s="74"/>
      <c r="IA2" s="74"/>
      <c r="IB2" s="74"/>
      <c r="IC2" s="74"/>
      <c r="ID2" s="74"/>
      <c r="IE2" s="74"/>
      <c r="IF2" s="74"/>
      <c r="IG2" s="74"/>
      <c r="IH2" s="74"/>
      <c r="II2" s="74"/>
      <c r="IJ2" s="74"/>
      <c r="IK2" s="74"/>
      <c r="IL2" s="74"/>
      <c r="IM2" s="74"/>
      <c r="IN2" s="74"/>
      <c r="IO2" s="74"/>
      <c r="IP2" s="74"/>
      <c r="IQ2" s="74"/>
      <c r="IR2" s="74"/>
      <c r="IS2" s="74"/>
      <c r="IT2" s="74"/>
      <c r="IU2" s="74"/>
      <c r="IV2" s="74"/>
      <c r="IW2" s="74"/>
      <c r="IX2" s="74"/>
      <c r="IY2" s="74"/>
      <c r="IZ2" s="74"/>
      <c r="JA2" s="74"/>
      <c r="JB2" s="74"/>
      <c r="JC2" s="74"/>
      <c r="JD2" s="74"/>
      <c r="JE2" s="74"/>
      <c r="JF2" s="74"/>
      <c r="JG2" s="74"/>
      <c r="JH2" s="74"/>
      <c r="JI2" s="74"/>
      <c r="JJ2" s="74"/>
      <c r="JK2" s="74"/>
      <c r="JL2" s="74"/>
      <c r="JM2" s="74"/>
      <c r="JN2" s="74"/>
      <c r="JO2" s="74"/>
      <c r="JP2" s="74"/>
      <c r="JQ2" s="74"/>
      <c r="JR2" s="74"/>
      <c r="JS2" s="74"/>
      <c r="JT2" s="74"/>
      <c r="JU2" s="74"/>
      <c r="JV2" s="74"/>
      <c r="JW2" s="74"/>
      <c r="JX2" s="74"/>
      <c r="JY2" s="74"/>
      <c r="JZ2" s="74"/>
      <c r="KA2" s="74"/>
      <c r="KB2" s="74"/>
      <c r="KC2" s="74"/>
      <c r="KD2" s="74"/>
      <c r="KE2" s="74"/>
      <c r="KF2" s="74"/>
      <c r="KG2" s="74"/>
      <c r="KH2" s="74"/>
      <c r="KI2" s="74"/>
      <c r="KJ2" s="74"/>
      <c r="KK2" s="74"/>
      <c r="KL2" s="74"/>
      <c r="KM2" s="74"/>
      <c r="KN2" s="74"/>
      <c r="KO2" s="74"/>
      <c r="KP2" s="74"/>
      <c r="KQ2" s="74"/>
      <c r="KR2" s="74"/>
      <c r="KS2" s="74"/>
      <c r="KT2" s="74"/>
      <c r="KU2" s="74"/>
      <c r="KV2" s="74"/>
      <c r="KW2" s="74"/>
      <c r="KX2" s="74"/>
      <c r="KY2" s="74"/>
      <c r="KZ2" s="74"/>
      <c r="LA2" s="74"/>
      <c r="LB2" s="74"/>
      <c r="LC2" s="74"/>
      <c r="LD2" s="74"/>
      <c r="LE2" s="74"/>
      <c r="LF2" s="74"/>
      <c r="LG2" s="74"/>
      <c r="LH2" s="74"/>
      <c r="LI2" s="74"/>
      <c r="LJ2" s="74"/>
      <c r="LK2" s="74"/>
      <c r="LL2" s="74"/>
      <c r="LM2" s="74"/>
      <c r="LN2" s="74"/>
      <c r="LO2" s="74"/>
      <c r="LP2" s="74"/>
      <c r="LQ2" s="74"/>
      <c r="LR2" s="74"/>
      <c r="LS2" s="74"/>
      <c r="LT2" s="74"/>
      <c r="LU2" s="74"/>
      <c r="LV2" s="74"/>
      <c r="LW2" s="74"/>
      <c r="LX2" s="74"/>
      <c r="LY2" s="74"/>
      <c r="LZ2" s="74"/>
      <c r="MA2" s="74"/>
      <c r="MB2" s="74"/>
      <c r="MC2" s="74"/>
      <c r="MD2" s="74"/>
      <c r="ME2" s="74"/>
      <c r="MF2" s="74"/>
      <c r="MG2" s="74"/>
      <c r="MH2" s="74"/>
      <c r="MI2" s="74"/>
      <c r="MJ2" s="74"/>
      <c r="MK2" s="74"/>
      <c r="ML2" s="74"/>
      <c r="MM2" s="74"/>
      <c r="MN2" s="74"/>
      <c r="MO2" s="74"/>
      <c r="MP2" s="74"/>
      <c r="MQ2" s="74"/>
      <c r="MR2" s="74"/>
      <c r="MS2" s="74"/>
      <c r="MT2" s="74"/>
      <c r="MU2" s="74"/>
      <c r="MV2" s="74"/>
      <c r="MW2" s="74"/>
      <c r="MX2" s="74"/>
      <c r="MY2" s="74"/>
      <c r="MZ2" s="74"/>
      <c r="NA2" s="74"/>
      <c r="NB2" s="74"/>
      <c r="NC2" s="74"/>
      <c r="ND2" s="74"/>
      <c r="NE2" s="74"/>
      <c r="NF2" s="74"/>
      <c r="NG2" s="74"/>
      <c r="NH2" s="74"/>
      <c r="NI2" s="74"/>
      <c r="NJ2" s="74"/>
      <c r="NK2" s="74"/>
      <c r="NL2" s="74"/>
      <c r="NM2" s="74"/>
      <c r="NN2" s="74"/>
      <c r="NO2" s="74"/>
      <c r="NP2" s="74"/>
      <c r="NQ2" s="74"/>
      <c r="NR2" s="74"/>
      <c r="NS2" s="74"/>
      <c r="NT2" s="74"/>
      <c r="NU2" s="74"/>
      <c r="NV2" s="74"/>
      <c r="NW2" s="74"/>
      <c r="NX2" s="74"/>
      <c r="NY2" s="74"/>
      <c r="NZ2" s="74"/>
      <c r="OA2" s="74"/>
      <c r="OB2" s="74"/>
      <c r="OC2" s="74"/>
      <c r="OD2" s="74"/>
      <c r="OE2" s="74"/>
      <c r="OF2" s="74"/>
      <c r="OG2" s="74"/>
      <c r="OH2" s="74"/>
      <c r="OI2" s="74"/>
      <c r="OJ2" s="74"/>
      <c r="OK2" s="74"/>
      <c r="OL2" s="74"/>
      <c r="OM2" s="74"/>
      <c r="ON2" s="74"/>
      <c r="OO2" s="74"/>
      <c r="OP2" s="74"/>
      <c r="OQ2" s="74"/>
      <c r="OR2" s="74"/>
      <c r="OS2" s="74"/>
      <c r="OT2" s="74"/>
      <c r="OU2" s="74"/>
      <c r="OV2" s="74"/>
      <c r="OW2" s="74"/>
      <c r="OX2" s="74"/>
      <c r="OY2" s="74"/>
      <c r="OZ2" s="74"/>
      <c r="PA2" s="74"/>
      <c r="PB2" s="74"/>
      <c r="PC2" s="74"/>
      <c r="PD2" s="74"/>
      <c r="PE2" s="74"/>
      <c r="PF2" s="74"/>
      <c r="PG2" s="74"/>
      <c r="PH2" s="74"/>
      <c r="PI2" s="74"/>
      <c r="PJ2" s="74"/>
      <c r="PK2" s="74"/>
      <c r="PL2" s="74"/>
      <c r="PM2" s="74"/>
      <c r="PN2" s="74"/>
      <c r="PO2" s="74"/>
      <c r="PP2" s="74"/>
      <c r="PQ2" s="74"/>
      <c r="PR2" s="74"/>
      <c r="PS2" s="74"/>
      <c r="PT2" s="74"/>
      <c r="PU2" s="74"/>
      <c r="PV2" s="74"/>
      <c r="PW2" s="74"/>
      <c r="PX2" s="74"/>
      <c r="PY2" s="74"/>
      <c r="PZ2" s="74"/>
      <c r="QA2" s="74"/>
      <c r="QB2" s="74"/>
      <c r="QC2" s="74"/>
      <c r="QD2" s="74"/>
      <c r="QE2" s="74"/>
      <c r="QF2" s="74"/>
      <c r="QG2" s="74"/>
      <c r="QH2" s="74"/>
      <c r="QI2" s="74"/>
      <c r="QJ2" s="74"/>
      <c r="QK2" s="74"/>
      <c r="QL2" s="74"/>
      <c r="QM2" s="74"/>
      <c r="QN2" s="74"/>
      <c r="QO2" s="74"/>
      <c r="QP2" s="74"/>
      <c r="QQ2" s="74"/>
      <c r="QR2" s="74"/>
      <c r="QS2" s="74"/>
      <c r="QT2" s="74"/>
      <c r="QU2" s="74"/>
      <c r="QV2" s="74"/>
      <c r="QW2" s="74"/>
      <c r="QX2" s="74"/>
      <c r="QY2" s="74"/>
      <c r="QZ2" s="74"/>
      <c r="RA2" s="74"/>
      <c r="RB2" s="74"/>
      <c r="RC2" s="74"/>
      <c r="RD2" s="74"/>
      <c r="RE2" s="74"/>
      <c r="RF2" s="74"/>
      <c r="RG2" s="74"/>
      <c r="RH2" s="74"/>
      <c r="RI2" s="74"/>
      <c r="RJ2" s="74"/>
      <c r="RK2" s="74"/>
      <c r="RL2" s="74"/>
      <c r="RM2" s="74"/>
      <c r="RN2" s="74"/>
      <c r="RO2" s="74"/>
      <c r="RP2" s="74"/>
      <c r="RQ2" s="74"/>
      <c r="RR2" s="74"/>
      <c r="RS2" s="74"/>
      <c r="RT2" s="74"/>
      <c r="RU2" s="74"/>
      <c r="RV2" s="74"/>
      <c r="RW2" s="74"/>
      <c r="RX2" s="74"/>
      <c r="RY2" s="74"/>
      <c r="RZ2" s="74"/>
      <c r="SA2" s="74"/>
      <c r="SB2" s="74"/>
      <c r="SC2" s="74"/>
      <c r="SD2" s="74"/>
      <c r="SE2" s="74"/>
      <c r="SF2" s="74"/>
      <c r="SG2" s="74"/>
      <c r="SH2" s="74"/>
      <c r="SI2" s="74"/>
      <c r="SJ2" s="74"/>
      <c r="SK2" s="74"/>
      <c r="SL2" s="74"/>
      <c r="SM2" s="74"/>
      <c r="SN2" s="74"/>
      <c r="SO2" s="74"/>
      <c r="SP2" s="74"/>
      <c r="SQ2" s="74"/>
      <c r="SR2" s="74"/>
      <c r="SS2" s="74"/>
      <c r="ST2" s="74"/>
      <c r="SU2" s="74"/>
      <c r="SV2" s="74"/>
      <c r="SW2" s="74"/>
      <c r="SX2" s="74"/>
      <c r="SY2" s="74"/>
      <c r="SZ2" s="74"/>
      <c r="TA2" s="74"/>
      <c r="TB2" s="74"/>
      <c r="TC2" s="74"/>
      <c r="TD2" s="74"/>
      <c r="TE2" s="74"/>
      <c r="TF2" s="74"/>
      <c r="TG2" s="74"/>
      <c r="TH2" s="74"/>
      <c r="TI2" s="74"/>
      <c r="TJ2" s="74"/>
      <c r="TK2" s="74"/>
      <c r="TL2" s="74"/>
      <c r="TM2" s="74"/>
      <c r="TN2" s="74"/>
      <c r="TO2" s="74"/>
      <c r="TP2" s="74"/>
      <c r="TQ2" s="74"/>
      <c r="TR2" s="74"/>
      <c r="TS2" s="74"/>
      <c r="TT2" s="74"/>
      <c r="TU2" s="74"/>
      <c r="TV2" s="74"/>
      <c r="TW2" s="74"/>
      <c r="TX2" s="74"/>
      <c r="TY2" s="74"/>
      <c r="TZ2" s="74"/>
      <c r="UA2" s="74"/>
      <c r="UB2" s="74"/>
      <c r="UC2" s="74"/>
      <c r="UD2" s="74"/>
      <c r="UE2" s="74"/>
      <c r="UF2" s="74"/>
      <c r="UG2" s="74"/>
      <c r="UH2" s="74"/>
      <c r="UI2" s="74"/>
      <c r="UJ2" s="74"/>
      <c r="UK2" s="74"/>
      <c r="UL2" s="74"/>
      <c r="UM2" s="74"/>
      <c r="UN2" s="74"/>
      <c r="UO2" s="74"/>
      <c r="UP2" s="74"/>
      <c r="UQ2" s="74"/>
      <c r="UR2" s="74"/>
      <c r="US2" s="74"/>
      <c r="UT2" s="74"/>
      <c r="UU2" s="74"/>
      <c r="UV2" s="74"/>
      <c r="UW2" s="74"/>
      <c r="UX2" s="74"/>
      <c r="UY2" s="74"/>
      <c r="UZ2" s="74"/>
      <c r="VA2" s="74"/>
      <c r="VB2" s="74"/>
      <c r="VC2" s="74"/>
      <c r="VD2" s="74"/>
      <c r="VE2" s="74"/>
      <c r="VF2" s="74"/>
      <c r="VG2" s="74"/>
      <c r="VH2" s="74"/>
      <c r="VI2" s="74"/>
      <c r="VJ2" s="74"/>
      <c r="VK2" s="74"/>
      <c r="VL2" s="74"/>
      <c r="VM2" s="74"/>
      <c r="VN2" s="74"/>
      <c r="VO2" s="74"/>
      <c r="VP2" s="74"/>
      <c r="VQ2" s="74"/>
      <c r="VR2" s="74"/>
      <c r="VS2" s="74"/>
      <c r="VT2" s="74"/>
      <c r="VU2" s="74"/>
      <c r="VV2" s="74"/>
      <c r="VW2" s="74"/>
      <c r="VX2" s="74"/>
      <c r="VY2" s="74"/>
      <c r="VZ2" s="74"/>
      <c r="WA2" s="74"/>
      <c r="WB2" s="74"/>
      <c r="WC2" s="74"/>
      <c r="WD2" s="74"/>
      <c r="WE2" s="74"/>
      <c r="WF2" s="74"/>
      <c r="WG2" s="74"/>
      <c r="WH2" s="74"/>
      <c r="WI2" s="74"/>
      <c r="WJ2" s="74"/>
      <c r="WK2" s="74"/>
      <c r="WL2" s="74"/>
      <c r="WM2" s="74"/>
      <c r="WN2" s="74"/>
      <c r="WO2" s="74"/>
      <c r="WP2" s="74"/>
      <c r="WQ2" s="74"/>
      <c r="WR2" s="74"/>
      <c r="WS2" s="74"/>
      <c r="WT2" s="74"/>
      <c r="WU2" s="74"/>
      <c r="WV2" s="74"/>
      <c r="WW2" s="74"/>
      <c r="WX2" s="74"/>
      <c r="WY2" s="74"/>
      <c r="WZ2" s="74"/>
      <c r="XA2" s="74"/>
      <c r="XB2" s="74"/>
      <c r="XC2" s="74"/>
      <c r="XD2" s="74"/>
      <c r="XE2" s="74"/>
      <c r="XF2" s="74"/>
      <c r="XG2" s="74"/>
      <c r="XH2" s="74"/>
      <c r="XI2" s="74"/>
      <c r="XJ2" s="74"/>
      <c r="XK2" s="74"/>
      <c r="XL2" s="74"/>
      <c r="XM2" s="74"/>
      <c r="XN2" s="74"/>
      <c r="XO2" s="74"/>
      <c r="XP2" s="74"/>
      <c r="XQ2" s="74"/>
      <c r="XR2" s="74"/>
      <c r="XS2" s="74"/>
      <c r="XT2" s="74"/>
      <c r="XU2" s="74"/>
      <c r="XV2" s="74"/>
      <c r="XW2" s="74"/>
      <c r="XX2" s="74"/>
      <c r="XY2" s="74"/>
      <c r="XZ2" s="74"/>
      <c r="YA2" s="74"/>
      <c r="YB2" s="74"/>
      <c r="YC2" s="74"/>
      <c r="YD2" s="74"/>
      <c r="YE2" s="74"/>
      <c r="YF2" s="74"/>
      <c r="YG2" s="74"/>
      <c r="YH2" s="74"/>
      <c r="YI2" s="74"/>
      <c r="YJ2" s="74"/>
      <c r="YK2" s="74"/>
      <c r="YL2" s="74"/>
      <c r="YM2" s="74"/>
      <c r="YN2" s="74"/>
      <c r="YO2" s="74"/>
      <c r="YP2" s="74"/>
      <c r="YQ2" s="74"/>
      <c r="YR2" s="74"/>
      <c r="YS2" s="74"/>
      <c r="YT2" s="74"/>
      <c r="YU2" s="74"/>
      <c r="YV2" s="74"/>
      <c r="YW2" s="74"/>
      <c r="YX2" s="74"/>
      <c r="YY2" s="74"/>
      <c r="YZ2" s="74"/>
      <c r="ZA2" s="74"/>
      <c r="ZB2" s="74"/>
      <c r="ZC2" s="74"/>
      <c r="ZD2" s="74"/>
      <c r="ZE2" s="74"/>
      <c r="ZF2" s="74"/>
      <c r="ZG2" s="74"/>
      <c r="ZH2" s="74"/>
      <c r="ZI2" s="74"/>
      <c r="ZJ2" s="74"/>
      <c r="ZK2" s="74"/>
      <c r="ZL2" s="74"/>
      <c r="ZM2" s="74"/>
      <c r="ZN2" s="74"/>
      <c r="ZO2" s="74"/>
      <c r="ZP2" s="74"/>
      <c r="ZQ2" s="74"/>
      <c r="ZR2" s="74"/>
      <c r="ZS2" s="74"/>
      <c r="ZT2" s="74"/>
      <c r="ZU2" s="74"/>
      <c r="ZV2" s="74"/>
      <c r="ZW2" s="74"/>
      <c r="ZX2" s="74"/>
      <c r="ZY2" s="74"/>
      <c r="ZZ2" s="74"/>
      <c r="AAA2" s="74"/>
      <c r="AAB2" s="74"/>
      <c r="AAC2" s="74"/>
      <c r="AAD2" s="74"/>
      <c r="AAE2" s="74"/>
      <c r="AAF2" s="74"/>
      <c r="AAG2" s="74"/>
      <c r="AAH2" s="74"/>
      <c r="AAI2" s="74"/>
      <c r="AAJ2" s="74"/>
      <c r="AAK2" s="74"/>
      <c r="AAL2" s="74"/>
      <c r="AAM2" s="74"/>
      <c r="AAN2" s="74"/>
      <c r="AAO2" s="74"/>
      <c r="AAP2" s="74"/>
      <c r="AAQ2" s="74"/>
      <c r="AAR2" s="74"/>
      <c r="AAS2" s="74"/>
      <c r="AAT2" s="74"/>
      <c r="AAU2" s="74"/>
      <c r="AAV2" s="74"/>
      <c r="AAW2" s="74"/>
      <c r="AAX2" s="74"/>
      <c r="AAY2" s="74"/>
      <c r="AAZ2" s="74"/>
      <c r="ABA2" s="74"/>
      <c r="ABB2" s="74"/>
      <c r="ABC2" s="74"/>
      <c r="ABD2" s="74"/>
      <c r="ABE2" s="74"/>
      <c r="ABF2" s="74"/>
      <c r="ABG2" s="74"/>
      <c r="ABH2" s="74"/>
      <c r="ABI2" s="74"/>
      <c r="ABJ2" s="74"/>
      <c r="ABK2" s="74"/>
      <c r="ABL2" s="74"/>
      <c r="ABM2" s="74"/>
      <c r="ABN2" s="74"/>
      <c r="ABO2" s="74"/>
      <c r="ABP2" s="74"/>
      <c r="ABQ2" s="74"/>
      <c r="ABR2" s="74"/>
      <c r="ABS2" s="74"/>
      <c r="ABT2" s="74"/>
      <c r="ABU2" s="74"/>
      <c r="ABV2" s="74"/>
      <c r="ABW2" s="74"/>
      <c r="ABX2" s="74"/>
      <c r="ABY2" s="74"/>
      <c r="ABZ2" s="74"/>
      <c r="ACA2" s="74"/>
      <c r="ACB2" s="74"/>
      <c r="ACC2" s="74"/>
      <c r="ACD2" s="74"/>
      <c r="ACE2" s="74"/>
      <c r="ACF2" s="74"/>
      <c r="ACG2" s="74"/>
      <c r="ACH2" s="74"/>
      <c r="ACI2" s="74"/>
      <c r="ACJ2" s="74"/>
      <c r="ACK2" s="74"/>
      <c r="ACL2" s="74"/>
      <c r="ACM2" s="74"/>
      <c r="ACN2" s="74"/>
      <c r="ACO2" s="74"/>
      <c r="ACP2" s="74"/>
      <c r="ACQ2" s="74"/>
      <c r="ACR2" s="74"/>
      <c r="ACS2" s="74"/>
      <c r="ACT2" s="74"/>
      <c r="ACU2" s="74"/>
      <c r="ACV2" s="74"/>
      <c r="ACW2" s="74"/>
      <c r="ACX2" s="74"/>
      <c r="ACY2" s="74"/>
      <c r="ACZ2" s="74"/>
      <c r="ADA2" s="74"/>
      <c r="ADB2" s="74"/>
      <c r="ADC2" s="74"/>
      <c r="ADD2" s="74"/>
      <c r="ADE2" s="74"/>
      <c r="ADF2" s="74"/>
      <c r="ADG2" s="74"/>
      <c r="ADH2" s="74"/>
      <c r="ADI2" s="74"/>
      <c r="ADJ2" s="74"/>
      <c r="ADK2" s="74"/>
      <c r="ADL2" s="74"/>
      <c r="ADM2" s="74"/>
      <c r="ADN2" s="74"/>
      <c r="ADO2" s="74"/>
      <c r="ADP2" s="74"/>
      <c r="ADQ2" s="74"/>
      <c r="ADR2" s="74"/>
      <c r="ADS2" s="74"/>
      <c r="ADT2" s="74"/>
      <c r="ADU2" s="74"/>
      <c r="ADV2" s="74"/>
      <c r="ADW2" s="74"/>
      <c r="ADX2" s="74"/>
      <c r="ADY2" s="74"/>
      <c r="ADZ2" s="74"/>
      <c r="AEA2" s="74"/>
      <c r="AEB2" s="74"/>
      <c r="AEC2" s="74"/>
      <c r="AED2" s="74"/>
      <c r="AEE2" s="74"/>
      <c r="AEF2" s="74"/>
      <c r="AEG2" s="74"/>
      <c r="AEH2" s="74"/>
      <c r="AEI2" s="74"/>
      <c r="AEJ2" s="74"/>
      <c r="AEK2" s="74"/>
      <c r="AEL2" s="74"/>
      <c r="AEM2" s="74"/>
      <c r="AEN2" s="74"/>
      <c r="AEO2" s="74"/>
      <c r="AEP2" s="74"/>
      <c r="AEQ2" s="74"/>
      <c r="AER2" s="74"/>
      <c r="AES2" s="74"/>
      <c r="AET2" s="74"/>
      <c r="AEU2" s="74"/>
      <c r="AEV2" s="74"/>
      <c r="AEW2" s="74"/>
      <c r="AEX2" s="74"/>
      <c r="AEY2" s="74"/>
      <c r="AEZ2" s="74"/>
      <c r="AFA2" s="74"/>
      <c r="AFB2" s="74"/>
      <c r="AFC2" s="74"/>
      <c r="AFD2" s="74"/>
      <c r="AFE2" s="74"/>
      <c r="AFF2" s="74"/>
      <c r="AFG2" s="74"/>
      <c r="AFH2" s="74"/>
      <c r="AFI2" s="74"/>
      <c r="AFJ2" s="74"/>
      <c r="AFK2" s="74"/>
      <c r="AFL2" s="74"/>
      <c r="AFM2" s="74"/>
      <c r="AFN2" s="74"/>
      <c r="AFO2" s="74"/>
      <c r="AFP2" s="74"/>
      <c r="AFQ2" s="74"/>
      <c r="AFR2" s="74"/>
      <c r="AFS2" s="74"/>
      <c r="AFT2" s="74"/>
      <c r="AFU2" s="74"/>
      <c r="AFV2" s="74"/>
      <c r="AFW2" s="74"/>
      <c r="AFX2" s="74"/>
      <c r="AFY2" s="74"/>
      <c r="AFZ2" s="74"/>
      <c r="AGA2" s="74"/>
      <c r="AGB2" s="74"/>
      <c r="AGC2" s="74"/>
      <c r="AGD2" s="74"/>
      <c r="AGE2" s="74"/>
      <c r="AGF2" s="74"/>
      <c r="AGG2" s="74"/>
      <c r="AGH2" s="74"/>
      <c r="AGI2" s="74"/>
      <c r="AGJ2" s="74"/>
      <c r="AGK2" s="74"/>
      <c r="AGL2" s="74"/>
      <c r="AGM2" s="74"/>
      <c r="AGN2" s="74"/>
      <c r="AGO2" s="74"/>
      <c r="AGP2" s="74"/>
      <c r="AGQ2" s="74"/>
      <c r="AGR2" s="74"/>
      <c r="AGS2" s="74"/>
      <c r="AGT2" s="74"/>
      <c r="AGU2" s="74"/>
      <c r="AGV2" s="74"/>
      <c r="AGW2" s="74"/>
      <c r="AGX2" s="74"/>
      <c r="AGY2" s="74"/>
      <c r="AGZ2" s="74"/>
      <c r="AHA2" s="74"/>
      <c r="AHB2" s="74"/>
      <c r="AHC2" s="74"/>
      <c r="AHD2" s="74"/>
      <c r="AHE2" s="74"/>
      <c r="AHF2" s="74"/>
      <c r="AHG2" s="74"/>
      <c r="AHH2" s="74"/>
      <c r="AHI2" s="74"/>
      <c r="AHJ2" s="74"/>
      <c r="AHK2" s="74"/>
      <c r="AHL2" s="74"/>
      <c r="AHM2" s="74"/>
      <c r="AHN2" s="74"/>
      <c r="AHO2" s="74"/>
      <c r="AHP2" s="74"/>
      <c r="AHQ2" s="74"/>
      <c r="AHR2" s="74"/>
      <c r="AHS2" s="74"/>
      <c r="AHT2" s="74"/>
      <c r="AHU2" s="74"/>
      <c r="AHV2" s="74"/>
      <c r="AHW2" s="74"/>
      <c r="AHX2" s="74"/>
      <c r="AHY2" s="74"/>
      <c r="AHZ2" s="74"/>
      <c r="AIA2" s="74"/>
      <c r="AIB2" s="74"/>
      <c r="AIC2" s="74"/>
      <c r="AID2" s="74"/>
      <c r="AIE2" s="74"/>
      <c r="AIF2" s="74"/>
      <c r="AIG2" s="74"/>
      <c r="AIH2" s="74"/>
      <c r="AII2" s="74"/>
      <c r="AIJ2" s="74"/>
      <c r="AIK2" s="74"/>
      <c r="AIL2" s="74"/>
      <c r="AIM2" s="74"/>
      <c r="AIN2" s="74"/>
      <c r="AIO2" s="74"/>
      <c r="AIP2" s="74"/>
      <c r="AIQ2" s="74"/>
      <c r="AIR2" s="74"/>
      <c r="AIS2" s="74"/>
      <c r="AIT2" s="74"/>
      <c r="AIU2" s="74"/>
      <c r="AIV2" s="74"/>
      <c r="AIW2" s="74"/>
      <c r="AIX2" s="74"/>
      <c r="AIY2" s="74"/>
      <c r="AIZ2" s="74"/>
      <c r="AJA2" s="74"/>
      <c r="AJB2" s="74"/>
      <c r="AJC2" s="74"/>
      <c r="AJD2" s="74"/>
      <c r="AJE2" s="74"/>
      <c r="AJF2" s="74"/>
      <c r="AJG2" s="74"/>
      <c r="AJH2" s="74"/>
      <c r="AJI2" s="74"/>
      <c r="AJJ2" s="74"/>
      <c r="AJK2" s="74"/>
      <c r="AJL2" s="74"/>
      <c r="AJM2" s="74"/>
      <c r="AJN2" s="74"/>
      <c r="AJO2" s="74"/>
      <c r="AJP2" s="74"/>
      <c r="AJQ2" s="74"/>
      <c r="AJR2" s="74"/>
      <c r="AJS2" s="74"/>
      <c r="AJT2" s="74"/>
      <c r="AJU2" s="74"/>
      <c r="AJV2" s="74"/>
      <c r="AJW2" s="74"/>
      <c r="AJX2" s="74"/>
      <c r="AJY2" s="74"/>
      <c r="AJZ2" s="74"/>
      <c r="AKA2" s="74"/>
      <c r="AKB2" s="74"/>
      <c r="AKC2" s="74"/>
      <c r="AKD2" s="74"/>
      <c r="AKE2" s="74"/>
      <c r="AKF2" s="74"/>
      <c r="AKG2" s="74"/>
      <c r="AKH2" s="74"/>
      <c r="AKI2" s="74"/>
      <c r="AKJ2" s="74"/>
      <c r="AKK2" s="74"/>
      <c r="AKL2" s="74"/>
      <c r="AKM2" s="74"/>
      <c r="AKN2" s="74"/>
      <c r="AKO2" s="74"/>
      <c r="AKP2" s="74"/>
      <c r="AKQ2" s="74"/>
      <c r="AKR2" s="74"/>
      <c r="AKS2" s="74"/>
      <c r="AKT2" s="74"/>
      <c r="AKU2" s="74"/>
      <c r="AKV2" s="74"/>
      <c r="AKW2" s="74"/>
      <c r="AKX2" s="74"/>
      <c r="AKY2" s="74"/>
      <c r="AKZ2" s="74"/>
      <c r="ALA2" s="74"/>
      <c r="ALB2" s="74"/>
      <c r="ALC2" s="74"/>
      <c r="ALD2" s="74"/>
      <c r="ALE2" s="74"/>
      <c r="ALF2" s="74"/>
      <c r="ALG2" s="74"/>
      <c r="ALH2" s="74"/>
      <c r="ALI2" s="74"/>
      <c r="ALJ2" s="74"/>
      <c r="ALK2" s="74"/>
      <c r="ALL2" s="74"/>
      <c r="ALM2" s="74"/>
      <c r="ALN2" s="74"/>
      <c r="ALO2" s="74"/>
      <c r="ALP2" s="74"/>
      <c r="ALQ2" s="74"/>
      <c r="ALR2" s="74"/>
      <c r="ALS2" s="74"/>
      <c r="ALT2" s="74"/>
      <c r="ALU2" s="74"/>
      <c r="ALV2" s="74"/>
      <c r="ALW2" s="74"/>
      <c r="ALX2" s="74"/>
      <c r="ALY2" s="74"/>
      <c r="ALZ2" s="74"/>
      <c r="AMA2" s="74"/>
      <c r="AMB2" s="74"/>
      <c r="AMC2" s="74"/>
      <c r="AMD2" s="74"/>
      <c r="AME2" s="74"/>
      <c r="AMF2" s="74"/>
      <c r="AMG2" s="74"/>
      <c r="AMH2" s="74"/>
      <c r="AMI2" s="74"/>
      <c r="AMJ2" s="74"/>
      <c r="AMK2" s="74"/>
      <c r="AML2" s="74"/>
      <c r="AMM2" s="74"/>
      <c r="AMN2" s="74"/>
      <c r="AMO2" s="74"/>
      <c r="AMP2" s="74"/>
      <c r="AMQ2" s="74"/>
      <c r="AMR2" s="74"/>
      <c r="AMS2" s="74"/>
      <c r="AMT2" s="74"/>
      <c r="AMU2" s="74"/>
      <c r="AMV2" s="74"/>
      <c r="AMW2" s="74"/>
      <c r="AMX2" s="74"/>
      <c r="AMY2" s="74"/>
      <c r="AMZ2" s="74"/>
      <c r="ANA2" s="74"/>
      <c r="ANB2" s="74"/>
      <c r="ANC2" s="74"/>
      <c r="AND2" s="74"/>
      <c r="ANE2" s="74"/>
      <c r="ANF2" s="74"/>
      <c r="ANG2" s="74"/>
      <c r="ANH2" s="74"/>
      <c r="ANI2" s="74"/>
      <c r="ANJ2" s="74"/>
      <c r="ANK2" s="74"/>
      <c r="ANL2" s="74"/>
      <c r="ANM2" s="74"/>
      <c r="ANN2" s="74"/>
      <c r="ANO2" s="74"/>
      <c r="ANP2" s="74"/>
      <c r="ANQ2" s="74"/>
      <c r="ANR2" s="74"/>
      <c r="ANS2" s="74"/>
      <c r="ANT2" s="74"/>
      <c r="ANU2" s="74"/>
      <c r="ANV2" s="74"/>
      <c r="ANW2" s="74"/>
      <c r="ANX2" s="74"/>
      <c r="ANY2" s="74"/>
      <c r="ANZ2" s="74"/>
      <c r="AOA2" s="74"/>
      <c r="AOB2" s="74"/>
      <c r="AOC2" s="74"/>
      <c r="AOD2" s="74"/>
      <c r="AOE2" s="74"/>
      <c r="AOF2" s="74"/>
      <c r="AOG2" s="74"/>
      <c r="AOH2" s="74"/>
      <c r="AOI2" s="74"/>
      <c r="AOJ2" s="74"/>
      <c r="AOK2" s="74"/>
      <c r="AOL2" s="74"/>
      <c r="AOM2" s="74"/>
      <c r="AON2" s="74"/>
      <c r="AOO2" s="74"/>
      <c r="AOP2" s="74"/>
      <c r="AOQ2" s="74"/>
      <c r="AOR2" s="74"/>
      <c r="AOS2" s="74"/>
      <c r="AOT2" s="74"/>
      <c r="AOU2" s="74"/>
      <c r="AOV2" s="74"/>
      <c r="AOW2" s="74"/>
      <c r="AOX2" s="74"/>
      <c r="AOY2" s="74"/>
      <c r="AOZ2" s="74"/>
      <c r="APA2" s="74"/>
      <c r="APB2" s="74"/>
      <c r="APC2" s="74"/>
      <c r="APD2" s="74"/>
      <c r="APE2" s="74"/>
      <c r="APF2" s="74"/>
      <c r="APG2" s="74"/>
      <c r="APH2" s="74"/>
      <c r="API2" s="74"/>
      <c r="APJ2" s="74"/>
      <c r="APK2" s="74"/>
      <c r="APL2" s="74"/>
      <c r="APM2" s="74"/>
      <c r="APN2" s="74"/>
      <c r="APO2" s="74"/>
      <c r="APP2" s="74"/>
      <c r="APQ2" s="74"/>
      <c r="APR2" s="74"/>
      <c r="APS2" s="74"/>
      <c r="APT2" s="74"/>
      <c r="APU2" s="74"/>
      <c r="APV2" s="74"/>
      <c r="APW2" s="74"/>
      <c r="APX2" s="74"/>
      <c r="APY2" s="74"/>
      <c r="APZ2" s="74"/>
      <c r="AQA2" s="74"/>
      <c r="AQB2" s="74"/>
      <c r="AQC2" s="74"/>
      <c r="AQD2" s="74"/>
      <c r="AQE2" s="74"/>
      <c r="AQF2" s="74"/>
      <c r="AQG2" s="74"/>
      <c r="AQH2" s="74"/>
      <c r="AQI2" s="74"/>
      <c r="AQJ2" s="74"/>
      <c r="AQK2" s="74"/>
      <c r="AQL2" s="74"/>
      <c r="AQM2" s="74"/>
      <c r="AQN2" s="74"/>
      <c r="AQO2" s="74"/>
      <c r="AQP2" s="74"/>
      <c r="AQQ2" s="74"/>
      <c r="AQR2" s="74"/>
      <c r="AQS2" s="74"/>
      <c r="AQT2" s="74"/>
      <c r="AQU2" s="74"/>
      <c r="AQV2" s="74"/>
      <c r="AQW2" s="74"/>
      <c r="AQX2" s="74"/>
      <c r="AQY2" s="74"/>
      <c r="AQZ2" s="74"/>
      <c r="ARA2" s="74"/>
      <c r="ARB2" s="74"/>
      <c r="ARC2" s="74"/>
      <c r="ARD2" s="74"/>
      <c r="ARE2" s="74"/>
      <c r="ARF2" s="74"/>
      <c r="ARG2" s="74"/>
      <c r="ARH2" s="74"/>
      <c r="ARI2" s="74"/>
      <c r="ARJ2" s="74"/>
      <c r="ARK2" s="74"/>
      <c r="ARL2" s="74"/>
      <c r="ARM2" s="74"/>
      <c r="ARN2" s="74"/>
      <c r="ARO2" s="74"/>
      <c r="ARP2" s="74"/>
      <c r="ARQ2" s="74"/>
      <c r="ARR2" s="74"/>
      <c r="ARS2" s="74"/>
      <c r="ART2" s="74"/>
      <c r="ARU2" s="74"/>
      <c r="ARV2" s="74"/>
      <c r="ARW2" s="74"/>
      <c r="ARX2" s="74"/>
      <c r="ARY2" s="74"/>
      <c r="ARZ2" s="74"/>
      <c r="ASA2" s="74"/>
      <c r="ASB2" s="74"/>
      <c r="ASC2" s="74"/>
      <c r="ASD2" s="74"/>
      <c r="ASE2" s="74"/>
      <c r="ASF2" s="74"/>
      <c r="ASG2" s="74"/>
      <c r="ASH2" s="74"/>
      <c r="ASI2" s="74"/>
      <c r="ASJ2" s="74"/>
      <c r="ASK2" s="74"/>
      <c r="ASL2" s="74"/>
      <c r="ASM2" s="74"/>
      <c r="ASN2" s="74"/>
      <c r="ASO2" s="74"/>
      <c r="ASP2" s="74"/>
      <c r="ASQ2" s="74"/>
      <c r="ASR2" s="74"/>
      <c r="ASS2" s="74"/>
      <c r="AST2" s="74"/>
      <c r="ASU2" s="74"/>
      <c r="ASV2" s="74"/>
      <c r="ASW2" s="74"/>
      <c r="ASX2" s="74"/>
      <c r="ASY2" s="74"/>
      <c r="ASZ2" s="74"/>
      <c r="ATA2" s="74"/>
      <c r="ATB2" s="74"/>
      <c r="ATC2" s="74"/>
      <c r="ATD2" s="74"/>
      <c r="ATE2" s="74"/>
      <c r="ATF2" s="74"/>
      <c r="ATG2" s="74"/>
      <c r="ATH2" s="74"/>
      <c r="ATI2" s="74"/>
      <c r="ATJ2" s="74"/>
      <c r="ATK2" s="74"/>
      <c r="ATL2" s="74"/>
      <c r="ATM2" s="74"/>
      <c r="ATN2" s="74"/>
      <c r="ATO2" s="74"/>
      <c r="ATP2" s="74"/>
      <c r="ATQ2" s="74"/>
      <c r="ATR2" s="74"/>
      <c r="ATS2" s="74"/>
      <c r="ATT2" s="74"/>
      <c r="ATU2" s="74"/>
      <c r="ATV2" s="74"/>
      <c r="ATW2" s="74"/>
      <c r="ATX2" s="74"/>
      <c r="ATY2" s="74"/>
      <c r="ATZ2" s="74"/>
      <c r="AUA2" s="74"/>
      <c r="AUB2" s="74"/>
      <c r="AUC2" s="74"/>
      <c r="AUD2" s="74"/>
      <c r="AUE2" s="74"/>
      <c r="AUF2" s="74"/>
      <c r="AUG2" s="74"/>
      <c r="AUH2" s="74"/>
      <c r="AUI2" s="74"/>
      <c r="AUJ2" s="74"/>
      <c r="AUK2" s="74"/>
      <c r="AUL2" s="74"/>
      <c r="AUM2" s="74"/>
      <c r="AUN2" s="74"/>
      <c r="AUO2" s="74"/>
      <c r="AUP2" s="74"/>
      <c r="AUQ2" s="74"/>
      <c r="AUR2" s="74"/>
      <c r="AUS2" s="74"/>
      <c r="AUT2" s="74"/>
      <c r="AUU2" s="74"/>
      <c r="AUV2" s="74"/>
      <c r="AUW2" s="74"/>
      <c r="AUX2" s="74"/>
      <c r="AUY2" s="74"/>
      <c r="AUZ2" s="74"/>
      <c r="AVA2" s="74"/>
      <c r="AVB2" s="74"/>
      <c r="AVC2" s="74"/>
      <c r="AVD2" s="74"/>
      <c r="AVE2" s="74"/>
      <c r="AVF2" s="74"/>
      <c r="AVG2" s="74"/>
      <c r="AVH2" s="74"/>
      <c r="AVI2" s="74"/>
      <c r="AVJ2" s="74"/>
      <c r="AVK2" s="74"/>
      <c r="AVL2" s="74"/>
      <c r="AVM2" s="74"/>
      <c r="AVN2" s="74"/>
      <c r="AVO2" s="74"/>
      <c r="AVP2" s="74"/>
      <c r="AVQ2" s="74"/>
      <c r="AVR2" s="74"/>
      <c r="AVS2" s="74"/>
      <c r="AVT2" s="74"/>
      <c r="AVU2" s="74"/>
      <c r="AVV2" s="74"/>
      <c r="AVW2" s="74"/>
      <c r="AVX2" s="74"/>
      <c r="AVY2" s="74"/>
      <c r="AVZ2" s="74"/>
      <c r="AWA2" s="74"/>
      <c r="AWB2" s="74"/>
      <c r="AWC2" s="74"/>
      <c r="AWD2" s="74"/>
      <c r="AWE2" s="74"/>
      <c r="AWF2" s="74"/>
      <c r="AWG2" s="74"/>
      <c r="AWH2" s="74"/>
      <c r="AWI2" s="74"/>
      <c r="AWJ2" s="74"/>
      <c r="AWK2" s="74"/>
      <c r="AWL2" s="74"/>
      <c r="AWM2" s="74"/>
      <c r="AWN2" s="74"/>
      <c r="AWO2" s="74"/>
      <c r="AWP2" s="74"/>
      <c r="AWQ2" s="74"/>
      <c r="AWR2" s="74"/>
      <c r="AWS2" s="74"/>
      <c r="AWT2" s="74"/>
      <c r="AWU2" s="74"/>
      <c r="AWV2" s="74"/>
      <c r="AWW2" s="74"/>
      <c r="AWX2" s="74"/>
      <c r="AWY2" s="74"/>
      <c r="AWZ2" s="74"/>
      <c r="AXA2" s="74"/>
      <c r="AXB2" s="74"/>
      <c r="AXC2" s="74"/>
      <c r="AXD2" s="74"/>
      <c r="AXE2" s="74"/>
      <c r="AXF2" s="74"/>
      <c r="AXG2" s="74"/>
      <c r="AXH2" s="74"/>
      <c r="AXI2" s="74"/>
      <c r="AXJ2" s="74"/>
      <c r="AXK2" s="74"/>
      <c r="AXL2" s="74"/>
      <c r="AXM2" s="74"/>
      <c r="AXN2" s="74"/>
      <c r="AXO2" s="74"/>
      <c r="AXP2" s="74"/>
      <c r="AXQ2" s="74"/>
      <c r="AXR2" s="74"/>
      <c r="AXS2" s="74"/>
      <c r="AXT2" s="74"/>
      <c r="AXU2" s="74"/>
      <c r="AXV2" s="74"/>
      <c r="AXW2" s="74"/>
      <c r="AXX2" s="74"/>
      <c r="AXY2" s="74"/>
      <c r="AXZ2" s="74"/>
      <c r="AYA2" s="74"/>
      <c r="AYB2" s="74"/>
      <c r="AYC2" s="74"/>
      <c r="AYD2" s="74"/>
      <c r="AYE2" s="74"/>
      <c r="AYF2" s="74"/>
      <c r="AYG2" s="74"/>
      <c r="AYH2" s="74"/>
      <c r="AYI2" s="74"/>
      <c r="AYJ2" s="74"/>
      <c r="AYK2" s="74"/>
      <c r="AYL2" s="74"/>
      <c r="AYM2" s="74"/>
      <c r="AYN2" s="74"/>
      <c r="AYO2" s="74"/>
      <c r="AYP2" s="74"/>
      <c r="AYQ2" s="74"/>
      <c r="AYR2" s="74"/>
      <c r="AYS2" s="74"/>
      <c r="AYT2" s="74"/>
      <c r="AYU2" s="74"/>
      <c r="AYV2" s="74"/>
      <c r="AYW2" s="74"/>
      <c r="AYX2" s="74"/>
      <c r="AYY2" s="74"/>
      <c r="AYZ2" s="74"/>
      <c r="AZA2" s="74"/>
      <c r="AZB2" s="74"/>
      <c r="AZC2" s="74"/>
      <c r="AZD2" s="74"/>
      <c r="AZE2" s="74"/>
      <c r="AZF2" s="74"/>
      <c r="AZG2" s="74"/>
      <c r="AZH2" s="74"/>
      <c r="AZI2" s="74"/>
      <c r="AZJ2" s="74"/>
      <c r="AZK2" s="74"/>
      <c r="AZL2" s="74"/>
      <c r="AZM2" s="74"/>
      <c r="AZN2" s="74"/>
      <c r="AZO2" s="74"/>
      <c r="AZP2" s="74"/>
      <c r="AZQ2" s="74"/>
      <c r="AZR2" s="74"/>
      <c r="AZS2" s="74"/>
      <c r="AZT2" s="74"/>
      <c r="AZU2" s="74"/>
      <c r="AZV2" s="74"/>
      <c r="AZW2" s="74"/>
      <c r="AZX2" s="74"/>
      <c r="AZY2" s="74"/>
      <c r="AZZ2" s="74"/>
      <c r="BAA2" s="74"/>
      <c r="BAB2" s="74"/>
      <c r="BAC2" s="74"/>
      <c r="BAD2" s="74"/>
      <c r="BAE2" s="74"/>
      <c r="BAF2" s="74"/>
      <c r="BAG2" s="74"/>
      <c r="BAH2" s="74"/>
      <c r="BAI2" s="74"/>
      <c r="BAJ2" s="74"/>
      <c r="BAK2" s="74"/>
      <c r="BAL2" s="74"/>
      <c r="BAM2" s="74"/>
      <c r="BAN2" s="74"/>
      <c r="BAO2" s="74"/>
      <c r="BAP2" s="74"/>
      <c r="BAQ2" s="74"/>
      <c r="BAR2" s="74"/>
      <c r="BAS2" s="74"/>
      <c r="BAT2" s="74"/>
      <c r="BAU2" s="74"/>
      <c r="BAV2" s="74"/>
      <c r="BAW2" s="74"/>
      <c r="BAX2" s="74"/>
      <c r="BAY2" s="74"/>
      <c r="BAZ2" s="74"/>
      <c r="BBA2" s="74"/>
      <c r="BBB2" s="74"/>
      <c r="BBC2" s="74"/>
      <c r="BBD2" s="74"/>
      <c r="BBE2" s="74"/>
      <c r="BBF2" s="74"/>
      <c r="BBG2" s="74"/>
      <c r="BBH2" s="74"/>
      <c r="BBI2" s="74"/>
      <c r="BBJ2" s="74"/>
      <c r="BBK2" s="74"/>
      <c r="BBL2" s="74"/>
      <c r="BBM2" s="74"/>
      <c r="BBN2" s="74"/>
      <c r="BBO2" s="74"/>
      <c r="BBP2" s="74"/>
      <c r="BBQ2" s="74"/>
      <c r="BBR2" s="74"/>
      <c r="BBS2" s="74"/>
      <c r="BBT2" s="74"/>
      <c r="BBU2" s="74"/>
      <c r="BBV2" s="74"/>
      <c r="BBW2" s="74"/>
      <c r="BBX2" s="74"/>
      <c r="BBY2" s="74"/>
      <c r="BBZ2" s="74"/>
      <c r="BCA2" s="74"/>
      <c r="BCB2" s="74"/>
      <c r="BCC2" s="74"/>
      <c r="BCD2" s="74"/>
      <c r="BCE2" s="74"/>
      <c r="BCF2" s="74"/>
      <c r="BCG2" s="74"/>
      <c r="BCH2" s="74"/>
      <c r="BCI2" s="74"/>
      <c r="BCJ2" s="74"/>
      <c r="BCK2" s="74"/>
      <c r="BCL2" s="74"/>
      <c r="BCM2" s="74"/>
      <c r="BCN2" s="74"/>
      <c r="BCO2" s="74"/>
      <c r="BCP2" s="74"/>
      <c r="BCQ2" s="74"/>
      <c r="BCR2" s="74"/>
      <c r="BCS2" s="74"/>
      <c r="BCT2" s="74"/>
      <c r="BCU2" s="74"/>
      <c r="BCV2" s="74"/>
      <c r="BCW2" s="74"/>
      <c r="BCX2" s="74"/>
      <c r="BCY2" s="74"/>
      <c r="BCZ2" s="74"/>
      <c r="BDA2" s="74"/>
      <c r="BDB2" s="74"/>
      <c r="BDC2" s="74"/>
      <c r="BDD2" s="74"/>
      <c r="BDE2" s="74"/>
      <c r="BDF2" s="74"/>
      <c r="BDG2" s="74"/>
      <c r="BDH2" s="74"/>
      <c r="BDI2" s="74"/>
      <c r="BDJ2" s="74"/>
      <c r="BDK2" s="74"/>
      <c r="BDL2" s="74"/>
      <c r="BDM2" s="74"/>
      <c r="BDN2" s="74"/>
      <c r="BDO2" s="74"/>
      <c r="BDP2" s="74"/>
      <c r="BDQ2" s="74"/>
      <c r="BDR2" s="74"/>
      <c r="BDS2" s="74"/>
      <c r="BDT2" s="74"/>
      <c r="BDU2" s="74"/>
      <c r="BDV2" s="74"/>
      <c r="BDW2" s="74"/>
      <c r="BDX2" s="74"/>
      <c r="BDY2" s="74"/>
      <c r="BDZ2" s="74"/>
      <c r="BEA2" s="74"/>
      <c r="BEB2" s="74"/>
      <c r="BEC2" s="74"/>
      <c r="BED2" s="74"/>
      <c r="BEE2" s="74"/>
      <c r="BEF2" s="74"/>
      <c r="BEG2" s="74"/>
      <c r="BEH2" s="74"/>
      <c r="BEI2" s="74"/>
      <c r="BEJ2" s="74"/>
      <c r="BEK2" s="74"/>
      <c r="BEL2" s="74"/>
      <c r="BEM2" s="74"/>
      <c r="BEN2" s="74"/>
      <c r="BEO2" s="74"/>
      <c r="BEP2" s="74"/>
      <c r="BEQ2" s="74"/>
      <c r="BER2" s="74"/>
      <c r="BES2" s="74"/>
      <c r="BET2" s="74"/>
      <c r="BEU2" s="74"/>
      <c r="BEV2" s="74"/>
      <c r="BEW2" s="74"/>
      <c r="BEX2" s="74"/>
      <c r="BEY2" s="74"/>
      <c r="BEZ2" s="74"/>
      <c r="BFA2" s="74"/>
      <c r="BFB2" s="74"/>
      <c r="BFC2" s="74"/>
      <c r="BFD2" s="74"/>
      <c r="BFE2" s="74"/>
      <c r="BFF2" s="74"/>
      <c r="BFG2" s="74"/>
      <c r="BFH2" s="74"/>
      <c r="BFI2" s="74"/>
      <c r="BFJ2" s="74"/>
      <c r="BFK2" s="74"/>
      <c r="BFL2" s="74"/>
      <c r="BFM2" s="74"/>
      <c r="BFN2" s="74"/>
      <c r="BFO2" s="74"/>
      <c r="BFP2" s="74"/>
      <c r="BFQ2" s="74"/>
      <c r="BFR2" s="74"/>
      <c r="BFS2" s="74"/>
      <c r="BFT2" s="74"/>
      <c r="BFU2" s="74"/>
      <c r="BFV2" s="74"/>
      <c r="BFW2" s="74"/>
      <c r="BFX2" s="74"/>
      <c r="BFY2" s="74"/>
      <c r="BFZ2" s="74"/>
      <c r="BGA2" s="74"/>
      <c r="BGB2" s="74"/>
      <c r="BGC2" s="74"/>
      <c r="BGD2" s="74"/>
      <c r="BGE2" s="74"/>
      <c r="BGF2" s="74"/>
      <c r="BGG2" s="74"/>
      <c r="BGH2" s="74"/>
      <c r="BGI2" s="74"/>
      <c r="BGJ2" s="74"/>
      <c r="BGK2" s="74"/>
      <c r="BGL2" s="74"/>
      <c r="BGM2" s="74"/>
      <c r="BGN2" s="74"/>
      <c r="BGO2" s="74"/>
      <c r="BGP2" s="74"/>
      <c r="BGQ2" s="74"/>
      <c r="BGR2" s="74"/>
      <c r="BGS2" s="74"/>
      <c r="BGT2" s="74"/>
      <c r="BGU2" s="74"/>
      <c r="BGV2" s="74"/>
      <c r="BGW2" s="74"/>
      <c r="BGX2" s="74"/>
      <c r="BGY2" s="74"/>
      <c r="BGZ2" s="74"/>
      <c r="BHA2" s="74"/>
      <c r="BHB2" s="74"/>
      <c r="BHC2" s="74"/>
      <c r="BHD2" s="74"/>
      <c r="BHE2" s="74"/>
      <c r="BHF2" s="74"/>
      <c r="BHG2" s="74"/>
      <c r="BHH2" s="74"/>
      <c r="BHI2" s="74"/>
      <c r="BHJ2" s="74"/>
      <c r="BHK2" s="74"/>
      <c r="BHL2" s="74"/>
      <c r="BHM2" s="74"/>
      <c r="BHN2" s="74"/>
      <c r="BHO2" s="74"/>
      <c r="BHP2" s="74"/>
      <c r="BHQ2" s="74"/>
      <c r="BHR2" s="74"/>
      <c r="BHS2" s="74"/>
      <c r="BHT2" s="74"/>
      <c r="BHU2" s="74"/>
      <c r="BHV2" s="74"/>
      <c r="BHW2" s="74"/>
      <c r="BHX2" s="74"/>
      <c r="BHY2" s="74"/>
      <c r="BHZ2" s="74"/>
      <c r="BIA2" s="74"/>
      <c r="BIB2" s="74"/>
      <c r="BIC2" s="74"/>
      <c r="BID2" s="74"/>
      <c r="BIE2" s="74"/>
      <c r="BIF2" s="74"/>
      <c r="BIG2" s="74"/>
      <c r="BIH2" s="74"/>
      <c r="BII2" s="74"/>
      <c r="BIJ2" s="74"/>
      <c r="BIK2" s="74"/>
      <c r="BIL2" s="74"/>
      <c r="BIM2" s="74"/>
      <c r="BIN2" s="74"/>
      <c r="BIO2" s="74"/>
      <c r="BIP2" s="74"/>
      <c r="BIQ2" s="74"/>
      <c r="BIR2" s="74"/>
      <c r="BIS2" s="74"/>
      <c r="BIT2" s="74"/>
      <c r="BIU2" s="74"/>
      <c r="BIV2" s="74"/>
      <c r="BIW2" s="74"/>
      <c r="BIX2" s="74"/>
      <c r="BIY2" s="74"/>
      <c r="BIZ2" s="74"/>
      <c r="BJA2" s="74"/>
      <c r="BJB2" s="74"/>
      <c r="BJC2" s="74"/>
      <c r="BJD2" s="74"/>
      <c r="BJE2" s="74"/>
      <c r="BJF2" s="74"/>
      <c r="BJG2" s="74"/>
      <c r="BJH2" s="74"/>
      <c r="BJI2" s="74"/>
      <c r="BJJ2" s="74"/>
      <c r="BJK2" s="74"/>
      <c r="BJL2" s="74"/>
      <c r="BJM2" s="74"/>
      <c r="BJN2" s="74"/>
      <c r="BJO2" s="74"/>
      <c r="BJP2" s="74"/>
      <c r="BJQ2" s="74"/>
      <c r="BJR2" s="74"/>
      <c r="BJS2" s="74"/>
      <c r="BJT2" s="74"/>
      <c r="BJU2" s="74"/>
      <c r="BJV2" s="74"/>
      <c r="BJW2" s="74"/>
      <c r="BJX2" s="74"/>
      <c r="BJY2" s="74"/>
      <c r="BJZ2" s="74"/>
      <c r="BKA2" s="74"/>
      <c r="BKB2" s="74"/>
      <c r="BKC2" s="74"/>
      <c r="BKD2" s="74"/>
      <c r="BKE2" s="74"/>
      <c r="BKF2" s="74"/>
      <c r="BKG2" s="74"/>
      <c r="BKH2" s="74"/>
      <c r="BKI2" s="74"/>
      <c r="BKJ2" s="74"/>
      <c r="BKK2" s="74"/>
      <c r="BKL2" s="74"/>
      <c r="BKM2" s="74"/>
      <c r="BKN2" s="74"/>
      <c r="BKO2" s="74"/>
      <c r="BKP2" s="74"/>
      <c r="BKQ2" s="74"/>
      <c r="BKR2" s="74"/>
      <c r="BKS2" s="74"/>
      <c r="BKT2" s="74"/>
      <c r="BKU2" s="74"/>
      <c r="BKV2" s="74"/>
      <c r="BKW2" s="74"/>
      <c r="BKX2" s="74"/>
      <c r="BKY2" s="74"/>
      <c r="BKZ2" s="74"/>
      <c r="BLA2" s="74"/>
      <c r="BLB2" s="74"/>
      <c r="BLC2" s="74"/>
      <c r="BLD2" s="74"/>
      <c r="BLE2" s="74"/>
      <c r="BLF2" s="74"/>
      <c r="BLG2" s="74"/>
      <c r="BLH2" s="74"/>
      <c r="BLI2" s="74"/>
      <c r="BLJ2" s="74"/>
      <c r="BLK2" s="74"/>
      <c r="BLL2" s="74"/>
      <c r="BLM2" s="74"/>
      <c r="BLN2" s="74"/>
      <c r="BLO2" s="74"/>
      <c r="BLP2" s="74"/>
      <c r="BLQ2" s="74"/>
      <c r="BLR2" s="74"/>
      <c r="BLS2" s="74"/>
      <c r="BLT2" s="74"/>
      <c r="BLU2" s="74"/>
      <c r="BLV2" s="74"/>
      <c r="BLW2" s="74"/>
      <c r="BLX2" s="74"/>
      <c r="BLY2" s="74"/>
      <c r="BLZ2" s="74"/>
      <c r="BMA2" s="74"/>
      <c r="BMB2" s="74"/>
      <c r="BMC2" s="74"/>
      <c r="BMD2" s="74"/>
      <c r="BME2" s="74"/>
      <c r="BMF2" s="74"/>
      <c r="BMG2" s="74"/>
      <c r="BMH2" s="74"/>
      <c r="BMI2" s="74"/>
      <c r="BMJ2" s="74"/>
      <c r="BMK2" s="74"/>
      <c r="BML2" s="74"/>
      <c r="BMM2" s="74"/>
      <c r="BMN2" s="74"/>
      <c r="BMO2" s="74"/>
      <c r="BMP2" s="74"/>
      <c r="BMQ2" s="74"/>
      <c r="BMR2" s="74"/>
      <c r="BMS2" s="74"/>
      <c r="BMT2" s="74"/>
      <c r="BMU2" s="74"/>
      <c r="BMV2" s="74"/>
      <c r="BMW2" s="74"/>
      <c r="BMX2" s="74"/>
      <c r="BMY2" s="74"/>
      <c r="BMZ2" s="74"/>
      <c r="BNA2" s="74"/>
      <c r="BNB2" s="74"/>
      <c r="BNC2" s="74"/>
      <c r="BND2" s="74"/>
      <c r="BNE2" s="74"/>
      <c r="BNF2" s="74"/>
      <c r="BNG2" s="74"/>
      <c r="BNH2" s="74"/>
      <c r="BNI2" s="74"/>
      <c r="BNJ2" s="74"/>
      <c r="BNK2" s="74"/>
      <c r="BNL2" s="74"/>
      <c r="BNM2" s="74"/>
      <c r="BNN2" s="74"/>
      <c r="BNO2" s="74"/>
      <c r="BNP2" s="74"/>
      <c r="BNQ2" s="74"/>
      <c r="BNR2" s="74"/>
      <c r="BNS2" s="74"/>
      <c r="BNT2" s="74"/>
      <c r="BNU2" s="74"/>
      <c r="BNV2" s="74"/>
      <c r="BNW2" s="74"/>
      <c r="BNX2" s="74"/>
      <c r="BNY2" s="74"/>
      <c r="BNZ2" s="74"/>
      <c r="BOA2" s="74"/>
      <c r="BOB2" s="74"/>
      <c r="BOC2" s="74"/>
      <c r="BOD2" s="74"/>
      <c r="BOE2" s="74"/>
      <c r="BOF2" s="74"/>
      <c r="BOG2" s="74"/>
      <c r="BOH2" s="74"/>
      <c r="BOI2" s="74"/>
      <c r="BOJ2" s="74"/>
      <c r="BOK2" s="74"/>
      <c r="BOL2" s="74"/>
      <c r="BOM2" s="74"/>
      <c r="BON2" s="74"/>
      <c r="BOO2" s="74"/>
      <c r="BOP2" s="74"/>
      <c r="BOQ2" s="74"/>
      <c r="BOR2" s="74"/>
      <c r="BOS2" s="74"/>
      <c r="BOT2" s="74"/>
      <c r="BOU2" s="74"/>
      <c r="BOV2" s="74"/>
      <c r="BOW2" s="74"/>
      <c r="BOX2" s="74"/>
      <c r="BOY2" s="74"/>
      <c r="BOZ2" s="74"/>
      <c r="BPA2" s="74"/>
      <c r="BPB2" s="74"/>
      <c r="BPC2" s="74"/>
      <c r="BPD2" s="74"/>
      <c r="BPE2" s="74"/>
      <c r="BPF2" s="74"/>
      <c r="BPG2" s="74"/>
      <c r="BPH2" s="74"/>
      <c r="BPI2" s="74"/>
      <c r="BPJ2" s="74"/>
      <c r="BPK2" s="74"/>
      <c r="BPL2" s="74"/>
      <c r="BPM2" s="74"/>
      <c r="BPN2" s="74"/>
      <c r="BPO2" s="74"/>
      <c r="BPP2" s="74"/>
      <c r="BPQ2" s="74"/>
      <c r="BPR2" s="74"/>
      <c r="BPS2" s="74"/>
      <c r="BPT2" s="74"/>
      <c r="BPU2" s="74"/>
      <c r="BPV2" s="74"/>
      <c r="BPW2" s="74"/>
      <c r="BPX2" s="74"/>
      <c r="BPY2" s="74"/>
      <c r="BPZ2" s="74"/>
      <c r="BQA2" s="74"/>
      <c r="BQB2" s="74"/>
      <c r="BQC2" s="74"/>
      <c r="BQD2" s="74"/>
      <c r="BQE2" s="74"/>
      <c r="BQF2" s="74"/>
      <c r="BQG2" s="74"/>
      <c r="BQH2" s="74"/>
      <c r="BQI2" s="74"/>
      <c r="BQJ2" s="74"/>
      <c r="BQK2" s="74"/>
      <c r="BQL2" s="74"/>
      <c r="BQM2" s="74"/>
      <c r="BQN2" s="74"/>
      <c r="BQO2" s="74"/>
      <c r="BQP2" s="74"/>
      <c r="BQQ2" s="74"/>
      <c r="BQR2" s="74"/>
      <c r="BQS2" s="74"/>
      <c r="BQT2" s="74"/>
      <c r="BQU2" s="74"/>
      <c r="BQV2" s="74"/>
      <c r="BQW2" s="74"/>
      <c r="BQX2" s="74"/>
      <c r="BQY2" s="74"/>
      <c r="BQZ2" s="74"/>
      <c r="BRA2" s="74"/>
      <c r="BRB2" s="74"/>
      <c r="BRC2" s="74"/>
      <c r="BRD2" s="74"/>
      <c r="BRE2" s="74"/>
      <c r="BRF2" s="74"/>
      <c r="BRG2" s="74"/>
      <c r="BRH2" s="74"/>
      <c r="BRI2" s="74"/>
      <c r="BRJ2" s="74"/>
      <c r="BRK2" s="74"/>
      <c r="BRL2" s="74"/>
      <c r="BRM2" s="74"/>
      <c r="BRN2" s="74"/>
      <c r="BRO2" s="74"/>
      <c r="BRP2" s="74"/>
      <c r="BRQ2" s="74"/>
      <c r="BRR2" s="74"/>
      <c r="BRS2" s="74"/>
      <c r="BRT2" s="74"/>
      <c r="BRU2" s="74"/>
      <c r="BRV2" s="74"/>
      <c r="BRW2" s="74"/>
      <c r="BRX2" s="74"/>
      <c r="BRY2" s="74"/>
      <c r="BRZ2" s="74"/>
      <c r="BSA2" s="74"/>
      <c r="BSB2" s="74"/>
      <c r="BSC2" s="74"/>
      <c r="BSD2" s="74"/>
      <c r="BSE2" s="74"/>
      <c r="BSF2" s="74"/>
      <c r="BSG2" s="74"/>
      <c r="BSH2" s="74"/>
      <c r="BSI2" s="74"/>
      <c r="BSJ2" s="74"/>
      <c r="BSK2" s="74"/>
      <c r="BSL2" s="74"/>
      <c r="BSM2" s="74"/>
      <c r="BSN2" s="74"/>
      <c r="BSO2" s="74"/>
      <c r="BSP2" s="74"/>
      <c r="BSQ2" s="74"/>
      <c r="BSR2" s="74"/>
      <c r="BSS2" s="74"/>
      <c r="BST2" s="74"/>
      <c r="BSU2" s="74"/>
      <c r="BSV2" s="74"/>
      <c r="BSW2" s="74"/>
      <c r="BSX2" s="74"/>
      <c r="BSY2" s="74"/>
      <c r="BSZ2" s="74"/>
      <c r="BTA2" s="74"/>
      <c r="BTB2" s="74"/>
      <c r="BTC2" s="74"/>
      <c r="BTD2" s="74"/>
      <c r="BTE2" s="74"/>
      <c r="BTF2" s="74"/>
      <c r="BTG2" s="74"/>
      <c r="BTH2" s="74"/>
      <c r="BTI2" s="74"/>
      <c r="BTJ2" s="74"/>
      <c r="BTK2" s="74"/>
      <c r="BTL2" s="74"/>
      <c r="BTM2" s="74"/>
      <c r="BTN2" s="74"/>
      <c r="BTO2" s="74"/>
      <c r="BTP2" s="74"/>
      <c r="BTQ2" s="74"/>
      <c r="BTR2" s="74"/>
      <c r="BTS2" s="74"/>
      <c r="BTT2" s="74"/>
      <c r="BTU2" s="74"/>
      <c r="BTV2" s="74"/>
      <c r="BTW2" s="74"/>
      <c r="BTX2" s="74"/>
      <c r="BTY2" s="74"/>
      <c r="BTZ2" s="74"/>
      <c r="BUA2" s="74"/>
      <c r="BUB2" s="74"/>
      <c r="BUC2" s="74"/>
      <c r="BUD2" s="74"/>
      <c r="BUE2" s="74"/>
      <c r="BUF2" s="74"/>
      <c r="BUG2" s="74"/>
      <c r="BUH2" s="74"/>
      <c r="BUI2" s="74"/>
      <c r="BUJ2" s="74"/>
      <c r="BUK2" s="74"/>
      <c r="BUL2" s="74"/>
      <c r="BUM2" s="74"/>
      <c r="BUN2" s="74"/>
      <c r="BUO2" s="74"/>
      <c r="BUP2" s="74"/>
      <c r="BUQ2" s="74"/>
      <c r="BUR2" s="74"/>
      <c r="BUS2" s="74"/>
      <c r="BUT2" s="74"/>
      <c r="BUU2" s="74"/>
      <c r="BUV2" s="74"/>
      <c r="BUW2" s="74"/>
      <c r="BUX2" s="74"/>
      <c r="BUY2" s="74"/>
      <c r="BUZ2" s="74"/>
      <c r="BVA2" s="74"/>
      <c r="BVB2" s="74"/>
      <c r="BVC2" s="74"/>
      <c r="BVD2" s="74"/>
      <c r="BVE2" s="74"/>
      <c r="BVF2" s="74"/>
      <c r="BVG2" s="74"/>
      <c r="BVH2" s="74"/>
      <c r="BVI2" s="74"/>
      <c r="BVJ2" s="74"/>
      <c r="BVK2" s="74"/>
      <c r="BVL2" s="74"/>
      <c r="BVM2" s="74"/>
      <c r="BVN2" s="74"/>
      <c r="BVO2" s="74"/>
      <c r="BVP2" s="74"/>
      <c r="BVQ2" s="74"/>
      <c r="BVR2" s="74"/>
      <c r="BVS2" s="74"/>
      <c r="BVT2" s="74"/>
      <c r="BVU2" s="74"/>
      <c r="BVV2" s="74"/>
      <c r="BVW2" s="74"/>
      <c r="BVX2" s="74"/>
      <c r="BVY2" s="74"/>
      <c r="BVZ2" s="74"/>
      <c r="BWA2" s="74"/>
      <c r="BWB2" s="74"/>
      <c r="BWC2" s="74"/>
      <c r="BWD2" s="74"/>
      <c r="BWE2" s="74"/>
      <c r="BWF2" s="74"/>
      <c r="BWG2" s="74"/>
      <c r="BWH2" s="74"/>
      <c r="BWI2" s="74"/>
      <c r="BWJ2" s="74"/>
      <c r="BWK2" s="74"/>
      <c r="BWL2" s="74"/>
      <c r="BWM2" s="74"/>
      <c r="BWN2" s="74"/>
      <c r="BWO2" s="74"/>
      <c r="BWP2" s="74"/>
      <c r="BWQ2" s="74"/>
      <c r="BWR2" s="74"/>
      <c r="BWS2" s="74"/>
      <c r="BWT2" s="74"/>
      <c r="BWU2" s="74"/>
      <c r="BWV2" s="74"/>
      <c r="BWW2" s="74"/>
      <c r="BWX2" s="74"/>
      <c r="BWY2" s="74"/>
      <c r="BWZ2" s="74"/>
      <c r="BXA2" s="74"/>
      <c r="BXB2" s="74"/>
      <c r="BXC2" s="74"/>
      <c r="BXD2" s="74"/>
      <c r="BXE2" s="74"/>
      <c r="BXF2" s="74"/>
      <c r="BXG2" s="74"/>
      <c r="BXH2" s="74"/>
      <c r="BXI2" s="74"/>
      <c r="BXJ2" s="74"/>
      <c r="BXK2" s="74"/>
      <c r="BXL2" s="74"/>
      <c r="BXM2" s="74"/>
      <c r="BXN2" s="74"/>
      <c r="BXO2" s="74"/>
      <c r="BXP2" s="74"/>
      <c r="BXQ2" s="74"/>
      <c r="BXR2" s="74"/>
      <c r="BXS2" s="74"/>
      <c r="BXT2" s="74"/>
      <c r="BXU2" s="74"/>
      <c r="BXV2" s="74"/>
      <c r="BXW2" s="74"/>
      <c r="BXX2" s="74"/>
      <c r="BXY2" s="74"/>
      <c r="BXZ2" s="74"/>
      <c r="BYA2" s="74"/>
      <c r="BYB2" s="74"/>
      <c r="BYC2" s="74"/>
      <c r="BYD2" s="74"/>
      <c r="BYE2" s="74"/>
      <c r="BYF2" s="74"/>
      <c r="BYG2" s="74"/>
      <c r="BYH2" s="74"/>
      <c r="BYI2" s="74"/>
      <c r="BYJ2" s="74"/>
      <c r="BYK2" s="74"/>
      <c r="BYL2" s="74"/>
      <c r="BYM2" s="74"/>
      <c r="BYN2" s="74"/>
      <c r="BYO2" s="74"/>
      <c r="BYP2" s="74"/>
      <c r="BYQ2" s="74"/>
      <c r="BYR2" s="74"/>
      <c r="BYS2" s="74"/>
      <c r="BYT2" s="74"/>
      <c r="BYU2" s="74"/>
      <c r="BYV2" s="74"/>
      <c r="BYW2" s="74"/>
      <c r="BYX2" s="74"/>
      <c r="BYY2" s="74"/>
      <c r="BYZ2" s="74"/>
      <c r="BZA2" s="74"/>
      <c r="BZB2" s="74"/>
      <c r="BZC2" s="74"/>
      <c r="BZD2" s="74"/>
      <c r="BZE2" s="74"/>
      <c r="BZF2" s="74"/>
      <c r="BZG2" s="74"/>
      <c r="BZH2" s="74"/>
      <c r="BZI2" s="74"/>
      <c r="BZJ2" s="74"/>
      <c r="BZK2" s="74"/>
      <c r="BZL2" s="74"/>
      <c r="BZM2" s="74"/>
      <c r="BZN2" s="74"/>
      <c r="BZO2" s="74"/>
      <c r="BZP2" s="74"/>
      <c r="BZQ2" s="74"/>
      <c r="BZR2" s="74"/>
      <c r="BZS2" s="74"/>
      <c r="BZT2" s="74"/>
      <c r="BZU2" s="74"/>
      <c r="BZV2" s="74"/>
      <c r="BZW2" s="74"/>
      <c r="BZX2" s="74"/>
      <c r="BZY2" s="74"/>
      <c r="BZZ2" s="74"/>
      <c r="CAA2" s="74"/>
      <c r="CAB2" s="74"/>
      <c r="CAC2" s="74"/>
      <c r="CAD2" s="74"/>
      <c r="CAE2" s="74"/>
      <c r="CAF2" s="74"/>
      <c r="CAG2" s="74"/>
      <c r="CAH2" s="74"/>
      <c r="CAI2" s="74"/>
      <c r="CAJ2" s="74"/>
      <c r="CAK2" s="74"/>
      <c r="CAL2" s="74"/>
      <c r="CAM2" s="74"/>
      <c r="CAN2" s="74"/>
      <c r="CAO2" s="74"/>
      <c r="CAP2" s="74"/>
      <c r="CAQ2" s="74"/>
      <c r="CAR2" s="74"/>
      <c r="CAS2" s="74"/>
      <c r="CAT2" s="74"/>
      <c r="CAU2" s="74"/>
      <c r="CAV2" s="74"/>
      <c r="CAW2" s="74"/>
      <c r="CAX2" s="74"/>
      <c r="CAY2" s="74"/>
      <c r="CAZ2" s="74"/>
      <c r="CBA2" s="74"/>
      <c r="CBB2" s="74"/>
      <c r="CBC2" s="74"/>
      <c r="CBD2" s="74"/>
      <c r="CBE2" s="74"/>
      <c r="CBF2" s="74"/>
      <c r="CBG2" s="74"/>
      <c r="CBH2" s="74"/>
      <c r="CBI2" s="74"/>
      <c r="CBJ2" s="74"/>
      <c r="CBK2" s="74"/>
      <c r="CBL2" s="74"/>
      <c r="CBM2" s="74"/>
      <c r="CBN2" s="74"/>
      <c r="CBO2" s="74"/>
      <c r="CBP2" s="74"/>
      <c r="CBQ2" s="74"/>
      <c r="CBR2" s="74"/>
      <c r="CBS2" s="74"/>
      <c r="CBT2" s="74"/>
      <c r="CBU2" s="74"/>
      <c r="CBV2" s="74"/>
      <c r="CBW2" s="74"/>
      <c r="CBX2" s="74"/>
      <c r="CBY2" s="74"/>
      <c r="CBZ2" s="74"/>
      <c r="CCA2" s="74"/>
      <c r="CCB2" s="74"/>
      <c r="CCC2" s="74"/>
      <c r="CCD2" s="74"/>
      <c r="CCE2" s="74"/>
      <c r="CCF2" s="74"/>
      <c r="CCG2" s="74"/>
      <c r="CCH2" s="74"/>
      <c r="CCI2" s="74"/>
      <c r="CCJ2" s="74"/>
      <c r="CCK2" s="74"/>
      <c r="CCL2" s="74"/>
      <c r="CCM2" s="74"/>
      <c r="CCN2" s="74"/>
      <c r="CCO2" s="74"/>
      <c r="CCP2" s="74"/>
      <c r="CCQ2" s="74"/>
      <c r="CCR2" s="74"/>
      <c r="CCS2" s="74"/>
      <c r="CCT2" s="74"/>
      <c r="CCU2" s="74"/>
      <c r="CCV2" s="74"/>
      <c r="CCW2" s="74"/>
      <c r="CCX2" s="74"/>
      <c r="CCY2" s="74"/>
      <c r="CCZ2" s="74"/>
      <c r="CDA2" s="74"/>
      <c r="CDB2" s="74"/>
      <c r="CDC2" s="74"/>
      <c r="CDD2" s="74"/>
      <c r="CDE2" s="74"/>
      <c r="CDF2" s="74"/>
      <c r="CDG2" s="74"/>
      <c r="CDH2" s="74"/>
      <c r="CDI2" s="74"/>
      <c r="CDJ2" s="74"/>
      <c r="CDK2" s="74"/>
      <c r="CDL2" s="74"/>
      <c r="CDM2" s="74"/>
      <c r="CDN2" s="74"/>
      <c r="CDO2" s="74"/>
      <c r="CDP2" s="74"/>
      <c r="CDQ2" s="74"/>
      <c r="CDR2" s="74"/>
      <c r="CDS2" s="74"/>
      <c r="CDT2" s="74"/>
      <c r="CDU2" s="74"/>
      <c r="CDV2" s="74"/>
      <c r="CDW2" s="74"/>
      <c r="CDX2" s="74"/>
      <c r="CDY2" s="74"/>
      <c r="CDZ2" s="74"/>
      <c r="CEA2" s="74"/>
      <c r="CEB2" s="74"/>
      <c r="CEC2" s="74"/>
      <c r="CED2" s="74"/>
      <c r="CEE2" s="74"/>
      <c r="CEF2" s="74"/>
      <c r="CEG2" s="74"/>
      <c r="CEH2" s="74"/>
      <c r="CEI2" s="74"/>
      <c r="CEJ2" s="74"/>
      <c r="CEK2" s="74"/>
      <c r="CEL2" s="74"/>
      <c r="CEM2" s="74"/>
      <c r="CEN2" s="74"/>
      <c r="CEO2" s="74"/>
      <c r="CEP2" s="74"/>
      <c r="CEQ2" s="74"/>
      <c r="CER2" s="74"/>
      <c r="CES2" s="74"/>
      <c r="CET2" s="74"/>
      <c r="CEU2" s="74"/>
      <c r="CEV2" s="74"/>
      <c r="CEW2" s="74"/>
      <c r="CEX2" s="74"/>
      <c r="CEY2" s="74"/>
      <c r="CEZ2" s="74"/>
      <c r="CFA2" s="74"/>
      <c r="CFB2" s="74"/>
      <c r="CFC2" s="74"/>
      <c r="CFD2" s="74"/>
      <c r="CFE2" s="74"/>
      <c r="CFF2" s="74"/>
      <c r="CFG2" s="74"/>
      <c r="CFH2" s="74"/>
      <c r="CFI2" s="74"/>
      <c r="CFJ2" s="74"/>
      <c r="CFK2" s="74"/>
      <c r="CFL2" s="74"/>
      <c r="CFM2" s="74"/>
      <c r="CFN2" s="74"/>
      <c r="CFO2" s="74"/>
      <c r="CFP2" s="74"/>
      <c r="CFQ2" s="74"/>
      <c r="CFR2" s="74"/>
      <c r="CFS2" s="74"/>
      <c r="CFT2" s="74"/>
      <c r="CFU2" s="74"/>
      <c r="CFV2" s="74"/>
      <c r="CFW2" s="74"/>
      <c r="CFX2" s="74"/>
      <c r="CFY2" s="74"/>
      <c r="CFZ2" s="74"/>
      <c r="CGA2" s="74"/>
      <c r="CGB2" s="74"/>
      <c r="CGC2" s="74"/>
      <c r="CGD2" s="74"/>
      <c r="CGE2" s="74"/>
      <c r="CGF2" s="74"/>
      <c r="CGG2" s="74"/>
      <c r="CGH2" s="74"/>
      <c r="CGI2" s="74"/>
      <c r="CGJ2" s="74"/>
      <c r="CGK2" s="74"/>
      <c r="CGL2" s="74"/>
      <c r="CGM2" s="74"/>
      <c r="CGN2" s="74"/>
      <c r="CGO2" s="74"/>
      <c r="CGP2" s="74"/>
      <c r="CGQ2" s="74"/>
      <c r="CGR2" s="74"/>
      <c r="CGS2" s="74"/>
      <c r="CGT2" s="74"/>
      <c r="CGU2" s="74"/>
      <c r="CGV2" s="74"/>
      <c r="CGW2" s="74"/>
      <c r="CGX2" s="74"/>
      <c r="CGY2" s="74"/>
      <c r="CGZ2" s="74"/>
      <c r="CHA2" s="74"/>
      <c r="CHB2" s="74"/>
      <c r="CHC2" s="74"/>
      <c r="CHD2" s="74"/>
      <c r="CHE2" s="74"/>
      <c r="CHF2" s="74"/>
      <c r="CHG2" s="74"/>
      <c r="CHH2" s="74"/>
      <c r="CHI2" s="74"/>
      <c r="CHJ2" s="74"/>
      <c r="CHK2" s="74"/>
      <c r="CHL2" s="74"/>
      <c r="CHM2" s="74"/>
      <c r="CHN2" s="74"/>
      <c r="CHO2" s="74"/>
      <c r="CHP2" s="74"/>
      <c r="CHQ2" s="74"/>
      <c r="CHR2" s="74"/>
      <c r="CHS2" s="74"/>
      <c r="CHT2" s="74"/>
      <c r="CHU2" s="74"/>
      <c r="CHV2" s="74"/>
      <c r="CHW2" s="74"/>
      <c r="CHX2" s="74"/>
      <c r="CHY2" s="74"/>
      <c r="CHZ2" s="74"/>
      <c r="CIA2" s="74"/>
      <c r="CIB2" s="74"/>
      <c r="CIC2" s="74"/>
      <c r="CID2" s="74"/>
      <c r="CIE2" s="74"/>
      <c r="CIF2" s="74"/>
      <c r="CIG2" s="74"/>
      <c r="CIH2" s="74"/>
      <c r="CII2" s="74"/>
      <c r="CIJ2" s="74"/>
      <c r="CIK2" s="74"/>
      <c r="CIL2" s="74"/>
      <c r="CIM2" s="74"/>
      <c r="CIN2" s="74"/>
      <c r="CIO2" s="74"/>
      <c r="CIP2" s="74"/>
      <c r="CIQ2" s="74"/>
      <c r="CIR2" s="74"/>
      <c r="CIS2" s="74"/>
      <c r="CIT2" s="74"/>
      <c r="CIU2" s="74"/>
      <c r="CIV2" s="74"/>
      <c r="CIW2" s="74"/>
      <c r="CIX2" s="74"/>
      <c r="CIY2" s="74"/>
      <c r="CIZ2" s="74"/>
      <c r="CJA2" s="74"/>
      <c r="CJB2" s="74"/>
      <c r="CJC2" s="74"/>
      <c r="CJD2" s="74"/>
      <c r="CJE2" s="74"/>
      <c r="CJF2" s="74"/>
      <c r="CJG2" s="74"/>
      <c r="CJH2" s="74"/>
      <c r="CJI2" s="74"/>
      <c r="CJJ2" s="74"/>
      <c r="CJK2" s="74"/>
      <c r="CJL2" s="74"/>
      <c r="CJM2" s="74"/>
      <c r="CJN2" s="74"/>
      <c r="CJO2" s="74"/>
      <c r="CJP2" s="74"/>
      <c r="CJQ2" s="74"/>
      <c r="CJR2" s="74"/>
      <c r="CJS2" s="74"/>
      <c r="CJT2" s="74"/>
      <c r="CJU2" s="74"/>
      <c r="CJV2" s="74"/>
      <c r="CJW2" s="74"/>
      <c r="CJX2" s="74"/>
      <c r="CJY2" s="74"/>
      <c r="CJZ2" s="74"/>
      <c r="CKA2" s="74"/>
      <c r="CKB2" s="74"/>
      <c r="CKC2" s="74"/>
      <c r="CKD2" s="74"/>
      <c r="CKE2" s="74"/>
      <c r="CKF2" s="74"/>
      <c r="CKG2" s="74"/>
      <c r="CKH2" s="74"/>
      <c r="CKI2" s="74"/>
      <c r="CKJ2" s="74"/>
      <c r="CKK2" s="74"/>
      <c r="CKL2" s="74"/>
      <c r="CKM2" s="74"/>
      <c r="CKN2" s="74"/>
      <c r="CKO2" s="74"/>
      <c r="CKP2" s="74"/>
      <c r="CKQ2" s="74"/>
      <c r="CKR2" s="74"/>
      <c r="CKS2" s="74"/>
      <c r="CKT2" s="74"/>
      <c r="CKU2" s="74"/>
      <c r="CKV2" s="74"/>
      <c r="CKW2" s="74"/>
      <c r="CKX2" s="74"/>
      <c r="CKY2" s="74"/>
      <c r="CKZ2" s="74"/>
      <c r="CLA2" s="74"/>
      <c r="CLB2" s="74"/>
      <c r="CLC2" s="74"/>
      <c r="CLD2" s="74"/>
      <c r="CLE2" s="74"/>
      <c r="CLF2" s="74"/>
      <c r="CLG2" s="74"/>
      <c r="CLH2" s="74"/>
      <c r="CLI2" s="74"/>
      <c r="CLJ2" s="74"/>
      <c r="CLK2" s="74"/>
      <c r="CLL2" s="74"/>
      <c r="CLM2" s="74"/>
      <c r="CLN2" s="74"/>
      <c r="CLO2" s="74"/>
      <c r="CLP2" s="74"/>
      <c r="CLQ2" s="74"/>
      <c r="CLR2" s="74"/>
      <c r="CLS2" s="74"/>
      <c r="CLT2" s="74"/>
      <c r="CLU2" s="74"/>
      <c r="CLV2" s="74"/>
      <c r="CLW2" s="74"/>
      <c r="CLX2" s="74"/>
      <c r="CLY2" s="74"/>
      <c r="CLZ2" s="74"/>
      <c r="CMA2" s="74"/>
      <c r="CMB2" s="74"/>
      <c r="CMC2" s="74"/>
      <c r="CMD2" s="74"/>
      <c r="CME2" s="74"/>
      <c r="CMF2" s="74"/>
      <c r="CMG2" s="74"/>
      <c r="CMH2" s="74"/>
      <c r="CMI2" s="74"/>
      <c r="CMJ2" s="74"/>
      <c r="CMK2" s="74"/>
      <c r="CML2" s="74"/>
      <c r="CMM2" s="74"/>
      <c r="CMN2" s="74"/>
      <c r="CMO2" s="74"/>
      <c r="CMP2" s="74"/>
      <c r="CMQ2" s="74"/>
      <c r="CMR2" s="74"/>
      <c r="CMS2" s="74"/>
      <c r="CMT2" s="74"/>
      <c r="CMU2" s="74"/>
      <c r="CMV2" s="74"/>
      <c r="CMW2" s="74"/>
      <c r="CMX2" s="74"/>
      <c r="CMY2" s="74"/>
      <c r="CMZ2" s="74"/>
      <c r="CNA2" s="74"/>
      <c r="CNB2" s="74"/>
      <c r="CNC2" s="74"/>
      <c r="CND2" s="74"/>
      <c r="CNE2" s="74"/>
      <c r="CNF2" s="74"/>
      <c r="CNG2" s="74"/>
      <c r="CNH2" s="74"/>
      <c r="CNI2" s="74"/>
      <c r="CNJ2" s="74"/>
      <c r="CNK2" s="74"/>
      <c r="CNL2" s="74"/>
      <c r="CNM2" s="74"/>
      <c r="CNN2" s="74"/>
      <c r="CNO2" s="74"/>
      <c r="CNP2" s="74"/>
      <c r="CNQ2" s="74"/>
      <c r="CNR2" s="74"/>
      <c r="CNS2" s="74"/>
      <c r="CNT2" s="74"/>
      <c r="CNU2" s="74"/>
      <c r="CNV2" s="74"/>
      <c r="CNW2" s="74"/>
      <c r="CNX2" s="74"/>
      <c r="CNY2" s="74"/>
      <c r="CNZ2" s="74"/>
      <c r="COA2" s="74"/>
      <c r="COB2" s="74"/>
      <c r="COC2" s="74"/>
      <c r="COD2" s="74"/>
      <c r="COE2" s="74"/>
      <c r="COF2" s="74"/>
      <c r="COG2" s="74"/>
      <c r="COH2" s="74"/>
      <c r="COI2" s="74"/>
      <c r="COJ2" s="74"/>
      <c r="COK2" s="74"/>
      <c r="COL2" s="74"/>
      <c r="COM2" s="74"/>
      <c r="CON2" s="74"/>
      <c r="COO2" s="74"/>
      <c r="COP2" s="74"/>
      <c r="COQ2" s="74"/>
      <c r="COR2" s="74"/>
      <c r="COS2" s="74"/>
      <c r="COT2" s="74"/>
      <c r="COU2" s="74"/>
      <c r="COV2" s="74"/>
      <c r="COW2" s="74"/>
      <c r="COX2" s="74"/>
      <c r="COY2" s="74"/>
      <c r="COZ2" s="74"/>
      <c r="CPA2" s="74"/>
      <c r="CPB2" s="74"/>
      <c r="CPC2" s="74"/>
      <c r="CPD2" s="74"/>
      <c r="CPE2" s="74"/>
      <c r="CPF2" s="74"/>
      <c r="CPG2" s="74"/>
      <c r="CPH2" s="74"/>
      <c r="CPI2" s="74"/>
      <c r="CPJ2" s="74"/>
      <c r="CPK2" s="74"/>
      <c r="CPL2" s="74"/>
      <c r="CPM2" s="74"/>
      <c r="CPN2" s="74"/>
      <c r="CPO2" s="74"/>
      <c r="CPP2" s="74"/>
      <c r="CPQ2" s="74"/>
      <c r="CPR2" s="74"/>
      <c r="CPS2" s="74"/>
      <c r="CPT2" s="74"/>
      <c r="CPU2" s="74"/>
      <c r="CPV2" s="74"/>
      <c r="CPW2" s="74"/>
      <c r="CPX2" s="74"/>
      <c r="CPY2" s="74"/>
      <c r="CPZ2" s="74"/>
      <c r="CQA2" s="74"/>
      <c r="CQB2" s="74"/>
      <c r="CQC2" s="74"/>
      <c r="CQD2" s="74"/>
      <c r="CQE2" s="74"/>
      <c r="CQF2" s="74"/>
      <c r="CQG2" s="74"/>
      <c r="CQH2" s="74"/>
      <c r="CQI2" s="74"/>
      <c r="CQJ2" s="74"/>
      <c r="CQK2" s="74"/>
      <c r="CQL2" s="74"/>
      <c r="CQM2" s="74"/>
      <c r="CQN2" s="74"/>
      <c r="CQO2" s="74"/>
      <c r="CQP2" s="74"/>
      <c r="CQQ2" s="74"/>
      <c r="CQR2" s="74"/>
      <c r="CQS2" s="74"/>
      <c r="CQT2" s="74"/>
      <c r="CQU2" s="74"/>
      <c r="CQV2" s="74"/>
      <c r="CQW2" s="74"/>
      <c r="CQX2" s="74"/>
      <c r="CQY2" s="74"/>
      <c r="CQZ2" s="74"/>
      <c r="CRA2" s="74"/>
      <c r="CRB2" s="74"/>
      <c r="CRC2" s="74"/>
      <c r="CRD2" s="74"/>
      <c r="CRE2" s="74"/>
      <c r="CRF2" s="74"/>
      <c r="CRG2" s="74"/>
      <c r="CRH2" s="74"/>
      <c r="CRI2" s="74"/>
      <c r="CRJ2" s="74"/>
      <c r="CRK2" s="74"/>
      <c r="CRL2" s="74"/>
      <c r="CRM2" s="74"/>
      <c r="CRN2" s="74"/>
      <c r="CRO2" s="74"/>
      <c r="CRP2" s="74"/>
      <c r="CRQ2" s="74"/>
      <c r="CRR2" s="74"/>
      <c r="CRS2" s="74"/>
      <c r="CRT2" s="74"/>
      <c r="CRU2" s="74"/>
      <c r="CRV2" s="74"/>
      <c r="CRW2" s="74"/>
      <c r="CRX2" s="74"/>
      <c r="CRY2" s="74"/>
      <c r="CRZ2" s="74"/>
      <c r="CSA2" s="74"/>
      <c r="CSB2" s="74"/>
      <c r="CSC2" s="74"/>
      <c r="CSD2" s="74"/>
      <c r="CSE2" s="74"/>
      <c r="CSF2" s="74"/>
      <c r="CSG2" s="74"/>
      <c r="CSH2" s="74"/>
      <c r="CSI2" s="74"/>
      <c r="CSJ2" s="74"/>
      <c r="CSK2" s="74"/>
      <c r="CSL2" s="74"/>
      <c r="CSM2" s="74"/>
      <c r="CSN2" s="74"/>
      <c r="CSO2" s="74"/>
      <c r="CSP2" s="74"/>
      <c r="CSQ2" s="74"/>
      <c r="CSR2" s="74"/>
      <c r="CSS2" s="74"/>
      <c r="CST2" s="74"/>
      <c r="CSU2" s="74"/>
      <c r="CSV2" s="74"/>
      <c r="CSW2" s="74"/>
      <c r="CSX2" s="74"/>
      <c r="CSY2" s="74"/>
      <c r="CSZ2" s="74"/>
      <c r="CTA2" s="74"/>
      <c r="CTB2" s="74"/>
      <c r="CTC2" s="74"/>
      <c r="CTD2" s="74"/>
      <c r="CTE2" s="74"/>
      <c r="CTF2" s="74"/>
      <c r="CTG2" s="74"/>
      <c r="CTH2" s="74"/>
      <c r="CTI2" s="74"/>
      <c r="CTJ2" s="74"/>
      <c r="CTK2" s="74"/>
      <c r="CTL2" s="74"/>
      <c r="CTM2" s="74"/>
      <c r="CTN2" s="74"/>
      <c r="CTO2" s="74"/>
      <c r="CTP2" s="74"/>
      <c r="CTQ2" s="74"/>
      <c r="CTR2" s="74"/>
      <c r="CTS2" s="74"/>
      <c r="CTT2" s="74"/>
      <c r="CTU2" s="74"/>
      <c r="CTV2" s="74"/>
      <c r="CTW2" s="74"/>
      <c r="CTX2" s="74"/>
      <c r="CTY2" s="74"/>
      <c r="CTZ2" s="74"/>
      <c r="CUA2" s="74"/>
      <c r="CUB2" s="74"/>
      <c r="CUC2" s="74"/>
      <c r="CUD2" s="74"/>
      <c r="CUE2" s="74"/>
      <c r="CUF2" s="74"/>
      <c r="CUG2" s="74"/>
      <c r="CUH2" s="74"/>
      <c r="CUI2" s="74"/>
      <c r="CUJ2" s="74"/>
      <c r="CUK2" s="74"/>
      <c r="CUL2" s="74"/>
      <c r="CUM2" s="74"/>
      <c r="CUN2" s="74"/>
      <c r="CUO2" s="74"/>
      <c r="CUP2" s="74"/>
      <c r="CUQ2" s="74"/>
      <c r="CUR2" s="74"/>
      <c r="CUS2" s="74"/>
      <c r="CUT2" s="74"/>
      <c r="CUU2" s="74"/>
      <c r="CUV2" s="74"/>
      <c r="CUW2" s="74"/>
      <c r="CUX2" s="74"/>
      <c r="CUY2" s="74"/>
      <c r="CUZ2" s="74"/>
      <c r="CVA2" s="74"/>
      <c r="CVB2" s="74"/>
      <c r="CVC2" s="74"/>
      <c r="CVD2" s="74"/>
      <c r="CVE2" s="74"/>
      <c r="CVF2" s="74"/>
      <c r="CVG2" s="74"/>
      <c r="CVH2" s="74"/>
      <c r="CVI2" s="74"/>
      <c r="CVJ2" s="74"/>
      <c r="CVK2" s="74"/>
      <c r="CVL2" s="74"/>
      <c r="CVM2" s="74"/>
      <c r="CVN2" s="74"/>
      <c r="CVO2" s="74"/>
      <c r="CVP2" s="74"/>
      <c r="CVQ2" s="74"/>
      <c r="CVR2" s="74"/>
      <c r="CVS2" s="74"/>
      <c r="CVT2" s="74"/>
      <c r="CVU2" s="74"/>
      <c r="CVV2" s="74"/>
      <c r="CVW2" s="74"/>
      <c r="CVX2" s="74"/>
      <c r="CVY2" s="74"/>
      <c r="CVZ2" s="74"/>
      <c r="CWA2" s="74"/>
      <c r="CWB2" s="74"/>
      <c r="CWC2" s="74"/>
      <c r="CWD2" s="74"/>
      <c r="CWE2" s="74"/>
      <c r="CWF2" s="74"/>
      <c r="CWG2" s="74"/>
      <c r="CWH2" s="74"/>
      <c r="CWI2" s="74"/>
      <c r="CWJ2" s="74"/>
      <c r="CWK2" s="74"/>
      <c r="CWL2" s="74"/>
      <c r="CWM2" s="74"/>
      <c r="CWN2" s="74"/>
      <c r="CWO2" s="74"/>
      <c r="CWP2" s="74"/>
      <c r="CWQ2" s="74"/>
      <c r="CWR2" s="74"/>
      <c r="CWS2" s="74"/>
      <c r="CWT2" s="74"/>
      <c r="CWU2" s="74"/>
      <c r="CWV2" s="74"/>
      <c r="CWW2" s="74"/>
      <c r="CWX2" s="74"/>
      <c r="CWY2" s="74"/>
      <c r="CWZ2" s="74"/>
      <c r="CXA2" s="74"/>
      <c r="CXB2" s="74"/>
      <c r="CXC2" s="74"/>
      <c r="CXD2" s="74"/>
      <c r="CXE2" s="74"/>
      <c r="CXF2" s="74"/>
      <c r="CXG2" s="74"/>
      <c r="CXH2" s="74"/>
      <c r="CXI2" s="74"/>
      <c r="CXJ2" s="74"/>
      <c r="CXK2" s="74"/>
      <c r="CXL2" s="74"/>
      <c r="CXM2" s="74"/>
      <c r="CXN2" s="74"/>
      <c r="CXO2" s="74"/>
      <c r="CXP2" s="74"/>
      <c r="CXQ2" s="74"/>
      <c r="CXR2" s="74"/>
      <c r="CXS2" s="74"/>
      <c r="CXT2" s="74"/>
      <c r="CXU2" s="74"/>
      <c r="CXV2" s="74"/>
      <c r="CXW2" s="74"/>
      <c r="CXX2" s="74"/>
      <c r="CXY2" s="74"/>
      <c r="CXZ2" s="74"/>
      <c r="CYA2" s="74"/>
      <c r="CYB2" s="74"/>
      <c r="CYC2" s="74"/>
      <c r="CYD2" s="74"/>
      <c r="CYE2" s="74"/>
      <c r="CYF2" s="74"/>
      <c r="CYG2" s="74"/>
      <c r="CYH2" s="74"/>
      <c r="CYI2" s="74"/>
      <c r="CYJ2" s="74"/>
      <c r="CYK2" s="74"/>
      <c r="CYL2" s="74"/>
      <c r="CYM2" s="74"/>
      <c r="CYN2" s="74"/>
      <c r="CYO2" s="74"/>
      <c r="CYP2" s="74"/>
      <c r="CYQ2" s="74"/>
      <c r="CYR2" s="74"/>
      <c r="CYS2" s="74"/>
      <c r="CYT2" s="74"/>
      <c r="CYU2" s="74"/>
      <c r="CYV2" s="74"/>
      <c r="CYW2" s="74"/>
      <c r="CYX2" s="74"/>
      <c r="CYY2" s="74"/>
      <c r="CYZ2" s="74"/>
      <c r="CZA2" s="74"/>
      <c r="CZB2" s="74"/>
      <c r="CZC2" s="74"/>
      <c r="CZD2" s="74"/>
      <c r="CZE2" s="74"/>
      <c r="CZF2" s="74"/>
      <c r="CZG2" s="74"/>
      <c r="CZH2" s="74"/>
      <c r="CZI2" s="74"/>
      <c r="CZJ2" s="74"/>
      <c r="CZK2" s="74"/>
      <c r="CZL2" s="74"/>
      <c r="CZM2" s="74"/>
      <c r="CZN2" s="74"/>
      <c r="CZO2" s="74"/>
      <c r="CZP2" s="74"/>
      <c r="CZQ2" s="74"/>
      <c r="CZR2" s="74"/>
      <c r="CZS2" s="74"/>
      <c r="CZT2" s="74"/>
      <c r="CZU2" s="74"/>
      <c r="CZV2" s="74"/>
      <c r="CZW2" s="74"/>
      <c r="CZX2" s="74"/>
      <c r="CZY2" s="74"/>
      <c r="CZZ2" s="74"/>
      <c r="DAA2" s="74"/>
      <c r="DAB2" s="74"/>
      <c r="DAC2" s="74"/>
      <c r="DAD2" s="74"/>
      <c r="DAE2" s="74"/>
      <c r="DAF2" s="74"/>
      <c r="DAG2" s="74"/>
      <c r="DAH2" s="74"/>
      <c r="DAI2" s="74"/>
      <c r="DAJ2" s="74"/>
      <c r="DAK2" s="74"/>
      <c r="DAL2" s="74"/>
      <c r="DAM2" s="74"/>
      <c r="DAN2" s="74"/>
      <c r="DAO2" s="74"/>
      <c r="DAP2" s="74"/>
      <c r="DAQ2" s="74"/>
      <c r="DAR2" s="74"/>
      <c r="DAS2" s="74"/>
      <c r="DAT2" s="74"/>
      <c r="DAU2" s="74"/>
      <c r="DAV2" s="74"/>
      <c r="DAW2" s="74"/>
      <c r="DAX2" s="74"/>
      <c r="DAY2" s="74"/>
      <c r="DAZ2" s="74"/>
      <c r="DBA2" s="74"/>
      <c r="DBB2" s="74"/>
      <c r="DBC2" s="74"/>
      <c r="DBD2" s="74"/>
      <c r="DBE2" s="74"/>
      <c r="DBF2" s="74"/>
      <c r="DBG2" s="74"/>
      <c r="DBH2" s="74"/>
      <c r="DBI2" s="74"/>
      <c r="DBJ2" s="74"/>
      <c r="DBK2" s="74"/>
      <c r="DBL2" s="74"/>
      <c r="DBM2" s="74"/>
      <c r="DBN2" s="74"/>
      <c r="DBO2" s="74"/>
      <c r="DBP2" s="74"/>
      <c r="DBQ2" s="74"/>
      <c r="DBR2" s="74"/>
      <c r="DBS2" s="74"/>
      <c r="DBT2" s="74"/>
      <c r="DBU2" s="74"/>
      <c r="DBV2" s="74"/>
      <c r="DBW2" s="74"/>
      <c r="DBX2" s="74"/>
      <c r="DBY2" s="74"/>
      <c r="DBZ2" s="74"/>
      <c r="DCA2" s="74"/>
      <c r="DCB2" s="74"/>
      <c r="DCC2" s="74"/>
      <c r="DCD2" s="74"/>
      <c r="DCE2" s="74"/>
      <c r="DCF2" s="74"/>
      <c r="DCG2" s="74"/>
      <c r="DCH2" s="74"/>
      <c r="DCI2" s="74"/>
      <c r="DCJ2" s="74"/>
      <c r="DCK2" s="74"/>
      <c r="DCL2" s="74"/>
      <c r="DCM2" s="74"/>
      <c r="DCN2" s="74"/>
      <c r="DCO2" s="74"/>
      <c r="DCP2" s="74"/>
      <c r="DCQ2" s="74"/>
      <c r="DCR2" s="74"/>
      <c r="DCS2" s="74"/>
      <c r="DCT2" s="74"/>
      <c r="DCU2" s="74"/>
      <c r="DCV2" s="74"/>
      <c r="DCW2" s="74"/>
      <c r="DCX2" s="74"/>
      <c r="DCY2" s="74"/>
      <c r="DCZ2" s="74"/>
      <c r="DDA2" s="74"/>
      <c r="DDB2" s="74"/>
      <c r="DDC2" s="74"/>
      <c r="DDD2" s="74"/>
      <c r="DDE2" s="74"/>
      <c r="DDF2" s="74"/>
      <c r="DDG2" s="74"/>
      <c r="DDH2" s="74"/>
      <c r="DDI2" s="74"/>
      <c r="DDJ2" s="74"/>
      <c r="DDK2" s="74"/>
      <c r="DDL2" s="74"/>
      <c r="DDM2" s="74"/>
      <c r="DDN2" s="74"/>
      <c r="DDO2" s="74"/>
      <c r="DDP2" s="74"/>
      <c r="DDQ2" s="74"/>
      <c r="DDR2" s="74"/>
      <c r="DDS2" s="74"/>
      <c r="DDT2" s="74"/>
      <c r="DDU2" s="74"/>
      <c r="DDV2" s="74"/>
      <c r="DDW2" s="74"/>
      <c r="DDX2" s="74"/>
      <c r="DDY2" s="74"/>
      <c r="DDZ2" s="74"/>
      <c r="DEA2" s="74"/>
      <c r="DEB2" s="74"/>
      <c r="DEC2" s="74"/>
      <c r="DED2" s="74"/>
      <c r="DEE2" s="74"/>
      <c r="DEF2" s="74"/>
      <c r="DEG2" s="74"/>
      <c r="DEH2" s="74"/>
      <c r="DEI2" s="74"/>
      <c r="DEJ2" s="74"/>
      <c r="DEK2" s="74"/>
      <c r="DEL2" s="74"/>
      <c r="DEM2" s="74"/>
      <c r="DEN2" s="74"/>
      <c r="DEO2" s="74"/>
      <c r="DEP2" s="74"/>
      <c r="DEQ2" s="74"/>
      <c r="DER2" s="74"/>
      <c r="DES2" s="74"/>
      <c r="DET2" s="74"/>
      <c r="DEU2" s="74"/>
      <c r="DEV2" s="74"/>
      <c r="DEW2" s="74"/>
      <c r="DEX2" s="74"/>
      <c r="DEY2" s="74"/>
      <c r="DEZ2" s="74"/>
      <c r="DFA2" s="74"/>
      <c r="DFB2" s="74"/>
      <c r="DFC2" s="74"/>
      <c r="DFD2" s="74"/>
      <c r="DFE2" s="74"/>
      <c r="DFF2" s="74"/>
      <c r="DFG2" s="74"/>
      <c r="DFH2" s="74"/>
      <c r="DFI2" s="74"/>
      <c r="DFJ2" s="74"/>
      <c r="DFK2" s="74"/>
      <c r="DFL2" s="74"/>
      <c r="DFM2" s="74"/>
      <c r="DFN2" s="74"/>
      <c r="DFO2" s="74"/>
      <c r="DFP2" s="74"/>
      <c r="DFQ2" s="74"/>
      <c r="DFR2" s="74"/>
      <c r="DFS2" s="74"/>
      <c r="DFT2" s="74"/>
      <c r="DFU2" s="74"/>
      <c r="DFV2" s="74"/>
      <c r="DFW2" s="74"/>
      <c r="DFX2" s="74"/>
      <c r="DFY2" s="74"/>
      <c r="DFZ2" s="74"/>
      <c r="DGA2" s="74"/>
      <c r="DGB2" s="74"/>
      <c r="DGC2" s="74"/>
      <c r="DGD2" s="74"/>
      <c r="DGE2" s="74"/>
      <c r="DGF2" s="74"/>
      <c r="DGG2" s="74"/>
      <c r="DGH2" s="74"/>
      <c r="DGI2" s="74"/>
      <c r="DGJ2" s="74"/>
      <c r="DGK2" s="74"/>
      <c r="DGL2" s="74"/>
      <c r="DGM2" s="74"/>
      <c r="DGN2" s="74"/>
      <c r="DGO2" s="74"/>
      <c r="DGP2" s="74"/>
      <c r="DGQ2" s="74"/>
      <c r="DGR2" s="74"/>
      <c r="DGS2" s="74"/>
      <c r="DGT2" s="74"/>
      <c r="DGU2" s="74"/>
      <c r="DGV2" s="74"/>
      <c r="DGW2" s="74"/>
      <c r="DGX2" s="74"/>
      <c r="DGY2" s="74"/>
      <c r="DGZ2" s="74"/>
      <c r="DHA2" s="74"/>
      <c r="DHB2" s="74"/>
      <c r="DHC2" s="74"/>
      <c r="DHD2" s="74"/>
      <c r="DHE2" s="74"/>
      <c r="DHF2" s="74"/>
      <c r="DHG2" s="74"/>
      <c r="DHH2" s="74"/>
      <c r="DHI2" s="74"/>
      <c r="DHJ2" s="74"/>
      <c r="DHK2" s="74"/>
      <c r="DHL2" s="74"/>
      <c r="DHM2" s="74"/>
      <c r="DHN2" s="74"/>
      <c r="DHO2" s="74"/>
      <c r="DHP2" s="74"/>
      <c r="DHQ2" s="74"/>
      <c r="DHR2" s="74"/>
      <c r="DHS2" s="74"/>
      <c r="DHT2" s="74"/>
      <c r="DHU2" s="74"/>
      <c r="DHV2" s="74"/>
      <c r="DHW2" s="74"/>
      <c r="DHX2" s="74"/>
      <c r="DHY2" s="74"/>
      <c r="DHZ2" s="74"/>
      <c r="DIA2" s="74"/>
      <c r="DIB2" s="74"/>
      <c r="DIC2" s="74"/>
      <c r="DID2" s="74"/>
      <c r="DIE2" s="74"/>
      <c r="DIF2" s="74"/>
      <c r="DIG2" s="74"/>
      <c r="DIH2" s="74"/>
      <c r="DII2" s="74"/>
      <c r="DIJ2" s="74"/>
      <c r="DIK2" s="74"/>
      <c r="DIL2" s="74"/>
      <c r="DIM2" s="74"/>
      <c r="DIN2" s="74"/>
      <c r="DIO2" s="74"/>
      <c r="DIP2" s="74"/>
      <c r="DIQ2" s="74"/>
      <c r="DIR2" s="74"/>
      <c r="DIS2" s="74"/>
      <c r="DIT2" s="74"/>
      <c r="DIU2" s="74"/>
      <c r="DIV2" s="74"/>
      <c r="DIW2" s="74"/>
      <c r="DIX2" s="74"/>
      <c r="DIY2" s="74"/>
      <c r="DIZ2" s="74"/>
      <c r="DJA2" s="74"/>
      <c r="DJB2" s="74"/>
      <c r="DJC2" s="74"/>
      <c r="DJD2" s="74"/>
      <c r="DJE2" s="74"/>
      <c r="DJF2" s="74"/>
      <c r="DJG2" s="74"/>
      <c r="DJH2" s="74"/>
      <c r="DJI2" s="74"/>
      <c r="DJJ2" s="74"/>
      <c r="DJK2" s="74"/>
      <c r="DJL2" s="74"/>
      <c r="DJM2" s="74"/>
      <c r="DJN2" s="74"/>
      <c r="DJO2" s="74"/>
      <c r="DJP2" s="74"/>
      <c r="DJQ2" s="74"/>
      <c r="DJR2" s="74"/>
      <c r="DJS2" s="74"/>
      <c r="DJT2" s="74"/>
      <c r="DJU2" s="74"/>
      <c r="DJV2" s="74"/>
      <c r="DJW2" s="74"/>
      <c r="DJX2" s="74"/>
      <c r="DJY2" s="74"/>
      <c r="DJZ2" s="74"/>
      <c r="DKA2" s="74"/>
      <c r="DKB2" s="74"/>
      <c r="DKC2" s="74"/>
      <c r="DKD2" s="74"/>
      <c r="DKE2" s="74"/>
      <c r="DKF2" s="74"/>
      <c r="DKG2" s="74"/>
      <c r="DKH2" s="74"/>
      <c r="DKI2" s="74"/>
      <c r="DKJ2" s="74"/>
      <c r="DKK2" s="74"/>
      <c r="DKL2" s="74"/>
      <c r="DKM2" s="74"/>
      <c r="DKN2" s="74"/>
      <c r="DKO2" s="74"/>
      <c r="DKP2" s="74"/>
      <c r="DKQ2" s="74"/>
      <c r="DKR2" s="74"/>
      <c r="DKS2" s="74"/>
      <c r="DKT2" s="74"/>
      <c r="DKU2" s="74"/>
      <c r="DKV2" s="74"/>
      <c r="DKW2" s="74"/>
      <c r="DKX2" s="74"/>
      <c r="DKY2" s="74"/>
      <c r="DKZ2" s="74"/>
      <c r="DLA2" s="74"/>
      <c r="DLB2" s="74"/>
      <c r="DLC2" s="74"/>
      <c r="DLD2" s="74"/>
      <c r="DLE2" s="74"/>
      <c r="DLF2" s="74"/>
      <c r="DLG2" s="74"/>
      <c r="DLH2" s="74"/>
      <c r="DLI2" s="74"/>
      <c r="DLJ2" s="74"/>
      <c r="DLK2" s="74"/>
      <c r="DLL2" s="74"/>
      <c r="DLM2" s="74"/>
      <c r="DLN2" s="74"/>
      <c r="DLO2" s="74"/>
      <c r="DLP2" s="74"/>
      <c r="DLQ2" s="74"/>
      <c r="DLR2" s="74"/>
      <c r="DLS2" s="74"/>
      <c r="DLT2" s="74"/>
      <c r="DLU2" s="74"/>
      <c r="DLV2" s="74"/>
      <c r="DLW2" s="74"/>
      <c r="DLX2" s="74"/>
      <c r="DLY2" s="74"/>
      <c r="DLZ2" s="74"/>
      <c r="DMA2" s="74"/>
      <c r="DMB2" s="74"/>
      <c r="DMC2" s="74"/>
      <c r="DMD2" s="74"/>
      <c r="DME2" s="74"/>
      <c r="DMF2" s="74"/>
      <c r="DMG2" s="74"/>
      <c r="DMH2" s="74"/>
      <c r="DMI2" s="74"/>
      <c r="DMJ2" s="74"/>
      <c r="DMK2" s="74"/>
      <c r="DML2" s="74"/>
      <c r="DMM2" s="74"/>
      <c r="DMN2" s="74"/>
      <c r="DMO2" s="74"/>
      <c r="DMP2" s="74"/>
      <c r="DMQ2" s="74"/>
      <c r="DMR2" s="74"/>
      <c r="DMS2" s="74"/>
      <c r="DMT2" s="74"/>
      <c r="DMU2" s="74"/>
      <c r="DMV2" s="74"/>
      <c r="DMW2" s="74"/>
      <c r="DMX2" s="74"/>
      <c r="DMY2" s="74"/>
      <c r="DMZ2" s="74"/>
      <c r="DNA2" s="74"/>
      <c r="DNB2" s="74"/>
      <c r="DNC2" s="74"/>
      <c r="DND2" s="74"/>
      <c r="DNE2" s="74"/>
      <c r="DNF2" s="74"/>
      <c r="DNG2" s="74"/>
      <c r="DNH2" s="74"/>
      <c r="DNI2" s="74"/>
      <c r="DNJ2" s="74"/>
      <c r="DNK2" s="74"/>
      <c r="DNL2" s="74"/>
      <c r="DNM2" s="74"/>
      <c r="DNN2" s="74"/>
      <c r="DNO2" s="74"/>
      <c r="DNP2" s="74"/>
      <c r="DNQ2" s="74"/>
      <c r="DNR2" s="74"/>
      <c r="DNS2" s="74"/>
      <c r="DNT2" s="74"/>
      <c r="DNU2" s="74"/>
      <c r="DNV2" s="74"/>
      <c r="DNW2" s="74"/>
      <c r="DNX2" s="74"/>
      <c r="DNY2" s="74"/>
      <c r="DNZ2" s="74"/>
      <c r="DOA2" s="74"/>
      <c r="DOB2" s="74"/>
      <c r="DOC2" s="74"/>
      <c r="DOD2" s="74"/>
      <c r="DOE2" s="74"/>
      <c r="DOF2" s="74"/>
      <c r="DOG2" s="74"/>
      <c r="DOH2" s="74"/>
      <c r="DOI2" s="74"/>
      <c r="DOJ2" s="74"/>
      <c r="DOK2" s="74"/>
      <c r="DOL2" s="74"/>
      <c r="DOM2" s="74"/>
      <c r="DON2" s="74"/>
      <c r="DOO2" s="74"/>
      <c r="DOP2" s="74"/>
      <c r="DOQ2" s="74"/>
      <c r="DOR2" s="74"/>
      <c r="DOS2" s="74"/>
      <c r="DOT2" s="74"/>
      <c r="DOU2" s="74"/>
      <c r="DOV2" s="74"/>
      <c r="DOW2" s="74"/>
      <c r="DOX2" s="74"/>
      <c r="DOY2" s="74"/>
      <c r="DOZ2" s="74"/>
      <c r="DPA2" s="74"/>
      <c r="DPB2" s="74"/>
      <c r="DPC2" s="74"/>
      <c r="DPD2" s="74"/>
      <c r="DPE2" s="74"/>
      <c r="DPF2" s="74"/>
      <c r="DPG2" s="74"/>
      <c r="DPH2" s="74"/>
      <c r="DPI2" s="74"/>
      <c r="DPJ2" s="74"/>
      <c r="DPK2" s="74"/>
      <c r="DPL2" s="74"/>
      <c r="DPM2" s="74"/>
      <c r="DPN2" s="74"/>
      <c r="DPO2" s="74"/>
      <c r="DPP2" s="74"/>
      <c r="DPQ2" s="74"/>
      <c r="DPR2" s="74"/>
      <c r="DPS2" s="74"/>
      <c r="DPT2" s="74"/>
      <c r="DPU2" s="74"/>
      <c r="DPV2" s="74"/>
      <c r="DPW2" s="74"/>
      <c r="DPX2" s="74"/>
      <c r="DPY2" s="74"/>
      <c r="DPZ2" s="74"/>
      <c r="DQA2" s="74"/>
      <c r="DQB2" s="74"/>
      <c r="DQC2" s="74"/>
      <c r="DQD2" s="74"/>
      <c r="DQE2" s="74"/>
      <c r="DQF2" s="74"/>
      <c r="DQG2" s="74"/>
      <c r="DQH2" s="74"/>
      <c r="DQI2" s="74"/>
      <c r="DQJ2" s="74"/>
      <c r="DQK2" s="74"/>
      <c r="DQL2" s="74"/>
      <c r="DQM2" s="74"/>
      <c r="DQN2" s="74"/>
      <c r="DQO2" s="74"/>
      <c r="DQP2" s="74"/>
      <c r="DQQ2" s="74"/>
      <c r="DQR2" s="74"/>
      <c r="DQS2" s="74"/>
      <c r="DQT2" s="74"/>
      <c r="DQU2" s="74"/>
      <c r="DQV2" s="74"/>
      <c r="DQW2" s="74"/>
      <c r="DQX2" s="74"/>
      <c r="DQY2" s="74"/>
      <c r="DQZ2" s="74"/>
      <c r="DRA2" s="74"/>
      <c r="DRB2" s="74"/>
      <c r="DRC2" s="74"/>
      <c r="DRD2" s="74"/>
      <c r="DRE2" s="74"/>
      <c r="DRF2" s="74"/>
      <c r="DRG2" s="74"/>
      <c r="DRH2" s="74"/>
      <c r="DRI2" s="74"/>
      <c r="DRJ2" s="74"/>
      <c r="DRK2" s="74"/>
      <c r="DRL2" s="74"/>
      <c r="DRM2" s="74"/>
      <c r="DRN2" s="74"/>
      <c r="DRO2" s="74"/>
      <c r="DRP2" s="74"/>
      <c r="DRQ2" s="74"/>
      <c r="DRR2" s="74"/>
      <c r="DRS2" s="74"/>
      <c r="DRT2" s="74"/>
      <c r="DRU2" s="74"/>
      <c r="DRV2" s="74"/>
      <c r="DRW2" s="74"/>
      <c r="DRX2" s="74"/>
      <c r="DRY2" s="74"/>
      <c r="DRZ2" s="74"/>
      <c r="DSA2" s="74"/>
      <c r="DSB2" s="74"/>
      <c r="DSC2" s="74"/>
      <c r="DSD2" s="74"/>
      <c r="DSE2" s="74"/>
      <c r="DSF2" s="74"/>
      <c r="DSG2" s="74"/>
      <c r="DSH2" s="74"/>
      <c r="DSI2" s="74"/>
      <c r="DSJ2" s="74"/>
      <c r="DSK2" s="74"/>
      <c r="DSL2" s="74"/>
      <c r="DSM2" s="74"/>
      <c r="DSN2" s="74"/>
      <c r="DSO2" s="74"/>
      <c r="DSP2" s="74"/>
      <c r="DSQ2" s="74"/>
      <c r="DSR2" s="74"/>
      <c r="DSS2" s="74"/>
      <c r="DST2" s="74"/>
      <c r="DSU2" s="74"/>
      <c r="DSV2" s="74"/>
      <c r="DSW2" s="74"/>
      <c r="DSX2" s="74"/>
      <c r="DSY2" s="74"/>
      <c r="DSZ2" s="74"/>
      <c r="DTA2" s="74"/>
      <c r="DTB2" s="74"/>
      <c r="DTC2" s="74"/>
      <c r="DTD2" s="74"/>
      <c r="DTE2" s="74"/>
      <c r="DTF2" s="74"/>
      <c r="DTG2" s="74"/>
      <c r="DTH2" s="74"/>
      <c r="DTI2" s="74"/>
      <c r="DTJ2" s="74"/>
      <c r="DTK2" s="74"/>
      <c r="DTL2" s="74"/>
      <c r="DTM2" s="74"/>
      <c r="DTN2" s="74"/>
      <c r="DTO2" s="74"/>
      <c r="DTP2" s="74"/>
      <c r="DTQ2" s="74"/>
      <c r="DTR2" s="74"/>
      <c r="DTS2" s="74"/>
      <c r="DTT2" s="74"/>
      <c r="DTU2" s="74"/>
      <c r="DTV2" s="74"/>
      <c r="DTW2" s="74"/>
      <c r="DTX2" s="74"/>
      <c r="DTY2" s="74"/>
      <c r="DTZ2" s="74"/>
      <c r="DUA2" s="74"/>
      <c r="DUB2" s="74"/>
      <c r="DUC2" s="74"/>
      <c r="DUD2" s="74"/>
      <c r="DUE2" s="74"/>
      <c r="DUF2" s="74"/>
      <c r="DUG2" s="74"/>
      <c r="DUH2" s="74"/>
      <c r="DUI2" s="74"/>
      <c r="DUJ2" s="74"/>
      <c r="DUK2" s="74"/>
      <c r="DUL2" s="74"/>
      <c r="DUM2" s="74"/>
      <c r="DUN2" s="74"/>
      <c r="DUO2" s="74"/>
      <c r="DUP2" s="74"/>
      <c r="DUQ2" s="74"/>
      <c r="DUR2" s="74"/>
      <c r="DUS2" s="74"/>
      <c r="DUT2" s="74"/>
      <c r="DUU2" s="74"/>
      <c r="DUV2" s="74"/>
      <c r="DUW2" s="74"/>
      <c r="DUX2" s="74"/>
      <c r="DUY2" s="74"/>
      <c r="DUZ2" s="74"/>
      <c r="DVA2" s="74"/>
      <c r="DVB2" s="74"/>
      <c r="DVC2" s="74"/>
      <c r="DVD2" s="74"/>
      <c r="DVE2" s="74"/>
      <c r="DVF2" s="74"/>
      <c r="DVG2" s="74"/>
      <c r="DVH2" s="74"/>
      <c r="DVI2" s="74"/>
      <c r="DVJ2" s="74"/>
      <c r="DVK2" s="74"/>
      <c r="DVL2" s="74"/>
      <c r="DVM2" s="74"/>
      <c r="DVN2" s="74"/>
      <c r="DVO2" s="74"/>
      <c r="DVP2" s="74"/>
      <c r="DVQ2" s="74"/>
      <c r="DVR2" s="74"/>
      <c r="DVS2" s="74"/>
      <c r="DVT2" s="74"/>
      <c r="DVU2" s="74"/>
      <c r="DVV2" s="74"/>
      <c r="DVW2" s="74"/>
      <c r="DVX2" s="74"/>
      <c r="DVY2" s="74"/>
      <c r="DVZ2" s="74"/>
      <c r="DWA2" s="74"/>
      <c r="DWB2" s="74"/>
      <c r="DWC2" s="74"/>
      <c r="DWD2" s="74"/>
      <c r="DWE2" s="74"/>
      <c r="DWF2" s="74"/>
      <c r="DWG2" s="74"/>
      <c r="DWH2" s="74"/>
      <c r="DWI2" s="74"/>
      <c r="DWJ2" s="74"/>
      <c r="DWK2" s="74"/>
      <c r="DWL2" s="74"/>
      <c r="DWM2" s="74"/>
      <c r="DWN2" s="74"/>
      <c r="DWO2" s="74"/>
      <c r="DWP2" s="74"/>
      <c r="DWQ2" s="74"/>
      <c r="DWR2" s="74"/>
      <c r="DWS2" s="74"/>
      <c r="DWT2" s="74"/>
      <c r="DWU2" s="74"/>
      <c r="DWV2" s="74"/>
      <c r="DWW2" s="74"/>
      <c r="DWX2" s="74"/>
      <c r="DWY2" s="74"/>
      <c r="DWZ2" s="74"/>
      <c r="DXA2" s="74"/>
      <c r="DXB2" s="74"/>
      <c r="DXC2" s="74"/>
      <c r="DXD2" s="74"/>
      <c r="DXE2" s="74"/>
      <c r="DXF2" s="74"/>
      <c r="DXG2" s="74"/>
      <c r="DXH2" s="74"/>
      <c r="DXI2" s="74"/>
      <c r="DXJ2" s="74"/>
      <c r="DXK2" s="74"/>
      <c r="DXL2" s="74"/>
      <c r="DXM2" s="74"/>
      <c r="DXN2" s="74"/>
      <c r="DXO2" s="74"/>
      <c r="DXP2" s="74"/>
      <c r="DXQ2" s="74"/>
      <c r="DXR2" s="74"/>
      <c r="DXS2" s="74"/>
      <c r="DXT2" s="74"/>
      <c r="DXU2" s="74"/>
      <c r="DXV2" s="74"/>
      <c r="DXW2" s="74"/>
      <c r="DXX2" s="74"/>
      <c r="DXY2" s="74"/>
      <c r="DXZ2" s="74"/>
      <c r="DYA2" s="74"/>
      <c r="DYB2" s="74"/>
      <c r="DYC2" s="74"/>
      <c r="DYD2" s="74"/>
      <c r="DYE2" s="74"/>
      <c r="DYF2" s="74"/>
      <c r="DYG2" s="74"/>
      <c r="DYH2" s="74"/>
      <c r="DYI2" s="74"/>
      <c r="DYJ2" s="74"/>
      <c r="DYK2" s="74"/>
      <c r="DYL2" s="74"/>
      <c r="DYM2" s="74"/>
      <c r="DYN2" s="74"/>
      <c r="DYO2" s="74"/>
      <c r="DYP2" s="74"/>
      <c r="DYQ2" s="74"/>
      <c r="DYR2" s="74"/>
      <c r="DYS2" s="74"/>
      <c r="DYT2" s="74"/>
      <c r="DYU2" s="74"/>
      <c r="DYV2" s="74"/>
      <c r="DYW2" s="74"/>
      <c r="DYX2" s="74"/>
      <c r="DYY2" s="74"/>
      <c r="DYZ2" s="74"/>
      <c r="DZA2" s="74"/>
      <c r="DZB2" s="74"/>
      <c r="DZC2" s="74"/>
      <c r="DZD2" s="74"/>
      <c r="DZE2" s="74"/>
      <c r="DZF2" s="74"/>
      <c r="DZG2" s="74"/>
      <c r="DZH2" s="74"/>
      <c r="DZI2" s="74"/>
      <c r="DZJ2" s="74"/>
      <c r="DZK2" s="74"/>
      <c r="DZL2" s="74"/>
      <c r="DZM2" s="74"/>
      <c r="DZN2" s="74"/>
      <c r="DZO2" s="74"/>
      <c r="DZP2" s="74"/>
      <c r="DZQ2" s="74"/>
      <c r="DZR2" s="74"/>
      <c r="DZS2" s="74"/>
      <c r="DZT2" s="74"/>
      <c r="DZU2" s="74"/>
      <c r="DZV2" s="74"/>
      <c r="DZW2" s="74"/>
      <c r="DZX2" s="74"/>
      <c r="DZY2" s="74"/>
      <c r="DZZ2" s="74"/>
      <c r="EAA2" s="74"/>
      <c r="EAB2" s="74"/>
      <c r="EAC2" s="74"/>
      <c r="EAD2" s="74"/>
      <c r="EAE2" s="74"/>
      <c r="EAF2" s="74"/>
      <c r="EAG2" s="74"/>
      <c r="EAH2" s="74"/>
      <c r="EAI2" s="74"/>
      <c r="EAJ2" s="74"/>
      <c r="EAK2" s="74"/>
      <c r="EAL2" s="74"/>
      <c r="EAM2" s="74"/>
      <c r="EAN2" s="74"/>
      <c r="EAO2" s="74"/>
      <c r="EAP2" s="74"/>
      <c r="EAQ2" s="74"/>
      <c r="EAR2" s="74"/>
      <c r="EAS2" s="74"/>
      <c r="EAT2" s="74"/>
      <c r="EAU2" s="74"/>
      <c r="EAV2" s="74"/>
      <c r="EAW2" s="74"/>
      <c r="EAX2" s="74"/>
      <c r="EAY2" s="74"/>
      <c r="EAZ2" s="74"/>
      <c r="EBA2" s="74"/>
      <c r="EBB2" s="74"/>
      <c r="EBC2" s="74"/>
      <c r="EBD2" s="74"/>
      <c r="EBE2" s="74"/>
      <c r="EBF2" s="74"/>
      <c r="EBG2" s="74"/>
      <c r="EBH2" s="74"/>
      <c r="EBI2" s="74"/>
      <c r="EBJ2" s="74"/>
      <c r="EBK2" s="74"/>
      <c r="EBL2" s="74"/>
      <c r="EBM2" s="74"/>
      <c r="EBN2" s="74"/>
      <c r="EBO2" s="74"/>
      <c r="EBP2" s="74"/>
      <c r="EBQ2" s="74"/>
      <c r="EBR2" s="74"/>
      <c r="EBS2" s="74"/>
      <c r="EBT2" s="74"/>
      <c r="EBU2" s="74"/>
      <c r="EBV2" s="74"/>
      <c r="EBW2" s="74"/>
      <c r="EBX2" s="74"/>
      <c r="EBY2" s="74"/>
      <c r="EBZ2" s="74"/>
      <c r="ECA2" s="74"/>
      <c r="ECB2" s="74"/>
      <c r="ECC2" s="74"/>
      <c r="ECD2" s="74"/>
      <c r="ECE2" s="74"/>
      <c r="ECF2" s="74"/>
      <c r="ECG2" s="74"/>
      <c r="ECH2" s="74"/>
      <c r="ECI2" s="74"/>
      <c r="ECJ2" s="74"/>
      <c r="ECK2" s="74"/>
      <c r="ECL2" s="74"/>
      <c r="ECM2" s="74"/>
      <c r="ECN2" s="74"/>
      <c r="ECO2" s="74"/>
      <c r="ECP2" s="74"/>
      <c r="ECQ2" s="74"/>
      <c r="ECR2" s="74"/>
      <c r="ECS2" s="74"/>
      <c r="ECT2" s="74"/>
      <c r="ECU2" s="74"/>
      <c r="ECV2" s="74"/>
      <c r="ECW2" s="74"/>
      <c r="ECX2" s="74"/>
      <c r="ECY2" s="74"/>
      <c r="ECZ2" s="74"/>
      <c r="EDA2" s="74"/>
      <c r="EDB2" s="74"/>
      <c r="EDC2" s="74"/>
      <c r="EDD2" s="74"/>
      <c r="EDE2" s="74"/>
      <c r="EDF2" s="74"/>
      <c r="EDG2" s="74"/>
      <c r="EDH2" s="74"/>
      <c r="EDI2" s="74"/>
      <c r="EDJ2" s="74"/>
      <c r="EDK2" s="74"/>
      <c r="EDL2" s="74"/>
      <c r="EDM2" s="74"/>
      <c r="EDN2" s="74"/>
      <c r="EDO2" s="74"/>
      <c r="EDP2" s="74"/>
      <c r="EDQ2" s="74"/>
      <c r="EDR2" s="74"/>
      <c r="EDS2" s="74"/>
      <c r="EDT2" s="74"/>
      <c r="EDU2" s="74"/>
      <c r="EDV2" s="74"/>
      <c r="EDW2" s="74"/>
      <c r="EDX2" s="74"/>
      <c r="EDY2" s="74"/>
      <c r="EDZ2" s="74"/>
      <c r="EEA2" s="74"/>
      <c r="EEB2" s="74"/>
      <c r="EEC2" s="74"/>
      <c r="EED2" s="74"/>
      <c r="EEE2" s="74"/>
      <c r="EEF2" s="74"/>
      <c r="EEG2" s="74"/>
      <c r="EEH2" s="74"/>
      <c r="EEI2" s="74"/>
      <c r="EEJ2" s="74"/>
      <c r="EEK2" s="74"/>
      <c r="EEL2" s="74"/>
      <c r="EEM2" s="74"/>
      <c r="EEN2" s="74"/>
      <c r="EEO2" s="74"/>
      <c r="EEP2" s="74"/>
      <c r="EEQ2" s="74"/>
      <c r="EER2" s="74"/>
      <c r="EES2" s="74"/>
      <c r="EET2" s="74"/>
      <c r="EEU2" s="74"/>
      <c r="EEV2" s="74"/>
      <c r="EEW2" s="74"/>
      <c r="EEX2" s="74"/>
      <c r="EEY2" s="74"/>
      <c r="EEZ2" s="74"/>
      <c r="EFA2" s="74"/>
      <c r="EFB2" s="74"/>
      <c r="EFC2" s="74"/>
      <c r="EFD2" s="74"/>
      <c r="EFE2" s="74"/>
      <c r="EFF2" s="74"/>
      <c r="EFG2" s="74"/>
      <c r="EFH2" s="74"/>
      <c r="EFI2" s="74"/>
      <c r="EFJ2" s="74"/>
      <c r="EFK2" s="74"/>
      <c r="EFL2" s="74"/>
      <c r="EFM2" s="74"/>
      <c r="EFN2" s="74"/>
      <c r="EFO2" s="74"/>
      <c r="EFP2" s="74"/>
      <c r="EFQ2" s="74"/>
      <c r="EFR2" s="74"/>
      <c r="EFS2" s="74"/>
      <c r="EFT2" s="74"/>
      <c r="EFU2" s="74"/>
      <c r="EFV2" s="74"/>
      <c r="EFW2" s="74"/>
      <c r="EFX2" s="74"/>
      <c r="EFY2" s="74"/>
      <c r="EFZ2" s="74"/>
      <c r="EGA2" s="74"/>
      <c r="EGB2" s="74"/>
      <c r="EGC2" s="74"/>
      <c r="EGD2" s="74"/>
      <c r="EGE2" s="74"/>
      <c r="EGF2" s="74"/>
      <c r="EGG2" s="74"/>
      <c r="EGH2" s="74"/>
      <c r="EGI2" s="74"/>
      <c r="EGJ2" s="74"/>
      <c r="EGK2" s="74"/>
      <c r="EGL2" s="74"/>
      <c r="EGM2" s="74"/>
      <c r="EGN2" s="74"/>
      <c r="EGO2" s="74"/>
      <c r="EGP2" s="74"/>
      <c r="EGQ2" s="74"/>
      <c r="EGR2" s="74"/>
      <c r="EGS2" s="74"/>
      <c r="EGT2" s="74"/>
      <c r="EGU2" s="74"/>
      <c r="EGV2" s="74"/>
      <c r="EGW2" s="74"/>
      <c r="EGX2" s="74"/>
      <c r="EGY2" s="74"/>
      <c r="EGZ2" s="74"/>
      <c r="EHA2" s="74"/>
      <c r="EHB2" s="74"/>
      <c r="EHC2" s="74"/>
      <c r="EHD2" s="74"/>
      <c r="EHE2" s="74"/>
      <c r="EHF2" s="74"/>
      <c r="EHG2" s="74"/>
      <c r="EHH2" s="74"/>
      <c r="EHI2" s="74"/>
      <c r="EHJ2" s="74"/>
      <c r="EHK2" s="74"/>
      <c r="EHL2" s="74"/>
      <c r="EHM2" s="74"/>
      <c r="EHN2" s="74"/>
      <c r="EHO2" s="74"/>
      <c r="EHP2" s="74"/>
      <c r="EHQ2" s="74"/>
      <c r="EHR2" s="74"/>
      <c r="EHS2" s="74"/>
      <c r="EHT2" s="74"/>
      <c r="EHU2" s="74"/>
      <c r="EHV2" s="74"/>
      <c r="EHW2" s="74"/>
      <c r="EHX2" s="74"/>
      <c r="EHY2" s="74"/>
      <c r="EHZ2" s="74"/>
      <c r="EIA2" s="74"/>
      <c r="EIB2" s="74"/>
      <c r="EIC2" s="74"/>
      <c r="EID2" s="74"/>
      <c r="EIE2" s="74"/>
      <c r="EIF2" s="74"/>
      <c r="EIG2" s="74"/>
      <c r="EIH2" s="74"/>
      <c r="EII2" s="74"/>
      <c r="EIJ2" s="74"/>
      <c r="EIK2" s="74"/>
      <c r="EIL2" s="74"/>
      <c r="EIM2" s="74"/>
      <c r="EIN2" s="74"/>
      <c r="EIO2" s="74"/>
      <c r="EIP2" s="74"/>
      <c r="EIQ2" s="74"/>
      <c r="EIR2" s="74"/>
      <c r="EIS2" s="74"/>
      <c r="EIT2" s="74"/>
      <c r="EIU2" s="74"/>
      <c r="EIV2" s="74"/>
      <c r="EIW2" s="74"/>
      <c r="EIX2" s="74"/>
      <c r="EIY2" s="74"/>
      <c r="EIZ2" s="74"/>
      <c r="EJA2" s="74"/>
      <c r="EJB2" s="74"/>
      <c r="EJC2" s="74"/>
      <c r="EJD2" s="74"/>
      <c r="EJE2" s="74"/>
      <c r="EJF2" s="74"/>
      <c r="EJG2" s="74"/>
      <c r="EJH2" s="74"/>
      <c r="EJI2" s="74"/>
      <c r="EJJ2" s="74"/>
      <c r="EJK2" s="74"/>
      <c r="EJL2" s="74"/>
      <c r="EJM2" s="74"/>
      <c r="EJN2" s="74"/>
      <c r="EJO2" s="74"/>
      <c r="EJP2" s="74"/>
      <c r="EJQ2" s="74"/>
      <c r="EJR2" s="74"/>
      <c r="EJS2" s="74"/>
      <c r="EJT2" s="74"/>
      <c r="EJU2" s="74"/>
      <c r="EJV2" s="74"/>
      <c r="EJW2" s="74"/>
      <c r="EJX2" s="74"/>
      <c r="EJY2" s="74"/>
      <c r="EJZ2" s="74"/>
      <c r="EKA2" s="74"/>
      <c r="EKB2" s="74"/>
      <c r="EKC2" s="74"/>
      <c r="EKD2" s="74"/>
      <c r="EKE2" s="74"/>
      <c r="EKF2" s="74"/>
      <c r="EKG2" s="74"/>
      <c r="EKH2" s="74"/>
      <c r="EKI2" s="74"/>
      <c r="EKJ2" s="74"/>
      <c r="EKK2" s="74"/>
      <c r="EKL2" s="74"/>
      <c r="EKM2" s="74"/>
      <c r="EKN2" s="74"/>
      <c r="EKO2" s="74"/>
      <c r="EKP2" s="74"/>
      <c r="EKQ2" s="74"/>
      <c r="EKR2" s="74"/>
      <c r="EKS2" s="74"/>
      <c r="EKT2" s="74"/>
      <c r="EKU2" s="74"/>
      <c r="EKV2" s="74"/>
      <c r="EKW2" s="74"/>
      <c r="EKX2" s="74"/>
      <c r="EKY2" s="74"/>
      <c r="EKZ2" s="74"/>
      <c r="ELA2" s="74"/>
      <c r="ELB2" s="74"/>
      <c r="ELC2" s="74"/>
      <c r="ELD2" s="74"/>
      <c r="ELE2" s="74"/>
      <c r="ELF2" s="74"/>
      <c r="ELG2" s="74"/>
      <c r="ELH2" s="74"/>
      <c r="ELI2" s="74"/>
      <c r="ELJ2" s="74"/>
      <c r="ELK2" s="74"/>
      <c r="ELL2" s="74"/>
      <c r="ELM2" s="74"/>
      <c r="ELN2" s="74"/>
      <c r="ELO2" s="74"/>
      <c r="ELP2" s="74"/>
      <c r="ELQ2" s="74"/>
      <c r="ELR2" s="74"/>
      <c r="ELS2" s="74"/>
      <c r="ELT2" s="74"/>
      <c r="ELU2" s="74"/>
      <c r="ELV2" s="74"/>
      <c r="ELW2" s="74"/>
      <c r="ELX2" s="74"/>
      <c r="ELY2" s="74"/>
      <c r="ELZ2" s="74"/>
      <c r="EMA2" s="74"/>
      <c r="EMB2" s="74"/>
      <c r="EMC2" s="74"/>
      <c r="EMD2" s="74"/>
      <c r="EME2" s="74"/>
      <c r="EMF2" s="74"/>
      <c r="EMG2" s="74"/>
      <c r="EMH2" s="74"/>
      <c r="EMI2" s="74"/>
      <c r="EMJ2" s="74"/>
      <c r="EMK2" s="74"/>
      <c r="EML2" s="74"/>
      <c r="EMM2" s="74"/>
      <c r="EMN2" s="74"/>
      <c r="EMO2" s="74"/>
      <c r="EMP2" s="74"/>
      <c r="EMQ2" s="74"/>
      <c r="EMR2" s="74"/>
      <c r="EMS2" s="74"/>
      <c r="EMT2" s="74"/>
      <c r="EMU2" s="74"/>
      <c r="EMV2" s="74"/>
      <c r="EMW2" s="74"/>
      <c r="EMX2" s="74"/>
      <c r="EMY2" s="74"/>
      <c r="EMZ2" s="74"/>
      <c r="ENA2" s="74"/>
      <c r="ENB2" s="74"/>
      <c r="ENC2" s="74"/>
      <c r="END2" s="74"/>
      <c r="ENE2" s="74"/>
      <c r="ENF2" s="74"/>
      <c r="ENG2" s="74"/>
      <c r="ENH2" s="74"/>
      <c r="ENI2" s="74"/>
      <c r="ENJ2" s="74"/>
      <c r="ENK2" s="74"/>
      <c r="ENL2" s="74"/>
      <c r="ENM2" s="74"/>
      <c r="ENN2" s="74"/>
      <c r="ENO2" s="74"/>
      <c r="ENP2" s="74"/>
      <c r="ENQ2" s="74"/>
      <c r="ENR2" s="74"/>
      <c r="ENS2" s="74"/>
      <c r="ENT2" s="74"/>
      <c r="ENU2" s="74"/>
      <c r="ENV2" s="74"/>
      <c r="ENW2" s="74"/>
      <c r="ENX2" s="74"/>
      <c r="ENY2" s="74"/>
      <c r="ENZ2" s="74"/>
      <c r="EOA2" s="74"/>
      <c r="EOB2" s="74"/>
      <c r="EOC2" s="74"/>
      <c r="EOD2" s="74"/>
      <c r="EOE2" s="74"/>
      <c r="EOF2" s="74"/>
      <c r="EOG2" s="74"/>
      <c r="EOH2" s="74"/>
      <c r="EOI2" s="74"/>
      <c r="EOJ2" s="74"/>
      <c r="EOK2" s="74"/>
      <c r="EOL2" s="74"/>
      <c r="EOM2" s="74"/>
      <c r="EON2" s="74"/>
      <c r="EOO2" s="74"/>
      <c r="EOP2" s="74"/>
      <c r="EOQ2" s="74"/>
      <c r="EOR2" s="74"/>
      <c r="EOS2" s="74"/>
      <c r="EOT2" s="74"/>
      <c r="EOU2" s="74"/>
      <c r="EOV2" s="74"/>
      <c r="EOW2" s="74"/>
      <c r="EOX2" s="74"/>
      <c r="EOY2" s="74"/>
      <c r="EOZ2" s="74"/>
      <c r="EPA2" s="74"/>
      <c r="EPB2" s="74"/>
      <c r="EPC2" s="74"/>
      <c r="EPD2" s="74"/>
      <c r="EPE2" s="74"/>
      <c r="EPF2" s="74"/>
      <c r="EPG2" s="74"/>
      <c r="EPH2" s="74"/>
      <c r="EPI2" s="74"/>
      <c r="EPJ2" s="74"/>
      <c r="EPK2" s="74"/>
      <c r="EPL2" s="74"/>
      <c r="EPM2" s="74"/>
      <c r="EPN2" s="74"/>
      <c r="EPO2" s="74"/>
      <c r="EPP2" s="74"/>
      <c r="EPQ2" s="74"/>
      <c r="EPR2" s="74"/>
      <c r="EPS2" s="74"/>
      <c r="EPT2" s="74"/>
      <c r="EPU2" s="74"/>
      <c r="EPV2" s="74"/>
      <c r="EPW2" s="74"/>
      <c r="EPX2" s="74"/>
      <c r="EPY2" s="74"/>
      <c r="EPZ2" s="74"/>
      <c r="EQA2" s="74"/>
      <c r="EQB2" s="74"/>
      <c r="EQC2" s="74"/>
      <c r="EQD2" s="74"/>
      <c r="EQE2" s="74"/>
      <c r="EQF2" s="74"/>
      <c r="EQG2" s="74"/>
      <c r="EQH2" s="74"/>
      <c r="EQI2" s="74"/>
      <c r="EQJ2" s="74"/>
      <c r="EQK2" s="74"/>
      <c r="EQL2" s="74"/>
      <c r="EQM2" s="74"/>
      <c r="EQN2" s="74"/>
      <c r="EQO2" s="74"/>
      <c r="EQP2" s="74"/>
      <c r="EQQ2" s="74"/>
      <c r="EQR2" s="74"/>
      <c r="EQS2" s="74"/>
      <c r="EQT2" s="74"/>
      <c r="EQU2" s="74"/>
      <c r="EQV2" s="74"/>
      <c r="EQW2" s="74"/>
      <c r="EQX2" s="74"/>
      <c r="EQY2" s="74"/>
      <c r="EQZ2" s="74"/>
      <c r="ERA2" s="74"/>
      <c r="ERB2" s="74"/>
      <c r="ERC2" s="74"/>
      <c r="ERD2" s="74"/>
      <c r="ERE2" s="74"/>
      <c r="ERF2" s="74"/>
      <c r="ERG2" s="74"/>
      <c r="ERH2" s="74"/>
      <c r="ERI2" s="74"/>
      <c r="ERJ2" s="74"/>
      <c r="ERK2" s="74"/>
      <c r="ERL2" s="74"/>
      <c r="ERM2" s="74"/>
      <c r="ERN2" s="74"/>
      <c r="ERO2" s="74"/>
      <c r="ERP2" s="74"/>
      <c r="ERQ2" s="74"/>
      <c r="ERR2" s="74"/>
      <c r="ERS2" s="74"/>
      <c r="ERT2" s="74"/>
      <c r="ERU2" s="74"/>
      <c r="ERV2" s="74"/>
      <c r="ERW2" s="74"/>
      <c r="ERX2" s="74"/>
      <c r="ERY2" s="74"/>
      <c r="ERZ2" s="74"/>
      <c r="ESA2" s="74"/>
      <c r="ESB2" s="74"/>
      <c r="ESC2" s="74"/>
      <c r="ESD2" s="74"/>
      <c r="ESE2" s="74"/>
      <c r="ESF2" s="74"/>
      <c r="ESG2" s="74"/>
      <c r="ESH2" s="74"/>
      <c r="ESI2" s="74"/>
      <c r="ESJ2" s="74"/>
      <c r="ESK2" s="74"/>
      <c r="ESL2" s="74"/>
      <c r="ESM2" s="74"/>
      <c r="ESN2" s="74"/>
      <c r="ESO2" s="74"/>
      <c r="ESP2" s="74"/>
      <c r="ESQ2" s="74"/>
      <c r="ESR2" s="74"/>
      <c r="ESS2" s="74"/>
      <c r="EST2" s="74"/>
      <c r="ESU2" s="74"/>
      <c r="ESV2" s="74"/>
      <c r="ESW2" s="74"/>
      <c r="ESX2" s="74"/>
      <c r="ESY2" s="74"/>
      <c r="ESZ2" s="74"/>
      <c r="ETA2" s="74"/>
      <c r="ETB2" s="74"/>
      <c r="ETC2" s="74"/>
      <c r="ETD2" s="74"/>
      <c r="ETE2" s="74"/>
      <c r="ETF2" s="74"/>
      <c r="ETG2" s="74"/>
      <c r="ETH2" s="74"/>
      <c r="ETI2" s="74"/>
      <c r="ETJ2" s="74"/>
      <c r="ETK2" s="74"/>
      <c r="ETL2" s="74"/>
      <c r="ETM2" s="74"/>
      <c r="ETN2" s="74"/>
      <c r="ETO2" s="74"/>
      <c r="ETP2" s="74"/>
      <c r="ETQ2" s="74"/>
      <c r="ETR2" s="74"/>
      <c r="ETS2" s="74"/>
      <c r="ETT2" s="74"/>
      <c r="ETU2" s="74"/>
      <c r="ETV2" s="74"/>
      <c r="ETW2" s="74"/>
      <c r="ETX2" s="74"/>
      <c r="ETY2" s="74"/>
      <c r="ETZ2" s="74"/>
      <c r="EUA2" s="74"/>
      <c r="EUB2" s="74"/>
      <c r="EUC2" s="74"/>
      <c r="EUD2" s="74"/>
      <c r="EUE2" s="74"/>
      <c r="EUF2" s="74"/>
      <c r="EUG2" s="74"/>
      <c r="EUH2" s="74"/>
      <c r="EUI2" s="74"/>
      <c r="EUJ2" s="74"/>
      <c r="EUK2" s="74"/>
      <c r="EUL2" s="74"/>
      <c r="EUM2" s="74"/>
      <c r="EUN2" s="74"/>
      <c r="EUO2" s="74"/>
      <c r="EUP2" s="74"/>
      <c r="EUQ2" s="74"/>
      <c r="EUR2" s="74"/>
      <c r="EUS2" s="74"/>
      <c r="EUT2" s="74"/>
      <c r="EUU2" s="74"/>
      <c r="EUV2" s="74"/>
      <c r="EUW2" s="74"/>
      <c r="EUX2" s="74"/>
      <c r="EUY2" s="74"/>
      <c r="EUZ2" s="74"/>
      <c r="EVA2" s="74"/>
      <c r="EVB2" s="74"/>
      <c r="EVC2" s="74"/>
      <c r="EVD2" s="74"/>
      <c r="EVE2" s="74"/>
      <c r="EVF2" s="74"/>
      <c r="EVG2" s="74"/>
      <c r="EVH2" s="74"/>
      <c r="EVI2" s="74"/>
      <c r="EVJ2" s="74"/>
      <c r="EVK2" s="74"/>
      <c r="EVL2" s="74"/>
      <c r="EVM2" s="74"/>
      <c r="EVN2" s="74"/>
      <c r="EVO2" s="74"/>
      <c r="EVP2" s="74"/>
      <c r="EVQ2" s="74"/>
      <c r="EVR2" s="74"/>
      <c r="EVS2" s="74"/>
      <c r="EVT2" s="74"/>
      <c r="EVU2" s="74"/>
      <c r="EVV2" s="74"/>
      <c r="EVW2" s="74"/>
      <c r="EVX2" s="74"/>
      <c r="EVY2" s="74"/>
      <c r="EVZ2" s="74"/>
      <c r="EWA2" s="74"/>
      <c r="EWB2" s="74"/>
      <c r="EWC2" s="74"/>
      <c r="EWD2" s="74"/>
      <c r="EWE2" s="74"/>
      <c r="EWF2" s="74"/>
      <c r="EWG2" s="74"/>
      <c r="EWH2" s="74"/>
      <c r="EWI2" s="74"/>
      <c r="EWJ2" s="74"/>
      <c r="EWK2" s="74"/>
      <c r="EWL2" s="74"/>
      <c r="EWM2" s="74"/>
      <c r="EWN2" s="74"/>
      <c r="EWO2" s="74"/>
      <c r="EWP2" s="74"/>
      <c r="EWQ2" s="74"/>
      <c r="EWR2" s="74"/>
      <c r="EWS2" s="74"/>
      <c r="EWT2" s="74"/>
      <c r="EWU2" s="74"/>
      <c r="EWV2" s="74"/>
      <c r="EWW2" s="74"/>
      <c r="EWX2" s="74"/>
      <c r="EWY2" s="74"/>
      <c r="EWZ2" s="74"/>
      <c r="EXA2" s="74"/>
      <c r="EXB2" s="74"/>
      <c r="EXC2" s="74"/>
      <c r="EXD2" s="74"/>
      <c r="EXE2" s="74"/>
      <c r="EXF2" s="74"/>
      <c r="EXG2" s="74"/>
      <c r="EXH2" s="74"/>
      <c r="EXI2" s="74"/>
      <c r="EXJ2" s="74"/>
      <c r="EXK2" s="74"/>
      <c r="EXL2" s="74"/>
      <c r="EXM2" s="74"/>
      <c r="EXN2" s="74"/>
      <c r="EXO2" s="74"/>
      <c r="EXP2" s="74"/>
      <c r="EXQ2" s="74"/>
      <c r="EXR2" s="74"/>
      <c r="EXS2" s="74"/>
      <c r="EXT2" s="74"/>
      <c r="EXU2" s="74"/>
      <c r="EXV2" s="74"/>
      <c r="EXW2" s="74"/>
      <c r="EXX2" s="74"/>
      <c r="EXY2" s="74"/>
      <c r="EXZ2" s="74"/>
      <c r="EYA2" s="74"/>
      <c r="EYB2" s="74"/>
      <c r="EYC2" s="74"/>
      <c r="EYD2" s="74"/>
      <c r="EYE2" s="74"/>
      <c r="EYF2" s="74"/>
      <c r="EYG2" s="74"/>
      <c r="EYH2" s="74"/>
      <c r="EYI2" s="74"/>
      <c r="EYJ2" s="74"/>
      <c r="EYK2" s="74"/>
      <c r="EYL2" s="74"/>
      <c r="EYM2" s="74"/>
      <c r="EYN2" s="74"/>
      <c r="EYO2" s="74"/>
      <c r="EYP2" s="74"/>
      <c r="EYQ2" s="74"/>
      <c r="EYR2" s="74"/>
      <c r="EYS2" s="74"/>
      <c r="EYT2" s="74"/>
      <c r="EYU2" s="74"/>
      <c r="EYV2" s="74"/>
      <c r="EYW2" s="74"/>
      <c r="EYX2" s="74"/>
      <c r="EYY2" s="74"/>
      <c r="EYZ2" s="74"/>
      <c r="EZA2" s="74"/>
      <c r="EZB2" s="74"/>
      <c r="EZC2" s="74"/>
      <c r="EZD2" s="74"/>
      <c r="EZE2" s="74"/>
      <c r="EZF2" s="74"/>
      <c r="EZG2" s="74"/>
      <c r="EZH2" s="74"/>
      <c r="EZI2" s="74"/>
      <c r="EZJ2" s="74"/>
      <c r="EZK2" s="74"/>
      <c r="EZL2" s="74"/>
      <c r="EZM2" s="74"/>
      <c r="EZN2" s="74"/>
      <c r="EZO2" s="74"/>
      <c r="EZP2" s="74"/>
      <c r="EZQ2" s="74"/>
      <c r="EZR2" s="74"/>
      <c r="EZS2" s="74"/>
      <c r="EZT2" s="74"/>
      <c r="EZU2" s="74"/>
      <c r="EZV2" s="74"/>
      <c r="EZW2" s="74"/>
      <c r="EZX2" s="74"/>
      <c r="EZY2" s="74"/>
      <c r="EZZ2" s="74"/>
      <c r="FAA2" s="74"/>
      <c r="FAB2" s="74"/>
      <c r="FAC2" s="74"/>
      <c r="FAD2" s="74"/>
      <c r="FAE2" s="74"/>
      <c r="FAF2" s="74"/>
      <c r="FAG2" s="74"/>
      <c r="FAH2" s="74"/>
      <c r="FAI2" s="74"/>
      <c r="FAJ2" s="74"/>
      <c r="FAK2" s="74"/>
      <c r="FAL2" s="74"/>
      <c r="FAM2" s="74"/>
      <c r="FAN2" s="74"/>
      <c r="FAO2" s="74"/>
      <c r="FAP2" s="74"/>
      <c r="FAQ2" s="74"/>
      <c r="FAR2" s="74"/>
      <c r="FAS2" s="74"/>
      <c r="FAT2" s="74"/>
      <c r="FAU2" s="74"/>
      <c r="FAV2" s="74"/>
      <c r="FAW2" s="74"/>
      <c r="FAX2" s="74"/>
      <c r="FAY2" s="74"/>
      <c r="FAZ2" s="74"/>
      <c r="FBA2" s="74"/>
      <c r="FBB2" s="74"/>
      <c r="FBC2" s="74"/>
      <c r="FBD2" s="74"/>
      <c r="FBE2" s="74"/>
      <c r="FBF2" s="74"/>
      <c r="FBG2" s="74"/>
      <c r="FBH2" s="74"/>
      <c r="FBI2" s="74"/>
      <c r="FBJ2" s="74"/>
      <c r="FBK2" s="74"/>
      <c r="FBL2" s="74"/>
      <c r="FBM2" s="74"/>
      <c r="FBN2" s="74"/>
      <c r="FBO2" s="74"/>
      <c r="FBP2" s="74"/>
      <c r="FBQ2" s="74"/>
      <c r="FBR2" s="74"/>
      <c r="FBS2" s="74"/>
      <c r="FBT2" s="74"/>
      <c r="FBU2" s="74"/>
      <c r="FBV2" s="74"/>
      <c r="FBW2" s="74"/>
      <c r="FBX2" s="74"/>
      <c r="FBY2" s="74"/>
      <c r="FBZ2" s="74"/>
      <c r="FCA2" s="74"/>
      <c r="FCB2" s="74"/>
      <c r="FCC2" s="74"/>
      <c r="FCD2" s="74"/>
      <c r="FCE2" s="74"/>
      <c r="FCF2" s="74"/>
      <c r="FCG2" s="74"/>
      <c r="FCH2" s="74"/>
      <c r="FCI2" s="74"/>
      <c r="FCJ2" s="74"/>
      <c r="FCK2" s="74"/>
      <c r="FCL2" s="74"/>
      <c r="FCM2" s="74"/>
      <c r="FCN2" s="74"/>
      <c r="FCO2" s="74"/>
      <c r="FCP2" s="74"/>
      <c r="FCQ2" s="74"/>
      <c r="FCR2" s="74"/>
      <c r="FCS2" s="74"/>
      <c r="FCT2" s="74"/>
      <c r="FCU2" s="74"/>
      <c r="FCV2" s="74"/>
      <c r="FCW2" s="74"/>
      <c r="FCX2" s="74"/>
      <c r="FCY2" s="74"/>
      <c r="FCZ2" s="74"/>
      <c r="FDA2" s="74"/>
      <c r="FDB2" s="74"/>
      <c r="FDC2" s="74"/>
      <c r="FDD2" s="74"/>
      <c r="FDE2" s="74"/>
      <c r="FDF2" s="74"/>
      <c r="FDG2" s="74"/>
      <c r="FDH2" s="74"/>
      <c r="FDI2" s="74"/>
      <c r="FDJ2" s="74"/>
      <c r="FDK2" s="74"/>
      <c r="FDL2" s="74"/>
      <c r="FDM2" s="74"/>
      <c r="FDN2" s="74"/>
      <c r="FDO2" s="74"/>
      <c r="FDP2" s="74"/>
      <c r="FDQ2" s="74"/>
      <c r="FDR2" s="74"/>
      <c r="FDS2" s="74"/>
      <c r="FDT2" s="74"/>
      <c r="FDU2" s="74"/>
      <c r="FDV2" s="74"/>
      <c r="FDW2" s="74"/>
      <c r="FDX2" s="74"/>
      <c r="FDY2" s="74"/>
      <c r="FDZ2" s="74"/>
      <c r="FEA2" s="74"/>
      <c r="FEB2" s="74"/>
      <c r="FEC2" s="74"/>
      <c r="FED2" s="74"/>
      <c r="FEE2" s="74"/>
      <c r="FEF2" s="74"/>
      <c r="FEG2" s="74"/>
      <c r="FEH2" s="74"/>
      <c r="FEI2" s="74"/>
      <c r="FEJ2" s="74"/>
      <c r="FEK2" s="74"/>
      <c r="FEL2" s="74"/>
      <c r="FEM2" s="74"/>
      <c r="FEN2" s="74"/>
      <c r="FEO2" s="74"/>
      <c r="FEP2" s="74"/>
      <c r="FEQ2" s="74"/>
      <c r="FER2" s="74"/>
      <c r="FES2" s="74"/>
      <c r="FET2" s="74"/>
      <c r="FEU2" s="74"/>
      <c r="FEV2" s="74"/>
      <c r="FEW2" s="74"/>
      <c r="FEX2" s="74"/>
      <c r="FEY2" s="74"/>
      <c r="FEZ2" s="74"/>
      <c r="FFA2" s="74"/>
      <c r="FFB2" s="74"/>
      <c r="FFC2" s="74"/>
      <c r="FFD2" s="74"/>
      <c r="FFE2" s="74"/>
      <c r="FFF2" s="74"/>
      <c r="FFG2" s="74"/>
      <c r="FFH2" s="74"/>
      <c r="FFI2" s="74"/>
      <c r="FFJ2" s="74"/>
      <c r="FFK2" s="74"/>
      <c r="FFL2" s="74"/>
      <c r="FFM2" s="74"/>
      <c r="FFN2" s="74"/>
      <c r="FFO2" s="74"/>
      <c r="FFP2" s="74"/>
      <c r="FFQ2" s="74"/>
      <c r="FFR2" s="74"/>
      <c r="FFS2" s="74"/>
      <c r="FFT2" s="74"/>
      <c r="FFU2" s="74"/>
      <c r="FFV2" s="74"/>
      <c r="FFW2" s="74"/>
      <c r="FFX2" s="74"/>
      <c r="FFY2" s="74"/>
      <c r="FFZ2" s="74"/>
      <c r="FGA2" s="74"/>
      <c r="FGB2" s="74"/>
      <c r="FGC2" s="74"/>
      <c r="FGD2" s="74"/>
      <c r="FGE2" s="74"/>
      <c r="FGF2" s="74"/>
      <c r="FGG2" s="74"/>
      <c r="FGH2" s="74"/>
      <c r="FGI2" s="74"/>
      <c r="FGJ2" s="74"/>
      <c r="FGK2" s="74"/>
      <c r="FGL2" s="74"/>
      <c r="FGM2" s="74"/>
      <c r="FGN2" s="74"/>
      <c r="FGO2" s="74"/>
      <c r="FGP2" s="74"/>
      <c r="FGQ2" s="74"/>
      <c r="FGR2" s="74"/>
      <c r="FGS2" s="74"/>
      <c r="FGT2" s="74"/>
      <c r="FGU2" s="74"/>
      <c r="FGV2" s="74"/>
      <c r="FGW2" s="74"/>
      <c r="FGX2" s="74"/>
      <c r="FGY2" s="74"/>
      <c r="FGZ2" s="74"/>
      <c r="FHA2" s="74"/>
      <c r="FHB2" s="74"/>
      <c r="FHC2" s="74"/>
      <c r="FHD2" s="74"/>
      <c r="FHE2" s="74"/>
      <c r="FHF2" s="74"/>
      <c r="FHG2" s="74"/>
      <c r="FHH2" s="74"/>
      <c r="FHI2" s="74"/>
      <c r="FHJ2" s="74"/>
      <c r="FHK2" s="74"/>
      <c r="FHL2" s="74"/>
      <c r="FHM2" s="74"/>
      <c r="FHN2" s="74"/>
      <c r="FHO2" s="74"/>
      <c r="FHP2" s="74"/>
      <c r="FHQ2" s="74"/>
      <c r="FHR2" s="74"/>
      <c r="FHS2" s="74"/>
      <c r="FHT2" s="74"/>
      <c r="FHU2" s="74"/>
      <c r="FHV2" s="74"/>
      <c r="FHW2" s="74"/>
      <c r="FHX2" s="74"/>
      <c r="FHY2" s="74"/>
      <c r="FHZ2" s="74"/>
      <c r="FIA2" s="74"/>
      <c r="FIB2" s="74"/>
      <c r="FIC2" s="74"/>
      <c r="FID2" s="74"/>
      <c r="FIE2" s="74"/>
      <c r="FIF2" s="74"/>
      <c r="FIG2" s="74"/>
      <c r="FIH2" s="74"/>
      <c r="FII2" s="74"/>
      <c r="FIJ2" s="74"/>
      <c r="FIK2" s="74"/>
      <c r="FIL2" s="74"/>
      <c r="FIM2" s="74"/>
      <c r="FIN2" s="74"/>
      <c r="FIO2" s="74"/>
      <c r="FIP2" s="74"/>
      <c r="FIQ2" s="74"/>
      <c r="FIR2" s="74"/>
      <c r="FIS2" s="74"/>
      <c r="FIT2" s="74"/>
      <c r="FIU2" s="74"/>
      <c r="FIV2" s="74"/>
      <c r="FIW2" s="74"/>
      <c r="FIX2" s="74"/>
      <c r="FIY2" s="74"/>
      <c r="FIZ2" s="74"/>
      <c r="FJA2" s="74"/>
      <c r="FJB2" s="74"/>
      <c r="FJC2" s="74"/>
      <c r="FJD2" s="74"/>
      <c r="FJE2" s="74"/>
      <c r="FJF2" s="74"/>
      <c r="FJG2" s="74"/>
      <c r="FJH2" s="74"/>
      <c r="FJI2" s="74"/>
      <c r="FJJ2" s="74"/>
      <c r="FJK2" s="74"/>
      <c r="FJL2" s="74"/>
      <c r="FJM2" s="74"/>
      <c r="FJN2" s="74"/>
      <c r="FJO2" s="74"/>
      <c r="FJP2" s="74"/>
      <c r="FJQ2" s="74"/>
      <c r="FJR2" s="74"/>
      <c r="FJS2" s="74"/>
      <c r="FJT2" s="74"/>
      <c r="FJU2" s="74"/>
      <c r="FJV2" s="74"/>
      <c r="FJW2" s="74"/>
      <c r="FJX2" s="74"/>
      <c r="FJY2" s="74"/>
      <c r="FJZ2" s="74"/>
      <c r="FKA2" s="74"/>
      <c r="FKB2" s="74"/>
      <c r="FKC2" s="74"/>
      <c r="FKD2" s="74"/>
      <c r="FKE2" s="74"/>
      <c r="FKF2" s="74"/>
      <c r="FKG2" s="74"/>
      <c r="FKH2" s="74"/>
      <c r="FKI2" s="74"/>
      <c r="FKJ2" s="74"/>
      <c r="FKK2" s="74"/>
      <c r="FKL2" s="74"/>
      <c r="FKM2" s="74"/>
      <c r="FKN2" s="74"/>
      <c r="FKO2" s="74"/>
      <c r="FKP2" s="74"/>
      <c r="FKQ2" s="74"/>
      <c r="FKR2" s="74"/>
      <c r="FKS2" s="74"/>
      <c r="FKT2" s="74"/>
      <c r="FKU2" s="74"/>
      <c r="FKV2" s="74"/>
      <c r="FKW2" s="74"/>
      <c r="FKX2" s="74"/>
      <c r="FKY2" s="74"/>
      <c r="FKZ2" s="74"/>
      <c r="FLA2" s="74"/>
      <c r="FLB2" s="74"/>
      <c r="FLC2" s="74"/>
      <c r="FLD2" s="74"/>
      <c r="FLE2" s="74"/>
      <c r="FLF2" s="74"/>
      <c r="FLG2" s="74"/>
      <c r="FLH2" s="74"/>
      <c r="FLI2" s="74"/>
      <c r="FLJ2" s="74"/>
      <c r="FLK2" s="74"/>
      <c r="FLL2" s="74"/>
      <c r="FLM2" s="74"/>
      <c r="FLN2" s="74"/>
      <c r="FLO2" s="74"/>
      <c r="FLP2" s="74"/>
      <c r="FLQ2" s="74"/>
      <c r="FLR2" s="74"/>
      <c r="FLS2" s="74"/>
      <c r="FLT2" s="74"/>
      <c r="FLU2" s="74"/>
      <c r="FLV2" s="74"/>
      <c r="FLW2" s="74"/>
      <c r="FLX2" s="74"/>
      <c r="FLY2" s="74"/>
      <c r="FLZ2" s="74"/>
      <c r="FMA2" s="74"/>
      <c r="FMB2" s="74"/>
      <c r="FMC2" s="74"/>
      <c r="FMD2" s="74"/>
      <c r="FME2" s="74"/>
      <c r="FMF2" s="74"/>
      <c r="FMG2" s="74"/>
      <c r="FMH2" s="74"/>
      <c r="FMI2" s="74"/>
      <c r="FMJ2" s="74"/>
      <c r="FMK2" s="74"/>
      <c r="FML2" s="74"/>
      <c r="FMM2" s="74"/>
      <c r="FMN2" s="74"/>
      <c r="FMO2" s="74"/>
      <c r="FMP2" s="74"/>
      <c r="FMQ2" s="74"/>
      <c r="FMR2" s="74"/>
      <c r="FMS2" s="74"/>
      <c r="FMT2" s="74"/>
      <c r="FMU2" s="74"/>
      <c r="FMV2" s="74"/>
      <c r="FMW2" s="74"/>
      <c r="FMX2" s="74"/>
      <c r="FMY2" s="74"/>
      <c r="FMZ2" s="74"/>
      <c r="FNA2" s="74"/>
      <c r="FNB2" s="74"/>
      <c r="FNC2" s="74"/>
      <c r="FND2" s="74"/>
      <c r="FNE2" s="74"/>
      <c r="FNF2" s="74"/>
      <c r="FNG2" s="74"/>
      <c r="FNH2" s="74"/>
      <c r="FNI2" s="74"/>
      <c r="FNJ2" s="74"/>
      <c r="FNK2" s="74"/>
      <c r="FNL2" s="74"/>
      <c r="FNM2" s="74"/>
      <c r="FNN2" s="74"/>
      <c r="FNO2" s="74"/>
      <c r="FNP2" s="74"/>
      <c r="FNQ2" s="74"/>
      <c r="FNR2" s="74"/>
      <c r="FNS2" s="74"/>
      <c r="FNT2" s="74"/>
      <c r="FNU2" s="74"/>
      <c r="FNV2" s="74"/>
      <c r="FNW2" s="74"/>
      <c r="FNX2" s="74"/>
      <c r="FNY2" s="74"/>
      <c r="FNZ2" s="74"/>
      <c r="FOA2" s="74"/>
      <c r="FOB2" s="74"/>
      <c r="FOC2" s="74"/>
      <c r="FOD2" s="74"/>
      <c r="FOE2" s="74"/>
      <c r="FOF2" s="74"/>
      <c r="FOG2" s="74"/>
      <c r="FOH2" s="74"/>
      <c r="FOI2" s="74"/>
      <c r="FOJ2" s="74"/>
      <c r="FOK2" s="74"/>
      <c r="FOL2" s="74"/>
      <c r="FOM2" s="74"/>
      <c r="FON2" s="74"/>
      <c r="FOO2" s="74"/>
      <c r="FOP2" s="74"/>
      <c r="FOQ2" s="74"/>
      <c r="FOR2" s="74"/>
      <c r="FOS2" s="74"/>
      <c r="FOT2" s="74"/>
      <c r="FOU2" s="74"/>
      <c r="FOV2" s="74"/>
      <c r="FOW2" s="74"/>
      <c r="FOX2" s="74"/>
      <c r="FOY2" s="74"/>
      <c r="FOZ2" s="74"/>
      <c r="FPA2" s="74"/>
      <c r="FPB2" s="74"/>
      <c r="FPC2" s="74"/>
      <c r="FPD2" s="74"/>
      <c r="FPE2" s="74"/>
      <c r="FPF2" s="74"/>
      <c r="FPG2" s="74"/>
      <c r="FPH2" s="74"/>
      <c r="FPI2" s="74"/>
      <c r="FPJ2" s="74"/>
      <c r="FPK2" s="74"/>
      <c r="FPL2" s="74"/>
      <c r="FPM2" s="74"/>
      <c r="FPN2" s="74"/>
      <c r="FPO2" s="74"/>
      <c r="FPP2" s="74"/>
      <c r="FPQ2" s="74"/>
      <c r="FPR2" s="74"/>
      <c r="FPS2" s="74"/>
      <c r="FPT2" s="74"/>
      <c r="FPU2" s="74"/>
      <c r="FPV2" s="74"/>
      <c r="FPW2" s="74"/>
      <c r="FPX2" s="74"/>
      <c r="FPY2" s="74"/>
      <c r="FPZ2" s="74"/>
      <c r="FQA2" s="74"/>
      <c r="FQB2" s="74"/>
      <c r="FQC2" s="74"/>
      <c r="FQD2" s="74"/>
      <c r="FQE2" s="74"/>
      <c r="FQF2" s="74"/>
      <c r="FQG2" s="74"/>
      <c r="FQH2" s="74"/>
      <c r="FQI2" s="74"/>
      <c r="FQJ2" s="74"/>
      <c r="FQK2" s="74"/>
      <c r="FQL2" s="74"/>
      <c r="FQM2" s="74"/>
      <c r="FQN2" s="74"/>
      <c r="FQO2" s="74"/>
      <c r="FQP2" s="74"/>
      <c r="FQQ2" s="74"/>
      <c r="FQR2" s="74"/>
      <c r="FQS2" s="74"/>
      <c r="FQT2" s="74"/>
      <c r="FQU2" s="74"/>
      <c r="FQV2" s="74"/>
      <c r="FQW2" s="74"/>
      <c r="FQX2" s="74"/>
      <c r="FQY2" s="74"/>
      <c r="FQZ2" s="74"/>
      <c r="FRA2" s="74"/>
      <c r="FRB2" s="74"/>
      <c r="FRC2" s="74"/>
      <c r="FRD2" s="74"/>
      <c r="FRE2" s="74"/>
      <c r="FRF2" s="74"/>
      <c r="FRG2" s="74"/>
      <c r="FRH2" s="74"/>
      <c r="FRI2" s="74"/>
      <c r="FRJ2" s="74"/>
      <c r="FRK2" s="74"/>
      <c r="FRL2" s="74"/>
      <c r="FRM2" s="74"/>
      <c r="FRN2" s="74"/>
      <c r="FRO2" s="74"/>
      <c r="FRP2" s="74"/>
      <c r="FRQ2" s="74"/>
      <c r="FRR2" s="74"/>
      <c r="FRS2" s="74"/>
      <c r="FRT2" s="74"/>
      <c r="FRU2" s="74"/>
      <c r="FRV2" s="74"/>
      <c r="FRW2" s="74"/>
      <c r="FRX2" s="74"/>
      <c r="FRY2" s="74"/>
      <c r="FRZ2" s="74"/>
      <c r="FSA2" s="74"/>
      <c r="FSB2" s="74"/>
      <c r="FSC2" s="74"/>
      <c r="FSD2" s="74"/>
      <c r="FSE2" s="74"/>
      <c r="FSF2" s="74"/>
      <c r="FSG2" s="74"/>
      <c r="FSH2" s="74"/>
      <c r="FSI2" s="74"/>
      <c r="FSJ2" s="74"/>
      <c r="FSK2" s="74"/>
      <c r="FSL2" s="74"/>
      <c r="FSM2" s="74"/>
      <c r="FSN2" s="74"/>
      <c r="FSO2" s="74"/>
      <c r="FSP2" s="74"/>
      <c r="FSQ2" s="74"/>
      <c r="FSR2" s="74"/>
      <c r="FSS2" s="74"/>
      <c r="FST2" s="74"/>
      <c r="FSU2" s="74"/>
      <c r="FSV2" s="74"/>
      <c r="FSW2" s="74"/>
      <c r="FSX2" s="74"/>
      <c r="FSY2" s="74"/>
      <c r="FSZ2" s="74"/>
      <c r="FTA2" s="74"/>
      <c r="FTB2" s="74"/>
      <c r="FTC2" s="74"/>
      <c r="FTD2" s="74"/>
      <c r="FTE2" s="74"/>
      <c r="FTF2" s="74"/>
      <c r="FTG2" s="74"/>
      <c r="FTH2" s="74"/>
      <c r="FTI2" s="74"/>
      <c r="FTJ2" s="74"/>
      <c r="FTK2" s="74"/>
      <c r="FTL2" s="74"/>
      <c r="FTM2" s="74"/>
      <c r="FTN2" s="74"/>
      <c r="FTO2" s="74"/>
      <c r="FTP2" s="74"/>
      <c r="FTQ2" s="74"/>
      <c r="FTR2" s="74"/>
      <c r="FTS2" s="74"/>
      <c r="FTT2" s="74"/>
      <c r="FTU2" s="74"/>
      <c r="FTV2" s="74"/>
      <c r="FTW2" s="74"/>
      <c r="FTX2" s="74"/>
      <c r="FTY2" s="74"/>
      <c r="FTZ2" s="74"/>
      <c r="FUA2" s="74"/>
      <c r="FUB2" s="74"/>
      <c r="FUC2" s="74"/>
      <c r="FUD2" s="74"/>
      <c r="FUE2" s="74"/>
      <c r="FUF2" s="74"/>
      <c r="FUG2" s="74"/>
      <c r="FUH2" s="74"/>
      <c r="FUI2" s="74"/>
      <c r="FUJ2" s="74"/>
      <c r="FUK2" s="74"/>
      <c r="FUL2" s="74"/>
      <c r="FUM2" s="74"/>
      <c r="FUN2" s="74"/>
      <c r="FUO2" s="74"/>
      <c r="FUP2" s="74"/>
      <c r="FUQ2" s="74"/>
      <c r="FUR2" s="74"/>
      <c r="FUS2" s="74"/>
      <c r="FUT2" s="74"/>
      <c r="FUU2" s="74"/>
      <c r="FUV2" s="74"/>
      <c r="FUW2" s="74"/>
      <c r="FUX2" s="74"/>
      <c r="FUY2" s="74"/>
      <c r="FUZ2" s="74"/>
      <c r="FVA2" s="74"/>
      <c r="FVB2" s="74"/>
      <c r="FVC2" s="74"/>
      <c r="FVD2" s="74"/>
      <c r="FVE2" s="74"/>
      <c r="FVF2" s="74"/>
      <c r="FVG2" s="74"/>
      <c r="FVH2" s="74"/>
      <c r="FVI2" s="74"/>
      <c r="FVJ2" s="74"/>
      <c r="FVK2" s="74"/>
      <c r="FVL2" s="74"/>
      <c r="FVM2" s="74"/>
      <c r="FVN2" s="74"/>
      <c r="FVO2" s="74"/>
      <c r="FVP2" s="74"/>
      <c r="FVQ2" s="74"/>
      <c r="FVR2" s="74"/>
      <c r="FVS2" s="74"/>
      <c r="FVT2" s="74"/>
      <c r="FVU2" s="74"/>
      <c r="FVV2" s="74"/>
      <c r="FVW2" s="74"/>
      <c r="FVX2" s="74"/>
      <c r="FVY2" s="74"/>
      <c r="FVZ2" s="74"/>
      <c r="FWA2" s="74"/>
      <c r="FWB2" s="74"/>
      <c r="FWC2" s="74"/>
      <c r="FWD2" s="74"/>
      <c r="FWE2" s="74"/>
      <c r="FWF2" s="74"/>
      <c r="FWG2" s="74"/>
      <c r="FWH2" s="74"/>
      <c r="FWI2" s="74"/>
      <c r="FWJ2" s="74"/>
      <c r="FWK2" s="74"/>
      <c r="FWL2" s="74"/>
      <c r="FWM2" s="74"/>
      <c r="FWN2" s="74"/>
      <c r="FWO2" s="74"/>
      <c r="FWP2" s="74"/>
      <c r="FWQ2" s="74"/>
      <c r="FWR2" s="74"/>
      <c r="FWS2" s="74"/>
      <c r="FWT2" s="74"/>
      <c r="FWU2" s="74"/>
      <c r="FWV2" s="74"/>
      <c r="FWW2" s="74"/>
      <c r="FWX2" s="74"/>
      <c r="FWY2" s="74"/>
      <c r="FWZ2" s="74"/>
      <c r="FXA2" s="74"/>
      <c r="FXB2" s="74"/>
      <c r="FXC2" s="74"/>
      <c r="FXD2" s="74"/>
      <c r="FXE2" s="74"/>
      <c r="FXF2" s="74"/>
      <c r="FXG2" s="74"/>
      <c r="FXH2" s="74"/>
      <c r="FXI2" s="74"/>
      <c r="FXJ2" s="74"/>
      <c r="FXK2" s="74"/>
      <c r="FXL2" s="74"/>
      <c r="FXM2" s="74"/>
      <c r="FXN2" s="74"/>
      <c r="FXO2" s="74"/>
      <c r="FXP2" s="74"/>
      <c r="FXQ2" s="74"/>
      <c r="FXR2" s="74"/>
      <c r="FXS2" s="74"/>
      <c r="FXT2" s="74"/>
      <c r="FXU2" s="74"/>
      <c r="FXV2" s="74"/>
      <c r="FXW2" s="74"/>
      <c r="FXX2" s="74"/>
      <c r="FXY2" s="74"/>
      <c r="FXZ2" s="74"/>
      <c r="FYA2" s="74"/>
      <c r="FYB2" s="74"/>
      <c r="FYC2" s="74"/>
      <c r="FYD2" s="74"/>
      <c r="FYE2" s="74"/>
      <c r="FYF2" s="74"/>
      <c r="FYG2" s="74"/>
      <c r="FYH2" s="74"/>
      <c r="FYI2" s="74"/>
      <c r="FYJ2" s="74"/>
      <c r="FYK2" s="74"/>
      <c r="FYL2" s="74"/>
      <c r="FYM2" s="74"/>
      <c r="FYN2" s="74"/>
      <c r="FYO2" s="74"/>
      <c r="FYP2" s="74"/>
      <c r="FYQ2" s="74"/>
      <c r="FYR2" s="74"/>
      <c r="FYS2" s="74"/>
      <c r="FYT2" s="74"/>
      <c r="FYU2" s="74"/>
      <c r="FYV2" s="74"/>
      <c r="FYW2" s="74"/>
      <c r="FYX2" s="74"/>
      <c r="FYY2" s="74"/>
      <c r="FYZ2" s="74"/>
      <c r="FZA2" s="74"/>
      <c r="FZB2" s="74"/>
      <c r="FZC2" s="74"/>
      <c r="FZD2" s="74"/>
      <c r="FZE2" s="74"/>
      <c r="FZF2" s="74"/>
      <c r="FZG2" s="74"/>
      <c r="FZH2" s="74"/>
      <c r="FZI2" s="74"/>
      <c r="FZJ2" s="74"/>
      <c r="FZK2" s="74"/>
      <c r="FZL2" s="74"/>
      <c r="FZM2" s="74"/>
      <c r="FZN2" s="74"/>
      <c r="FZO2" s="74"/>
      <c r="FZP2" s="74"/>
      <c r="FZQ2" s="74"/>
      <c r="FZR2" s="74"/>
      <c r="FZS2" s="74"/>
      <c r="FZT2" s="74"/>
      <c r="FZU2" s="74"/>
      <c r="FZV2" s="74"/>
      <c r="FZW2" s="74"/>
      <c r="FZX2" s="74"/>
      <c r="FZY2" s="74"/>
      <c r="FZZ2" s="74"/>
      <c r="GAA2" s="74"/>
      <c r="GAB2" s="74"/>
      <c r="GAC2" s="74"/>
      <c r="GAD2" s="74"/>
      <c r="GAE2" s="74"/>
      <c r="GAF2" s="74"/>
      <c r="GAG2" s="74"/>
      <c r="GAH2" s="74"/>
      <c r="GAI2" s="74"/>
      <c r="GAJ2" s="74"/>
      <c r="GAK2" s="74"/>
      <c r="GAL2" s="74"/>
      <c r="GAM2" s="74"/>
      <c r="GAN2" s="74"/>
      <c r="GAO2" s="74"/>
      <c r="GAP2" s="74"/>
      <c r="GAQ2" s="74"/>
      <c r="GAR2" s="74"/>
      <c r="GAS2" s="74"/>
      <c r="GAT2" s="74"/>
      <c r="GAU2" s="74"/>
      <c r="GAV2" s="74"/>
      <c r="GAW2" s="74"/>
      <c r="GAX2" s="74"/>
      <c r="GAY2" s="74"/>
      <c r="GAZ2" s="74"/>
      <c r="GBA2" s="74"/>
      <c r="GBB2" s="74"/>
      <c r="GBC2" s="74"/>
      <c r="GBD2" s="74"/>
      <c r="GBE2" s="74"/>
      <c r="GBF2" s="74"/>
      <c r="GBG2" s="74"/>
      <c r="GBH2" s="74"/>
      <c r="GBI2" s="74"/>
      <c r="GBJ2" s="74"/>
      <c r="GBK2" s="74"/>
      <c r="GBL2" s="74"/>
      <c r="GBM2" s="74"/>
      <c r="GBN2" s="74"/>
      <c r="GBO2" s="74"/>
      <c r="GBP2" s="74"/>
      <c r="GBQ2" s="74"/>
      <c r="GBR2" s="74"/>
      <c r="GBS2" s="74"/>
      <c r="GBT2" s="74"/>
      <c r="GBU2" s="74"/>
      <c r="GBV2" s="74"/>
      <c r="GBW2" s="74"/>
      <c r="GBX2" s="74"/>
      <c r="GBY2" s="74"/>
      <c r="GBZ2" s="74"/>
      <c r="GCA2" s="74"/>
      <c r="GCB2" s="74"/>
      <c r="GCC2" s="74"/>
      <c r="GCD2" s="74"/>
      <c r="GCE2" s="74"/>
      <c r="GCF2" s="74"/>
      <c r="GCG2" s="74"/>
      <c r="GCH2" s="74"/>
      <c r="GCI2" s="74"/>
      <c r="GCJ2" s="74"/>
      <c r="GCK2" s="74"/>
      <c r="GCL2" s="74"/>
      <c r="GCM2" s="74"/>
      <c r="GCN2" s="74"/>
      <c r="GCO2" s="74"/>
      <c r="GCP2" s="74"/>
      <c r="GCQ2" s="74"/>
      <c r="GCR2" s="74"/>
      <c r="GCS2" s="74"/>
      <c r="GCT2" s="74"/>
      <c r="GCU2" s="74"/>
      <c r="GCV2" s="74"/>
      <c r="GCW2" s="74"/>
      <c r="GCX2" s="74"/>
      <c r="GCY2" s="74"/>
      <c r="GCZ2" s="74"/>
      <c r="GDA2" s="74"/>
      <c r="GDB2" s="74"/>
      <c r="GDC2" s="74"/>
      <c r="GDD2" s="74"/>
      <c r="GDE2" s="74"/>
      <c r="GDF2" s="74"/>
      <c r="GDG2" s="74"/>
      <c r="GDH2" s="74"/>
      <c r="GDI2" s="74"/>
      <c r="GDJ2" s="74"/>
      <c r="GDK2" s="74"/>
      <c r="GDL2" s="74"/>
      <c r="GDM2" s="74"/>
      <c r="GDN2" s="74"/>
      <c r="GDO2" s="74"/>
      <c r="GDP2" s="74"/>
      <c r="GDQ2" s="74"/>
      <c r="GDR2" s="74"/>
      <c r="GDS2" s="74"/>
      <c r="GDT2" s="74"/>
      <c r="GDU2" s="74"/>
      <c r="GDV2" s="74"/>
      <c r="GDW2" s="74"/>
      <c r="GDX2" s="74"/>
      <c r="GDY2" s="74"/>
      <c r="GDZ2" s="74"/>
      <c r="GEA2" s="74"/>
      <c r="GEB2" s="74"/>
      <c r="GEC2" s="74"/>
      <c r="GED2" s="74"/>
      <c r="GEE2" s="74"/>
      <c r="GEF2" s="74"/>
      <c r="GEG2" s="74"/>
      <c r="GEH2" s="74"/>
      <c r="GEI2" s="74"/>
      <c r="GEJ2" s="74"/>
      <c r="GEK2" s="74"/>
      <c r="GEL2" s="74"/>
      <c r="GEM2" s="74"/>
      <c r="GEN2" s="74"/>
      <c r="GEO2" s="74"/>
      <c r="GEP2" s="74"/>
      <c r="GEQ2" s="74"/>
      <c r="GER2" s="74"/>
      <c r="GES2" s="74"/>
      <c r="GET2" s="74"/>
      <c r="GEU2" s="74"/>
      <c r="GEV2" s="74"/>
      <c r="GEW2" s="74"/>
      <c r="GEX2" s="74"/>
      <c r="GEY2" s="74"/>
      <c r="GEZ2" s="74"/>
      <c r="GFA2" s="74"/>
      <c r="GFB2" s="74"/>
      <c r="GFC2" s="74"/>
      <c r="GFD2" s="74"/>
      <c r="GFE2" s="74"/>
      <c r="GFF2" s="74"/>
      <c r="GFG2" s="74"/>
      <c r="GFH2" s="74"/>
      <c r="GFI2" s="74"/>
      <c r="GFJ2" s="74"/>
      <c r="GFK2" s="74"/>
      <c r="GFL2" s="74"/>
      <c r="GFM2" s="74"/>
      <c r="GFN2" s="74"/>
      <c r="GFO2" s="74"/>
      <c r="GFP2" s="74"/>
      <c r="GFQ2" s="74"/>
      <c r="GFR2" s="74"/>
      <c r="GFS2" s="74"/>
      <c r="GFT2" s="74"/>
      <c r="GFU2" s="74"/>
      <c r="GFV2" s="74"/>
      <c r="GFW2" s="74"/>
      <c r="GFX2" s="74"/>
      <c r="GFY2" s="74"/>
      <c r="GFZ2" s="74"/>
      <c r="GGA2" s="74"/>
      <c r="GGB2" s="74"/>
      <c r="GGC2" s="74"/>
      <c r="GGD2" s="74"/>
      <c r="GGE2" s="74"/>
      <c r="GGF2" s="74"/>
      <c r="GGG2" s="74"/>
      <c r="GGH2" s="74"/>
      <c r="GGI2" s="74"/>
      <c r="GGJ2" s="74"/>
      <c r="GGK2" s="74"/>
      <c r="GGL2" s="74"/>
      <c r="GGM2" s="74"/>
      <c r="GGN2" s="74"/>
      <c r="GGO2" s="74"/>
      <c r="GGP2" s="74"/>
      <c r="GGQ2" s="74"/>
      <c r="GGR2" s="74"/>
      <c r="GGS2" s="74"/>
      <c r="GGT2" s="74"/>
      <c r="GGU2" s="74"/>
      <c r="GGV2" s="74"/>
      <c r="GGW2" s="74"/>
      <c r="GGX2" s="74"/>
      <c r="GGY2" s="74"/>
      <c r="GGZ2" s="74"/>
      <c r="GHA2" s="74"/>
      <c r="GHB2" s="74"/>
      <c r="GHC2" s="74"/>
      <c r="GHD2" s="74"/>
      <c r="GHE2" s="74"/>
      <c r="GHF2" s="74"/>
      <c r="GHG2" s="74"/>
      <c r="GHH2" s="74"/>
      <c r="GHI2" s="74"/>
      <c r="GHJ2" s="74"/>
      <c r="GHK2" s="74"/>
      <c r="GHL2" s="74"/>
      <c r="GHM2" s="74"/>
      <c r="GHN2" s="74"/>
      <c r="GHO2" s="74"/>
      <c r="GHP2" s="74"/>
      <c r="GHQ2" s="74"/>
      <c r="GHR2" s="74"/>
      <c r="GHS2" s="74"/>
      <c r="GHT2" s="74"/>
      <c r="GHU2" s="74"/>
      <c r="GHV2" s="74"/>
      <c r="GHW2" s="74"/>
      <c r="GHX2" s="74"/>
      <c r="GHY2" s="74"/>
      <c r="GHZ2" s="74"/>
      <c r="GIA2" s="74"/>
      <c r="GIB2" s="74"/>
      <c r="GIC2" s="74"/>
      <c r="GID2" s="74"/>
      <c r="GIE2" s="74"/>
      <c r="GIF2" s="74"/>
      <c r="GIG2" s="74"/>
      <c r="GIH2" s="74"/>
      <c r="GII2" s="74"/>
      <c r="GIJ2" s="74"/>
      <c r="GIK2" s="74"/>
      <c r="GIL2" s="74"/>
      <c r="GIM2" s="74"/>
      <c r="GIN2" s="74"/>
      <c r="GIO2" s="74"/>
      <c r="GIP2" s="74"/>
      <c r="GIQ2" s="74"/>
      <c r="GIR2" s="74"/>
      <c r="GIS2" s="74"/>
      <c r="GIT2" s="74"/>
      <c r="GIU2" s="74"/>
      <c r="GIV2" s="74"/>
      <c r="GIW2" s="74"/>
      <c r="GIX2" s="74"/>
      <c r="GIY2" s="74"/>
      <c r="GIZ2" s="74"/>
      <c r="GJA2" s="74"/>
      <c r="GJB2" s="74"/>
      <c r="GJC2" s="74"/>
      <c r="GJD2" s="74"/>
      <c r="GJE2" s="74"/>
      <c r="GJF2" s="74"/>
      <c r="GJG2" s="74"/>
      <c r="GJH2" s="74"/>
      <c r="GJI2" s="74"/>
      <c r="GJJ2" s="74"/>
      <c r="GJK2" s="74"/>
      <c r="GJL2" s="74"/>
      <c r="GJM2" s="74"/>
      <c r="GJN2" s="74"/>
      <c r="GJO2" s="74"/>
      <c r="GJP2" s="74"/>
      <c r="GJQ2" s="74"/>
      <c r="GJR2" s="74"/>
      <c r="GJS2" s="74"/>
      <c r="GJT2" s="74"/>
      <c r="GJU2" s="74"/>
      <c r="GJV2" s="74"/>
      <c r="GJW2" s="74"/>
      <c r="GJX2" s="74"/>
      <c r="GJY2" s="74"/>
      <c r="GJZ2" s="74"/>
      <c r="GKA2" s="74"/>
      <c r="GKB2" s="74"/>
      <c r="GKC2" s="74"/>
      <c r="GKD2" s="74"/>
      <c r="GKE2" s="74"/>
      <c r="GKF2" s="74"/>
      <c r="GKG2" s="74"/>
      <c r="GKH2" s="74"/>
      <c r="GKI2" s="74"/>
      <c r="GKJ2" s="74"/>
      <c r="GKK2" s="74"/>
      <c r="GKL2" s="74"/>
      <c r="GKM2" s="74"/>
      <c r="GKN2" s="74"/>
      <c r="GKO2" s="74"/>
      <c r="GKP2" s="74"/>
      <c r="GKQ2" s="74"/>
      <c r="GKR2" s="74"/>
      <c r="GKS2" s="74"/>
      <c r="GKT2" s="74"/>
      <c r="GKU2" s="74"/>
      <c r="GKV2" s="74"/>
      <c r="GKW2" s="74"/>
      <c r="GKX2" s="74"/>
      <c r="GKY2" s="74"/>
      <c r="GKZ2" s="74"/>
      <c r="GLA2" s="74"/>
      <c r="GLB2" s="74"/>
      <c r="GLC2" s="74"/>
      <c r="GLD2" s="74"/>
      <c r="GLE2" s="74"/>
      <c r="GLF2" s="74"/>
      <c r="GLG2" s="74"/>
      <c r="GLH2" s="74"/>
      <c r="GLI2" s="74"/>
      <c r="GLJ2" s="74"/>
      <c r="GLK2" s="74"/>
      <c r="GLL2" s="74"/>
      <c r="GLM2" s="74"/>
      <c r="GLN2" s="74"/>
      <c r="GLO2" s="74"/>
      <c r="GLP2" s="74"/>
      <c r="GLQ2" s="74"/>
      <c r="GLR2" s="74"/>
      <c r="GLS2" s="74"/>
      <c r="GLT2" s="74"/>
      <c r="GLU2" s="74"/>
      <c r="GLV2" s="74"/>
      <c r="GLW2" s="74"/>
      <c r="GLX2" s="74"/>
      <c r="GLY2" s="74"/>
      <c r="GLZ2" s="74"/>
      <c r="GMA2" s="74"/>
      <c r="GMB2" s="74"/>
      <c r="GMC2" s="74"/>
      <c r="GMD2" s="74"/>
      <c r="GME2" s="74"/>
      <c r="GMF2" s="74"/>
      <c r="GMG2" s="74"/>
      <c r="GMH2" s="74"/>
      <c r="GMI2" s="74"/>
      <c r="GMJ2" s="74"/>
      <c r="GMK2" s="74"/>
      <c r="GML2" s="74"/>
      <c r="GMM2" s="74"/>
      <c r="GMN2" s="74"/>
      <c r="GMO2" s="74"/>
      <c r="GMP2" s="74"/>
      <c r="GMQ2" s="74"/>
      <c r="GMR2" s="74"/>
      <c r="GMS2" s="74"/>
      <c r="GMT2" s="74"/>
      <c r="GMU2" s="74"/>
      <c r="GMV2" s="74"/>
      <c r="GMW2" s="74"/>
      <c r="GMX2" s="74"/>
      <c r="GMY2" s="74"/>
      <c r="GMZ2" s="74"/>
      <c r="GNA2" s="74"/>
      <c r="GNB2" s="74"/>
      <c r="GNC2" s="74"/>
      <c r="GND2" s="74"/>
      <c r="GNE2" s="74"/>
      <c r="GNF2" s="74"/>
      <c r="GNG2" s="74"/>
      <c r="GNH2" s="74"/>
      <c r="GNI2" s="74"/>
      <c r="GNJ2" s="74"/>
      <c r="GNK2" s="74"/>
      <c r="GNL2" s="74"/>
      <c r="GNM2" s="74"/>
      <c r="GNN2" s="74"/>
      <c r="GNO2" s="74"/>
      <c r="GNP2" s="74"/>
      <c r="GNQ2" s="74"/>
      <c r="GNR2" s="74"/>
      <c r="GNS2" s="74"/>
      <c r="GNT2" s="74"/>
      <c r="GNU2" s="74"/>
      <c r="GNV2" s="74"/>
      <c r="GNW2" s="74"/>
      <c r="GNX2" s="74"/>
      <c r="GNY2" s="74"/>
      <c r="GNZ2" s="74"/>
      <c r="GOA2" s="74"/>
      <c r="GOB2" s="74"/>
      <c r="GOC2" s="74"/>
      <c r="GOD2" s="74"/>
      <c r="GOE2" s="74"/>
      <c r="GOF2" s="74"/>
      <c r="GOG2" s="74"/>
      <c r="GOH2" s="74"/>
      <c r="GOI2" s="74"/>
      <c r="GOJ2" s="74"/>
      <c r="GOK2" s="74"/>
      <c r="GOL2" s="74"/>
      <c r="GOM2" s="74"/>
      <c r="GON2" s="74"/>
      <c r="GOO2" s="74"/>
      <c r="GOP2" s="74"/>
      <c r="GOQ2" s="74"/>
      <c r="GOR2" s="74"/>
      <c r="GOS2" s="74"/>
      <c r="GOT2" s="74"/>
      <c r="GOU2" s="74"/>
      <c r="GOV2" s="74"/>
      <c r="GOW2" s="74"/>
      <c r="GOX2" s="74"/>
      <c r="GOY2" s="74"/>
      <c r="GOZ2" s="74"/>
      <c r="GPA2" s="74"/>
      <c r="GPB2" s="74"/>
      <c r="GPC2" s="74"/>
      <c r="GPD2" s="74"/>
      <c r="GPE2" s="74"/>
      <c r="GPF2" s="74"/>
      <c r="GPG2" s="74"/>
      <c r="GPH2" s="74"/>
      <c r="GPI2" s="74"/>
      <c r="GPJ2" s="74"/>
      <c r="GPK2" s="74"/>
      <c r="GPL2" s="74"/>
      <c r="GPM2" s="74"/>
      <c r="GPN2" s="74"/>
      <c r="GPO2" s="74"/>
      <c r="GPP2" s="74"/>
      <c r="GPQ2" s="74"/>
      <c r="GPR2" s="74"/>
      <c r="GPS2" s="74"/>
      <c r="GPT2" s="74"/>
      <c r="GPU2" s="74"/>
      <c r="GPV2" s="74"/>
      <c r="GPW2" s="74"/>
      <c r="GPX2" s="74"/>
      <c r="GPY2" s="74"/>
      <c r="GPZ2" s="74"/>
      <c r="GQA2" s="74"/>
      <c r="GQB2" s="74"/>
      <c r="GQC2" s="74"/>
      <c r="GQD2" s="74"/>
      <c r="GQE2" s="74"/>
      <c r="GQF2" s="74"/>
      <c r="GQG2" s="74"/>
      <c r="GQH2" s="74"/>
      <c r="GQI2" s="74"/>
      <c r="GQJ2" s="74"/>
      <c r="GQK2" s="74"/>
      <c r="GQL2" s="74"/>
      <c r="GQM2" s="74"/>
      <c r="GQN2" s="74"/>
      <c r="GQO2" s="74"/>
      <c r="GQP2" s="74"/>
      <c r="GQQ2" s="74"/>
      <c r="GQR2" s="74"/>
      <c r="GQS2" s="74"/>
      <c r="GQT2" s="74"/>
      <c r="GQU2" s="74"/>
      <c r="GQV2" s="74"/>
      <c r="GQW2" s="74"/>
      <c r="GQX2" s="74"/>
      <c r="GQY2" s="74"/>
      <c r="GQZ2" s="74"/>
      <c r="GRA2" s="74"/>
      <c r="GRB2" s="74"/>
      <c r="GRC2" s="74"/>
      <c r="GRD2" s="74"/>
      <c r="GRE2" s="74"/>
      <c r="GRF2" s="74"/>
      <c r="GRG2" s="74"/>
      <c r="GRH2" s="74"/>
      <c r="GRI2" s="74"/>
      <c r="GRJ2" s="74"/>
      <c r="GRK2" s="74"/>
      <c r="GRL2" s="74"/>
      <c r="GRM2" s="74"/>
      <c r="GRN2" s="74"/>
      <c r="GRO2" s="74"/>
      <c r="GRP2" s="74"/>
      <c r="GRQ2" s="74"/>
      <c r="GRR2" s="74"/>
      <c r="GRS2" s="74"/>
      <c r="GRT2" s="74"/>
      <c r="GRU2" s="74"/>
      <c r="GRV2" s="74"/>
      <c r="GRW2" s="74"/>
      <c r="GRX2" s="74"/>
      <c r="GRY2" s="74"/>
      <c r="GRZ2" s="74"/>
      <c r="GSA2" s="74"/>
      <c r="GSB2" s="74"/>
      <c r="GSC2" s="74"/>
      <c r="GSD2" s="74"/>
      <c r="GSE2" s="74"/>
      <c r="GSF2" s="74"/>
      <c r="GSG2" s="74"/>
      <c r="GSH2" s="74"/>
      <c r="GSI2" s="74"/>
      <c r="GSJ2" s="74"/>
      <c r="GSK2" s="74"/>
      <c r="GSL2" s="74"/>
      <c r="GSM2" s="74"/>
      <c r="GSN2" s="74"/>
      <c r="GSO2" s="74"/>
      <c r="GSP2" s="74"/>
      <c r="GSQ2" s="74"/>
      <c r="GSR2" s="74"/>
      <c r="GSS2" s="74"/>
      <c r="GST2" s="74"/>
      <c r="GSU2" s="74"/>
      <c r="GSV2" s="74"/>
      <c r="GSW2" s="74"/>
      <c r="GSX2" s="74"/>
      <c r="GSY2" s="74"/>
      <c r="GSZ2" s="74"/>
      <c r="GTA2" s="74"/>
      <c r="GTB2" s="74"/>
      <c r="GTC2" s="74"/>
      <c r="GTD2" s="74"/>
      <c r="GTE2" s="74"/>
      <c r="GTF2" s="74"/>
      <c r="GTG2" s="74"/>
      <c r="GTH2" s="74"/>
      <c r="GTI2" s="74"/>
      <c r="GTJ2" s="74"/>
      <c r="GTK2" s="74"/>
      <c r="GTL2" s="74"/>
      <c r="GTM2" s="74"/>
      <c r="GTN2" s="74"/>
      <c r="GTO2" s="74"/>
      <c r="GTP2" s="74"/>
      <c r="GTQ2" s="74"/>
      <c r="GTR2" s="74"/>
      <c r="GTS2" s="74"/>
      <c r="GTT2" s="74"/>
      <c r="GTU2" s="74"/>
      <c r="GTV2" s="74"/>
      <c r="GTW2" s="74"/>
      <c r="GTX2" s="74"/>
      <c r="GTY2" s="74"/>
      <c r="GTZ2" s="74"/>
      <c r="GUA2" s="74"/>
      <c r="GUB2" s="74"/>
      <c r="GUC2" s="74"/>
      <c r="GUD2" s="74"/>
      <c r="GUE2" s="74"/>
      <c r="GUF2" s="74"/>
      <c r="GUG2" s="74"/>
      <c r="GUH2" s="74"/>
      <c r="GUI2" s="74"/>
      <c r="GUJ2" s="74"/>
      <c r="GUK2" s="74"/>
      <c r="GUL2" s="74"/>
      <c r="GUM2" s="74"/>
      <c r="GUN2" s="74"/>
      <c r="GUO2" s="74"/>
      <c r="GUP2" s="74"/>
      <c r="GUQ2" s="74"/>
      <c r="GUR2" s="74"/>
      <c r="GUS2" s="74"/>
      <c r="GUT2" s="74"/>
      <c r="GUU2" s="74"/>
      <c r="GUV2" s="74"/>
      <c r="GUW2" s="74"/>
      <c r="GUX2" s="74"/>
      <c r="GUY2" s="74"/>
      <c r="GUZ2" s="74"/>
      <c r="GVA2" s="74"/>
      <c r="GVB2" s="74"/>
      <c r="GVC2" s="74"/>
      <c r="GVD2" s="74"/>
      <c r="GVE2" s="74"/>
      <c r="GVF2" s="74"/>
      <c r="GVG2" s="74"/>
      <c r="GVH2" s="74"/>
      <c r="GVI2" s="74"/>
      <c r="GVJ2" s="74"/>
      <c r="GVK2" s="74"/>
      <c r="GVL2" s="74"/>
      <c r="GVM2" s="74"/>
      <c r="GVN2" s="74"/>
      <c r="GVO2" s="74"/>
      <c r="GVP2" s="74"/>
      <c r="GVQ2" s="74"/>
      <c r="GVR2" s="74"/>
      <c r="GVS2" s="74"/>
      <c r="GVT2" s="74"/>
      <c r="GVU2" s="74"/>
      <c r="GVV2" s="74"/>
      <c r="GVW2" s="74"/>
      <c r="GVX2" s="74"/>
      <c r="GVY2" s="74"/>
      <c r="GVZ2" s="74"/>
      <c r="GWA2" s="74"/>
      <c r="GWB2" s="74"/>
      <c r="GWC2" s="74"/>
      <c r="GWD2" s="74"/>
      <c r="GWE2" s="74"/>
      <c r="GWF2" s="74"/>
      <c r="GWG2" s="74"/>
      <c r="GWH2" s="74"/>
      <c r="GWI2" s="74"/>
      <c r="GWJ2" s="74"/>
      <c r="GWK2" s="74"/>
      <c r="GWL2" s="74"/>
      <c r="GWM2" s="74"/>
      <c r="GWN2" s="74"/>
      <c r="GWO2" s="74"/>
      <c r="GWP2" s="74"/>
      <c r="GWQ2" s="74"/>
      <c r="GWR2" s="74"/>
      <c r="GWS2" s="74"/>
      <c r="GWT2" s="74"/>
      <c r="GWU2" s="74"/>
      <c r="GWV2" s="74"/>
      <c r="GWW2" s="74"/>
      <c r="GWX2" s="74"/>
      <c r="GWY2" s="74"/>
      <c r="GWZ2" s="74"/>
      <c r="GXA2" s="74"/>
      <c r="GXB2" s="74"/>
      <c r="GXC2" s="74"/>
      <c r="GXD2" s="74"/>
      <c r="GXE2" s="74"/>
      <c r="GXF2" s="74"/>
      <c r="GXG2" s="74"/>
      <c r="GXH2" s="74"/>
      <c r="GXI2" s="74"/>
      <c r="GXJ2" s="74"/>
      <c r="GXK2" s="74"/>
      <c r="GXL2" s="74"/>
      <c r="GXM2" s="74"/>
      <c r="GXN2" s="74"/>
      <c r="GXO2" s="74"/>
      <c r="GXP2" s="74"/>
      <c r="GXQ2" s="74"/>
      <c r="GXR2" s="74"/>
      <c r="GXS2" s="74"/>
      <c r="GXT2" s="74"/>
      <c r="GXU2" s="74"/>
      <c r="GXV2" s="74"/>
      <c r="GXW2" s="74"/>
      <c r="GXX2" s="74"/>
      <c r="GXY2" s="74"/>
      <c r="GXZ2" s="74"/>
      <c r="GYA2" s="74"/>
      <c r="GYB2" s="74"/>
      <c r="GYC2" s="74"/>
      <c r="GYD2" s="74"/>
      <c r="GYE2" s="74"/>
      <c r="GYF2" s="74"/>
      <c r="GYG2" s="74"/>
      <c r="GYH2" s="74"/>
      <c r="GYI2" s="74"/>
      <c r="GYJ2" s="74"/>
      <c r="GYK2" s="74"/>
      <c r="GYL2" s="74"/>
      <c r="GYM2" s="74"/>
      <c r="GYN2" s="74"/>
      <c r="GYO2" s="74"/>
      <c r="GYP2" s="74"/>
      <c r="GYQ2" s="74"/>
      <c r="GYR2" s="74"/>
      <c r="GYS2" s="74"/>
      <c r="GYT2" s="74"/>
      <c r="GYU2" s="74"/>
      <c r="GYV2" s="74"/>
      <c r="GYW2" s="74"/>
      <c r="GYX2" s="74"/>
      <c r="GYY2" s="74"/>
      <c r="GYZ2" s="74"/>
      <c r="GZA2" s="74"/>
      <c r="GZB2" s="74"/>
      <c r="GZC2" s="74"/>
      <c r="GZD2" s="74"/>
      <c r="GZE2" s="74"/>
      <c r="GZF2" s="74"/>
      <c r="GZG2" s="74"/>
      <c r="GZH2" s="74"/>
      <c r="GZI2" s="74"/>
      <c r="GZJ2" s="74"/>
      <c r="GZK2" s="74"/>
      <c r="GZL2" s="74"/>
      <c r="GZM2" s="74"/>
      <c r="GZN2" s="74"/>
      <c r="GZO2" s="74"/>
      <c r="GZP2" s="74"/>
      <c r="GZQ2" s="74"/>
      <c r="GZR2" s="74"/>
      <c r="GZS2" s="74"/>
      <c r="GZT2" s="74"/>
      <c r="GZU2" s="74"/>
      <c r="GZV2" s="74"/>
      <c r="GZW2" s="74"/>
      <c r="GZX2" s="74"/>
      <c r="GZY2" s="74"/>
      <c r="GZZ2" s="74"/>
      <c r="HAA2" s="74"/>
      <c r="HAB2" s="74"/>
      <c r="HAC2" s="74"/>
      <c r="HAD2" s="74"/>
      <c r="HAE2" s="74"/>
      <c r="HAF2" s="74"/>
      <c r="HAG2" s="74"/>
      <c r="HAH2" s="74"/>
      <c r="HAI2" s="74"/>
      <c r="HAJ2" s="74"/>
      <c r="HAK2" s="74"/>
      <c r="HAL2" s="74"/>
      <c r="HAM2" s="74"/>
      <c r="HAN2" s="74"/>
      <c r="HAO2" s="74"/>
      <c r="HAP2" s="74"/>
      <c r="HAQ2" s="74"/>
      <c r="HAR2" s="74"/>
      <c r="HAS2" s="74"/>
      <c r="HAT2" s="74"/>
      <c r="HAU2" s="74"/>
      <c r="HAV2" s="74"/>
      <c r="HAW2" s="74"/>
      <c r="HAX2" s="74"/>
      <c r="HAY2" s="74"/>
      <c r="HAZ2" s="74"/>
      <c r="HBA2" s="74"/>
      <c r="HBB2" s="74"/>
      <c r="HBC2" s="74"/>
      <c r="HBD2" s="74"/>
      <c r="HBE2" s="74"/>
      <c r="HBF2" s="74"/>
      <c r="HBG2" s="74"/>
      <c r="HBH2" s="74"/>
      <c r="HBI2" s="74"/>
      <c r="HBJ2" s="74"/>
      <c r="HBK2" s="74"/>
      <c r="HBL2" s="74"/>
      <c r="HBM2" s="74"/>
      <c r="HBN2" s="74"/>
      <c r="HBO2" s="74"/>
      <c r="HBP2" s="74"/>
      <c r="HBQ2" s="74"/>
      <c r="HBR2" s="74"/>
      <c r="HBS2" s="74"/>
      <c r="HBT2" s="74"/>
      <c r="HBU2" s="74"/>
      <c r="HBV2" s="74"/>
      <c r="HBW2" s="74"/>
      <c r="HBX2" s="74"/>
      <c r="HBY2" s="74"/>
      <c r="HBZ2" s="74"/>
      <c r="HCA2" s="74"/>
      <c r="HCB2" s="74"/>
      <c r="HCC2" s="74"/>
      <c r="HCD2" s="74"/>
      <c r="HCE2" s="74"/>
      <c r="HCF2" s="74"/>
      <c r="HCG2" s="74"/>
      <c r="HCH2" s="74"/>
      <c r="HCI2" s="74"/>
      <c r="HCJ2" s="74"/>
      <c r="HCK2" s="74"/>
      <c r="HCL2" s="74"/>
      <c r="HCM2" s="74"/>
      <c r="HCN2" s="74"/>
      <c r="HCO2" s="74"/>
      <c r="HCP2" s="74"/>
      <c r="HCQ2" s="74"/>
      <c r="HCR2" s="74"/>
      <c r="HCS2" s="74"/>
      <c r="HCT2" s="74"/>
      <c r="HCU2" s="74"/>
      <c r="HCV2" s="74"/>
      <c r="HCW2" s="74"/>
      <c r="HCX2" s="74"/>
      <c r="HCY2" s="74"/>
      <c r="HCZ2" s="74"/>
      <c r="HDA2" s="74"/>
      <c r="HDB2" s="74"/>
      <c r="HDC2" s="74"/>
      <c r="HDD2" s="74"/>
      <c r="HDE2" s="74"/>
      <c r="HDF2" s="74"/>
      <c r="HDG2" s="74"/>
      <c r="HDH2" s="74"/>
      <c r="HDI2" s="74"/>
      <c r="HDJ2" s="74"/>
      <c r="HDK2" s="74"/>
      <c r="HDL2" s="74"/>
      <c r="HDM2" s="74"/>
      <c r="HDN2" s="74"/>
      <c r="HDO2" s="74"/>
      <c r="HDP2" s="74"/>
      <c r="HDQ2" s="74"/>
      <c r="HDR2" s="74"/>
      <c r="HDS2" s="74"/>
      <c r="HDT2" s="74"/>
      <c r="HDU2" s="74"/>
      <c r="HDV2" s="74"/>
      <c r="HDW2" s="74"/>
      <c r="HDX2" s="74"/>
      <c r="HDY2" s="74"/>
      <c r="HDZ2" s="74"/>
      <c r="HEA2" s="74"/>
      <c r="HEB2" s="74"/>
      <c r="HEC2" s="74"/>
      <c r="HED2" s="74"/>
      <c r="HEE2" s="74"/>
      <c r="HEF2" s="74"/>
      <c r="HEG2" s="74"/>
      <c r="HEH2" s="74"/>
      <c r="HEI2" s="74"/>
      <c r="HEJ2" s="74"/>
      <c r="HEK2" s="74"/>
      <c r="HEL2" s="74"/>
      <c r="HEM2" s="74"/>
      <c r="HEN2" s="74"/>
      <c r="HEO2" s="74"/>
      <c r="HEP2" s="74"/>
      <c r="HEQ2" s="74"/>
      <c r="HER2" s="74"/>
      <c r="HES2" s="74"/>
      <c r="HET2" s="74"/>
      <c r="HEU2" s="74"/>
      <c r="HEV2" s="74"/>
      <c r="HEW2" s="74"/>
      <c r="HEX2" s="74"/>
      <c r="HEY2" s="74"/>
      <c r="HEZ2" s="74"/>
      <c r="HFA2" s="74"/>
      <c r="HFB2" s="74"/>
      <c r="HFC2" s="74"/>
      <c r="HFD2" s="74"/>
      <c r="HFE2" s="74"/>
      <c r="HFF2" s="74"/>
      <c r="HFG2" s="74"/>
      <c r="HFH2" s="74"/>
      <c r="HFI2" s="74"/>
      <c r="HFJ2" s="74"/>
      <c r="HFK2" s="74"/>
      <c r="HFL2" s="74"/>
      <c r="HFM2" s="74"/>
      <c r="HFN2" s="74"/>
      <c r="HFO2" s="74"/>
      <c r="HFP2" s="74"/>
      <c r="HFQ2" s="74"/>
      <c r="HFR2" s="74"/>
      <c r="HFS2" s="74"/>
      <c r="HFT2" s="74"/>
      <c r="HFU2" s="74"/>
      <c r="HFV2" s="74"/>
      <c r="HFW2" s="74"/>
      <c r="HFX2" s="74"/>
      <c r="HFY2" s="74"/>
      <c r="HFZ2" s="74"/>
      <c r="HGA2" s="74"/>
      <c r="HGB2" s="74"/>
      <c r="HGC2" s="74"/>
      <c r="HGD2" s="74"/>
      <c r="HGE2" s="74"/>
      <c r="HGF2" s="74"/>
      <c r="HGG2" s="74"/>
      <c r="HGH2" s="74"/>
      <c r="HGI2" s="74"/>
      <c r="HGJ2" s="74"/>
      <c r="HGK2" s="74"/>
      <c r="HGL2" s="74"/>
      <c r="HGM2" s="74"/>
      <c r="HGN2" s="74"/>
      <c r="HGO2" s="74"/>
      <c r="HGP2" s="74"/>
      <c r="HGQ2" s="74"/>
      <c r="HGR2" s="74"/>
      <c r="HGS2" s="74"/>
      <c r="HGT2" s="74"/>
      <c r="HGU2" s="74"/>
      <c r="HGV2" s="74"/>
      <c r="HGW2" s="74"/>
      <c r="HGX2" s="74"/>
      <c r="HGY2" s="74"/>
      <c r="HGZ2" s="74"/>
      <c r="HHA2" s="74"/>
      <c r="HHB2" s="74"/>
      <c r="HHC2" s="74"/>
      <c r="HHD2" s="74"/>
      <c r="HHE2" s="74"/>
      <c r="HHF2" s="74"/>
      <c r="HHG2" s="74"/>
      <c r="HHH2" s="74"/>
      <c r="HHI2" s="74"/>
      <c r="HHJ2" s="74"/>
      <c r="HHK2" s="74"/>
      <c r="HHL2" s="74"/>
      <c r="HHM2" s="74"/>
      <c r="HHN2" s="74"/>
      <c r="HHO2" s="74"/>
      <c r="HHP2" s="74"/>
      <c r="HHQ2" s="74"/>
      <c r="HHR2" s="74"/>
      <c r="HHS2" s="74"/>
      <c r="HHT2" s="74"/>
      <c r="HHU2" s="74"/>
      <c r="HHV2" s="74"/>
      <c r="HHW2" s="74"/>
      <c r="HHX2" s="74"/>
      <c r="HHY2" s="74"/>
      <c r="HHZ2" s="74"/>
      <c r="HIA2" s="74"/>
      <c r="HIB2" s="74"/>
      <c r="HIC2" s="74"/>
      <c r="HID2" s="74"/>
      <c r="HIE2" s="74"/>
      <c r="HIF2" s="74"/>
      <c r="HIG2" s="74"/>
      <c r="HIH2" s="74"/>
      <c r="HII2" s="74"/>
      <c r="HIJ2" s="74"/>
      <c r="HIK2" s="74"/>
      <c r="HIL2" s="74"/>
      <c r="HIM2" s="74"/>
      <c r="HIN2" s="74"/>
      <c r="HIO2" s="74"/>
      <c r="HIP2" s="74"/>
      <c r="HIQ2" s="74"/>
      <c r="HIR2" s="74"/>
      <c r="HIS2" s="74"/>
      <c r="HIT2" s="74"/>
      <c r="HIU2" s="74"/>
      <c r="HIV2" s="74"/>
      <c r="HIW2" s="74"/>
      <c r="HIX2" s="74"/>
      <c r="HIY2" s="74"/>
      <c r="HIZ2" s="74"/>
      <c r="HJA2" s="74"/>
      <c r="HJB2" s="74"/>
      <c r="HJC2" s="74"/>
      <c r="HJD2" s="74"/>
      <c r="HJE2" s="74"/>
      <c r="HJF2" s="74"/>
      <c r="HJG2" s="74"/>
      <c r="HJH2" s="74"/>
      <c r="HJI2" s="74"/>
      <c r="HJJ2" s="74"/>
      <c r="HJK2" s="74"/>
      <c r="HJL2" s="74"/>
      <c r="HJM2" s="74"/>
      <c r="HJN2" s="74"/>
      <c r="HJO2" s="74"/>
      <c r="HJP2" s="74"/>
      <c r="HJQ2" s="74"/>
      <c r="HJR2" s="74"/>
      <c r="HJS2" s="74"/>
      <c r="HJT2" s="74"/>
      <c r="HJU2" s="74"/>
      <c r="HJV2" s="74"/>
      <c r="HJW2" s="74"/>
      <c r="HJX2" s="74"/>
      <c r="HJY2" s="74"/>
      <c r="HJZ2" s="74"/>
      <c r="HKA2" s="74"/>
      <c r="HKB2" s="74"/>
      <c r="HKC2" s="74"/>
      <c r="HKD2" s="74"/>
      <c r="HKE2" s="74"/>
      <c r="HKF2" s="74"/>
      <c r="HKG2" s="74"/>
      <c r="HKH2" s="74"/>
      <c r="HKI2" s="74"/>
      <c r="HKJ2" s="74"/>
      <c r="HKK2" s="74"/>
      <c r="HKL2" s="74"/>
      <c r="HKM2" s="74"/>
      <c r="HKN2" s="74"/>
      <c r="HKO2" s="74"/>
      <c r="HKP2" s="74"/>
      <c r="HKQ2" s="74"/>
      <c r="HKR2" s="74"/>
      <c r="HKS2" s="74"/>
      <c r="HKT2" s="74"/>
      <c r="HKU2" s="74"/>
      <c r="HKV2" s="74"/>
      <c r="HKW2" s="74"/>
      <c r="HKX2" s="74"/>
      <c r="HKY2" s="74"/>
      <c r="HKZ2" s="74"/>
      <c r="HLA2" s="74"/>
      <c r="HLB2" s="74"/>
      <c r="HLC2" s="74"/>
      <c r="HLD2" s="74"/>
      <c r="HLE2" s="74"/>
      <c r="HLF2" s="74"/>
      <c r="HLG2" s="74"/>
      <c r="HLH2" s="74"/>
      <c r="HLI2" s="74"/>
      <c r="HLJ2" s="74"/>
      <c r="HLK2" s="74"/>
      <c r="HLL2" s="74"/>
      <c r="HLM2" s="74"/>
      <c r="HLN2" s="74"/>
      <c r="HLO2" s="74"/>
      <c r="HLP2" s="74"/>
      <c r="HLQ2" s="74"/>
      <c r="HLR2" s="74"/>
      <c r="HLS2" s="74"/>
      <c r="HLT2" s="74"/>
      <c r="HLU2" s="74"/>
      <c r="HLV2" s="74"/>
      <c r="HLW2" s="74"/>
      <c r="HLX2" s="74"/>
      <c r="HLY2" s="74"/>
      <c r="HLZ2" s="74"/>
      <c r="HMA2" s="74"/>
      <c r="HMB2" s="74"/>
      <c r="HMC2" s="74"/>
      <c r="HMD2" s="74"/>
      <c r="HME2" s="74"/>
      <c r="HMF2" s="74"/>
      <c r="HMG2" s="74"/>
      <c r="HMH2" s="74"/>
      <c r="HMI2" s="74"/>
      <c r="HMJ2" s="74"/>
      <c r="HMK2" s="74"/>
      <c r="HML2" s="74"/>
      <c r="HMM2" s="74"/>
      <c r="HMN2" s="74"/>
      <c r="HMO2" s="74"/>
      <c r="HMP2" s="74"/>
      <c r="HMQ2" s="74"/>
      <c r="HMR2" s="74"/>
      <c r="HMS2" s="74"/>
      <c r="HMT2" s="74"/>
      <c r="HMU2" s="74"/>
      <c r="HMV2" s="74"/>
      <c r="HMW2" s="74"/>
      <c r="HMX2" s="74"/>
      <c r="HMY2" s="74"/>
      <c r="HMZ2" s="74"/>
      <c r="HNA2" s="74"/>
      <c r="HNB2" s="74"/>
      <c r="HNC2" s="74"/>
      <c r="HND2" s="74"/>
      <c r="HNE2" s="74"/>
      <c r="HNF2" s="74"/>
      <c r="HNG2" s="74"/>
      <c r="HNH2" s="74"/>
      <c r="HNI2" s="74"/>
      <c r="HNJ2" s="74"/>
      <c r="HNK2" s="74"/>
      <c r="HNL2" s="74"/>
      <c r="HNM2" s="74"/>
      <c r="HNN2" s="74"/>
      <c r="HNO2" s="74"/>
      <c r="HNP2" s="74"/>
      <c r="HNQ2" s="74"/>
      <c r="HNR2" s="74"/>
      <c r="HNS2" s="74"/>
      <c r="HNT2" s="74"/>
      <c r="HNU2" s="74"/>
      <c r="HNV2" s="74"/>
      <c r="HNW2" s="74"/>
      <c r="HNX2" s="74"/>
      <c r="HNY2" s="74"/>
      <c r="HNZ2" s="74"/>
      <c r="HOA2" s="74"/>
      <c r="HOB2" s="74"/>
      <c r="HOC2" s="74"/>
      <c r="HOD2" s="74"/>
      <c r="HOE2" s="74"/>
      <c r="HOF2" s="74"/>
      <c r="HOG2" s="74"/>
      <c r="HOH2" s="74"/>
      <c r="HOI2" s="74"/>
      <c r="HOJ2" s="74"/>
      <c r="HOK2" s="74"/>
      <c r="HOL2" s="74"/>
      <c r="HOM2" s="74"/>
      <c r="HON2" s="74"/>
      <c r="HOO2" s="74"/>
      <c r="HOP2" s="74"/>
      <c r="HOQ2" s="74"/>
      <c r="HOR2" s="74"/>
      <c r="HOS2" s="74"/>
      <c r="HOT2" s="74"/>
      <c r="HOU2" s="74"/>
      <c r="HOV2" s="74"/>
      <c r="HOW2" s="74"/>
      <c r="HOX2" s="74"/>
      <c r="HOY2" s="74"/>
      <c r="HOZ2" s="74"/>
      <c r="HPA2" s="74"/>
      <c r="HPB2" s="74"/>
      <c r="HPC2" s="74"/>
      <c r="HPD2" s="74"/>
      <c r="HPE2" s="74"/>
      <c r="HPF2" s="74"/>
      <c r="HPG2" s="74"/>
      <c r="HPH2" s="74"/>
      <c r="HPI2" s="74"/>
      <c r="HPJ2" s="74"/>
      <c r="HPK2" s="74"/>
      <c r="HPL2" s="74"/>
      <c r="HPM2" s="74"/>
      <c r="HPN2" s="74"/>
      <c r="HPO2" s="74"/>
      <c r="HPP2" s="74"/>
      <c r="HPQ2" s="74"/>
      <c r="HPR2" s="74"/>
      <c r="HPS2" s="74"/>
      <c r="HPT2" s="74"/>
      <c r="HPU2" s="74"/>
      <c r="HPV2" s="74"/>
      <c r="HPW2" s="74"/>
      <c r="HPX2" s="74"/>
      <c r="HPY2" s="74"/>
      <c r="HPZ2" s="74"/>
      <c r="HQA2" s="74"/>
      <c r="HQB2" s="74"/>
      <c r="HQC2" s="74"/>
      <c r="HQD2" s="74"/>
      <c r="HQE2" s="74"/>
      <c r="HQF2" s="74"/>
      <c r="HQG2" s="74"/>
      <c r="HQH2" s="74"/>
      <c r="HQI2" s="74"/>
      <c r="HQJ2" s="74"/>
      <c r="HQK2" s="74"/>
      <c r="HQL2" s="74"/>
      <c r="HQM2" s="74"/>
      <c r="HQN2" s="74"/>
      <c r="HQO2" s="74"/>
      <c r="HQP2" s="74"/>
      <c r="HQQ2" s="74"/>
      <c r="HQR2" s="74"/>
      <c r="HQS2" s="74"/>
      <c r="HQT2" s="74"/>
      <c r="HQU2" s="74"/>
      <c r="HQV2" s="74"/>
      <c r="HQW2" s="74"/>
      <c r="HQX2" s="74"/>
      <c r="HQY2" s="74"/>
      <c r="HQZ2" s="74"/>
      <c r="HRA2" s="74"/>
      <c r="HRB2" s="74"/>
      <c r="HRC2" s="74"/>
      <c r="HRD2" s="74"/>
      <c r="HRE2" s="74"/>
      <c r="HRF2" s="74"/>
      <c r="HRG2" s="74"/>
      <c r="HRH2" s="74"/>
      <c r="HRI2" s="74"/>
      <c r="HRJ2" s="74"/>
      <c r="HRK2" s="74"/>
      <c r="HRL2" s="74"/>
      <c r="HRM2" s="74"/>
      <c r="HRN2" s="74"/>
      <c r="HRO2" s="74"/>
      <c r="HRP2" s="74"/>
      <c r="HRQ2" s="74"/>
      <c r="HRR2" s="74"/>
      <c r="HRS2" s="74"/>
      <c r="HRT2" s="74"/>
      <c r="HRU2" s="74"/>
      <c r="HRV2" s="74"/>
      <c r="HRW2" s="74"/>
      <c r="HRX2" s="74"/>
      <c r="HRY2" s="74"/>
      <c r="HRZ2" s="74"/>
      <c r="HSA2" s="74"/>
      <c r="HSB2" s="74"/>
      <c r="HSC2" s="74"/>
      <c r="HSD2" s="74"/>
      <c r="HSE2" s="74"/>
      <c r="HSF2" s="74"/>
      <c r="HSG2" s="74"/>
      <c r="HSH2" s="74"/>
      <c r="HSI2" s="74"/>
      <c r="HSJ2" s="74"/>
      <c r="HSK2" s="74"/>
      <c r="HSL2" s="74"/>
      <c r="HSM2" s="74"/>
      <c r="HSN2" s="74"/>
      <c r="HSO2" s="74"/>
      <c r="HSP2" s="74"/>
      <c r="HSQ2" s="74"/>
      <c r="HSR2" s="74"/>
      <c r="HSS2" s="74"/>
      <c r="HST2" s="74"/>
      <c r="HSU2" s="74"/>
      <c r="HSV2" s="74"/>
      <c r="HSW2" s="74"/>
      <c r="HSX2" s="74"/>
      <c r="HSY2" s="74"/>
      <c r="HSZ2" s="74"/>
      <c r="HTA2" s="74"/>
      <c r="HTB2" s="74"/>
      <c r="HTC2" s="74"/>
      <c r="HTD2" s="74"/>
      <c r="HTE2" s="74"/>
      <c r="HTF2" s="74"/>
      <c r="HTG2" s="74"/>
      <c r="HTH2" s="74"/>
      <c r="HTI2" s="74"/>
      <c r="HTJ2" s="74"/>
      <c r="HTK2" s="74"/>
      <c r="HTL2" s="74"/>
      <c r="HTM2" s="74"/>
      <c r="HTN2" s="74"/>
      <c r="HTO2" s="74"/>
      <c r="HTP2" s="74"/>
      <c r="HTQ2" s="74"/>
      <c r="HTR2" s="74"/>
      <c r="HTS2" s="74"/>
      <c r="HTT2" s="74"/>
      <c r="HTU2" s="74"/>
      <c r="HTV2" s="74"/>
      <c r="HTW2" s="74"/>
      <c r="HTX2" s="74"/>
      <c r="HTY2" s="74"/>
      <c r="HTZ2" s="74"/>
      <c r="HUA2" s="74"/>
      <c r="HUB2" s="74"/>
      <c r="HUC2" s="74"/>
      <c r="HUD2" s="74"/>
      <c r="HUE2" s="74"/>
      <c r="HUF2" s="74"/>
      <c r="HUG2" s="74"/>
      <c r="HUH2" s="74"/>
      <c r="HUI2" s="74"/>
      <c r="HUJ2" s="74"/>
      <c r="HUK2" s="74"/>
      <c r="HUL2" s="74"/>
      <c r="HUM2" s="74"/>
      <c r="HUN2" s="74"/>
      <c r="HUO2" s="74"/>
      <c r="HUP2" s="74"/>
      <c r="HUQ2" s="74"/>
      <c r="HUR2" s="74"/>
      <c r="HUS2" s="74"/>
      <c r="HUT2" s="74"/>
      <c r="HUU2" s="74"/>
      <c r="HUV2" s="74"/>
      <c r="HUW2" s="74"/>
      <c r="HUX2" s="74"/>
      <c r="HUY2" s="74"/>
      <c r="HUZ2" s="74"/>
      <c r="HVA2" s="74"/>
      <c r="HVB2" s="74"/>
      <c r="HVC2" s="74"/>
      <c r="HVD2" s="74"/>
      <c r="HVE2" s="74"/>
      <c r="HVF2" s="74"/>
      <c r="HVG2" s="74"/>
      <c r="HVH2" s="74"/>
      <c r="HVI2" s="74"/>
      <c r="HVJ2" s="74"/>
      <c r="HVK2" s="74"/>
      <c r="HVL2" s="74"/>
      <c r="HVM2" s="74"/>
      <c r="HVN2" s="74"/>
      <c r="HVO2" s="74"/>
      <c r="HVP2" s="74"/>
      <c r="HVQ2" s="74"/>
      <c r="HVR2" s="74"/>
      <c r="HVS2" s="74"/>
      <c r="HVT2" s="74"/>
      <c r="HVU2" s="74"/>
      <c r="HVV2" s="74"/>
      <c r="HVW2" s="74"/>
      <c r="HVX2" s="74"/>
      <c r="HVY2" s="74"/>
      <c r="HVZ2" s="74"/>
      <c r="HWA2" s="74"/>
      <c r="HWB2" s="74"/>
      <c r="HWC2" s="74"/>
      <c r="HWD2" s="74"/>
      <c r="HWE2" s="74"/>
      <c r="HWF2" s="74"/>
      <c r="HWG2" s="74"/>
      <c r="HWH2" s="74"/>
      <c r="HWI2" s="74"/>
      <c r="HWJ2" s="74"/>
      <c r="HWK2" s="74"/>
      <c r="HWL2" s="74"/>
      <c r="HWM2" s="74"/>
      <c r="HWN2" s="74"/>
      <c r="HWO2" s="74"/>
      <c r="HWP2" s="74"/>
      <c r="HWQ2" s="74"/>
      <c r="HWR2" s="74"/>
      <c r="HWS2" s="74"/>
      <c r="HWT2" s="74"/>
      <c r="HWU2" s="74"/>
      <c r="HWV2" s="74"/>
      <c r="HWW2" s="74"/>
      <c r="HWX2" s="74"/>
      <c r="HWY2" s="74"/>
      <c r="HWZ2" s="74"/>
      <c r="HXA2" s="74"/>
      <c r="HXB2" s="74"/>
      <c r="HXC2" s="74"/>
      <c r="HXD2" s="74"/>
      <c r="HXE2" s="74"/>
      <c r="HXF2" s="74"/>
      <c r="HXG2" s="74"/>
      <c r="HXH2" s="74"/>
      <c r="HXI2" s="74"/>
      <c r="HXJ2" s="74"/>
      <c r="HXK2" s="74"/>
      <c r="HXL2" s="74"/>
      <c r="HXM2" s="74"/>
      <c r="HXN2" s="74"/>
      <c r="HXO2" s="74"/>
      <c r="HXP2" s="74"/>
      <c r="HXQ2" s="74"/>
      <c r="HXR2" s="74"/>
      <c r="HXS2" s="74"/>
      <c r="HXT2" s="74"/>
      <c r="HXU2" s="74"/>
      <c r="HXV2" s="74"/>
      <c r="HXW2" s="74"/>
      <c r="HXX2" s="74"/>
      <c r="HXY2" s="74"/>
      <c r="HXZ2" s="74"/>
      <c r="HYA2" s="74"/>
      <c r="HYB2" s="74"/>
      <c r="HYC2" s="74"/>
      <c r="HYD2" s="74"/>
      <c r="HYE2" s="74"/>
      <c r="HYF2" s="74"/>
      <c r="HYG2" s="74"/>
      <c r="HYH2" s="74"/>
      <c r="HYI2" s="74"/>
      <c r="HYJ2" s="74"/>
      <c r="HYK2" s="74"/>
      <c r="HYL2" s="74"/>
      <c r="HYM2" s="74"/>
      <c r="HYN2" s="74"/>
      <c r="HYO2" s="74"/>
      <c r="HYP2" s="74"/>
      <c r="HYQ2" s="74"/>
      <c r="HYR2" s="74"/>
      <c r="HYS2" s="74"/>
      <c r="HYT2" s="74"/>
      <c r="HYU2" s="74"/>
      <c r="HYV2" s="74"/>
      <c r="HYW2" s="74"/>
      <c r="HYX2" s="74"/>
      <c r="HYY2" s="74"/>
      <c r="HYZ2" s="74"/>
      <c r="HZA2" s="74"/>
      <c r="HZB2" s="74"/>
      <c r="HZC2" s="74"/>
      <c r="HZD2" s="74"/>
      <c r="HZE2" s="74"/>
      <c r="HZF2" s="74"/>
      <c r="HZG2" s="74"/>
      <c r="HZH2" s="74"/>
      <c r="HZI2" s="74"/>
      <c r="HZJ2" s="74"/>
      <c r="HZK2" s="74"/>
      <c r="HZL2" s="74"/>
      <c r="HZM2" s="74"/>
      <c r="HZN2" s="74"/>
      <c r="HZO2" s="74"/>
      <c r="HZP2" s="74"/>
      <c r="HZQ2" s="74"/>
      <c r="HZR2" s="74"/>
      <c r="HZS2" s="74"/>
      <c r="HZT2" s="74"/>
      <c r="HZU2" s="74"/>
      <c r="HZV2" s="74"/>
      <c r="HZW2" s="74"/>
      <c r="HZX2" s="74"/>
      <c r="HZY2" s="74"/>
      <c r="HZZ2" s="74"/>
      <c r="IAA2" s="74"/>
      <c r="IAB2" s="74"/>
      <c r="IAC2" s="74"/>
      <c r="IAD2" s="74"/>
      <c r="IAE2" s="74"/>
      <c r="IAF2" s="74"/>
      <c r="IAG2" s="74"/>
      <c r="IAH2" s="74"/>
      <c r="IAI2" s="74"/>
      <c r="IAJ2" s="74"/>
      <c r="IAK2" s="74"/>
      <c r="IAL2" s="74"/>
      <c r="IAM2" s="74"/>
      <c r="IAN2" s="74"/>
      <c r="IAO2" s="74"/>
      <c r="IAP2" s="74"/>
      <c r="IAQ2" s="74"/>
      <c r="IAR2" s="74"/>
      <c r="IAS2" s="74"/>
      <c r="IAT2" s="74"/>
      <c r="IAU2" s="74"/>
      <c r="IAV2" s="74"/>
      <c r="IAW2" s="74"/>
      <c r="IAX2" s="74"/>
      <c r="IAY2" s="74"/>
      <c r="IAZ2" s="74"/>
      <c r="IBA2" s="74"/>
      <c r="IBB2" s="74"/>
      <c r="IBC2" s="74"/>
      <c r="IBD2" s="74"/>
      <c r="IBE2" s="74"/>
      <c r="IBF2" s="74"/>
      <c r="IBG2" s="74"/>
      <c r="IBH2" s="74"/>
      <c r="IBI2" s="74"/>
      <c r="IBJ2" s="74"/>
      <c r="IBK2" s="74"/>
      <c r="IBL2" s="74"/>
      <c r="IBM2" s="74"/>
      <c r="IBN2" s="74"/>
      <c r="IBO2" s="74"/>
      <c r="IBP2" s="74"/>
      <c r="IBQ2" s="74"/>
      <c r="IBR2" s="74"/>
      <c r="IBS2" s="74"/>
      <c r="IBT2" s="74"/>
      <c r="IBU2" s="74"/>
      <c r="IBV2" s="74"/>
      <c r="IBW2" s="74"/>
      <c r="IBX2" s="74"/>
      <c r="IBY2" s="74"/>
      <c r="IBZ2" s="74"/>
      <c r="ICA2" s="74"/>
      <c r="ICB2" s="74"/>
      <c r="ICC2" s="74"/>
      <c r="ICD2" s="74"/>
      <c r="ICE2" s="74"/>
      <c r="ICF2" s="74"/>
      <c r="ICG2" s="74"/>
      <c r="ICH2" s="74"/>
      <c r="ICI2" s="74"/>
      <c r="ICJ2" s="74"/>
      <c r="ICK2" s="74"/>
      <c r="ICL2" s="74"/>
      <c r="ICM2" s="74"/>
      <c r="ICN2" s="74"/>
      <c r="ICO2" s="74"/>
      <c r="ICP2" s="74"/>
      <c r="ICQ2" s="74"/>
      <c r="ICR2" s="74"/>
      <c r="ICS2" s="74"/>
      <c r="ICT2" s="74"/>
      <c r="ICU2" s="74"/>
      <c r="ICV2" s="74"/>
      <c r="ICW2" s="74"/>
      <c r="ICX2" s="74"/>
      <c r="ICY2" s="74"/>
      <c r="ICZ2" s="74"/>
      <c r="IDA2" s="74"/>
      <c r="IDB2" s="74"/>
      <c r="IDC2" s="74"/>
      <c r="IDD2" s="74"/>
      <c r="IDE2" s="74"/>
      <c r="IDF2" s="74"/>
      <c r="IDG2" s="74"/>
      <c r="IDH2" s="74"/>
      <c r="IDI2" s="74"/>
      <c r="IDJ2" s="74"/>
      <c r="IDK2" s="74"/>
      <c r="IDL2" s="74"/>
      <c r="IDM2" s="74"/>
      <c r="IDN2" s="74"/>
      <c r="IDO2" s="74"/>
      <c r="IDP2" s="74"/>
      <c r="IDQ2" s="74"/>
      <c r="IDR2" s="74"/>
      <c r="IDS2" s="74"/>
      <c r="IDT2" s="74"/>
      <c r="IDU2" s="74"/>
      <c r="IDV2" s="74"/>
      <c r="IDW2" s="74"/>
      <c r="IDX2" s="74"/>
      <c r="IDY2" s="74"/>
      <c r="IDZ2" s="74"/>
      <c r="IEA2" s="74"/>
      <c r="IEB2" s="74"/>
      <c r="IEC2" s="74"/>
      <c r="IED2" s="74"/>
      <c r="IEE2" s="74"/>
      <c r="IEF2" s="74"/>
      <c r="IEG2" s="74"/>
      <c r="IEH2" s="74"/>
      <c r="IEI2" s="74"/>
      <c r="IEJ2" s="74"/>
      <c r="IEK2" s="74"/>
      <c r="IEL2" s="74"/>
      <c r="IEM2" s="74"/>
      <c r="IEN2" s="74"/>
      <c r="IEO2" s="74"/>
      <c r="IEP2" s="74"/>
      <c r="IEQ2" s="74"/>
      <c r="IER2" s="74"/>
      <c r="IES2" s="74"/>
      <c r="IET2" s="74"/>
      <c r="IEU2" s="74"/>
      <c r="IEV2" s="74"/>
      <c r="IEW2" s="74"/>
      <c r="IEX2" s="74"/>
      <c r="IEY2" s="74"/>
      <c r="IEZ2" s="74"/>
      <c r="IFA2" s="74"/>
      <c r="IFB2" s="74"/>
      <c r="IFC2" s="74"/>
      <c r="IFD2" s="74"/>
      <c r="IFE2" s="74"/>
      <c r="IFF2" s="74"/>
      <c r="IFG2" s="74"/>
      <c r="IFH2" s="74"/>
      <c r="IFI2" s="74"/>
      <c r="IFJ2" s="74"/>
      <c r="IFK2" s="74"/>
      <c r="IFL2" s="74"/>
      <c r="IFM2" s="74"/>
      <c r="IFN2" s="74"/>
      <c r="IFO2" s="74"/>
      <c r="IFP2" s="74"/>
      <c r="IFQ2" s="74"/>
      <c r="IFR2" s="74"/>
      <c r="IFS2" s="74"/>
      <c r="IFT2" s="74"/>
      <c r="IFU2" s="74"/>
      <c r="IFV2" s="74"/>
      <c r="IFW2" s="74"/>
      <c r="IFX2" s="74"/>
      <c r="IFY2" s="74"/>
      <c r="IFZ2" s="74"/>
      <c r="IGA2" s="74"/>
      <c r="IGB2" s="74"/>
      <c r="IGC2" s="74"/>
      <c r="IGD2" s="74"/>
      <c r="IGE2" s="74"/>
      <c r="IGF2" s="74"/>
      <c r="IGG2" s="74"/>
      <c r="IGH2" s="74"/>
      <c r="IGI2" s="74"/>
      <c r="IGJ2" s="74"/>
      <c r="IGK2" s="74"/>
      <c r="IGL2" s="74"/>
      <c r="IGM2" s="74"/>
      <c r="IGN2" s="74"/>
      <c r="IGO2" s="74"/>
      <c r="IGP2" s="74"/>
      <c r="IGQ2" s="74"/>
      <c r="IGR2" s="74"/>
      <c r="IGS2" s="74"/>
      <c r="IGT2" s="74"/>
      <c r="IGU2" s="74"/>
      <c r="IGV2" s="74"/>
      <c r="IGW2" s="74"/>
      <c r="IGX2" s="74"/>
      <c r="IGY2" s="74"/>
      <c r="IGZ2" s="74"/>
      <c r="IHA2" s="74"/>
      <c r="IHB2" s="74"/>
      <c r="IHC2" s="74"/>
      <c r="IHD2" s="74"/>
      <c r="IHE2" s="74"/>
      <c r="IHF2" s="74"/>
      <c r="IHG2" s="74"/>
      <c r="IHH2" s="74"/>
      <c r="IHI2" s="74"/>
      <c r="IHJ2" s="74"/>
      <c r="IHK2" s="74"/>
      <c r="IHL2" s="74"/>
      <c r="IHM2" s="74"/>
      <c r="IHN2" s="74"/>
      <c r="IHO2" s="74"/>
      <c r="IHP2" s="74"/>
      <c r="IHQ2" s="74"/>
      <c r="IHR2" s="74"/>
      <c r="IHS2" s="74"/>
      <c r="IHT2" s="74"/>
      <c r="IHU2" s="74"/>
      <c r="IHV2" s="74"/>
      <c r="IHW2" s="74"/>
      <c r="IHX2" s="74"/>
      <c r="IHY2" s="74"/>
      <c r="IHZ2" s="74"/>
      <c r="IIA2" s="74"/>
      <c r="IIB2" s="74"/>
      <c r="IIC2" s="74"/>
      <c r="IID2" s="74"/>
      <c r="IIE2" s="74"/>
      <c r="IIF2" s="74"/>
      <c r="IIG2" s="74"/>
      <c r="IIH2" s="74"/>
      <c r="III2" s="74"/>
      <c r="IIJ2" s="74"/>
      <c r="IIK2" s="74"/>
      <c r="IIL2" s="74"/>
      <c r="IIM2" s="74"/>
      <c r="IIN2" s="74"/>
      <c r="IIO2" s="74"/>
      <c r="IIP2" s="74"/>
      <c r="IIQ2" s="74"/>
      <c r="IIR2" s="74"/>
      <c r="IIS2" s="74"/>
      <c r="IIT2" s="74"/>
      <c r="IIU2" s="74"/>
      <c r="IIV2" s="74"/>
      <c r="IIW2" s="74"/>
      <c r="IIX2" s="74"/>
      <c r="IIY2" s="74"/>
      <c r="IIZ2" s="74"/>
      <c r="IJA2" s="74"/>
      <c r="IJB2" s="74"/>
      <c r="IJC2" s="74"/>
      <c r="IJD2" s="74"/>
      <c r="IJE2" s="74"/>
      <c r="IJF2" s="74"/>
      <c r="IJG2" s="74"/>
      <c r="IJH2" s="74"/>
      <c r="IJI2" s="74"/>
      <c r="IJJ2" s="74"/>
      <c r="IJK2" s="74"/>
      <c r="IJL2" s="74"/>
      <c r="IJM2" s="74"/>
      <c r="IJN2" s="74"/>
      <c r="IJO2" s="74"/>
      <c r="IJP2" s="74"/>
      <c r="IJQ2" s="74"/>
      <c r="IJR2" s="74"/>
      <c r="IJS2" s="74"/>
      <c r="IJT2" s="74"/>
      <c r="IJU2" s="74"/>
      <c r="IJV2" s="74"/>
      <c r="IJW2" s="74"/>
      <c r="IJX2" s="74"/>
      <c r="IJY2" s="74"/>
      <c r="IJZ2" s="74"/>
      <c r="IKA2" s="74"/>
      <c r="IKB2" s="74"/>
      <c r="IKC2" s="74"/>
      <c r="IKD2" s="74"/>
      <c r="IKE2" s="74"/>
      <c r="IKF2" s="74"/>
      <c r="IKG2" s="74"/>
      <c r="IKH2" s="74"/>
      <c r="IKI2" s="74"/>
      <c r="IKJ2" s="74"/>
      <c r="IKK2" s="74"/>
      <c r="IKL2" s="74"/>
      <c r="IKM2" s="74"/>
      <c r="IKN2" s="74"/>
      <c r="IKO2" s="74"/>
      <c r="IKP2" s="74"/>
      <c r="IKQ2" s="74"/>
      <c r="IKR2" s="74"/>
      <c r="IKS2" s="74"/>
      <c r="IKT2" s="74"/>
      <c r="IKU2" s="74"/>
      <c r="IKV2" s="74"/>
      <c r="IKW2" s="74"/>
      <c r="IKX2" s="74"/>
      <c r="IKY2" s="74"/>
      <c r="IKZ2" s="74"/>
      <c r="ILA2" s="74"/>
      <c r="ILB2" s="74"/>
      <c r="ILC2" s="74"/>
      <c r="ILD2" s="74"/>
      <c r="ILE2" s="74"/>
      <c r="ILF2" s="74"/>
      <c r="ILG2" s="74"/>
      <c r="ILH2" s="74"/>
      <c r="ILI2" s="74"/>
      <c r="ILJ2" s="74"/>
      <c r="ILK2" s="74"/>
      <c r="ILL2" s="74"/>
      <c r="ILM2" s="74"/>
      <c r="ILN2" s="74"/>
      <c r="ILO2" s="74"/>
      <c r="ILP2" s="74"/>
      <c r="ILQ2" s="74"/>
      <c r="ILR2" s="74"/>
      <c r="ILS2" s="74"/>
      <c r="ILT2" s="74"/>
      <c r="ILU2" s="74"/>
      <c r="ILV2" s="74"/>
      <c r="ILW2" s="74"/>
      <c r="ILX2" s="74"/>
      <c r="ILY2" s="74"/>
      <c r="ILZ2" s="74"/>
      <c r="IMA2" s="74"/>
      <c r="IMB2" s="74"/>
      <c r="IMC2" s="74"/>
      <c r="IMD2" s="74"/>
      <c r="IME2" s="74"/>
      <c r="IMF2" s="74"/>
      <c r="IMG2" s="74"/>
      <c r="IMH2" s="74"/>
      <c r="IMI2" s="74"/>
      <c r="IMJ2" s="74"/>
      <c r="IMK2" s="74"/>
      <c r="IML2" s="74"/>
      <c r="IMM2" s="74"/>
      <c r="IMN2" s="74"/>
      <c r="IMO2" s="74"/>
      <c r="IMP2" s="74"/>
      <c r="IMQ2" s="74"/>
      <c r="IMR2" s="74"/>
      <c r="IMS2" s="74"/>
      <c r="IMT2" s="74"/>
      <c r="IMU2" s="74"/>
      <c r="IMV2" s="74"/>
      <c r="IMW2" s="74"/>
      <c r="IMX2" s="74"/>
      <c r="IMY2" s="74"/>
      <c r="IMZ2" s="74"/>
      <c r="INA2" s="74"/>
      <c r="INB2" s="74"/>
      <c r="INC2" s="74"/>
      <c r="IND2" s="74"/>
      <c r="INE2" s="74"/>
      <c r="INF2" s="74"/>
      <c r="ING2" s="74"/>
      <c r="INH2" s="74"/>
      <c r="INI2" s="74"/>
      <c r="INJ2" s="74"/>
      <c r="INK2" s="74"/>
      <c r="INL2" s="74"/>
      <c r="INM2" s="74"/>
      <c r="INN2" s="74"/>
      <c r="INO2" s="74"/>
      <c r="INP2" s="74"/>
      <c r="INQ2" s="74"/>
      <c r="INR2" s="74"/>
      <c r="INS2" s="74"/>
      <c r="INT2" s="74"/>
      <c r="INU2" s="74"/>
      <c r="INV2" s="74"/>
      <c r="INW2" s="74"/>
      <c r="INX2" s="74"/>
      <c r="INY2" s="74"/>
      <c r="INZ2" s="74"/>
      <c r="IOA2" s="74"/>
      <c r="IOB2" s="74"/>
      <c r="IOC2" s="74"/>
      <c r="IOD2" s="74"/>
      <c r="IOE2" s="74"/>
      <c r="IOF2" s="74"/>
      <c r="IOG2" s="74"/>
      <c r="IOH2" s="74"/>
      <c r="IOI2" s="74"/>
      <c r="IOJ2" s="74"/>
      <c r="IOK2" s="74"/>
      <c r="IOL2" s="74"/>
      <c r="IOM2" s="74"/>
      <c r="ION2" s="74"/>
      <c r="IOO2" s="74"/>
      <c r="IOP2" s="74"/>
      <c r="IOQ2" s="74"/>
      <c r="IOR2" s="74"/>
      <c r="IOS2" s="74"/>
      <c r="IOT2" s="74"/>
      <c r="IOU2" s="74"/>
      <c r="IOV2" s="74"/>
      <c r="IOW2" s="74"/>
      <c r="IOX2" s="74"/>
      <c r="IOY2" s="74"/>
      <c r="IOZ2" s="74"/>
      <c r="IPA2" s="74"/>
      <c r="IPB2" s="74"/>
      <c r="IPC2" s="74"/>
      <c r="IPD2" s="74"/>
      <c r="IPE2" s="74"/>
      <c r="IPF2" s="74"/>
      <c r="IPG2" s="74"/>
      <c r="IPH2" s="74"/>
      <c r="IPI2" s="74"/>
      <c r="IPJ2" s="74"/>
      <c r="IPK2" s="74"/>
      <c r="IPL2" s="74"/>
      <c r="IPM2" s="74"/>
      <c r="IPN2" s="74"/>
      <c r="IPO2" s="74"/>
      <c r="IPP2" s="74"/>
      <c r="IPQ2" s="74"/>
      <c r="IPR2" s="74"/>
      <c r="IPS2" s="74"/>
      <c r="IPT2" s="74"/>
      <c r="IPU2" s="74"/>
      <c r="IPV2" s="74"/>
      <c r="IPW2" s="74"/>
      <c r="IPX2" s="74"/>
      <c r="IPY2" s="74"/>
      <c r="IPZ2" s="74"/>
      <c r="IQA2" s="74"/>
      <c r="IQB2" s="74"/>
      <c r="IQC2" s="74"/>
      <c r="IQD2" s="74"/>
      <c r="IQE2" s="74"/>
      <c r="IQF2" s="74"/>
      <c r="IQG2" s="74"/>
      <c r="IQH2" s="74"/>
      <c r="IQI2" s="74"/>
      <c r="IQJ2" s="74"/>
      <c r="IQK2" s="74"/>
      <c r="IQL2" s="74"/>
      <c r="IQM2" s="74"/>
      <c r="IQN2" s="74"/>
      <c r="IQO2" s="74"/>
      <c r="IQP2" s="74"/>
      <c r="IQQ2" s="74"/>
      <c r="IQR2" s="74"/>
      <c r="IQS2" s="74"/>
      <c r="IQT2" s="74"/>
      <c r="IQU2" s="74"/>
      <c r="IQV2" s="74"/>
      <c r="IQW2" s="74"/>
      <c r="IQX2" s="74"/>
      <c r="IQY2" s="74"/>
      <c r="IQZ2" s="74"/>
      <c r="IRA2" s="74"/>
      <c r="IRB2" s="74"/>
      <c r="IRC2" s="74"/>
      <c r="IRD2" s="74"/>
      <c r="IRE2" s="74"/>
      <c r="IRF2" s="74"/>
      <c r="IRG2" s="74"/>
      <c r="IRH2" s="74"/>
      <c r="IRI2" s="74"/>
      <c r="IRJ2" s="74"/>
      <c r="IRK2" s="74"/>
      <c r="IRL2" s="74"/>
      <c r="IRM2" s="74"/>
      <c r="IRN2" s="74"/>
      <c r="IRO2" s="74"/>
      <c r="IRP2" s="74"/>
      <c r="IRQ2" s="74"/>
      <c r="IRR2" s="74"/>
      <c r="IRS2" s="74"/>
      <c r="IRT2" s="74"/>
      <c r="IRU2" s="74"/>
      <c r="IRV2" s="74"/>
      <c r="IRW2" s="74"/>
      <c r="IRX2" s="74"/>
      <c r="IRY2" s="74"/>
      <c r="IRZ2" s="74"/>
      <c r="ISA2" s="74"/>
      <c r="ISB2" s="74"/>
      <c r="ISC2" s="74"/>
      <c r="ISD2" s="74"/>
      <c r="ISE2" s="74"/>
      <c r="ISF2" s="74"/>
      <c r="ISG2" s="74"/>
      <c r="ISH2" s="74"/>
      <c r="ISI2" s="74"/>
      <c r="ISJ2" s="74"/>
      <c r="ISK2" s="74"/>
      <c r="ISL2" s="74"/>
      <c r="ISM2" s="74"/>
      <c r="ISN2" s="74"/>
      <c r="ISO2" s="74"/>
      <c r="ISP2" s="74"/>
      <c r="ISQ2" s="74"/>
      <c r="ISR2" s="74"/>
      <c r="ISS2" s="74"/>
      <c r="IST2" s="74"/>
      <c r="ISU2" s="74"/>
      <c r="ISV2" s="74"/>
      <c r="ISW2" s="74"/>
      <c r="ISX2" s="74"/>
      <c r="ISY2" s="74"/>
      <c r="ISZ2" s="74"/>
      <c r="ITA2" s="74"/>
      <c r="ITB2" s="74"/>
      <c r="ITC2" s="74"/>
      <c r="ITD2" s="74"/>
      <c r="ITE2" s="74"/>
      <c r="ITF2" s="74"/>
      <c r="ITG2" s="74"/>
      <c r="ITH2" s="74"/>
      <c r="ITI2" s="74"/>
      <c r="ITJ2" s="74"/>
      <c r="ITK2" s="74"/>
      <c r="ITL2" s="74"/>
      <c r="ITM2" s="74"/>
      <c r="ITN2" s="74"/>
      <c r="ITO2" s="74"/>
      <c r="ITP2" s="74"/>
      <c r="ITQ2" s="74"/>
      <c r="ITR2" s="74"/>
      <c r="ITS2" s="74"/>
      <c r="ITT2" s="74"/>
      <c r="ITU2" s="74"/>
      <c r="ITV2" s="74"/>
      <c r="ITW2" s="74"/>
      <c r="ITX2" s="74"/>
      <c r="ITY2" s="74"/>
      <c r="ITZ2" s="74"/>
      <c r="IUA2" s="74"/>
      <c r="IUB2" s="74"/>
      <c r="IUC2" s="74"/>
      <c r="IUD2" s="74"/>
      <c r="IUE2" s="74"/>
      <c r="IUF2" s="74"/>
      <c r="IUG2" s="74"/>
      <c r="IUH2" s="74"/>
      <c r="IUI2" s="74"/>
      <c r="IUJ2" s="74"/>
      <c r="IUK2" s="74"/>
      <c r="IUL2" s="74"/>
      <c r="IUM2" s="74"/>
      <c r="IUN2" s="74"/>
      <c r="IUO2" s="74"/>
      <c r="IUP2" s="74"/>
      <c r="IUQ2" s="74"/>
      <c r="IUR2" s="74"/>
      <c r="IUS2" s="74"/>
      <c r="IUT2" s="74"/>
      <c r="IUU2" s="74"/>
      <c r="IUV2" s="74"/>
      <c r="IUW2" s="74"/>
      <c r="IUX2" s="74"/>
      <c r="IUY2" s="74"/>
      <c r="IUZ2" s="74"/>
      <c r="IVA2" s="74"/>
      <c r="IVB2" s="74"/>
      <c r="IVC2" s="74"/>
      <c r="IVD2" s="74"/>
      <c r="IVE2" s="74"/>
      <c r="IVF2" s="74"/>
      <c r="IVG2" s="74"/>
      <c r="IVH2" s="74"/>
      <c r="IVI2" s="74"/>
      <c r="IVJ2" s="74"/>
      <c r="IVK2" s="74"/>
      <c r="IVL2" s="74"/>
      <c r="IVM2" s="74"/>
      <c r="IVN2" s="74"/>
      <c r="IVO2" s="74"/>
      <c r="IVP2" s="74"/>
      <c r="IVQ2" s="74"/>
      <c r="IVR2" s="74"/>
      <c r="IVS2" s="74"/>
      <c r="IVT2" s="74"/>
      <c r="IVU2" s="74"/>
      <c r="IVV2" s="74"/>
      <c r="IVW2" s="74"/>
      <c r="IVX2" s="74"/>
      <c r="IVY2" s="74"/>
      <c r="IVZ2" s="74"/>
      <c r="IWA2" s="74"/>
      <c r="IWB2" s="74"/>
      <c r="IWC2" s="74"/>
      <c r="IWD2" s="74"/>
      <c r="IWE2" s="74"/>
      <c r="IWF2" s="74"/>
      <c r="IWG2" s="74"/>
      <c r="IWH2" s="74"/>
      <c r="IWI2" s="74"/>
      <c r="IWJ2" s="74"/>
      <c r="IWK2" s="74"/>
      <c r="IWL2" s="74"/>
      <c r="IWM2" s="74"/>
      <c r="IWN2" s="74"/>
      <c r="IWO2" s="74"/>
      <c r="IWP2" s="74"/>
      <c r="IWQ2" s="74"/>
      <c r="IWR2" s="74"/>
      <c r="IWS2" s="74"/>
      <c r="IWT2" s="74"/>
      <c r="IWU2" s="74"/>
      <c r="IWV2" s="74"/>
      <c r="IWW2" s="74"/>
      <c r="IWX2" s="74"/>
      <c r="IWY2" s="74"/>
      <c r="IWZ2" s="74"/>
      <c r="IXA2" s="74"/>
      <c r="IXB2" s="74"/>
      <c r="IXC2" s="74"/>
      <c r="IXD2" s="74"/>
      <c r="IXE2" s="74"/>
      <c r="IXF2" s="74"/>
      <c r="IXG2" s="74"/>
      <c r="IXH2" s="74"/>
      <c r="IXI2" s="74"/>
      <c r="IXJ2" s="74"/>
      <c r="IXK2" s="74"/>
      <c r="IXL2" s="74"/>
      <c r="IXM2" s="74"/>
      <c r="IXN2" s="74"/>
      <c r="IXO2" s="74"/>
      <c r="IXP2" s="74"/>
      <c r="IXQ2" s="74"/>
      <c r="IXR2" s="74"/>
      <c r="IXS2" s="74"/>
      <c r="IXT2" s="74"/>
      <c r="IXU2" s="74"/>
      <c r="IXV2" s="74"/>
      <c r="IXW2" s="74"/>
      <c r="IXX2" s="74"/>
      <c r="IXY2" s="74"/>
      <c r="IXZ2" s="74"/>
      <c r="IYA2" s="74"/>
      <c r="IYB2" s="74"/>
      <c r="IYC2" s="74"/>
      <c r="IYD2" s="74"/>
      <c r="IYE2" s="74"/>
      <c r="IYF2" s="74"/>
      <c r="IYG2" s="74"/>
      <c r="IYH2" s="74"/>
      <c r="IYI2" s="74"/>
      <c r="IYJ2" s="74"/>
      <c r="IYK2" s="74"/>
      <c r="IYL2" s="74"/>
      <c r="IYM2" s="74"/>
      <c r="IYN2" s="74"/>
      <c r="IYO2" s="74"/>
      <c r="IYP2" s="74"/>
      <c r="IYQ2" s="74"/>
      <c r="IYR2" s="74"/>
      <c r="IYS2" s="74"/>
      <c r="IYT2" s="74"/>
      <c r="IYU2" s="74"/>
      <c r="IYV2" s="74"/>
      <c r="IYW2" s="74"/>
      <c r="IYX2" s="74"/>
      <c r="IYY2" s="74"/>
      <c r="IYZ2" s="74"/>
      <c r="IZA2" s="74"/>
      <c r="IZB2" s="74"/>
      <c r="IZC2" s="74"/>
      <c r="IZD2" s="74"/>
      <c r="IZE2" s="74"/>
      <c r="IZF2" s="74"/>
      <c r="IZG2" s="74"/>
      <c r="IZH2" s="74"/>
      <c r="IZI2" s="74"/>
      <c r="IZJ2" s="74"/>
      <c r="IZK2" s="74"/>
      <c r="IZL2" s="74"/>
      <c r="IZM2" s="74"/>
      <c r="IZN2" s="74"/>
      <c r="IZO2" s="74"/>
      <c r="IZP2" s="74"/>
      <c r="IZQ2" s="74"/>
      <c r="IZR2" s="74"/>
      <c r="IZS2" s="74"/>
      <c r="IZT2" s="74"/>
      <c r="IZU2" s="74"/>
      <c r="IZV2" s="74"/>
      <c r="IZW2" s="74"/>
      <c r="IZX2" s="74"/>
      <c r="IZY2" s="74"/>
      <c r="IZZ2" s="74"/>
      <c r="JAA2" s="74"/>
      <c r="JAB2" s="74"/>
      <c r="JAC2" s="74"/>
      <c r="JAD2" s="74"/>
      <c r="JAE2" s="74"/>
      <c r="JAF2" s="74"/>
      <c r="JAG2" s="74"/>
      <c r="JAH2" s="74"/>
      <c r="JAI2" s="74"/>
      <c r="JAJ2" s="74"/>
      <c r="JAK2" s="74"/>
      <c r="JAL2" s="74"/>
      <c r="JAM2" s="74"/>
      <c r="JAN2" s="74"/>
      <c r="JAO2" s="74"/>
      <c r="JAP2" s="74"/>
      <c r="JAQ2" s="74"/>
      <c r="JAR2" s="74"/>
      <c r="JAS2" s="74"/>
      <c r="JAT2" s="74"/>
      <c r="JAU2" s="74"/>
      <c r="JAV2" s="74"/>
      <c r="JAW2" s="74"/>
      <c r="JAX2" s="74"/>
      <c r="JAY2" s="74"/>
      <c r="JAZ2" s="74"/>
      <c r="JBA2" s="74"/>
      <c r="JBB2" s="74"/>
      <c r="JBC2" s="74"/>
      <c r="JBD2" s="74"/>
      <c r="JBE2" s="74"/>
      <c r="JBF2" s="74"/>
      <c r="JBG2" s="74"/>
      <c r="JBH2" s="74"/>
      <c r="JBI2" s="74"/>
      <c r="JBJ2" s="74"/>
      <c r="JBK2" s="74"/>
      <c r="JBL2" s="74"/>
      <c r="JBM2" s="74"/>
      <c r="JBN2" s="74"/>
      <c r="JBO2" s="74"/>
      <c r="JBP2" s="74"/>
      <c r="JBQ2" s="74"/>
      <c r="JBR2" s="74"/>
      <c r="JBS2" s="74"/>
      <c r="JBT2" s="74"/>
      <c r="JBU2" s="74"/>
      <c r="JBV2" s="74"/>
      <c r="JBW2" s="74"/>
      <c r="JBX2" s="74"/>
      <c r="JBY2" s="74"/>
      <c r="JBZ2" s="74"/>
      <c r="JCA2" s="74"/>
      <c r="JCB2" s="74"/>
      <c r="JCC2" s="74"/>
      <c r="JCD2" s="74"/>
      <c r="JCE2" s="74"/>
      <c r="JCF2" s="74"/>
      <c r="JCG2" s="74"/>
      <c r="JCH2" s="74"/>
      <c r="JCI2" s="74"/>
      <c r="JCJ2" s="74"/>
      <c r="JCK2" s="74"/>
      <c r="JCL2" s="74"/>
      <c r="JCM2" s="74"/>
      <c r="JCN2" s="74"/>
      <c r="JCO2" s="74"/>
      <c r="JCP2" s="74"/>
      <c r="JCQ2" s="74"/>
      <c r="JCR2" s="74"/>
      <c r="JCS2" s="74"/>
      <c r="JCT2" s="74"/>
      <c r="JCU2" s="74"/>
      <c r="JCV2" s="74"/>
      <c r="JCW2" s="74"/>
      <c r="JCX2" s="74"/>
      <c r="JCY2" s="74"/>
      <c r="JCZ2" s="74"/>
      <c r="JDA2" s="74"/>
      <c r="JDB2" s="74"/>
      <c r="JDC2" s="74"/>
      <c r="JDD2" s="74"/>
      <c r="JDE2" s="74"/>
      <c r="JDF2" s="74"/>
      <c r="JDG2" s="74"/>
      <c r="JDH2" s="74"/>
      <c r="JDI2" s="74"/>
      <c r="JDJ2" s="74"/>
      <c r="JDK2" s="74"/>
      <c r="JDL2" s="74"/>
      <c r="JDM2" s="74"/>
      <c r="JDN2" s="74"/>
      <c r="JDO2" s="74"/>
      <c r="JDP2" s="74"/>
      <c r="JDQ2" s="74"/>
      <c r="JDR2" s="74"/>
      <c r="JDS2" s="74"/>
      <c r="JDT2" s="74"/>
      <c r="JDU2" s="74"/>
      <c r="JDV2" s="74"/>
      <c r="JDW2" s="74"/>
      <c r="JDX2" s="74"/>
      <c r="JDY2" s="74"/>
      <c r="JDZ2" s="74"/>
      <c r="JEA2" s="74"/>
      <c r="JEB2" s="74"/>
      <c r="JEC2" s="74"/>
      <c r="JED2" s="74"/>
      <c r="JEE2" s="74"/>
      <c r="JEF2" s="74"/>
      <c r="JEG2" s="74"/>
      <c r="JEH2" s="74"/>
      <c r="JEI2" s="74"/>
      <c r="JEJ2" s="74"/>
      <c r="JEK2" s="74"/>
      <c r="JEL2" s="74"/>
      <c r="JEM2" s="74"/>
      <c r="JEN2" s="74"/>
      <c r="JEO2" s="74"/>
      <c r="JEP2" s="74"/>
      <c r="JEQ2" s="74"/>
      <c r="JER2" s="74"/>
      <c r="JES2" s="74"/>
      <c r="JET2" s="74"/>
      <c r="JEU2" s="74"/>
      <c r="JEV2" s="74"/>
      <c r="JEW2" s="74"/>
      <c r="JEX2" s="74"/>
      <c r="JEY2" s="74"/>
      <c r="JEZ2" s="74"/>
      <c r="JFA2" s="74"/>
      <c r="JFB2" s="74"/>
      <c r="JFC2" s="74"/>
      <c r="JFD2" s="74"/>
      <c r="JFE2" s="74"/>
      <c r="JFF2" s="74"/>
      <c r="JFG2" s="74"/>
      <c r="JFH2" s="74"/>
      <c r="JFI2" s="74"/>
      <c r="JFJ2" s="74"/>
      <c r="JFK2" s="74"/>
      <c r="JFL2" s="74"/>
      <c r="JFM2" s="74"/>
      <c r="JFN2" s="74"/>
      <c r="JFO2" s="74"/>
      <c r="JFP2" s="74"/>
      <c r="JFQ2" s="74"/>
      <c r="JFR2" s="74"/>
      <c r="JFS2" s="74"/>
      <c r="JFT2" s="74"/>
      <c r="JFU2" s="74"/>
      <c r="JFV2" s="74"/>
      <c r="JFW2" s="74"/>
      <c r="JFX2" s="74"/>
      <c r="JFY2" s="74"/>
      <c r="JFZ2" s="74"/>
      <c r="JGA2" s="74"/>
      <c r="JGB2" s="74"/>
      <c r="JGC2" s="74"/>
      <c r="JGD2" s="74"/>
      <c r="JGE2" s="74"/>
      <c r="JGF2" s="74"/>
      <c r="JGG2" s="74"/>
      <c r="JGH2" s="74"/>
      <c r="JGI2" s="74"/>
      <c r="JGJ2" s="74"/>
      <c r="JGK2" s="74"/>
      <c r="JGL2" s="74"/>
      <c r="JGM2" s="74"/>
      <c r="JGN2" s="74"/>
      <c r="JGO2" s="74"/>
      <c r="JGP2" s="74"/>
      <c r="JGQ2" s="74"/>
      <c r="JGR2" s="74"/>
      <c r="JGS2" s="74"/>
      <c r="JGT2" s="74"/>
      <c r="JGU2" s="74"/>
      <c r="JGV2" s="74"/>
      <c r="JGW2" s="74"/>
      <c r="JGX2" s="74"/>
      <c r="JGY2" s="74"/>
      <c r="JGZ2" s="74"/>
      <c r="JHA2" s="74"/>
      <c r="JHB2" s="74"/>
      <c r="JHC2" s="74"/>
      <c r="JHD2" s="74"/>
      <c r="JHE2" s="74"/>
      <c r="JHF2" s="74"/>
      <c r="JHG2" s="74"/>
      <c r="JHH2" s="74"/>
      <c r="JHI2" s="74"/>
      <c r="JHJ2" s="74"/>
      <c r="JHK2" s="74"/>
      <c r="JHL2" s="74"/>
      <c r="JHM2" s="74"/>
      <c r="JHN2" s="74"/>
      <c r="JHO2" s="74"/>
      <c r="JHP2" s="74"/>
      <c r="JHQ2" s="74"/>
      <c r="JHR2" s="74"/>
      <c r="JHS2" s="74"/>
      <c r="JHT2" s="74"/>
      <c r="JHU2" s="74"/>
      <c r="JHV2" s="74"/>
      <c r="JHW2" s="74"/>
      <c r="JHX2" s="74"/>
      <c r="JHY2" s="74"/>
      <c r="JHZ2" s="74"/>
      <c r="JIA2" s="74"/>
      <c r="JIB2" s="74"/>
      <c r="JIC2" s="74"/>
      <c r="JID2" s="74"/>
      <c r="JIE2" s="74"/>
      <c r="JIF2" s="74"/>
      <c r="JIG2" s="74"/>
      <c r="JIH2" s="74"/>
      <c r="JII2" s="74"/>
      <c r="JIJ2" s="74"/>
      <c r="JIK2" s="74"/>
      <c r="JIL2" s="74"/>
      <c r="JIM2" s="74"/>
      <c r="JIN2" s="74"/>
      <c r="JIO2" s="74"/>
      <c r="JIP2" s="74"/>
      <c r="JIQ2" s="74"/>
      <c r="JIR2" s="74"/>
      <c r="JIS2" s="74"/>
      <c r="JIT2" s="74"/>
      <c r="JIU2" s="74"/>
      <c r="JIV2" s="74"/>
      <c r="JIW2" s="74"/>
      <c r="JIX2" s="74"/>
      <c r="JIY2" s="74"/>
      <c r="JIZ2" s="74"/>
      <c r="JJA2" s="74"/>
      <c r="JJB2" s="74"/>
      <c r="JJC2" s="74"/>
      <c r="JJD2" s="74"/>
      <c r="JJE2" s="74"/>
      <c r="JJF2" s="74"/>
      <c r="JJG2" s="74"/>
      <c r="JJH2" s="74"/>
      <c r="JJI2" s="74"/>
      <c r="JJJ2" s="74"/>
      <c r="JJK2" s="74"/>
      <c r="JJL2" s="74"/>
      <c r="JJM2" s="74"/>
      <c r="JJN2" s="74"/>
      <c r="JJO2" s="74"/>
      <c r="JJP2" s="74"/>
      <c r="JJQ2" s="74"/>
      <c r="JJR2" s="74"/>
      <c r="JJS2" s="74"/>
      <c r="JJT2" s="74"/>
      <c r="JJU2" s="74"/>
      <c r="JJV2" s="74"/>
      <c r="JJW2" s="74"/>
      <c r="JJX2" s="74"/>
      <c r="JJY2" s="74"/>
      <c r="JJZ2" s="74"/>
      <c r="JKA2" s="74"/>
      <c r="JKB2" s="74"/>
      <c r="JKC2" s="74"/>
      <c r="JKD2" s="74"/>
      <c r="JKE2" s="74"/>
      <c r="JKF2" s="74"/>
      <c r="JKG2" s="74"/>
      <c r="JKH2" s="74"/>
      <c r="JKI2" s="74"/>
      <c r="JKJ2" s="74"/>
      <c r="JKK2" s="74"/>
      <c r="JKL2" s="74"/>
      <c r="JKM2" s="74"/>
      <c r="JKN2" s="74"/>
      <c r="JKO2" s="74"/>
      <c r="JKP2" s="74"/>
      <c r="JKQ2" s="74"/>
      <c r="JKR2" s="74"/>
      <c r="JKS2" s="74"/>
      <c r="JKT2" s="74"/>
      <c r="JKU2" s="74"/>
      <c r="JKV2" s="74"/>
      <c r="JKW2" s="74"/>
      <c r="JKX2" s="74"/>
      <c r="JKY2" s="74"/>
      <c r="JKZ2" s="74"/>
      <c r="JLA2" s="74"/>
      <c r="JLB2" s="74"/>
      <c r="JLC2" s="74"/>
      <c r="JLD2" s="74"/>
      <c r="JLE2" s="74"/>
      <c r="JLF2" s="74"/>
      <c r="JLG2" s="74"/>
      <c r="JLH2" s="74"/>
      <c r="JLI2" s="74"/>
      <c r="JLJ2" s="74"/>
      <c r="JLK2" s="74"/>
      <c r="JLL2" s="74"/>
      <c r="JLM2" s="74"/>
      <c r="JLN2" s="74"/>
      <c r="JLO2" s="74"/>
      <c r="JLP2" s="74"/>
      <c r="JLQ2" s="74"/>
      <c r="JLR2" s="74"/>
      <c r="JLS2" s="74"/>
      <c r="JLT2" s="74"/>
      <c r="JLU2" s="74"/>
      <c r="JLV2" s="74"/>
      <c r="JLW2" s="74"/>
      <c r="JLX2" s="74"/>
      <c r="JLY2" s="74"/>
      <c r="JLZ2" s="74"/>
      <c r="JMA2" s="74"/>
      <c r="JMB2" s="74"/>
      <c r="JMC2" s="74"/>
      <c r="JMD2" s="74"/>
      <c r="JME2" s="74"/>
      <c r="JMF2" s="74"/>
      <c r="JMG2" s="74"/>
      <c r="JMH2" s="74"/>
      <c r="JMI2" s="74"/>
      <c r="JMJ2" s="74"/>
      <c r="JMK2" s="74"/>
      <c r="JML2" s="74"/>
      <c r="JMM2" s="74"/>
      <c r="JMN2" s="74"/>
      <c r="JMO2" s="74"/>
      <c r="JMP2" s="74"/>
      <c r="JMQ2" s="74"/>
      <c r="JMR2" s="74"/>
      <c r="JMS2" s="74"/>
      <c r="JMT2" s="74"/>
      <c r="JMU2" s="74"/>
      <c r="JMV2" s="74"/>
      <c r="JMW2" s="74"/>
      <c r="JMX2" s="74"/>
      <c r="JMY2" s="74"/>
      <c r="JMZ2" s="74"/>
      <c r="JNA2" s="74"/>
      <c r="JNB2" s="74"/>
      <c r="JNC2" s="74"/>
      <c r="JND2" s="74"/>
      <c r="JNE2" s="74"/>
      <c r="JNF2" s="74"/>
      <c r="JNG2" s="74"/>
      <c r="JNH2" s="74"/>
      <c r="JNI2" s="74"/>
      <c r="JNJ2" s="74"/>
      <c r="JNK2" s="74"/>
      <c r="JNL2" s="74"/>
      <c r="JNM2" s="74"/>
      <c r="JNN2" s="74"/>
      <c r="JNO2" s="74"/>
      <c r="JNP2" s="74"/>
      <c r="JNQ2" s="74"/>
      <c r="JNR2" s="74"/>
      <c r="JNS2" s="74"/>
      <c r="JNT2" s="74"/>
      <c r="JNU2" s="74"/>
      <c r="JNV2" s="74"/>
      <c r="JNW2" s="74"/>
      <c r="JNX2" s="74"/>
      <c r="JNY2" s="74"/>
      <c r="JNZ2" s="74"/>
      <c r="JOA2" s="74"/>
      <c r="JOB2" s="74"/>
      <c r="JOC2" s="74"/>
      <c r="JOD2" s="74"/>
      <c r="JOE2" s="74"/>
      <c r="JOF2" s="74"/>
      <c r="JOG2" s="74"/>
      <c r="JOH2" s="74"/>
      <c r="JOI2" s="74"/>
      <c r="JOJ2" s="74"/>
      <c r="JOK2" s="74"/>
      <c r="JOL2" s="74"/>
      <c r="JOM2" s="74"/>
      <c r="JON2" s="74"/>
      <c r="JOO2" s="74"/>
      <c r="JOP2" s="74"/>
      <c r="JOQ2" s="74"/>
      <c r="JOR2" s="74"/>
      <c r="JOS2" s="74"/>
      <c r="JOT2" s="74"/>
      <c r="JOU2" s="74"/>
      <c r="JOV2" s="74"/>
      <c r="JOW2" s="74"/>
      <c r="JOX2" s="74"/>
      <c r="JOY2" s="74"/>
      <c r="JOZ2" s="74"/>
      <c r="JPA2" s="74"/>
      <c r="JPB2" s="74"/>
      <c r="JPC2" s="74"/>
      <c r="JPD2" s="74"/>
      <c r="JPE2" s="74"/>
      <c r="JPF2" s="74"/>
      <c r="JPG2" s="74"/>
      <c r="JPH2" s="74"/>
      <c r="JPI2" s="74"/>
      <c r="JPJ2" s="74"/>
      <c r="JPK2" s="74"/>
      <c r="JPL2" s="74"/>
      <c r="JPM2" s="74"/>
      <c r="JPN2" s="74"/>
      <c r="JPO2" s="74"/>
      <c r="JPP2" s="74"/>
      <c r="JPQ2" s="74"/>
      <c r="JPR2" s="74"/>
      <c r="JPS2" s="74"/>
      <c r="JPT2" s="74"/>
      <c r="JPU2" s="74"/>
      <c r="JPV2" s="74"/>
      <c r="JPW2" s="74"/>
      <c r="JPX2" s="74"/>
      <c r="JPY2" s="74"/>
      <c r="JPZ2" s="74"/>
      <c r="JQA2" s="74"/>
      <c r="JQB2" s="74"/>
      <c r="JQC2" s="74"/>
      <c r="JQD2" s="74"/>
      <c r="JQE2" s="74"/>
      <c r="JQF2" s="74"/>
      <c r="JQG2" s="74"/>
      <c r="JQH2" s="74"/>
      <c r="JQI2" s="74"/>
      <c r="JQJ2" s="74"/>
      <c r="JQK2" s="74"/>
      <c r="JQL2" s="74"/>
      <c r="JQM2" s="74"/>
      <c r="JQN2" s="74"/>
      <c r="JQO2" s="74"/>
      <c r="JQP2" s="74"/>
      <c r="JQQ2" s="74"/>
      <c r="JQR2" s="74"/>
      <c r="JQS2" s="74"/>
      <c r="JQT2" s="74"/>
      <c r="JQU2" s="74"/>
      <c r="JQV2" s="74"/>
      <c r="JQW2" s="74"/>
      <c r="JQX2" s="74"/>
      <c r="JQY2" s="74"/>
      <c r="JQZ2" s="74"/>
      <c r="JRA2" s="74"/>
      <c r="JRB2" s="74"/>
      <c r="JRC2" s="74"/>
      <c r="JRD2" s="74"/>
      <c r="JRE2" s="74"/>
      <c r="JRF2" s="74"/>
      <c r="JRG2" s="74"/>
      <c r="JRH2" s="74"/>
      <c r="JRI2" s="74"/>
      <c r="JRJ2" s="74"/>
      <c r="JRK2" s="74"/>
      <c r="JRL2" s="74"/>
      <c r="JRM2" s="74"/>
      <c r="JRN2" s="74"/>
      <c r="JRO2" s="74"/>
      <c r="JRP2" s="74"/>
      <c r="JRQ2" s="74"/>
      <c r="JRR2" s="74"/>
      <c r="JRS2" s="74"/>
      <c r="JRT2" s="74"/>
      <c r="JRU2" s="74"/>
      <c r="JRV2" s="74"/>
      <c r="JRW2" s="74"/>
      <c r="JRX2" s="74"/>
      <c r="JRY2" s="74"/>
      <c r="JRZ2" s="74"/>
      <c r="JSA2" s="74"/>
      <c r="JSB2" s="74"/>
      <c r="JSC2" s="74"/>
      <c r="JSD2" s="74"/>
      <c r="JSE2" s="74"/>
      <c r="JSF2" s="74"/>
      <c r="JSG2" s="74"/>
      <c r="JSH2" s="74"/>
      <c r="JSI2" s="74"/>
      <c r="JSJ2" s="74"/>
      <c r="JSK2" s="74"/>
      <c r="JSL2" s="74"/>
      <c r="JSM2" s="74"/>
      <c r="JSN2" s="74"/>
      <c r="JSO2" s="74"/>
      <c r="JSP2" s="74"/>
      <c r="JSQ2" s="74"/>
      <c r="JSR2" s="74"/>
      <c r="JSS2" s="74"/>
      <c r="JST2" s="74"/>
      <c r="JSU2" s="74"/>
      <c r="JSV2" s="74"/>
      <c r="JSW2" s="74"/>
      <c r="JSX2" s="74"/>
      <c r="JSY2" s="74"/>
      <c r="JSZ2" s="74"/>
      <c r="JTA2" s="74"/>
      <c r="JTB2" s="74"/>
      <c r="JTC2" s="74"/>
      <c r="JTD2" s="74"/>
      <c r="JTE2" s="74"/>
      <c r="JTF2" s="74"/>
      <c r="JTG2" s="74"/>
      <c r="JTH2" s="74"/>
      <c r="JTI2" s="74"/>
      <c r="JTJ2" s="74"/>
      <c r="JTK2" s="74"/>
      <c r="JTL2" s="74"/>
      <c r="JTM2" s="74"/>
      <c r="JTN2" s="74"/>
      <c r="JTO2" s="74"/>
      <c r="JTP2" s="74"/>
      <c r="JTQ2" s="74"/>
      <c r="JTR2" s="74"/>
      <c r="JTS2" s="74"/>
      <c r="JTT2" s="74"/>
      <c r="JTU2" s="74"/>
      <c r="JTV2" s="74"/>
      <c r="JTW2" s="74"/>
      <c r="JTX2" s="74"/>
      <c r="JTY2" s="74"/>
      <c r="JTZ2" s="74"/>
      <c r="JUA2" s="74"/>
      <c r="JUB2" s="74"/>
      <c r="JUC2" s="74"/>
      <c r="JUD2" s="74"/>
      <c r="JUE2" s="74"/>
      <c r="JUF2" s="74"/>
      <c r="JUG2" s="74"/>
      <c r="JUH2" s="74"/>
      <c r="JUI2" s="74"/>
      <c r="JUJ2" s="74"/>
      <c r="JUK2" s="74"/>
      <c r="JUL2" s="74"/>
      <c r="JUM2" s="74"/>
      <c r="JUN2" s="74"/>
      <c r="JUO2" s="74"/>
      <c r="JUP2" s="74"/>
      <c r="JUQ2" s="74"/>
      <c r="JUR2" s="74"/>
      <c r="JUS2" s="74"/>
      <c r="JUT2" s="74"/>
      <c r="JUU2" s="74"/>
      <c r="JUV2" s="74"/>
      <c r="JUW2" s="74"/>
      <c r="JUX2" s="74"/>
      <c r="JUY2" s="74"/>
      <c r="JUZ2" s="74"/>
      <c r="JVA2" s="74"/>
      <c r="JVB2" s="74"/>
      <c r="JVC2" s="74"/>
      <c r="JVD2" s="74"/>
      <c r="JVE2" s="74"/>
      <c r="JVF2" s="74"/>
      <c r="JVG2" s="74"/>
      <c r="JVH2" s="74"/>
      <c r="JVI2" s="74"/>
      <c r="JVJ2" s="74"/>
      <c r="JVK2" s="74"/>
      <c r="JVL2" s="74"/>
      <c r="JVM2" s="74"/>
      <c r="JVN2" s="74"/>
      <c r="JVO2" s="74"/>
      <c r="JVP2" s="74"/>
      <c r="JVQ2" s="74"/>
      <c r="JVR2" s="74"/>
      <c r="JVS2" s="74"/>
      <c r="JVT2" s="74"/>
      <c r="JVU2" s="74"/>
      <c r="JVV2" s="74"/>
      <c r="JVW2" s="74"/>
      <c r="JVX2" s="74"/>
      <c r="JVY2" s="74"/>
      <c r="JVZ2" s="74"/>
      <c r="JWA2" s="74"/>
      <c r="JWB2" s="74"/>
      <c r="JWC2" s="74"/>
      <c r="JWD2" s="74"/>
      <c r="JWE2" s="74"/>
      <c r="JWF2" s="74"/>
      <c r="JWG2" s="74"/>
      <c r="JWH2" s="74"/>
      <c r="JWI2" s="74"/>
      <c r="JWJ2" s="74"/>
      <c r="JWK2" s="74"/>
      <c r="JWL2" s="74"/>
      <c r="JWM2" s="74"/>
      <c r="JWN2" s="74"/>
      <c r="JWO2" s="74"/>
      <c r="JWP2" s="74"/>
      <c r="JWQ2" s="74"/>
      <c r="JWR2" s="74"/>
      <c r="JWS2" s="74"/>
      <c r="JWT2" s="74"/>
      <c r="JWU2" s="74"/>
      <c r="JWV2" s="74"/>
      <c r="JWW2" s="74"/>
      <c r="JWX2" s="74"/>
      <c r="JWY2" s="74"/>
      <c r="JWZ2" s="74"/>
      <c r="JXA2" s="74"/>
      <c r="JXB2" s="74"/>
      <c r="JXC2" s="74"/>
      <c r="JXD2" s="74"/>
      <c r="JXE2" s="74"/>
      <c r="JXF2" s="74"/>
      <c r="JXG2" s="74"/>
      <c r="JXH2" s="74"/>
      <c r="JXI2" s="74"/>
      <c r="JXJ2" s="74"/>
      <c r="JXK2" s="74"/>
      <c r="JXL2" s="74"/>
      <c r="JXM2" s="74"/>
      <c r="JXN2" s="74"/>
      <c r="JXO2" s="74"/>
      <c r="JXP2" s="74"/>
      <c r="JXQ2" s="74"/>
      <c r="JXR2" s="74"/>
      <c r="JXS2" s="74"/>
      <c r="JXT2" s="74"/>
      <c r="JXU2" s="74"/>
      <c r="JXV2" s="74"/>
      <c r="JXW2" s="74"/>
      <c r="JXX2" s="74"/>
      <c r="JXY2" s="74"/>
      <c r="JXZ2" s="74"/>
      <c r="JYA2" s="74"/>
      <c r="JYB2" s="74"/>
      <c r="JYC2" s="74"/>
      <c r="JYD2" s="74"/>
      <c r="JYE2" s="74"/>
      <c r="JYF2" s="74"/>
      <c r="JYG2" s="74"/>
      <c r="JYH2" s="74"/>
      <c r="JYI2" s="74"/>
      <c r="JYJ2" s="74"/>
      <c r="JYK2" s="74"/>
      <c r="JYL2" s="74"/>
      <c r="JYM2" s="74"/>
      <c r="JYN2" s="74"/>
      <c r="JYO2" s="74"/>
      <c r="JYP2" s="74"/>
      <c r="JYQ2" s="74"/>
      <c r="JYR2" s="74"/>
      <c r="JYS2" s="74"/>
      <c r="JYT2" s="74"/>
      <c r="JYU2" s="74"/>
      <c r="JYV2" s="74"/>
      <c r="JYW2" s="74"/>
      <c r="JYX2" s="74"/>
      <c r="JYY2" s="74"/>
      <c r="JYZ2" s="74"/>
      <c r="JZA2" s="74"/>
      <c r="JZB2" s="74"/>
      <c r="JZC2" s="74"/>
      <c r="JZD2" s="74"/>
      <c r="JZE2" s="74"/>
      <c r="JZF2" s="74"/>
      <c r="JZG2" s="74"/>
      <c r="JZH2" s="74"/>
      <c r="JZI2" s="74"/>
      <c r="JZJ2" s="74"/>
      <c r="JZK2" s="74"/>
      <c r="JZL2" s="74"/>
      <c r="JZM2" s="74"/>
      <c r="JZN2" s="74"/>
      <c r="JZO2" s="74"/>
      <c r="JZP2" s="74"/>
      <c r="JZQ2" s="74"/>
      <c r="JZR2" s="74"/>
      <c r="JZS2" s="74"/>
      <c r="JZT2" s="74"/>
      <c r="JZU2" s="74"/>
      <c r="JZV2" s="74"/>
      <c r="JZW2" s="74"/>
      <c r="JZX2" s="74"/>
      <c r="JZY2" s="74"/>
      <c r="JZZ2" s="74"/>
      <c r="KAA2" s="74"/>
      <c r="KAB2" s="74"/>
      <c r="KAC2" s="74"/>
      <c r="KAD2" s="74"/>
      <c r="KAE2" s="74"/>
      <c r="KAF2" s="74"/>
      <c r="KAG2" s="74"/>
      <c r="KAH2" s="74"/>
      <c r="KAI2" s="74"/>
      <c r="KAJ2" s="74"/>
      <c r="KAK2" s="74"/>
      <c r="KAL2" s="74"/>
      <c r="KAM2" s="74"/>
      <c r="KAN2" s="74"/>
      <c r="KAO2" s="74"/>
      <c r="KAP2" s="74"/>
      <c r="KAQ2" s="74"/>
      <c r="KAR2" s="74"/>
      <c r="KAS2" s="74"/>
      <c r="KAT2" s="74"/>
      <c r="KAU2" s="74"/>
      <c r="KAV2" s="74"/>
      <c r="KAW2" s="74"/>
      <c r="KAX2" s="74"/>
      <c r="KAY2" s="74"/>
      <c r="KAZ2" s="74"/>
      <c r="KBA2" s="74"/>
      <c r="KBB2" s="74"/>
      <c r="KBC2" s="74"/>
      <c r="KBD2" s="74"/>
      <c r="KBE2" s="74"/>
      <c r="KBF2" s="74"/>
      <c r="KBG2" s="74"/>
      <c r="KBH2" s="74"/>
      <c r="KBI2" s="74"/>
      <c r="KBJ2" s="74"/>
      <c r="KBK2" s="74"/>
      <c r="KBL2" s="74"/>
      <c r="KBM2" s="74"/>
      <c r="KBN2" s="74"/>
      <c r="KBO2" s="74"/>
      <c r="KBP2" s="74"/>
      <c r="KBQ2" s="74"/>
      <c r="KBR2" s="74"/>
      <c r="KBS2" s="74"/>
      <c r="KBT2" s="74"/>
      <c r="KBU2" s="74"/>
      <c r="KBV2" s="74"/>
      <c r="KBW2" s="74"/>
      <c r="KBX2" s="74"/>
      <c r="KBY2" s="74"/>
      <c r="KBZ2" s="74"/>
      <c r="KCA2" s="74"/>
      <c r="KCB2" s="74"/>
      <c r="KCC2" s="74"/>
      <c r="KCD2" s="74"/>
      <c r="KCE2" s="74"/>
      <c r="KCF2" s="74"/>
      <c r="KCG2" s="74"/>
      <c r="KCH2" s="74"/>
      <c r="KCI2" s="74"/>
      <c r="KCJ2" s="74"/>
      <c r="KCK2" s="74"/>
      <c r="KCL2" s="74"/>
      <c r="KCM2" s="74"/>
      <c r="KCN2" s="74"/>
      <c r="KCO2" s="74"/>
      <c r="KCP2" s="74"/>
      <c r="KCQ2" s="74"/>
      <c r="KCR2" s="74"/>
      <c r="KCS2" s="74"/>
      <c r="KCT2" s="74"/>
      <c r="KCU2" s="74"/>
      <c r="KCV2" s="74"/>
      <c r="KCW2" s="74"/>
      <c r="KCX2" s="74"/>
      <c r="KCY2" s="74"/>
      <c r="KCZ2" s="74"/>
      <c r="KDA2" s="74"/>
      <c r="KDB2" s="74"/>
      <c r="KDC2" s="74"/>
      <c r="KDD2" s="74"/>
      <c r="KDE2" s="74"/>
      <c r="KDF2" s="74"/>
      <c r="KDG2" s="74"/>
      <c r="KDH2" s="74"/>
      <c r="KDI2" s="74"/>
      <c r="KDJ2" s="74"/>
      <c r="KDK2" s="74"/>
      <c r="KDL2" s="74"/>
      <c r="KDM2" s="74"/>
      <c r="KDN2" s="74"/>
      <c r="KDO2" s="74"/>
      <c r="KDP2" s="74"/>
      <c r="KDQ2" s="74"/>
      <c r="KDR2" s="74"/>
      <c r="KDS2" s="74"/>
      <c r="KDT2" s="74"/>
      <c r="KDU2" s="74"/>
      <c r="KDV2" s="74"/>
      <c r="KDW2" s="74"/>
      <c r="KDX2" s="74"/>
      <c r="KDY2" s="74"/>
      <c r="KDZ2" s="74"/>
      <c r="KEA2" s="74"/>
      <c r="KEB2" s="74"/>
      <c r="KEC2" s="74"/>
      <c r="KED2" s="74"/>
      <c r="KEE2" s="74"/>
      <c r="KEF2" s="74"/>
      <c r="KEG2" s="74"/>
      <c r="KEH2" s="74"/>
      <c r="KEI2" s="74"/>
      <c r="KEJ2" s="74"/>
      <c r="KEK2" s="74"/>
      <c r="KEL2" s="74"/>
      <c r="KEM2" s="74"/>
      <c r="KEN2" s="74"/>
      <c r="KEO2" s="74"/>
      <c r="KEP2" s="74"/>
      <c r="KEQ2" s="74"/>
      <c r="KER2" s="74"/>
      <c r="KES2" s="74"/>
      <c r="KET2" s="74"/>
      <c r="KEU2" s="74"/>
      <c r="KEV2" s="74"/>
      <c r="KEW2" s="74"/>
      <c r="KEX2" s="74"/>
      <c r="KEY2" s="74"/>
      <c r="KEZ2" s="74"/>
      <c r="KFA2" s="74"/>
      <c r="KFB2" s="74"/>
      <c r="KFC2" s="74"/>
      <c r="KFD2" s="74"/>
      <c r="KFE2" s="74"/>
      <c r="KFF2" s="74"/>
      <c r="KFG2" s="74"/>
      <c r="KFH2" s="74"/>
      <c r="KFI2" s="74"/>
      <c r="KFJ2" s="74"/>
      <c r="KFK2" s="74"/>
      <c r="KFL2" s="74"/>
      <c r="KFM2" s="74"/>
      <c r="KFN2" s="74"/>
      <c r="KFO2" s="74"/>
      <c r="KFP2" s="74"/>
      <c r="KFQ2" s="74"/>
      <c r="KFR2" s="74"/>
      <c r="KFS2" s="74"/>
      <c r="KFT2" s="74"/>
      <c r="KFU2" s="74"/>
      <c r="KFV2" s="74"/>
      <c r="KFW2" s="74"/>
      <c r="KFX2" s="74"/>
      <c r="KFY2" s="74"/>
      <c r="KFZ2" s="74"/>
      <c r="KGA2" s="74"/>
      <c r="KGB2" s="74"/>
      <c r="KGC2" s="74"/>
      <c r="KGD2" s="74"/>
      <c r="KGE2" s="74"/>
      <c r="KGF2" s="74"/>
      <c r="KGG2" s="74"/>
      <c r="KGH2" s="74"/>
      <c r="KGI2" s="74"/>
      <c r="KGJ2" s="74"/>
      <c r="KGK2" s="74"/>
      <c r="KGL2" s="74"/>
      <c r="KGM2" s="74"/>
      <c r="KGN2" s="74"/>
      <c r="KGO2" s="74"/>
      <c r="KGP2" s="74"/>
      <c r="KGQ2" s="74"/>
      <c r="KGR2" s="74"/>
      <c r="KGS2" s="74"/>
      <c r="KGT2" s="74"/>
      <c r="KGU2" s="74"/>
      <c r="KGV2" s="74"/>
      <c r="KGW2" s="74"/>
      <c r="KGX2" s="74"/>
      <c r="KGY2" s="74"/>
      <c r="KGZ2" s="74"/>
      <c r="KHA2" s="74"/>
      <c r="KHB2" s="74"/>
      <c r="KHC2" s="74"/>
      <c r="KHD2" s="74"/>
      <c r="KHE2" s="74"/>
      <c r="KHF2" s="74"/>
      <c r="KHG2" s="74"/>
      <c r="KHH2" s="74"/>
      <c r="KHI2" s="74"/>
      <c r="KHJ2" s="74"/>
      <c r="KHK2" s="74"/>
      <c r="KHL2" s="74"/>
      <c r="KHM2" s="74"/>
      <c r="KHN2" s="74"/>
      <c r="KHO2" s="74"/>
      <c r="KHP2" s="74"/>
      <c r="KHQ2" s="74"/>
      <c r="KHR2" s="74"/>
      <c r="KHS2" s="74"/>
      <c r="KHT2" s="74"/>
      <c r="KHU2" s="74"/>
      <c r="KHV2" s="74"/>
      <c r="KHW2" s="74"/>
      <c r="KHX2" s="74"/>
      <c r="KHY2" s="74"/>
      <c r="KHZ2" s="74"/>
      <c r="KIA2" s="74"/>
      <c r="KIB2" s="74"/>
      <c r="KIC2" s="74"/>
      <c r="KID2" s="74"/>
      <c r="KIE2" s="74"/>
      <c r="KIF2" s="74"/>
      <c r="KIG2" s="74"/>
      <c r="KIH2" s="74"/>
      <c r="KII2" s="74"/>
      <c r="KIJ2" s="74"/>
      <c r="KIK2" s="74"/>
      <c r="KIL2" s="74"/>
      <c r="KIM2" s="74"/>
      <c r="KIN2" s="74"/>
      <c r="KIO2" s="74"/>
      <c r="KIP2" s="74"/>
      <c r="KIQ2" s="74"/>
      <c r="KIR2" s="74"/>
      <c r="KIS2" s="74"/>
      <c r="KIT2" s="74"/>
      <c r="KIU2" s="74"/>
      <c r="KIV2" s="74"/>
      <c r="KIW2" s="74"/>
      <c r="KIX2" s="74"/>
      <c r="KIY2" s="74"/>
      <c r="KIZ2" s="74"/>
      <c r="KJA2" s="74"/>
      <c r="KJB2" s="74"/>
      <c r="KJC2" s="74"/>
      <c r="KJD2" s="74"/>
      <c r="KJE2" s="74"/>
      <c r="KJF2" s="74"/>
      <c r="KJG2" s="74"/>
      <c r="KJH2" s="74"/>
      <c r="KJI2" s="74"/>
      <c r="KJJ2" s="74"/>
      <c r="KJK2" s="74"/>
      <c r="KJL2" s="74"/>
      <c r="KJM2" s="74"/>
      <c r="KJN2" s="74"/>
      <c r="KJO2" s="74"/>
      <c r="KJP2" s="74"/>
      <c r="KJQ2" s="74"/>
      <c r="KJR2" s="74"/>
      <c r="KJS2" s="74"/>
      <c r="KJT2" s="74"/>
      <c r="KJU2" s="74"/>
      <c r="KJV2" s="74"/>
      <c r="KJW2" s="74"/>
      <c r="KJX2" s="74"/>
      <c r="KJY2" s="74"/>
      <c r="KJZ2" s="74"/>
      <c r="KKA2" s="74"/>
      <c r="KKB2" s="74"/>
      <c r="KKC2" s="74"/>
      <c r="KKD2" s="74"/>
      <c r="KKE2" s="74"/>
      <c r="KKF2" s="74"/>
      <c r="KKG2" s="74"/>
      <c r="KKH2" s="74"/>
      <c r="KKI2" s="74"/>
      <c r="KKJ2" s="74"/>
      <c r="KKK2" s="74"/>
      <c r="KKL2" s="74"/>
      <c r="KKM2" s="74"/>
      <c r="KKN2" s="74"/>
      <c r="KKO2" s="74"/>
      <c r="KKP2" s="74"/>
      <c r="KKQ2" s="74"/>
      <c r="KKR2" s="74"/>
      <c r="KKS2" s="74"/>
      <c r="KKT2" s="74"/>
      <c r="KKU2" s="74"/>
      <c r="KKV2" s="74"/>
      <c r="KKW2" s="74"/>
      <c r="KKX2" s="74"/>
      <c r="KKY2" s="74"/>
      <c r="KKZ2" s="74"/>
      <c r="KLA2" s="74"/>
      <c r="KLB2" s="74"/>
      <c r="KLC2" s="74"/>
      <c r="KLD2" s="74"/>
      <c r="KLE2" s="74"/>
      <c r="KLF2" s="74"/>
      <c r="KLG2" s="74"/>
      <c r="KLH2" s="74"/>
      <c r="KLI2" s="74"/>
      <c r="KLJ2" s="74"/>
      <c r="KLK2" s="74"/>
      <c r="KLL2" s="74"/>
      <c r="KLM2" s="74"/>
      <c r="KLN2" s="74"/>
      <c r="KLO2" s="74"/>
      <c r="KLP2" s="74"/>
      <c r="KLQ2" s="74"/>
      <c r="KLR2" s="74"/>
      <c r="KLS2" s="74"/>
      <c r="KLT2" s="74"/>
      <c r="KLU2" s="74"/>
      <c r="KLV2" s="74"/>
      <c r="KLW2" s="74"/>
      <c r="KLX2" s="74"/>
      <c r="KLY2" s="74"/>
      <c r="KLZ2" s="74"/>
      <c r="KMA2" s="74"/>
      <c r="KMB2" s="74"/>
      <c r="KMC2" s="74"/>
      <c r="KMD2" s="74"/>
      <c r="KME2" s="74"/>
      <c r="KMF2" s="74"/>
      <c r="KMG2" s="74"/>
      <c r="KMH2" s="74"/>
      <c r="KMI2" s="74"/>
      <c r="KMJ2" s="74"/>
      <c r="KMK2" s="74"/>
      <c r="KML2" s="74"/>
      <c r="KMM2" s="74"/>
      <c r="KMN2" s="74"/>
      <c r="KMO2" s="74"/>
      <c r="KMP2" s="74"/>
      <c r="KMQ2" s="74"/>
      <c r="KMR2" s="74"/>
      <c r="KMS2" s="74"/>
      <c r="KMT2" s="74"/>
      <c r="KMU2" s="74"/>
      <c r="KMV2" s="74"/>
      <c r="KMW2" s="74"/>
      <c r="KMX2" s="74"/>
      <c r="KMY2" s="74"/>
      <c r="KMZ2" s="74"/>
      <c r="KNA2" s="74"/>
      <c r="KNB2" s="74"/>
      <c r="KNC2" s="74"/>
      <c r="KND2" s="74"/>
      <c r="KNE2" s="74"/>
      <c r="KNF2" s="74"/>
      <c r="KNG2" s="74"/>
      <c r="KNH2" s="74"/>
      <c r="KNI2" s="74"/>
      <c r="KNJ2" s="74"/>
      <c r="KNK2" s="74"/>
      <c r="KNL2" s="74"/>
      <c r="KNM2" s="74"/>
      <c r="KNN2" s="74"/>
      <c r="KNO2" s="74"/>
      <c r="KNP2" s="74"/>
      <c r="KNQ2" s="74"/>
      <c r="KNR2" s="74"/>
      <c r="KNS2" s="74"/>
      <c r="KNT2" s="74"/>
      <c r="KNU2" s="74"/>
      <c r="KNV2" s="74"/>
      <c r="KNW2" s="74"/>
      <c r="KNX2" s="74"/>
      <c r="KNY2" s="74"/>
      <c r="KNZ2" s="74"/>
      <c r="KOA2" s="74"/>
      <c r="KOB2" s="74"/>
      <c r="KOC2" s="74"/>
      <c r="KOD2" s="74"/>
      <c r="KOE2" s="74"/>
      <c r="KOF2" s="74"/>
      <c r="KOG2" s="74"/>
      <c r="KOH2" s="74"/>
      <c r="KOI2" s="74"/>
      <c r="KOJ2" s="74"/>
      <c r="KOK2" s="74"/>
      <c r="KOL2" s="74"/>
      <c r="KOM2" s="74"/>
      <c r="KON2" s="74"/>
      <c r="KOO2" s="74"/>
      <c r="KOP2" s="74"/>
      <c r="KOQ2" s="74"/>
      <c r="KOR2" s="74"/>
      <c r="KOS2" s="74"/>
      <c r="KOT2" s="74"/>
      <c r="KOU2" s="74"/>
      <c r="KOV2" s="74"/>
      <c r="KOW2" s="74"/>
      <c r="KOX2" s="74"/>
      <c r="KOY2" s="74"/>
      <c r="KOZ2" s="74"/>
      <c r="KPA2" s="74"/>
      <c r="KPB2" s="74"/>
      <c r="KPC2" s="74"/>
      <c r="KPD2" s="74"/>
      <c r="KPE2" s="74"/>
      <c r="KPF2" s="74"/>
      <c r="KPG2" s="74"/>
      <c r="KPH2" s="74"/>
      <c r="KPI2" s="74"/>
      <c r="KPJ2" s="74"/>
      <c r="KPK2" s="74"/>
      <c r="KPL2" s="74"/>
      <c r="KPM2" s="74"/>
      <c r="KPN2" s="74"/>
      <c r="KPO2" s="74"/>
      <c r="KPP2" s="74"/>
      <c r="KPQ2" s="74"/>
      <c r="KPR2" s="74"/>
      <c r="KPS2" s="74"/>
      <c r="KPT2" s="74"/>
      <c r="KPU2" s="74"/>
      <c r="KPV2" s="74"/>
      <c r="KPW2" s="74"/>
      <c r="KPX2" s="74"/>
      <c r="KPY2" s="74"/>
      <c r="KPZ2" s="74"/>
      <c r="KQA2" s="74"/>
      <c r="KQB2" s="74"/>
      <c r="KQC2" s="74"/>
      <c r="KQD2" s="74"/>
      <c r="KQE2" s="74"/>
      <c r="KQF2" s="74"/>
      <c r="KQG2" s="74"/>
      <c r="KQH2" s="74"/>
      <c r="KQI2" s="74"/>
      <c r="KQJ2" s="74"/>
      <c r="KQK2" s="74"/>
      <c r="KQL2" s="74"/>
      <c r="KQM2" s="74"/>
      <c r="KQN2" s="74"/>
      <c r="KQO2" s="74"/>
      <c r="KQP2" s="74"/>
      <c r="KQQ2" s="74"/>
      <c r="KQR2" s="74"/>
      <c r="KQS2" s="74"/>
      <c r="KQT2" s="74"/>
      <c r="KQU2" s="74"/>
      <c r="KQV2" s="74"/>
      <c r="KQW2" s="74"/>
      <c r="KQX2" s="74"/>
      <c r="KQY2" s="74"/>
      <c r="KQZ2" s="74"/>
      <c r="KRA2" s="74"/>
      <c r="KRB2" s="74"/>
      <c r="KRC2" s="74"/>
      <c r="KRD2" s="74"/>
      <c r="KRE2" s="74"/>
      <c r="KRF2" s="74"/>
      <c r="KRG2" s="74"/>
      <c r="KRH2" s="74"/>
      <c r="KRI2" s="74"/>
      <c r="KRJ2" s="74"/>
      <c r="KRK2" s="74"/>
      <c r="KRL2" s="74"/>
      <c r="KRM2" s="74"/>
      <c r="KRN2" s="74"/>
      <c r="KRO2" s="74"/>
      <c r="KRP2" s="74"/>
      <c r="KRQ2" s="74"/>
      <c r="KRR2" s="74"/>
      <c r="KRS2" s="74"/>
      <c r="KRT2" s="74"/>
      <c r="KRU2" s="74"/>
      <c r="KRV2" s="74"/>
      <c r="KRW2" s="74"/>
      <c r="KRX2" s="74"/>
      <c r="KRY2" s="74"/>
      <c r="KRZ2" s="74"/>
      <c r="KSA2" s="74"/>
      <c r="KSB2" s="74"/>
      <c r="KSC2" s="74"/>
      <c r="KSD2" s="74"/>
      <c r="KSE2" s="74"/>
      <c r="KSF2" s="74"/>
      <c r="KSG2" s="74"/>
      <c r="KSH2" s="74"/>
      <c r="KSI2" s="74"/>
      <c r="KSJ2" s="74"/>
      <c r="KSK2" s="74"/>
      <c r="KSL2" s="74"/>
      <c r="KSM2" s="74"/>
      <c r="KSN2" s="74"/>
      <c r="KSO2" s="74"/>
      <c r="KSP2" s="74"/>
      <c r="KSQ2" s="74"/>
      <c r="KSR2" s="74"/>
      <c r="KSS2" s="74"/>
      <c r="KST2" s="74"/>
      <c r="KSU2" s="74"/>
      <c r="KSV2" s="74"/>
      <c r="KSW2" s="74"/>
      <c r="KSX2" s="74"/>
      <c r="KSY2" s="74"/>
      <c r="KSZ2" s="74"/>
      <c r="KTA2" s="74"/>
      <c r="KTB2" s="74"/>
      <c r="KTC2" s="74"/>
      <c r="KTD2" s="74"/>
      <c r="KTE2" s="74"/>
      <c r="KTF2" s="74"/>
      <c r="KTG2" s="74"/>
      <c r="KTH2" s="74"/>
      <c r="KTI2" s="74"/>
      <c r="KTJ2" s="74"/>
      <c r="KTK2" s="74"/>
      <c r="KTL2" s="74"/>
      <c r="KTM2" s="74"/>
      <c r="KTN2" s="74"/>
      <c r="KTO2" s="74"/>
      <c r="KTP2" s="74"/>
      <c r="KTQ2" s="74"/>
      <c r="KTR2" s="74"/>
      <c r="KTS2" s="74"/>
      <c r="KTT2" s="74"/>
      <c r="KTU2" s="74"/>
      <c r="KTV2" s="74"/>
      <c r="KTW2" s="74"/>
      <c r="KTX2" s="74"/>
      <c r="KTY2" s="74"/>
      <c r="KTZ2" s="74"/>
      <c r="KUA2" s="74"/>
      <c r="KUB2" s="74"/>
      <c r="KUC2" s="74"/>
      <c r="KUD2" s="74"/>
      <c r="KUE2" s="74"/>
      <c r="KUF2" s="74"/>
      <c r="KUG2" s="74"/>
      <c r="KUH2" s="74"/>
      <c r="KUI2" s="74"/>
      <c r="KUJ2" s="74"/>
      <c r="KUK2" s="74"/>
      <c r="KUL2" s="74"/>
      <c r="KUM2" s="74"/>
      <c r="KUN2" s="74"/>
      <c r="KUO2" s="74"/>
      <c r="KUP2" s="74"/>
      <c r="KUQ2" s="74"/>
      <c r="KUR2" s="74"/>
      <c r="KUS2" s="74"/>
      <c r="KUT2" s="74"/>
      <c r="KUU2" s="74"/>
      <c r="KUV2" s="74"/>
      <c r="KUW2" s="74"/>
      <c r="KUX2" s="74"/>
      <c r="KUY2" s="74"/>
      <c r="KUZ2" s="74"/>
      <c r="KVA2" s="74"/>
      <c r="KVB2" s="74"/>
      <c r="KVC2" s="74"/>
      <c r="KVD2" s="74"/>
      <c r="KVE2" s="74"/>
      <c r="KVF2" s="74"/>
      <c r="KVG2" s="74"/>
      <c r="KVH2" s="74"/>
      <c r="KVI2" s="74"/>
      <c r="KVJ2" s="74"/>
      <c r="KVK2" s="74"/>
      <c r="KVL2" s="74"/>
      <c r="KVM2" s="74"/>
      <c r="KVN2" s="74"/>
      <c r="KVO2" s="74"/>
      <c r="KVP2" s="74"/>
      <c r="KVQ2" s="74"/>
      <c r="KVR2" s="74"/>
      <c r="KVS2" s="74"/>
      <c r="KVT2" s="74"/>
      <c r="KVU2" s="74"/>
      <c r="KVV2" s="74"/>
      <c r="KVW2" s="74"/>
      <c r="KVX2" s="74"/>
      <c r="KVY2" s="74"/>
      <c r="KVZ2" s="74"/>
      <c r="KWA2" s="74"/>
      <c r="KWB2" s="74"/>
      <c r="KWC2" s="74"/>
      <c r="KWD2" s="74"/>
      <c r="KWE2" s="74"/>
      <c r="KWF2" s="74"/>
      <c r="KWG2" s="74"/>
      <c r="KWH2" s="74"/>
      <c r="KWI2" s="74"/>
      <c r="KWJ2" s="74"/>
      <c r="KWK2" s="74"/>
      <c r="KWL2" s="74"/>
      <c r="KWM2" s="74"/>
      <c r="KWN2" s="74"/>
      <c r="KWO2" s="74"/>
      <c r="KWP2" s="74"/>
      <c r="KWQ2" s="74"/>
      <c r="KWR2" s="74"/>
      <c r="KWS2" s="74"/>
      <c r="KWT2" s="74"/>
      <c r="KWU2" s="74"/>
      <c r="KWV2" s="74"/>
      <c r="KWW2" s="74"/>
      <c r="KWX2" s="74"/>
      <c r="KWY2" s="74"/>
      <c r="KWZ2" s="74"/>
      <c r="KXA2" s="74"/>
      <c r="KXB2" s="74"/>
      <c r="KXC2" s="74"/>
      <c r="KXD2" s="74"/>
      <c r="KXE2" s="74"/>
      <c r="KXF2" s="74"/>
      <c r="KXG2" s="74"/>
      <c r="KXH2" s="74"/>
      <c r="KXI2" s="74"/>
      <c r="KXJ2" s="74"/>
      <c r="KXK2" s="74"/>
      <c r="KXL2" s="74"/>
      <c r="KXM2" s="74"/>
      <c r="KXN2" s="74"/>
      <c r="KXO2" s="74"/>
      <c r="KXP2" s="74"/>
      <c r="KXQ2" s="74"/>
      <c r="KXR2" s="74"/>
      <c r="KXS2" s="74"/>
      <c r="KXT2" s="74"/>
      <c r="KXU2" s="74"/>
      <c r="KXV2" s="74"/>
      <c r="KXW2" s="74"/>
      <c r="KXX2" s="74"/>
      <c r="KXY2" s="74"/>
      <c r="KXZ2" s="74"/>
      <c r="KYA2" s="74"/>
      <c r="KYB2" s="74"/>
      <c r="KYC2" s="74"/>
      <c r="KYD2" s="74"/>
      <c r="KYE2" s="74"/>
      <c r="KYF2" s="74"/>
      <c r="KYG2" s="74"/>
      <c r="KYH2" s="74"/>
      <c r="KYI2" s="74"/>
      <c r="KYJ2" s="74"/>
      <c r="KYK2" s="74"/>
      <c r="KYL2" s="74"/>
      <c r="KYM2" s="74"/>
      <c r="KYN2" s="74"/>
      <c r="KYO2" s="74"/>
      <c r="KYP2" s="74"/>
      <c r="KYQ2" s="74"/>
      <c r="KYR2" s="74"/>
      <c r="KYS2" s="74"/>
      <c r="KYT2" s="74"/>
      <c r="KYU2" s="74"/>
      <c r="KYV2" s="74"/>
      <c r="KYW2" s="74"/>
      <c r="KYX2" s="74"/>
      <c r="KYY2" s="74"/>
      <c r="KYZ2" s="74"/>
      <c r="KZA2" s="74"/>
      <c r="KZB2" s="74"/>
      <c r="KZC2" s="74"/>
      <c r="KZD2" s="74"/>
      <c r="KZE2" s="74"/>
      <c r="KZF2" s="74"/>
      <c r="KZG2" s="74"/>
      <c r="KZH2" s="74"/>
      <c r="KZI2" s="74"/>
      <c r="KZJ2" s="74"/>
      <c r="KZK2" s="74"/>
      <c r="KZL2" s="74"/>
      <c r="KZM2" s="74"/>
      <c r="KZN2" s="74"/>
      <c r="KZO2" s="74"/>
      <c r="KZP2" s="74"/>
      <c r="KZQ2" s="74"/>
      <c r="KZR2" s="74"/>
      <c r="KZS2" s="74"/>
      <c r="KZT2" s="74"/>
      <c r="KZU2" s="74"/>
      <c r="KZV2" s="74"/>
      <c r="KZW2" s="74"/>
      <c r="KZX2" s="74"/>
      <c r="KZY2" s="74"/>
      <c r="KZZ2" s="74"/>
      <c r="LAA2" s="74"/>
      <c r="LAB2" s="74"/>
      <c r="LAC2" s="74"/>
      <c r="LAD2" s="74"/>
      <c r="LAE2" s="74"/>
      <c r="LAF2" s="74"/>
      <c r="LAG2" s="74"/>
      <c r="LAH2" s="74"/>
      <c r="LAI2" s="74"/>
      <c r="LAJ2" s="74"/>
      <c r="LAK2" s="74"/>
      <c r="LAL2" s="74"/>
      <c r="LAM2" s="74"/>
      <c r="LAN2" s="74"/>
      <c r="LAO2" s="74"/>
      <c r="LAP2" s="74"/>
      <c r="LAQ2" s="74"/>
      <c r="LAR2" s="74"/>
      <c r="LAS2" s="74"/>
      <c r="LAT2" s="74"/>
      <c r="LAU2" s="74"/>
      <c r="LAV2" s="74"/>
      <c r="LAW2" s="74"/>
      <c r="LAX2" s="74"/>
      <c r="LAY2" s="74"/>
      <c r="LAZ2" s="74"/>
      <c r="LBA2" s="74"/>
      <c r="LBB2" s="74"/>
      <c r="LBC2" s="74"/>
      <c r="LBD2" s="74"/>
      <c r="LBE2" s="74"/>
      <c r="LBF2" s="74"/>
      <c r="LBG2" s="74"/>
      <c r="LBH2" s="74"/>
      <c r="LBI2" s="74"/>
      <c r="LBJ2" s="74"/>
      <c r="LBK2" s="74"/>
      <c r="LBL2" s="74"/>
      <c r="LBM2" s="74"/>
      <c r="LBN2" s="74"/>
      <c r="LBO2" s="74"/>
      <c r="LBP2" s="74"/>
      <c r="LBQ2" s="74"/>
      <c r="LBR2" s="74"/>
      <c r="LBS2" s="74"/>
      <c r="LBT2" s="74"/>
      <c r="LBU2" s="74"/>
      <c r="LBV2" s="74"/>
      <c r="LBW2" s="74"/>
      <c r="LBX2" s="74"/>
      <c r="LBY2" s="74"/>
      <c r="LBZ2" s="74"/>
      <c r="LCA2" s="74"/>
      <c r="LCB2" s="74"/>
      <c r="LCC2" s="74"/>
      <c r="LCD2" s="74"/>
      <c r="LCE2" s="74"/>
      <c r="LCF2" s="74"/>
      <c r="LCG2" s="74"/>
      <c r="LCH2" s="74"/>
      <c r="LCI2" s="74"/>
      <c r="LCJ2" s="74"/>
      <c r="LCK2" s="74"/>
      <c r="LCL2" s="74"/>
      <c r="LCM2" s="74"/>
      <c r="LCN2" s="74"/>
      <c r="LCO2" s="74"/>
      <c r="LCP2" s="74"/>
      <c r="LCQ2" s="74"/>
      <c r="LCR2" s="74"/>
      <c r="LCS2" s="74"/>
      <c r="LCT2" s="74"/>
      <c r="LCU2" s="74"/>
      <c r="LCV2" s="74"/>
      <c r="LCW2" s="74"/>
      <c r="LCX2" s="74"/>
      <c r="LCY2" s="74"/>
      <c r="LCZ2" s="74"/>
      <c r="LDA2" s="74"/>
      <c r="LDB2" s="74"/>
      <c r="LDC2" s="74"/>
      <c r="LDD2" s="74"/>
      <c r="LDE2" s="74"/>
      <c r="LDF2" s="74"/>
      <c r="LDG2" s="74"/>
      <c r="LDH2" s="74"/>
      <c r="LDI2" s="74"/>
      <c r="LDJ2" s="74"/>
      <c r="LDK2" s="74"/>
      <c r="LDL2" s="74"/>
      <c r="LDM2" s="74"/>
      <c r="LDN2" s="74"/>
      <c r="LDO2" s="74"/>
      <c r="LDP2" s="74"/>
      <c r="LDQ2" s="74"/>
      <c r="LDR2" s="74"/>
      <c r="LDS2" s="74"/>
      <c r="LDT2" s="74"/>
      <c r="LDU2" s="74"/>
      <c r="LDV2" s="74"/>
      <c r="LDW2" s="74"/>
      <c r="LDX2" s="74"/>
      <c r="LDY2" s="74"/>
      <c r="LDZ2" s="74"/>
      <c r="LEA2" s="74"/>
      <c r="LEB2" s="74"/>
      <c r="LEC2" s="74"/>
      <c r="LED2" s="74"/>
      <c r="LEE2" s="74"/>
      <c r="LEF2" s="74"/>
      <c r="LEG2" s="74"/>
      <c r="LEH2" s="74"/>
      <c r="LEI2" s="74"/>
      <c r="LEJ2" s="74"/>
      <c r="LEK2" s="74"/>
      <c r="LEL2" s="74"/>
      <c r="LEM2" s="74"/>
      <c r="LEN2" s="74"/>
      <c r="LEO2" s="74"/>
      <c r="LEP2" s="74"/>
      <c r="LEQ2" s="74"/>
      <c r="LER2" s="74"/>
      <c r="LES2" s="74"/>
      <c r="LET2" s="74"/>
      <c r="LEU2" s="74"/>
      <c r="LEV2" s="74"/>
      <c r="LEW2" s="74"/>
      <c r="LEX2" s="74"/>
      <c r="LEY2" s="74"/>
      <c r="LEZ2" s="74"/>
      <c r="LFA2" s="74"/>
      <c r="LFB2" s="74"/>
      <c r="LFC2" s="74"/>
      <c r="LFD2" s="74"/>
      <c r="LFE2" s="74"/>
      <c r="LFF2" s="74"/>
      <c r="LFG2" s="74"/>
      <c r="LFH2" s="74"/>
      <c r="LFI2" s="74"/>
      <c r="LFJ2" s="74"/>
      <c r="LFK2" s="74"/>
      <c r="LFL2" s="74"/>
      <c r="LFM2" s="74"/>
      <c r="LFN2" s="74"/>
      <c r="LFO2" s="74"/>
      <c r="LFP2" s="74"/>
      <c r="LFQ2" s="74"/>
      <c r="LFR2" s="74"/>
      <c r="LFS2" s="74"/>
      <c r="LFT2" s="74"/>
      <c r="LFU2" s="74"/>
      <c r="LFV2" s="74"/>
      <c r="LFW2" s="74"/>
      <c r="LFX2" s="74"/>
      <c r="LFY2" s="74"/>
      <c r="LFZ2" s="74"/>
      <c r="LGA2" s="74"/>
      <c r="LGB2" s="74"/>
      <c r="LGC2" s="74"/>
      <c r="LGD2" s="74"/>
      <c r="LGE2" s="74"/>
      <c r="LGF2" s="74"/>
      <c r="LGG2" s="74"/>
      <c r="LGH2" s="74"/>
      <c r="LGI2" s="74"/>
      <c r="LGJ2" s="74"/>
      <c r="LGK2" s="74"/>
      <c r="LGL2" s="74"/>
      <c r="LGM2" s="74"/>
      <c r="LGN2" s="74"/>
      <c r="LGO2" s="74"/>
      <c r="LGP2" s="74"/>
      <c r="LGQ2" s="74"/>
      <c r="LGR2" s="74"/>
      <c r="LGS2" s="74"/>
      <c r="LGT2" s="74"/>
      <c r="LGU2" s="74"/>
      <c r="LGV2" s="74"/>
      <c r="LGW2" s="74"/>
      <c r="LGX2" s="74"/>
      <c r="LGY2" s="74"/>
      <c r="LGZ2" s="74"/>
      <c r="LHA2" s="74"/>
      <c r="LHB2" s="74"/>
      <c r="LHC2" s="74"/>
      <c r="LHD2" s="74"/>
      <c r="LHE2" s="74"/>
      <c r="LHF2" s="74"/>
      <c r="LHG2" s="74"/>
      <c r="LHH2" s="74"/>
      <c r="LHI2" s="74"/>
      <c r="LHJ2" s="74"/>
      <c r="LHK2" s="74"/>
      <c r="LHL2" s="74"/>
      <c r="LHM2" s="74"/>
      <c r="LHN2" s="74"/>
      <c r="LHO2" s="74"/>
      <c r="LHP2" s="74"/>
      <c r="LHQ2" s="74"/>
      <c r="LHR2" s="74"/>
      <c r="LHS2" s="74"/>
      <c r="LHT2" s="74"/>
      <c r="LHU2" s="74"/>
      <c r="LHV2" s="74"/>
      <c r="LHW2" s="74"/>
      <c r="LHX2" s="74"/>
      <c r="LHY2" s="74"/>
      <c r="LHZ2" s="74"/>
      <c r="LIA2" s="74"/>
      <c r="LIB2" s="74"/>
      <c r="LIC2" s="74"/>
      <c r="LID2" s="74"/>
      <c r="LIE2" s="74"/>
      <c r="LIF2" s="74"/>
      <c r="LIG2" s="74"/>
      <c r="LIH2" s="74"/>
      <c r="LII2" s="74"/>
      <c r="LIJ2" s="74"/>
      <c r="LIK2" s="74"/>
      <c r="LIL2" s="74"/>
      <c r="LIM2" s="74"/>
      <c r="LIN2" s="74"/>
      <c r="LIO2" s="74"/>
      <c r="LIP2" s="74"/>
      <c r="LIQ2" s="74"/>
      <c r="LIR2" s="74"/>
      <c r="LIS2" s="74"/>
      <c r="LIT2" s="74"/>
      <c r="LIU2" s="74"/>
      <c r="LIV2" s="74"/>
      <c r="LIW2" s="74"/>
      <c r="LIX2" s="74"/>
      <c r="LIY2" s="74"/>
      <c r="LIZ2" s="74"/>
      <c r="LJA2" s="74"/>
      <c r="LJB2" s="74"/>
      <c r="LJC2" s="74"/>
      <c r="LJD2" s="74"/>
      <c r="LJE2" s="74"/>
      <c r="LJF2" s="74"/>
      <c r="LJG2" s="74"/>
      <c r="LJH2" s="74"/>
      <c r="LJI2" s="74"/>
      <c r="LJJ2" s="74"/>
      <c r="LJK2" s="74"/>
      <c r="LJL2" s="74"/>
      <c r="LJM2" s="74"/>
      <c r="LJN2" s="74"/>
      <c r="LJO2" s="74"/>
      <c r="LJP2" s="74"/>
      <c r="LJQ2" s="74"/>
      <c r="LJR2" s="74"/>
      <c r="LJS2" s="74"/>
      <c r="LJT2" s="74"/>
      <c r="LJU2" s="74"/>
      <c r="LJV2" s="74"/>
      <c r="LJW2" s="74"/>
      <c r="LJX2" s="74"/>
      <c r="LJY2" s="74"/>
      <c r="LJZ2" s="74"/>
      <c r="LKA2" s="74"/>
      <c r="LKB2" s="74"/>
      <c r="LKC2" s="74"/>
      <c r="LKD2" s="74"/>
      <c r="LKE2" s="74"/>
      <c r="LKF2" s="74"/>
      <c r="LKG2" s="74"/>
      <c r="LKH2" s="74"/>
      <c r="LKI2" s="74"/>
      <c r="LKJ2" s="74"/>
      <c r="LKK2" s="74"/>
      <c r="LKL2" s="74"/>
      <c r="LKM2" s="74"/>
      <c r="LKN2" s="74"/>
      <c r="LKO2" s="74"/>
      <c r="LKP2" s="74"/>
      <c r="LKQ2" s="74"/>
      <c r="LKR2" s="74"/>
      <c r="LKS2" s="74"/>
      <c r="LKT2" s="74"/>
      <c r="LKU2" s="74"/>
      <c r="LKV2" s="74"/>
      <c r="LKW2" s="74"/>
      <c r="LKX2" s="74"/>
      <c r="LKY2" s="74"/>
      <c r="LKZ2" s="74"/>
      <c r="LLA2" s="74"/>
      <c r="LLB2" s="74"/>
      <c r="LLC2" s="74"/>
      <c r="LLD2" s="74"/>
      <c r="LLE2" s="74"/>
      <c r="LLF2" s="74"/>
      <c r="LLG2" s="74"/>
      <c r="LLH2" s="74"/>
      <c r="LLI2" s="74"/>
      <c r="LLJ2" s="74"/>
      <c r="LLK2" s="74"/>
      <c r="LLL2" s="74"/>
      <c r="LLM2" s="74"/>
      <c r="LLN2" s="74"/>
      <c r="LLO2" s="74"/>
      <c r="LLP2" s="74"/>
      <c r="LLQ2" s="74"/>
      <c r="LLR2" s="74"/>
      <c r="LLS2" s="74"/>
      <c r="LLT2" s="74"/>
      <c r="LLU2" s="74"/>
      <c r="LLV2" s="74"/>
      <c r="LLW2" s="74"/>
      <c r="LLX2" s="74"/>
      <c r="LLY2" s="74"/>
      <c r="LLZ2" s="74"/>
      <c r="LMA2" s="74"/>
      <c r="LMB2" s="74"/>
      <c r="LMC2" s="74"/>
      <c r="LMD2" s="74"/>
      <c r="LME2" s="74"/>
      <c r="LMF2" s="74"/>
      <c r="LMG2" s="74"/>
      <c r="LMH2" s="74"/>
      <c r="LMI2" s="74"/>
      <c r="LMJ2" s="74"/>
      <c r="LMK2" s="74"/>
      <c r="LML2" s="74"/>
      <c r="LMM2" s="74"/>
      <c r="LMN2" s="74"/>
      <c r="LMO2" s="74"/>
      <c r="LMP2" s="74"/>
      <c r="LMQ2" s="74"/>
      <c r="LMR2" s="74"/>
      <c r="LMS2" s="74"/>
      <c r="LMT2" s="74"/>
      <c r="LMU2" s="74"/>
      <c r="LMV2" s="74"/>
      <c r="LMW2" s="74"/>
      <c r="LMX2" s="74"/>
      <c r="LMY2" s="74"/>
      <c r="LMZ2" s="74"/>
      <c r="LNA2" s="74"/>
      <c r="LNB2" s="74"/>
      <c r="LNC2" s="74"/>
      <c r="LND2" s="74"/>
      <c r="LNE2" s="74"/>
      <c r="LNF2" s="74"/>
      <c r="LNG2" s="74"/>
      <c r="LNH2" s="74"/>
      <c r="LNI2" s="74"/>
      <c r="LNJ2" s="74"/>
      <c r="LNK2" s="74"/>
      <c r="LNL2" s="74"/>
      <c r="LNM2" s="74"/>
      <c r="LNN2" s="74"/>
      <c r="LNO2" s="74"/>
      <c r="LNP2" s="74"/>
      <c r="LNQ2" s="74"/>
      <c r="LNR2" s="74"/>
      <c r="LNS2" s="74"/>
      <c r="LNT2" s="74"/>
      <c r="LNU2" s="74"/>
      <c r="LNV2" s="74"/>
      <c r="LNW2" s="74"/>
      <c r="LNX2" s="74"/>
      <c r="LNY2" s="74"/>
      <c r="LNZ2" s="74"/>
      <c r="LOA2" s="74"/>
      <c r="LOB2" s="74"/>
      <c r="LOC2" s="74"/>
      <c r="LOD2" s="74"/>
      <c r="LOE2" s="74"/>
      <c r="LOF2" s="74"/>
      <c r="LOG2" s="74"/>
      <c r="LOH2" s="74"/>
      <c r="LOI2" s="74"/>
      <c r="LOJ2" s="74"/>
      <c r="LOK2" s="74"/>
      <c r="LOL2" s="74"/>
      <c r="LOM2" s="74"/>
      <c r="LON2" s="74"/>
      <c r="LOO2" s="74"/>
      <c r="LOP2" s="74"/>
      <c r="LOQ2" s="74"/>
      <c r="LOR2" s="74"/>
      <c r="LOS2" s="74"/>
      <c r="LOT2" s="74"/>
      <c r="LOU2" s="74"/>
      <c r="LOV2" s="74"/>
      <c r="LOW2" s="74"/>
      <c r="LOX2" s="74"/>
      <c r="LOY2" s="74"/>
      <c r="LOZ2" s="74"/>
      <c r="LPA2" s="74"/>
      <c r="LPB2" s="74"/>
      <c r="LPC2" s="74"/>
      <c r="LPD2" s="74"/>
      <c r="LPE2" s="74"/>
      <c r="LPF2" s="74"/>
      <c r="LPG2" s="74"/>
      <c r="LPH2" s="74"/>
      <c r="LPI2" s="74"/>
      <c r="LPJ2" s="74"/>
      <c r="LPK2" s="74"/>
      <c r="LPL2" s="74"/>
      <c r="LPM2" s="74"/>
      <c r="LPN2" s="74"/>
      <c r="LPO2" s="74"/>
      <c r="LPP2" s="74"/>
      <c r="LPQ2" s="74"/>
      <c r="LPR2" s="74"/>
      <c r="LPS2" s="74"/>
      <c r="LPT2" s="74"/>
      <c r="LPU2" s="74"/>
      <c r="LPV2" s="74"/>
      <c r="LPW2" s="74"/>
      <c r="LPX2" s="74"/>
      <c r="LPY2" s="74"/>
      <c r="LPZ2" s="74"/>
      <c r="LQA2" s="74"/>
      <c r="LQB2" s="74"/>
      <c r="LQC2" s="74"/>
      <c r="LQD2" s="74"/>
      <c r="LQE2" s="74"/>
      <c r="LQF2" s="74"/>
      <c r="LQG2" s="74"/>
      <c r="LQH2" s="74"/>
      <c r="LQI2" s="74"/>
      <c r="LQJ2" s="74"/>
      <c r="LQK2" s="74"/>
      <c r="LQL2" s="74"/>
      <c r="LQM2" s="74"/>
      <c r="LQN2" s="74"/>
      <c r="LQO2" s="74"/>
      <c r="LQP2" s="74"/>
      <c r="LQQ2" s="74"/>
      <c r="LQR2" s="74"/>
      <c r="LQS2" s="74"/>
      <c r="LQT2" s="74"/>
      <c r="LQU2" s="74"/>
      <c r="LQV2" s="74"/>
      <c r="LQW2" s="74"/>
      <c r="LQX2" s="74"/>
      <c r="LQY2" s="74"/>
      <c r="LQZ2" s="74"/>
      <c r="LRA2" s="74"/>
      <c r="LRB2" s="74"/>
      <c r="LRC2" s="74"/>
      <c r="LRD2" s="74"/>
      <c r="LRE2" s="74"/>
      <c r="LRF2" s="74"/>
      <c r="LRG2" s="74"/>
      <c r="LRH2" s="74"/>
      <c r="LRI2" s="74"/>
      <c r="LRJ2" s="74"/>
      <c r="LRK2" s="74"/>
      <c r="LRL2" s="74"/>
      <c r="LRM2" s="74"/>
      <c r="LRN2" s="74"/>
      <c r="LRO2" s="74"/>
      <c r="LRP2" s="74"/>
      <c r="LRQ2" s="74"/>
      <c r="LRR2" s="74"/>
      <c r="LRS2" s="74"/>
      <c r="LRT2" s="74"/>
      <c r="LRU2" s="74"/>
      <c r="LRV2" s="74"/>
      <c r="LRW2" s="74"/>
      <c r="LRX2" s="74"/>
      <c r="LRY2" s="74"/>
      <c r="LRZ2" s="74"/>
      <c r="LSA2" s="74"/>
      <c r="LSB2" s="74"/>
      <c r="LSC2" s="74"/>
      <c r="LSD2" s="74"/>
      <c r="LSE2" s="74"/>
      <c r="LSF2" s="74"/>
      <c r="LSG2" s="74"/>
      <c r="LSH2" s="74"/>
      <c r="LSI2" s="74"/>
      <c r="LSJ2" s="74"/>
      <c r="LSK2" s="74"/>
      <c r="LSL2" s="74"/>
      <c r="LSM2" s="74"/>
      <c r="LSN2" s="74"/>
      <c r="LSO2" s="74"/>
      <c r="LSP2" s="74"/>
      <c r="LSQ2" s="74"/>
      <c r="LSR2" s="74"/>
      <c r="LSS2" s="74"/>
      <c r="LST2" s="74"/>
      <c r="LSU2" s="74"/>
      <c r="LSV2" s="74"/>
      <c r="LSW2" s="74"/>
      <c r="LSX2" s="74"/>
      <c r="LSY2" s="74"/>
      <c r="LSZ2" s="74"/>
      <c r="LTA2" s="74"/>
      <c r="LTB2" s="74"/>
      <c r="LTC2" s="74"/>
      <c r="LTD2" s="74"/>
      <c r="LTE2" s="74"/>
      <c r="LTF2" s="74"/>
      <c r="LTG2" s="74"/>
      <c r="LTH2" s="74"/>
      <c r="LTI2" s="74"/>
      <c r="LTJ2" s="74"/>
      <c r="LTK2" s="74"/>
      <c r="LTL2" s="74"/>
      <c r="LTM2" s="74"/>
      <c r="LTN2" s="74"/>
      <c r="LTO2" s="74"/>
      <c r="LTP2" s="74"/>
      <c r="LTQ2" s="74"/>
      <c r="LTR2" s="74"/>
      <c r="LTS2" s="74"/>
      <c r="LTT2" s="74"/>
      <c r="LTU2" s="74"/>
      <c r="LTV2" s="74"/>
      <c r="LTW2" s="74"/>
      <c r="LTX2" s="74"/>
      <c r="LTY2" s="74"/>
      <c r="LTZ2" s="74"/>
      <c r="LUA2" s="74"/>
      <c r="LUB2" s="74"/>
      <c r="LUC2" s="74"/>
      <c r="LUD2" s="74"/>
      <c r="LUE2" s="74"/>
      <c r="LUF2" s="74"/>
      <c r="LUG2" s="74"/>
      <c r="LUH2" s="74"/>
      <c r="LUI2" s="74"/>
      <c r="LUJ2" s="74"/>
      <c r="LUK2" s="74"/>
      <c r="LUL2" s="74"/>
      <c r="LUM2" s="74"/>
      <c r="LUN2" s="74"/>
      <c r="LUO2" s="74"/>
      <c r="LUP2" s="74"/>
      <c r="LUQ2" s="74"/>
      <c r="LUR2" s="74"/>
      <c r="LUS2" s="74"/>
      <c r="LUT2" s="74"/>
      <c r="LUU2" s="74"/>
      <c r="LUV2" s="74"/>
      <c r="LUW2" s="74"/>
      <c r="LUX2" s="74"/>
      <c r="LUY2" s="74"/>
      <c r="LUZ2" s="74"/>
      <c r="LVA2" s="74"/>
      <c r="LVB2" s="74"/>
      <c r="LVC2" s="74"/>
      <c r="LVD2" s="74"/>
      <c r="LVE2" s="74"/>
      <c r="LVF2" s="74"/>
      <c r="LVG2" s="74"/>
      <c r="LVH2" s="74"/>
      <c r="LVI2" s="74"/>
      <c r="LVJ2" s="74"/>
      <c r="LVK2" s="74"/>
      <c r="LVL2" s="74"/>
      <c r="LVM2" s="74"/>
      <c r="LVN2" s="74"/>
      <c r="LVO2" s="74"/>
      <c r="LVP2" s="74"/>
      <c r="LVQ2" s="74"/>
      <c r="LVR2" s="74"/>
      <c r="LVS2" s="74"/>
      <c r="LVT2" s="74"/>
      <c r="LVU2" s="74"/>
      <c r="LVV2" s="74"/>
      <c r="LVW2" s="74"/>
      <c r="LVX2" s="74"/>
      <c r="LVY2" s="74"/>
      <c r="LVZ2" s="74"/>
      <c r="LWA2" s="74"/>
      <c r="LWB2" s="74"/>
      <c r="LWC2" s="74"/>
      <c r="LWD2" s="74"/>
      <c r="LWE2" s="74"/>
      <c r="LWF2" s="74"/>
      <c r="LWG2" s="74"/>
      <c r="LWH2" s="74"/>
      <c r="LWI2" s="74"/>
      <c r="LWJ2" s="74"/>
      <c r="LWK2" s="74"/>
      <c r="LWL2" s="74"/>
      <c r="LWM2" s="74"/>
      <c r="LWN2" s="74"/>
      <c r="LWO2" s="74"/>
      <c r="LWP2" s="74"/>
      <c r="LWQ2" s="74"/>
      <c r="LWR2" s="74"/>
      <c r="LWS2" s="74"/>
      <c r="LWT2" s="74"/>
      <c r="LWU2" s="74"/>
      <c r="LWV2" s="74"/>
      <c r="LWW2" s="74"/>
      <c r="LWX2" s="74"/>
      <c r="LWY2" s="74"/>
      <c r="LWZ2" s="74"/>
      <c r="LXA2" s="74"/>
      <c r="LXB2" s="74"/>
      <c r="LXC2" s="74"/>
      <c r="LXD2" s="74"/>
      <c r="LXE2" s="74"/>
      <c r="LXF2" s="74"/>
      <c r="LXG2" s="74"/>
      <c r="LXH2" s="74"/>
      <c r="LXI2" s="74"/>
      <c r="LXJ2" s="74"/>
      <c r="LXK2" s="74"/>
      <c r="LXL2" s="74"/>
      <c r="LXM2" s="74"/>
      <c r="LXN2" s="74"/>
      <c r="LXO2" s="74"/>
      <c r="LXP2" s="74"/>
      <c r="LXQ2" s="74"/>
      <c r="LXR2" s="74"/>
      <c r="LXS2" s="74"/>
      <c r="LXT2" s="74"/>
      <c r="LXU2" s="74"/>
      <c r="LXV2" s="74"/>
      <c r="LXW2" s="74"/>
      <c r="LXX2" s="74"/>
      <c r="LXY2" s="74"/>
      <c r="LXZ2" s="74"/>
      <c r="LYA2" s="74"/>
      <c r="LYB2" s="74"/>
      <c r="LYC2" s="74"/>
      <c r="LYD2" s="74"/>
      <c r="LYE2" s="74"/>
      <c r="LYF2" s="74"/>
      <c r="LYG2" s="74"/>
      <c r="LYH2" s="74"/>
      <c r="LYI2" s="74"/>
      <c r="LYJ2" s="74"/>
      <c r="LYK2" s="74"/>
      <c r="LYL2" s="74"/>
      <c r="LYM2" s="74"/>
      <c r="LYN2" s="74"/>
      <c r="LYO2" s="74"/>
      <c r="LYP2" s="74"/>
      <c r="LYQ2" s="74"/>
      <c r="LYR2" s="74"/>
      <c r="LYS2" s="74"/>
      <c r="LYT2" s="74"/>
      <c r="LYU2" s="74"/>
      <c r="LYV2" s="74"/>
      <c r="LYW2" s="74"/>
      <c r="LYX2" s="74"/>
      <c r="LYY2" s="74"/>
      <c r="LYZ2" s="74"/>
      <c r="LZA2" s="74"/>
      <c r="LZB2" s="74"/>
      <c r="LZC2" s="74"/>
      <c r="LZD2" s="74"/>
      <c r="LZE2" s="74"/>
      <c r="LZF2" s="74"/>
      <c r="LZG2" s="74"/>
      <c r="LZH2" s="74"/>
      <c r="LZI2" s="74"/>
      <c r="LZJ2" s="74"/>
      <c r="LZK2" s="74"/>
      <c r="LZL2" s="74"/>
      <c r="LZM2" s="74"/>
      <c r="LZN2" s="74"/>
      <c r="LZO2" s="74"/>
      <c r="LZP2" s="74"/>
      <c r="LZQ2" s="74"/>
      <c r="LZR2" s="74"/>
      <c r="LZS2" s="74"/>
      <c r="LZT2" s="74"/>
      <c r="LZU2" s="74"/>
      <c r="LZV2" s="74"/>
      <c r="LZW2" s="74"/>
      <c r="LZX2" s="74"/>
      <c r="LZY2" s="74"/>
      <c r="LZZ2" s="74"/>
      <c r="MAA2" s="74"/>
      <c r="MAB2" s="74"/>
      <c r="MAC2" s="74"/>
      <c r="MAD2" s="74"/>
      <c r="MAE2" s="74"/>
      <c r="MAF2" s="74"/>
      <c r="MAG2" s="74"/>
      <c r="MAH2" s="74"/>
      <c r="MAI2" s="74"/>
      <c r="MAJ2" s="74"/>
      <c r="MAK2" s="74"/>
      <c r="MAL2" s="74"/>
      <c r="MAM2" s="74"/>
      <c r="MAN2" s="74"/>
      <c r="MAO2" s="74"/>
      <c r="MAP2" s="74"/>
      <c r="MAQ2" s="74"/>
      <c r="MAR2" s="74"/>
      <c r="MAS2" s="74"/>
      <c r="MAT2" s="74"/>
      <c r="MAU2" s="74"/>
      <c r="MAV2" s="74"/>
      <c r="MAW2" s="74"/>
      <c r="MAX2" s="74"/>
      <c r="MAY2" s="74"/>
      <c r="MAZ2" s="74"/>
      <c r="MBA2" s="74"/>
      <c r="MBB2" s="74"/>
      <c r="MBC2" s="74"/>
      <c r="MBD2" s="74"/>
      <c r="MBE2" s="74"/>
      <c r="MBF2" s="74"/>
      <c r="MBG2" s="74"/>
      <c r="MBH2" s="74"/>
      <c r="MBI2" s="74"/>
      <c r="MBJ2" s="74"/>
      <c r="MBK2" s="74"/>
      <c r="MBL2" s="74"/>
      <c r="MBM2" s="74"/>
      <c r="MBN2" s="74"/>
      <c r="MBO2" s="74"/>
      <c r="MBP2" s="74"/>
      <c r="MBQ2" s="74"/>
      <c r="MBR2" s="74"/>
      <c r="MBS2" s="74"/>
      <c r="MBT2" s="74"/>
      <c r="MBU2" s="74"/>
      <c r="MBV2" s="74"/>
      <c r="MBW2" s="74"/>
      <c r="MBX2" s="74"/>
      <c r="MBY2" s="74"/>
      <c r="MBZ2" s="74"/>
      <c r="MCA2" s="74"/>
      <c r="MCB2" s="74"/>
      <c r="MCC2" s="74"/>
      <c r="MCD2" s="74"/>
      <c r="MCE2" s="74"/>
      <c r="MCF2" s="74"/>
      <c r="MCG2" s="74"/>
      <c r="MCH2" s="74"/>
      <c r="MCI2" s="74"/>
      <c r="MCJ2" s="74"/>
      <c r="MCK2" s="74"/>
      <c r="MCL2" s="74"/>
      <c r="MCM2" s="74"/>
      <c r="MCN2" s="74"/>
      <c r="MCO2" s="74"/>
      <c r="MCP2" s="74"/>
      <c r="MCQ2" s="74"/>
      <c r="MCR2" s="74"/>
      <c r="MCS2" s="74"/>
      <c r="MCT2" s="74"/>
      <c r="MCU2" s="74"/>
      <c r="MCV2" s="74"/>
      <c r="MCW2" s="74"/>
      <c r="MCX2" s="74"/>
      <c r="MCY2" s="74"/>
      <c r="MCZ2" s="74"/>
      <c r="MDA2" s="74"/>
      <c r="MDB2" s="74"/>
      <c r="MDC2" s="74"/>
      <c r="MDD2" s="74"/>
      <c r="MDE2" s="74"/>
      <c r="MDF2" s="74"/>
      <c r="MDG2" s="74"/>
      <c r="MDH2" s="74"/>
      <c r="MDI2" s="74"/>
      <c r="MDJ2" s="74"/>
      <c r="MDK2" s="74"/>
      <c r="MDL2" s="74"/>
      <c r="MDM2" s="74"/>
      <c r="MDN2" s="74"/>
      <c r="MDO2" s="74"/>
      <c r="MDP2" s="74"/>
      <c r="MDQ2" s="74"/>
      <c r="MDR2" s="74"/>
      <c r="MDS2" s="74"/>
      <c r="MDT2" s="74"/>
      <c r="MDU2" s="74"/>
      <c r="MDV2" s="74"/>
      <c r="MDW2" s="74"/>
      <c r="MDX2" s="74"/>
      <c r="MDY2" s="74"/>
      <c r="MDZ2" s="74"/>
      <c r="MEA2" s="74"/>
      <c r="MEB2" s="74"/>
      <c r="MEC2" s="74"/>
      <c r="MED2" s="74"/>
      <c r="MEE2" s="74"/>
      <c r="MEF2" s="74"/>
      <c r="MEG2" s="74"/>
      <c r="MEH2" s="74"/>
      <c r="MEI2" s="74"/>
      <c r="MEJ2" s="74"/>
      <c r="MEK2" s="74"/>
      <c r="MEL2" s="74"/>
      <c r="MEM2" s="74"/>
      <c r="MEN2" s="74"/>
      <c r="MEO2" s="74"/>
      <c r="MEP2" s="74"/>
      <c r="MEQ2" s="74"/>
      <c r="MER2" s="74"/>
      <c r="MES2" s="74"/>
      <c r="MET2" s="74"/>
      <c r="MEU2" s="74"/>
      <c r="MEV2" s="74"/>
      <c r="MEW2" s="74"/>
      <c r="MEX2" s="74"/>
      <c r="MEY2" s="74"/>
      <c r="MEZ2" s="74"/>
      <c r="MFA2" s="74"/>
      <c r="MFB2" s="74"/>
      <c r="MFC2" s="74"/>
      <c r="MFD2" s="74"/>
      <c r="MFE2" s="74"/>
      <c r="MFF2" s="74"/>
      <c r="MFG2" s="74"/>
      <c r="MFH2" s="74"/>
      <c r="MFI2" s="74"/>
      <c r="MFJ2" s="74"/>
      <c r="MFK2" s="74"/>
      <c r="MFL2" s="74"/>
      <c r="MFM2" s="74"/>
      <c r="MFN2" s="74"/>
      <c r="MFO2" s="74"/>
      <c r="MFP2" s="74"/>
      <c r="MFQ2" s="74"/>
      <c r="MFR2" s="74"/>
      <c r="MFS2" s="74"/>
      <c r="MFT2" s="74"/>
      <c r="MFU2" s="74"/>
      <c r="MFV2" s="74"/>
      <c r="MFW2" s="74"/>
      <c r="MFX2" s="74"/>
      <c r="MFY2" s="74"/>
      <c r="MFZ2" s="74"/>
      <c r="MGA2" s="74"/>
      <c r="MGB2" s="74"/>
      <c r="MGC2" s="74"/>
      <c r="MGD2" s="74"/>
      <c r="MGE2" s="74"/>
      <c r="MGF2" s="74"/>
      <c r="MGG2" s="74"/>
      <c r="MGH2" s="74"/>
      <c r="MGI2" s="74"/>
      <c r="MGJ2" s="74"/>
      <c r="MGK2" s="74"/>
      <c r="MGL2" s="74"/>
      <c r="MGM2" s="74"/>
      <c r="MGN2" s="74"/>
      <c r="MGO2" s="74"/>
      <c r="MGP2" s="74"/>
      <c r="MGQ2" s="74"/>
      <c r="MGR2" s="74"/>
      <c r="MGS2" s="74"/>
      <c r="MGT2" s="74"/>
      <c r="MGU2" s="74"/>
      <c r="MGV2" s="74"/>
      <c r="MGW2" s="74"/>
      <c r="MGX2" s="74"/>
      <c r="MGY2" s="74"/>
      <c r="MGZ2" s="74"/>
      <c r="MHA2" s="74"/>
      <c r="MHB2" s="74"/>
      <c r="MHC2" s="74"/>
      <c r="MHD2" s="74"/>
      <c r="MHE2" s="74"/>
      <c r="MHF2" s="74"/>
      <c r="MHG2" s="74"/>
      <c r="MHH2" s="74"/>
      <c r="MHI2" s="74"/>
      <c r="MHJ2" s="74"/>
      <c r="MHK2" s="74"/>
      <c r="MHL2" s="74"/>
      <c r="MHM2" s="74"/>
      <c r="MHN2" s="74"/>
      <c r="MHO2" s="74"/>
      <c r="MHP2" s="74"/>
      <c r="MHQ2" s="74"/>
      <c r="MHR2" s="74"/>
      <c r="MHS2" s="74"/>
      <c r="MHT2" s="74"/>
      <c r="MHU2" s="74"/>
      <c r="MHV2" s="74"/>
      <c r="MHW2" s="74"/>
      <c r="MHX2" s="74"/>
      <c r="MHY2" s="74"/>
      <c r="MHZ2" s="74"/>
      <c r="MIA2" s="74"/>
      <c r="MIB2" s="74"/>
      <c r="MIC2" s="74"/>
      <c r="MID2" s="74"/>
      <c r="MIE2" s="74"/>
      <c r="MIF2" s="74"/>
      <c r="MIG2" s="74"/>
      <c r="MIH2" s="74"/>
      <c r="MII2" s="74"/>
      <c r="MIJ2" s="74"/>
      <c r="MIK2" s="74"/>
      <c r="MIL2" s="74"/>
      <c r="MIM2" s="74"/>
      <c r="MIN2" s="74"/>
      <c r="MIO2" s="74"/>
      <c r="MIP2" s="74"/>
      <c r="MIQ2" s="74"/>
      <c r="MIR2" s="74"/>
      <c r="MIS2" s="74"/>
      <c r="MIT2" s="74"/>
      <c r="MIU2" s="74"/>
      <c r="MIV2" s="74"/>
      <c r="MIW2" s="74"/>
      <c r="MIX2" s="74"/>
      <c r="MIY2" s="74"/>
      <c r="MIZ2" s="74"/>
      <c r="MJA2" s="74"/>
      <c r="MJB2" s="74"/>
      <c r="MJC2" s="74"/>
      <c r="MJD2" s="74"/>
      <c r="MJE2" s="74"/>
      <c r="MJF2" s="74"/>
      <c r="MJG2" s="74"/>
      <c r="MJH2" s="74"/>
      <c r="MJI2" s="74"/>
      <c r="MJJ2" s="74"/>
      <c r="MJK2" s="74"/>
      <c r="MJL2" s="74"/>
      <c r="MJM2" s="74"/>
      <c r="MJN2" s="74"/>
      <c r="MJO2" s="74"/>
      <c r="MJP2" s="74"/>
      <c r="MJQ2" s="74"/>
      <c r="MJR2" s="74"/>
      <c r="MJS2" s="74"/>
      <c r="MJT2" s="74"/>
      <c r="MJU2" s="74"/>
      <c r="MJV2" s="74"/>
      <c r="MJW2" s="74"/>
      <c r="MJX2" s="74"/>
      <c r="MJY2" s="74"/>
      <c r="MJZ2" s="74"/>
      <c r="MKA2" s="74"/>
      <c r="MKB2" s="74"/>
      <c r="MKC2" s="74"/>
      <c r="MKD2" s="74"/>
      <c r="MKE2" s="74"/>
      <c r="MKF2" s="74"/>
      <c r="MKG2" s="74"/>
      <c r="MKH2" s="74"/>
      <c r="MKI2" s="74"/>
      <c r="MKJ2" s="74"/>
      <c r="MKK2" s="74"/>
      <c r="MKL2" s="74"/>
      <c r="MKM2" s="74"/>
      <c r="MKN2" s="74"/>
      <c r="MKO2" s="74"/>
      <c r="MKP2" s="74"/>
      <c r="MKQ2" s="74"/>
      <c r="MKR2" s="74"/>
      <c r="MKS2" s="74"/>
      <c r="MKT2" s="74"/>
      <c r="MKU2" s="74"/>
      <c r="MKV2" s="74"/>
      <c r="MKW2" s="74"/>
      <c r="MKX2" s="74"/>
      <c r="MKY2" s="74"/>
      <c r="MKZ2" s="74"/>
      <c r="MLA2" s="74"/>
      <c r="MLB2" s="74"/>
      <c r="MLC2" s="74"/>
      <c r="MLD2" s="74"/>
      <c r="MLE2" s="74"/>
      <c r="MLF2" s="74"/>
      <c r="MLG2" s="74"/>
      <c r="MLH2" s="74"/>
      <c r="MLI2" s="74"/>
      <c r="MLJ2" s="74"/>
      <c r="MLK2" s="74"/>
      <c r="MLL2" s="74"/>
      <c r="MLM2" s="74"/>
      <c r="MLN2" s="74"/>
      <c r="MLO2" s="74"/>
      <c r="MLP2" s="74"/>
      <c r="MLQ2" s="74"/>
      <c r="MLR2" s="74"/>
      <c r="MLS2" s="74"/>
      <c r="MLT2" s="74"/>
      <c r="MLU2" s="74"/>
      <c r="MLV2" s="74"/>
      <c r="MLW2" s="74"/>
      <c r="MLX2" s="74"/>
      <c r="MLY2" s="74"/>
      <c r="MLZ2" s="74"/>
      <c r="MMA2" s="74"/>
      <c r="MMB2" s="74"/>
      <c r="MMC2" s="74"/>
      <c r="MMD2" s="74"/>
      <c r="MME2" s="74"/>
      <c r="MMF2" s="74"/>
      <c r="MMG2" s="74"/>
      <c r="MMH2" s="74"/>
      <c r="MMI2" s="74"/>
      <c r="MMJ2" s="74"/>
      <c r="MMK2" s="74"/>
      <c r="MML2" s="74"/>
      <c r="MMM2" s="74"/>
      <c r="MMN2" s="74"/>
      <c r="MMO2" s="74"/>
      <c r="MMP2" s="74"/>
      <c r="MMQ2" s="74"/>
      <c r="MMR2" s="74"/>
      <c r="MMS2" s="74"/>
      <c r="MMT2" s="74"/>
      <c r="MMU2" s="74"/>
      <c r="MMV2" s="74"/>
      <c r="MMW2" s="74"/>
      <c r="MMX2" s="74"/>
      <c r="MMY2" s="74"/>
      <c r="MMZ2" s="74"/>
      <c r="MNA2" s="74"/>
      <c r="MNB2" s="74"/>
      <c r="MNC2" s="74"/>
      <c r="MND2" s="74"/>
      <c r="MNE2" s="74"/>
      <c r="MNF2" s="74"/>
      <c r="MNG2" s="74"/>
      <c r="MNH2" s="74"/>
      <c r="MNI2" s="74"/>
      <c r="MNJ2" s="74"/>
      <c r="MNK2" s="74"/>
      <c r="MNL2" s="74"/>
      <c r="MNM2" s="74"/>
      <c r="MNN2" s="74"/>
      <c r="MNO2" s="74"/>
      <c r="MNP2" s="74"/>
      <c r="MNQ2" s="74"/>
      <c r="MNR2" s="74"/>
      <c r="MNS2" s="74"/>
      <c r="MNT2" s="74"/>
      <c r="MNU2" s="74"/>
      <c r="MNV2" s="74"/>
      <c r="MNW2" s="74"/>
      <c r="MNX2" s="74"/>
      <c r="MNY2" s="74"/>
      <c r="MNZ2" s="74"/>
      <c r="MOA2" s="74"/>
      <c r="MOB2" s="74"/>
      <c r="MOC2" s="74"/>
      <c r="MOD2" s="74"/>
      <c r="MOE2" s="74"/>
      <c r="MOF2" s="74"/>
      <c r="MOG2" s="74"/>
      <c r="MOH2" s="74"/>
      <c r="MOI2" s="74"/>
      <c r="MOJ2" s="74"/>
      <c r="MOK2" s="74"/>
      <c r="MOL2" s="74"/>
      <c r="MOM2" s="74"/>
      <c r="MON2" s="74"/>
      <c r="MOO2" s="74"/>
      <c r="MOP2" s="74"/>
      <c r="MOQ2" s="74"/>
      <c r="MOR2" s="74"/>
      <c r="MOS2" s="74"/>
      <c r="MOT2" s="74"/>
      <c r="MOU2" s="74"/>
      <c r="MOV2" s="74"/>
      <c r="MOW2" s="74"/>
      <c r="MOX2" s="74"/>
      <c r="MOY2" s="74"/>
      <c r="MOZ2" s="74"/>
      <c r="MPA2" s="74"/>
      <c r="MPB2" s="74"/>
      <c r="MPC2" s="74"/>
      <c r="MPD2" s="74"/>
      <c r="MPE2" s="74"/>
      <c r="MPF2" s="74"/>
      <c r="MPG2" s="74"/>
      <c r="MPH2" s="74"/>
      <c r="MPI2" s="74"/>
      <c r="MPJ2" s="74"/>
      <c r="MPK2" s="74"/>
      <c r="MPL2" s="74"/>
      <c r="MPM2" s="74"/>
      <c r="MPN2" s="74"/>
      <c r="MPO2" s="74"/>
      <c r="MPP2" s="74"/>
      <c r="MPQ2" s="74"/>
      <c r="MPR2" s="74"/>
      <c r="MPS2" s="74"/>
      <c r="MPT2" s="74"/>
      <c r="MPU2" s="74"/>
      <c r="MPV2" s="74"/>
      <c r="MPW2" s="74"/>
      <c r="MPX2" s="74"/>
      <c r="MPY2" s="74"/>
      <c r="MPZ2" s="74"/>
      <c r="MQA2" s="74"/>
      <c r="MQB2" s="74"/>
      <c r="MQC2" s="74"/>
      <c r="MQD2" s="74"/>
      <c r="MQE2" s="74"/>
      <c r="MQF2" s="74"/>
      <c r="MQG2" s="74"/>
      <c r="MQH2" s="74"/>
      <c r="MQI2" s="74"/>
      <c r="MQJ2" s="74"/>
      <c r="MQK2" s="74"/>
      <c r="MQL2" s="74"/>
      <c r="MQM2" s="74"/>
      <c r="MQN2" s="74"/>
      <c r="MQO2" s="74"/>
      <c r="MQP2" s="74"/>
      <c r="MQQ2" s="74"/>
      <c r="MQR2" s="74"/>
      <c r="MQS2" s="74"/>
      <c r="MQT2" s="74"/>
      <c r="MQU2" s="74"/>
      <c r="MQV2" s="74"/>
      <c r="MQW2" s="74"/>
      <c r="MQX2" s="74"/>
      <c r="MQY2" s="74"/>
      <c r="MQZ2" s="74"/>
      <c r="MRA2" s="74"/>
      <c r="MRB2" s="74"/>
      <c r="MRC2" s="74"/>
      <c r="MRD2" s="74"/>
      <c r="MRE2" s="74"/>
      <c r="MRF2" s="74"/>
      <c r="MRG2" s="74"/>
      <c r="MRH2" s="74"/>
      <c r="MRI2" s="74"/>
      <c r="MRJ2" s="74"/>
      <c r="MRK2" s="74"/>
      <c r="MRL2" s="74"/>
      <c r="MRM2" s="74"/>
      <c r="MRN2" s="74"/>
      <c r="MRO2" s="74"/>
      <c r="MRP2" s="74"/>
      <c r="MRQ2" s="74"/>
      <c r="MRR2" s="74"/>
      <c r="MRS2" s="74"/>
      <c r="MRT2" s="74"/>
      <c r="MRU2" s="74"/>
      <c r="MRV2" s="74"/>
      <c r="MRW2" s="74"/>
      <c r="MRX2" s="74"/>
      <c r="MRY2" s="74"/>
      <c r="MRZ2" s="74"/>
      <c r="MSA2" s="74"/>
      <c r="MSB2" s="74"/>
      <c r="MSC2" s="74"/>
      <c r="MSD2" s="74"/>
      <c r="MSE2" s="74"/>
      <c r="MSF2" s="74"/>
      <c r="MSG2" s="74"/>
      <c r="MSH2" s="74"/>
      <c r="MSI2" s="74"/>
      <c r="MSJ2" s="74"/>
      <c r="MSK2" s="74"/>
      <c r="MSL2" s="74"/>
      <c r="MSM2" s="74"/>
      <c r="MSN2" s="74"/>
      <c r="MSO2" s="74"/>
      <c r="MSP2" s="74"/>
      <c r="MSQ2" s="74"/>
      <c r="MSR2" s="74"/>
      <c r="MSS2" s="74"/>
      <c r="MST2" s="74"/>
      <c r="MSU2" s="74"/>
      <c r="MSV2" s="74"/>
      <c r="MSW2" s="74"/>
      <c r="MSX2" s="74"/>
      <c r="MSY2" s="74"/>
      <c r="MSZ2" s="74"/>
      <c r="MTA2" s="74"/>
      <c r="MTB2" s="74"/>
      <c r="MTC2" s="74"/>
      <c r="MTD2" s="74"/>
      <c r="MTE2" s="74"/>
      <c r="MTF2" s="74"/>
      <c r="MTG2" s="74"/>
      <c r="MTH2" s="74"/>
      <c r="MTI2" s="74"/>
      <c r="MTJ2" s="74"/>
      <c r="MTK2" s="74"/>
      <c r="MTL2" s="74"/>
      <c r="MTM2" s="74"/>
      <c r="MTN2" s="74"/>
      <c r="MTO2" s="74"/>
      <c r="MTP2" s="74"/>
      <c r="MTQ2" s="74"/>
      <c r="MTR2" s="74"/>
      <c r="MTS2" s="74"/>
      <c r="MTT2" s="74"/>
      <c r="MTU2" s="74"/>
      <c r="MTV2" s="74"/>
      <c r="MTW2" s="74"/>
      <c r="MTX2" s="74"/>
      <c r="MTY2" s="74"/>
      <c r="MTZ2" s="74"/>
      <c r="MUA2" s="74"/>
      <c r="MUB2" s="74"/>
      <c r="MUC2" s="74"/>
      <c r="MUD2" s="74"/>
      <c r="MUE2" s="74"/>
      <c r="MUF2" s="74"/>
      <c r="MUG2" s="74"/>
      <c r="MUH2" s="74"/>
      <c r="MUI2" s="74"/>
      <c r="MUJ2" s="74"/>
      <c r="MUK2" s="74"/>
      <c r="MUL2" s="74"/>
      <c r="MUM2" s="74"/>
      <c r="MUN2" s="74"/>
      <c r="MUO2" s="74"/>
      <c r="MUP2" s="74"/>
      <c r="MUQ2" s="74"/>
      <c r="MUR2" s="74"/>
      <c r="MUS2" s="74"/>
      <c r="MUT2" s="74"/>
      <c r="MUU2" s="74"/>
      <c r="MUV2" s="74"/>
      <c r="MUW2" s="74"/>
      <c r="MUX2" s="74"/>
      <c r="MUY2" s="74"/>
      <c r="MUZ2" s="74"/>
      <c r="MVA2" s="74"/>
      <c r="MVB2" s="74"/>
      <c r="MVC2" s="74"/>
      <c r="MVD2" s="74"/>
      <c r="MVE2" s="74"/>
      <c r="MVF2" s="74"/>
      <c r="MVG2" s="74"/>
      <c r="MVH2" s="74"/>
      <c r="MVI2" s="74"/>
      <c r="MVJ2" s="74"/>
      <c r="MVK2" s="74"/>
      <c r="MVL2" s="74"/>
      <c r="MVM2" s="74"/>
      <c r="MVN2" s="74"/>
      <c r="MVO2" s="74"/>
      <c r="MVP2" s="74"/>
      <c r="MVQ2" s="74"/>
      <c r="MVR2" s="74"/>
      <c r="MVS2" s="74"/>
      <c r="MVT2" s="74"/>
      <c r="MVU2" s="74"/>
      <c r="MVV2" s="74"/>
      <c r="MVW2" s="74"/>
      <c r="MVX2" s="74"/>
      <c r="MVY2" s="74"/>
      <c r="MVZ2" s="74"/>
      <c r="MWA2" s="74"/>
      <c r="MWB2" s="74"/>
      <c r="MWC2" s="74"/>
      <c r="MWD2" s="74"/>
      <c r="MWE2" s="74"/>
      <c r="MWF2" s="74"/>
      <c r="MWG2" s="74"/>
      <c r="MWH2" s="74"/>
      <c r="MWI2" s="74"/>
      <c r="MWJ2" s="74"/>
      <c r="MWK2" s="74"/>
      <c r="MWL2" s="74"/>
      <c r="MWM2" s="74"/>
      <c r="MWN2" s="74"/>
      <c r="MWO2" s="74"/>
      <c r="MWP2" s="74"/>
      <c r="MWQ2" s="74"/>
      <c r="MWR2" s="74"/>
      <c r="MWS2" s="74"/>
      <c r="MWT2" s="74"/>
      <c r="MWU2" s="74"/>
      <c r="MWV2" s="74"/>
      <c r="MWW2" s="74"/>
      <c r="MWX2" s="74"/>
      <c r="MWY2" s="74"/>
      <c r="MWZ2" s="74"/>
      <c r="MXA2" s="74"/>
      <c r="MXB2" s="74"/>
      <c r="MXC2" s="74"/>
      <c r="MXD2" s="74"/>
      <c r="MXE2" s="74"/>
      <c r="MXF2" s="74"/>
      <c r="MXG2" s="74"/>
      <c r="MXH2" s="74"/>
      <c r="MXI2" s="74"/>
      <c r="MXJ2" s="74"/>
      <c r="MXK2" s="74"/>
      <c r="MXL2" s="74"/>
      <c r="MXM2" s="74"/>
      <c r="MXN2" s="74"/>
      <c r="MXO2" s="74"/>
      <c r="MXP2" s="74"/>
      <c r="MXQ2" s="74"/>
      <c r="MXR2" s="74"/>
      <c r="MXS2" s="74"/>
      <c r="MXT2" s="74"/>
      <c r="MXU2" s="74"/>
      <c r="MXV2" s="74"/>
      <c r="MXW2" s="74"/>
      <c r="MXX2" s="74"/>
      <c r="MXY2" s="74"/>
      <c r="MXZ2" s="74"/>
      <c r="MYA2" s="74"/>
      <c r="MYB2" s="74"/>
      <c r="MYC2" s="74"/>
      <c r="MYD2" s="74"/>
      <c r="MYE2" s="74"/>
      <c r="MYF2" s="74"/>
      <c r="MYG2" s="74"/>
      <c r="MYH2" s="74"/>
      <c r="MYI2" s="74"/>
      <c r="MYJ2" s="74"/>
      <c r="MYK2" s="74"/>
      <c r="MYL2" s="74"/>
      <c r="MYM2" s="74"/>
      <c r="MYN2" s="74"/>
      <c r="MYO2" s="74"/>
      <c r="MYP2" s="74"/>
      <c r="MYQ2" s="74"/>
      <c r="MYR2" s="74"/>
      <c r="MYS2" s="74"/>
      <c r="MYT2" s="74"/>
      <c r="MYU2" s="74"/>
      <c r="MYV2" s="74"/>
      <c r="MYW2" s="74"/>
      <c r="MYX2" s="74"/>
      <c r="MYY2" s="74"/>
      <c r="MYZ2" s="74"/>
      <c r="MZA2" s="74"/>
      <c r="MZB2" s="74"/>
      <c r="MZC2" s="74"/>
      <c r="MZD2" s="74"/>
      <c r="MZE2" s="74"/>
      <c r="MZF2" s="74"/>
      <c r="MZG2" s="74"/>
      <c r="MZH2" s="74"/>
      <c r="MZI2" s="74"/>
      <c r="MZJ2" s="74"/>
      <c r="MZK2" s="74"/>
      <c r="MZL2" s="74"/>
      <c r="MZM2" s="74"/>
      <c r="MZN2" s="74"/>
      <c r="MZO2" s="74"/>
      <c r="MZP2" s="74"/>
      <c r="MZQ2" s="74"/>
      <c r="MZR2" s="74"/>
      <c r="MZS2" s="74"/>
      <c r="MZT2" s="74"/>
      <c r="MZU2" s="74"/>
      <c r="MZV2" s="74"/>
      <c r="MZW2" s="74"/>
      <c r="MZX2" s="74"/>
      <c r="MZY2" s="74"/>
      <c r="MZZ2" s="74"/>
      <c r="NAA2" s="74"/>
      <c r="NAB2" s="74"/>
      <c r="NAC2" s="74"/>
      <c r="NAD2" s="74"/>
      <c r="NAE2" s="74"/>
      <c r="NAF2" s="74"/>
      <c r="NAG2" s="74"/>
      <c r="NAH2" s="74"/>
      <c r="NAI2" s="74"/>
      <c r="NAJ2" s="74"/>
      <c r="NAK2" s="74"/>
      <c r="NAL2" s="74"/>
      <c r="NAM2" s="74"/>
      <c r="NAN2" s="74"/>
      <c r="NAO2" s="74"/>
      <c r="NAP2" s="74"/>
      <c r="NAQ2" s="74"/>
      <c r="NAR2" s="74"/>
      <c r="NAS2" s="74"/>
      <c r="NAT2" s="74"/>
      <c r="NAU2" s="74"/>
      <c r="NAV2" s="74"/>
      <c r="NAW2" s="74"/>
      <c r="NAX2" s="74"/>
      <c r="NAY2" s="74"/>
      <c r="NAZ2" s="74"/>
      <c r="NBA2" s="74"/>
      <c r="NBB2" s="74"/>
      <c r="NBC2" s="74"/>
      <c r="NBD2" s="74"/>
      <c r="NBE2" s="74"/>
      <c r="NBF2" s="74"/>
      <c r="NBG2" s="74"/>
      <c r="NBH2" s="74"/>
      <c r="NBI2" s="74"/>
      <c r="NBJ2" s="74"/>
      <c r="NBK2" s="74"/>
      <c r="NBL2" s="74"/>
      <c r="NBM2" s="74"/>
      <c r="NBN2" s="74"/>
      <c r="NBO2" s="74"/>
      <c r="NBP2" s="74"/>
      <c r="NBQ2" s="74"/>
      <c r="NBR2" s="74"/>
      <c r="NBS2" s="74"/>
      <c r="NBT2" s="74"/>
      <c r="NBU2" s="74"/>
      <c r="NBV2" s="74"/>
      <c r="NBW2" s="74"/>
      <c r="NBX2" s="74"/>
      <c r="NBY2" s="74"/>
      <c r="NBZ2" s="74"/>
      <c r="NCA2" s="74"/>
      <c r="NCB2" s="74"/>
      <c r="NCC2" s="74"/>
      <c r="NCD2" s="74"/>
      <c r="NCE2" s="74"/>
      <c r="NCF2" s="74"/>
      <c r="NCG2" s="74"/>
      <c r="NCH2" s="74"/>
      <c r="NCI2" s="74"/>
      <c r="NCJ2" s="74"/>
      <c r="NCK2" s="74"/>
      <c r="NCL2" s="74"/>
      <c r="NCM2" s="74"/>
      <c r="NCN2" s="74"/>
      <c r="NCO2" s="74"/>
      <c r="NCP2" s="74"/>
      <c r="NCQ2" s="74"/>
      <c r="NCR2" s="74"/>
      <c r="NCS2" s="74"/>
      <c r="NCT2" s="74"/>
      <c r="NCU2" s="74"/>
      <c r="NCV2" s="74"/>
      <c r="NCW2" s="74"/>
      <c r="NCX2" s="74"/>
      <c r="NCY2" s="74"/>
      <c r="NCZ2" s="74"/>
      <c r="NDA2" s="74"/>
      <c r="NDB2" s="74"/>
      <c r="NDC2" s="74"/>
      <c r="NDD2" s="74"/>
      <c r="NDE2" s="74"/>
      <c r="NDF2" s="74"/>
      <c r="NDG2" s="74"/>
      <c r="NDH2" s="74"/>
      <c r="NDI2" s="74"/>
      <c r="NDJ2" s="74"/>
      <c r="NDK2" s="74"/>
      <c r="NDL2" s="74"/>
      <c r="NDM2" s="74"/>
      <c r="NDN2" s="74"/>
      <c r="NDO2" s="74"/>
      <c r="NDP2" s="74"/>
      <c r="NDQ2" s="74"/>
      <c r="NDR2" s="74"/>
      <c r="NDS2" s="74"/>
      <c r="NDT2" s="74"/>
      <c r="NDU2" s="74"/>
      <c r="NDV2" s="74"/>
      <c r="NDW2" s="74"/>
      <c r="NDX2" s="74"/>
      <c r="NDY2" s="74"/>
      <c r="NDZ2" s="74"/>
      <c r="NEA2" s="74"/>
      <c r="NEB2" s="74"/>
      <c r="NEC2" s="74"/>
      <c r="NED2" s="74"/>
      <c r="NEE2" s="74"/>
      <c r="NEF2" s="74"/>
      <c r="NEG2" s="74"/>
      <c r="NEH2" s="74"/>
      <c r="NEI2" s="74"/>
      <c r="NEJ2" s="74"/>
      <c r="NEK2" s="74"/>
      <c r="NEL2" s="74"/>
      <c r="NEM2" s="74"/>
      <c r="NEN2" s="74"/>
      <c r="NEO2" s="74"/>
      <c r="NEP2" s="74"/>
      <c r="NEQ2" s="74"/>
      <c r="NER2" s="74"/>
      <c r="NES2" s="74"/>
      <c r="NET2" s="74"/>
      <c r="NEU2" s="74"/>
      <c r="NEV2" s="74"/>
      <c r="NEW2" s="74"/>
      <c r="NEX2" s="74"/>
      <c r="NEY2" s="74"/>
      <c r="NEZ2" s="74"/>
      <c r="NFA2" s="74"/>
      <c r="NFB2" s="74"/>
      <c r="NFC2" s="74"/>
      <c r="NFD2" s="74"/>
      <c r="NFE2" s="74"/>
      <c r="NFF2" s="74"/>
      <c r="NFG2" s="74"/>
      <c r="NFH2" s="74"/>
      <c r="NFI2" s="74"/>
      <c r="NFJ2" s="74"/>
      <c r="NFK2" s="74"/>
      <c r="NFL2" s="74"/>
      <c r="NFM2" s="74"/>
      <c r="NFN2" s="74"/>
      <c r="NFO2" s="74"/>
      <c r="NFP2" s="74"/>
      <c r="NFQ2" s="74"/>
      <c r="NFR2" s="74"/>
      <c r="NFS2" s="74"/>
      <c r="NFT2" s="74"/>
      <c r="NFU2" s="74"/>
      <c r="NFV2" s="74"/>
      <c r="NFW2" s="74"/>
      <c r="NFX2" s="74"/>
      <c r="NFY2" s="74"/>
      <c r="NFZ2" s="74"/>
      <c r="NGA2" s="74"/>
      <c r="NGB2" s="74"/>
      <c r="NGC2" s="74"/>
      <c r="NGD2" s="74"/>
      <c r="NGE2" s="74"/>
      <c r="NGF2" s="74"/>
      <c r="NGG2" s="74"/>
      <c r="NGH2" s="74"/>
      <c r="NGI2" s="74"/>
      <c r="NGJ2" s="74"/>
      <c r="NGK2" s="74"/>
      <c r="NGL2" s="74"/>
      <c r="NGM2" s="74"/>
      <c r="NGN2" s="74"/>
      <c r="NGO2" s="74"/>
      <c r="NGP2" s="74"/>
      <c r="NGQ2" s="74"/>
      <c r="NGR2" s="74"/>
      <c r="NGS2" s="74"/>
      <c r="NGT2" s="74"/>
      <c r="NGU2" s="74"/>
      <c r="NGV2" s="74"/>
      <c r="NGW2" s="74"/>
      <c r="NGX2" s="74"/>
      <c r="NGY2" s="74"/>
      <c r="NGZ2" s="74"/>
      <c r="NHA2" s="74"/>
      <c r="NHB2" s="74"/>
      <c r="NHC2" s="74"/>
      <c r="NHD2" s="74"/>
      <c r="NHE2" s="74"/>
      <c r="NHF2" s="74"/>
      <c r="NHG2" s="74"/>
      <c r="NHH2" s="74"/>
      <c r="NHI2" s="74"/>
      <c r="NHJ2" s="74"/>
      <c r="NHK2" s="74"/>
      <c r="NHL2" s="74"/>
      <c r="NHM2" s="74"/>
      <c r="NHN2" s="74"/>
      <c r="NHO2" s="74"/>
      <c r="NHP2" s="74"/>
      <c r="NHQ2" s="74"/>
      <c r="NHR2" s="74"/>
      <c r="NHS2" s="74"/>
      <c r="NHT2" s="74"/>
      <c r="NHU2" s="74"/>
      <c r="NHV2" s="74"/>
      <c r="NHW2" s="74"/>
      <c r="NHX2" s="74"/>
      <c r="NHY2" s="74"/>
      <c r="NHZ2" s="74"/>
      <c r="NIA2" s="74"/>
      <c r="NIB2" s="74"/>
      <c r="NIC2" s="74"/>
      <c r="NID2" s="74"/>
      <c r="NIE2" s="74"/>
      <c r="NIF2" s="74"/>
      <c r="NIG2" s="74"/>
      <c r="NIH2" s="74"/>
      <c r="NII2" s="74"/>
      <c r="NIJ2" s="74"/>
      <c r="NIK2" s="74"/>
      <c r="NIL2" s="74"/>
      <c r="NIM2" s="74"/>
      <c r="NIN2" s="74"/>
      <c r="NIO2" s="74"/>
      <c r="NIP2" s="74"/>
      <c r="NIQ2" s="74"/>
      <c r="NIR2" s="74"/>
      <c r="NIS2" s="74"/>
      <c r="NIT2" s="74"/>
      <c r="NIU2" s="74"/>
      <c r="NIV2" s="74"/>
      <c r="NIW2" s="74"/>
      <c r="NIX2" s="74"/>
      <c r="NIY2" s="74"/>
      <c r="NIZ2" s="74"/>
      <c r="NJA2" s="74"/>
      <c r="NJB2" s="74"/>
      <c r="NJC2" s="74"/>
      <c r="NJD2" s="74"/>
      <c r="NJE2" s="74"/>
      <c r="NJF2" s="74"/>
      <c r="NJG2" s="74"/>
      <c r="NJH2" s="74"/>
      <c r="NJI2" s="74"/>
      <c r="NJJ2" s="74"/>
      <c r="NJK2" s="74"/>
      <c r="NJL2" s="74"/>
      <c r="NJM2" s="74"/>
      <c r="NJN2" s="74"/>
      <c r="NJO2" s="74"/>
      <c r="NJP2" s="74"/>
      <c r="NJQ2" s="74"/>
      <c r="NJR2" s="74"/>
      <c r="NJS2" s="74"/>
      <c r="NJT2" s="74"/>
      <c r="NJU2" s="74"/>
      <c r="NJV2" s="74"/>
      <c r="NJW2" s="74"/>
      <c r="NJX2" s="74"/>
      <c r="NJY2" s="74"/>
      <c r="NJZ2" s="74"/>
      <c r="NKA2" s="74"/>
      <c r="NKB2" s="74"/>
      <c r="NKC2" s="74"/>
      <c r="NKD2" s="74"/>
      <c r="NKE2" s="74"/>
      <c r="NKF2" s="74"/>
      <c r="NKG2" s="74"/>
      <c r="NKH2" s="74"/>
      <c r="NKI2" s="74"/>
      <c r="NKJ2" s="74"/>
      <c r="NKK2" s="74"/>
      <c r="NKL2" s="74"/>
      <c r="NKM2" s="74"/>
      <c r="NKN2" s="74"/>
      <c r="NKO2" s="74"/>
      <c r="NKP2" s="74"/>
      <c r="NKQ2" s="74"/>
      <c r="NKR2" s="74"/>
      <c r="NKS2" s="74"/>
      <c r="NKT2" s="74"/>
      <c r="NKU2" s="74"/>
      <c r="NKV2" s="74"/>
      <c r="NKW2" s="74"/>
      <c r="NKX2" s="74"/>
      <c r="NKY2" s="74"/>
      <c r="NKZ2" s="74"/>
      <c r="NLA2" s="74"/>
      <c r="NLB2" s="74"/>
      <c r="NLC2" s="74"/>
      <c r="NLD2" s="74"/>
      <c r="NLE2" s="74"/>
      <c r="NLF2" s="74"/>
      <c r="NLG2" s="74"/>
      <c r="NLH2" s="74"/>
      <c r="NLI2" s="74"/>
      <c r="NLJ2" s="74"/>
      <c r="NLK2" s="74"/>
      <c r="NLL2" s="74"/>
      <c r="NLM2" s="74"/>
      <c r="NLN2" s="74"/>
      <c r="NLO2" s="74"/>
      <c r="NLP2" s="74"/>
      <c r="NLQ2" s="74"/>
      <c r="NLR2" s="74"/>
      <c r="NLS2" s="74"/>
      <c r="NLT2" s="74"/>
      <c r="NLU2" s="74"/>
      <c r="NLV2" s="74"/>
      <c r="NLW2" s="74"/>
      <c r="NLX2" s="74"/>
      <c r="NLY2" s="74"/>
      <c r="NLZ2" s="74"/>
      <c r="NMA2" s="74"/>
      <c r="NMB2" s="74"/>
      <c r="NMC2" s="74"/>
      <c r="NMD2" s="74"/>
      <c r="NME2" s="74"/>
      <c r="NMF2" s="74"/>
      <c r="NMG2" s="74"/>
      <c r="NMH2" s="74"/>
      <c r="NMI2" s="74"/>
      <c r="NMJ2" s="74"/>
      <c r="NMK2" s="74"/>
      <c r="NML2" s="74"/>
      <c r="NMM2" s="74"/>
      <c r="NMN2" s="74"/>
      <c r="NMO2" s="74"/>
      <c r="NMP2" s="74"/>
      <c r="NMQ2" s="74"/>
      <c r="NMR2" s="74"/>
      <c r="NMS2" s="74"/>
      <c r="NMT2" s="74"/>
      <c r="NMU2" s="74"/>
      <c r="NMV2" s="74"/>
      <c r="NMW2" s="74"/>
      <c r="NMX2" s="74"/>
      <c r="NMY2" s="74"/>
      <c r="NMZ2" s="74"/>
      <c r="NNA2" s="74"/>
      <c r="NNB2" s="74"/>
      <c r="NNC2" s="74"/>
      <c r="NND2" s="74"/>
      <c r="NNE2" s="74"/>
      <c r="NNF2" s="74"/>
      <c r="NNG2" s="74"/>
      <c r="NNH2" s="74"/>
      <c r="NNI2" s="74"/>
      <c r="NNJ2" s="74"/>
      <c r="NNK2" s="74"/>
      <c r="NNL2" s="74"/>
      <c r="NNM2" s="74"/>
      <c r="NNN2" s="74"/>
      <c r="NNO2" s="74"/>
      <c r="NNP2" s="74"/>
      <c r="NNQ2" s="74"/>
      <c r="NNR2" s="74"/>
      <c r="NNS2" s="74"/>
      <c r="NNT2" s="74"/>
      <c r="NNU2" s="74"/>
      <c r="NNV2" s="74"/>
      <c r="NNW2" s="74"/>
      <c r="NNX2" s="74"/>
      <c r="NNY2" s="74"/>
      <c r="NNZ2" s="74"/>
      <c r="NOA2" s="74"/>
      <c r="NOB2" s="74"/>
      <c r="NOC2" s="74"/>
      <c r="NOD2" s="74"/>
      <c r="NOE2" s="74"/>
      <c r="NOF2" s="74"/>
      <c r="NOG2" s="74"/>
      <c r="NOH2" s="74"/>
      <c r="NOI2" s="74"/>
      <c r="NOJ2" s="74"/>
      <c r="NOK2" s="74"/>
      <c r="NOL2" s="74"/>
      <c r="NOM2" s="74"/>
      <c r="NON2" s="74"/>
      <c r="NOO2" s="74"/>
      <c r="NOP2" s="74"/>
      <c r="NOQ2" s="74"/>
      <c r="NOR2" s="74"/>
      <c r="NOS2" s="74"/>
      <c r="NOT2" s="74"/>
      <c r="NOU2" s="74"/>
      <c r="NOV2" s="74"/>
      <c r="NOW2" s="74"/>
      <c r="NOX2" s="74"/>
      <c r="NOY2" s="74"/>
      <c r="NOZ2" s="74"/>
      <c r="NPA2" s="74"/>
      <c r="NPB2" s="74"/>
      <c r="NPC2" s="74"/>
      <c r="NPD2" s="74"/>
      <c r="NPE2" s="74"/>
      <c r="NPF2" s="74"/>
      <c r="NPG2" s="74"/>
      <c r="NPH2" s="74"/>
      <c r="NPI2" s="74"/>
      <c r="NPJ2" s="74"/>
      <c r="NPK2" s="74"/>
      <c r="NPL2" s="74"/>
      <c r="NPM2" s="74"/>
      <c r="NPN2" s="74"/>
      <c r="NPO2" s="74"/>
      <c r="NPP2" s="74"/>
      <c r="NPQ2" s="74"/>
      <c r="NPR2" s="74"/>
      <c r="NPS2" s="74"/>
      <c r="NPT2" s="74"/>
      <c r="NPU2" s="74"/>
      <c r="NPV2" s="74"/>
      <c r="NPW2" s="74"/>
      <c r="NPX2" s="74"/>
      <c r="NPY2" s="74"/>
      <c r="NPZ2" s="74"/>
      <c r="NQA2" s="74"/>
      <c r="NQB2" s="74"/>
      <c r="NQC2" s="74"/>
      <c r="NQD2" s="74"/>
      <c r="NQE2" s="74"/>
      <c r="NQF2" s="74"/>
      <c r="NQG2" s="74"/>
      <c r="NQH2" s="74"/>
      <c r="NQI2" s="74"/>
      <c r="NQJ2" s="74"/>
      <c r="NQK2" s="74"/>
      <c r="NQL2" s="74"/>
      <c r="NQM2" s="74"/>
      <c r="NQN2" s="74"/>
      <c r="NQO2" s="74"/>
      <c r="NQP2" s="74"/>
      <c r="NQQ2" s="74"/>
      <c r="NQR2" s="74"/>
      <c r="NQS2" s="74"/>
      <c r="NQT2" s="74"/>
      <c r="NQU2" s="74"/>
      <c r="NQV2" s="74"/>
      <c r="NQW2" s="74"/>
      <c r="NQX2" s="74"/>
      <c r="NQY2" s="74"/>
      <c r="NQZ2" s="74"/>
      <c r="NRA2" s="74"/>
      <c r="NRB2" s="74"/>
      <c r="NRC2" s="74"/>
      <c r="NRD2" s="74"/>
      <c r="NRE2" s="74"/>
      <c r="NRF2" s="74"/>
      <c r="NRG2" s="74"/>
      <c r="NRH2" s="74"/>
      <c r="NRI2" s="74"/>
      <c r="NRJ2" s="74"/>
      <c r="NRK2" s="74"/>
      <c r="NRL2" s="74"/>
      <c r="NRM2" s="74"/>
      <c r="NRN2" s="74"/>
      <c r="NRO2" s="74"/>
      <c r="NRP2" s="74"/>
      <c r="NRQ2" s="74"/>
      <c r="NRR2" s="74"/>
      <c r="NRS2" s="74"/>
      <c r="NRT2" s="74"/>
      <c r="NRU2" s="74"/>
      <c r="NRV2" s="74"/>
      <c r="NRW2" s="74"/>
      <c r="NRX2" s="74"/>
      <c r="NRY2" s="74"/>
      <c r="NRZ2" s="74"/>
      <c r="NSA2" s="74"/>
      <c r="NSB2" s="74"/>
      <c r="NSC2" s="74"/>
      <c r="NSD2" s="74"/>
      <c r="NSE2" s="74"/>
      <c r="NSF2" s="74"/>
      <c r="NSG2" s="74"/>
      <c r="NSH2" s="74"/>
      <c r="NSI2" s="74"/>
      <c r="NSJ2" s="74"/>
      <c r="NSK2" s="74"/>
      <c r="NSL2" s="74"/>
      <c r="NSM2" s="74"/>
      <c r="NSN2" s="74"/>
      <c r="NSO2" s="74"/>
      <c r="NSP2" s="74"/>
      <c r="NSQ2" s="74"/>
      <c r="NSR2" s="74"/>
      <c r="NSS2" s="74"/>
      <c r="NST2" s="74"/>
      <c r="NSU2" s="74"/>
      <c r="NSV2" s="74"/>
      <c r="NSW2" s="74"/>
      <c r="NSX2" s="74"/>
      <c r="NSY2" s="74"/>
      <c r="NSZ2" s="74"/>
      <c r="NTA2" s="74"/>
      <c r="NTB2" s="74"/>
      <c r="NTC2" s="74"/>
      <c r="NTD2" s="74"/>
      <c r="NTE2" s="74"/>
      <c r="NTF2" s="74"/>
      <c r="NTG2" s="74"/>
      <c r="NTH2" s="74"/>
      <c r="NTI2" s="74"/>
      <c r="NTJ2" s="74"/>
      <c r="NTK2" s="74"/>
      <c r="NTL2" s="74"/>
      <c r="NTM2" s="74"/>
      <c r="NTN2" s="74"/>
      <c r="NTO2" s="74"/>
      <c r="NTP2" s="74"/>
      <c r="NTQ2" s="74"/>
      <c r="NTR2" s="74"/>
      <c r="NTS2" s="74"/>
      <c r="NTT2" s="74"/>
      <c r="NTU2" s="74"/>
      <c r="NTV2" s="74"/>
      <c r="NTW2" s="74"/>
      <c r="NTX2" s="74"/>
      <c r="NTY2" s="74"/>
      <c r="NTZ2" s="74"/>
      <c r="NUA2" s="74"/>
      <c r="NUB2" s="74"/>
      <c r="NUC2" s="74"/>
      <c r="NUD2" s="74"/>
      <c r="NUE2" s="74"/>
      <c r="NUF2" s="74"/>
      <c r="NUG2" s="74"/>
      <c r="NUH2" s="74"/>
      <c r="NUI2" s="74"/>
      <c r="NUJ2" s="74"/>
      <c r="NUK2" s="74"/>
      <c r="NUL2" s="74"/>
      <c r="NUM2" s="74"/>
      <c r="NUN2" s="74"/>
      <c r="NUO2" s="74"/>
      <c r="NUP2" s="74"/>
      <c r="NUQ2" s="74"/>
      <c r="NUR2" s="74"/>
      <c r="NUS2" s="74"/>
      <c r="NUT2" s="74"/>
      <c r="NUU2" s="74"/>
      <c r="NUV2" s="74"/>
      <c r="NUW2" s="74"/>
      <c r="NUX2" s="74"/>
      <c r="NUY2" s="74"/>
      <c r="NUZ2" s="74"/>
      <c r="NVA2" s="74"/>
      <c r="NVB2" s="74"/>
      <c r="NVC2" s="74"/>
      <c r="NVD2" s="74"/>
      <c r="NVE2" s="74"/>
      <c r="NVF2" s="74"/>
      <c r="NVG2" s="74"/>
      <c r="NVH2" s="74"/>
      <c r="NVI2" s="74"/>
      <c r="NVJ2" s="74"/>
      <c r="NVK2" s="74"/>
      <c r="NVL2" s="74"/>
      <c r="NVM2" s="74"/>
      <c r="NVN2" s="74"/>
      <c r="NVO2" s="74"/>
      <c r="NVP2" s="74"/>
      <c r="NVQ2" s="74"/>
      <c r="NVR2" s="74"/>
      <c r="NVS2" s="74"/>
      <c r="NVT2" s="74"/>
      <c r="NVU2" s="74"/>
      <c r="NVV2" s="74"/>
      <c r="NVW2" s="74"/>
      <c r="NVX2" s="74"/>
      <c r="NVY2" s="74"/>
      <c r="NVZ2" s="74"/>
      <c r="NWA2" s="74"/>
      <c r="NWB2" s="74"/>
      <c r="NWC2" s="74"/>
      <c r="NWD2" s="74"/>
      <c r="NWE2" s="74"/>
      <c r="NWF2" s="74"/>
      <c r="NWG2" s="74"/>
      <c r="NWH2" s="74"/>
      <c r="NWI2" s="74"/>
      <c r="NWJ2" s="74"/>
      <c r="NWK2" s="74"/>
      <c r="NWL2" s="74"/>
      <c r="NWM2" s="74"/>
      <c r="NWN2" s="74"/>
      <c r="NWO2" s="74"/>
      <c r="NWP2" s="74"/>
      <c r="NWQ2" s="74"/>
      <c r="NWR2" s="74"/>
      <c r="NWS2" s="74"/>
      <c r="NWT2" s="74"/>
      <c r="NWU2" s="74"/>
      <c r="NWV2" s="74"/>
      <c r="NWW2" s="74"/>
      <c r="NWX2" s="74"/>
      <c r="NWY2" s="74"/>
      <c r="NWZ2" s="74"/>
      <c r="NXA2" s="74"/>
      <c r="NXB2" s="74"/>
      <c r="NXC2" s="74"/>
      <c r="NXD2" s="74"/>
      <c r="NXE2" s="74"/>
      <c r="NXF2" s="74"/>
      <c r="NXG2" s="74"/>
      <c r="NXH2" s="74"/>
      <c r="NXI2" s="74"/>
      <c r="NXJ2" s="74"/>
      <c r="NXK2" s="74"/>
      <c r="NXL2" s="74"/>
      <c r="NXM2" s="74"/>
      <c r="NXN2" s="74"/>
      <c r="NXO2" s="74"/>
      <c r="NXP2" s="74"/>
      <c r="NXQ2" s="74"/>
      <c r="NXR2" s="74"/>
      <c r="NXS2" s="74"/>
      <c r="NXT2" s="74"/>
      <c r="NXU2" s="74"/>
      <c r="NXV2" s="74"/>
      <c r="NXW2" s="74"/>
      <c r="NXX2" s="74"/>
      <c r="NXY2" s="74"/>
      <c r="NXZ2" s="74"/>
      <c r="NYA2" s="74"/>
      <c r="NYB2" s="74"/>
      <c r="NYC2" s="74"/>
      <c r="NYD2" s="74"/>
      <c r="NYE2" s="74"/>
      <c r="NYF2" s="74"/>
      <c r="NYG2" s="74"/>
      <c r="NYH2" s="74"/>
      <c r="NYI2" s="74"/>
      <c r="NYJ2" s="74"/>
      <c r="NYK2" s="74"/>
      <c r="NYL2" s="74"/>
      <c r="NYM2" s="74"/>
      <c r="NYN2" s="74"/>
      <c r="NYO2" s="74"/>
      <c r="NYP2" s="74"/>
      <c r="NYQ2" s="74"/>
      <c r="NYR2" s="74"/>
      <c r="NYS2" s="74"/>
      <c r="NYT2" s="74"/>
      <c r="NYU2" s="74"/>
      <c r="NYV2" s="74"/>
      <c r="NYW2" s="74"/>
      <c r="NYX2" s="74"/>
      <c r="NYY2" s="74"/>
      <c r="NYZ2" s="74"/>
      <c r="NZA2" s="74"/>
      <c r="NZB2" s="74"/>
      <c r="NZC2" s="74"/>
      <c r="NZD2" s="74"/>
      <c r="NZE2" s="74"/>
      <c r="NZF2" s="74"/>
      <c r="NZG2" s="74"/>
      <c r="NZH2" s="74"/>
      <c r="NZI2" s="74"/>
      <c r="NZJ2" s="74"/>
      <c r="NZK2" s="74"/>
      <c r="NZL2" s="74"/>
      <c r="NZM2" s="74"/>
      <c r="NZN2" s="74"/>
      <c r="NZO2" s="74"/>
      <c r="NZP2" s="74"/>
      <c r="NZQ2" s="74"/>
      <c r="NZR2" s="74"/>
      <c r="NZS2" s="74"/>
      <c r="NZT2" s="74"/>
      <c r="NZU2" s="74"/>
      <c r="NZV2" s="74"/>
      <c r="NZW2" s="74"/>
      <c r="NZX2" s="74"/>
      <c r="NZY2" s="74"/>
      <c r="NZZ2" s="74"/>
      <c r="OAA2" s="74"/>
      <c r="OAB2" s="74"/>
      <c r="OAC2" s="74"/>
      <c r="OAD2" s="74"/>
      <c r="OAE2" s="74"/>
      <c r="OAF2" s="74"/>
      <c r="OAG2" s="74"/>
      <c r="OAH2" s="74"/>
      <c r="OAI2" s="74"/>
      <c r="OAJ2" s="74"/>
      <c r="OAK2" s="74"/>
      <c r="OAL2" s="74"/>
      <c r="OAM2" s="74"/>
      <c r="OAN2" s="74"/>
      <c r="OAO2" s="74"/>
      <c r="OAP2" s="74"/>
      <c r="OAQ2" s="74"/>
      <c r="OAR2" s="74"/>
      <c r="OAS2" s="74"/>
      <c r="OAT2" s="74"/>
      <c r="OAU2" s="74"/>
      <c r="OAV2" s="74"/>
      <c r="OAW2" s="74"/>
      <c r="OAX2" s="74"/>
      <c r="OAY2" s="74"/>
      <c r="OAZ2" s="74"/>
      <c r="OBA2" s="74"/>
      <c r="OBB2" s="74"/>
      <c r="OBC2" s="74"/>
      <c r="OBD2" s="74"/>
      <c r="OBE2" s="74"/>
      <c r="OBF2" s="74"/>
      <c r="OBG2" s="74"/>
      <c r="OBH2" s="74"/>
      <c r="OBI2" s="74"/>
      <c r="OBJ2" s="74"/>
      <c r="OBK2" s="74"/>
      <c r="OBL2" s="74"/>
      <c r="OBM2" s="74"/>
      <c r="OBN2" s="74"/>
      <c r="OBO2" s="74"/>
      <c r="OBP2" s="74"/>
      <c r="OBQ2" s="74"/>
      <c r="OBR2" s="74"/>
      <c r="OBS2" s="74"/>
      <c r="OBT2" s="74"/>
      <c r="OBU2" s="74"/>
      <c r="OBV2" s="74"/>
      <c r="OBW2" s="74"/>
      <c r="OBX2" s="74"/>
      <c r="OBY2" s="74"/>
      <c r="OBZ2" s="74"/>
      <c r="OCA2" s="74"/>
      <c r="OCB2" s="74"/>
      <c r="OCC2" s="74"/>
      <c r="OCD2" s="74"/>
      <c r="OCE2" s="74"/>
      <c r="OCF2" s="74"/>
      <c r="OCG2" s="74"/>
      <c r="OCH2" s="74"/>
      <c r="OCI2" s="74"/>
      <c r="OCJ2" s="74"/>
      <c r="OCK2" s="74"/>
      <c r="OCL2" s="74"/>
      <c r="OCM2" s="74"/>
      <c r="OCN2" s="74"/>
      <c r="OCO2" s="74"/>
      <c r="OCP2" s="74"/>
      <c r="OCQ2" s="74"/>
      <c r="OCR2" s="74"/>
      <c r="OCS2" s="74"/>
      <c r="OCT2" s="74"/>
      <c r="OCU2" s="74"/>
      <c r="OCV2" s="74"/>
      <c r="OCW2" s="74"/>
      <c r="OCX2" s="74"/>
      <c r="OCY2" s="74"/>
      <c r="OCZ2" s="74"/>
      <c r="ODA2" s="74"/>
      <c r="ODB2" s="74"/>
      <c r="ODC2" s="74"/>
      <c r="ODD2" s="74"/>
      <c r="ODE2" s="74"/>
      <c r="ODF2" s="74"/>
      <c r="ODG2" s="74"/>
      <c r="ODH2" s="74"/>
      <c r="ODI2" s="74"/>
      <c r="ODJ2" s="74"/>
      <c r="ODK2" s="74"/>
      <c r="ODL2" s="74"/>
      <c r="ODM2" s="74"/>
      <c r="ODN2" s="74"/>
      <c r="ODO2" s="74"/>
      <c r="ODP2" s="74"/>
      <c r="ODQ2" s="74"/>
      <c r="ODR2" s="74"/>
      <c r="ODS2" s="74"/>
      <c r="ODT2" s="74"/>
      <c r="ODU2" s="74"/>
      <c r="ODV2" s="74"/>
      <c r="ODW2" s="74"/>
      <c r="ODX2" s="74"/>
      <c r="ODY2" s="74"/>
      <c r="ODZ2" s="74"/>
      <c r="OEA2" s="74"/>
      <c r="OEB2" s="74"/>
      <c r="OEC2" s="74"/>
      <c r="OED2" s="74"/>
      <c r="OEE2" s="74"/>
      <c r="OEF2" s="74"/>
      <c r="OEG2" s="74"/>
      <c r="OEH2" s="74"/>
      <c r="OEI2" s="74"/>
      <c r="OEJ2" s="74"/>
      <c r="OEK2" s="74"/>
      <c r="OEL2" s="74"/>
      <c r="OEM2" s="74"/>
      <c r="OEN2" s="74"/>
      <c r="OEO2" s="74"/>
      <c r="OEP2" s="74"/>
      <c r="OEQ2" s="74"/>
      <c r="OER2" s="74"/>
      <c r="OES2" s="74"/>
      <c r="OET2" s="74"/>
      <c r="OEU2" s="74"/>
      <c r="OEV2" s="74"/>
      <c r="OEW2" s="74"/>
      <c r="OEX2" s="74"/>
      <c r="OEY2" s="74"/>
      <c r="OEZ2" s="74"/>
      <c r="OFA2" s="74"/>
      <c r="OFB2" s="74"/>
      <c r="OFC2" s="74"/>
      <c r="OFD2" s="74"/>
      <c r="OFE2" s="74"/>
      <c r="OFF2" s="74"/>
      <c r="OFG2" s="74"/>
      <c r="OFH2" s="74"/>
      <c r="OFI2" s="74"/>
      <c r="OFJ2" s="74"/>
      <c r="OFK2" s="74"/>
      <c r="OFL2" s="74"/>
      <c r="OFM2" s="74"/>
      <c r="OFN2" s="74"/>
      <c r="OFO2" s="74"/>
      <c r="OFP2" s="74"/>
      <c r="OFQ2" s="74"/>
      <c r="OFR2" s="74"/>
      <c r="OFS2" s="74"/>
      <c r="OFT2" s="74"/>
      <c r="OFU2" s="74"/>
      <c r="OFV2" s="74"/>
      <c r="OFW2" s="74"/>
      <c r="OFX2" s="74"/>
      <c r="OFY2" s="74"/>
      <c r="OFZ2" s="74"/>
      <c r="OGA2" s="74"/>
      <c r="OGB2" s="74"/>
      <c r="OGC2" s="74"/>
      <c r="OGD2" s="74"/>
      <c r="OGE2" s="74"/>
      <c r="OGF2" s="74"/>
      <c r="OGG2" s="74"/>
      <c r="OGH2" s="74"/>
      <c r="OGI2" s="74"/>
      <c r="OGJ2" s="74"/>
      <c r="OGK2" s="74"/>
      <c r="OGL2" s="74"/>
      <c r="OGM2" s="74"/>
      <c r="OGN2" s="74"/>
      <c r="OGO2" s="74"/>
      <c r="OGP2" s="74"/>
      <c r="OGQ2" s="74"/>
      <c r="OGR2" s="74"/>
      <c r="OGS2" s="74"/>
      <c r="OGT2" s="74"/>
      <c r="OGU2" s="74"/>
      <c r="OGV2" s="74"/>
      <c r="OGW2" s="74"/>
      <c r="OGX2" s="74"/>
      <c r="OGY2" s="74"/>
      <c r="OGZ2" s="74"/>
      <c r="OHA2" s="74"/>
      <c r="OHB2" s="74"/>
      <c r="OHC2" s="74"/>
      <c r="OHD2" s="74"/>
      <c r="OHE2" s="74"/>
      <c r="OHF2" s="74"/>
      <c r="OHG2" s="74"/>
      <c r="OHH2" s="74"/>
      <c r="OHI2" s="74"/>
      <c r="OHJ2" s="74"/>
      <c r="OHK2" s="74"/>
      <c r="OHL2" s="74"/>
      <c r="OHM2" s="74"/>
      <c r="OHN2" s="74"/>
      <c r="OHO2" s="74"/>
      <c r="OHP2" s="74"/>
      <c r="OHQ2" s="74"/>
      <c r="OHR2" s="74"/>
      <c r="OHS2" s="74"/>
      <c r="OHT2" s="74"/>
      <c r="OHU2" s="74"/>
      <c r="OHV2" s="74"/>
      <c r="OHW2" s="74"/>
      <c r="OHX2" s="74"/>
      <c r="OHY2" s="74"/>
      <c r="OHZ2" s="74"/>
      <c r="OIA2" s="74"/>
      <c r="OIB2" s="74"/>
      <c r="OIC2" s="74"/>
      <c r="OID2" s="74"/>
      <c r="OIE2" s="74"/>
      <c r="OIF2" s="74"/>
      <c r="OIG2" s="74"/>
      <c r="OIH2" s="74"/>
      <c r="OII2" s="74"/>
      <c r="OIJ2" s="74"/>
      <c r="OIK2" s="74"/>
      <c r="OIL2" s="74"/>
      <c r="OIM2" s="74"/>
      <c r="OIN2" s="74"/>
      <c r="OIO2" s="74"/>
      <c r="OIP2" s="74"/>
      <c r="OIQ2" s="74"/>
      <c r="OIR2" s="74"/>
      <c r="OIS2" s="74"/>
      <c r="OIT2" s="74"/>
      <c r="OIU2" s="74"/>
      <c r="OIV2" s="74"/>
      <c r="OIW2" s="74"/>
      <c r="OIX2" s="74"/>
      <c r="OIY2" s="74"/>
      <c r="OIZ2" s="74"/>
      <c r="OJA2" s="74"/>
      <c r="OJB2" s="74"/>
      <c r="OJC2" s="74"/>
      <c r="OJD2" s="74"/>
      <c r="OJE2" s="74"/>
      <c r="OJF2" s="74"/>
      <c r="OJG2" s="74"/>
      <c r="OJH2" s="74"/>
      <c r="OJI2" s="74"/>
      <c r="OJJ2" s="74"/>
      <c r="OJK2" s="74"/>
      <c r="OJL2" s="74"/>
      <c r="OJM2" s="74"/>
      <c r="OJN2" s="74"/>
      <c r="OJO2" s="74"/>
      <c r="OJP2" s="74"/>
      <c r="OJQ2" s="74"/>
      <c r="OJR2" s="74"/>
      <c r="OJS2" s="74"/>
      <c r="OJT2" s="74"/>
      <c r="OJU2" s="74"/>
      <c r="OJV2" s="74"/>
      <c r="OJW2" s="74"/>
      <c r="OJX2" s="74"/>
      <c r="OJY2" s="74"/>
      <c r="OJZ2" s="74"/>
      <c r="OKA2" s="74"/>
      <c r="OKB2" s="74"/>
      <c r="OKC2" s="74"/>
      <c r="OKD2" s="74"/>
      <c r="OKE2" s="74"/>
      <c r="OKF2" s="74"/>
      <c r="OKG2" s="74"/>
      <c r="OKH2" s="74"/>
      <c r="OKI2" s="74"/>
      <c r="OKJ2" s="74"/>
      <c r="OKK2" s="74"/>
      <c r="OKL2" s="74"/>
      <c r="OKM2" s="74"/>
      <c r="OKN2" s="74"/>
      <c r="OKO2" s="74"/>
      <c r="OKP2" s="74"/>
      <c r="OKQ2" s="74"/>
      <c r="OKR2" s="74"/>
      <c r="OKS2" s="74"/>
      <c r="OKT2" s="74"/>
      <c r="OKU2" s="74"/>
      <c r="OKV2" s="74"/>
      <c r="OKW2" s="74"/>
      <c r="OKX2" s="74"/>
      <c r="OKY2" s="74"/>
      <c r="OKZ2" s="74"/>
      <c r="OLA2" s="74"/>
      <c r="OLB2" s="74"/>
      <c r="OLC2" s="74"/>
      <c r="OLD2" s="74"/>
      <c r="OLE2" s="74"/>
      <c r="OLF2" s="74"/>
      <c r="OLG2" s="74"/>
      <c r="OLH2" s="74"/>
      <c r="OLI2" s="74"/>
      <c r="OLJ2" s="74"/>
      <c r="OLK2" s="74"/>
      <c r="OLL2" s="74"/>
      <c r="OLM2" s="74"/>
      <c r="OLN2" s="74"/>
      <c r="OLO2" s="74"/>
      <c r="OLP2" s="74"/>
      <c r="OLQ2" s="74"/>
      <c r="OLR2" s="74"/>
      <c r="OLS2" s="74"/>
      <c r="OLT2" s="74"/>
      <c r="OLU2" s="74"/>
      <c r="OLV2" s="74"/>
      <c r="OLW2" s="74"/>
      <c r="OLX2" s="74"/>
      <c r="OLY2" s="74"/>
      <c r="OLZ2" s="74"/>
      <c r="OMA2" s="74"/>
      <c r="OMB2" s="74"/>
      <c r="OMC2" s="74"/>
      <c r="OMD2" s="74"/>
      <c r="OME2" s="74"/>
      <c r="OMF2" s="74"/>
      <c r="OMG2" s="74"/>
      <c r="OMH2" s="74"/>
      <c r="OMI2" s="74"/>
      <c r="OMJ2" s="74"/>
      <c r="OMK2" s="74"/>
      <c r="OML2" s="74"/>
      <c r="OMM2" s="74"/>
      <c r="OMN2" s="74"/>
      <c r="OMO2" s="74"/>
      <c r="OMP2" s="74"/>
      <c r="OMQ2" s="74"/>
      <c r="OMR2" s="74"/>
      <c r="OMS2" s="74"/>
      <c r="OMT2" s="74"/>
      <c r="OMU2" s="74"/>
      <c r="OMV2" s="74"/>
      <c r="OMW2" s="74"/>
      <c r="OMX2" s="74"/>
      <c r="OMY2" s="74"/>
      <c r="OMZ2" s="74"/>
      <c r="ONA2" s="74"/>
      <c r="ONB2" s="74"/>
      <c r="ONC2" s="74"/>
      <c r="OND2" s="74"/>
      <c r="ONE2" s="74"/>
      <c r="ONF2" s="74"/>
      <c r="ONG2" s="74"/>
      <c r="ONH2" s="74"/>
      <c r="ONI2" s="74"/>
      <c r="ONJ2" s="74"/>
      <c r="ONK2" s="74"/>
      <c r="ONL2" s="74"/>
      <c r="ONM2" s="74"/>
      <c r="ONN2" s="74"/>
      <c r="ONO2" s="74"/>
      <c r="ONP2" s="74"/>
      <c r="ONQ2" s="74"/>
      <c r="ONR2" s="74"/>
      <c r="ONS2" s="74"/>
      <c r="ONT2" s="74"/>
      <c r="ONU2" s="74"/>
      <c r="ONV2" s="74"/>
      <c r="ONW2" s="74"/>
      <c r="ONX2" s="74"/>
      <c r="ONY2" s="74"/>
      <c r="ONZ2" s="74"/>
      <c r="OOA2" s="74"/>
      <c r="OOB2" s="74"/>
      <c r="OOC2" s="74"/>
      <c r="OOD2" s="74"/>
      <c r="OOE2" s="74"/>
      <c r="OOF2" s="74"/>
      <c r="OOG2" s="74"/>
      <c r="OOH2" s="74"/>
      <c r="OOI2" s="74"/>
      <c r="OOJ2" s="74"/>
      <c r="OOK2" s="74"/>
      <c r="OOL2" s="74"/>
      <c r="OOM2" s="74"/>
      <c r="OON2" s="74"/>
      <c r="OOO2" s="74"/>
      <c r="OOP2" s="74"/>
      <c r="OOQ2" s="74"/>
      <c r="OOR2" s="74"/>
      <c r="OOS2" s="74"/>
      <c r="OOT2" s="74"/>
      <c r="OOU2" s="74"/>
      <c r="OOV2" s="74"/>
      <c r="OOW2" s="74"/>
      <c r="OOX2" s="74"/>
      <c r="OOY2" s="74"/>
      <c r="OOZ2" s="74"/>
      <c r="OPA2" s="74"/>
      <c r="OPB2" s="74"/>
      <c r="OPC2" s="74"/>
      <c r="OPD2" s="74"/>
    </row>
    <row r="3" spans="2:10560" x14ac:dyDescent="0.25">
      <c r="B3" s="199"/>
      <c r="C3" s="81"/>
      <c r="D3" s="81"/>
      <c r="E3" s="112"/>
      <c r="F3" s="74"/>
      <c r="G3" s="162"/>
      <c r="H3" s="81"/>
      <c r="I3" s="204"/>
      <c r="J3" s="16"/>
      <c r="K3" s="171"/>
      <c r="L3" s="171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16"/>
      <c r="JZ3" s="16"/>
      <c r="KA3" s="16"/>
      <c r="KB3" s="16"/>
      <c r="KC3" s="16"/>
      <c r="KD3" s="16"/>
      <c r="KE3" s="16"/>
      <c r="KF3" s="16"/>
      <c r="KG3" s="16"/>
      <c r="KH3" s="16"/>
      <c r="KI3" s="16"/>
      <c r="KJ3" s="16"/>
      <c r="KK3" s="16"/>
      <c r="KL3" s="16"/>
      <c r="KM3" s="16"/>
      <c r="KN3" s="16"/>
      <c r="KO3" s="16"/>
      <c r="KP3" s="16"/>
      <c r="KQ3" s="16"/>
      <c r="KR3" s="16"/>
      <c r="KS3" s="16"/>
      <c r="KT3" s="16"/>
      <c r="KU3" s="16"/>
      <c r="KV3" s="16"/>
      <c r="KW3" s="16"/>
      <c r="KX3" s="16"/>
      <c r="KY3" s="16"/>
      <c r="KZ3" s="16"/>
      <c r="LA3" s="16"/>
      <c r="LB3" s="16"/>
      <c r="LC3" s="16"/>
      <c r="LD3" s="16"/>
      <c r="LE3" s="16"/>
      <c r="LF3" s="16"/>
      <c r="LG3" s="16"/>
      <c r="LH3" s="16"/>
      <c r="LI3" s="16"/>
      <c r="LJ3" s="16"/>
      <c r="LK3" s="16"/>
      <c r="LL3" s="16"/>
      <c r="LM3" s="16"/>
      <c r="LN3" s="16"/>
      <c r="LO3" s="16"/>
      <c r="LP3" s="16"/>
      <c r="LQ3" s="16"/>
      <c r="LR3" s="16"/>
      <c r="LS3" s="16"/>
      <c r="LT3" s="16"/>
      <c r="LU3" s="16"/>
      <c r="LV3" s="16"/>
      <c r="LW3" s="16"/>
      <c r="LX3" s="16"/>
      <c r="LY3" s="16"/>
      <c r="LZ3" s="16"/>
      <c r="MA3" s="16"/>
      <c r="MB3" s="16"/>
      <c r="MC3" s="16"/>
      <c r="MD3" s="16"/>
      <c r="ME3" s="16"/>
      <c r="MF3" s="16"/>
      <c r="MG3" s="16"/>
      <c r="MH3" s="16"/>
      <c r="MI3" s="16"/>
      <c r="MJ3" s="16"/>
      <c r="MK3" s="16"/>
      <c r="ML3" s="16"/>
      <c r="MM3" s="16"/>
      <c r="MN3" s="16"/>
      <c r="MO3" s="16"/>
      <c r="MP3" s="16"/>
      <c r="MQ3" s="16"/>
      <c r="MR3" s="16"/>
      <c r="MS3" s="16"/>
      <c r="MT3" s="16"/>
      <c r="MU3" s="16"/>
      <c r="MV3" s="16"/>
      <c r="MW3" s="16"/>
      <c r="MX3" s="16"/>
      <c r="MY3" s="16"/>
      <c r="MZ3" s="16"/>
      <c r="NA3" s="16"/>
      <c r="NB3" s="16"/>
      <c r="NC3" s="16"/>
      <c r="ND3" s="16"/>
      <c r="NE3" s="16"/>
      <c r="NF3" s="16"/>
      <c r="NG3" s="16"/>
      <c r="NH3" s="16"/>
      <c r="NI3" s="16"/>
      <c r="NJ3" s="16"/>
      <c r="NK3" s="16"/>
      <c r="NL3" s="16"/>
      <c r="NM3" s="16"/>
      <c r="NN3" s="16"/>
      <c r="NO3" s="16"/>
      <c r="NP3" s="16"/>
      <c r="NQ3" s="16"/>
      <c r="NR3" s="16"/>
      <c r="NS3" s="16"/>
      <c r="NT3" s="16"/>
      <c r="NU3" s="16"/>
      <c r="NV3" s="16"/>
      <c r="NW3" s="16"/>
      <c r="NX3" s="16"/>
      <c r="NY3" s="16"/>
      <c r="NZ3" s="16"/>
      <c r="OA3" s="16"/>
      <c r="OB3" s="16"/>
      <c r="OC3" s="16"/>
      <c r="OD3" s="16"/>
      <c r="OE3" s="16"/>
      <c r="OF3" s="16"/>
      <c r="OG3" s="16"/>
      <c r="OH3" s="16"/>
      <c r="OI3" s="16"/>
      <c r="OJ3" s="16"/>
      <c r="OK3" s="16"/>
      <c r="OL3" s="16"/>
      <c r="OM3" s="16"/>
      <c r="ON3" s="16"/>
      <c r="OO3" s="16"/>
      <c r="OP3" s="16"/>
      <c r="OQ3" s="16"/>
      <c r="OR3" s="16"/>
      <c r="OS3" s="16"/>
      <c r="OT3" s="16"/>
      <c r="OU3" s="16"/>
      <c r="OV3" s="16"/>
      <c r="OW3" s="16"/>
      <c r="OX3" s="16"/>
      <c r="OY3" s="16"/>
      <c r="OZ3" s="16"/>
      <c r="PA3" s="16"/>
      <c r="PB3" s="16"/>
      <c r="PC3" s="16"/>
      <c r="PD3" s="16"/>
      <c r="PE3" s="16"/>
      <c r="PF3" s="16"/>
      <c r="PG3" s="16"/>
      <c r="PH3" s="16"/>
      <c r="PI3" s="16"/>
      <c r="PJ3" s="16"/>
      <c r="PK3" s="16"/>
      <c r="PL3" s="16"/>
      <c r="PM3" s="16"/>
      <c r="PN3" s="16"/>
      <c r="PO3" s="16"/>
      <c r="PP3" s="16"/>
      <c r="PQ3" s="16"/>
      <c r="PR3" s="16"/>
      <c r="PS3" s="16"/>
      <c r="PT3" s="16"/>
      <c r="PU3" s="16"/>
      <c r="PV3" s="16"/>
      <c r="PW3" s="16"/>
      <c r="PX3" s="16"/>
      <c r="PY3" s="16"/>
      <c r="PZ3" s="16"/>
      <c r="QA3" s="16"/>
      <c r="QB3" s="16"/>
      <c r="QC3" s="16"/>
      <c r="QD3" s="16"/>
      <c r="QE3" s="16"/>
      <c r="QF3" s="16"/>
      <c r="QG3" s="16"/>
      <c r="QH3" s="16"/>
      <c r="QI3" s="16"/>
      <c r="QJ3" s="16"/>
      <c r="QK3" s="16"/>
      <c r="QL3" s="16"/>
      <c r="QM3" s="16"/>
      <c r="QN3" s="16"/>
      <c r="QO3" s="16"/>
      <c r="QP3" s="16"/>
      <c r="QQ3" s="16"/>
      <c r="QR3" s="16"/>
      <c r="QS3" s="16"/>
      <c r="QT3" s="16"/>
      <c r="QU3" s="16"/>
      <c r="QV3" s="16"/>
      <c r="QW3" s="16"/>
      <c r="QX3" s="16"/>
      <c r="QY3" s="16"/>
      <c r="QZ3" s="16"/>
      <c r="RA3" s="16"/>
      <c r="RB3" s="16"/>
      <c r="RC3" s="16"/>
      <c r="RD3" s="16"/>
      <c r="RE3" s="16"/>
      <c r="RF3" s="16"/>
      <c r="RG3" s="16"/>
      <c r="RH3" s="16"/>
      <c r="RI3" s="16"/>
      <c r="RJ3" s="16"/>
      <c r="RK3" s="16"/>
      <c r="RL3" s="16"/>
      <c r="RM3" s="16"/>
      <c r="RN3" s="16"/>
      <c r="RO3" s="16"/>
      <c r="RP3" s="16"/>
      <c r="RQ3" s="16"/>
      <c r="RR3" s="16"/>
      <c r="RS3" s="16"/>
      <c r="RT3" s="16"/>
      <c r="RU3" s="16"/>
      <c r="RV3" s="16"/>
      <c r="RW3" s="16"/>
      <c r="RX3" s="16"/>
      <c r="RY3" s="16"/>
      <c r="RZ3" s="16"/>
      <c r="SA3" s="16"/>
      <c r="SB3" s="16"/>
      <c r="SC3" s="16"/>
      <c r="SD3" s="16"/>
      <c r="SE3" s="16"/>
      <c r="SF3" s="16"/>
      <c r="SG3" s="16"/>
      <c r="SH3" s="16"/>
      <c r="SI3" s="16"/>
      <c r="SJ3" s="16"/>
      <c r="SK3" s="16"/>
      <c r="SL3" s="16"/>
      <c r="SM3" s="16"/>
      <c r="SN3" s="16"/>
      <c r="SO3" s="16"/>
      <c r="SP3" s="16"/>
      <c r="SQ3" s="16"/>
      <c r="SR3" s="16"/>
      <c r="SS3" s="16"/>
      <c r="ST3" s="16"/>
      <c r="SU3" s="16"/>
      <c r="SV3" s="16"/>
      <c r="SW3" s="16"/>
      <c r="SX3" s="16"/>
      <c r="SY3" s="16"/>
      <c r="SZ3" s="16"/>
      <c r="TA3" s="16"/>
      <c r="TB3" s="16"/>
      <c r="TC3" s="16"/>
      <c r="TD3" s="16"/>
      <c r="TE3" s="16"/>
      <c r="TF3" s="16"/>
      <c r="TG3" s="16"/>
      <c r="TH3" s="16"/>
      <c r="TI3" s="16"/>
      <c r="TJ3" s="16"/>
      <c r="TK3" s="16"/>
      <c r="TL3" s="16"/>
      <c r="TM3" s="16"/>
      <c r="TN3" s="16"/>
      <c r="TO3" s="16"/>
      <c r="TP3" s="16"/>
      <c r="TQ3" s="16"/>
      <c r="TR3" s="16"/>
      <c r="TS3" s="16"/>
      <c r="TT3" s="16"/>
      <c r="TU3" s="16"/>
      <c r="TV3" s="16"/>
      <c r="TW3" s="16"/>
      <c r="TX3" s="16"/>
      <c r="TY3" s="16"/>
      <c r="TZ3" s="16"/>
      <c r="UA3" s="16"/>
      <c r="UB3" s="16"/>
      <c r="UC3" s="16"/>
      <c r="UD3" s="16"/>
      <c r="UE3" s="16"/>
      <c r="UF3" s="16"/>
      <c r="UG3" s="16"/>
      <c r="UH3" s="16"/>
      <c r="UI3" s="16"/>
      <c r="UJ3" s="16"/>
      <c r="UK3" s="16"/>
      <c r="UL3" s="16"/>
      <c r="UM3" s="16"/>
      <c r="UN3" s="16"/>
      <c r="UO3" s="16"/>
      <c r="UP3" s="16"/>
      <c r="UQ3" s="16"/>
      <c r="UR3" s="16"/>
      <c r="US3" s="16"/>
      <c r="UT3" s="16"/>
      <c r="UU3" s="16"/>
      <c r="UV3" s="16"/>
      <c r="UW3" s="16"/>
      <c r="UX3" s="16"/>
      <c r="UY3" s="16"/>
      <c r="UZ3" s="16"/>
      <c r="VA3" s="16"/>
      <c r="VB3" s="16"/>
      <c r="VC3" s="16"/>
      <c r="VD3" s="16"/>
      <c r="VE3" s="16"/>
      <c r="VF3" s="16"/>
      <c r="VG3" s="16"/>
      <c r="VH3" s="16"/>
      <c r="VI3" s="16"/>
      <c r="VJ3" s="16"/>
      <c r="VK3" s="16"/>
      <c r="VL3" s="16"/>
      <c r="VM3" s="16"/>
      <c r="VN3" s="16"/>
      <c r="VO3" s="16"/>
      <c r="VP3" s="16"/>
      <c r="VQ3" s="16"/>
      <c r="VR3" s="16"/>
      <c r="VS3" s="16"/>
      <c r="VT3" s="16"/>
      <c r="VU3" s="16"/>
      <c r="VV3" s="16"/>
      <c r="VW3" s="16"/>
      <c r="VX3" s="16"/>
      <c r="VY3" s="16"/>
      <c r="VZ3" s="16"/>
      <c r="WA3" s="16"/>
      <c r="WB3" s="16"/>
      <c r="WC3" s="16"/>
      <c r="WD3" s="16"/>
      <c r="WE3" s="16"/>
      <c r="WF3" s="16"/>
      <c r="WG3" s="16"/>
      <c r="WH3" s="16"/>
      <c r="WI3" s="16"/>
      <c r="WJ3" s="16"/>
      <c r="WK3" s="16"/>
      <c r="WL3" s="16"/>
      <c r="WM3" s="16"/>
      <c r="WN3" s="16"/>
      <c r="WO3" s="16"/>
      <c r="WP3" s="16"/>
      <c r="WQ3" s="16"/>
      <c r="WR3" s="16"/>
      <c r="WS3" s="16"/>
      <c r="WT3" s="16"/>
      <c r="WU3" s="16"/>
      <c r="WV3" s="16"/>
      <c r="WW3" s="16"/>
      <c r="WX3" s="16"/>
      <c r="WY3" s="16"/>
      <c r="WZ3" s="16"/>
      <c r="XA3" s="16"/>
      <c r="XB3" s="16"/>
      <c r="XC3" s="16"/>
      <c r="XD3" s="16"/>
      <c r="XE3" s="16"/>
      <c r="XF3" s="16"/>
      <c r="XG3" s="16"/>
      <c r="XH3" s="16"/>
      <c r="XI3" s="16"/>
      <c r="XJ3" s="16"/>
      <c r="XK3" s="16"/>
      <c r="XL3" s="16"/>
      <c r="XM3" s="16"/>
      <c r="XN3" s="16"/>
      <c r="XO3" s="16"/>
      <c r="XP3" s="16"/>
      <c r="XQ3" s="16"/>
      <c r="XR3" s="16"/>
      <c r="XS3" s="16"/>
      <c r="XT3" s="16"/>
      <c r="XU3" s="16"/>
      <c r="XV3" s="16"/>
      <c r="XW3" s="16"/>
      <c r="XX3" s="16"/>
      <c r="XY3" s="16"/>
      <c r="XZ3" s="16"/>
      <c r="YA3" s="16"/>
      <c r="YB3" s="16"/>
      <c r="YC3" s="16"/>
      <c r="YD3" s="16"/>
      <c r="YE3" s="16"/>
      <c r="YF3" s="16"/>
      <c r="YG3" s="16"/>
      <c r="YH3" s="16"/>
      <c r="YI3" s="16"/>
      <c r="YJ3" s="16"/>
      <c r="YK3" s="16"/>
      <c r="YL3" s="16"/>
      <c r="YM3" s="16"/>
      <c r="YN3" s="16"/>
      <c r="YO3" s="16"/>
      <c r="YP3" s="16"/>
      <c r="YQ3" s="16"/>
      <c r="YR3" s="16"/>
      <c r="YS3" s="16"/>
      <c r="YT3" s="16"/>
      <c r="YU3" s="16"/>
      <c r="YV3" s="16"/>
      <c r="YW3" s="16"/>
      <c r="YX3" s="16"/>
      <c r="YY3" s="16"/>
      <c r="YZ3" s="16"/>
      <c r="ZA3" s="16"/>
      <c r="ZB3" s="16"/>
      <c r="ZC3" s="16"/>
      <c r="ZD3" s="16"/>
      <c r="ZE3" s="16"/>
      <c r="ZF3" s="16"/>
      <c r="ZG3" s="16"/>
      <c r="ZH3" s="16"/>
      <c r="ZI3" s="16"/>
      <c r="ZJ3" s="16"/>
      <c r="ZK3" s="16"/>
      <c r="ZL3" s="16"/>
      <c r="ZM3" s="16"/>
      <c r="ZN3" s="16"/>
      <c r="ZO3" s="16"/>
      <c r="ZP3" s="16"/>
      <c r="ZQ3" s="16"/>
      <c r="ZR3" s="16"/>
      <c r="ZS3" s="16"/>
      <c r="ZT3" s="16"/>
      <c r="ZU3" s="16"/>
      <c r="ZV3" s="16"/>
      <c r="ZW3" s="16"/>
      <c r="ZX3" s="16"/>
      <c r="ZY3" s="16"/>
      <c r="ZZ3" s="16"/>
      <c r="AAA3" s="16"/>
      <c r="AAB3" s="16"/>
      <c r="AAC3" s="16"/>
      <c r="AAD3" s="16"/>
      <c r="AAE3" s="16"/>
      <c r="AAF3" s="16"/>
      <c r="AAG3" s="16"/>
      <c r="AAH3" s="16"/>
      <c r="AAI3" s="16"/>
      <c r="AAJ3" s="16"/>
      <c r="AAK3" s="16"/>
      <c r="AAL3" s="16"/>
      <c r="AAM3" s="16"/>
      <c r="AAN3" s="16"/>
      <c r="AAO3" s="16"/>
      <c r="AAP3" s="16"/>
      <c r="AAQ3" s="16"/>
      <c r="AAR3" s="16"/>
      <c r="AAS3" s="16"/>
      <c r="AAT3" s="16"/>
      <c r="AAU3" s="16"/>
      <c r="AAV3" s="16"/>
      <c r="AAW3" s="16"/>
      <c r="AAX3" s="16"/>
      <c r="AAY3" s="16"/>
      <c r="AAZ3" s="16"/>
      <c r="ABA3" s="16"/>
      <c r="ABB3" s="16"/>
      <c r="ABC3" s="16"/>
      <c r="ABD3" s="16"/>
      <c r="ABE3" s="16"/>
      <c r="ABF3" s="16"/>
      <c r="ABG3" s="16"/>
      <c r="ABH3" s="16"/>
      <c r="ABI3" s="16"/>
      <c r="ABJ3" s="16"/>
      <c r="ABK3" s="16"/>
      <c r="ABL3" s="16"/>
      <c r="ABM3" s="16"/>
      <c r="ABN3" s="16"/>
      <c r="ABO3" s="16"/>
      <c r="ABP3" s="16"/>
      <c r="ABQ3" s="16"/>
      <c r="ABR3" s="16"/>
      <c r="ABS3" s="16"/>
      <c r="ABT3" s="16"/>
      <c r="ABU3" s="16"/>
      <c r="ABV3" s="16"/>
      <c r="ABW3" s="16"/>
      <c r="ABX3" s="16"/>
      <c r="ABY3" s="16"/>
      <c r="ABZ3" s="16"/>
      <c r="ACA3" s="16"/>
      <c r="ACB3" s="16"/>
      <c r="ACC3" s="16"/>
      <c r="ACD3" s="16"/>
      <c r="ACE3" s="16"/>
      <c r="ACF3" s="16"/>
      <c r="ACG3" s="16"/>
      <c r="ACH3" s="16"/>
      <c r="ACI3" s="16"/>
      <c r="ACJ3" s="16"/>
      <c r="ACK3" s="16"/>
      <c r="ACL3" s="16"/>
      <c r="ACM3" s="16"/>
      <c r="ACN3" s="16"/>
      <c r="ACO3" s="16"/>
      <c r="ACP3" s="16"/>
      <c r="ACQ3" s="16"/>
      <c r="ACR3" s="16"/>
      <c r="ACS3" s="16"/>
      <c r="ACT3" s="16"/>
      <c r="ACU3" s="16"/>
      <c r="ACV3" s="16"/>
      <c r="ACW3" s="16"/>
      <c r="ACX3" s="16"/>
      <c r="ACY3" s="16"/>
      <c r="ACZ3" s="16"/>
      <c r="ADA3" s="16"/>
      <c r="ADB3" s="16"/>
      <c r="ADC3" s="16"/>
      <c r="ADD3" s="16"/>
      <c r="ADE3" s="16"/>
      <c r="ADF3" s="16"/>
      <c r="ADG3" s="16"/>
      <c r="ADH3" s="16"/>
      <c r="ADI3" s="16"/>
      <c r="ADJ3" s="16"/>
      <c r="ADK3" s="16"/>
      <c r="ADL3" s="16"/>
      <c r="ADM3" s="16"/>
      <c r="ADN3" s="16"/>
      <c r="ADO3" s="16"/>
      <c r="ADP3" s="16"/>
      <c r="ADQ3" s="16"/>
      <c r="ADR3" s="16"/>
      <c r="ADS3" s="16"/>
      <c r="ADT3" s="16"/>
      <c r="ADU3" s="16"/>
      <c r="ADV3" s="16"/>
      <c r="ADW3" s="16"/>
      <c r="ADX3" s="16"/>
      <c r="ADY3" s="16"/>
      <c r="ADZ3" s="16"/>
      <c r="AEA3" s="16"/>
      <c r="AEB3" s="16"/>
      <c r="AEC3" s="16"/>
      <c r="AED3" s="16"/>
      <c r="AEE3" s="16"/>
      <c r="AEF3" s="16"/>
      <c r="AEG3" s="16"/>
      <c r="AEH3" s="16"/>
      <c r="AEI3" s="16"/>
      <c r="AEJ3" s="16"/>
      <c r="AEK3" s="16"/>
      <c r="AEL3" s="16"/>
      <c r="AEM3" s="16"/>
      <c r="AEN3" s="16"/>
      <c r="AEO3" s="16"/>
      <c r="AEP3" s="16"/>
      <c r="AEQ3" s="16"/>
      <c r="AER3" s="16"/>
      <c r="AES3" s="16"/>
      <c r="AET3" s="16"/>
      <c r="AEU3" s="16"/>
      <c r="AEV3" s="16"/>
      <c r="AEW3" s="16"/>
      <c r="AEX3" s="16"/>
      <c r="AEY3" s="16"/>
      <c r="AEZ3" s="16"/>
      <c r="AFA3" s="16"/>
      <c r="AFB3" s="16"/>
      <c r="AFC3" s="16"/>
      <c r="AFD3" s="16"/>
      <c r="AFE3" s="16"/>
      <c r="AFF3" s="16"/>
      <c r="AFG3" s="16"/>
      <c r="AFH3" s="16"/>
      <c r="AFI3" s="16"/>
      <c r="AFJ3" s="16"/>
      <c r="AFK3" s="16"/>
      <c r="AFL3" s="16"/>
      <c r="AFM3" s="16"/>
      <c r="AFN3" s="16"/>
      <c r="AFO3" s="16"/>
      <c r="AFP3" s="16"/>
      <c r="AFQ3" s="16"/>
      <c r="AFR3" s="16"/>
      <c r="AFS3" s="16"/>
      <c r="AFT3" s="16"/>
      <c r="AFU3" s="16"/>
      <c r="AFV3" s="16"/>
      <c r="AFW3" s="16"/>
      <c r="AFX3" s="16"/>
      <c r="AFY3" s="16"/>
      <c r="AFZ3" s="16"/>
      <c r="AGA3" s="16"/>
      <c r="AGB3" s="16"/>
      <c r="AGC3" s="16"/>
      <c r="AGD3" s="16"/>
      <c r="AGE3" s="16"/>
      <c r="AGF3" s="16"/>
      <c r="AGG3" s="16"/>
      <c r="AGH3" s="16"/>
      <c r="AGI3" s="16"/>
      <c r="AGJ3" s="16"/>
      <c r="AGK3" s="16"/>
      <c r="AGL3" s="16"/>
      <c r="AGM3" s="16"/>
      <c r="AGN3" s="16"/>
      <c r="AGO3" s="16"/>
      <c r="AGP3" s="16"/>
      <c r="AGQ3" s="16"/>
      <c r="AGR3" s="16"/>
      <c r="AGS3" s="16"/>
      <c r="AGT3" s="16"/>
      <c r="AGU3" s="16"/>
      <c r="AGV3" s="16"/>
      <c r="AGW3" s="16"/>
      <c r="AGX3" s="16"/>
      <c r="AGY3" s="16"/>
      <c r="AGZ3" s="16"/>
      <c r="AHA3" s="16"/>
      <c r="AHB3" s="16"/>
      <c r="AHC3" s="16"/>
      <c r="AHD3" s="16"/>
      <c r="AHE3" s="16"/>
      <c r="AHF3" s="16"/>
      <c r="AHG3" s="16"/>
      <c r="AHH3" s="16"/>
      <c r="AHI3" s="16"/>
      <c r="AHJ3" s="16"/>
      <c r="AHK3" s="16"/>
      <c r="AHL3" s="16"/>
      <c r="AHM3" s="16"/>
      <c r="AHN3" s="16"/>
      <c r="AHO3" s="16"/>
      <c r="AHP3" s="16"/>
      <c r="AHQ3" s="16"/>
      <c r="AHR3" s="16"/>
      <c r="AHS3" s="16"/>
      <c r="AHT3" s="16"/>
      <c r="AHU3" s="16"/>
      <c r="AHV3" s="16"/>
      <c r="AHW3" s="16"/>
      <c r="AHX3" s="16"/>
      <c r="AHY3" s="16"/>
      <c r="AHZ3" s="16"/>
      <c r="AIA3" s="16"/>
      <c r="AIB3" s="16"/>
      <c r="AIC3" s="16"/>
      <c r="AID3" s="16"/>
      <c r="AIE3" s="16"/>
      <c r="AIF3" s="16"/>
      <c r="AIG3" s="16"/>
      <c r="AIH3" s="16"/>
      <c r="AII3" s="16"/>
      <c r="AIJ3" s="16"/>
      <c r="AIK3" s="16"/>
      <c r="AIL3" s="16"/>
      <c r="AIM3" s="16"/>
      <c r="AIN3" s="16"/>
      <c r="AIO3" s="16"/>
      <c r="AIP3" s="16"/>
      <c r="AIQ3" s="16"/>
      <c r="AIR3" s="16"/>
      <c r="AIS3" s="16"/>
      <c r="AIT3" s="16"/>
      <c r="AIU3" s="16"/>
      <c r="AIV3" s="16"/>
      <c r="AIW3" s="16"/>
      <c r="AIX3" s="16"/>
      <c r="AIY3" s="16"/>
      <c r="AIZ3" s="16"/>
      <c r="AJA3" s="16"/>
      <c r="AJB3" s="16"/>
      <c r="AJC3" s="16"/>
      <c r="AJD3" s="16"/>
      <c r="AJE3" s="16"/>
      <c r="AJF3" s="16"/>
      <c r="AJG3" s="16"/>
      <c r="AJH3" s="16"/>
      <c r="AJI3" s="16"/>
      <c r="AJJ3" s="16"/>
      <c r="AJK3" s="16"/>
      <c r="AJL3" s="16"/>
      <c r="AJM3" s="16"/>
      <c r="AJN3" s="16"/>
      <c r="AJO3" s="16"/>
      <c r="AJP3" s="16"/>
      <c r="AJQ3" s="16"/>
      <c r="AJR3" s="16"/>
      <c r="AJS3" s="16"/>
      <c r="AJT3" s="16"/>
      <c r="AJU3" s="16"/>
      <c r="AJV3" s="16"/>
      <c r="AJW3" s="16"/>
      <c r="AJX3" s="16"/>
      <c r="AJY3" s="16"/>
      <c r="AJZ3" s="16"/>
      <c r="AKA3" s="16"/>
      <c r="AKB3" s="16"/>
      <c r="AKC3" s="16"/>
      <c r="AKD3" s="16"/>
      <c r="AKE3" s="16"/>
      <c r="AKF3" s="16"/>
      <c r="AKG3" s="16"/>
      <c r="AKH3" s="16"/>
      <c r="AKI3" s="16"/>
      <c r="AKJ3" s="16"/>
      <c r="AKK3" s="16"/>
      <c r="AKL3" s="16"/>
      <c r="AKM3" s="16"/>
      <c r="AKN3" s="16"/>
      <c r="AKO3" s="16"/>
      <c r="AKP3" s="16"/>
      <c r="AKQ3" s="16"/>
      <c r="AKR3" s="16"/>
      <c r="AKS3" s="16"/>
      <c r="AKT3" s="16"/>
      <c r="AKU3" s="16"/>
      <c r="AKV3" s="16"/>
      <c r="AKW3" s="16"/>
      <c r="AKX3" s="16"/>
      <c r="AKY3" s="16"/>
      <c r="AKZ3" s="16"/>
      <c r="ALA3" s="16"/>
      <c r="ALB3" s="16"/>
      <c r="ALC3" s="16"/>
      <c r="ALD3" s="16"/>
      <c r="ALE3" s="16"/>
      <c r="ALF3" s="16"/>
      <c r="ALG3" s="16"/>
      <c r="ALH3" s="16"/>
      <c r="ALI3" s="16"/>
      <c r="ALJ3" s="16"/>
      <c r="ALK3" s="16"/>
      <c r="ALL3" s="16"/>
      <c r="ALM3" s="16"/>
      <c r="ALN3" s="16"/>
      <c r="ALO3" s="16"/>
      <c r="ALP3" s="16"/>
      <c r="ALQ3" s="16"/>
      <c r="ALR3" s="16"/>
      <c r="ALS3" s="16"/>
      <c r="ALT3" s="16"/>
      <c r="ALU3" s="16"/>
      <c r="ALV3" s="16"/>
      <c r="ALW3" s="16"/>
      <c r="ALX3" s="16"/>
      <c r="ALY3" s="16"/>
      <c r="ALZ3" s="16"/>
      <c r="AMA3" s="16"/>
      <c r="AMB3" s="16"/>
      <c r="AMC3" s="16"/>
      <c r="AMD3" s="16"/>
      <c r="AME3" s="16"/>
      <c r="AMF3" s="16"/>
      <c r="AMG3" s="16"/>
      <c r="AMH3" s="16"/>
      <c r="AMI3" s="16"/>
      <c r="AMJ3" s="16"/>
      <c r="AMK3" s="16"/>
      <c r="AML3" s="16"/>
      <c r="AMM3" s="16"/>
      <c r="AMN3" s="16"/>
      <c r="AMO3" s="16"/>
      <c r="AMP3" s="16"/>
      <c r="AMQ3" s="16"/>
      <c r="AMR3" s="16"/>
      <c r="AMS3" s="16"/>
      <c r="AMT3" s="16"/>
      <c r="AMU3" s="16"/>
      <c r="AMV3" s="16"/>
      <c r="AMW3" s="16"/>
      <c r="AMX3" s="16"/>
      <c r="AMY3" s="16"/>
      <c r="AMZ3" s="16"/>
      <c r="ANA3" s="16"/>
      <c r="ANB3" s="16"/>
      <c r="ANC3" s="16"/>
      <c r="AND3" s="16"/>
      <c r="ANE3" s="16"/>
      <c r="ANF3" s="16"/>
      <c r="ANG3" s="16"/>
      <c r="ANH3" s="16"/>
      <c r="ANI3" s="16"/>
      <c r="ANJ3" s="16"/>
      <c r="ANK3" s="16"/>
      <c r="ANL3" s="16"/>
      <c r="ANM3" s="16"/>
      <c r="ANN3" s="16"/>
      <c r="ANO3" s="16"/>
      <c r="ANP3" s="16"/>
      <c r="ANQ3" s="16"/>
      <c r="ANR3" s="16"/>
      <c r="ANS3" s="16"/>
      <c r="ANT3" s="16"/>
      <c r="ANU3" s="16"/>
      <c r="ANV3" s="16"/>
      <c r="ANW3" s="16"/>
      <c r="ANX3" s="16"/>
      <c r="ANY3" s="16"/>
      <c r="ANZ3" s="16"/>
      <c r="AOA3" s="16"/>
      <c r="AOB3" s="16"/>
      <c r="AOC3" s="16"/>
      <c r="AOD3" s="16"/>
      <c r="AOE3" s="16"/>
      <c r="AOF3" s="16"/>
      <c r="AOG3" s="16"/>
      <c r="AOH3" s="16"/>
      <c r="AOI3" s="16"/>
      <c r="AOJ3" s="16"/>
      <c r="AOK3" s="16"/>
      <c r="AOL3" s="16"/>
      <c r="AOM3" s="16"/>
      <c r="AON3" s="16"/>
      <c r="AOO3" s="16"/>
      <c r="AOP3" s="16"/>
      <c r="AOQ3" s="16"/>
      <c r="AOR3" s="16"/>
      <c r="AOS3" s="16"/>
      <c r="AOT3" s="16"/>
      <c r="AOU3" s="16"/>
      <c r="AOV3" s="16"/>
      <c r="AOW3" s="16"/>
      <c r="AOX3" s="16"/>
      <c r="AOY3" s="16"/>
      <c r="AOZ3" s="16"/>
      <c r="APA3" s="16"/>
      <c r="APB3" s="16"/>
      <c r="APC3" s="16"/>
      <c r="APD3" s="16"/>
      <c r="APE3" s="16"/>
      <c r="APF3" s="16"/>
      <c r="APG3" s="16"/>
      <c r="APH3" s="16"/>
      <c r="API3" s="16"/>
      <c r="APJ3" s="16"/>
      <c r="APK3" s="16"/>
      <c r="APL3" s="16"/>
      <c r="APM3" s="16"/>
      <c r="APN3" s="16"/>
      <c r="APO3" s="16"/>
      <c r="APP3" s="16"/>
      <c r="APQ3" s="16"/>
      <c r="APR3" s="16"/>
      <c r="APS3" s="16"/>
      <c r="APT3" s="16"/>
      <c r="APU3" s="16"/>
      <c r="APV3" s="16"/>
      <c r="APW3" s="16"/>
      <c r="APX3" s="16"/>
      <c r="APY3" s="16"/>
      <c r="APZ3" s="16"/>
      <c r="AQA3" s="16"/>
      <c r="AQB3" s="16"/>
      <c r="AQC3" s="16"/>
      <c r="AQD3" s="16"/>
      <c r="AQE3" s="16"/>
      <c r="AQF3" s="16"/>
      <c r="AQG3" s="16"/>
      <c r="AQH3" s="16"/>
      <c r="AQI3" s="16"/>
      <c r="AQJ3" s="16"/>
      <c r="AQK3" s="16"/>
      <c r="AQL3" s="16"/>
      <c r="AQM3" s="16"/>
      <c r="AQN3" s="16"/>
      <c r="AQO3" s="16"/>
      <c r="AQP3" s="16"/>
      <c r="AQQ3" s="16"/>
      <c r="AQR3" s="16"/>
      <c r="AQS3" s="16"/>
      <c r="AQT3" s="16"/>
      <c r="AQU3" s="16"/>
      <c r="AQV3" s="16"/>
      <c r="AQW3" s="16"/>
      <c r="AQX3" s="16"/>
      <c r="AQY3" s="16"/>
      <c r="AQZ3" s="16"/>
      <c r="ARA3" s="16"/>
      <c r="ARB3" s="16"/>
      <c r="ARC3" s="16"/>
      <c r="ARD3" s="16"/>
      <c r="ARE3" s="16"/>
      <c r="ARF3" s="16"/>
      <c r="ARG3" s="16"/>
      <c r="ARH3" s="16"/>
      <c r="ARI3" s="16"/>
      <c r="ARJ3" s="16"/>
      <c r="ARK3" s="16"/>
      <c r="ARL3" s="16"/>
      <c r="ARM3" s="16"/>
      <c r="ARN3" s="16"/>
      <c r="ARO3" s="16"/>
      <c r="ARP3" s="16"/>
      <c r="ARQ3" s="16"/>
      <c r="ARR3" s="16"/>
      <c r="ARS3" s="16"/>
      <c r="ART3" s="16"/>
      <c r="ARU3" s="16"/>
      <c r="ARV3" s="16"/>
      <c r="ARW3" s="16"/>
      <c r="ARX3" s="16"/>
      <c r="ARY3" s="16"/>
      <c r="ARZ3" s="16"/>
      <c r="ASA3" s="16"/>
      <c r="ASB3" s="16"/>
      <c r="ASC3" s="16"/>
      <c r="ASD3" s="16"/>
      <c r="ASE3" s="16"/>
      <c r="ASF3" s="16"/>
      <c r="ASG3" s="16"/>
      <c r="ASH3" s="16"/>
      <c r="ASI3" s="16"/>
      <c r="ASJ3" s="16"/>
      <c r="ASK3" s="16"/>
      <c r="ASL3" s="16"/>
      <c r="ASM3" s="16"/>
      <c r="ASN3" s="16"/>
      <c r="ASO3" s="16"/>
      <c r="ASP3" s="16"/>
      <c r="ASQ3" s="16"/>
      <c r="ASR3" s="16"/>
      <c r="ASS3" s="16"/>
      <c r="AST3" s="16"/>
      <c r="ASU3" s="16"/>
      <c r="ASV3" s="16"/>
      <c r="ASW3" s="16"/>
      <c r="ASX3" s="16"/>
      <c r="ASY3" s="16"/>
      <c r="ASZ3" s="16"/>
      <c r="ATA3" s="16"/>
      <c r="ATB3" s="16"/>
      <c r="ATC3" s="16"/>
      <c r="ATD3" s="16"/>
      <c r="ATE3" s="16"/>
      <c r="ATF3" s="16"/>
      <c r="ATG3" s="16"/>
      <c r="ATH3" s="16"/>
      <c r="ATI3" s="16"/>
      <c r="ATJ3" s="16"/>
      <c r="ATK3" s="16"/>
      <c r="ATL3" s="16"/>
      <c r="ATM3" s="16"/>
      <c r="ATN3" s="16"/>
      <c r="ATO3" s="16"/>
      <c r="ATP3" s="16"/>
      <c r="ATQ3" s="16"/>
      <c r="ATR3" s="16"/>
      <c r="ATS3" s="16"/>
      <c r="ATT3" s="16"/>
      <c r="ATU3" s="16"/>
      <c r="ATV3" s="16"/>
      <c r="ATW3" s="16"/>
      <c r="ATX3" s="16"/>
      <c r="ATY3" s="16"/>
      <c r="ATZ3" s="16"/>
      <c r="AUA3" s="16"/>
      <c r="AUB3" s="16"/>
      <c r="AUC3" s="16"/>
      <c r="AUD3" s="16"/>
      <c r="AUE3" s="16"/>
      <c r="AUF3" s="16"/>
      <c r="AUG3" s="16"/>
      <c r="AUH3" s="16"/>
      <c r="AUI3" s="16"/>
      <c r="AUJ3" s="16"/>
      <c r="AUK3" s="16"/>
      <c r="AUL3" s="16"/>
      <c r="AUM3" s="16"/>
      <c r="AUN3" s="16"/>
      <c r="AUO3" s="16"/>
      <c r="AUP3" s="16"/>
      <c r="AUQ3" s="16"/>
      <c r="AUR3" s="16"/>
      <c r="AUS3" s="16"/>
      <c r="AUT3" s="16"/>
      <c r="AUU3" s="16"/>
      <c r="AUV3" s="16"/>
      <c r="AUW3" s="16"/>
      <c r="AUX3" s="16"/>
      <c r="AUY3" s="16"/>
      <c r="AUZ3" s="16"/>
      <c r="AVA3" s="16"/>
      <c r="AVB3" s="16"/>
      <c r="AVC3" s="16"/>
      <c r="AVD3" s="16"/>
      <c r="AVE3" s="16"/>
      <c r="AVF3" s="16"/>
      <c r="AVG3" s="16"/>
      <c r="AVH3" s="16"/>
      <c r="AVI3" s="16"/>
      <c r="AVJ3" s="16"/>
      <c r="AVK3" s="16"/>
      <c r="AVL3" s="16"/>
      <c r="AVM3" s="16"/>
      <c r="AVN3" s="16"/>
      <c r="AVO3" s="16"/>
      <c r="AVP3" s="16"/>
      <c r="AVQ3" s="16"/>
      <c r="AVR3" s="16"/>
      <c r="AVS3" s="16"/>
      <c r="AVT3" s="16"/>
      <c r="AVU3" s="16"/>
      <c r="AVV3" s="16"/>
      <c r="AVW3" s="16"/>
      <c r="AVX3" s="16"/>
      <c r="AVY3" s="16"/>
      <c r="AVZ3" s="16"/>
      <c r="AWA3" s="16"/>
      <c r="AWB3" s="16"/>
      <c r="AWC3" s="16"/>
      <c r="AWD3" s="16"/>
      <c r="AWE3" s="16"/>
      <c r="AWF3" s="16"/>
      <c r="AWG3" s="16"/>
      <c r="AWH3" s="16"/>
      <c r="AWI3" s="16"/>
      <c r="AWJ3" s="16"/>
      <c r="AWK3" s="16"/>
      <c r="AWL3" s="16"/>
      <c r="AWM3" s="16"/>
      <c r="AWN3" s="16"/>
      <c r="AWO3" s="16"/>
      <c r="AWP3" s="16"/>
      <c r="AWQ3" s="16"/>
      <c r="AWR3" s="16"/>
      <c r="AWS3" s="16"/>
      <c r="AWT3" s="16"/>
      <c r="AWU3" s="16"/>
      <c r="AWV3" s="16"/>
      <c r="AWW3" s="16"/>
      <c r="AWX3" s="16"/>
      <c r="AWY3" s="16"/>
      <c r="AWZ3" s="16"/>
      <c r="AXA3" s="16"/>
      <c r="AXB3" s="16"/>
      <c r="AXC3" s="16"/>
      <c r="AXD3" s="16"/>
      <c r="AXE3" s="16"/>
      <c r="AXF3" s="16"/>
      <c r="AXG3" s="16"/>
      <c r="AXH3" s="16"/>
      <c r="AXI3" s="16"/>
      <c r="AXJ3" s="16"/>
      <c r="AXK3" s="16"/>
      <c r="AXL3" s="16"/>
      <c r="AXM3" s="16"/>
      <c r="AXN3" s="16"/>
      <c r="AXO3" s="16"/>
      <c r="AXP3" s="16"/>
      <c r="AXQ3" s="16"/>
      <c r="AXR3" s="16"/>
      <c r="AXS3" s="16"/>
      <c r="AXT3" s="16"/>
      <c r="AXU3" s="16"/>
      <c r="AXV3" s="16"/>
      <c r="AXW3" s="16"/>
      <c r="AXX3" s="16"/>
      <c r="AXY3" s="16"/>
      <c r="AXZ3" s="16"/>
      <c r="AYA3" s="16"/>
      <c r="AYB3" s="16"/>
      <c r="AYC3" s="16"/>
      <c r="AYD3" s="16"/>
      <c r="AYE3" s="16"/>
      <c r="AYF3" s="16"/>
      <c r="AYG3" s="16"/>
      <c r="AYH3" s="16"/>
      <c r="AYI3" s="16"/>
      <c r="AYJ3" s="16"/>
      <c r="AYK3" s="16"/>
      <c r="AYL3" s="16"/>
      <c r="AYM3" s="16"/>
      <c r="AYN3" s="16"/>
      <c r="AYO3" s="16"/>
      <c r="AYP3" s="16"/>
      <c r="AYQ3" s="16"/>
      <c r="AYR3" s="16"/>
      <c r="AYS3" s="16"/>
      <c r="AYT3" s="16"/>
      <c r="AYU3" s="16"/>
      <c r="AYV3" s="16"/>
      <c r="AYW3" s="16"/>
      <c r="AYX3" s="16"/>
      <c r="AYY3" s="16"/>
      <c r="AYZ3" s="16"/>
      <c r="AZA3" s="16"/>
      <c r="AZB3" s="16"/>
      <c r="AZC3" s="16"/>
      <c r="AZD3" s="16"/>
      <c r="AZE3" s="16"/>
      <c r="AZF3" s="16"/>
      <c r="AZG3" s="16"/>
      <c r="AZH3" s="16"/>
      <c r="AZI3" s="16"/>
      <c r="AZJ3" s="16"/>
      <c r="AZK3" s="16"/>
      <c r="AZL3" s="16"/>
      <c r="AZM3" s="16"/>
      <c r="AZN3" s="16"/>
      <c r="AZO3" s="16"/>
      <c r="AZP3" s="16"/>
      <c r="AZQ3" s="16"/>
      <c r="AZR3" s="16"/>
      <c r="AZS3" s="16"/>
      <c r="AZT3" s="16"/>
      <c r="AZU3" s="16"/>
      <c r="AZV3" s="16"/>
      <c r="AZW3" s="16"/>
      <c r="AZX3" s="16"/>
      <c r="AZY3" s="16"/>
      <c r="AZZ3" s="16"/>
      <c r="BAA3" s="16"/>
      <c r="BAB3" s="16"/>
      <c r="BAC3" s="16"/>
      <c r="BAD3" s="16"/>
      <c r="BAE3" s="16"/>
      <c r="BAF3" s="16"/>
      <c r="BAG3" s="16"/>
      <c r="BAH3" s="16"/>
      <c r="BAI3" s="16"/>
      <c r="BAJ3" s="16"/>
      <c r="BAK3" s="16"/>
      <c r="BAL3" s="16"/>
      <c r="BAM3" s="16"/>
      <c r="BAN3" s="16"/>
      <c r="BAO3" s="16"/>
      <c r="BAP3" s="16"/>
      <c r="BAQ3" s="16"/>
      <c r="BAR3" s="16"/>
      <c r="BAS3" s="16"/>
      <c r="BAT3" s="16"/>
      <c r="BAU3" s="16"/>
      <c r="BAV3" s="16"/>
      <c r="BAW3" s="16"/>
      <c r="BAX3" s="16"/>
      <c r="BAY3" s="16"/>
      <c r="BAZ3" s="16"/>
      <c r="BBA3" s="16"/>
      <c r="BBB3" s="16"/>
      <c r="BBC3" s="16"/>
      <c r="BBD3" s="16"/>
      <c r="BBE3" s="16"/>
      <c r="BBF3" s="16"/>
      <c r="BBG3" s="16"/>
      <c r="BBH3" s="16"/>
      <c r="BBI3" s="16"/>
      <c r="BBJ3" s="16"/>
      <c r="BBK3" s="16"/>
      <c r="BBL3" s="16"/>
      <c r="BBM3" s="16"/>
      <c r="BBN3" s="16"/>
      <c r="BBO3" s="16"/>
      <c r="BBP3" s="16"/>
      <c r="BBQ3" s="16"/>
      <c r="BBR3" s="16"/>
      <c r="BBS3" s="16"/>
      <c r="BBT3" s="16"/>
      <c r="BBU3" s="16"/>
      <c r="BBV3" s="16"/>
      <c r="BBW3" s="16"/>
      <c r="BBX3" s="16"/>
      <c r="BBY3" s="16"/>
      <c r="BBZ3" s="16"/>
      <c r="BCA3" s="16"/>
      <c r="BCB3" s="16"/>
      <c r="BCC3" s="16"/>
      <c r="BCD3" s="16"/>
      <c r="BCE3" s="16"/>
      <c r="BCF3" s="16"/>
      <c r="BCG3" s="16"/>
      <c r="BCH3" s="16"/>
      <c r="BCI3" s="16"/>
      <c r="BCJ3" s="16"/>
      <c r="BCK3" s="16"/>
      <c r="BCL3" s="16"/>
      <c r="BCM3" s="16"/>
      <c r="BCN3" s="16"/>
      <c r="BCO3" s="16"/>
      <c r="BCP3" s="16"/>
      <c r="BCQ3" s="16"/>
      <c r="BCR3" s="16"/>
      <c r="BCS3" s="16"/>
      <c r="BCT3" s="16"/>
      <c r="BCU3" s="16"/>
      <c r="BCV3" s="16"/>
      <c r="BCW3" s="16"/>
      <c r="BCX3" s="16"/>
      <c r="BCY3" s="16"/>
      <c r="BCZ3" s="16"/>
      <c r="BDA3" s="16"/>
      <c r="BDB3" s="16"/>
      <c r="BDC3" s="16"/>
      <c r="BDD3" s="16"/>
      <c r="BDE3" s="16"/>
      <c r="BDF3" s="16"/>
      <c r="BDG3" s="16"/>
      <c r="BDH3" s="16"/>
      <c r="BDI3" s="16"/>
      <c r="BDJ3" s="16"/>
      <c r="BDK3" s="16"/>
      <c r="BDL3" s="16"/>
      <c r="BDM3" s="16"/>
      <c r="BDN3" s="16"/>
      <c r="BDO3" s="16"/>
      <c r="BDP3" s="16"/>
      <c r="BDQ3" s="16"/>
      <c r="BDR3" s="16"/>
      <c r="BDS3" s="16"/>
      <c r="BDT3" s="16"/>
      <c r="BDU3" s="16"/>
      <c r="BDV3" s="16"/>
      <c r="BDW3" s="16"/>
      <c r="BDX3" s="16"/>
      <c r="BDY3" s="16"/>
      <c r="BDZ3" s="16"/>
      <c r="BEA3" s="16"/>
      <c r="BEB3" s="16"/>
      <c r="BEC3" s="16"/>
      <c r="BED3" s="16"/>
      <c r="BEE3" s="16"/>
      <c r="BEF3" s="16"/>
      <c r="BEG3" s="16"/>
      <c r="BEH3" s="16"/>
      <c r="BEI3" s="16"/>
      <c r="BEJ3" s="16"/>
      <c r="BEK3" s="16"/>
      <c r="BEL3" s="16"/>
      <c r="BEM3" s="16"/>
      <c r="BEN3" s="16"/>
      <c r="BEO3" s="16"/>
      <c r="BEP3" s="16"/>
      <c r="BEQ3" s="16"/>
      <c r="BER3" s="16"/>
      <c r="BES3" s="16"/>
      <c r="BET3" s="16"/>
      <c r="BEU3" s="16"/>
      <c r="BEV3" s="16"/>
      <c r="BEW3" s="16"/>
      <c r="BEX3" s="16"/>
      <c r="BEY3" s="16"/>
      <c r="BEZ3" s="16"/>
      <c r="BFA3" s="16"/>
      <c r="BFB3" s="16"/>
      <c r="BFC3" s="16"/>
      <c r="BFD3" s="16"/>
      <c r="BFE3" s="16"/>
      <c r="BFF3" s="16"/>
      <c r="BFG3" s="16"/>
      <c r="BFH3" s="16"/>
      <c r="BFI3" s="16"/>
      <c r="BFJ3" s="16"/>
      <c r="BFK3" s="16"/>
      <c r="BFL3" s="16"/>
      <c r="BFM3" s="16"/>
      <c r="BFN3" s="16"/>
      <c r="BFO3" s="16"/>
      <c r="BFP3" s="16"/>
      <c r="BFQ3" s="16"/>
      <c r="BFR3" s="16"/>
      <c r="BFS3" s="16"/>
      <c r="BFT3" s="16"/>
      <c r="BFU3" s="16"/>
      <c r="BFV3" s="16"/>
      <c r="BFW3" s="16"/>
      <c r="BFX3" s="16"/>
      <c r="BFY3" s="16"/>
      <c r="BFZ3" s="16"/>
      <c r="BGA3" s="16"/>
      <c r="BGB3" s="16"/>
      <c r="BGC3" s="16"/>
      <c r="BGD3" s="16"/>
      <c r="BGE3" s="16"/>
      <c r="BGF3" s="16"/>
      <c r="BGG3" s="16"/>
      <c r="BGH3" s="16"/>
      <c r="BGI3" s="16"/>
      <c r="BGJ3" s="16"/>
      <c r="BGK3" s="16"/>
      <c r="BGL3" s="16"/>
      <c r="BGM3" s="16"/>
      <c r="BGN3" s="16"/>
      <c r="BGO3" s="16"/>
      <c r="BGP3" s="16"/>
      <c r="BGQ3" s="16"/>
      <c r="BGR3" s="16"/>
      <c r="BGS3" s="16"/>
      <c r="BGT3" s="16"/>
      <c r="BGU3" s="16"/>
      <c r="BGV3" s="16"/>
      <c r="BGW3" s="16"/>
      <c r="BGX3" s="16"/>
      <c r="BGY3" s="16"/>
      <c r="BGZ3" s="16"/>
      <c r="BHA3" s="16"/>
      <c r="BHB3" s="16"/>
      <c r="BHC3" s="16"/>
      <c r="BHD3" s="16"/>
      <c r="BHE3" s="16"/>
      <c r="BHF3" s="16"/>
      <c r="BHG3" s="16"/>
      <c r="BHH3" s="16"/>
      <c r="BHI3" s="16"/>
      <c r="BHJ3" s="16"/>
      <c r="BHK3" s="16"/>
      <c r="BHL3" s="16"/>
      <c r="BHM3" s="16"/>
      <c r="BHN3" s="16"/>
      <c r="BHO3" s="16"/>
      <c r="BHP3" s="16"/>
      <c r="BHQ3" s="16"/>
      <c r="BHR3" s="16"/>
      <c r="BHS3" s="16"/>
      <c r="BHT3" s="16"/>
      <c r="BHU3" s="16"/>
      <c r="BHV3" s="16"/>
      <c r="BHW3" s="16"/>
      <c r="BHX3" s="16"/>
      <c r="BHY3" s="16"/>
      <c r="BHZ3" s="16"/>
      <c r="BIA3" s="16"/>
      <c r="BIB3" s="16"/>
      <c r="BIC3" s="16"/>
      <c r="BID3" s="16"/>
      <c r="BIE3" s="16"/>
      <c r="BIF3" s="16"/>
      <c r="BIG3" s="16"/>
      <c r="BIH3" s="16"/>
      <c r="BII3" s="16"/>
      <c r="BIJ3" s="16"/>
      <c r="BIK3" s="16"/>
      <c r="BIL3" s="16"/>
      <c r="BIM3" s="16"/>
      <c r="BIN3" s="16"/>
      <c r="BIO3" s="16"/>
      <c r="BIP3" s="16"/>
      <c r="BIQ3" s="16"/>
      <c r="BIR3" s="16"/>
      <c r="BIS3" s="16"/>
      <c r="BIT3" s="16"/>
      <c r="BIU3" s="16"/>
      <c r="BIV3" s="16"/>
      <c r="BIW3" s="16"/>
      <c r="BIX3" s="16"/>
      <c r="BIY3" s="16"/>
      <c r="BIZ3" s="16"/>
      <c r="BJA3" s="16"/>
      <c r="BJB3" s="16"/>
      <c r="BJC3" s="16"/>
      <c r="BJD3" s="16"/>
      <c r="BJE3" s="16"/>
      <c r="BJF3" s="16"/>
      <c r="BJG3" s="16"/>
      <c r="BJH3" s="16"/>
      <c r="BJI3" s="16"/>
      <c r="BJJ3" s="16"/>
      <c r="BJK3" s="16"/>
      <c r="BJL3" s="16"/>
      <c r="BJM3" s="16"/>
      <c r="BJN3" s="16"/>
      <c r="BJO3" s="16"/>
      <c r="BJP3" s="16"/>
      <c r="BJQ3" s="16"/>
      <c r="BJR3" s="16"/>
      <c r="BJS3" s="16"/>
      <c r="BJT3" s="16"/>
      <c r="BJU3" s="16"/>
      <c r="BJV3" s="16"/>
      <c r="BJW3" s="16"/>
      <c r="BJX3" s="16"/>
      <c r="BJY3" s="16"/>
      <c r="BJZ3" s="16"/>
      <c r="BKA3" s="16"/>
      <c r="BKB3" s="16"/>
      <c r="BKC3" s="16"/>
      <c r="BKD3" s="16"/>
      <c r="BKE3" s="16"/>
      <c r="BKF3" s="16"/>
      <c r="BKG3" s="16"/>
      <c r="BKH3" s="16"/>
      <c r="BKI3" s="16"/>
      <c r="BKJ3" s="16"/>
      <c r="BKK3" s="16"/>
      <c r="BKL3" s="16"/>
      <c r="BKM3" s="16"/>
      <c r="BKN3" s="16"/>
      <c r="BKO3" s="16"/>
      <c r="BKP3" s="16"/>
      <c r="BKQ3" s="16"/>
      <c r="BKR3" s="16"/>
      <c r="BKS3" s="16"/>
      <c r="BKT3" s="16"/>
      <c r="BKU3" s="16"/>
      <c r="BKV3" s="16"/>
      <c r="BKW3" s="16"/>
      <c r="BKX3" s="16"/>
      <c r="BKY3" s="16"/>
      <c r="BKZ3" s="16"/>
      <c r="BLA3" s="16"/>
      <c r="BLB3" s="16"/>
      <c r="BLC3" s="16"/>
      <c r="BLD3" s="16"/>
      <c r="BLE3" s="16"/>
      <c r="BLF3" s="16"/>
      <c r="BLG3" s="16"/>
      <c r="BLH3" s="16"/>
      <c r="BLI3" s="16"/>
      <c r="BLJ3" s="16"/>
      <c r="BLK3" s="16"/>
      <c r="BLL3" s="16"/>
      <c r="BLM3" s="16"/>
      <c r="BLN3" s="16"/>
      <c r="BLO3" s="16"/>
      <c r="BLP3" s="16"/>
      <c r="BLQ3" s="16"/>
      <c r="BLR3" s="16"/>
      <c r="BLS3" s="16"/>
      <c r="BLT3" s="16"/>
      <c r="BLU3" s="16"/>
      <c r="BLV3" s="16"/>
      <c r="BLW3" s="16"/>
      <c r="BLX3" s="16"/>
      <c r="BLY3" s="16"/>
      <c r="BLZ3" s="16"/>
      <c r="BMA3" s="16"/>
      <c r="BMB3" s="16"/>
      <c r="BMC3" s="16"/>
      <c r="BMD3" s="16"/>
      <c r="BME3" s="16"/>
      <c r="BMF3" s="16"/>
      <c r="BMG3" s="16"/>
      <c r="BMH3" s="16"/>
      <c r="BMI3" s="16"/>
      <c r="BMJ3" s="16"/>
      <c r="BMK3" s="16"/>
      <c r="BML3" s="16"/>
      <c r="BMM3" s="16"/>
      <c r="BMN3" s="16"/>
      <c r="BMO3" s="16"/>
      <c r="BMP3" s="16"/>
      <c r="BMQ3" s="16"/>
      <c r="BMR3" s="16"/>
      <c r="BMS3" s="16"/>
      <c r="BMT3" s="16"/>
      <c r="BMU3" s="16"/>
      <c r="BMV3" s="16"/>
      <c r="BMW3" s="16"/>
      <c r="BMX3" s="16"/>
      <c r="BMY3" s="16"/>
      <c r="BMZ3" s="16"/>
      <c r="BNA3" s="16"/>
      <c r="BNB3" s="16"/>
      <c r="BNC3" s="16"/>
      <c r="BND3" s="16"/>
      <c r="BNE3" s="16"/>
      <c r="BNF3" s="16"/>
      <c r="BNG3" s="16"/>
      <c r="BNH3" s="16"/>
      <c r="BNI3" s="16"/>
      <c r="BNJ3" s="16"/>
      <c r="BNK3" s="16"/>
      <c r="BNL3" s="16"/>
      <c r="BNM3" s="16"/>
      <c r="BNN3" s="16"/>
      <c r="BNO3" s="16"/>
      <c r="BNP3" s="16"/>
      <c r="BNQ3" s="16"/>
      <c r="BNR3" s="16"/>
      <c r="BNS3" s="16"/>
      <c r="BNT3" s="16"/>
      <c r="BNU3" s="16"/>
      <c r="BNV3" s="16"/>
      <c r="BNW3" s="16"/>
      <c r="BNX3" s="16"/>
      <c r="BNY3" s="16"/>
      <c r="BNZ3" s="16"/>
      <c r="BOA3" s="16"/>
      <c r="BOB3" s="16"/>
      <c r="BOC3" s="16"/>
      <c r="BOD3" s="16"/>
      <c r="BOE3" s="16"/>
      <c r="BOF3" s="16"/>
      <c r="BOG3" s="16"/>
      <c r="BOH3" s="16"/>
      <c r="BOI3" s="16"/>
      <c r="BOJ3" s="16"/>
      <c r="BOK3" s="16"/>
      <c r="BOL3" s="16"/>
      <c r="BOM3" s="16"/>
      <c r="BON3" s="16"/>
      <c r="BOO3" s="16"/>
      <c r="BOP3" s="16"/>
      <c r="BOQ3" s="16"/>
      <c r="BOR3" s="16"/>
      <c r="BOS3" s="16"/>
      <c r="BOT3" s="16"/>
      <c r="BOU3" s="16"/>
      <c r="BOV3" s="16"/>
      <c r="BOW3" s="16"/>
      <c r="BOX3" s="16"/>
      <c r="BOY3" s="16"/>
      <c r="BOZ3" s="16"/>
      <c r="BPA3" s="16"/>
      <c r="BPB3" s="16"/>
      <c r="BPC3" s="16"/>
      <c r="BPD3" s="16"/>
      <c r="BPE3" s="16"/>
      <c r="BPF3" s="16"/>
      <c r="BPG3" s="16"/>
      <c r="BPH3" s="16"/>
      <c r="BPI3" s="16"/>
      <c r="BPJ3" s="16"/>
      <c r="BPK3" s="16"/>
      <c r="BPL3" s="16"/>
      <c r="BPM3" s="16"/>
      <c r="BPN3" s="16"/>
      <c r="BPO3" s="16"/>
      <c r="BPP3" s="16"/>
      <c r="BPQ3" s="16"/>
      <c r="BPR3" s="16"/>
      <c r="BPS3" s="16"/>
      <c r="BPT3" s="16"/>
      <c r="BPU3" s="16"/>
      <c r="BPV3" s="16"/>
      <c r="BPW3" s="16"/>
      <c r="BPX3" s="16"/>
      <c r="BPY3" s="16"/>
      <c r="BPZ3" s="16"/>
      <c r="BQA3" s="16"/>
      <c r="BQB3" s="16"/>
      <c r="BQC3" s="16"/>
      <c r="BQD3" s="16"/>
      <c r="BQE3" s="16"/>
      <c r="BQF3" s="16"/>
      <c r="BQG3" s="16"/>
      <c r="BQH3" s="16"/>
      <c r="BQI3" s="16"/>
      <c r="BQJ3" s="16"/>
      <c r="BQK3" s="16"/>
      <c r="BQL3" s="16"/>
      <c r="BQM3" s="16"/>
      <c r="BQN3" s="16"/>
      <c r="BQO3" s="16"/>
      <c r="BQP3" s="16"/>
      <c r="BQQ3" s="16"/>
      <c r="BQR3" s="16"/>
      <c r="BQS3" s="16"/>
      <c r="BQT3" s="16"/>
      <c r="BQU3" s="16"/>
      <c r="BQV3" s="16"/>
      <c r="BQW3" s="16"/>
      <c r="BQX3" s="16"/>
      <c r="BQY3" s="16"/>
      <c r="BQZ3" s="16"/>
      <c r="BRA3" s="16"/>
      <c r="BRB3" s="16"/>
      <c r="BRC3" s="16"/>
      <c r="BRD3" s="16"/>
      <c r="BRE3" s="16"/>
      <c r="BRF3" s="16"/>
      <c r="BRG3" s="16"/>
      <c r="BRH3" s="16"/>
      <c r="BRI3" s="16"/>
      <c r="BRJ3" s="16"/>
      <c r="BRK3" s="16"/>
      <c r="BRL3" s="16"/>
      <c r="BRM3" s="16"/>
      <c r="BRN3" s="16"/>
      <c r="BRO3" s="16"/>
      <c r="BRP3" s="16"/>
      <c r="BRQ3" s="16"/>
      <c r="BRR3" s="16"/>
      <c r="BRS3" s="16"/>
      <c r="BRT3" s="16"/>
      <c r="BRU3" s="16"/>
      <c r="BRV3" s="16"/>
      <c r="BRW3" s="16"/>
      <c r="BRX3" s="16"/>
      <c r="BRY3" s="16"/>
      <c r="BRZ3" s="16"/>
      <c r="BSA3" s="16"/>
      <c r="BSB3" s="16"/>
      <c r="BSC3" s="16"/>
      <c r="BSD3" s="16"/>
      <c r="BSE3" s="16"/>
      <c r="BSF3" s="16"/>
      <c r="BSG3" s="16"/>
      <c r="BSH3" s="16"/>
      <c r="BSI3" s="16"/>
      <c r="BSJ3" s="16"/>
      <c r="BSK3" s="16"/>
      <c r="BSL3" s="16"/>
      <c r="BSM3" s="16"/>
      <c r="BSN3" s="16"/>
      <c r="BSO3" s="16"/>
      <c r="BSP3" s="16"/>
      <c r="BSQ3" s="16"/>
      <c r="BSR3" s="16"/>
      <c r="BSS3" s="16"/>
      <c r="BST3" s="16"/>
      <c r="BSU3" s="16"/>
      <c r="BSV3" s="16"/>
      <c r="BSW3" s="16"/>
      <c r="BSX3" s="16"/>
      <c r="BSY3" s="16"/>
      <c r="BSZ3" s="16"/>
      <c r="BTA3" s="16"/>
      <c r="BTB3" s="16"/>
      <c r="BTC3" s="16"/>
      <c r="BTD3" s="16"/>
      <c r="BTE3" s="16"/>
      <c r="BTF3" s="16"/>
      <c r="BTG3" s="16"/>
      <c r="BTH3" s="16"/>
      <c r="BTI3" s="16"/>
      <c r="BTJ3" s="16"/>
      <c r="BTK3" s="16"/>
      <c r="BTL3" s="16"/>
      <c r="BTM3" s="16"/>
      <c r="BTN3" s="16"/>
      <c r="BTO3" s="16"/>
      <c r="BTP3" s="16"/>
      <c r="BTQ3" s="16"/>
      <c r="BTR3" s="16"/>
      <c r="BTS3" s="16"/>
      <c r="BTT3" s="16"/>
      <c r="BTU3" s="16"/>
      <c r="BTV3" s="16"/>
      <c r="BTW3" s="16"/>
      <c r="BTX3" s="16"/>
      <c r="BTY3" s="16"/>
      <c r="BTZ3" s="16"/>
      <c r="BUA3" s="16"/>
      <c r="BUB3" s="16"/>
      <c r="BUC3" s="16"/>
      <c r="BUD3" s="16"/>
      <c r="BUE3" s="16"/>
      <c r="BUF3" s="16"/>
      <c r="BUG3" s="16"/>
      <c r="BUH3" s="16"/>
      <c r="BUI3" s="16"/>
      <c r="BUJ3" s="16"/>
      <c r="BUK3" s="16"/>
      <c r="BUL3" s="16"/>
      <c r="BUM3" s="16"/>
      <c r="BUN3" s="16"/>
      <c r="BUO3" s="16"/>
      <c r="BUP3" s="16"/>
      <c r="BUQ3" s="16"/>
      <c r="BUR3" s="16"/>
      <c r="BUS3" s="16"/>
      <c r="BUT3" s="16"/>
      <c r="BUU3" s="16"/>
      <c r="BUV3" s="16"/>
      <c r="BUW3" s="16"/>
      <c r="BUX3" s="16"/>
      <c r="BUY3" s="16"/>
      <c r="BUZ3" s="16"/>
      <c r="BVA3" s="16"/>
      <c r="BVB3" s="16"/>
      <c r="BVC3" s="16"/>
      <c r="BVD3" s="16"/>
      <c r="BVE3" s="16"/>
      <c r="BVF3" s="16"/>
      <c r="BVG3" s="16"/>
      <c r="BVH3" s="16"/>
      <c r="BVI3" s="16"/>
      <c r="BVJ3" s="16"/>
      <c r="BVK3" s="16"/>
      <c r="BVL3" s="16"/>
      <c r="BVM3" s="16"/>
      <c r="BVN3" s="16"/>
      <c r="BVO3" s="16"/>
      <c r="BVP3" s="16"/>
      <c r="BVQ3" s="16"/>
      <c r="BVR3" s="16"/>
      <c r="BVS3" s="16"/>
      <c r="BVT3" s="16"/>
      <c r="BVU3" s="16"/>
      <c r="BVV3" s="16"/>
      <c r="BVW3" s="16"/>
      <c r="BVX3" s="16"/>
      <c r="BVY3" s="16"/>
      <c r="BVZ3" s="16"/>
      <c r="BWA3" s="16"/>
      <c r="BWB3" s="16"/>
      <c r="BWC3" s="16"/>
      <c r="BWD3" s="16"/>
      <c r="BWE3" s="16"/>
      <c r="BWF3" s="16"/>
      <c r="BWG3" s="16"/>
      <c r="BWH3" s="16"/>
      <c r="BWI3" s="16"/>
      <c r="BWJ3" s="16"/>
      <c r="BWK3" s="16"/>
      <c r="BWL3" s="16"/>
      <c r="BWM3" s="16"/>
      <c r="BWN3" s="16"/>
      <c r="BWO3" s="16"/>
      <c r="BWP3" s="16"/>
      <c r="BWQ3" s="16"/>
      <c r="BWR3" s="16"/>
      <c r="BWS3" s="16"/>
      <c r="BWT3" s="16"/>
      <c r="BWU3" s="16"/>
      <c r="BWV3" s="16"/>
      <c r="BWW3" s="16"/>
      <c r="BWX3" s="16"/>
      <c r="BWY3" s="16"/>
      <c r="BWZ3" s="16"/>
      <c r="BXA3" s="16"/>
      <c r="BXB3" s="16"/>
      <c r="BXC3" s="16"/>
      <c r="BXD3" s="16"/>
      <c r="BXE3" s="16"/>
      <c r="BXF3" s="16"/>
      <c r="BXG3" s="16"/>
      <c r="BXH3" s="16"/>
      <c r="BXI3" s="16"/>
      <c r="BXJ3" s="16"/>
      <c r="BXK3" s="16"/>
      <c r="BXL3" s="16"/>
      <c r="BXM3" s="16"/>
      <c r="BXN3" s="16"/>
      <c r="BXO3" s="16"/>
      <c r="BXP3" s="16"/>
      <c r="BXQ3" s="16"/>
      <c r="BXR3" s="16"/>
      <c r="BXS3" s="16"/>
      <c r="BXT3" s="16"/>
      <c r="BXU3" s="16"/>
      <c r="BXV3" s="16"/>
      <c r="BXW3" s="16"/>
      <c r="BXX3" s="16"/>
      <c r="BXY3" s="16"/>
      <c r="BXZ3" s="16"/>
      <c r="BYA3" s="16"/>
      <c r="BYB3" s="16"/>
      <c r="BYC3" s="16"/>
      <c r="BYD3" s="16"/>
      <c r="BYE3" s="16"/>
      <c r="BYF3" s="16"/>
      <c r="BYG3" s="16"/>
      <c r="BYH3" s="16"/>
      <c r="BYI3" s="16"/>
      <c r="BYJ3" s="16"/>
      <c r="BYK3" s="16"/>
      <c r="BYL3" s="16"/>
      <c r="BYM3" s="16"/>
      <c r="BYN3" s="16"/>
      <c r="BYO3" s="16"/>
      <c r="BYP3" s="16"/>
      <c r="BYQ3" s="16"/>
      <c r="BYR3" s="16"/>
      <c r="BYS3" s="16"/>
      <c r="BYT3" s="16"/>
      <c r="BYU3" s="16"/>
      <c r="BYV3" s="16"/>
      <c r="BYW3" s="16"/>
      <c r="BYX3" s="16"/>
      <c r="BYY3" s="16"/>
      <c r="BYZ3" s="16"/>
      <c r="BZA3" s="16"/>
      <c r="BZB3" s="16"/>
      <c r="BZC3" s="16"/>
      <c r="BZD3" s="16"/>
      <c r="BZE3" s="16"/>
      <c r="BZF3" s="16"/>
      <c r="BZG3" s="16"/>
      <c r="BZH3" s="16"/>
      <c r="BZI3" s="16"/>
      <c r="BZJ3" s="16"/>
      <c r="BZK3" s="16"/>
      <c r="BZL3" s="16"/>
      <c r="BZM3" s="16"/>
      <c r="BZN3" s="16"/>
      <c r="BZO3" s="16"/>
      <c r="BZP3" s="16"/>
      <c r="BZQ3" s="16"/>
      <c r="BZR3" s="16"/>
      <c r="BZS3" s="16"/>
      <c r="BZT3" s="16"/>
      <c r="BZU3" s="16"/>
      <c r="BZV3" s="16"/>
      <c r="BZW3" s="16"/>
      <c r="BZX3" s="16"/>
      <c r="BZY3" s="16"/>
      <c r="BZZ3" s="16"/>
      <c r="CAA3" s="16"/>
      <c r="CAB3" s="16"/>
      <c r="CAC3" s="16"/>
      <c r="CAD3" s="16"/>
      <c r="CAE3" s="16"/>
      <c r="CAF3" s="16"/>
      <c r="CAG3" s="16"/>
      <c r="CAH3" s="16"/>
      <c r="CAI3" s="16"/>
      <c r="CAJ3" s="16"/>
      <c r="CAK3" s="16"/>
      <c r="CAL3" s="16"/>
      <c r="CAM3" s="16"/>
      <c r="CAN3" s="16"/>
      <c r="CAO3" s="16"/>
      <c r="CAP3" s="16"/>
      <c r="CAQ3" s="16"/>
      <c r="CAR3" s="16"/>
      <c r="CAS3" s="16"/>
      <c r="CAT3" s="16"/>
      <c r="CAU3" s="16"/>
      <c r="CAV3" s="16"/>
      <c r="CAW3" s="16"/>
      <c r="CAX3" s="16"/>
      <c r="CAY3" s="16"/>
      <c r="CAZ3" s="16"/>
      <c r="CBA3" s="16"/>
      <c r="CBB3" s="16"/>
      <c r="CBC3" s="16"/>
      <c r="CBD3" s="16"/>
      <c r="CBE3" s="16"/>
      <c r="CBF3" s="16"/>
      <c r="CBG3" s="16"/>
      <c r="CBH3" s="16"/>
      <c r="CBI3" s="16"/>
      <c r="CBJ3" s="16"/>
      <c r="CBK3" s="16"/>
      <c r="CBL3" s="16"/>
      <c r="CBM3" s="16"/>
      <c r="CBN3" s="16"/>
      <c r="CBO3" s="16"/>
      <c r="CBP3" s="16"/>
      <c r="CBQ3" s="16"/>
      <c r="CBR3" s="16"/>
      <c r="CBS3" s="16"/>
      <c r="CBT3" s="16"/>
      <c r="CBU3" s="16"/>
      <c r="CBV3" s="16"/>
      <c r="CBW3" s="16"/>
      <c r="CBX3" s="16"/>
      <c r="CBY3" s="16"/>
      <c r="CBZ3" s="16"/>
      <c r="CCA3" s="16"/>
      <c r="CCB3" s="16"/>
      <c r="CCC3" s="16"/>
      <c r="CCD3" s="16"/>
      <c r="CCE3" s="16"/>
      <c r="CCF3" s="16"/>
      <c r="CCG3" s="16"/>
      <c r="CCH3" s="16"/>
      <c r="CCI3" s="16"/>
      <c r="CCJ3" s="16"/>
      <c r="CCK3" s="16"/>
      <c r="CCL3" s="16"/>
      <c r="CCM3" s="16"/>
      <c r="CCN3" s="16"/>
      <c r="CCO3" s="16"/>
      <c r="CCP3" s="16"/>
      <c r="CCQ3" s="16"/>
      <c r="CCR3" s="16"/>
      <c r="CCS3" s="16"/>
      <c r="CCT3" s="16"/>
      <c r="CCU3" s="16"/>
      <c r="CCV3" s="16"/>
      <c r="CCW3" s="16"/>
      <c r="CCX3" s="16"/>
      <c r="CCY3" s="16"/>
      <c r="CCZ3" s="16"/>
      <c r="CDA3" s="16"/>
      <c r="CDB3" s="16"/>
      <c r="CDC3" s="16"/>
      <c r="CDD3" s="16"/>
      <c r="CDE3" s="16"/>
      <c r="CDF3" s="16"/>
      <c r="CDG3" s="16"/>
      <c r="CDH3" s="16"/>
      <c r="CDI3" s="16"/>
      <c r="CDJ3" s="16"/>
      <c r="CDK3" s="16"/>
      <c r="CDL3" s="16"/>
      <c r="CDM3" s="16"/>
      <c r="CDN3" s="16"/>
      <c r="CDO3" s="16"/>
      <c r="CDP3" s="16"/>
      <c r="CDQ3" s="16"/>
      <c r="CDR3" s="16"/>
      <c r="CDS3" s="16"/>
      <c r="CDT3" s="16"/>
      <c r="CDU3" s="16"/>
      <c r="CDV3" s="16"/>
      <c r="CDW3" s="16"/>
      <c r="CDX3" s="16"/>
      <c r="CDY3" s="16"/>
      <c r="CDZ3" s="16"/>
      <c r="CEA3" s="16"/>
      <c r="CEB3" s="16"/>
      <c r="CEC3" s="16"/>
      <c r="CED3" s="16"/>
      <c r="CEE3" s="16"/>
      <c r="CEF3" s="16"/>
      <c r="CEG3" s="16"/>
      <c r="CEH3" s="16"/>
      <c r="CEI3" s="16"/>
      <c r="CEJ3" s="16"/>
      <c r="CEK3" s="16"/>
      <c r="CEL3" s="16"/>
      <c r="CEM3" s="16"/>
      <c r="CEN3" s="16"/>
      <c r="CEO3" s="16"/>
      <c r="CEP3" s="16"/>
      <c r="CEQ3" s="16"/>
      <c r="CER3" s="16"/>
      <c r="CES3" s="16"/>
      <c r="CET3" s="16"/>
      <c r="CEU3" s="16"/>
      <c r="CEV3" s="16"/>
      <c r="CEW3" s="16"/>
      <c r="CEX3" s="16"/>
      <c r="CEY3" s="16"/>
      <c r="CEZ3" s="16"/>
      <c r="CFA3" s="16"/>
      <c r="CFB3" s="16"/>
      <c r="CFC3" s="16"/>
      <c r="CFD3" s="16"/>
      <c r="CFE3" s="16"/>
      <c r="CFF3" s="16"/>
      <c r="CFG3" s="16"/>
      <c r="CFH3" s="16"/>
      <c r="CFI3" s="16"/>
      <c r="CFJ3" s="16"/>
      <c r="CFK3" s="16"/>
      <c r="CFL3" s="16"/>
      <c r="CFM3" s="16"/>
      <c r="CFN3" s="16"/>
      <c r="CFO3" s="16"/>
      <c r="CFP3" s="16"/>
      <c r="CFQ3" s="16"/>
      <c r="CFR3" s="16"/>
      <c r="CFS3" s="16"/>
      <c r="CFT3" s="16"/>
      <c r="CFU3" s="16"/>
      <c r="CFV3" s="16"/>
      <c r="CFW3" s="16"/>
      <c r="CFX3" s="16"/>
      <c r="CFY3" s="16"/>
      <c r="CFZ3" s="16"/>
      <c r="CGA3" s="16"/>
      <c r="CGB3" s="16"/>
      <c r="CGC3" s="16"/>
      <c r="CGD3" s="16"/>
      <c r="CGE3" s="16"/>
      <c r="CGF3" s="16"/>
      <c r="CGG3" s="16"/>
      <c r="CGH3" s="16"/>
      <c r="CGI3" s="16"/>
      <c r="CGJ3" s="16"/>
      <c r="CGK3" s="16"/>
      <c r="CGL3" s="16"/>
      <c r="CGM3" s="16"/>
      <c r="CGN3" s="16"/>
      <c r="CGO3" s="16"/>
      <c r="CGP3" s="16"/>
      <c r="CGQ3" s="16"/>
      <c r="CGR3" s="16"/>
      <c r="CGS3" s="16"/>
      <c r="CGT3" s="16"/>
      <c r="CGU3" s="16"/>
      <c r="CGV3" s="16"/>
      <c r="CGW3" s="16"/>
      <c r="CGX3" s="16"/>
      <c r="CGY3" s="16"/>
      <c r="CGZ3" s="16"/>
      <c r="CHA3" s="16"/>
      <c r="CHB3" s="16"/>
      <c r="CHC3" s="16"/>
      <c r="CHD3" s="16"/>
      <c r="CHE3" s="16"/>
      <c r="CHF3" s="16"/>
      <c r="CHG3" s="16"/>
      <c r="CHH3" s="16"/>
      <c r="CHI3" s="16"/>
      <c r="CHJ3" s="16"/>
      <c r="CHK3" s="16"/>
      <c r="CHL3" s="16"/>
      <c r="CHM3" s="16"/>
      <c r="CHN3" s="16"/>
      <c r="CHO3" s="16"/>
      <c r="CHP3" s="16"/>
      <c r="CHQ3" s="16"/>
      <c r="CHR3" s="16"/>
      <c r="CHS3" s="16"/>
      <c r="CHT3" s="16"/>
      <c r="CHU3" s="16"/>
      <c r="CHV3" s="16"/>
      <c r="CHW3" s="16"/>
      <c r="CHX3" s="16"/>
      <c r="CHY3" s="16"/>
      <c r="CHZ3" s="16"/>
      <c r="CIA3" s="16"/>
      <c r="CIB3" s="16"/>
      <c r="CIC3" s="16"/>
      <c r="CID3" s="16"/>
      <c r="CIE3" s="16"/>
      <c r="CIF3" s="16"/>
      <c r="CIG3" s="16"/>
      <c r="CIH3" s="16"/>
      <c r="CII3" s="16"/>
      <c r="CIJ3" s="16"/>
      <c r="CIK3" s="16"/>
      <c r="CIL3" s="16"/>
      <c r="CIM3" s="16"/>
      <c r="CIN3" s="16"/>
      <c r="CIO3" s="16"/>
      <c r="CIP3" s="16"/>
      <c r="CIQ3" s="16"/>
      <c r="CIR3" s="16"/>
      <c r="CIS3" s="16"/>
      <c r="CIT3" s="16"/>
      <c r="CIU3" s="16"/>
      <c r="CIV3" s="16"/>
      <c r="CIW3" s="16"/>
      <c r="CIX3" s="16"/>
      <c r="CIY3" s="16"/>
      <c r="CIZ3" s="16"/>
      <c r="CJA3" s="16"/>
      <c r="CJB3" s="16"/>
      <c r="CJC3" s="16"/>
      <c r="CJD3" s="16"/>
      <c r="CJE3" s="16"/>
      <c r="CJF3" s="16"/>
      <c r="CJG3" s="16"/>
      <c r="CJH3" s="16"/>
      <c r="CJI3" s="16"/>
      <c r="CJJ3" s="16"/>
      <c r="CJK3" s="16"/>
      <c r="CJL3" s="16"/>
      <c r="CJM3" s="16"/>
      <c r="CJN3" s="16"/>
      <c r="CJO3" s="16"/>
      <c r="CJP3" s="16"/>
      <c r="CJQ3" s="16"/>
      <c r="CJR3" s="16"/>
      <c r="CJS3" s="16"/>
      <c r="CJT3" s="16"/>
      <c r="CJU3" s="16"/>
      <c r="CJV3" s="16"/>
      <c r="CJW3" s="16"/>
      <c r="CJX3" s="16"/>
      <c r="CJY3" s="16"/>
      <c r="CJZ3" s="16"/>
      <c r="CKA3" s="16"/>
      <c r="CKB3" s="16"/>
      <c r="CKC3" s="16"/>
      <c r="CKD3" s="16"/>
      <c r="CKE3" s="16"/>
      <c r="CKF3" s="16"/>
      <c r="CKG3" s="16"/>
      <c r="CKH3" s="16"/>
      <c r="CKI3" s="16"/>
      <c r="CKJ3" s="16"/>
      <c r="CKK3" s="16"/>
      <c r="CKL3" s="16"/>
      <c r="CKM3" s="16"/>
      <c r="CKN3" s="16"/>
      <c r="CKO3" s="16"/>
      <c r="CKP3" s="16"/>
      <c r="CKQ3" s="16"/>
      <c r="CKR3" s="16"/>
      <c r="CKS3" s="16"/>
      <c r="CKT3" s="16"/>
      <c r="CKU3" s="16"/>
      <c r="CKV3" s="16"/>
      <c r="CKW3" s="16"/>
      <c r="CKX3" s="16"/>
      <c r="CKY3" s="16"/>
      <c r="CKZ3" s="16"/>
      <c r="CLA3" s="16"/>
      <c r="CLB3" s="16"/>
      <c r="CLC3" s="16"/>
      <c r="CLD3" s="16"/>
      <c r="CLE3" s="16"/>
      <c r="CLF3" s="16"/>
      <c r="CLG3" s="16"/>
      <c r="CLH3" s="16"/>
      <c r="CLI3" s="16"/>
      <c r="CLJ3" s="16"/>
      <c r="CLK3" s="16"/>
      <c r="CLL3" s="16"/>
      <c r="CLM3" s="16"/>
      <c r="CLN3" s="16"/>
      <c r="CLO3" s="16"/>
      <c r="CLP3" s="16"/>
      <c r="CLQ3" s="16"/>
      <c r="CLR3" s="16"/>
      <c r="CLS3" s="16"/>
      <c r="CLT3" s="16"/>
      <c r="CLU3" s="16"/>
      <c r="CLV3" s="16"/>
      <c r="CLW3" s="16"/>
      <c r="CLX3" s="16"/>
      <c r="CLY3" s="16"/>
      <c r="CLZ3" s="16"/>
      <c r="CMA3" s="16"/>
      <c r="CMB3" s="16"/>
      <c r="CMC3" s="16"/>
      <c r="CMD3" s="16"/>
      <c r="CME3" s="16"/>
      <c r="CMF3" s="16"/>
      <c r="CMG3" s="16"/>
      <c r="CMH3" s="16"/>
      <c r="CMI3" s="16"/>
      <c r="CMJ3" s="16"/>
      <c r="CMK3" s="16"/>
      <c r="CML3" s="16"/>
      <c r="CMM3" s="16"/>
      <c r="CMN3" s="16"/>
      <c r="CMO3" s="16"/>
      <c r="CMP3" s="16"/>
      <c r="CMQ3" s="16"/>
      <c r="CMR3" s="16"/>
      <c r="CMS3" s="16"/>
      <c r="CMT3" s="16"/>
      <c r="CMU3" s="16"/>
      <c r="CMV3" s="16"/>
      <c r="CMW3" s="16"/>
      <c r="CMX3" s="16"/>
      <c r="CMY3" s="16"/>
      <c r="CMZ3" s="16"/>
      <c r="CNA3" s="16"/>
      <c r="CNB3" s="16"/>
      <c r="CNC3" s="16"/>
      <c r="CND3" s="16"/>
      <c r="CNE3" s="16"/>
      <c r="CNF3" s="16"/>
      <c r="CNG3" s="16"/>
      <c r="CNH3" s="16"/>
      <c r="CNI3" s="16"/>
      <c r="CNJ3" s="16"/>
      <c r="CNK3" s="16"/>
      <c r="CNL3" s="16"/>
      <c r="CNM3" s="16"/>
      <c r="CNN3" s="16"/>
      <c r="CNO3" s="16"/>
      <c r="CNP3" s="16"/>
      <c r="CNQ3" s="16"/>
      <c r="CNR3" s="16"/>
      <c r="CNS3" s="16"/>
      <c r="CNT3" s="16"/>
      <c r="CNU3" s="16"/>
      <c r="CNV3" s="16"/>
      <c r="CNW3" s="16"/>
      <c r="CNX3" s="16"/>
      <c r="CNY3" s="16"/>
      <c r="CNZ3" s="16"/>
      <c r="COA3" s="16"/>
      <c r="COB3" s="16"/>
      <c r="COC3" s="16"/>
      <c r="COD3" s="16"/>
      <c r="COE3" s="16"/>
      <c r="COF3" s="16"/>
      <c r="COG3" s="16"/>
      <c r="COH3" s="16"/>
      <c r="COI3" s="16"/>
      <c r="COJ3" s="16"/>
      <c r="COK3" s="16"/>
      <c r="COL3" s="16"/>
      <c r="COM3" s="16"/>
      <c r="CON3" s="16"/>
      <c r="COO3" s="16"/>
      <c r="COP3" s="16"/>
      <c r="COQ3" s="16"/>
      <c r="COR3" s="16"/>
      <c r="COS3" s="16"/>
      <c r="COT3" s="16"/>
      <c r="COU3" s="16"/>
      <c r="COV3" s="16"/>
      <c r="COW3" s="16"/>
      <c r="COX3" s="16"/>
      <c r="COY3" s="16"/>
      <c r="COZ3" s="16"/>
      <c r="CPA3" s="16"/>
      <c r="CPB3" s="16"/>
      <c r="CPC3" s="16"/>
      <c r="CPD3" s="16"/>
      <c r="CPE3" s="16"/>
      <c r="CPF3" s="16"/>
      <c r="CPG3" s="16"/>
      <c r="CPH3" s="16"/>
      <c r="CPI3" s="16"/>
      <c r="CPJ3" s="16"/>
      <c r="CPK3" s="16"/>
      <c r="CPL3" s="16"/>
      <c r="CPM3" s="16"/>
      <c r="CPN3" s="16"/>
      <c r="CPO3" s="16"/>
      <c r="CPP3" s="16"/>
      <c r="CPQ3" s="16"/>
      <c r="CPR3" s="16"/>
      <c r="CPS3" s="16"/>
      <c r="CPT3" s="16"/>
      <c r="CPU3" s="16"/>
      <c r="CPV3" s="16"/>
      <c r="CPW3" s="16"/>
      <c r="CPX3" s="16"/>
      <c r="CPY3" s="16"/>
      <c r="CPZ3" s="16"/>
      <c r="CQA3" s="16"/>
      <c r="CQB3" s="16"/>
      <c r="CQC3" s="16"/>
      <c r="CQD3" s="16"/>
      <c r="CQE3" s="16"/>
      <c r="CQF3" s="16"/>
      <c r="CQG3" s="16"/>
      <c r="CQH3" s="16"/>
      <c r="CQI3" s="16"/>
      <c r="CQJ3" s="16"/>
      <c r="CQK3" s="16"/>
      <c r="CQL3" s="16"/>
      <c r="CQM3" s="16"/>
      <c r="CQN3" s="16"/>
      <c r="CQO3" s="16"/>
      <c r="CQP3" s="16"/>
      <c r="CQQ3" s="16"/>
      <c r="CQR3" s="16"/>
      <c r="CQS3" s="16"/>
      <c r="CQT3" s="16"/>
      <c r="CQU3" s="16"/>
      <c r="CQV3" s="16"/>
      <c r="CQW3" s="16"/>
      <c r="CQX3" s="16"/>
      <c r="CQY3" s="16"/>
      <c r="CQZ3" s="16"/>
      <c r="CRA3" s="16"/>
      <c r="CRB3" s="16"/>
      <c r="CRC3" s="16"/>
      <c r="CRD3" s="16"/>
      <c r="CRE3" s="16"/>
      <c r="CRF3" s="16"/>
      <c r="CRG3" s="16"/>
      <c r="CRH3" s="16"/>
      <c r="CRI3" s="16"/>
      <c r="CRJ3" s="16"/>
      <c r="CRK3" s="16"/>
      <c r="CRL3" s="16"/>
      <c r="CRM3" s="16"/>
      <c r="CRN3" s="16"/>
      <c r="CRO3" s="16"/>
      <c r="CRP3" s="16"/>
      <c r="CRQ3" s="16"/>
      <c r="CRR3" s="16"/>
      <c r="CRS3" s="16"/>
      <c r="CRT3" s="16"/>
      <c r="CRU3" s="16"/>
      <c r="CRV3" s="16"/>
      <c r="CRW3" s="16"/>
      <c r="CRX3" s="16"/>
      <c r="CRY3" s="16"/>
      <c r="CRZ3" s="16"/>
      <c r="CSA3" s="16"/>
      <c r="CSB3" s="16"/>
      <c r="CSC3" s="16"/>
      <c r="CSD3" s="16"/>
      <c r="CSE3" s="16"/>
      <c r="CSF3" s="16"/>
      <c r="CSG3" s="16"/>
      <c r="CSH3" s="16"/>
      <c r="CSI3" s="16"/>
      <c r="CSJ3" s="16"/>
      <c r="CSK3" s="16"/>
      <c r="CSL3" s="16"/>
      <c r="CSM3" s="16"/>
      <c r="CSN3" s="16"/>
      <c r="CSO3" s="16"/>
      <c r="CSP3" s="16"/>
      <c r="CSQ3" s="16"/>
      <c r="CSR3" s="16"/>
      <c r="CSS3" s="16"/>
      <c r="CST3" s="16"/>
      <c r="CSU3" s="16"/>
      <c r="CSV3" s="16"/>
      <c r="CSW3" s="16"/>
      <c r="CSX3" s="16"/>
      <c r="CSY3" s="16"/>
      <c r="CSZ3" s="16"/>
      <c r="CTA3" s="16"/>
      <c r="CTB3" s="16"/>
      <c r="CTC3" s="16"/>
      <c r="CTD3" s="16"/>
      <c r="CTE3" s="16"/>
      <c r="CTF3" s="16"/>
      <c r="CTG3" s="16"/>
      <c r="CTH3" s="16"/>
      <c r="CTI3" s="16"/>
      <c r="CTJ3" s="16"/>
      <c r="CTK3" s="16"/>
      <c r="CTL3" s="16"/>
      <c r="CTM3" s="16"/>
      <c r="CTN3" s="16"/>
      <c r="CTO3" s="16"/>
      <c r="CTP3" s="16"/>
      <c r="CTQ3" s="16"/>
      <c r="CTR3" s="16"/>
      <c r="CTS3" s="16"/>
      <c r="CTT3" s="16"/>
      <c r="CTU3" s="16"/>
      <c r="CTV3" s="16"/>
      <c r="CTW3" s="16"/>
      <c r="CTX3" s="16"/>
      <c r="CTY3" s="16"/>
      <c r="CTZ3" s="16"/>
      <c r="CUA3" s="16"/>
      <c r="CUB3" s="16"/>
      <c r="CUC3" s="16"/>
      <c r="CUD3" s="16"/>
      <c r="CUE3" s="16"/>
      <c r="CUF3" s="16"/>
      <c r="CUG3" s="16"/>
      <c r="CUH3" s="16"/>
      <c r="CUI3" s="16"/>
      <c r="CUJ3" s="16"/>
      <c r="CUK3" s="16"/>
      <c r="CUL3" s="16"/>
      <c r="CUM3" s="16"/>
      <c r="CUN3" s="16"/>
      <c r="CUO3" s="16"/>
      <c r="CUP3" s="16"/>
      <c r="CUQ3" s="16"/>
      <c r="CUR3" s="16"/>
      <c r="CUS3" s="16"/>
      <c r="CUT3" s="16"/>
      <c r="CUU3" s="16"/>
      <c r="CUV3" s="16"/>
      <c r="CUW3" s="16"/>
      <c r="CUX3" s="16"/>
      <c r="CUY3" s="16"/>
      <c r="CUZ3" s="16"/>
      <c r="CVA3" s="16"/>
      <c r="CVB3" s="16"/>
      <c r="CVC3" s="16"/>
      <c r="CVD3" s="16"/>
      <c r="CVE3" s="16"/>
      <c r="CVF3" s="16"/>
      <c r="CVG3" s="16"/>
      <c r="CVH3" s="16"/>
      <c r="CVI3" s="16"/>
      <c r="CVJ3" s="16"/>
      <c r="CVK3" s="16"/>
      <c r="CVL3" s="16"/>
      <c r="CVM3" s="16"/>
      <c r="CVN3" s="16"/>
      <c r="CVO3" s="16"/>
      <c r="CVP3" s="16"/>
      <c r="CVQ3" s="16"/>
      <c r="CVR3" s="16"/>
      <c r="CVS3" s="16"/>
      <c r="CVT3" s="16"/>
      <c r="CVU3" s="16"/>
      <c r="CVV3" s="16"/>
      <c r="CVW3" s="16"/>
      <c r="CVX3" s="16"/>
      <c r="CVY3" s="16"/>
      <c r="CVZ3" s="16"/>
      <c r="CWA3" s="16"/>
      <c r="CWB3" s="16"/>
      <c r="CWC3" s="16"/>
      <c r="CWD3" s="16"/>
      <c r="CWE3" s="16"/>
      <c r="CWF3" s="16"/>
      <c r="CWG3" s="16"/>
      <c r="CWH3" s="16"/>
      <c r="CWI3" s="16"/>
      <c r="CWJ3" s="16"/>
      <c r="CWK3" s="16"/>
      <c r="CWL3" s="16"/>
      <c r="CWM3" s="16"/>
      <c r="CWN3" s="16"/>
      <c r="CWO3" s="16"/>
      <c r="CWP3" s="16"/>
      <c r="CWQ3" s="16"/>
      <c r="CWR3" s="16"/>
      <c r="CWS3" s="16"/>
      <c r="CWT3" s="16"/>
      <c r="CWU3" s="16"/>
      <c r="CWV3" s="16"/>
      <c r="CWW3" s="16"/>
      <c r="CWX3" s="16"/>
      <c r="CWY3" s="16"/>
      <c r="CWZ3" s="16"/>
      <c r="CXA3" s="16"/>
      <c r="CXB3" s="16"/>
      <c r="CXC3" s="16"/>
      <c r="CXD3" s="16"/>
      <c r="CXE3" s="16"/>
      <c r="CXF3" s="16"/>
      <c r="CXG3" s="16"/>
      <c r="CXH3" s="16"/>
      <c r="CXI3" s="16"/>
      <c r="CXJ3" s="16"/>
      <c r="CXK3" s="16"/>
      <c r="CXL3" s="16"/>
      <c r="CXM3" s="16"/>
      <c r="CXN3" s="16"/>
      <c r="CXO3" s="16"/>
      <c r="CXP3" s="16"/>
      <c r="CXQ3" s="16"/>
      <c r="CXR3" s="16"/>
      <c r="CXS3" s="16"/>
      <c r="CXT3" s="16"/>
      <c r="CXU3" s="16"/>
      <c r="CXV3" s="16"/>
      <c r="CXW3" s="16"/>
      <c r="CXX3" s="16"/>
      <c r="CXY3" s="16"/>
      <c r="CXZ3" s="16"/>
      <c r="CYA3" s="16"/>
      <c r="CYB3" s="16"/>
      <c r="CYC3" s="16"/>
      <c r="CYD3" s="16"/>
      <c r="CYE3" s="16"/>
      <c r="CYF3" s="16"/>
      <c r="CYG3" s="16"/>
      <c r="CYH3" s="16"/>
      <c r="CYI3" s="16"/>
      <c r="CYJ3" s="16"/>
      <c r="CYK3" s="16"/>
      <c r="CYL3" s="16"/>
      <c r="CYM3" s="16"/>
      <c r="CYN3" s="16"/>
      <c r="CYO3" s="16"/>
      <c r="CYP3" s="16"/>
      <c r="CYQ3" s="16"/>
      <c r="CYR3" s="16"/>
      <c r="CYS3" s="16"/>
      <c r="CYT3" s="16"/>
      <c r="CYU3" s="16"/>
      <c r="CYV3" s="16"/>
      <c r="CYW3" s="16"/>
      <c r="CYX3" s="16"/>
      <c r="CYY3" s="16"/>
      <c r="CYZ3" s="16"/>
      <c r="CZA3" s="16"/>
      <c r="CZB3" s="16"/>
      <c r="CZC3" s="16"/>
      <c r="CZD3" s="16"/>
      <c r="CZE3" s="16"/>
      <c r="CZF3" s="16"/>
      <c r="CZG3" s="16"/>
      <c r="CZH3" s="16"/>
      <c r="CZI3" s="16"/>
      <c r="CZJ3" s="16"/>
      <c r="CZK3" s="16"/>
      <c r="CZL3" s="16"/>
      <c r="CZM3" s="16"/>
      <c r="CZN3" s="16"/>
      <c r="CZO3" s="16"/>
      <c r="CZP3" s="16"/>
      <c r="CZQ3" s="16"/>
      <c r="CZR3" s="16"/>
      <c r="CZS3" s="16"/>
      <c r="CZT3" s="16"/>
      <c r="CZU3" s="16"/>
      <c r="CZV3" s="16"/>
      <c r="CZW3" s="16"/>
      <c r="CZX3" s="16"/>
      <c r="CZY3" s="16"/>
      <c r="CZZ3" s="16"/>
      <c r="DAA3" s="16"/>
      <c r="DAB3" s="16"/>
      <c r="DAC3" s="16"/>
      <c r="DAD3" s="16"/>
      <c r="DAE3" s="16"/>
      <c r="DAF3" s="16"/>
      <c r="DAG3" s="16"/>
      <c r="DAH3" s="16"/>
      <c r="DAI3" s="16"/>
      <c r="DAJ3" s="16"/>
      <c r="DAK3" s="16"/>
      <c r="DAL3" s="16"/>
      <c r="DAM3" s="16"/>
      <c r="DAN3" s="16"/>
      <c r="DAO3" s="16"/>
      <c r="DAP3" s="16"/>
      <c r="DAQ3" s="16"/>
      <c r="DAR3" s="16"/>
      <c r="DAS3" s="16"/>
      <c r="DAT3" s="16"/>
      <c r="DAU3" s="16"/>
      <c r="DAV3" s="16"/>
      <c r="DAW3" s="16"/>
      <c r="DAX3" s="16"/>
      <c r="DAY3" s="16"/>
      <c r="DAZ3" s="16"/>
      <c r="DBA3" s="16"/>
      <c r="DBB3" s="16"/>
      <c r="DBC3" s="16"/>
      <c r="DBD3" s="16"/>
      <c r="DBE3" s="16"/>
      <c r="DBF3" s="16"/>
      <c r="DBG3" s="16"/>
      <c r="DBH3" s="16"/>
      <c r="DBI3" s="16"/>
      <c r="DBJ3" s="16"/>
      <c r="DBK3" s="16"/>
      <c r="DBL3" s="16"/>
      <c r="DBM3" s="16"/>
      <c r="DBN3" s="16"/>
      <c r="DBO3" s="16"/>
      <c r="DBP3" s="16"/>
      <c r="DBQ3" s="16"/>
      <c r="DBR3" s="16"/>
      <c r="DBS3" s="16"/>
      <c r="DBT3" s="16"/>
      <c r="DBU3" s="16"/>
      <c r="DBV3" s="16"/>
      <c r="DBW3" s="16"/>
      <c r="DBX3" s="16"/>
      <c r="DBY3" s="16"/>
      <c r="DBZ3" s="16"/>
      <c r="DCA3" s="16"/>
      <c r="DCB3" s="16"/>
      <c r="DCC3" s="16"/>
      <c r="DCD3" s="16"/>
      <c r="DCE3" s="16"/>
      <c r="DCF3" s="16"/>
      <c r="DCG3" s="16"/>
      <c r="DCH3" s="16"/>
      <c r="DCI3" s="16"/>
      <c r="DCJ3" s="16"/>
      <c r="DCK3" s="16"/>
      <c r="DCL3" s="16"/>
      <c r="DCM3" s="16"/>
      <c r="DCN3" s="16"/>
      <c r="DCO3" s="16"/>
      <c r="DCP3" s="16"/>
      <c r="DCQ3" s="16"/>
      <c r="DCR3" s="16"/>
      <c r="DCS3" s="16"/>
      <c r="DCT3" s="16"/>
      <c r="DCU3" s="16"/>
      <c r="DCV3" s="16"/>
      <c r="DCW3" s="16"/>
      <c r="DCX3" s="16"/>
      <c r="DCY3" s="16"/>
      <c r="DCZ3" s="16"/>
      <c r="DDA3" s="16"/>
      <c r="DDB3" s="16"/>
      <c r="DDC3" s="16"/>
      <c r="DDD3" s="16"/>
      <c r="DDE3" s="16"/>
      <c r="DDF3" s="16"/>
      <c r="DDG3" s="16"/>
      <c r="DDH3" s="16"/>
      <c r="DDI3" s="16"/>
      <c r="DDJ3" s="16"/>
      <c r="DDK3" s="16"/>
      <c r="DDL3" s="16"/>
      <c r="DDM3" s="16"/>
      <c r="DDN3" s="16"/>
      <c r="DDO3" s="16"/>
      <c r="DDP3" s="16"/>
      <c r="DDQ3" s="16"/>
      <c r="DDR3" s="16"/>
      <c r="DDS3" s="16"/>
      <c r="DDT3" s="16"/>
      <c r="DDU3" s="16"/>
      <c r="DDV3" s="16"/>
      <c r="DDW3" s="16"/>
      <c r="DDX3" s="16"/>
      <c r="DDY3" s="16"/>
      <c r="DDZ3" s="16"/>
      <c r="DEA3" s="16"/>
      <c r="DEB3" s="16"/>
      <c r="DEC3" s="16"/>
      <c r="DED3" s="16"/>
      <c r="DEE3" s="16"/>
      <c r="DEF3" s="16"/>
      <c r="DEG3" s="16"/>
      <c r="DEH3" s="16"/>
      <c r="DEI3" s="16"/>
      <c r="DEJ3" s="16"/>
      <c r="DEK3" s="16"/>
      <c r="DEL3" s="16"/>
      <c r="DEM3" s="16"/>
      <c r="DEN3" s="16"/>
      <c r="DEO3" s="16"/>
      <c r="DEP3" s="16"/>
      <c r="DEQ3" s="16"/>
      <c r="DER3" s="16"/>
      <c r="DES3" s="16"/>
      <c r="DET3" s="16"/>
      <c r="DEU3" s="16"/>
      <c r="DEV3" s="16"/>
      <c r="DEW3" s="16"/>
      <c r="DEX3" s="16"/>
      <c r="DEY3" s="16"/>
      <c r="DEZ3" s="16"/>
      <c r="DFA3" s="16"/>
      <c r="DFB3" s="16"/>
      <c r="DFC3" s="16"/>
      <c r="DFD3" s="16"/>
      <c r="DFE3" s="16"/>
      <c r="DFF3" s="16"/>
      <c r="DFG3" s="16"/>
      <c r="DFH3" s="16"/>
      <c r="DFI3" s="16"/>
      <c r="DFJ3" s="16"/>
      <c r="DFK3" s="16"/>
      <c r="DFL3" s="16"/>
      <c r="DFM3" s="16"/>
      <c r="DFN3" s="16"/>
      <c r="DFO3" s="16"/>
      <c r="DFP3" s="16"/>
      <c r="DFQ3" s="16"/>
      <c r="DFR3" s="16"/>
      <c r="DFS3" s="16"/>
      <c r="DFT3" s="16"/>
      <c r="DFU3" s="16"/>
      <c r="DFV3" s="16"/>
      <c r="DFW3" s="16"/>
      <c r="DFX3" s="16"/>
      <c r="DFY3" s="16"/>
      <c r="DFZ3" s="16"/>
      <c r="DGA3" s="16"/>
      <c r="DGB3" s="16"/>
      <c r="DGC3" s="16"/>
      <c r="DGD3" s="16"/>
      <c r="DGE3" s="16"/>
      <c r="DGF3" s="16"/>
      <c r="DGG3" s="16"/>
      <c r="DGH3" s="16"/>
      <c r="DGI3" s="16"/>
      <c r="DGJ3" s="16"/>
      <c r="DGK3" s="16"/>
      <c r="DGL3" s="16"/>
      <c r="DGM3" s="16"/>
      <c r="DGN3" s="16"/>
      <c r="DGO3" s="16"/>
      <c r="DGP3" s="16"/>
      <c r="DGQ3" s="16"/>
      <c r="DGR3" s="16"/>
      <c r="DGS3" s="16"/>
      <c r="DGT3" s="16"/>
      <c r="DGU3" s="16"/>
      <c r="DGV3" s="16"/>
      <c r="DGW3" s="16"/>
      <c r="DGX3" s="16"/>
      <c r="DGY3" s="16"/>
      <c r="DGZ3" s="16"/>
      <c r="DHA3" s="16"/>
      <c r="DHB3" s="16"/>
      <c r="DHC3" s="16"/>
      <c r="DHD3" s="16"/>
      <c r="DHE3" s="16"/>
      <c r="DHF3" s="16"/>
      <c r="DHG3" s="16"/>
      <c r="DHH3" s="16"/>
      <c r="DHI3" s="16"/>
      <c r="DHJ3" s="16"/>
      <c r="DHK3" s="16"/>
      <c r="DHL3" s="16"/>
      <c r="DHM3" s="16"/>
      <c r="DHN3" s="16"/>
      <c r="DHO3" s="16"/>
      <c r="DHP3" s="16"/>
      <c r="DHQ3" s="16"/>
      <c r="DHR3" s="16"/>
      <c r="DHS3" s="16"/>
      <c r="DHT3" s="16"/>
      <c r="DHU3" s="16"/>
      <c r="DHV3" s="16"/>
      <c r="DHW3" s="16"/>
      <c r="DHX3" s="16"/>
      <c r="DHY3" s="16"/>
      <c r="DHZ3" s="16"/>
      <c r="DIA3" s="16"/>
      <c r="DIB3" s="16"/>
      <c r="DIC3" s="16"/>
      <c r="DID3" s="16"/>
      <c r="DIE3" s="16"/>
      <c r="DIF3" s="16"/>
      <c r="DIG3" s="16"/>
      <c r="DIH3" s="16"/>
      <c r="DII3" s="16"/>
      <c r="DIJ3" s="16"/>
      <c r="DIK3" s="16"/>
      <c r="DIL3" s="16"/>
      <c r="DIM3" s="16"/>
      <c r="DIN3" s="16"/>
      <c r="DIO3" s="16"/>
      <c r="DIP3" s="16"/>
      <c r="DIQ3" s="16"/>
      <c r="DIR3" s="16"/>
      <c r="DIS3" s="16"/>
      <c r="DIT3" s="16"/>
      <c r="DIU3" s="16"/>
      <c r="DIV3" s="16"/>
      <c r="DIW3" s="16"/>
      <c r="DIX3" s="16"/>
      <c r="DIY3" s="16"/>
      <c r="DIZ3" s="16"/>
      <c r="DJA3" s="16"/>
      <c r="DJB3" s="16"/>
      <c r="DJC3" s="16"/>
      <c r="DJD3" s="16"/>
      <c r="DJE3" s="16"/>
      <c r="DJF3" s="16"/>
      <c r="DJG3" s="16"/>
      <c r="DJH3" s="16"/>
      <c r="DJI3" s="16"/>
      <c r="DJJ3" s="16"/>
      <c r="DJK3" s="16"/>
      <c r="DJL3" s="16"/>
      <c r="DJM3" s="16"/>
      <c r="DJN3" s="16"/>
      <c r="DJO3" s="16"/>
      <c r="DJP3" s="16"/>
      <c r="DJQ3" s="16"/>
      <c r="DJR3" s="16"/>
      <c r="DJS3" s="16"/>
      <c r="DJT3" s="16"/>
      <c r="DJU3" s="16"/>
      <c r="DJV3" s="16"/>
      <c r="DJW3" s="16"/>
      <c r="DJX3" s="16"/>
      <c r="DJY3" s="16"/>
      <c r="DJZ3" s="16"/>
      <c r="DKA3" s="16"/>
      <c r="DKB3" s="16"/>
      <c r="DKC3" s="16"/>
      <c r="DKD3" s="16"/>
      <c r="DKE3" s="16"/>
      <c r="DKF3" s="16"/>
      <c r="DKG3" s="16"/>
      <c r="DKH3" s="16"/>
      <c r="DKI3" s="16"/>
      <c r="DKJ3" s="16"/>
      <c r="DKK3" s="16"/>
      <c r="DKL3" s="16"/>
      <c r="DKM3" s="16"/>
      <c r="DKN3" s="16"/>
      <c r="DKO3" s="16"/>
      <c r="DKP3" s="16"/>
      <c r="DKQ3" s="16"/>
      <c r="DKR3" s="16"/>
      <c r="DKS3" s="16"/>
      <c r="DKT3" s="16"/>
      <c r="DKU3" s="16"/>
      <c r="DKV3" s="16"/>
      <c r="DKW3" s="16"/>
      <c r="DKX3" s="16"/>
      <c r="DKY3" s="16"/>
      <c r="DKZ3" s="16"/>
      <c r="DLA3" s="16"/>
      <c r="DLB3" s="16"/>
      <c r="DLC3" s="16"/>
      <c r="DLD3" s="16"/>
      <c r="DLE3" s="16"/>
      <c r="DLF3" s="16"/>
      <c r="DLG3" s="16"/>
      <c r="DLH3" s="16"/>
      <c r="DLI3" s="16"/>
      <c r="DLJ3" s="16"/>
      <c r="DLK3" s="16"/>
      <c r="DLL3" s="16"/>
      <c r="DLM3" s="16"/>
      <c r="DLN3" s="16"/>
      <c r="DLO3" s="16"/>
      <c r="DLP3" s="16"/>
      <c r="DLQ3" s="16"/>
      <c r="DLR3" s="16"/>
      <c r="DLS3" s="16"/>
      <c r="DLT3" s="16"/>
      <c r="DLU3" s="16"/>
      <c r="DLV3" s="16"/>
      <c r="DLW3" s="16"/>
      <c r="DLX3" s="16"/>
      <c r="DLY3" s="16"/>
      <c r="DLZ3" s="16"/>
      <c r="DMA3" s="16"/>
      <c r="DMB3" s="16"/>
      <c r="DMC3" s="16"/>
      <c r="DMD3" s="16"/>
      <c r="DME3" s="16"/>
      <c r="DMF3" s="16"/>
      <c r="DMG3" s="16"/>
      <c r="DMH3" s="16"/>
      <c r="DMI3" s="16"/>
      <c r="DMJ3" s="16"/>
      <c r="DMK3" s="16"/>
      <c r="DML3" s="16"/>
      <c r="DMM3" s="16"/>
      <c r="DMN3" s="16"/>
      <c r="DMO3" s="16"/>
      <c r="DMP3" s="16"/>
      <c r="DMQ3" s="16"/>
      <c r="DMR3" s="16"/>
      <c r="DMS3" s="16"/>
      <c r="DMT3" s="16"/>
      <c r="DMU3" s="16"/>
      <c r="DMV3" s="16"/>
      <c r="DMW3" s="16"/>
      <c r="DMX3" s="16"/>
      <c r="DMY3" s="16"/>
      <c r="DMZ3" s="16"/>
      <c r="DNA3" s="16"/>
      <c r="DNB3" s="16"/>
      <c r="DNC3" s="16"/>
      <c r="DND3" s="16"/>
      <c r="DNE3" s="16"/>
      <c r="DNF3" s="16"/>
      <c r="DNG3" s="16"/>
      <c r="DNH3" s="16"/>
      <c r="DNI3" s="16"/>
      <c r="DNJ3" s="16"/>
      <c r="DNK3" s="16"/>
      <c r="DNL3" s="16"/>
      <c r="DNM3" s="16"/>
      <c r="DNN3" s="16"/>
      <c r="DNO3" s="16"/>
      <c r="DNP3" s="16"/>
      <c r="DNQ3" s="16"/>
      <c r="DNR3" s="16"/>
      <c r="DNS3" s="16"/>
      <c r="DNT3" s="16"/>
      <c r="DNU3" s="16"/>
      <c r="DNV3" s="16"/>
      <c r="DNW3" s="16"/>
      <c r="DNX3" s="16"/>
      <c r="DNY3" s="16"/>
      <c r="DNZ3" s="16"/>
      <c r="DOA3" s="16"/>
      <c r="DOB3" s="16"/>
      <c r="DOC3" s="16"/>
      <c r="DOD3" s="16"/>
      <c r="DOE3" s="16"/>
      <c r="DOF3" s="16"/>
      <c r="DOG3" s="16"/>
      <c r="DOH3" s="16"/>
      <c r="DOI3" s="16"/>
      <c r="DOJ3" s="16"/>
      <c r="DOK3" s="16"/>
      <c r="DOL3" s="16"/>
      <c r="DOM3" s="16"/>
      <c r="DON3" s="16"/>
      <c r="DOO3" s="16"/>
      <c r="DOP3" s="16"/>
      <c r="DOQ3" s="16"/>
      <c r="DOR3" s="16"/>
      <c r="DOS3" s="16"/>
      <c r="DOT3" s="16"/>
      <c r="DOU3" s="16"/>
      <c r="DOV3" s="16"/>
      <c r="DOW3" s="16"/>
      <c r="DOX3" s="16"/>
      <c r="DOY3" s="16"/>
      <c r="DOZ3" s="16"/>
      <c r="DPA3" s="16"/>
      <c r="DPB3" s="16"/>
      <c r="DPC3" s="16"/>
      <c r="DPD3" s="16"/>
      <c r="DPE3" s="16"/>
      <c r="DPF3" s="16"/>
      <c r="DPG3" s="16"/>
      <c r="DPH3" s="16"/>
      <c r="DPI3" s="16"/>
      <c r="DPJ3" s="16"/>
      <c r="DPK3" s="16"/>
      <c r="DPL3" s="16"/>
      <c r="DPM3" s="16"/>
      <c r="DPN3" s="16"/>
      <c r="DPO3" s="16"/>
      <c r="DPP3" s="16"/>
      <c r="DPQ3" s="16"/>
      <c r="DPR3" s="16"/>
      <c r="DPS3" s="16"/>
      <c r="DPT3" s="16"/>
      <c r="DPU3" s="16"/>
      <c r="DPV3" s="16"/>
      <c r="DPW3" s="16"/>
      <c r="DPX3" s="16"/>
      <c r="DPY3" s="16"/>
      <c r="DPZ3" s="16"/>
      <c r="DQA3" s="16"/>
      <c r="DQB3" s="16"/>
      <c r="DQC3" s="16"/>
      <c r="DQD3" s="16"/>
      <c r="DQE3" s="16"/>
      <c r="DQF3" s="16"/>
      <c r="DQG3" s="16"/>
      <c r="DQH3" s="16"/>
      <c r="DQI3" s="16"/>
      <c r="DQJ3" s="16"/>
      <c r="DQK3" s="16"/>
      <c r="DQL3" s="16"/>
      <c r="DQM3" s="16"/>
      <c r="DQN3" s="16"/>
      <c r="DQO3" s="16"/>
      <c r="DQP3" s="16"/>
      <c r="DQQ3" s="16"/>
      <c r="DQR3" s="16"/>
      <c r="DQS3" s="16"/>
      <c r="DQT3" s="16"/>
      <c r="DQU3" s="16"/>
      <c r="DQV3" s="16"/>
      <c r="DQW3" s="16"/>
      <c r="DQX3" s="16"/>
      <c r="DQY3" s="16"/>
      <c r="DQZ3" s="16"/>
      <c r="DRA3" s="16"/>
      <c r="DRB3" s="16"/>
      <c r="DRC3" s="16"/>
      <c r="DRD3" s="16"/>
      <c r="DRE3" s="16"/>
      <c r="DRF3" s="16"/>
      <c r="DRG3" s="16"/>
      <c r="DRH3" s="16"/>
      <c r="DRI3" s="16"/>
      <c r="DRJ3" s="16"/>
      <c r="DRK3" s="16"/>
      <c r="DRL3" s="16"/>
      <c r="DRM3" s="16"/>
      <c r="DRN3" s="16"/>
      <c r="DRO3" s="16"/>
      <c r="DRP3" s="16"/>
      <c r="DRQ3" s="16"/>
      <c r="DRR3" s="16"/>
      <c r="DRS3" s="16"/>
      <c r="DRT3" s="16"/>
      <c r="DRU3" s="16"/>
      <c r="DRV3" s="16"/>
      <c r="DRW3" s="16"/>
      <c r="DRX3" s="16"/>
      <c r="DRY3" s="16"/>
      <c r="DRZ3" s="16"/>
      <c r="DSA3" s="16"/>
      <c r="DSB3" s="16"/>
      <c r="DSC3" s="16"/>
      <c r="DSD3" s="16"/>
      <c r="DSE3" s="16"/>
      <c r="DSF3" s="16"/>
      <c r="DSG3" s="16"/>
      <c r="DSH3" s="16"/>
      <c r="DSI3" s="16"/>
      <c r="DSJ3" s="16"/>
      <c r="DSK3" s="16"/>
      <c r="DSL3" s="16"/>
      <c r="DSM3" s="16"/>
      <c r="DSN3" s="16"/>
      <c r="DSO3" s="16"/>
      <c r="DSP3" s="16"/>
      <c r="DSQ3" s="16"/>
      <c r="DSR3" s="16"/>
      <c r="DSS3" s="16"/>
      <c r="DST3" s="16"/>
      <c r="DSU3" s="16"/>
      <c r="DSV3" s="16"/>
      <c r="DSW3" s="16"/>
      <c r="DSX3" s="16"/>
      <c r="DSY3" s="16"/>
      <c r="DSZ3" s="16"/>
      <c r="DTA3" s="16"/>
      <c r="DTB3" s="16"/>
      <c r="DTC3" s="16"/>
      <c r="DTD3" s="16"/>
      <c r="DTE3" s="16"/>
      <c r="DTF3" s="16"/>
      <c r="DTG3" s="16"/>
      <c r="DTH3" s="16"/>
      <c r="DTI3" s="16"/>
      <c r="DTJ3" s="16"/>
      <c r="DTK3" s="16"/>
      <c r="DTL3" s="16"/>
      <c r="DTM3" s="16"/>
      <c r="DTN3" s="16"/>
      <c r="DTO3" s="16"/>
      <c r="DTP3" s="16"/>
      <c r="DTQ3" s="16"/>
      <c r="DTR3" s="16"/>
      <c r="DTS3" s="16"/>
      <c r="DTT3" s="16"/>
      <c r="DTU3" s="16"/>
      <c r="DTV3" s="16"/>
      <c r="DTW3" s="16"/>
      <c r="DTX3" s="16"/>
      <c r="DTY3" s="16"/>
      <c r="DTZ3" s="16"/>
      <c r="DUA3" s="16"/>
      <c r="DUB3" s="16"/>
      <c r="DUC3" s="16"/>
      <c r="DUD3" s="16"/>
      <c r="DUE3" s="16"/>
      <c r="DUF3" s="16"/>
      <c r="DUG3" s="16"/>
      <c r="DUH3" s="16"/>
      <c r="DUI3" s="16"/>
      <c r="DUJ3" s="16"/>
      <c r="DUK3" s="16"/>
      <c r="DUL3" s="16"/>
      <c r="DUM3" s="16"/>
      <c r="DUN3" s="16"/>
      <c r="DUO3" s="16"/>
      <c r="DUP3" s="16"/>
      <c r="DUQ3" s="16"/>
      <c r="DUR3" s="16"/>
      <c r="DUS3" s="16"/>
      <c r="DUT3" s="16"/>
      <c r="DUU3" s="16"/>
      <c r="DUV3" s="16"/>
      <c r="DUW3" s="16"/>
      <c r="DUX3" s="16"/>
      <c r="DUY3" s="16"/>
      <c r="DUZ3" s="16"/>
      <c r="DVA3" s="16"/>
      <c r="DVB3" s="16"/>
      <c r="DVC3" s="16"/>
      <c r="DVD3" s="16"/>
      <c r="DVE3" s="16"/>
      <c r="DVF3" s="16"/>
      <c r="DVG3" s="16"/>
      <c r="DVH3" s="16"/>
      <c r="DVI3" s="16"/>
      <c r="DVJ3" s="16"/>
      <c r="DVK3" s="16"/>
      <c r="DVL3" s="16"/>
      <c r="DVM3" s="16"/>
      <c r="DVN3" s="16"/>
      <c r="DVO3" s="16"/>
      <c r="DVP3" s="16"/>
      <c r="DVQ3" s="16"/>
      <c r="DVR3" s="16"/>
      <c r="DVS3" s="16"/>
      <c r="DVT3" s="16"/>
      <c r="DVU3" s="16"/>
      <c r="DVV3" s="16"/>
      <c r="DVW3" s="16"/>
      <c r="DVX3" s="16"/>
      <c r="DVY3" s="16"/>
      <c r="DVZ3" s="16"/>
      <c r="DWA3" s="16"/>
      <c r="DWB3" s="16"/>
      <c r="DWC3" s="16"/>
      <c r="DWD3" s="16"/>
      <c r="DWE3" s="16"/>
      <c r="DWF3" s="16"/>
      <c r="DWG3" s="16"/>
      <c r="DWH3" s="16"/>
      <c r="DWI3" s="16"/>
      <c r="DWJ3" s="16"/>
      <c r="DWK3" s="16"/>
      <c r="DWL3" s="16"/>
      <c r="DWM3" s="16"/>
      <c r="DWN3" s="16"/>
      <c r="DWO3" s="16"/>
      <c r="DWP3" s="16"/>
      <c r="DWQ3" s="16"/>
      <c r="DWR3" s="16"/>
      <c r="DWS3" s="16"/>
      <c r="DWT3" s="16"/>
      <c r="DWU3" s="16"/>
      <c r="DWV3" s="16"/>
      <c r="DWW3" s="16"/>
      <c r="DWX3" s="16"/>
      <c r="DWY3" s="16"/>
      <c r="DWZ3" s="16"/>
      <c r="DXA3" s="16"/>
      <c r="DXB3" s="16"/>
      <c r="DXC3" s="16"/>
      <c r="DXD3" s="16"/>
      <c r="DXE3" s="16"/>
      <c r="DXF3" s="16"/>
      <c r="DXG3" s="16"/>
      <c r="DXH3" s="16"/>
      <c r="DXI3" s="16"/>
      <c r="DXJ3" s="16"/>
      <c r="DXK3" s="16"/>
      <c r="DXL3" s="16"/>
      <c r="DXM3" s="16"/>
      <c r="DXN3" s="16"/>
      <c r="DXO3" s="16"/>
      <c r="DXP3" s="16"/>
      <c r="DXQ3" s="16"/>
      <c r="DXR3" s="16"/>
      <c r="DXS3" s="16"/>
      <c r="DXT3" s="16"/>
      <c r="DXU3" s="16"/>
      <c r="DXV3" s="16"/>
      <c r="DXW3" s="16"/>
      <c r="DXX3" s="16"/>
      <c r="DXY3" s="16"/>
      <c r="DXZ3" s="16"/>
      <c r="DYA3" s="16"/>
      <c r="DYB3" s="16"/>
      <c r="DYC3" s="16"/>
      <c r="DYD3" s="16"/>
      <c r="DYE3" s="16"/>
      <c r="DYF3" s="16"/>
      <c r="DYG3" s="16"/>
      <c r="DYH3" s="16"/>
      <c r="DYI3" s="16"/>
      <c r="DYJ3" s="16"/>
      <c r="DYK3" s="16"/>
      <c r="DYL3" s="16"/>
      <c r="DYM3" s="16"/>
      <c r="DYN3" s="16"/>
      <c r="DYO3" s="16"/>
      <c r="DYP3" s="16"/>
      <c r="DYQ3" s="16"/>
      <c r="DYR3" s="16"/>
      <c r="DYS3" s="16"/>
      <c r="DYT3" s="16"/>
      <c r="DYU3" s="16"/>
      <c r="DYV3" s="16"/>
      <c r="DYW3" s="16"/>
      <c r="DYX3" s="16"/>
      <c r="DYY3" s="16"/>
      <c r="DYZ3" s="16"/>
      <c r="DZA3" s="16"/>
      <c r="DZB3" s="16"/>
      <c r="DZC3" s="16"/>
      <c r="DZD3" s="16"/>
      <c r="DZE3" s="16"/>
      <c r="DZF3" s="16"/>
      <c r="DZG3" s="16"/>
      <c r="DZH3" s="16"/>
      <c r="DZI3" s="16"/>
      <c r="DZJ3" s="16"/>
      <c r="DZK3" s="16"/>
      <c r="DZL3" s="16"/>
      <c r="DZM3" s="16"/>
      <c r="DZN3" s="16"/>
      <c r="DZO3" s="16"/>
      <c r="DZP3" s="16"/>
      <c r="DZQ3" s="16"/>
      <c r="DZR3" s="16"/>
      <c r="DZS3" s="16"/>
      <c r="DZT3" s="16"/>
      <c r="DZU3" s="16"/>
      <c r="DZV3" s="16"/>
      <c r="DZW3" s="16"/>
      <c r="DZX3" s="16"/>
      <c r="DZY3" s="16"/>
      <c r="DZZ3" s="16"/>
      <c r="EAA3" s="16"/>
      <c r="EAB3" s="16"/>
      <c r="EAC3" s="16"/>
      <c r="EAD3" s="16"/>
      <c r="EAE3" s="16"/>
      <c r="EAF3" s="16"/>
      <c r="EAG3" s="16"/>
      <c r="EAH3" s="16"/>
      <c r="EAI3" s="16"/>
      <c r="EAJ3" s="16"/>
      <c r="EAK3" s="16"/>
      <c r="EAL3" s="16"/>
      <c r="EAM3" s="16"/>
      <c r="EAN3" s="16"/>
      <c r="EAO3" s="16"/>
      <c r="EAP3" s="16"/>
      <c r="EAQ3" s="16"/>
      <c r="EAR3" s="16"/>
      <c r="EAS3" s="16"/>
      <c r="EAT3" s="16"/>
      <c r="EAU3" s="16"/>
      <c r="EAV3" s="16"/>
      <c r="EAW3" s="16"/>
      <c r="EAX3" s="16"/>
      <c r="EAY3" s="16"/>
      <c r="EAZ3" s="16"/>
      <c r="EBA3" s="16"/>
      <c r="EBB3" s="16"/>
      <c r="EBC3" s="16"/>
      <c r="EBD3" s="16"/>
      <c r="EBE3" s="16"/>
      <c r="EBF3" s="16"/>
      <c r="EBG3" s="16"/>
      <c r="EBH3" s="16"/>
      <c r="EBI3" s="16"/>
      <c r="EBJ3" s="16"/>
      <c r="EBK3" s="16"/>
      <c r="EBL3" s="16"/>
      <c r="EBM3" s="16"/>
      <c r="EBN3" s="16"/>
      <c r="EBO3" s="16"/>
      <c r="EBP3" s="16"/>
      <c r="EBQ3" s="16"/>
      <c r="EBR3" s="16"/>
      <c r="EBS3" s="16"/>
      <c r="EBT3" s="16"/>
      <c r="EBU3" s="16"/>
      <c r="EBV3" s="16"/>
      <c r="EBW3" s="16"/>
      <c r="EBX3" s="16"/>
      <c r="EBY3" s="16"/>
      <c r="EBZ3" s="16"/>
      <c r="ECA3" s="16"/>
      <c r="ECB3" s="16"/>
      <c r="ECC3" s="16"/>
      <c r="ECD3" s="16"/>
      <c r="ECE3" s="16"/>
      <c r="ECF3" s="16"/>
      <c r="ECG3" s="16"/>
      <c r="ECH3" s="16"/>
      <c r="ECI3" s="16"/>
      <c r="ECJ3" s="16"/>
      <c r="ECK3" s="16"/>
      <c r="ECL3" s="16"/>
      <c r="ECM3" s="16"/>
      <c r="ECN3" s="16"/>
      <c r="ECO3" s="16"/>
      <c r="ECP3" s="16"/>
      <c r="ECQ3" s="16"/>
      <c r="ECR3" s="16"/>
      <c r="ECS3" s="16"/>
      <c r="ECT3" s="16"/>
      <c r="ECU3" s="16"/>
      <c r="ECV3" s="16"/>
      <c r="ECW3" s="16"/>
      <c r="ECX3" s="16"/>
      <c r="ECY3" s="16"/>
      <c r="ECZ3" s="16"/>
      <c r="EDA3" s="16"/>
      <c r="EDB3" s="16"/>
      <c r="EDC3" s="16"/>
      <c r="EDD3" s="16"/>
      <c r="EDE3" s="16"/>
      <c r="EDF3" s="16"/>
      <c r="EDG3" s="16"/>
      <c r="EDH3" s="16"/>
      <c r="EDI3" s="16"/>
      <c r="EDJ3" s="16"/>
      <c r="EDK3" s="16"/>
      <c r="EDL3" s="16"/>
      <c r="EDM3" s="16"/>
      <c r="EDN3" s="16"/>
      <c r="EDO3" s="16"/>
      <c r="EDP3" s="16"/>
      <c r="EDQ3" s="16"/>
      <c r="EDR3" s="16"/>
      <c r="EDS3" s="16"/>
      <c r="EDT3" s="16"/>
      <c r="EDU3" s="16"/>
      <c r="EDV3" s="16"/>
      <c r="EDW3" s="16"/>
      <c r="EDX3" s="16"/>
      <c r="EDY3" s="16"/>
      <c r="EDZ3" s="16"/>
      <c r="EEA3" s="16"/>
      <c r="EEB3" s="16"/>
      <c r="EEC3" s="16"/>
      <c r="EED3" s="16"/>
      <c r="EEE3" s="16"/>
      <c r="EEF3" s="16"/>
      <c r="EEG3" s="16"/>
      <c r="EEH3" s="16"/>
      <c r="EEI3" s="16"/>
      <c r="EEJ3" s="16"/>
      <c r="EEK3" s="16"/>
      <c r="EEL3" s="16"/>
      <c r="EEM3" s="16"/>
      <c r="EEN3" s="16"/>
      <c r="EEO3" s="16"/>
      <c r="EEP3" s="16"/>
      <c r="EEQ3" s="16"/>
      <c r="EER3" s="16"/>
      <c r="EES3" s="16"/>
      <c r="EET3" s="16"/>
      <c r="EEU3" s="16"/>
      <c r="EEV3" s="16"/>
      <c r="EEW3" s="16"/>
      <c r="EEX3" s="16"/>
      <c r="EEY3" s="16"/>
      <c r="EEZ3" s="16"/>
      <c r="EFA3" s="16"/>
      <c r="EFB3" s="16"/>
      <c r="EFC3" s="16"/>
      <c r="EFD3" s="16"/>
      <c r="EFE3" s="16"/>
      <c r="EFF3" s="16"/>
      <c r="EFG3" s="16"/>
      <c r="EFH3" s="16"/>
      <c r="EFI3" s="16"/>
      <c r="EFJ3" s="16"/>
      <c r="EFK3" s="16"/>
      <c r="EFL3" s="16"/>
      <c r="EFM3" s="16"/>
      <c r="EFN3" s="16"/>
      <c r="EFO3" s="16"/>
      <c r="EFP3" s="16"/>
      <c r="EFQ3" s="16"/>
      <c r="EFR3" s="16"/>
      <c r="EFS3" s="16"/>
      <c r="EFT3" s="16"/>
      <c r="EFU3" s="16"/>
      <c r="EFV3" s="16"/>
      <c r="EFW3" s="16"/>
      <c r="EFX3" s="16"/>
      <c r="EFY3" s="16"/>
      <c r="EFZ3" s="16"/>
      <c r="EGA3" s="16"/>
      <c r="EGB3" s="16"/>
      <c r="EGC3" s="16"/>
      <c r="EGD3" s="16"/>
      <c r="EGE3" s="16"/>
      <c r="EGF3" s="16"/>
      <c r="EGG3" s="16"/>
      <c r="EGH3" s="16"/>
      <c r="EGI3" s="16"/>
      <c r="EGJ3" s="16"/>
      <c r="EGK3" s="16"/>
      <c r="EGL3" s="16"/>
      <c r="EGM3" s="16"/>
      <c r="EGN3" s="16"/>
      <c r="EGO3" s="16"/>
      <c r="EGP3" s="16"/>
      <c r="EGQ3" s="16"/>
      <c r="EGR3" s="16"/>
      <c r="EGS3" s="16"/>
      <c r="EGT3" s="16"/>
      <c r="EGU3" s="16"/>
      <c r="EGV3" s="16"/>
      <c r="EGW3" s="16"/>
      <c r="EGX3" s="16"/>
      <c r="EGY3" s="16"/>
      <c r="EGZ3" s="16"/>
      <c r="EHA3" s="16"/>
      <c r="EHB3" s="16"/>
      <c r="EHC3" s="16"/>
      <c r="EHD3" s="16"/>
      <c r="EHE3" s="16"/>
      <c r="EHF3" s="16"/>
      <c r="EHG3" s="16"/>
      <c r="EHH3" s="16"/>
      <c r="EHI3" s="16"/>
      <c r="EHJ3" s="16"/>
      <c r="EHK3" s="16"/>
      <c r="EHL3" s="16"/>
      <c r="EHM3" s="16"/>
      <c r="EHN3" s="16"/>
      <c r="EHO3" s="16"/>
      <c r="EHP3" s="16"/>
      <c r="EHQ3" s="16"/>
      <c r="EHR3" s="16"/>
      <c r="EHS3" s="16"/>
      <c r="EHT3" s="16"/>
      <c r="EHU3" s="16"/>
      <c r="EHV3" s="16"/>
      <c r="EHW3" s="16"/>
      <c r="EHX3" s="16"/>
      <c r="EHY3" s="16"/>
      <c r="EHZ3" s="16"/>
      <c r="EIA3" s="16"/>
      <c r="EIB3" s="16"/>
      <c r="EIC3" s="16"/>
      <c r="EID3" s="16"/>
      <c r="EIE3" s="16"/>
      <c r="EIF3" s="16"/>
      <c r="EIG3" s="16"/>
      <c r="EIH3" s="16"/>
      <c r="EII3" s="16"/>
      <c r="EIJ3" s="16"/>
      <c r="EIK3" s="16"/>
      <c r="EIL3" s="16"/>
      <c r="EIM3" s="16"/>
      <c r="EIN3" s="16"/>
      <c r="EIO3" s="16"/>
      <c r="EIP3" s="16"/>
      <c r="EIQ3" s="16"/>
      <c r="EIR3" s="16"/>
      <c r="EIS3" s="16"/>
      <c r="EIT3" s="16"/>
      <c r="EIU3" s="16"/>
      <c r="EIV3" s="16"/>
      <c r="EIW3" s="16"/>
      <c r="EIX3" s="16"/>
      <c r="EIY3" s="16"/>
      <c r="EIZ3" s="16"/>
      <c r="EJA3" s="16"/>
      <c r="EJB3" s="16"/>
      <c r="EJC3" s="16"/>
      <c r="EJD3" s="16"/>
      <c r="EJE3" s="16"/>
      <c r="EJF3" s="16"/>
      <c r="EJG3" s="16"/>
      <c r="EJH3" s="16"/>
      <c r="EJI3" s="16"/>
      <c r="EJJ3" s="16"/>
      <c r="EJK3" s="16"/>
      <c r="EJL3" s="16"/>
      <c r="EJM3" s="16"/>
      <c r="EJN3" s="16"/>
      <c r="EJO3" s="16"/>
      <c r="EJP3" s="16"/>
      <c r="EJQ3" s="16"/>
      <c r="EJR3" s="16"/>
      <c r="EJS3" s="16"/>
      <c r="EJT3" s="16"/>
      <c r="EJU3" s="16"/>
      <c r="EJV3" s="16"/>
      <c r="EJW3" s="16"/>
      <c r="EJX3" s="16"/>
      <c r="EJY3" s="16"/>
      <c r="EJZ3" s="16"/>
      <c r="EKA3" s="16"/>
      <c r="EKB3" s="16"/>
      <c r="EKC3" s="16"/>
      <c r="EKD3" s="16"/>
      <c r="EKE3" s="16"/>
      <c r="EKF3" s="16"/>
      <c r="EKG3" s="16"/>
      <c r="EKH3" s="16"/>
      <c r="EKI3" s="16"/>
      <c r="EKJ3" s="16"/>
      <c r="EKK3" s="16"/>
      <c r="EKL3" s="16"/>
      <c r="EKM3" s="16"/>
      <c r="EKN3" s="16"/>
      <c r="EKO3" s="16"/>
      <c r="EKP3" s="16"/>
      <c r="EKQ3" s="16"/>
      <c r="EKR3" s="16"/>
      <c r="EKS3" s="16"/>
      <c r="EKT3" s="16"/>
      <c r="EKU3" s="16"/>
      <c r="EKV3" s="16"/>
      <c r="EKW3" s="16"/>
      <c r="EKX3" s="16"/>
      <c r="EKY3" s="16"/>
      <c r="EKZ3" s="16"/>
      <c r="ELA3" s="16"/>
      <c r="ELB3" s="16"/>
      <c r="ELC3" s="16"/>
      <c r="ELD3" s="16"/>
      <c r="ELE3" s="16"/>
      <c r="ELF3" s="16"/>
      <c r="ELG3" s="16"/>
      <c r="ELH3" s="16"/>
      <c r="ELI3" s="16"/>
      <c r="ELJ3" s="16"/>
      <c r="ELK3" s="16"/>
      <c r="ELL3" s="16"/>
      <c r="ELM3" s="16"/>
      <c r="ELN3" s="16"/>
      <c r="ELO3" s="16"/>
      <c r="ELP3" s="16"/>
      <c r="ELQ3" s="16"/>
      <c r="ELR3" s="16"/>
      <c r="ELS3" s="16"/>
      <c r="ELT3" s="16"/>
      <c r="ELU3" s="16"/>
      <c r="ELV3" s="16"/>
      <c r="ELW3" s="16"/>
      <c r="ELX3" s="16"/>
      <c r="ELY3" s="16"/>
      <c r="ELZ3" s="16"/>
      <c r="EMA3" s="16"/>
      <c r="EMB3" s="16"/>
      <c r="EMC3" s="16"/>
      <c r="EMD3" s="16"/>
      <c r="EME3" s="16"/>
      <c r="EMF3" s="16"/>
      <c r="EMG3" s="16"/>
      <c r="EMH3" s="16"/>
      <c r="EMI3" s="16"/>
      <c r="EMJ3" s="16"/>
      <c r="EMK3" s="16"/>
      <c r="EML3" s="16"/>
      <c r="EMM3" s="16"/>
      <c r="EMN3" s="16"/>
      <c r="EMO3" s="16"/>
      <c r="EMP3" s="16"/>
      <c r="EMQ3" s="16"/>
      <c r="EMR3" s="16"/>
      <c r="EMS3" s="16"/>
      <c r="EMT3" s="16"/>
      <c r="EMU3" s="16"/>
      <c r="EMV3" s="16"/>
      <c r="EMW3" s="16"/>
      <c r="EMX3" s="16"/>
      <c r="EMY3" s="16"/>
      <c r="EMZ3" s="16"/>
      <c r="ENA3" s="16"/>
      <c r="ENB3" s="16"/>
      <c r="ENC3" s="16"/>
      <c r="END3" s="16"/>
      <c r="ENE3" s="16"/>
      <c r="ENF3" s="16"/>
      <c r="ENG3" s="16"/>
      <c r="ENH3" s="16"/>
      <c r="ENI3" s="16"/>
      <c r="ENJ3" s="16"/>
      <c r="ENK3" s="16"/>
      <c r="ENL3" s="16"/>
      <c r="ENM3" s="16"/>
      <c r="ENN3" s="16"/>
      <c r="ENO3" s="16"/>
      <c r="ENP3" s="16"/>
      <c r="ENQ3" s="16"/>
      <c r="ENR3" s="16"/>
      <c r="ENS3" s="16"/>
      <c r="ENT3" s="16"/>
      <c r="ENU3" s="16"/>
      <c r="ENV3" s="16"/>
      <c r="ENW3" s="16"/>
      <c r="ENX3" s="16"/>
      <c r="ENY3" s="16"/>
      <c r="ENZ3" s="16"/>
      <c r="EOA3" s="16"/>
      <c r="EOB3" s="16"/>
      <c r="EOC3" s="16"/>
      <c r="EOD3" s="16"/>
      <c r="EOE3" s="16"/>
      <c r="EOF3" s="16"/>
      <c r="EOG3" s="16"/>
      <c r="EOH3" s="16"/>
      <c r="EOI3" s="16"/>
      <c r="EOJ3" s="16"/>
      <c r="EOK3" s="16"/>
      <c r="EOL3" s="16"/>
      <c r="EOM3" s="16"/>
      <c r="EON3" s="16"/>
      <c r="EOO3" s="16"/>
      <c r="EOP3" s="16"/>
      <c r="EOQ3" s="16"/>
      <c r="EOR3" s="16"/>
      <c r="EOS3" s="16"/>
      <c r="EOT3" s="16"/>
      <c r="EOU3" s="16"/>
      <c r="EOV3" s="16"/>
      <c r="EOW3" s="16"/>
      <c r="EOX3" s="16"/>
      <c r="EOY3" s="16"/>
      <c r="EOZ3" s="16"/>
      <c r="EPA3" s="16"/>
      <c r="EPB3" s="16"/>
      <c r="EPC3" s="16"/>
      <c r="EPD3" s="16"/>
      <c r="EPE3" s="16"/>
      <c r="EPF3" s="16"/>
      <c r="EPG3" s="16"/>
      <c r="EPH3" s="16"/>
      <c r="EPI3" s="16"/>
      <c r="EPJ3" s="16"/>
      <c r="EPK3" s="16"/>
      <c r="EPL3" s="16"/>
      <c r="EPM3" s="16"/>
      <c r="EPN3" s="16"/>
      <c r="EPO3" s="16"/>
      <c r="EPP3" s="16"/>
      <c r="EPQ3" s="16"/>
      <c r="EPR3" s="16"/>
      <c r="EPS3" s="16"/>
      <c r="EPT3" s="16"/>
      <c r="EPU3" s="16"/>
      <c r="EPV3" s="16"/>
      <c r="EPW3" s="16"/>
      <c r="EPX3" s="16"/>
      <c r="EPY3" s="16"/>
      <c r="EPZ3" s="16"/>
      <c r="EQA3" s="16"/>
      <c r="EQB3" s="16"/>
      <c r="EQC3" s="16"/>
      <c r="EQD3" s="16"/>
      <c r="EQE3" s="16"/>
      <c r="EQF3" s="16"/>
      <c r="EQG3" s="16"/>
      <c r="EQH3" s="16"/>
      <c r="EQI3" s="16"/>
      <c r="EQJ3" s="16"/>
      <c r="EQK3" s="16"/>
      <c r="EQL3" s="16"/>
      <c r="EQM3" s="16"/>
      <c r="EQN3" s="16"/>
      <c r="EQO3" s="16"/>
      <c r="EQP3" s="16"/>
      <c r="EQQ3" s="16"/>
      <c r="EQR3" s="16"/>
      <c r="EQS3" s="16"/>
      <c r="EQT3" s="16"/>
      <c r="EQU3" s="16"/>
      <c r="EQV3" s="16"/>
      <c r="EQW3" s="16"/>
      <c r="EQX3" s="16"/>
      <c r="EQY3" s="16"/>
      <c r="EQZ3" s="16"/>
      <c r="ERA3" s="16"/>
      <c r="ERB3" s="16"/>
      <c r="ERC3" s="16"/>
      <c r="ERD3" s="16"/>
      <c r="ERE3" s="16"/>
      <c r="ERF3" s="16"/>
      <c r="ERG3" s="16"/>
      <c r="ERH3" s="16"/>
      <c r="ERI3" s="16"/>
      <c r="ERJ3" s="16"/>
      <c r="ERK3" s="16"/>
      <c r="ERL3" s="16"/>
      <c r="ERM3" s="16"/>
      <c r="ERN3" s="16"/>
      <c r="ERO3" s="16"/>
      <c r="ERP3" s="16"/>
      <c r="ERQ3" s="16"/>
      <c r="ERR3" s="16"/>
      <c r="ERS3" s="16"/>
      <c r="ERT3" s="16"/>
      <c r="ERU3" s="16"/>
      <c r="ERV3" s="16"/>
      <c r="ERW3" s="16"/>
      <c r="ERX3" s="16"/>
      <c r="ERY3" s="16"/>
      <c r="ERZ3" s="16"/>
      <c r="ESA3" s="16"/>
      <c r="ESB3" s="16"/>
      <c r="ESC3" s="16"/>
      <c r="ESD3" s="16"/>
      <c r="ESE3" s="16"/>
      <c r="ESF3" s="16"/>
      <c r="ESG3" s="16"/>
      <c r="ESH3" s="16"/>
      <c r="ESI3" s="16"/>
      <c r="ESJ3" s="16"/>
      <c r="ESK3" s="16"/>
      <c r="ESL3" s="16"/>
      <c r="ESM3" s="16"/>
      <c r="ESN3" s="16"/>
      <c r="ESO3" s="16"/>
      <c r="ESP3" s="16"/>
      <c r="ESQ3" s="16"/>
      <c r="ESR3" s="16"/>
      <c r="ESS3" s="16"/>
      <c r="EST3" s="16"/>
      <c r="ESU3" s="16"/>
      <c r="ESV3" s="16"/>
      <c r="ESW3" s="16"/>
      <c r="ESX3" s="16"/>
      <c r="ESY3" s="16"/>
      <c r="ESZ3" s="16"/>
      <c r="ETA3" s="16"/>
      <c r="ETB3" s="16"/>
      <c r="ETC3" s="16"/>
      <c r="ETD3" s="16"/>
      <c r="ETE3" s="16"/>
      <c r="ETF3" s="16"/>
      <c r="ETG3" s="16"/>
      <c r="ETH3" s="16"/>
      <c r="ETI3" s="16"/>
      <c r="ETJ3" s="16"/>
      <c r="ETK3" s="16"/>
      <c r="ETL3" s="16"/>
      <c r="ETM3" s="16"/>
      <c r="ETN3" s="16"/>
      <c r="ETO3" s="16"/>
      <c r="ETP3" s="16"/>
      <c r="ETQ3" s="16"/>
      <c r="ETR3" s="16"/>
      <c r="ETS3" s="16"/>
      <c r="ETT3" s="16"/>
      <c r="ETU3" s="16"/>
      <c r="ETV3" s="16"/>
      <c r="ETW3" s="16"/>
      <c r="ETX3" s="16"/>
      <c r="ETY3" s="16"/>
      <c r="ETZ3" s="16"/>
      <c r="EUA3" s="16"/>
      <c r="EUB3" s="16"/>
      <c r="EUC3" s="16"/>
      <c r="EUD3" s="16"/>
      <c r="EUE3" s="16"/>
      <c r="EUF3" s="16"/>
      <c r="EUG3" s="16"/>
      <c r="EUH3" s="16"/>
      <c r="EUI3" s="16"/>
      <c r="EUJ3" s="16"/>
      <c r="EUK3" s="16"/>
      <c r="EUL3" s="16"/>
      <c r="EUM3" s="16"/>
      <c r="EUN3" s="16"/>
      <c r="EUO3" s="16"/>
      <c r="EUP3" s="16"/>
      <c r="EUQ3" s="16"/>
      <c r="EUR3" s="16"/>
      <c r="EUS3" s="16"/>
      <c r="EUT3" s="16"/>
      <c r="EUU3" s="16"/>
      <c r="EUV3" s="16"/>
      <c r="EUW3" s="16"/>
      <c r="EUX3" s="16"/>
      <c r="EUY3" s="16"/>
      <c r="EUZ3" s="16"/>
      <c r="EVA3" s="16"/>
      <c r="EVB3" s="16"/>
      <c r="EVC3" s="16"/>
      <c r="EVD3" s="16"/>
      <c r="EVE3" s="16"/>
      <c r="EVF3" s="16"/>
      <c r="EVG3" s="16"/>
      <c r="EVH3" s="16"/>
      <c r="EVI3" s="16"/>
      <c r="EVJ3" s="16"/>
      <c r="EVK3" s="16"/>
      <c r="EVL3" s="16"/>
      <c r="EVM3" s="16"/>
      <c r="EVN3" s="16"/>
      <c r="EVO3" s="16"/>
      <c r="EVP3" s="16"/>
      <c r="EVQ3" s="16"/>
      <c r="EVR3" s="16"/>
      <c r="EVS3" s="16"/>
      <c r="EVT3" s="16"/>
      <c r="EVU3" s="16"/>
      <c r="EVV3" s="16"/>
      <c r="EVW3" s="16"/>
      <c r="EVX3" s="16"/>
      <c r="EVY3" s="16"/>
      <c r="EVZ3" s="16"/>
      <c r="EWA3" s="16"/>
      <c r="EWB3" s="16"/>
      <c r="EWC3" s="16"/>
      <c r="EWD3" s="16"/>
      <c r="EWE3" s="16"/>
      <c r="EWF3" s="16"/>
      <c r="EWG3" s="16"/>
      <c r="EWH3" s="16"/>
      <c r="EWI3" s="16"/>
      <c r="EWJ3" s="16"/>
      <c r="EWK3" s="16"/>
      <c r="EWL3" s="16"/>
      <c r="EWM3" s="16"/>
      <c r="EWN3" s="16"/>
      <c r="EWO3" s="16"/>
      <c r="EWP3" s="16"/>
      <c r="EWQ3" s="16"/>
      <c r="EWR3" s="16"/>
      <c r="EWS3" s="16"/>
      <c r="EWT3" s="16"/>
      <c r="EWU3" s="16"/>
      <c r="EWV3" s="16"/>
      <c r="EWW3" s="16"/>
      <c r="EWX3" s="16"/>
      <c r="EWY3" s="16"/>
      <c r="EWZ3" s="16"/>
      <c r="EXA3" s="16"/>
      <c r="EXB3" s="16"/>
      <c r="EXC3" s="16"/>
      <c r="EXD3" s="16"/>
      <c r="EXE3" s="16"/>
      <c r="EXF3" s="16"/>
      <c r="EXG3" s="16"/>
      <c r="EXH3" s="16"/>
      <c r="EXI3" s="16"/>
      <c r="EXJ3" s="16"/>
      <c r="EXK3" s="16"/>
      <c r="EXL3" s="16"/>
      <c r="EXM3" s="16"/>
      <c r="EXN3" s="16"/>
      <c r="EXO3" s="16"/>
      <c r="EXP3" s="16"/>
      <c r="EXQ3" s="16"/>
      <c r="EXR3" s="16"/>
      <c r="EXS3" s="16"/>
      <c r="EXT3" s="16"/>
      <c r="EXU3" s="16"/>
      <c r="EXV3" s="16"/>
      <c r="EXW3" s="16"/>
      <c r="EXX3" s="16"/>
      <c r="EXY3" s="16"/>
      <c r="EXZ3" s="16"/>
      <c r="EYA3" s="16"/>
      <c r="EYB3" s="16"/>
      <c r="EYC3" s="16"/>
      <c r="EYD3" s="16"/>
      <c r="EYE3" s="16"/>
      <c r="EYF3" s="16"/>
      <c r="EYG3" s="16"/>
      <c r="EYH3" s="16"/>
      <c r="EYI3" s="16"/>
      <c r="EYJ3" s="16"/>
      <c r="EYK3" s="16"/>
      <c r="EYL3" s="16"/>
      <c r="EYM3" s="16"/>
      <c r="EYN3" s="16"/>
      <c r="EYO3" s="16"/>
      <c r="EYP3" s="16"/>
      <c r="EYQ3" s="16"/>
      <c r="EYR3" s="16"/>
      <c r="EYS3" s="16"/>
      <c r="EYT3" s="16"/>
      <c r="EYU3" s="16"/>
      <c r="EYV3" s="16"/>
      <c r="EYW3" s="16"/>
      <c r="EYX3" s="16"/>
      <c r="EYY3" s="16"/>
      <c r="EYZ3" s="16"/>
      <c r="EZA3" s="16"/>
      <c r="EZB3" s="16"/>
      <c r="EZC3" s="16"/>
      <c r="EZD3" s="16"/>
      <c r="EZE3" s="16"/>
      <c r="EZF3" s="16"/>
      <c r="EZG3" s="16"/>
      <c r="EZH3" s="16"/>
      <c r="EZI3" s="16"/>
      <c r="EZJ3" s="16"/>
      <c r="EZK3" s="16"/>
      <c r="EZL3" s="16"/>
      <c r="EZM3" s="16"/>
      <c r="EZN3" s="16"/>
      <c r="EZO3" s="16"/>
      <c r="EZP3" s="16"/>
      <c r="EZQ3" s="16"/>
      <c r="EZR3" s="16"/>
      <c r="EZS3" s="16"/>
      <c r="EZT3" s="16"/>
      <c r="EZU3" s="16"/>
      <c r="EZV3" s="16"/>
      <c r="EZW3" s="16"/>
      <c r="EZX3" s="16"/>
      <c r="EZY3" s="16"/>
      <c r="EZZ3" s="16"/>
      <c r="FAA3" s="16"/>
      <c r="FAB3" s="16"/>
      <c r="FAC3" s="16"/>
      <c r="FAD3" s="16"/>
      <c r="FAE3" s="16"/>
      <c r="FAF3" s="16"/>
      <c r="FAG3" s="16"/>
      <c r="FAH3" s="16"/>
      <c r="FAI3" s="16"/>
      <c r="FAJ3" s="16"/>
      <c r="FAK3" s="16"/>
      <c r="FAL3" s="16"/>
      <c r="FAM3" s="16"/>
      <c r="FAN3" s="16"/>
      <c r="FAO3" s="16"/>
      <c r="FAP3" s="16"/>
      <c r="FAQ3" s="16"/>
      <c r="FAR3" s="16"/>
      <c r="FAS3" s="16"/>
      <c r="FAT3" s="16"/>
      <c r="FAU3" s="16"/>
      <c r="FAV3" s="16"/>
      <c r="FAW3" s="16"/>
      <c r="FAX3" s="16"/>
      <c r="FAY3" s="16"/>
      <c r="FAZ3" s="16"/>
      <c r="FBA3" s="16"/>
      <c r="FBB3" s="16"/>
      <c r="FBC3" s="16"/>
      <c r="FBD3" s="16"/>
      <c r="FBE3" s="16"/>
      <c r="FBF3" s="16"/>
      <c r="FBG3" s="16"/>
      <c r="FBH3" s="16"/>
      <c r="FBI3" s="16"/>
      <c r="FBJ3" s="16"/>
      <c r="FBK3" s="16"/>
      <c r="FBL3" s="16"/>
      <c r="FBM3" s="16"/>
      <c r="FBN3" s="16"/>
      <c r="FBO3" s="16"/>
      <c r="FBP3" s="16"/>
      <c r="FBQ3" s="16"/>
      <c r="FBR3" s="16"/>
      <c r="FBS3" s="16"/>
      <c r="FBT3" s="16"/>
      <c r="FBU3" s="16"/>
      <c r="FBV3" s="16"/>
      <c r="FBW3" s="16"/>
      <c r="FBX3" s="16"/>
      <c r="FBY3" s="16"/>
      <c r="FBZ3" s="16"/>
      <c r="FCA3" s="16"/>
      <c r="FCB3" s="16"/>
      <c r="FCC3" s="16"/>
      <c r="FCD3" s="16"/>
      <c r="FCE3" s="16"/>
      <c r="FCF3" s="16"/>
      <c r="FCG3" s="16"/>
      <c r="FCH3" s="16"/>
      <c r="FCI3" s="16"/>
      <c r="FCJ3" s="16"/>
      <c r="FCK3" s="16"/>
      <c r="FCL3" s="16"/>
      <c r="FCM3" s="16"/>
      <c r="FCN3" s="16"/>
      <c r="FCO3" s="16"/>
      <c r="FCP3" s="16"/>
      <c r="FCQ3" s="16"/>
      <c r="FCR3" s="16"/>
      <c r="FCS3" s="16"/>
      <c r="FCT3" s="16"/>
      <c r="FCU3" s="16"/>
      <c r="FCV3" s="16"/>
      <c r="FCW3" s="16"/>
      <c r="FCX3" s="16"/>
      <c r="FCY3" s="16"/>
      <c r="FCZ3" s="16"/>
      <c r="FDA3" s="16"/>
      <c r="FDB3" s="16"/>
      <c r="FDC3" s="16"/>
      <c r="FDD3" s="16"/>
      <c r="FDE3" s="16"/>
      <c r="FDF3" s="16"/>
      <c r="FDG3" s="16"/>
      <c r="FDH3" s="16"/>
      <c r="FDI3" s="16"/>
      <c r="FDJ3" s="16"/>
      <c r="FDK3" s="16"/>
      <c r="FDL3" s="16"/>
      <c r="FDM3" s="16"/>
      <c r="FDN3" s="16"/>
      <c r="FDO3" s="16"/>
      <c r="FDP3" s="16"/>
      <c r="FDQ3" s="16"/>
      <c r="FDR3" s="16"/>
      <c r="FDS3" s="16"/>
      <c r="FDT3" s="16"/>
      <c r="FDU3" s="16"/>
      <c r="FDV3" s="16"/>
      <c r="FDW3" s="16"/>
      <c r="FDX3" s="16"/>
      <c r="FDY3" s="16"/>
      <c r="FDZ3" s="16"/>
      <c r="FEA3" s="16"/>
      <c r="FEB3" s="16"/>
      <c r="FEC3" s="16"/>
      <c r="FED3" s="16"/>
      <c r="FEE3" s="16"/>
      <c r="FEF3" s="16"/>
      <c r="FEG3" s="16"/>
      <c r="FEH3" s="16"/>
      <c r="FEI3" s="16"/>
      <c r="FEJ3" s="16"/>
      <c r="FEK3" s="16"/>
      <c r="FEL3" s="16"/>
      <c r="FEM3" s="16"/>
      <c r="FEN3" s="16"/>
      <c r="FEO3" s="16"/>
      <c r="FEP3" s="16"/>
      <c r="FEQ3" s="16"/>
      <c r="FER3" s="16"/>
      <c r="FES3" s="16"/>
      <c r="FET3" s="16"/>
      <c r="FEU3" s="16"/>
      <c r="FEV3" s="16"/>
      <c r="FEW3" s="16"/>
      <c r="FEX3" s="16"/>
      <c r="FEY3" s="16"/>
      <c r="FEZ3" s="16"/>
      <c r="FFA3" s="16"/>
      <c r="FFB3" s="16"/>
      <c r="FFC3" s="16"/>
      <c r="FFD3" s="16"/>
      <c r="FFE3" s="16"/>
      <c r="FFF3" s="16"/>
      <c r="FFG3" s="16"/>
      <c r="FFH3" s="16"/>
      <c r="FFI3" s="16"/>
      <c r="FFJ3" s="16"/>
      <c r="FFK3" s="16"/>
      <c r="FFL3" s="16"/>
      <c r="FFM3" s="16"/>
      <c r="FFN3" s="16"/>
      <c r="FFO3" s="16"/>
      <c r="FFP3" s="16"/>
      <c r="FFQ3" s="16"/>
      <c r="FFR3" s="16"/>
      <c r="FFS3" s="16"/>
      <c r="FFT3" s="16"/>
      <c r="FFU3" s="16"/>
      <c r="FFV3" s="16"/>
      <c r="FFW3" s="16"/>
      <c r="FFX3" s="16"/>
      <c r="FFY3" s="16"/>
      <c r="FFZ3" s="16"/>
      <c r="FGA3" s="16"/>
      <c r="FGB3" s="16"/>
      <c r="FGC3" s="16"/>
      <c r="FGD3" s="16"/>
      <c r="FGE3" s="16"/>
      <c r="FGF3" s="16"/>
      <c r="FGG3" s="16"/>
      <c r="FGH3" s="16"/>
      <c r="FGI3" s="16"/>
      <c r="FGJ3" s="16"/>
      <c r="FGK3" s="16"/>
      <c r="FGL3" s="16"/>
      <c r="FGM3" s="16"/>
      <c r="FGN3" s="16"/>
      <c r="FGO3" s="16"/>
      <c r="FGP3" s="16"/>
      <c r="FGQ3" s="16"/>
      <c r="FGR3" s="16"/>
      <c r="FGS3" s="16"/>
      <c r="FGT3" s="16"/>
      <c r="FGU3" s="16"/>
      <c r="FGV3" s="16"/>
      <c r="FGW3" s="16"/>
      <c r="FGX3" s="16"/>
      <c r="FGY3" s="16"/>
      <c r="FGZ3" s="16"/>
      <c r="FHA3" s="16"/>
      <c r="FHB3" s="16"/>
      <c r="FHC3" s="16"/>
      <c r="FHD3" s="16"/>
      <c r="FHE3" s="16"/>
      <c r="FHF3" s="16"/>
      <c r="FHG3" s="16"/>
      <c r="FHH3" s="16"/>
      <c r="FHI3" s="16"/>
      <c r="FHJ3" s="16"/>
      <c r="FHK3" s="16"/>
      <c r="FHL3" s="16"/>
      <c r="FHM3" s="16"/>
      <c r="FHN3" s="16"/>
      <c r="FHO3" s="16"/>
      <c r="FHP3" s="16"/>
      <c r="FHQ3" s="16"/>
      <c r="FHR3" s="16"/>
      <c r="FHS3" s="16"/>
      <c r="FHT3" s="16"/>
      <c r="FHU3" s="16"/>
      <c r="FHV3" s="16"/>
      <c r="FHW3" s="16"/>
      <c r="FHX3" s="16"/>
      <c r="FHY3" s="16"/>
      <c r="FHZ3" s="16"/>
      <c r="FIA3" s="16"/>
      <c r="FIB3" s="16"/>
      <c r="FIC3" s="16"/>
      <c r="FID3" s="16"/>
      <c r="FIE3" s="16"/>
      <c r="FIF3" s="16"/>
      <c r="FIG3" s="16"/>
      <c r="FIH3" s="16"/>
      <c r="FII3" s="16"/>
      <c r="FIJ3" s="16"/>
      <c r="FIK3" s="16"/>
      <c r="FIL3" s="16"/>
      <c r="FIM3" s="16"/>
      <c r="FIN3" s="16"/>
      <c r="FIO3" s="16"/>
      <c r="FIP3" s="16"/>
      <c r="FIQ3" s="16"/>
      <c r="FIR3" s="16"/>
      <c r="FIS3" s="16"/>
      <c r="FIT3" s="16"/>
      <c r="FIU3" s="16"/>
      <c r="FIV3" s="16"/>
      <c r="FIW3" s="16"/>
      <c r="FIX3" s="16"/>
      <c r="FIY3" s="16"/>
      <c r="FIZ3" s="16"/>
      <c r="FJA3" s="16"/>
      <c r="FJB3" s="16"/>
      <c r="FJC3" s="16"/>
      <c r="FJD3" s="16"/>
      <c r="FJE3" s="16"/>
      <c r="FJF3" s="16"/>
      <c r="FJG3" s="16"/>
      <c r="FJH3" s="16"/>
      <c r="FJI3" s="16"/>
      <c r="FJJ3" s="16"/>
      <c r="FJK3" s="16"/>
      <c r="FJL3" s="16"/>
      <c r="FJM3" s="16"/>
      <c r="FJN3" s="16"/>
      <c r="FJO3" s="16"/>
      <c r="FJP3" s="16"/>
      <c r="FJQ3" s="16"/>
      <c r="FJR3" s="16"/>
      <c r="FJS3" s="16"/>
      <c r="FJT3" s="16"/>
      <c r="FJU3" s="16"/>
      <c r="FJV3" s="16"/>
      <c r="FJW3" s="16"/>
      <c r="FJX3" s="16"/>
      <c r="FJY3" s="16"/>
      <c r="FJZ3" s="16"/>
      <c r="FKA3" s="16"/>
      <c r="FKB3" s="16"/>
      <c r="FKC3" s="16"/>
      <c r="FKD3" s="16"/>
      <c r="FKE3" s="16"/>
      <c r="FKF3" s="16"/>
      <c r="FKG3" s="16"/>
      <c r="FKH3" s="16"/>
      <c r="FKI3" s="16"/>
      <c r="FKJ3" s="16"/>
      <c r="FKK3" s="16"/>
      <c r="FKL3" s="16"/>
      <c r="FKM3" s="16"/>
      <c r="FKN3" s="16"/>
      <c r="FKO3" s="16"/>
      <c r="FKP3" s="16"/>
      <c r="FKQ3" s="16"/>
      <c r="FKR3" s="16"/>
      <c r="FKS3" s="16"/>
      <c r="FKT3" s="16"/>
      <c r="FKU3" s="16"/>
      <c r="FKV3" s="16"/>
      <c r="FKW3" s="16"/>
      <c r="FKX3" s="16"/>
      <c r="FKY3" s="16"/>
      <c r="FKZ3" s="16"/>
      <c r="FLA3" s="16"/>
      <c r="FLB3" s="16"/>
      <c r="FLC3" s="16"/>
      <c r="FLD3" s="16"/>
      <c r="FLE3" s="16"/>
      <c r="FLF3" s="16"/>
      <c r="FLG3" s="16"/>
      <c r="FLH3" s="16"/>
      <c r="FLI3" s="16"/>
      <c r="FLJ3" s="16"/>
      <c r="FLK3" s="16"/>
      <c r="FLL3" s="16"/>
      <c r="FLM3" s="16"/>
      <c r="FLN3" s="16"/>
      <c r="FLO3" s="16"/>
      <c r="FLP3" s="16"/>
      <c r="FLQ3" s="16"/>
      <c r="FLR3" s="16"/>
      <c r="FLS3" s="16"/>
      <c r="FLT3" s="16"/>
      <c r="FLU3" s="16"/>
      <c r="FLV3" s="16"/>
      <c r="FLW3" s="16"/>
      <c r="FLX3" s="16"/>
      <c r="FLY3" s="16"/>
      <c r="FLZ3" s="16"/>
      <c r="FMA3" s="16"/>
      <c r="FMB3" s="16"/>
      <c r="FMC3" s="16"/>
      <c r="FMD3" s="16"/>
      <c r="FME3" s="16"/>
      <c r="FMF3" s="16"/>
      <c r="FMG3" s="16"/>
      <c r="FMH3" s="16"/>
      <c r="FMI3" s="16"/>
      <c r="FMJ3" s="16"/>
      <c r="FMK3" s="16"/>
      <c r="FML3" s="16"/>
      <c r="FMM3" s="16"/>
      <c r="FMN3" s="16"/>
      <c r="FMO3" s="16"/>
      <c r="FMP3" s="16"/>
      <c r="FMQ3" s="16"/>
      <c r="FMR3" s="16"/>
      <c r="FMS3" s="16"/>
      <c r="FMT3" s="16"/>
      <c r="FMU3" s="16"/>
      <c r="FMV3" s="16"/>
      <c r="FMW3" s="16"/>
      <c r="FMX3" s="16"/>
      <c r="FMY3" s="16"/>
      <c r="FMZ3" s="16"/>
      <c r="FNA3" s="16"/>
      <c r="FNB3" s="16"/>
      <c r="FNC3" s="16"/>
      <c r="FND3" s="16"/>
      <c r="FNE3" s="16"/>
      <c r="FNF3" s="16"/>
      <c r="FNG3" s="16"/>
      <c r="FNH3" s="16"/>
      <c r="FNI3" s="16"/>
      <c r="FNJ3" s="16"/>
      <c r="FNK3" s="16"/>
      <c r="FNL3" s="16"/>
      <c r="FNM3" s="16"/>
      <c r="FNN3" s="16"/>
      <c r="FNO3" s="16"/>
      <c r="FNP3" s="16"/>
      <c r="FNQ3" s="16"/>
      <c r="FNR3" s="16"/>
      <c r="FNS3" s="16"/>
      <c r="FNT3" s="16"/>
      <c r="FNU3" s="16"/>
      <c r="FNV3" s="16"/>
      <c r="FNW3" s="16"/>
      <c r="FNX3" s="16"/>
      <c r="FNY3" s="16"/>
      <c r="FNZ3" s="16"/>
      <c r="FOA3" s="16"/>
      <c r="FOB3" s="16"/>
      <c r="FOC3" s="16"/>
      <c r="FOD3" s="16"/>
      <c r="FOE3" s="16"/>
      <c r="FOF3" s="16"/>
      <c r="FOG3" s="16"/>
      <c r="FOH3" s="16"/>
      <c r="FOI3" s="16"/>
      <c r="FOJ3" s="16"/>
      <c r="FOK3" s="16"/>
      <c r="FOL3" s="16"/>
      <c r="FOM3" s="16"/>
      <c r="FON3" s="16"/>
      <c r="FOO3" s="16"/>
      <c r="FOP3" s="16"/>
      <c r="FOQ3" s="16"/>
      <c r="FOR3" s="16"/>
      <c r="FOS3" s="16"/>
      <c r="FOT3" s="16"/>
      <c r="FOU3" s="16"/>
      <c r="FOV3" s="16"/>
      <c r="FOW3" s="16"/>
      <c r="FOX3" s="16"/>
      <c r="FOY3" s="16"/>
      <c r="FOZ3" s="16"/>
      <c r="FPA3" s="16"/>
      <c r="FPB3" s="16"/>
      <c r="FPC3" s="16"/>
      <c r="FPD3" s="16"/>
      <c r="FPE3" s="16"/>
      <c r="FPF3" s="16"/>
      <c r="FPG3" s="16"/>
      <c r="FPH3" s="16"/>
      <c r="FPI3" s="16"/>
      <c r="FPJ3" s="16"/>
      <c r="FPK3" s="16"/>
      <c r="FPL3" s="16"/>
      <c r="FPM3" s="16"/>
      <c r="FPN3" s="16"/>
      <c r="FPO3" s="16"/>
      <c r="FPP3" s="16"/>
      <c r="FPQ3" s="16"/>
      <c r="FPR3" s="16"/>
      <c r="FPS3" s="16"/>
      <c r="FPT3" s="16"/>
      <c r="FPU3" s="16"/>
      <c r="FPV3" s="16"/>
      <c r="FPW3" s="16"/>
      <c r="FPX3" s="16"/>
      <c r="FPY3" s="16"/>
      <c r="FPZ3" s="16"/>
      <c r="FQA3" s="16"/>
      <c r="FQB3" s="16"/>
      <c r="FQC3" s="16"/>
      <c r="FQD3" s="16"/>
      <c r="FQE3" s="16"/>
      <c r="FQF3" s="16"/>
      <c r="FQG3" s="16"/>
      <c r="FQH3" s="16"/>
      <c r="FQI3" s="16"/>
      <c r="FQJ3" s="16"/>
      <c r="FQK3" s="16"/>
      <c r="FQL3" s="16"/>
      <c r="FQM3" s="16"/>
      <c r="FQN3" s="16"/>
      <c r="FQO3" s="16"/>
      <c r="FQP3" s="16"/>
      <c r="FQQ3" s="16"/>
      <c r="FQR3" s="16"/>
      <c r="FQS3" s="16"/>
      <c r="FQT3" s="16"/>
      <c r="FQU3" s="16"/>
      <c r="FQV3" s="16"/>
      <c r="FQW3" s="16"/>
      <c r="FQX3" s="16"/>
      <c r="FQY3" s="16"/>
      <c r="FQZ3" s="16"/>
      <c r="FRA3" s="16"/>
      <c r="FRB3" s="16"/>
      <c r="FRC3" s="16"/>
      <c r="FRD3" s="16"/>
      <c r="FRE3" s="16"/>
      <c r="FRF3" s="16"/>
      <c r="FRG3" s="16"/>
      <c r="FRH3" s="16"/>
      <c r="FRI3" s="16"/>
      <c r="FRJ3" s="16"/>
      <c r="FRK3" s="16"/>
      <c r="FRL3" s="16"/>
      <c r="FRM3" s="16"/>
      <c r="FRN3" s="16"/>
      <c r="FRO3" s="16"/>
      <c r="FRP3" s="16"/>
      <c r="FRQ3" s="16"/>
      <c r="FRR3" s="16"/>
      <c r="FRS3" s="16"/>
      <c r="FRT3" s="16"/>
      <c r="FRU3" s="16"/>
      <c r="FRV3" s="16"/>
      <c r="FRW3" s="16"/>
      <c r="FRX3" s="16"/>
      <c r="FRY3" s="16"/>
      <c r="FRZ3" s="16"/>
      <c r="FSA3" s="16"/>
      <c r="FSB3" s="16"/>
      <c r="FSC3" s="16"/>
      <c r="FSD3" s="16"/>
      <c r="FSE3" s="16"/>
      <c r="FSF3" s="16"/>
      <c r="FSG3" s="16"/>
      <c r="FSH3" s="16"/>
      <c r="FSI3" s="16"/>
      <c r="FSJ3" s="16"/>
      <c r="FSK3" s="16"/>
      <c r="FSL3" s="16"/>
      <c r="FSM3" s="16"/>
      <c r="FSN3" s="16"/>
      <c r="FSO3" s="16"/>
      <c r="FSP3" s="16"/>
      <c r="FSQ3" s="16"/>
      <c r="FSR3" s="16"/>
      <c r="FSS3" s="16"/>
      <c r="FST3" s="16"/>
      <c r="FSU3" s="16"/>
      <c r="FSV3" s="16"/>
      <c r="FSW3" s="16"/>
      <c r="FSX3" s="16"/>
      <c r="FSY3" s="16"/>
      <c r="FSZ3" s="16"/>
      <c r="FTA3" s="16"/>
      <c r="FTB3" s="16"/>
      <c r="FTC3" s="16"/>
      <c r="FTD3" s="16"/>
      <c r="FTE3" s="16"/>
      <c r="FTF3" s="16"/>
      <c r="FTG3" s="16"/>
      <c r="FTH3" s="16"/>
      <c r="FTI3" s="16"/>
      <c r="FTJ3" s="16"/>
      <c r="FTK3" s="16"/>
      <c r="FTL3" s="16"/>
      <c r="FTM3" s="16"/>
      <c r="FTN3" s="16"/>
      <c r="FTO3" s="16"/>
      <c r="FTP3" s="16"/>
      <c r="FTQ3" s="16"/>
      <c r="FTR3" s="16"/>
      <c r="FTS3" s="16"/>
      <c r="FTT3" s="16"/>
      <c r="FTU3" s="16"/>
      <c r="FTV3" s="16"/>
      <c r="FTW3" s="16"/>
      <c r="FTX3" s="16"/>
      <c r="FTY3" s="16"/>
      <c r="FTZ3" s="16"/>
      <c r="FUA3" s="16"/>
      <c r="FUB3" s="16"/>
      <c r="FUC3" s="16"/>
      <c r="FUD3" s="16"/>
      <c r="FUE3" s="16"/>
      <c r="FUF3" s="16"/>
      <c r="FUG3" s="16"/>
      <c r="FUH3" s="16"/>
      <c r="FUI3" s="16"/>
      <c r="FUJ3" s="16"/>
      <c r="FUK3" s="16"/>
      <c r="FUL3" s="16"/>
      <c r="FUM3" s="16"/>
      <c r="FUN3" s="16"/>
      <c r="FUO3" s="16"/>
      <c r="FUP3" s="16"/>
      <c r="FUQ3" s="16"/>
      <c r="FUR3" s="16"/>
      <c r="FUS3" s="16"/>
      <c r="FUT3" s="16"/>
      <c r="FUU3" s="16"/>
      <c r="FUV3" s="16"/>
      <c r="FUW3" s="16"/>
      <c r="FUX3" s="16"/>
      <c r="FUY3" s="16"/>
      <c r="FUZ3" s="16"/>
      <c r="FVA3" s="16"/>
      <c r="FVB3" s="16"/>
      <c r="FVC3" s="16"/>
      <c r="FVD3" s="16"/>
      <c r="FVE3" s="16"/>
      <c r="FVF3" s="16"/>
      <c r="FVG3" s="16"/>
      <c r="FVH3" s="16"/>
      <c r="FVI3" s="16"/>
      <c r="FVJ3" s="16"/>
      <c r="FVK3" s="16"/>
      <c r="FVL3" s="16"/>
      <c r="FVM3" s="16"/>
      <c r="FVN3" s="16"/>
      <c r="FVO3" s="16"/>
      <c r="FVP3" s="16"/>
      <c r="FVQ3" s="16"/>
      <c r="FVR3" s="16"/>
      <c r="FVS3" s="16"/>
      <c r="FVT3" s="16"/>
      <c r="FVU3" s="16"/>
      <c r="FVV3" s="16"/>
      <c r="FVW3" s="16"/>
      <c r="FVX3" s="16"/>
      <c r="FVY3" s="16"/>
      <c r="FVZ3" s="16"/>
      <c r="FWA3" s="16"/>
      <c r="FWB3" s="16"/>
      <c r="FWC3" s="16"/>
      <c r="FWD3" s="16"/>
      <c r="FWE3" s="16"/>
      <c r="FWF3" s="16"/>
      <c r="FWG3" s="16"/>
      <c r="FWH3" s="16"/>
      <c r="FWI3" s="16"/>
      <c r="FWJ3" s="16"/>
      <c r="FWK3" s="16"/>
      <c r="FWL3" s="16"/>
      <c r="FWM3" s="16"/>
      <c r="FWN3" s="16"/>
      <c r="FWO3" s="16"/>
      <c r="FWP3" s="16"/>
      <c r="FWQ3" s="16"/>
      <c r="FWR3" s="16"/>
      <c r="FWS3" s="16"/>
      <c r="FWT3" s="16"/>
      <c r="FWU3" s="16"/>
      <c r="FWV3" s="16"/>
      <c r="FWW3" s="16"/>
      <c r="FWX3" s="16"/>
      <c r="FWY3" s="16"/>
      <c r="FWZ3" s="16"/>
      <c r="FXA3" s="16"/>
      <c r="FXB3" s="16"/>
      <c r="FXC3" s="16"/>
      <c r="FXD3" s="16"/>
      <c r="FXE3" s="16"/>
      <c r="FXF3" s="16"/>
      <c r="FXG3" s="16"/>
      <c r="FXH3" s="16"/>
      <c r="FXI3" s="16"/>
      <c r="FXJ3" s="16"/>
      <c r="FXK3" s="16"/>
      <c r="FXL3" s="16"/>
      <c r="FXM3" s="16"/>
      <c r="FXN3" s="16"/>
      <c r="FXO3" s="16"/>
      <c r="FXP3" s="16"/>
      <c r="FXQ3" s="16"/>
      <c r="FXR3" s="16"/>
      <c r="FXS3" s="16"/>
      <c r="FXT3" s="16"/>
      <c r="FXU3" s="16"/>
      <c r="FXV3" s="16"/>
      <c r="FXW3" s="16"/>
      <c r="FXX3" s="16"/>
      <c r="FXY3" s="16"/>
      <c r="FXZ3" s="16"/>
      <c r="FYA3" s="16"/>
      <c r="FYB3" s="16"/>
      <c r="FYC3" s="16"/>
      <c r="FYD3" s="16"/>
      <c r="FYE3" s="16"/>
      <c r="FYF3" s="16"/>
      <c r="FYG3" s="16"/>
      <c r="FYH3" s="16"/>
      <c r="FYI3" s="16"/>
      <c r="FYJ3" s="16"/>
      <c r="FYK3" s="16"/>
      <c r="FYL3" s="16"/>
      <c r="FYM3" s="16"/>
      <c r="FYN3" s="16"/>
      <c r="FYO3" s="16"/>
      <c r="FYP3" s="16"/>
      <c r="FYQ3" s="16"/>
      <c r="FYR3" s="16"/>
      <c r="FYS3" s="16"/>
      <c r="FYT3" s="16"/>
      <c r="FYU3" s="16"/>
      <c r="FYV3" s="16"/>
      <c r="FYW3" s="16"/>
      <c r="FYX3" s="16"/>
      <c r="FYY3" s="16"/>
      <c r="FYZ3" s="16"/>
      <c r="FZA3" s="16"/>
      <c r="FZB3" s="16"/>
      <c r="FZC3" s="16"/>
      <c r="FZD3" s="16"/>
      <c r="FZE3" s="16"/>
      <c r="FZF3" s="16"/>
      <c r="FZG3" s="16"/>
      <c r="FZH3" s="16"/>
      <c r="FZI3" s="16"/>
      <c r="FZJ3" s="16"/>
      <c r="FZK3" s="16"/>
      <c r="FZL3" s="16"/>
      <c r="FZM3" s="16"/>
      <c r="FZN3" s="16"/>
      <c r="FZO3" s="16"/>
      <c r="FZP3" s="16"/>
      <c r="FZQ3" s="16"/>
      <c r="FZR3" s="16"/>
      <c r="FZS3" s="16"/>
      <c r="FZT3" s="16"/>
      <c r="FZU3" s="16"/>
      <c r="FZV3" s="16"/>
      <c r="FZW3" s="16"/>
      <c r="FZX3" s="16"/>
      <c r="FZY3" s="16"/>
      <c r="FZZ3" s="16"/>
      <c r="GAA3" s="16"/>
      <c r="GAB3" s="16"/>
      <c r="GAC3" s="16"/>
      <c r="GAD3" s="16"/>
      <c r="GAE3" s="16"/>
      <c r="GAF3" s="16"/>
      <c r="GAG3" s="16"/>
      <c r="GAH3" s="16"/>
      <c r="GAI3" s="16"/>
      <c r="GAJ3" s="16"/>
      <c r="GAK3" s="16"/>
      <c r="GAL3" s="16"/>
      <c r="GAM3" s="16"/>
      <c r="GAN3" s="16"/>
      <c r="GAO3" s="16"/>
      <c r="GAP3" s="16"/>
      <c r="GAQ3" s="16"/>
      <c r="GAR3" s="16"/>
      <c r="GAS3" s="16"/>
      <c r="GAT3" s="16"/>
      <c r="GAU3" s="16"/>
      <c r="GAV3" s="16"/>
      <c r="GAW3" s="16"/>
      <c r="GAX3" s="16"/>
      <c r="GAY3" s="16"/>
      <c r="GAZ3" s="16"/>
      <c r="GBA3" s="16"/>
      <c r="GBB3" s="16"/>
      <c r="GBC3" s="16"/>
      <c r="GBD3" s="16"/>
      <c r="GBE3" s="16"/>
      <c r="GBF3" s="16"/>
      <c r="GBG3" s="16"/>
      <c r="GBH3" s="16"/>
      <c r="GBI3" s="16"/>
      <c r="GBJ3" s="16"/>
      <c r="GBK3" s="16"/>
      <c r="GBL3" s="16"/>
      <c r="GBM3" s="16"/>
      <c r="GBN3" s="16"/>
      <c r="GBO3" s="16"/>
      <c r="GBP3" s="16"/>
      <c r="GBQ3" s="16"/>
      <c r="GBR3" s="16"/>
      <c r="GBS3" s="16"/>
      <c r="GBT3" s="16"/>
      <c r="GBU3" s="16"/>
      <c r="GBV3" s="16"/>
      <c r="GBW3" s="16"/>
      <c r="GBX3" s="16"/>
      <c r="GBY3" s="16"/>
      <c r="GBZ3" s="16"/>
      <c r="GCA3" s="16"/>
      <c r="GCB3" s="16"/>
      <c r="GCC3" s="16"/>
      <c r="GCD3" s="16"/>
      <c r="GCE3" s="16"/>
      <c r="GCF3" s="16"/>
      <c r="GCG3" s="16"/>
      <c r="GCH3" s="16"/>
      <c r="GCI3" s="16"/>
      <c r="GCJ3" s="16"/>
      <c r="GCK3" s="16"/>
      <c r="GCL3" s="16"/>
      <c r="GCM3" s="16"/>
      <c r="GCN3" s="16"/>
      <c r="GCO3" s="16"/>
      <c r="GCP3" s="16"/>
      <c r="GCQ3" s="16"/>
      <c r="GCR3" s="16"/>
      <c r="GCS3" s="16"/>
      <c r="GCT3" s="16"/>
      <c r="GCU3" s="16"/>
      <c r="GCV3" s="16"/>
      <c r="GCW3" s="16"/>
      <c r="GCX3" s="16"/>
      <c r="GCY3" s="16"/>
      <c r="GCZ3" s="16"/>
      <c r="GDA3" s="16"/>
      <c r="GDB3" s="16"/>
      <c r="GDC3" s="16"/>
      <c r="GDD3" s="16"/>
      <c r="GDE3" s="16"/>
      <c r="GDF3" s="16"/>
      <c r="GDG3" s="16"/>
      <c r="GDH3" s="16"/>
      <c r="GDI3" s="16"/>
      <c r="GDJ3" s="16"/>
      <c r="GDK3" s="16"/>
      <c r="GDL3" s="16"/>
      <c r="GDM3" s="16"/>
      <c r="GDN3" s="16"/>
      <c r="GDO3" s="16"/>
      <c r="GDP3" s="16"/>
      <c r="GDQ3" s="16"/>
      <c r="GDR3" s="16"/>
      <c r="GDS3" s="16"/>
      <c r="GDT3" s="16"/>
      <c r="GDU3" s="16"/>
      <c r="GDV3" s="16"/>
      <c r="GDW3" s="16"/>
      <c r="GDX3" s="16"/>
      <c r="GDY3" s="16"/>
      <c r="GDZ3" s="16"/>
      <c r="GEA3" s="16"/>
      <c r="GEB3" s="16"/>
      <c r="GEC3" s="16"/>
      <c r="GED3" s="16"/>
      <c r="GEE3" s="16"/>
      <c r="GEF3" s="16"/>
      <c r="GEG3" s="16"/>
      <c r="GEH3" s="16"/>
      <c r="GEI3" s="16"/>
      <c r="GEJ3" s="16"/>
      <c r="GEK3" s="16"/>
      <c r="GEL3" s="16"/>
      <c r="GEM3" s="16"/>
      <c r="GEN3" s="16"/>
      <c r="GEO3" s="16"/>
      <c r="GEP3" s="16"/>
      <c r="GEQ3" s="16"/>
      <c r="GER3" s="16"/>
      <c r="GES3" s="16"/>
      <c r="GET3" s="16"/>
      <c r="GEU3" s="16"/>
      <c r="GEV3" s="16"/>
      <c r="GEW3" s="16"/>
      <c r="GEX3" s="16"/>
      <c r="GEY3" s="16"/>
      <c r="GEZ3" s="16"/>
      <c r="GFA3" s="16"/>
      <c r="GFB3" s="16"/>
      <c r="GFC3" s="16"/>
      <c r="GFD3" s="16"/>
      <c r="GFE3" s="16"/>
      <c r="GFF3" s="16"/>
      <c r="GFG3" s="16"/>
      <c r="GFH3" s="16"/>
      <c r="GFI3" s="16"/>
      <c r="GFJ3" s="16"/>
      <c r="GFK3" s="16"/>
      <c r="GFL3" s="16"/>
      <c r="GFM3" s="16"/>
      <c r="GFN3" s="16"/>
      <c r="GFO3" s="16"/>
      <c r="GFP3" s="16"/>
      <c r="GFQ3" s="16"/>
      <c r="GFR3" s="16"/>
      <c r="GFS3" s="16"/>
      <c r="GFT3" s="16"/>
      <c r="GFU3" s="16"/>
      <c r="GFV3" s="16"/>
      <c r="GFW3" s="16"/>
      <c r="GFX3" s="16"/>
      <c r="GFY3" s="16"/>
      <c r="GFZ3" s="16"/>
      <c r="GGA3" s="16"/>
      <c r="GGB3" s="16"/>
      <c r="GGC3" s="16"/>
      <c r="GGD3" s="16"/>
      <c r="GGE3" s="16"/>
      <c r="GGF3" s="16"/>
      <c r="GGG3" s="16"/>
      <c r="GGH3" s="16"/>
      <c r="GGI3" s="16"/>
      <c r="GGJ3" s="16"/>
      <c r="GGK3" s="16"/>
      <c r="GGL3" s="16"/>
      <c r="GGM3" s="16"/>
      <c r="GGN3" s="16"/>
      <c r="GGO3" s="16"/>
      <c r="GGP3" s="16"/>
      <c r="GGQ3" s="16"/>
      <c r="GGR3" s="16"/>
      <c r="GGS3" s="16"/>
      <c r="GGT3" s="16"/>
      <c r="GGU3" s="16"/>
      <c r="GGV3" s="16"/>
      <c r="GGW3" s="16"/>
      <c r="GGX3" s="16"/>
      <c r="GGY3" s="16"/>
      <c r="GGZ3" s="16"/>
      <c r="GHA3" s="16"/>
      <c r="GHB3" s="16"/>
      <c r="GHC3" s="16"/>
      <c r="GHD3" s="16"/>
      <c r="GHE3" s="16"/>
      <c r="GHF3" s="16"/>
      <c r="GHG3" s="16"/>
      <c r="GHH3" s="16"/>
      <c r="GHI3" s="16"/>
      <c r="GHJ3" s="16"/>
      <c r="GHK3" s="16"/>
      <c r="GHL3" s="16"/>
      <c r="GHM3" s="16"/>
      <c r="GHN3" s="16"/>
      <c r="GHO3" s="16"/>
      <c r="GHP3" s="16"/>
      <c r="GHQ3" s="16"/>
      <c r="GHR3" s="16"/>
      <c r="GHS3" s="16"/>
      <c r="GHT3" s="16"/>
      <c r="GHU3" s="16"/>
      <c r="GHV3" s="16"/>
      <c r="GHW3" s="16"/>
      <c r="GHX3" s="16"/>
      <c r="GHY3" s="16"/>
      <c r="GHZ3" s="16"/>
      <c r="GIA3" s="16"/>
      <c r="GIB3" s="16"/>
      <c r="GIC3" s="16"/>
      <c r="GID3" s="16"/>
      <c r="GIE3" s="16"/>
      <c r="GIF3" s="16"/>
      <c r="GIG3" s="16"/>
      <c r="GIH3" s="16"/>
      <c r="GII3" s="16"/>
      <c r="GIJ3" s="16"/>
      <c r="GIK3" s="16"/>
      <c r="GIL3" s="16"/>
      <c r="GIM3" s="16"/>
      <c r="GIN3" s="16"/>
      <c r="GIO3" s="16"/>
      <c r="GIP3" s="16"/>
      <c r="GIQ3" s="16"/>
      <c r="GIR3" s="16"/>
      <c r="GIS3" s="16"/>
      <c r="GIT3" s="16"/>
      <c r="GIU3" s="16"/>
      <c r="GIV3" s="16"/>
      <c r="GIW3" s="16"/>
      <c r="GIX3" s="16"/>
      <c r="GIY3" s="16"/>
      <c r="GIZ3" s="16"/>
      <c r="GJA3" s="16"/>
      <c r="GJB3" s="16"/>
      <c r="GJC3" s="16"/>
      <c r="GJD3" s="16"/>
      <c r="GJE3" s="16"/>
      <c r="GJF3" s="16"/>
      <c r="GJG3" s="16"/>
      <c r="GJH3" s="16"/>
      <c r="GJI3" s="16"/>
      <c r="GJJ3" s="16"/>
      <c r="GJK3" s="16"/>
      <c r="GJL3" s="16"/>
      <c r="GJM3" s="16"/>
      <c r="GJN3" s="16"/>
      <c r="GJO3" s="16"/>
      <c r="GJP3" s="16"/>
      <c r="GJQ3" s="16"/>
      <c r="GJR3" s="16"/>
      <c r="GJS3" s="16"/>
      <c r="GJT3" s="16"/>
      <c r="GJU3" s="16"/>
      <c r="GJV3" s="16"/>
      <c r="GJW3" s="16"/>
      <c r="GJX3" s="16"/>
      <c r="GJY3" s="16"/>
      <c r="GJZ3" s="16"/>
      <c r="GKA3" s="16"/>
      <c r="GKB3" s="16"/>
      <c r="GKC3" s="16"/>
      <c r="GKD3" s="16"/>
      <c r="GKE3" s="16"/>
      <c r="GKF3" s="16"/>
      <c r="GKG3" s="16"/>
      <c r="GKH3" s="16"/>
      <c r="GKI3" s="16"/>
      <c r="GKJ3" s="16"/>
      <c r="GKK3" s="16"/>
      <c r="GKL3" s="16"/>
      <c r="GKM3" s="16"/>
      <c r="GKN3" s="16"/>
      <c r="GKO3" s="16"/>
      <c r="GKP3" s="16"/>
      <c r="GKQ3" s="16"/>
      <c r="GKR3" s="16"/>
      <c r="GKS3" s="16"/>
      <c r="GKT3" s="16"/>
      <c r="GKU3" s="16"/>
      <c r="GKV3" s="16"/>
      <c r="GKW3" s="16"/>
      <c r="GKX3" s="16"/>
      <c r="GKY3" s="16"/>
      <c r="GKZ3" s="16"/>
      <c r="GLA3" s="16"/>
      <c r="GLB3" s="16"/>
      <c r="GLC3" s="16"/>
      <c r="GLD3" s="16"/>
      <c r="GLE3" s="16"/>
      <c r="GLF3" s="16"/>
      <c r="GLG3" s="16"/>
      <c r="GLH3" s="16"/>
      <c r="GLI3" s="16"/>
      <c r="GLJ3" s="16"/>
      <c r="GLK3" s="16"/>
      <c r="GLL3" s="16"/>
      <c r="GLM3" s="16"/>
      <c r="GLN3" s="16"/>
      <c r="GLO3" s="16"/>
      <c r="GLP3" s="16"/>
      <c r="GLQ3" s="16"/>
      <c r="GLR3" s="16"/>
      <c r="GLS3" s="16"/>
      <c r="GLT3" s="16"/>
      <c r="GLU3" s="16"/>
      <c r="GLV3" s="16"/>
      <c r="GLW3" s="16"/>
      <c r="GLX3" s="16"/>
      <c r="GLY3" s="16"/>
      <c r="GLZ3" s="16"/>
      <c r="GMA3" s="16"/>
      <c r="GMB3" s="16"/>
      <c r="GMC3" s="16"/>
      <c r="GMD3" s="16"/>
      <c r="GME3" s="16"/>
      <c r="GMF3" s="16"/>
      <c r="GMG3" s="16"/>
      <c r="GMH3" s="16"/>
      <c r="GMI3" s="16"/>
      <c r="GMJ3" s="16"/>
      <c r="GMK3" s="16"/>
      <c r="GML3" s="16"/>
      <c r="GMM3" s="16"/>
      <c r="GMN3" s="16"/>
      <c r="GMO3" s="16"/>
      <c r="GMP3" s="16"/>
      <c r="GMQ3" s="16"/>
      <c r="GMR3" s="16"/>
      <c r="GMS3" s="16"/>
      <c r="GMT3" s="16"/>
      <c r="GMU3" s="16"/>
      <c r="GMV3" s="16"/>
      <c r="GMW3" s="16"/>
      <c r="GMX3" s="16"/>
      <c r="GMY3" s="16"/>
      <c r="GMZ3" s="16"/>
      <c r="GNA3" s="16"/>
      <c r="GNB3" s="16"/>
      <c r="GNC3" s="16"/>
      <c r="GND3" s="16"/>
      <c r="GNE3" s="16"/>
      <c r="GNF3" s="16"/>
      <c r="GNG3" s="16"/>
      <c r="GNH3" s="16"/>
      <c r="GNI3" s="16"/>
      <c r="GNJ3" s="16"/>
      <c r="GNK3" s="16"/>
      <c r="GNL3" s="16"/>
      <c r="GNM3" s="16"/>
      <c r="GNN3" s="16"/>
      <c r="GNO3" s="16"/>
      <c r="GNP3" s="16"/>
      <c r="GNQ3" s="16"/>
      <c r="GNR3" s="16"/>
      <c r="GNS3" s="16"/>
      <c r="GNT3" s="16"/>
      <c r="GNU3" s="16"/>
      <c r="GNV3" s="16"/>
      <c r="GNW3" s="16"/>
      <c r="GNX3" s="16"/>
      <c r="GNY3" s="16"/>
      <c r="GNZ3" s="16"/>
      <c r="GOA3" s="16"/>
      <c r="GOB3" s="16"/>
      <c r="GOC3" s="16"/>
      <c r="GOD3" s="16"/>
      <c r="GOE3" s="16"/>
      <c r="GOF3" s="16"/>
      <c r="GOG3" s="16"/>
      <c r="GOH3" s="16"/>
      <c r="GOI3" s="16"/>
      <c r="GOJ3" s="16"/>
      <c r="GOK3" s="16"/>
      <c r="GOL3" s="16"/>
      <c r="GOM3" s="16"/>
      <c r="GON3" s="16"/>
      <c r="GOO3" s="16"/>
      <c r="GOP3" s="16"/>
      <c r="GOQ3" s="16"/>
      <c r="GOR3" s="16"/>
      <c r="GOS3" s="16"/>
      <c r="GOT3" s="16"/>
      <c r="GOU3" s="16"/>
      <c r="GOV3" s="16"/>
      <c r="GOW3" s="16"/>
      <c r="GOX3" s="16"/>
      <c r="GOY3" s="16"/>
      <c r="GOZ3" s="16"/>
      <c r="GPA3" s="16"/>
      <c r="GPB3" s="16"/>
      <c r="GPC3" s="16"/>
      <c r="GPD3" s="16"/>
      <c r="GPE3" s="16"/>
      <c r="GPF3" s="16"/>
      <c r="GPG3" s="16"/>
      <c r="GPH3" s="16"/>
      <c r="GPI3" s="16"/>
      <c r="GPJ3" s="16"/>
      <c r="GPK3" s="16"/>
      <c r="GPL3" s="16"/>
      <c r="GPM3" s="16"/>
      <c r="GPN3" s="16"/>
      <c r="GPO3" s="16"/>
      <c r="GPP3" s="16"/>
      <c r="GPQ3" s="16"/>
      <c r="GPR3" s="16"/>
      <c r="GPS3" s="16"/>
      <c r="GPT3" s="16"/>
      <c r="GPU3" s="16"/>
      <c r="GPV3" s="16"/>
      <c r="GPW3" s="16"/>
      <c r="GPX3" s="16"/>
      <c r="GPY3" s="16"/>
      <c r="GPZ3" s="16"/>
      <c r="GQA3" s="16"/>
      <c r="GQB3" s="16"/>
      <c r="GQC3" s="16"/>
      <c r="GQD3" s="16"/>
      <c r="GQE3" s="16"/>
      <c r="GQF3" s="16"/>
      <c r="GQG3" s="16"/>
      <c r="GQH3" s="16"/>
      <c r="GQI3" s="16"/>
      <c r="GQJ3" s="16"/>
      <c r="GQK3" s="16"/>
      <c r="GQL3" s="16"/>
      <c r="GQM3" s="16"/>
      <c r="GQN3" s="16"/>
      <c r="GQO3" s="16"/>
      <c r="GQP3" s="16"/>
      <c r="GQQ3" s="16"/>
      <c r="GQR3" s="16"/>
      <c r="GQS3" s="16"/>
      <c r="GQT3" s="16"/>
      <c r="GQU3" s="16"/>
      <c r="GQV3" s="16"/>
      <c r="GQW3" s="16"/>
      <c r="GQX3" s="16"/>
      <c r="GQY3" s="16"/>
      <c r="GQZ3" s="16"/>
      <c r="GRA3" s="16"/>
      <c r="GRB3" s="16"/>
      <c r="GRC3" s="16"/>
      <c r="GRD3" s="16"/>
      <c r="GRE3" s="16"/>
      <c r="GRF3" s="16"/>
      <c r="GRG3" s="16"/>
      <c r="GRH3" s="16"/>
      <c r="GRI3" s="16"/>
      <c r="GRJ3" s="16"/>
      <c r="GRK3" s="16"/>
      <c r="GRL3" s="16"/>
      <c r="GRM3" s="16"/>
      <c r="GRN3" s="16"/>
      <c r="GRO3" s="16"/>
      <c r="GRP3" s="16"/>
      <c r="GRQ3" s="16"/>
      <c r="GRR3" s="16"/>
      <c r="GRS3" s="16"/>
      <c r="GRT3" s="16"/>
      <c r="GRU3" s="16"/>
      <c r="GRV3" s="16"/>
      <c r="GRW3" s="16"/>
      <c r="GRX3" s="16"/>
      <c r="GRY3" s="16"/>
      <c r="GRZ3" s="16"/>
      <c r="GSA3" s="16"/>
      <c r="GSB3" s="16"/>
      <c r="GSC3" s="16"/>
      <c r="GSD3" s="16"/>
      <c r="GSE3" s="16"/>
      <c r="GSF3" s="16"/>
      <c r="GSG3" s="16"/>
      <c r="GSH3" s="16"/>
      <c r="GSI3" s="16"/>
      <c r="GSJ3" s="16"/>
      <c r="GSK3" s="16"/>
      <c r="GSL3" s="16"/>
      <c r="GSM3" s="16"/>
      <c r="GSN3" s="16"/>
      <c r="GSO3" s="16"/>
      <c r="GSP3" s="16"/>
      <c r="GSQ3" s="16"/>
      <c r="GSR3" s="16"/>
      <c r="GSS3" s="16"/>
      <c r="GST3" s="16"/>
      <c r="GSU3" s="16"/>
      <c r="GSV3" s="16"/>
      <c r="GSW3" s="16"/>
      <c r="GSX3" s="16"/>
      <c r="GSY3" s="16"/>
      <c r="GSZ3" s="16"/>
      <c r="GTA3" s="16"/>
      <c r="GTB3" s="16"/>
      <c r="GTC3" s="16"/>
      <c r="GTD3" s="16"/>
      <c r="GTE3" s="16"/>
      <c r="GTF3" s="16"/>
      <c r="GTG3" s="16"/>
      <c r="GTH3" s="16"/>
      <c r="GTI3" s="16"/>
      <c r="GTJ3" s="16"/>
      <c r="GTK3" s="16"/>
      <c r="GTL3" s="16"/>
      <c r="GTM3" s="16"/>
      <c r="GTN3" s="16"/>
      <c r="GTO3" s="16"/>
      <c r="GTP3" s="16"/>
      <c r="GTQ3" s="16"/>
      <c r="GTR3" s="16"/>
      <c r="GTS3" s="16"/>
      <c r="GTT3" s="16"/>
      <c r="GTU3" s="16"/>
      <c r="GTV3" s="16"/>
      <c r="GTW3" s="16"/>
      <c r="GTX3" s="16"/>
      <c r="GTY3" s="16"/>
      <c r="GTZ3" s="16"/>
      <c r="GUA3" s="16"/>
      <c r="GUB3" s="16"/>
      <c r="GUC3" s="16"/>
      <c r="GUD3" s="16"/>
      <c r="GUE3" s="16"/>
      <c r="GUF3" s="16"/>
      <c r="GUG3" s="16"/>
      <c r="GUH3" s="16"/>
      <c r="GUI3" s="16"/>
      <c r="GUJ3" s="16"/>
      <c r="GUK3" s="16"/>
      <c r="GUL3" s="16"/>
      <c r="GUM3" s="16"/>
      <c r="GUN3" s="16"/>
      <c r="GUO3" s="16"/>
      <c r="GUP3" s="16"/>
      <c r="GUQ3" s="16"/>
      <c r="GUR3" s="16"/>
      <c r="GUS3" s="16"/>
      <c r="GUT3" s="16"/>
      <c r="GUU3" s="16"/>
      <c r="GUV3" s="16"/>
      <c r="GUW3" s="16"/>
      <c r="GUX3" s="16"/>
      <c r="GUY3" s="16"/>
      <c r="GUZ3" s="16"/>
      <c r="GVA3" s="16"/>
      <c r="GVB3" s="16"/>
      <c r="GVC3" s="16"/>
      <c r="GVD3" s="16"/>
      <c r="GVE3" s="16"/>
      <c r="GVF3" s="16"/>
      <c r="GVG3" s="16"/>
      <c r="GVH3" s="16"/>
      <c r="GVI3" s="16"/>
      <c r="GVJ3" s="16"/>
      <c r="GVK3" s="16"/>
      <c r="GVL3" s="16"/>
      <c r="GVM3" s="16"/>
      <c r="GVN3" s="16"/>
      <c r="GVO3" s="16"/>
      <c r="GVP3" s="16"/>
      <c r="GVQ3" s="16"/>
      <c r="GVR3" s="16"/>
      <c r="GVS3" s="16"/>
      <c r="GVT3" s="16"/>
      <c r="GVU3" s="16"/>
      <c r="GVV3" s="16"/>
      <c r="GVW3" s="16"/>
      <c r="GVX3" s="16"/>
      <c r="GVY3" s="16"/>
      <c r="GVZ3" s="16"/>
      <c r="GWA3" s="16"/>
      <c r="GWB3" s="16"/>
      <c r="GWC3" s="16"/>
      <c r="GWD3" s="16"/>
      <c r="GWE3" s="16"/>
      <c r="GWF3" s="16"/>
      <c r="GWG3" s="16"/>
      <c r="GWH3" s="16"/>
      <c r="GWI3" s="16"/>
      <c r="GWJ3" s="16"/>
      <c r="GWK3" s="16"/>
      <c r="GWL3" s="16"/>
      <c r="GWM3" s="16"/>
      <c r="GWN3" s="16"/>
      <c r="GWO3" s="16"/>
      <c r="GWP3" s="16"/>
      <c r="GWQ3" s="16"/>
      <c r="GWR3" s="16"/>
      <c r="GWS3" s="16"/>
      <c r="GWT3" s="16"/>
      <c r="GWU3" s="16"/>
      <c r="GWV3" s="16"/>
      <c r="GWW3" s="16"/>
      <c r="GWX3" s="16"/>
      <c r="GWY3" s="16"/>
      <c r="GWZ3" s="16"/>
      <c r="GXA3" s="16"/>
      <c r="GXB3" s="16"/>
      <c r="GXC3" s="16"/>
      <c r="GXD3" s="16"/>
      <c r="GXE3" s="16"/>
      <c r="GXF3" s="16"/>
      <c r="GXG3" s="16"/>
      <c r="GXH3" s="16"/>
      <c r="GXI3" s="16"/>
      <c r="GXJ3" s="16"/>
      <c r="GXK3" s="16"/>
      <c r="GXL3" s="16"/>
      <c r="GXM3" s="16"/>
      <c r="GXN3" s="16"/>
      <c r="GXO3" s="16"/>
      <c r="GXP3" s="16"/>
      <c r="GXQ3" s="16"/>
      <c r="GXR3" s="16"/>
      <c r="GXS3" s="16"/>
      <c r="GXT3" s="16"/>
      <c r="GXU3" s="16"/>
      <c r="GXV3" s="16"/>
      <c r="GXW3" s="16"/>
      <c r="GXX3" s="16"/>
      <c r="GXY3" s="16"/>
      <c r="GXZ3" s="16"/>
      <c r="GYA3" s="16"/>
      <c r="GYB3" s="16"/>
      <c r="GYC3" s="16"/>
      <c r="GYD3" s="16"/>
      <c r="GYE3" s="16"/>
      <c r="GYF3" s="16"/>
      <c r="GYG3" s="16"/>
      <c r="GYH3" s="16"/>
      <c r="GYI3" s="16"/>
      <c r="GYJ3" s="16"/>
      <c r="GYK3" s="16"/>
      <c r="GYL3" s="16"/>
      <c r="GYM3" s="16"/>
      <c r="GYN3" s="16"/>
      <c r="GYO3" s="16"/>
      <c r="GYP3" s="16"/>
      <c r="GYQ3" s="16"/>
      <c r="GYR3" s="16"/>
      <c r="GYS3" s="16"/>
      <c r="GYT3" s="16"/>
      <c r="GYU3" s="16"/>
      <c r="GYV3" s="16"/>
      <c r="GYW3" s="16"/>
      <c r="GYX3" s="16"/>
      <c r="GYY3" s="16"/>
      <c r="GYZ3" s="16"/>
      <c r="GZA3" s="16"/>
      <c r="GZB3" s="16"/>
      <c r="GZC3" s="16"/>
      <c r="GZD3" s="16"/>
      <c r="GZE3" s="16"/>
      <c r="GZF3" s="16"/>
      <c r="GZG3" s="16"/>
      <c r="GZH3" s="16"/>
      <c r="GZI3" s="16"/>
      <c r="GZJ3" s="16"/>
      <c r="GZK3" s="16"/>
      <c r="GZL3" s="16"/>
      <c r="GZM3" s="16"/>
      <c r="GZN3" s="16"/>
      <c r="GZO3" s="16"/>
      <c r="GZP3" s="16"/>
      <c r="GZQ3" s="16"/>
      <c r="GZR3" s="16"/>
      <c r="GZS3" s="16"/>
      <c r="GZT3" s="16"/>
      <c r="GZU3" s="16"/>
      <c r="GZV3" s="16"/>
      <c r="GZW3" s="16"/>
      <c r="GZX3" s="16"/>
      <c r="GZY3" s="16"/>
      <c r="GZZ3" s="16"/>
      <c r="HAA3" s="16"/>
      <c r="HAB3" s="16"/>
      <c r="HAC3" s="16"/>
      <c r="HAD3" s="16"/>
      <c r="HAE3" s="16"/>
      <c r="HAF3" s="16"/>
      <c r="HAG3" s="16"/>
      <c r="HAH3" s="16"/>
      <c r="HAI3" s="16"/>
      <c r="HAJ3" s="16"/>
      <c r="HAK3" s="16"/>
      <c r="HAL3" s="16"/>
      <c r="HAM3" s="16"/>
      <c r="HAN3" s="16"/>
      <c r="HAO3" s="16"/>
      <c r="HAP3" s="16"/>
      <c r="HAQ3" s="16"/>
      <c r="HAR3" s="16"/>
      <c r="HAS3" s="16"/>
      <c r="HAT3" s="16"/>
      <c r="HAU3" s="16"/>
      <c r="HAV3" s="16"/>
      <c r="HAW3" s="16"/>
      <c r="HAX3" s="16"/>
      <c r="HAY3" s="16"/>
      <c r="HAZ3" s="16"/>
      <c r="HBA3" s="16"/>
      <c r="HBB3" s="16"/>
      <c r="HBC3" s="16"/>
      <c r="HBD3" s="16"/>
      <c r="HBE3" s="16"/>
      <c r="HBF3" s="16"/>
      <c r="HBG3" s="16"/>
      <c r="HBH3" s="16"/>
      <c r="HBI3" s="16"/>
      <c r="HBJ3" s="16"/>
      <c r="HBK3" s="16"/>
      <c r="HBL3" s="16"/>
      <c r="HBM3" s="16"/>
      <c r="HBN3" s="16"/>
      <c r="HBO3" s="16"/>
      <c r="HBP3" s="16"/>
      <c r="HBQ3" s="16"/>
      <c r="HBR3" s="16"/>
      <c r="HBS3" s="16"/>
      <c r="HBT3" s="16"/>
      <c r="HBU3" s="16"/>
      <c r="HBV3" s="16"/>
      <c r="HBW3" s="16"/>
      <c r="HBX3" s="16"/>
      <c r="HBY3" s="16"/>
      <c r="HBZ3" s="16"/>
      <c r="HCA3" s="16"/>
      <c r="HCB3" s="16"/>
      <c r="HCC3" s="16"/>
      <c r="HCD3" s="16"/>
      <c r="HCE3" s="16"/>
      <c r="HCF3" s="16"/>
      <c r="HCG3" s="16"/>
      <c r="HCH3" s="16"/>
      <c r="HCI3" s="16"/>
      <c r="HCJ3" s="16"/>
      <c r="HCK3" s="16"/>
      <c r="HCL3" s="16"/>
      <c r="HCM3" s="16"/>
      <c r="HCN3" s="16"/>
      <c r="HCO3" s="16"/>
      <c r="HCP3" s="16"/>
      <c r="HCQ3" s="16"/>
      <c r="HCR3" s="16"/>
      <c r="HCS3" s="16"/>
      <c r="HCT3" s="16"/>
      <c r="HCU3" s="16"/>
      <c r="HCV3" s="16"/>
      <c r="HCW3" s="16"/>
      <c r="HCX3" s="16"/>
      <c r="HCY3" s="16"/>
      <c r="HCZ3" s="16"/>
      <c r="HDA3" s="16"/>
      <c r="HDB3" s="16"/>
      <c r="HDC3" s="16"/>
      <c r="HDD3" s="16"/>
      <c r="HDE3" s="16"/>
      <c r="HDF3" s="16"/>
      <c r="HDG3" s="16"/>
      <c r="HDH3" s="16"/>
      <c r="HDI3" s="16"/>
      <c r="HDJ3" s="16"/>
      <c r="HDK3" s="16"/>
      <c r="HDL3" s="16"/>
      <c r="HDM3" s="16"/>
      <c r="HDN3" s="16"/>
      <c r="HDO3" s="16"/>
      <c r="HDP3" s="16"/>
      <c r="HDQ3" s="16"/>
      <c r="HDR3" s="16"/>
      <c r="HDS3" s="16"/>
      <c r="HDT3" s="16"/>
      <c r="HDU3" s="16"/>
      <c r="HDV3" s="16"/>
      <c r="HDW3" s="16"/>
      <c r="HDX3" s="16"/>
      <c r="HDY3" s="16"/>
      <c r="HDZ3" s="16"/>
      <c r="HEA3" s="16"/>
      <c r="HEB3" s="16"/>
      <c r="HEC3" s="16"/>
      <c r="HED3" s="16"/>
      <c r="HEE3" s="16"/>
      <c r="HEF3" s="16"/>
      <c r="HEG3" s="16"/>
      <c r="HEH3" s="16"/>
      <c r="HEI3" s="16"/>
      <c r="HEJ3" s="16"/>
      <c r="HEK3" s="16"/>
      <c r="HEL3" s="16"/>
      <c r="HEM3" s="16"/>
      <c r="HEN3" s="16"/>
      <c r="HEO3" s="16"/>
      <c r="HEP3" s="16"/>
      <c r="HEQ3" s="16"/>
      <c r="HER3" s="16"/>
      <c r="HES3" s="16"/>
      <c r="HET3" s="16"/>
      <c r="HEU3" s="16"/>
      <c r="HEV3" s="16"/>
      <c r="HEW3" s="16"/>
      <c r="HEX3" s="16"/>
      <c r="HEY3" s="16"/>
      <c r="HEZ3" s="16"/>
      <c r="HFA3" s="16"/>
      <c r="HFB3" s="16"/>
      <c r="HFC3" s="16"/>
      <c r="HFD3" s="16"/>
      <c r="HFE3" s="16"/>
      <c r="HFF3" s="16"/>
      <c r="HFG3" s="16"/>
      <c r="HFH3" s="16"/>
      <c r="HFI3" s="16"/>
      <c r="HFJ3" s="16"/>
      <c r="HFK3" s="16"/>
      <c r="HFL3" s="16"/>
      <c r="HFM3" s="16"/>
      <c r="HFN3" s="16"/>
      <c r="HFO3" s="16"/>
      <c r="HFP3" s="16"/>
      <c r="HFQ3" s="16"/>
      <c r="HFR3" s="16"/>
      <c r="HFS3" s="16"/>
      <c r="HFT3" s="16"/>
      <c r="HFU3" s="16"/>
      <c r="HFV3" s="16"/>
      <c r="HFW3" s="16"/>
      <c r="HFX3" s="16"/>
      <c r="HFY3" s="16"/>
      <c r="HFZ3" s="16"/>
      <c r="HGA3" s="16"/>
      <c r="HGB3" s="16"/>
      <c r="HGC3" s="16"/>
      <c r="HGD3" s="16"/>
      <c r="HGE3" s="16"/>
      <c r="HGF3" s="16"/>
      <c r="HGG3" s="16"/>
      <c r="HGH3" s="16"/>
      <c r="HGI3" s="16"/>
      <c r="HGJ3" s="16"/>
      <c r="HGK3" s="16"/>
      <c r="HGL3" s="16"/>
      <c r="HGM3" s="16"/>
      <c r="HGN3" s="16"/>
      <c r="HGO3" s="16"/>
      <c r="HGP3" s="16"/>
      <c r="HGQ3" s="16"/>
      <c r="HGR3" s="16"/>
      <c r="HGS3" s="16"/>
      <c r="HGT3" s="16"/>
      <c r="HGU3" s="16"/>
      <c r="HGV3" s="16"/>
      <c r="HGW3" s="16"/>
      <c r="HGX3" s="16"/>
      <c r="HGY3" s="16"/>
      <c r="HGZ3" s="16"/>
      <c r="HHA3" s="16"/>
      <c r="HHB3" s="16"/>
      <c r="HHC3" s="16"/>
      <c r="HHD3" s="16"/>
      <c r="HHE3" s="16"/>
      <c r="HHF3" s="16"/>
      <c r="HHG3" s="16"/>
      <c r="HHH3" s="16"/>
      <c r="HHI3" s="16"/>
      <c r="HHJ3" s="16"/>
      <c r="HHK3" s="16"/>
      <c r="HHL3" s="16"/>
      <c r="HHM3" s="16"/>
      <c r="HHN3" s="16"/>
      <c r="HHO3" s="16"/>
      <c r="HHP3" s="16"/>
      <c r="HHQ3" s="16"/>
      <c r="HHR3" s="16"/>
      <c r="HHS3" s="16"/>
      <c r="HHT3" s="16"/>
      <c r="HHU3" s="16"/>
      <c r="HHV3" s="16"/>
      <c r="HHW3" s="16"/>
      <c r="HHX3" s="16"/>
      <c r="HHY3" s="16"/>
      <c r="HHZ3" s="16"/>
      <c r="HIA3" s="16"/>
      <c r="HIB3" s="16"/>
      <c r="HIC3" s="16"/>
      <c r="HID3" s="16"/>
      <c r="HIE3" s="16"/>
      <c r="HIF3" s="16"/>
      <c r="HIG3" s="16"/>
      <c r="HIH3" s="16"/>
      <c r="HII3" s="16"/>
      <c r="HIJ3" s="16"/>
      <c r="HIK3" s="16"/>
      <c r="HIL3" s="16"/>
      <c r="HIM3" s="16"/>
      <c r="HIN3" s="16"/>
      <c r="HIO3" s="16"/>
      <c r="HIP3" s="16"/>
      <c r="HIQ3" s="16"/>
      <c r="HIR3" s="16"/>
      <c r="HIS3" s="16"/>
      <c r="HIT3" s="16"/>
      <c r="HIU3" s="16"/>
      <c r="HIV3" s="16"/>
      <c r="HIW3" s="16"/>
      <c r="HIX3" s="16"/>
      <c r="HIY3" s="16"/>
      <c r="HIZ3" s="16"/>
      <c r="HJA3" s="16"/>
      <c r="HJB3" s="16"/>
      <c r="HJC3" s="16"/>
      <c r="HJD3" s="16"/>
      <c r="HJE3" s="16"/>
      <c r="HJF3" s="16"/>
      <c r="HJG3" s="16"/>
      <c r="HJH3" s="16"/>
      <c r="HJI3" s="16"/>
      <c r="HJJ3" s="16"/>
      <c r="HJK3" s="16"/>
      <c r="HJL3" s="16"/>
      <c r="HJM3" s="16"/>
      <c r="HJN3" s="16"/>
      <c r="HJO3" s="16"/>
      <c r="HJP3" s="16"/>
      <c r="HJQ3" s="16"/>
      <c r="HJR3" s="16"/>
      <c r="HJS3" s="16"/>
      <c r="HJT3" s="16"/>
      <c r="HJU3" s="16"/>
      <c r="HJV3" s="16"/>
      <c r="HJW3" s="16"/>
      <c r="HJX3" s="16"/>
      <c r="HJY3" s="16"/>
      <c r="HJZ3" s="16"/>
      <c r="HKA3" s="16"/>
      <c r="HKB3" s="16"/>
      <c r="HKC3" s="16"/>
      <c r="HKD3" s="16"/>
      <c r="HKE3" s="16"/>
      <c r="HKF3" s="16"/>
      <c r="HKG3" s="16"/>
      <c r="HKH3" s="16"/>
      <c r="HKI3" s="16"/>
      <c r="HKJ3" s="16"/>
      <c r="HKK3" s="16"/>
      <c r="HKL3" s="16"/>
      <c r="HKM3" s="16"/>
      <c r="HKN3" s="16"/>
      <c r="HKO3" s="16"/>
      <c r="HKP3" s="16"/>
      <c r="HKQ3" s="16"/>
      <c r="HKR3" s="16"/>
      <c r="HKS3" s="16"/>
      <c r="HKT3" s="16"/>
      <c r="HKU3" s="16"/>
      <c r="HKV3" s="16"/>
      <c r="HKW3" s="16"/>
      <c r="HKX3" s="16"/>
      <c r="HKY3" s="16"/>
      <c r="HKZ3" s="16"/>
      <c r="HLA3" s="16"/>
      <c r="HLB3" s="16"/>
      <c r="HLC3" s="16"/>
      <c r="HLD3" s="16"/>
      <c r="HLE3" s="16"/>
      <c r="HLF3" s="16"/>
      <c r="HLG3" s="16"/>
      <c r="HLH3" s="16"/>
      <c r="HLI3" s="16"/>
      <c r="HLJ3" s="16"/>
      <c r="HLK3" s="16"/>
      <c r="HLL3" s="16"/>
      <c r="HLM3" s="16"/>
      <c r="HLN3" s="16"/>
      <c r="HLO3" s="16"/>
      <c r="HLP3" s="16"/>
      <c r="HLQ3" s="16"/>
      <c r="HLR3" s="16"/>
      <c r="HLS3" s="16"/>
      <c r="HLT3" s="16"/>
      <c r="HLU3" s="16"/>
      <c r="HLV3" s="16"/>
      <c r="HLW3" s="16"/>
      <c r="HLX3" s="16"/>
      <c r="HLY3" s="16"/>
      <c r="HLZ3" s="16"/>
      <c r="HMA3" s="16"/>
      <c r="HMB3" s="16"/>
      <c r="HMC3" s="16"/>
      <c r="HMD3" s="16"/>
      <c r="HME3" s="16"/>
      <c r="HMF3" s="16"/>
      <c r="HMG3" s="16"/>
      <c r="HMH3" s="16"/>
      <c r="HMI3" s="16"/>
      <c r="HMJ3" s="16"/>
      <c r="HMK3" s="16"/>
      <c r="HML3" s="16"/>
      <c r="HMM3" s="16"/>
      <c r="HMN3" s="16"/>
      <c r="HMO3" s="16"/>
      <c r="HMP3" s="16"/>
      <c r="HMQ3" s="16"/>
      <c r="HMR3" s="16"/>
      <c r="HMS3" s="16"/>
      <c r="HMT3" s="16"/>
      <c r="HMU3" s="16"/>
      <c r="HMV3" s="16"/>
      <c r="HMW3" s="16"/>
      <c r="HMX3" s="16"/>
      <c r="HMY3" s="16"/>
      <c r="HMZ3" s="16"/>
      <c r="HNA3" s="16"/>
      <c r="HNB3" s="16"/>
      <c r="HNC3" s="16"/>
      <c r="HND3" s="16"/>
      <c r="HNE3" s="16"/>
      <c r="HNF3" s="16"/>
      <c r="HNG3" s="16"/>
      <c r="HNH3" s="16"/>
      <c r="HNI3" s="16"/>
      <c r="HNJ3" s="16"/>
      <c r="HNK3" s="16"/>
      <c r="HNL3" s="16"/>
      <c r="HNM3" s="16"/>
      <c r="HNN3" s="16"/>
      <c r="HNO3" s="16"/>
      <c r="HNP3" s="16"/>
      <c r="HNQ3" s="16"/>
      <c r="HNR3" s="16"/>
      <c r="HNS3" s="16"/>
      <c r="HNT3" s="16"/>
      <c r="HNU3" s="16"/>
      <c r="HNV3" s="16"/>
      <c r="HNW3" s="16"/>
      <c r="HNX3" s="16"/>
      <c r="HNY3" s="16"/>
      <c r="HNZ3" s="16"/>
      <c r="HOA3" s="16"/>
      <c r="HOB3" s="16"/>
      <c r="HOC3" s="16"/>
      <c r="HOD3" s="16"/>
      <c r="HOE3" s="16"/>
      <c r="HOF3" s="16"/>
      <c r="HOG3" s="16"/>
      <c r="HOH3" s="16"/>
      <c r="HOI3" s="16"/>
      <c r="HOJ3" s="16"/>
      <c r="HOK3" s="16"/>
      <c r="HOL3" s="16"/>
      <c r="HOM3" s="16"/>
      <c r="HON3" s="16"/>
      <c r="HOO3" s="16"/>
      <c r="HOP3" s="16"/>
      <c r="HOQ3" s="16"/>
      <c r="HOR3" s="16"/>
      <c r="HOS3" s="16"/>
      <c r="HOT3" s="16"/>
      <c r="HOU3" s="16"/>
      <c r="HOV3" s="16"/>
      <c r="HOW3" s="16"/>
      <c r="HOX3" s="16"/>
      <c r="HOY3" s="16"/>
      <c r="HOZ3" s="16"/>
      <c r="HPA3" s="16"/>
      <c r="HPB3" s="16"/>
      <c r="HPC3" s="16"/>
      <c r="HPD3" s="16"/>
      <c r="HPE3" s="16"/>
      <c r="HPF3" s="16"/>
      <c r="HPG3" s="16"/>
      <c r="HPH3" s="16"/>
      <c r="HPI3" s="16"/>
      <c r="HPJ3" s="16"/>
      <c r="HPK3" s="16"/>
      <c r="HPL3" s="16"/>
      <c r="HPM3" s="16"/>
      <c r="HPN3" s="16"/>
      <c r="HPO3" s="16"/>
      <c r="HPP3" s="16"/>
      <c r="HPQ3" s="16"/>
      <c r="HPR3" s="16"/>
      <c r="HPS3" s="16"/>
      <c r="HPT3" s="16"/>
      <c r="HPU3" s="16"/>
      <c r="HPV3" s="16"/>
      <c r="HPW3" s="16"/>
      <c r="HPX3" s="16"/>
      <c r="HPY3" s="16"/>
      <c r="HPZ3" s="16"/>
      <c r="HQA3" s="16"/>
      <c r="HQB3" s="16"/>
      <c r="HQC3" s="16"/>
      <c r="HQD3" s="16"/>
      <c r="HQE3" s="16"/>
      <c r="HQF3" s="16"/>
      <c r="HQG3" s="16"/>
      <c r="HQH3" s="16"/>
      <c r="HQI3" s="16"/>
      <c r="HQJ3" s="16"/>
      <c r="HQK3" s="16"/>
      <c r="HQL3" s="16"/>
      <c r="HQM3" s="16"/>
      <c r="HQN3" s="16"/>
      <c r="HQO3" s="16"/>
      <c r="HQP3" s="16"/>
      <c r="HQQ3" s="16"/>
      <c r="HQR3" s="16"/>
      <c r="HQS3" s="16"/>
      <c r="HQT3" s="16"/>
      <c r="HQU3" s="16"/>
      <c r="HQV3" s="16"/>
      <c r="HQW3" s="16"/>
      <c r="HQX3" s="16"/>
      <c r="HQY3" s="16"/>
      <c r="HQZ3" s="16"/>
      <c r="HRA3" s="16"/>
      <c r="HRB3" s="16"/>
      <c r="HRC3" s="16"/>
      <c r="HRD3" s="16"/>
      <c r="HRE3" s="16"/>
      <c r="HRF3" s="16"/>
      <c r="HRG3" s="16"/>
      <c r="HRH3" s="16"/>
      <c r="HRI3" s="16"/>
      <c r="HRJ3" s="16"/>
      <c r="HRK3" s="16"/>
      <c r="HRL3" s="16"/>
      <c r="HRM3" s="16"/>
      <c r="HRN3" s="16"/>
      <c r="HRO3" s="16"/>
      <c r="HRP3" s="16"/>
      <c r="HRQ3" s="16"/>
      <c r="HRR3" s="16"/>
      <c r="HRS3" s="16"/>
      <c r="HRT3" s="16"/>
      <c r="HRU3" s="16"/>
      <c r="HRV3" s="16"/>
      <c r="HRW3" s="16"/>
      <c r="HRX3" s="16"/>
      <c r="HRY3" s="16"/>
      <c r="HRZ3" s="16"/>
      <c r="HSA3" s="16"/>
      <c r="HSB3" s="16"/>
      <c r="HSC3" s="16"/>
      <c r="HSD3" s="16"/>
      <c r="HSE3" s="16"/>
      <c r="HSF3" s="16"/>
      <c r="HSG3" s="16"/>
      <c r="HSH3" s="16"/>
      <c r="HSI3" s="16"/>
      <c r="HSJ3" s="16"/>
      <c r="HSK3" s="16"/>
      <c r="HSL3" s="16"/>
      <c r="HSM3" s="16"/>
      <c r="HSN3" s="16"/>
      <c r="HSO3" s="16"/>
      <c r="HSP3" s="16"/>
      <c r="HSQ3" s="16"/>
      <c r="HSR3" s="16"/>
      <c r="HSS3" s="16"/>
      <c r="HST3" s="16"/>
      <c r="HSU3" s="16"/>
      <c r="HSV3" s="16"/>
      <c r="HSW3" s="16"/>
      <c r="HSX3" s="16"/>
      <c r="HSY3" s="16"/>
      <c r="HSZ3" s="16"/>
      <c r="HTA3" s="16"/>
      <c r="HTB3" s="16"/>
      <c r="HTC3" s="16"/>
      <c r="HTD3" s="16"/>
      <c r="HTE3" s="16"/>
      <c r="HTF3" s="16"/>
      <c r="HTG3" s="16"/>
      <c r="HTH3" s="16"/>
      <c r="HTI3" s="16"/>
      <c r="HTJ3" s="16"/>
      <c r="HTK3" s="16"/>
      <c r="HTL3" s="16"/>
      <c r="HTM3" s="16"/>
      <c r="HTN3" s="16"/>
      <c r="HTO3" s="16"/>
      <c r="HTP3" s="16"/>
      <c r="HTQ3" s="16"/>
      <c r="HTR3" s="16"/>
      <c r="HTS3" s="16"/>
      <c r="HTT3" s="16"/>
      <c r="HTU3" s="16"/>
      <c r="HTV3" s="16"/>
      <c r="HTW3" s="16"/>
      <c r="HTX3" s="16"/>
      <c r="HTY3" s="16"/>
      <c r="HTZ3" s="16"/>
      <c r="HUA3" s="16"/>
      <c r="HUB3" s="16"/>
      <c r="HUC3" s="16"/>
      <c r="HUD3" s="16"/>
      <c r="HUE3" s="16"/>
      <c r="HUF3" s="16"/>
      <c r="HUG3" s="16"/>
      <c r="HUH3" s="16"/>
      <c r="HUI3" s="16"/>
      <c r="HUJ3" s="16"/>
      <c r="HUK3" s="16"/>
      <c r="HUL3" s="16"/>
      <c r="HUM3" s="16"/>
      <c r="HUN3" s="16"/>
      <c r="HUO3" s="16"/>
      <c r="HUP3" s="16"/>
      <c r="HUQ3" s="16"/>
      <c r="HUR3" s="16"/>
      <c r="HUS3" s="16"/>
      <c r="HUT3" s="16"/>
      <c r="HUU3" s="16"/>
      <c r="HUV3" s="16"/>
      <c r="HUW3" s="16"/>
      <c r="HUX3" s="16"/>
      <c r="HUY3" s="16"/>
      <c r="HUZ3" s="16"/>
      <c r="HVA3" s="16"/>
      <c r="HVB3" s="16"/>
      <c r="HVC3" s="16"/>
      <c r="HVD3" s="16"/>
      <c r="HVE3" s="16"/>
      <c r="HVF3" s="16"/>
      <c r="HVG3" s="16"/>
      <c r="HVH3" s="16"/>
      <c r="HVI3" s="16"/>
      <c r="HVJ3" s="16"/>
      <c r="HVK3" s="16"/>
      <c r="HVL3" s="16"/>
      <c r="HVM3" s="16"/>
      <c r="HVN3" s="16"/>
      <c r="HVO3" s="16"/>
      <c r="HVP3" s="16"/>
      <c r="HVQ3" s="16"/>
      <c r="HVR3" s="16"/>
      <c r="HVS3" s="16"/>
      <c r="HVT3" s="16"/>
      <c r="HVU3" s="16"/>
      <c r="HVV3" s="16"/>
      <c r="HVW3" s="16"/>
      <c r="HVX3" s="16"/>
      <c r="HVY3" s="16"/>
      <c r="HVZ3" s="16"/>
      <c r="HWA3" s="16"/>
      <c r="HWB3" s="16"/>
      <c r="HWC3" s="16"/>
      <c r="HWD3" s="16"/>
      <c r="HWE3" s="16"/>
      <c r="HWF3" s="16"/>
      <c r="HWG3" s="16"/>
      <c r="HWH3" s="16"/>
      <c r="HWI3" s="16"/>
      <c r="HWJ3" s="16"/>
      <c r="HWK3" s="16"/>
      <c r="HWL3" s="16"/>
      <c r="HWM3" s="16"/>
      <c r="HWN3" s="16"/>
      <c r="HWO3" s="16"/>
      <c r="HWP3" s="16"/>
      <c r="HWQ3" s="16"/>
      <c r="HWR3" s="16"/>
      <c r="HWS3" s="16"/>
      <c r="HWT3" s="16"/>
      <c r="HWU3" s="16"/>
      <c r="HWV3" s="16"/>
      <c r="HWW3" s="16"/>
      <c r="HWX3" s="16"/>
      <c r="HWY3" s="16"/>
      <c r="HWZ3" s="16"/>
      <c r="HXA3" s="16"/>
      <c r="HXB3" s="16"/>
      <c r="HXC3" s="16"/>
      <c r="HXD3" s="16"/>
      <c r="HXE3" s="16"/>
      <c r="HXF3" s="16"/>
      <c r="HXG3" s="16"/>
      <c r="HXH3" s="16"/>
      <c r="HXI3" s="16"/>
      <c r="HXJ3" s="16"/>
      <c r="HXK3" s="16"/>
      <c r="HXL3" s="16"/>
      <c r="HXM3" s="16"/>
      <c r="HXN3" s="16"/>
      <c r="HXO3" s="16"/>
      <c r="HXP3" s="16"/>
      <c r="HXQ3" s="16"/>
      <c r="HXR3" s="16"/>
      <c r="HXS3" s="16"/>
      <c r="HXT3" s="16"/>
      <c r="HXU3" s="16"/>
      <c r="HXV3" s="16"/>
      <c r="HXW3" s="16"/>
      <c r="HXX3" s="16"/>
      <c r="HXY3" s="16"/>
      <c r="HXZ3" s="16"/>
      <c r="HYA3" s="16"/>
      <c r="HYB3" s="16"/>
      <c r="HYC3" s="16"/>
      <c r="HYD3" s="16"/>
      <c r="HYE3" s="16"/>
      <c r="HYF3" s="16"/>
      <c r="HYG3" s="16"/>
      <c r="HYH3" s="16"/>
      <c r="HYI3" s="16"/>
      <c r="HYJ3" s="16"/>
      <c r="HYK3" s="16"/>
      <c r="HYL3" s="16"/>
      <c r="HYM3" s="16"/>
      <c r="HYN3" s="16"/>
      <c r="HYO3" s="16"/>
      <c r="HYP3" s="16"/>
      <c r="HYQ3" s="16"/>
      <c r="HYR3" s="16"/>
      <c r="HYS3" s="16"/>
      <c r="HYT3" s="16"/>
      <c r="HYU3" s="16"/>
      <c r="HYV3" s="16"/>
      <c r="HYW3" s="16"/>
      <c r="HYX3" s="16"/>
      <c r="HYY3" s="16"/>
      <c r="HYZ3" s="16"/>
      <c r="HZA3" s="16"/>
      <c r="HZB3" s="16"/>
      <c r="HZC3" s="16"/>
      <c r="HZD3" s="16"/>
      <c r="HZE3" s="16"/>
      <c r="HZF3" s="16"/>
      <c r="HZG3" s="16"/>
      <c r="HZH3" s="16"/>
      <c r="HZI3" s="16"/>
      <c r="HZJ3" s="16"/>
      <c r="HZK3" s="16"/>
      <c r="HZL3" s="16"/>
      <c r="HZM3" s="16"/>
      <c r="HZN3" s="16"/>
      <c r="HZO3" s="16"/>
      <c r="HZP3" s="16"/>
      <c r="HZQ3" s="16"/>
      <c r="HZR3" s="16"/>
      <c r="HZS3" s="16"/>
      <c r="HZT3" s="16"/>
      <c r="HZU3" s="16"/>
      <c r="HZV3" s="16"/>
      <c r="HZW3" s="16"/>
      <c r="HZX3" s="16"/>
      <c r="HZY3" s="16"/>
      <c r="HZZ3" s="16"/>
      <c r="IAA3" s="16"/>
      <c r="IAB3" s="16"/>
      <c r="IAC3" s="16"/>
      <c r="IAD3" s="16"/>
      <c r="IAE3" s="16"/>
      <c r="IAF3" s="16"/>
      <c r="IAG3" s="16"/>
      <c r="IAH3" s="16"/>
      <c r="IAI3" s="16"/>
      <c r="IAJ3" s="16"/>
      <c r="IAK3" s="16"/>
      <c r="IAL3" s="16"/>
      <c r="IAM3" s="16"/>
      <c r="IAN3" s="16"/>
      <c r="IAO3" s="16"/>
      <c r="IAP3" s="16"/>
      <c r="IAQ3" s="16"/>
      <c r="IAR3" s="16"/>
      <c r="IAS3" s="16"/>
      <c r="IAT3" s="16"/>
      <c r="IAU3" s="16"/>
      <c r="IAV3" s="16"/>
      <c r="IAW3" s="16"/>
      <c r="IAX3" s="16"/>
      <c r="IAY3" s="16"/>
      <c r="IAZ3" s="16"/>
      <c r="IBA3" s="16"/>
      <c r="IBB3" s="16"/>
      <c r="IBC3" s="16"/>
      <c r="IBD3" s="16"/>
      <c r="IBE3" s="16"/>
      <c r="IBF3" s="16"/>
      <c r="IBG3" s="16"/>
      <c r="IBH3" s="16"/>
      <c r="IBI3" s="16"/>
      <c r="IBJ3" s="16"/>
      <c r="IBK3" s="16"/>
      <c r="IBL3" s="16"/>
      <c r="IBM3" s="16"/>
      <c r="IBN3" s="16"/>
      <c r="IBO3" s="16"/>
      <c r="IBP3" s="16"/>
      <c r="IBQ3" s="16"/>
      <c r="IBR3" s="16"/>
      <c r="IBS3" s="16"/>
      <c r="IBT3" s="16"/>
      <c r="IBU3" s="16"/>
      <c r="IBV3" s="16"/>
      <c r="IBW3" s="16"/>
      <c r="IBX3" s="16"/>
      <c r="IBY3" s="16"/>
      <c r="IBZ3" s="16"/>
      <c r="ICA3" s="16"/>
      <c r="ICB3" s="16"/>
      <c r="ICC3" s="16"/>
      <c r="ICD3" s="16"/>
      <c r="ICE3" s="16"/>
      <c r="ICF3" s="16"/>
      <c r="ICG3" s="16"/>
      <c r="ICH3" s="16"/>
      <c r="ICI3" s="16"/>
      <c r="ICJ3" s="16"/>
      <c r="ICK3" s="16"/>
      <c r="ICL3" s="16"/>
      <c r="ICM3" s="16"/>
      <c r="ICN3" s="16"/>
      <c r="ICO3" s="16"/>
      <c r="ICP3" s="16"/>
      <c r="ICQ3" s="16"/>
      <c r="ICR3" s="16"/>
      <c r="ICS3" s="16"/>
      <c r="ICT3" s="16"/>
      <c r="ICU3" s="16"/>
      <c r="ICV3" s="16"/>
      <c r="ICW3" s="16"/>
      <c r="ICX3" s="16"/>
      <c r="ICY3" s="16"/>
      <c r="ICZ3" s="16"/>
      <c r="IDA3" s="16"/>
      <c r="IDB3" s="16"/>
      <c r="IDC3" s="16"/>
      <c r="IDD3" s="16"/>
      <c r="IDE3" s="16"/>
      <c r="IDF3" s="16"/>
      <c r="IDG3" s="16"/>
      <c r="IDH3" s="16"/>
      <c r="IDI3" s="16"/>
      <c r="IDJ3" s="16"/>
      <c r="IDK3" s="16"/>
      <c r="IDL3" s="16"/>
      <c r="IDM3" s="16"/>
      <c r="IDN3" s="16"/>
      <c r="IDO3" s="16"/>
      <c r="IDP3" s="16"/>
      <c r="IDQ3" s="16"/>
      <c r="IDR3" s="16"/>
      <c r="IDS3" s="16"/>
      <c r="IDT3" s="16"/>
      <c r="IDU3" s="16"/>
      <c r="IDV3" s="16"/>
      <c r="IDW3" s="16"/>
      <c r="IDX3" s="16"/>
      <c r="IDY3" s="16"/>
      <c r="IDZ3" s="16"/>
      <c r="IEA3" s="16"/>
      <c r="IEB3" s="16"/>
      <c r="IEC3" s="16"/>
      <c r="IED3" s="16"/>
      <c r="IEE3" s="16"/>
      <c r="IEF3" s="16"/>
      <c r="IEG3" s="16"/>
      <c r="IEH3" s="16"/>
      <c r="IEI3" s="16"/>
      <c r="IEJ3" s="16"/>
      <c r="IEK3" s="16"/>
      <c r="IEL3" s="16"/>
      <c r="IEM3" s="16"/>
      <c r="IEN3" s="16"/>
      <c r="IEO3" s="16"/>
      <c r="IEP3" s="16"/>
      <c r="IEQ3" s="16"/>
      <c r="IER3" s="16"/>
      <c r="IES3" s="16"/>
      <c r="IET3" s="16"/>
      <c r="IEU3" s="16"/>
      <c r="IEV3" s="16"/>
      <c r="IEW3" s="16"/>
      <c r="IEX3" s="16"/>
      <c r="IEY3" s="16"/>
      <c r="IEZ3" s="16"/>
      <c r="IFA3" s="16"/>
      <c r="IFB3" s="16"/>
      <c r="IFC3" s="16"/>
      <c r="IFD3" s="16"/>
      <c r="IFE3" s="16"/>
      <c r="IFF3" s="16"/>
      <c r="IFG3" s="16"/>
      <c r="IFH3" s="16"/>
      <c r="IFI3" s="16"/>
      <c r="IFJ3" s="16"/>
      <c r="IFK3" s="16"/>
      <c r="IFL3" s="16"/>
      <c r="IFM3" s="16"/>
      <c r="IFN3" s="16"/>
      <c r="IFO3" s="16"/>
      <c r="IFP3" s="16"/>
      <c r="IFQ3" s="16"/>
      <c r="IFR3" s="16"/>
      <c r="IFS3" s="16"/>
      <c r="IFT3" s="16"/>
      <c r="IFU3" s="16"/>
      <c r="IFV3" s="16"/>
      <c r="IFW3" s="16"/>
      <c r="IFX3" s="16"/>
      <c r="IFY3" s="16"/>
      <c r="IFZ3" s="16"/>
      <c r="IGA3" s="16"/>
      <c r="IGB3" s="16"/>
      <c r="IGC3" s="16"/>
      <c r="IGD3" s="16"/>
      <c r="IGE3" s="16"/>
      <c r="IGF3" s="16"/>
      <c r="IGG3" s="16"/>
      <c r="IGH3" s="16"/>
      <c r="IGI3" s="16"/>
      <c r="IGJ3" s="16"/>
      <c r="IGK3" s="16"/>
      <c r="IGL3" s="16"/>
      <c r="IGM3" s="16"/>
      <c r="IGN3" s="16"/>
      <c r="IGO3" s="16"/>
      <c r="IGP3" s="16"/>
      <c r="IGQ3" s="16"/>
      <c r="IGR3" s="16"/>
      <c r="IGS3" s="16"/>
      <c r="IGT3" s="16"/>
      <c r="IGU3" s="16"/>
      <c r="IGV3" s="16"/>
      <c r="IGW3" s="16"/>
      <c r="IGX3" s="16"/>
      <c r="IGY3" s="16"/>
      <c r="IGZ3" s="16"/>
      <c r="IHA3" s="16"/>
      <c r="IHB3" s="16"/>
      <c r="IHC3" s="16"/>
      <c r="IHD3" s="16"/>
      <c r="IHE3" s="16"/>
      <c r="IHF3" s="16"/>
      <c r="IHG3" s="16"/>
      <c r="IHH3" s="16"/>
      <c r="IHI3" s="16"/>
      <c r="IHJ3" s="16"/>
      <c r="IHK3" s="16"/>
      <c r="IHL3" s="16"/>
      <c r="IHM3" s="16"/>
      <c r="IHN3" s="16"/>
      <c r="IHO3" s="16"/>
      <c r="IHP3" s="16"/>
      <c r="IHQ3" s="16"/>
      <c r="IHR3" s="16"/>
      <c r="IHS3" s="16"/>
      <c r="IHT3" s="16"/>
      <c r="IHU3" s="16"/>
      <c r="IHV3" s="16"/>
      <c r="IHW3" s="16"/>
      <c r="IHX3" s="16"/>
      <c r="IHY3" s="16"/>
      <c r="IHZ3" s="16"/>
      <c r="IIA3" s="16"/>
      <c r="IIB3" s="16"/>
      <c r="IIC3" s="16"/>
      <c r="IID3" s="16"/>
      <c r="IIE3" s="16"/>
      <c r="IIF3" s="16"/>
      <c r="IIG3" s="16"/>
      <c r="IIH3" s="16"/>
      <c r="III3" s="16"/>
      <c r="IIJ3" s="16"/>
      <c r="IIK3" s="16"/>
      <c r="IIL3" s="16"/>
      <c r="IIM3" s="16"/>
      <c r="IIN3" s="16"/>
      <c r="IIO3" s="16"/>
      <c r="IIP3" s="16"/>
      <c r="IIQ3" s="16"/>
      <c r="IIR3" s="16"/>
      <c r="IIS3" s="16"/>
      <c r="IIT3" s="16"/>
      <c r="IIU3" s="16"/>
      <c r="IIV3" s="16"/>
      <c r="IIW3" s="16"/>
      <c r="IIX3" s="16"/>
      <c r="IIY3" s="16"/>
      <c r="IIZ3" s="16"/>
      <c r="IJA3" s="16"/>
      <c r="IJB3" s="16"/>
      <c r="IJC3" s="16"/>
      <c r="IJD3" s="16"/>
      <c r="IJE3" s="16"/>
      <c r="IJF3" s="16"/>
      <c r="IJG3" s="16"/>
      <c r="IJH3" s="16"/>
      <c r="IJI3" s="16"/>
      <c r="IJJ3" s="16"/>
      <c r="IJK3" s="16"/>
      <c r="IJL3" s="16"/>
      <c r="IJM3" s="16"/>
      <c r="IJN3" s="16"/>
      <c r="IJO3" s="16"/>
      <c r="IJP3" s="16"/>
      <c r="IJQ3" s="16"/>
      <c r="IJR3" s="16"/>
      <c r="IJS3" s="16"/>
      <c r="IJT3" s="16"/>
      <c r="IJU3" s="16"/>
      <c r="IJV3" s="16"/>
      <c r="IJW3" s="16"/>
      <c r="IJX3" s="16"/>
      <c r="IJY3" s="16"/>
      <c r="IJZ3" s="16"/>
      <c r="IKA3" s="16"/>
      <c r="IKB3" s="16"/>
      <c r="IKC3" s="16"/>
      <c r="IKD3" s="16"/>
      <c r="IKE3" s="16"/>
      <c r="IKF3" s="16"/>
      <c r="IKG3" s="16"/>
      <c r="IKH3" s="16"/>
      <c r="IKI3" s="16"/>
      <c r="IKJ3" s="16"/>
      <c r="IKK3" s="16"/>
      <c r="IKL3" s="16"/>
      <c r="IKM3" s="16"/>
      <c r="IKN3" s="16"/>
      <c r="IKO3" s="16"/>
      <c r="IKP3" s="16"/>
      <c r="IKQ3" s="16"/>
      <c r="IKR3" s="16"/>
      <c r="IKS3" s="16"/>
      <c r="IKT3" s="16"/>
      <c r="IKU3" s="16"/>
      <c r="IKV3" s="16"/>
      <c r="IKW3" s="16"/>
      <c r="IKX3" s="16"/>
      <c r="IKY3" s="16"/>
      <c r="IKZ3" s="16"/>
      <c r="ILA3" s="16"/>
      <c r="ILB3" s="16"/>
      <c r="ILC3" s="16"/>
      <c r="ILD3" s="16"/>
      <c r="ILE3" s="16"/>
      <c r="ILF3" s="16"/>
      <c r="ILG3" s="16"/>
      <c r="ILH3" s="16"/>
      <c r="ILI3" s="16"/>
      <c r="ILJ3" s="16"/>
      <c r="ILK3" s="16"/>
      <c r="ILL3" s="16"/>
      <c r="ILM3" s="16"/>
      <c r="ILN3" s="16"/>
      <c r="ILO3" s="16"/>
      <c r="ILP3" s="16"/>
      <c r="ILQ3" s="16"/>
      <c r="ILR3" s="16"/>
      <c r="ILS3" s="16"/>
      <c r="ILT3" s="16"/>
      <c r="ILU3" s="16"/>
      <c r="ILV3" s="16"/>
      <c r="ILW3" s="16"/>
      <c r="ILX3" s="16"/>
      <c r="ILY3" s="16"/>
      <c r="ILZ3" s="16"/>
      <c r="IMA3" s="16"/>
      <c r="IMB3" s="16"/>
      <c r="IMC3" s="16"/>
      <c r="IMD3" s="16"/>
      <c r="IME3" s="16"/>
      <c r="IMF3" s="16"/>
      <c r="IMG3" s="16"/>
      <c r="IMH3" s="16"/>
      <c r="IMI3" s="16"/>
      <c r="IMJ3" s="16"/>
      <c r="IMK3" s="16"/>
      <c r="IML3" s="16"/>
      <c r="IMM3" s="16"/>
      <c r="IMN3" s="16"/>
      <c r="IMO3" s="16"/>
      <c r="IMP3" s="16"/>
      <c r="IMQ3" s="16"/>
      <c r="IMR3" s="16"/>
      <c r="IMS3" s="16"/>
      <c r="IMT3" s="16"/>
      <c r="IMU3" s="16"/>
      <c r="IMV3" s="16"/>
      <c r="IMW3" s="16"/>
      <c r="IMX3" s="16"/>
      <c r="IMY3" s="16"/>
      <c r="IMZ3" s="16"/>
      <c r="INA3" s="16"/>
      <c r="INB3" s="16"/>
      <c r="INC3" s="16"/>
      <c r="IND3" s="16"/>
      <c r="INE3" s="16"/>
      <c r="INF3" s="16"/>
      <c r="ING3" s="16"/>
      <c r="INH3" s="16"/>
      <c r="INI3" s="16"/>
      <c r="INJ3" s="16"/>
      <c r="INK3" s="16"/>
      <c r="INL3" s="16"/>
      <c r="INM3" s="16"/>
      <c r="INN3" s="16"/>
      <c r="INO3" s="16"/>
      <c r="INP3" s="16"/>
      <c r="INQ3" s="16"/>
      <c r="INR3" s="16"/>
      <c r="INS3" s="16"/>
      <c r="INT3" s="16"/>
      <c r="INU3" s="16"/>
      <c r="INV3" s="16"/>
      <c r="INW3" s="16"/>
      <c r="INX3" s="16"/>
      <c r="INY3" s="16"/>
      <c r="INZ3" s="16"/>
      <c r="IOA3" s="16"/>
      <c r="IOB3" s="16"/>
      <c r="IOC3" s="16"/>
      <c r="IOD3" s="16"/>
      <c r="IOE3" s="16"/>
      <c r="IOF3" s="16"/>
      <c r="IOG3" s="16"/>
      <c r="IOH3" s="16"/>
      <c r="IOI3" s="16"/>
      <c r="IOJ3" s="16"/>
      <c r="IOK3" s="16"/>
      <c r="IOL3" s="16"/>
      <c r="IOM3" s="16"/>
      <c r="ION3" s="16"/>
      <c r="IOO3" s="16"/>
      <c r="IOP3" s="16"/>
      <c r="IOQ3" s="16"/>
      <c r="IOR3" s="16"/>
      <c r="IOS3" s="16"/>
      <c r="IOT3" s="16"/>
      <c r="IOU3" s="16"/>
      <c r="IOV3" s="16"/>
      <c r="IOW3" s="16"/>
      <c r="IOX3" s="16"/>
      <c r="IOY3" s="16"/>
      <c r="IOZ3" s="16"/>
      <c r="IPA3" s="16"/>
      <c r="IPB3" s="16"/>
      <c r="IPC3" s="16"/>
      <c r="IPD3" s="16"/>
      <c r="IPE3" s="16"/>
      <c r="IPF3" s="16"/>
      <c r="IPG3" s="16"/>
      <c r="IPH3" s="16"/>
      <c r="IPI3" s="16"/>
      <c r="IPJ3" s="16"/>
      <c r="IPK3" s="16"/>
      <c r="IPL3" s="16"/>
      <c r="IPM3" s="16"/>
      <c r="IPN3" s="16"/>
      <c r="IPO3" s="16"/>
      <c r="IPP3" s="16"/>
      <c r="IPQ3" s="16"/>
      <c r="IPR3" s="16"/>
      <c r="IPS3" s="16"/>
      <c r="IPT3" s="16"/>
      <c r="IPU3" s="16"/>
      <c r="IPV3" s="16"/>
      <c r="IPW3" s="16"/>
      <c r="IPX3" s="16"/>
      <c r="IPY3" s="16"/>
      <c r="IPZ3" s="16"/>
      <c r="IQA3" s="16"/>
      <c r="IQB3" s="16"/>
      <c r="IQC3" s="16"/>
      <c r="IQD3" s="16"/>
      <c r="IQE3" s="16"/>
      <c r="IQF3" s="16"/>
      <c r="IQG3" s="16"/>
      <c r="IQH3" s="16"/>
      <c r="IQI3" s="16"/>
      <c r="IQJ3" s="16"/>
      <c r="IQK3" s="16"/>
      <c r="IQL3" s="16"/>
      <c r="IQM3" s="16"/>
      <c r="IQN3" s="16"/>
      <c r="IQO3" s="16"/>
      <c r="IQP3" s="16"/>
      <c r="IQQ3" s="16"/>
      <c r="IQR3" s="16"/>
      <c r="IQS3" s="16"/>
      <c r="IQT3" s="16"/>
      <c r="IQU3" s="16"/>
      <c r="IQV3" s="16"/>
      <c r="IQW3" s="16"/>
      <c r="IQX3" s="16"/>
      <c r="IQY3" s="16"/>
      <c r="IQZ3" s="16"/>
      <c r="IRA3" s="16"/>
      <c r="IRB3" s="16"/>
      <c r="IRC3" s="16"/>
      <c r="IRD3" s="16"/>
      <c r="IRE3" s="16"/>
      <c r="IRF3" s="16"/>
      <c r="IRG3" s="16"/>
      <c r="IRH3" s="16"/>
      <c r="IRI3" s="16"/>
      <c r="IRJ3" s="16"/>
      <c r="IRK3" s="16"/>
      <c r="IRL3" s="16"/>
      <c r="IRM3" s="16"/>
      <c r="IRN3" s="16"/>
      <c r="IRO3" s="16"/>
      <c r="IRP3" s="16"/>
      <c r="IRQ3" s="16"/>
      <c r="IRR3" s="16"/>
      <c r="IRS3" s="16"/>
      <c r="IRT3" s="16"/>
      <c r="IRU3" s="16"/>
      <c r="IRV3" s="16"/>
      <c r="IRW3" s="16"/>
      <c r="IRX3" s="16"/>
      <c r="IRY3" s="16"/>
      <c r="IRZ3" s="16"/>
      <c r="ISA3" s="16"/>
      <c r="ISB3" s="16"/>
      <c r="ISC3" s="16"/>
      <c r="ISD3" s="16"/>
      <c r="ISE3" s="16"/>
      <c r="ISF3" s="16"/>
      <c r="ISG3" s="16"/>
      <c r="ISH3" s="16"/>
      <c r="ISI3" s="16"/>
      <c r="ISJ3" s="16"/>
      <c r="ISK3" s="16"/>
      <c r="ISL3" s="16"/>
      <c r="ISM3" s="16"/>
      <c r="ISN3" s="16"/>
      <c r="ISO3" s="16"/>
      <c r="ISP3" s="16"/>
      <c r="ISQ3" s="16"/>
      <c r="ISR3" s="16"/>
      <c r="ISS3" s="16"/>
      <c r="IST3" s="16"/>
      <c r="ISU3" s="16"/>
      <c r="ISV3" s="16"/>
      <c r="ISW3" s="16"/>
      <c r="ISX3" s="16"/>
      <c r="ISY3" s="16"/>
      <c r="ISZ3" s="16"/>
      <c r="ITA3" s="16"/>
      <c r="ITB3" s="16"/>
      <c r="ITC3" s="16"/>
      <c r="ITD3" s="16"/>
      <c r="ITE3" s="16"/>
      <c r="ITF3" s="16"/>
      <c r="ITG3" s="16"/>
      <c r="ITH3" s="16"/>
      <c r="ITI3" s="16"/>
      <c r="ITJ3" s="16"/>
      <c r="ITK3" s="16"/>
      <c r="ITL3" s="16"/>
      <c r="ITM3" s="16"/>
      <c r="ITN3" s="16"/>
      <c r="ITO3" s="16"/>
      <c r="ITP3" s="16"/>
      <c r="ITQ3" s="16"/>
      <c r="ITR3" s="16"/>
      <c r="ITS3" s="16"/>
      <c r="ITT3" s="16"/>
      <c r="ITU3" s="16"/>
      <c r="ITV3" s="16"/>
      <c r="ITW3" s="16"/>
      <c r="ITX3" s="16"/>
      <c r="ITY3" s="16"/>
      <c r="ITZ3" s="16"/>
      <c r="IUA3" s="16"/>
      <c r="IUB3" s="16"/>
      <c r="IUC3" s="16"/>
      <c r="IUD3" s="16"/>
      <c r="IUE3" s="16"/>
      <c r="IUF3" s="16"/>
      <c r="IUG3" s="16"/>
      <c r="IUH3" s="16"/>
      <c r="IUI3" s="16"/>
      <c r="IUJ3" s="16"/>
      <c r="IUK3" s="16"/>
      <c r="IUL3" s="16"/>
      <c r="IUM3" s="16"/>
      <c r="IUN3" s="16"/>
      <c r="IUO3" s="16"/>
      <c r="IUP3" s="16"/>
      <c r="IUQ3" s="16"/>
      <c r="IUR3" s="16"/>
      <c r="IUS3" s="16"/>
      <c r="IUT3" s="16"/>
      <c r="IUU3" s="16"/>
      <c r="IUV3" s="16"/>
      <c r="IUW3" s="16"/>
      <c r="IUX3" s="16"/>
      <c r="IUY3" s="16"/>
      <c r="IUZ3" s="16"/>
      <c r="IVA3" s="16"/>
      <c r="IVB3" s="16"/>
      <c r="IVC3" s="16"/>
      <c r="IVD3" s="16"/>
      <c r="IVE3" s="16"/>
      <c r="IVF3" s="16"/>
      <c r="IVG3" s="16"/>
      <c r="IVH3" s="16"/>
      <c r="IVI3" s="16"/>
      <c r="IVJ3" s="16"/>
      <c r="IVK3" s="16"/>
      <c r="IVL3" s="16"/>
      <c r="IVM3" s="16"/>
      <c r="IVN3" s="16"/>
      <c r="IVO3" s="16"/>
      <c r="IVP3" s="16"/>
      <c r="IVQ3" s="16"/>
      <c r="IVR3" s="16"/>
      <c r="IVS3" s="16"/>
      <c r="IVT3" s="16"/>
      <c r="IVU3" s="16"/>
      <c r="IVV3" s="16"/>
      <c r="IVW3" s="16"/>
      <c r="IVX3" s="16"/>
      <c r="IVY3" s="16"/>
      <c r="IVZ3" s="16"/>
      <c r="IWA3" s="16"/>
      <c r="IWB3" s="16"/>
      <c r="IWC3" s="16"/>
      <c r="IWD3" s="16"/>
      <c r="IWE3" s="16"/>
      <c r="IWF3" s="16"/>
      <c r="IWG3" s="16"/>
      <c r="IWH3" s="16"/>
      <c r="IWI3" s="16"/>
      <c r="IWJ3" s="16"/>
      <c r="IWK3" s="16"/>
      <c r="IWL3" s="16"/>
      <c r="IWM3" s="16"/>
      <c r="IWN3" s="16"/>
      <c r="IWO3" s="16"/>
      <c r="IWP3" s="16"/>
      <c r="IWQ3" s="16"/>
      <c r="IWR3" s="16"/>
      <c r="IWS3" s="16"/>
      <c r="IWT3" s="16"/>
      <c r="IWU3" s="16"/>
      <c r="IWV3" s="16"/>
      <c r="IWW3" s="16"/>
      <c r="IWX3" s="16"/>
      <c r="IWY3" s="16"/>
      <c r="IWZ3" s="16"/>
      <c r="IXA3" s="16"/>
      <c r="IXB3" s="16"/>
      <c r="IXC3" s="16"/>
      <c r="IXD3" s="16"/>
      <c r="IXE3" s="16"/>
      <c r="IXF3" s="16"/>
      <c r="IXG3" s="16"/>
      <c r="IXH3" s="16"/>
      <c r="IXI3" s="16"/>
      <c r="IXJ3" s="16"/>
      <c r="IXK3" s="16"/>
      <c r="IXL3" s="16"/>
      <c r="IXM3" s="16"/>
      <c r="IXN3" s="16"/>
      <c r="IXO3" s="16"/>
      <c r="IXP3" s="16"/>
      <c r="IXQ3" s="16"/>
      <c r="IXR3" s="16"/>
      <c r="IXS3" s="16"/>
      <c r="IXT3" s="16"/>
      <c r="IXU3" s="16"/>
      <c r="IXV3" s="16"/>
      <c r="IXW3" s="16"/>
      <c r="IXX3" s="16"/>
      <c r="IXY3" s="16"/>
      <c r="IXZ3" s="16"/>
      <c r="IYA3" s="16"/>
      <c r="IYB3" s="16"/>
      <c r="IYC3" s="16"/>
      <c r="IYD3" s="16"/>
      <c r="IYE3" s="16"/>
      <c r="IYF3" s="16"/>
      <c r="IYG3" s="16"/>
      <c r="IYH3" s="16"/>
      <c r="IYI3" s="16"/>
      <c r="IYJ3" s="16"/>
      <c r="IYK3" s="16"/>
      <c r="IYL3" s="16"/>
      <c r="IYM3" s="16"/>
      <c r="IYN3" s="16"/>
      <c r="IYO3" s="16"/>
      <c r="IYP3" s="16"/>
      <c r="IYQ3" s="16"/>
      <c r="IYR3" s="16"/>
      <c r="IYS3" s="16"/>
      <c r="IYT3" s="16"/>
      <c r="IYU3" s="16"/>
      <c r="IYV3" s="16"/>
      <c r="IYW3" s="16"/>
      <c r="IYX3" s="16"/>
      <c r="IYY3" s="16"/>
      <c r="IYZ3" s="16"/>
      <c r="IZA3" s="16"/>
      <c r="IZB3" s="16"/>
      <c r="IZC3" s="16"/>
      <c r="IZD3" s="16"/>
      <c r="IZE3" s="16"/>
      <c r="IZF3" s="16"/>
      <c r="IZG3" s="16"/>
      <c r="IZH3" s="16"/>
      <c r="IZI3" s="16"/>
      <c r="IZJ3" s="16"/>
      <c r="IZK3" s="16"/>
      <c r="IZL3" s="16"/>
      <c r="IZM3" s="16"/>
      <c r="IZN3" s="16"/>
      <c r="IZO3" s="16"/>
      <c r="IZP3" s="16"/>
      <c r="IZQ3" s="16"/>
      <c r="IZR3" s="16"/>
      <c r="IZS3" s="16"/>
      <c r="IZT3" s="16"/>
      <c r="IZU3" s="16"/>
      <c r="IZV3" s="16"/>
      <c r="IZW3" s="16"/>
      <c r="IZX3" s="16"/>
      <c r="IZY3" s="16"/>
      <c r="IZZ3" s="16"/>
      <c r="JAA3" s="16"/>
      <c r="JAB3" s="16"/>
      <c r="JAC3" s="16"/>
      <c r="JAD3" s="16"/>
      <c r="JAE3" s="16"/>
      <c r="JAF3" s="16"/>
      <c r="JAG3" s="16"/>
      <c r="JAH3" s="16"/>
      <c r="JAI3" s="16"/>
      <c r="JAJ3" s="16"/>
      <c r="JAK3" s="16"/>
      <c r="JAL3" s="16"/>
      <c r="JAM3" s="16"/>
      <c r="JAN3" s="16"/>
      <c r="JAO3" s="16"/>
      <c r="JAP3" s="16"/>
      <c r="JAQ3" s="16"/>
      <c r="JAR3" s="16"/>
      <c r="JAS3" s="16"/>
      <c r="JAT3" s="16"/>
      <c r="JAU3" s="16"/>
      <c r="JAV3" s="16"/>
      <c r="JAW3" s="16"/>
      <c r="JAX3" s="16"/>
      <c r="JAY3" s="16"/>
      <c r="JAZ3" s="16"/>
      <c r="JBA3" s="16"/>
      <c r="JBB3" s="16"/>
      <c r="JBC3" s="16"/>
      <c r="JBD3" s="16"/>
      <c r="JBE3" s="16"/>
      <c r="JBF3" s="16"/>
      <c r="JBG3" s="16"/>
      <c r="JBH3" s="16"/>
      <c r="JBI3" s="16"/>
      <c r="JBJ3" s="16"/>
      <c r="JBK3" s="16"/>
      <c r="JBL3" s="16"/>
      <c r="JBM3" s="16"/>
      <c r="JBN3" s="16"/>
      <c r="JBO3" s="16"/>
      <c r="JBP3" s="16"/>
      <c r="JBQ3" s="16"/>
      <c r="JBR3" s="16"/>
      <c r="JBS3" s="16"/>
      <c r="JBT3" s="16"/>
      <c r="JBU3" s="16"/>
      <c r="JBV3" s="16"/>
      <c r="JBW3" s="16"/>
      <c r="JBX3" s="16"/>
      <c r="JBY3" s="16"/>
      <c r="JBZ3" s="16"/>
      <c r="JCA3" s="16"/>
      <c r="JCB3" s="16"/>
      <c r="JCC3" s="16"/>
      <c r="JCD3" s="16"/>
      <c r="JCE3" s="16"/>
      <c r="JCF3" s="16"/>
      <c r="JCG3" s="16"/>
      <c r="JCH3" s="16"/>
      <c r="JCI3" s="16"/>
      <c r="JCJ3" s="16"/>
      <c r="JCK3" s="16"/>
      <c r="JCL3" s="16"/>
      <c r="JCM3" s="16"/>
      <c r="JCN3" s="16"/>
      <c r="JCO3" s="16"/>
      <c r="JCP3" s="16"/>
      <c r="JCQ3" s="16"/>
      <c r="JCR3" s="16"/>
      <c r="JCS3" s="16"/>
      <c r="JCT3" s="16"/>
      <c r="JCU3" s="16"/>
      <c r="JCV3" s="16"/>
      <c r="JCW3" s="16"/>
      <c r="JCX3" s="16"/>
      <c r="JCY3" s="16"/>
      <c r="JCZ3" s="16"/>
      <c r="JDA3" s="16"/>
      <c r="JDB3" s="16"/>
      <c r="JDC3" s="16"/>
      <c r="JDD3" s="16"/>
      <c r="JDE3" s="16"/>
      <c r="JDF3" s="16"/>
      <c r="JDG3" s="16"/>
      <c r="JDH3" s="16"/>
      <c r="JDI3" s="16"/>
      <c r="JDJ3" s="16"/>
      <c r="JDK3" s="16"/>
      <c r="JDL3" s="16"/>
      <c r="JDM3" s="16"/>
      <c r="JDN3" s="16"/>
      <c r="JDO3" s="16"/>
      <c r="JDP3" s="16"/>
      <c r="JDQ3" s="16"/>
      <c r="JDR3" s="16"/>
      <c r="JDS3" s="16"/>
      <c r="JDT3" s="16"/>
      <c r="JDU3" s="16"/>
      <c r="JDV3" s="16"/>
      <c r="JDW3" s="16"/>
      <c r="JDX3" s="16"/>
      <c r="JDY3" s="16"/>
      <c r="JDZ3" s="16"/>
      <c r="JEA3" s="16"/>
      <c r="JEB3" s="16"/>
      <c r="JEC3" s="16"/>
      <c r="JED3" s="16"/>
      <c r="JEE3" s="16"/>
      <c r="JEF3" s="16"/>
      <c r="JEG3" s="16"/>
      <c r="JEH3" s="16"/>
      <c r="JEI3" s="16"/>
      <c r="JEJ3" s="16"/>
      <c r="JEK3" s="16"/>
      <c r="JEL3" s="16"/>
      <c r="JEM3" s="16"/>
      <c r="JEN3" s="16"/>
      <c r="JEO3" s="16"/>
      <c r="JEP3" s="16"/>
      <c r="JEQ3" s="16"/>
      <c r="JER3" s="16"/>
      <c r="JES3" s="16"/>
      <c r="JET3" s="16"/>
      <c r="JEU3" s="16"/>
      <c r="JEV3" s="16"/>
      <c r="JEW3" s="16"/>
      <c r="JEX3" s="16"/>
      <c r="JEY3" s="16"/>
      <c r="JEZ3" s="16"/>
      <c r="JFA3" s="16"/>
      <c r="JFB3" s="16"/>
      <c r="JFC3" s="16"/>
      <c r="JFD3" s="16"/>
      <c r="JFE3" s="16"/>
      <c r="JFF3" s="16"/>
      <c r="JFG3" s="16"/>
      <c r="JFH3" s="16"/>
      <c r="JFI3" s="16"/>
      <c r="JFJ3" s="16"/>
      <c r="JFK3" s="16"/>
      <c r="JFL3" s="16"/>
      <c r="JFM3" s="16"/>
      <c r="JFN3" s="16"/>
      <c r="JFO3" s="16"/>
      <c r="JFP3" s="16"/>
      <c r="JFQ3" s="16"/>
      <c r="JFR3" s="16"/>
      <c r="JFS3" s="16"/>
      <c r="JFT3" s="16"/>
      <c r="JFU3" s="16"/>
      <c r="JFV3" s="16"/>
      <c r="JFW3" s="16"/>
      <c r="JFX3" s="16"/>
      <c r="JFY3" s="16"/>
      <c r="JFZ3" s="16"/>
      <c r="JGA3" s="16"/>
      <c r="JGB3" s="16"/>
      <c r="JGC3" s="16"/>
      <c r="JGD3" s="16"/>
      <c r="JGE3" s="16"/>
      <c r="JGF3" s="16"/>
      <c r="JGG3" s="16"/>
      <c r="JGH3" s="16"/>
      <c r="JGI3" s="16"/>
      <c r="JGJ3" s="16"/>
      <c r="JGK3" s="16"/>
      <c r="JGL3" s="16"/>
      <c r="JGM3" s="16"/>
      <c r="JGN3" s="16"/>
      <c r="JGO3" s="16"/>
      <c r="JGP3" s="16"/>
      <c r="JGQ3" s="16"/>
      <c r="JGR3" s="16"/>
      <c r="JGS3" s="16"/>
      <c r="JGT3" s="16"/>
      <c r="JGU3" s="16"/>
      <c r="JGV3" s="16"/>
      <c r="JGW3" s="16"/>
      <c r="JGX3" s="16"/>
      <c r="JGY3" s="16"/>
      <c r="JGZ3" s="16"/>
      <c r="JHA3" s="16"/>
      <c r="JHB3" s="16"/>
      <c r="JHC3" s="16"/>
      <c r="JHD3" s="16"/>
      <c r="JHE3" s="16"/>
      <c r="JHF3" s="16"/>
      <c r="JHG3" s="16"/>
      <c r="JHH3" s="16"/>
      <c r="JHI3" s="16"/>
      <c r="JHJ3" s="16"/>
      <c r="JHK3" s="16"/>
      <c r="JHL3" s="16"/>
      <c r="JHM3" s="16"/>
      <c r="JHN3" s="16"/>
      <c r="JHO3" s="16"/>
      <c r="JHP3" s="16"/>
      <c r="JHQ3" s="16"/>
      <c r="JHR3" s="16"/>
      <c r="JHS3" s="16"/>
      <c r="JHT3" s="16"/>
      <c r="JHU3" s="16"/>
      <c r="JHV3" s="16"/>
      <c r="JHW3" s="16"/>
      <c r="JHX3" s="16"/>
      <c r="JHY3" s="16"/>
      <c r="JHZ3" s="16"/>
      <c r="JIA3" s="16"/>
      <c r="JIB3" s="16"/>
      <c r="JIC3" s="16"/>
      <c r="JID3" s="16"/>
      <c r="JIE3" s="16"/>
      <c r="JIF3" s="16"/>
      <c r="JIG3" s="16"/>
      <c r="JIH3" s="16"/>
      <c r="JII3" s="16"/>
      <c r="JIJ3" s="16"/>
      <c r="JIK3" s="16"/>
      <c r="JIL3" s="16"/>
      <c r="JIM3" s="16"/>
      <c r="JIN3" s="16"/>
      <c r="JIO3" s="16"/>
      <c r="JIP3" s="16"/>
      <c r="JIQ3" s="16"/>
      <c r="JIR3" s="16"/>
      <c r="JIS3" s="16"/>
      <c r="JIT3" s="16"/>
      <c r="JIU3" s="16"/>
      <c r="JIV3" s="16"/>
      <c r="JIW3" s="16"/>
      <c r="JIX3" s="16"/>
      <c r="JIY3" s="16"/>
      <c r="JIZ3" s="16"/>
      <c r="JJA3" s="16"/>
      <c r="JJB3" s="16"/>
      <c r="JJC3" s="16"/>
      <c r="JJD3" s="16"/>
      <c r="JJE3" s="16"/>
      <c r="JJF3" s="16"/>
      <c r="JJG3" s="16"/>
      <c r="JJH3" s="16"/>
      <c r="JJI3" s="16"/>
      <c r="JJJ3" s="16"/>
      <c r="JJK3" s="16"/>
      <c r="JJL3" s="16"/>
      <c r="JJM3" s="16"/>
      <c r="JJN3" s="16"/>
      <c r="JJO3" s="16"/>
      <c r="JJP3" s="16"/>
      <c r="JJQ3" s="16"/>
      <c r="JJR3" s="16"/>
      <c r="JJS3" s="16"/>
      <c r="JJT3" s="16"/>
      <c r="JJU3" s="16"/>
      <c r="JJV3" s="16"/>
      <c r="JJW3" s="16"/>
      <c r="JJX3" s="16"/>
      <c r="JJY3" s="16"/>
      <c r="JJZ3" s="16"/>
      <c r="JKA3" s="16"/>
      <c r="JKB3" s="16"/>
      <c r="JKC3" s="16"/>
      <c r="JKD3" s="16"/>
      <c r="JKE3" s="16"/>
      <c r="JKF3" s="16"/>
      <c r="JKG3" s="16"/>
      <c r="JKH3" s="16"/>
      <c r="JKI3" s="16"/>
      <c r="JKJ3" s="16"/>
      <c r="JKK3" s="16"/>
      <c r="JKL3" s="16"/>
      <c r="JKM3" s="16"/>
      <c r="JKN3" s="16"/>
      <c r="JKO3" s="16"/>
      <c r="JKP3" s="16"/>
      <c r="JKQ3" s="16"/>
      <c r="JKR3" s="16"/>
      <c r="JKS3" s="16"/>
      <c r="JKT3" s="16"/>
      <c r="JKU3" s="16"/>
      <c r="JKV3" s="16"/>
      <c r="JKW3" s="16"/>
      <c r="JKX3" s="16"/>
      <c r="JKY3" s="16"/>
      <c r="JKZ3" s="16"/>
      <c r="JLA3" s="16"/>
      <c r="JLB3" s="16"/>
      <c r="JLC3" s="16"/>
      <c r="JLD3" s="16"/>
      <c r="JLE3" s="16"/>
      <c r="JLF3" s="16"/>
      <c r="JLG3" s="16"/>
      <c r="JLH3" s="16"/>
      <c r="JLI3" s="16"/>
      <c r="JLJ3" s="16"/>
      <c r="JLK3" s="16"/>
      <c r="JLL3" s="16"/>
      <c r="JLM3" s="16"/>
      <c r="JLN3" s="16"/>
      <c r="JLO3" s="16"/>
      <c r="JLP3" s="16"/>
      <c r="JLQ3" s="16"/>
      <c r="JLR3" s="16"/>
      <c r="JLS3" s="16"/>
      <c r="JLT3" s="16"/>
      <c r="JLU3" s="16"/>
      <c r="JLV3" s="16"/>
      <c r="JLW3" s="16"/>
      <c r="JLX3" s="16"/>
      <c r="JLY3" s="16"/>
      <c r="JLZ3" s="16"/>
      <c r="JMA3" s="16"/>
      <c r="JMB3" s="16"/>
      <c r="JMC3" s="16"/>
      <c r="JMD3" s="16"/>
      <c r="JME3" s="16"/>
      <c r="JMF3" s="16"/>
      <c r="JMG3" s="16"/>
      <c r="JMH3" s="16"/>
      <c r="JMI3" s="16"/>
      <c r="JMJ3" s="16"/>
      <c r="JMK3" s="16"/>
      <c r="JML3" s="16"/>
      <c r="JMM3" s="16"/>
      <c r="JMN3" s="16"/>
      <c r="JMO3" s="16"/>
      <c r="JMP3" s="16"/>
      <c r="JMQ3" s="16"/>
      <c r="JMR3" s="16"/>
      <c r="JMS3" s="16"/>
      <c r="JMT3" s="16"/>
      <c r="JMU3" s="16"/>
      <c r="JMV3" s="16"/>
      <c r="JMW3" s="16"/>
      <c r="JMX3" s="16"/>
      <c r="JMY3" s="16"/>
      <c r="JMZ3" s="16"/>
      <c r="JNA3" s="16"/>
      <c r="JNB3" s="16"/>
      <c r="JNC3" s="16"/>
      <c r="JND3" s="16"/>
      <c r="JNE3" s="16"/>
      <c r="JNF3" s="16"/>
      <c r="JNG3" s="16"/>
      <c r="JNH3" s="16"/>
      <c r="JNI3" s="16"/>
      <c r="JNJ3" s="16"/>
      <c r="JNK3" s="16"/>
      <c r="JNL3" s="16"/>
      <c r="JNM3" s="16"/>
      <c r="JNN3" s="16"/>
      <c r="JNO3" s="16"/>
      <c r="JNP3" s="16"/>
      <c r="JNQ3" s="16"/>
      <c r="JNR3" s="16"/>
      <c r="JNS3" s="16"/>
      <c r="JNT3" s="16"/>
      <c r="JNU3" s="16"/>
      <c r="JNV3" s="16"/>
      <c r="JNW3" s="16"/>
      <c r="JNX3" s="16"/>
      <c r="JNY3" s="16"/>
      <c r="JNZ3" s="16"/>
      <c r="JOA3" s="16"/>
      <c r="JOB3" s="16"/>
      <c r="JOC3" s="16"/>
      <c r="JOD3" s="16"/>
      <c r="JOE3" s="16"/>
      <c r="JOF3" s="16"/>
      <c r="JOG3" s="16"/>
      <c r="JOH3" s="16"/>
      <c r="JOI3" s="16"/>
      <c r="JOJ3" s="16"/>
      <c r="JOK3" s="16"/>
      <c r="JOL3" s="16"/>
      <c r="JOM3" s="16"/>
      <c r="JON3" s="16"/>
      <c r="JOO3" s="16"/>
      <c r="JOP3" s="16"/>
      <c r="JOQ3" s="16"/>
      <c r="JOR3" s="16"/>
      <c r="JOS3" s="16"/>
      <c r="JOT3" s="16"/>
      <c r="JOU3" s="16"/>
      <c r="JOV3" s="16"/>
      <c r="JOW3" s="16"/>
      <c r="JOX3" s="16"/>
      <c r="JOY3" s="16"/>
      <c r="JOZ3" s="16"/>
      <c r="JPA3" s="16"/>
      <c r="JPB3" s="16"/>
      <c r="JPC3" s="16"/>
      <c r="JPD3" s="16"/>
      <c r="JPE3" s="16"/>
      <c r="JPF3" s="16"/>
      <c r="JPG3" s="16"/>
      <c r="JPH3" s="16"/>
      <c r="JPI3" s="16"/>
      <c r="JPJ3" s="16"/>
      <c r="JPK3" s="16"/>
      <c r="JPL3" s="16"/>
      <c r="JPM3" s="16"/>
      <c r="JPN3" s="16"/>
      <c r="JPO3" s="16"/>
      <c r="JPP3" s="16"/>
      <c r="JPQ3" s="16"/>
      <c r="JPR3" s="16"/>
      <c r="JPS3" s="16"/>
      <c r="JPT3" s="16"/>
      <c r="JPU3" s="16"/>
      <c r="JPV3" s="16"/>
      <c r="JPW3" s="16"/>
      <c r="JPX3" s="16"/>
      <c r="JPY3" s="16"/>
      <c r="JPZ3" s="16"/>
      <c r="JQA3" s="16"/>
      <c r="JQB3" s="16"/>
      <c r="JQC3" s="16"/>
      <c r="JQD3" s="16"/>
      <c r="JQE3" s="16"/>
      <c r="JQF3" s="16"/>
      <c r="JQG3" s="16"/>
      <c r="JQH3" s="16"/>
      <c r="JQI3" s="16"/>
      <c r="JQJ3" s="16"/>
      <c r="JQK3" s="16"/>
      <c r="JQL3" s="16"/>
      <c r="JQM3" s="16"/>
      <c r="JQN3" s="16"/>
      <c r="JQO3" s="16"/>
      <c r="JQP3" s="16"/>
      <c r="JQQ3" s="16"/>
      <c r="JQR3" s="16"/>
      <c r="JQS3" s="16"/>
      <c r="JQT3" s="16"/>
      <c r="JQU3" s="16"/>
      <c r="JQV3" s="16"/>
      <c r="JQW3" s="16"/>
      <c r="JQX3" s="16"/>
      <c r="JQY3" s="16"/>
      <c r="JQZ3" s="16"/>
      <c r="JRA3" s="16"/>
      <c r="JRB3" s="16"/>
      <c r="JRC3" s="16"/>
      <c r="JRD3" s="16"/>
      <c r="JRE3" s="16"/>
      <c r="JRF3" s="16"/>
      <c r="JRG3" s="16"/>
      <c r="JRH3" s="16"/>
      <c r="JRI3" s="16"/>
      <c r="JRJ3" s="16"/>
      <c r="JRK3" s="16"/>
      <c r="JRL3" s="16"/>
      <c r="JRM3" s="16"/>
      <c r="JRN3" s="16"/>
      <c r="JRO3" s="16"/>
      <c r="JRP3" s="16"/>
      <c r="JRQ3" s="16"/>
      <c r="JRR3" s="16"/>
      <c r="JRS3" s="16"/>
      <c r="JRT3" s="16"/>
      <c r="JRU3" s="16"/>
      <c r="JRV3" s="16"/>
      <c r="JRW3" s="16"/>
      <c r="JRX3" s="16"/>
      <c r="JRY3" s="16"/>
      <c r="JRZ3" s="16"/>
      <c r="JSA3" s="16"/>
      <c r="JSB3" s="16"/>
      <c r="JSC3" s="16"/>
      <c r="JSD3" s="16"/>
      <c r="JSE3" s="16"/>
      <c r="JSF3" s="16"/>
      <c r="JSG3" s="16"/>
      <c r="JSH3" s="16"/>
      <c r="JSI3" s="16"/>
      <c r="JSJ3" s="16"/>
      <c r="JSK3" s="16"/>
      <c r="JSL3" s="16"/>
      <c r="JSM3" s="16"/>
      <c r="JSN3" s="16"/>
      <c r="JSO3" s="16"/>
      <c r="JSP3" s="16"/>
      <c r="JSQ3" s="16"/>
      <c r="JSR3" s="16"/>
      <c r="JSS3" s="16"/>
      <c r="JST3" s="16"/>
      <c r="JSU3" s="16"/>
      <c r="JSV3" s="16"/>
      <c r="JSW3" s="16"/>
      <c r="JSX3" s="16"/>
      <c r="JSY3" s="16"/>
      <c r="JSZ3" s="16"/>
      <c r="JTA3" s="16"/>
      <c r="JTB3" s="16"/>
      <c r="JTC3" s="16"/>
      <c r="JTD3" s="16"/>
      <c r="JTE3" s="16"/>
      <c r="JTF3" s="16"/>
      <c r="JTG3" s="16"/>
      <c r="JTH3" s="16"/>
      <c r="JTI3" s="16"/>
      <c r="JTJ3" s="16"/>
      <c r="JTK3" s="16"/>
      <c r="JTL3" s="16"/>
      <c r="JTM3" s="16"/>
      <c r="JTN3" s="16"/>
      <c r="JTO3" s="16"/>
      <c r="JTP3" s="16"/>
      <c r="JTQ3" s="16"/>
      <c r="JTR3" s="16"/>
      <c r="JTS3" s="16"/>
      <c r="JTT3" s="16"/>
      <c r="JTU3" s="16"/>
      <c r="JTV3" s="16"/>
      <c r="JTW3" s="16"/>
      <c r="JTX3" s="16"/>
      <c r="JTY3" s="16"/>
      <c r="JTZ3" s="16"/>
      <c r="JUA3" s="16"/>
      <c r="JUB3" s="16"/>
      <c r="JUC3" s="16"/>
      <c r="JUD3" s="16"/>
      <c r="JUE3" s="16"/>
      <c r="JUF3" s="16"/>
      <c r="JUG3" s="16"/>
      <c r="JUH3" s="16"/>
      <c r="JUI3" s="16"/>
      <c r="JUJ3" s="16"/>
      <c r="JUK3" s="16"/>
      <c r="JUL3" s="16"/>
      <c r="JUM3" s="16"/>
      <c r="JUN3" s="16"/>
      <c r="JUO3" s="16"/>
      <c r="JUP3" s="16"/>
      <c r="JUQ3" s="16"/>
      <c r="JUR3" s="16"/>
      <c r="JUS3" s="16"/>
      <c r="JUT3" s="16"/>
      <c r="JUU3" s="16"/>
      <c r="JUV3" s="16"/>
      <c r="JUW3" s="16"/>
      <c r="JUX3" s="16"/>
      <c r="JUY3" s="16"/>
      <c r="JUZ3" s="16"/>
      <c r="JVA3" s="16"/>
      <c r="JVB3" s="16"/>
      <c r="JVC3" s="16"/>
      <c r="JVD3" s="16"/>
      <c r="JVE3" s="16"/>
      <c r="JVF3" s="16"/>
      <c r="JVG3" s="16"/>
      <c r="JVH3" s="16"/>
      <c r="JVI3" s="16"/>
      <c r="JVJ3" s="16"/>
      <c r="JVK3" s="16"/>
      <c r="JVL3" s="16"/>
      <c r="JVM3" s="16"/>
      <c r="JVN3" s="16"/>
      <c r="JVO3" s="16"/>
      <c r="JVP3" s="16"/>
      <c r="JVQ3" s="16"/>
      <c r="JVR3" s="16"/>
      <c r="JVS3" s="16"/>
      <c r="JVT3" s="16"/>
      <c r="JVU3" s="16"/>
      <c r="JVV3" s="16"/>
      <c r="JVW3" s="16"/>
      <c r="JVX3" s="16"/>
      <c r="JVY3" s="16"/>
      <c r="JVZ3" s="16"/>
      <c r="JWA3" s="16"/>
      <c r="JWB3" s="16"/>
      <c r="JWC3" s="16"/>
      <c r="JWD3" s="16"/>
      <c r="JWE3" s="16"/>
      <c r="JWF3" s="16"/>
      <c r="JWG3" s="16"/>
      <c r="JWH3" s="16"/>
      <c r="JWI3" s="16"/>
      <c r="JWJ3" s="16"/>
      <c r="JWK3" s="16"/>
      <c r="JWL3" s="16"/>
      <c r="JWM3" s="16"/>
      <c r="JWN3" s="16"/>
      <c r="JWO3" s="16"/>
      <c r="JWP3" s="16"/>
      <c r="JWQ3" s="16"/>
      <c r="JWR3" s="16"/>
      <c r="JWS3" s="16"/>
      <c r="JWT3" s="16"/>
      <c r="JWU3" s="16"/>
      <c r="JWV3" s="16"/>
      <c r="JWW3" s="16"/>
      <c r="JWX3" s="16"/>
      <c r="JWY3" s="16"/>
      <c r="JWZ3" s="16"/>
      <c r="JXA3" s="16"/>
      <c r="JXB3" s="16"/>
      <c r="JXC3" s="16"/>
      <c r="JXD3" s="16"/>
      <c r="JXE3" s="16"/>
      <c r="JXF3" s="16"/>
      <c r="JXG3" s="16"/>
      <c r="JXH3" s="16"/>
      <c r="JXI3" s="16"/>
      <c r="JXJ3" s="16"/>
      <c r="JXK3" s="16"/>
      <c r="JXL3" s="16"/>
      <c r="JXM3" s="16"/>
      <c r="JXN3" s="16"/>
      <c r="JXO3" s="16"/>
      <c r="JXP3" s="16"/>
      <c r="JXQ3" s="16"/>
      <c r="JXR3" s="16"/>
      <c r="JXS3" s="16"/>
      <c r="JXT3" s="16"/>
      <c r="JXU3" s="16"/>
      <c r="JXV3" s="16"/>
      <c r="JXW3" s="16"/>
      <c r="JXX3" s="16"/>
      <c r="JXY3" s="16"/>
      <c r="JXZ3" s="16"/>
      <c r="JYA3" s="16"/>
      <c r="JYB3" s="16"/>
      <c r="JYC3" s="16"/>
      <c r="JYD3" s="16"/>
      <c r="JYE3" s="16"/>
      <c r="JYF3" s="16"/>
      <c r="JYG3" s="16"/>
      <c r="JYH3" s="16"/>
      <c r="JYI3" s="16"/>
      <c r="JYJ3" s="16"/>
      <c r="JYK3" s="16"/>
      <c r="JYL3" s="16"/>
      <c r="JYM3" s="16"/>
      <c r="JYN3" s="16"/>
      <c r="JYO3" s="16"/>
      <c r="JYP3" s="16"/>
      <c r="JYQ3" s="16"/>
      <c r="JYR3" s="16"/>
      <c r="JYS3" s="16"/>
      <c r="JYT3" s="16"/>
      <c r="JYU3" s="16"/>
      <c r="JYV3" s="16"/>
      <c r="JYW3" s="16"/>
      <c r="JYX3" s="16"/>
      <c r="JYY3" s="16"/>
      <c r="JYZ3" s="16"/>
      <c r="JZA3" s="16"/>
      <c r="JZB3" s="16"/>
      <c r="JZC3" s="16"/>
      <c r="JZD3" s="16"/>
      <c r="JZE3" s="16"/>
      <c r="JZF3" s="16"/>
      <c r="JZG3" s="16"/>
      <c r="JZH3" s="16"/>
      <c r="JZI3" s="16"/>
      <c r="JZJ3" s="16"/>
      <c r="JZK3" s="16"/>
      <c r="JZL3" s="16"/>
      <c r="JZM3" s="16"/>
      <c r="JZN3" s="16"/>
      <c r="JZO3" s="16"/>
      <c r="JZP3" s="16"/>
      <c r="JZQ3" s="16"/>
      <c r="JZR3" s="16"/>
      <c r="JZS3" s="16"/>
      <c r="JZT3" s="16"/>
      <c r="JZU3" s="16"/>
      <c r="JZV3" s="16"/>
      <c r="JZW3" s="16"/>
      <c r="JZX3" s="16"/>
      <c r="JZY3" s="16"/>
      <c r="JZZ3" s="16"/>
      <c r="KAA3" s="16"/>
      <c r="KAB3" s="16"/>
      <c r="KAC3" s="16"/>
      <c r="KAD3" s="16"/>
      <c r="KAE3" s="16"/>
      <c r="KAF3" s="16"/>
      <c r="KAG3" s="16"/>
      <c r="KAH3" s="16"/>
      <c r="KAI3" s="16"/>
      <c r="KAJ3" s="16"/>
      <c r="KAK3" s="16"/>
      <c r="KAL3" s="16"/>
      <c r="KAM3" s="16"/>
      <c r="KAN3" s="16"/>
      <c r="KAO3" s="16"/>
      <c r="KAP3" s="16"/>
      <c r="KAQ3" s="16"/>
      <c r="KAR3" s="16"/>
      <c r="KAS3" s="16"/>
      <c r="KAT3" s="16"/>
      <c r="KAU3" s="16"/>
      <c r="KAV3" s="16"/>
      <c r="KAW3" s="16"/>
      <c r="KAX3" s="16"/>
      <c r="KAY3" s="16"/>
      <c r="KAZ3" s="16"/>
      <c r="KBA3" s="16"/>
      <c r="KBB3" s="16"/>
      <c r="KBC3" s="16"/>
      <c r="KBD3" s="16"/>
      <c r="KBE3" s="16"/>
      <c r="KBF3" s="16"/>
      <c r="KBG3" s="16"/>
      <c r="KBH3" s="16"/>
      <c r="KBI3" s="16"/>
      <c r="KBJ3" s="16"/>
      <c r="KBK3" s="16"/>
      <c r="KBL3" s="16"/>
      <c r="KBM3" s="16"/>
      <c r="KBN3" s="16"/>
      <c r="KBO3" s="16"/>
      <c r="KBP3" s="16"/>
      <c r="KBQ3" s="16"/>
      <c r="KBR3" s="16"/>
      <c r="KBS3" s="16"/>
      <c r="KBT3" s="16"/>
      <c r="KBU3" s="16"/>
      <c r="KBV3" s="16"/>
      <c r="KBW3" s="16"/>
      <c r="KBX3" s="16"/>
      <c r="KBY3" s="16"/>
      <c r="KBZ3" s="16"/>
      <c r="KCA3" s="16"/>
      <c r="KCB3" s="16"/>
      <c r="KCC3" s="16"/>
      <c r="KCD3" s="16"/>
      <c r="KCE3" s="16"/>
      <c r="KCF3" s="16"/>
      <c r="KCG3" s="16"/>
      <c r="KCH3" s="16"/>
      <c r="KCI3" s="16"/>
      <c r="KCJ3" s="16"/>
      <c r="KCK3" s="16"/>
      <c r="KCL3" s="16"/>
      <c r="KCM3" s="16"/>
      <c r="KCN3" s="16"/>
      <c r="KCO3" s="16"/>
      <c r="KCP3" s="16"/>
      <c r="KCQ3" s="16"/>
      <c r="KCR3" s="16"/>
      <c r="KCS3" s="16"/>
      <c r="KCT3" s="16"/>
      <c r="KCU3" s="16"/>
      <c r="KCV3" s="16"/>
      <c r="KCW3" s="16"/>
      <c r="KCX3" s="16"/>
      <c r="KCY3" s="16"/>
      <c r="KCZ3" s="16"/>
      <c r="KDA3" s="16"/>
      <c r="KDB3" s="16"/>
      <c r="KDC3" s="16"/>
      <c r="KDD3" s="16"/>
      <c r="KDE3" s="16"/>
      <c r="KDF3" s="16"/>
      <c r="KDG3" s="16"/>
      <c r="KDH3" s="16"/>
      <c r="KDI3" s="16"/>
      <c r="KDJ3" s="16"/>
      <c r="KDK3" s="16"/>
      <c r="KDL3" s="16"/>
      <c r="KDM3" s="16"/>
      <c r="KDN3" s="16"/>
      <c r="KDO3" s="16"/>
      <c r="KDP3" s="16"/>
      <c r="KDQ3" s="16"/>
      <c r="KDR3" s="16"/>
      <c r="KDS3" s="16"/>
      <c r="KDT3" s="16"/>
      <c r="KDU3" s="16"/>
      <c r="KDV3" s="16"/>
      <c r="KDW3" s="16"/>
      <c r="KDX3" s="16"/>
      <c r="KDY3" s="16"/>
      <c r="KDZ3" s="16"/>
      <c r="KEA3" s="16"/>
      <c r="KEB3" s="16"/>
      <c r="KEC3" s="16"/>
      <c r="KED3" s="16"/>
      <c r="KEE3" s="16"/>
      <c r="KEF3" s="16"/>
      <c r="KEG3" s="16"/>
      <c r="KEH3" s="16"/>
      <c r="KEI3" s="16"/>
      <c r="KEJ3" s="16"/>
      <c r="KEK3" s="16"/>
      <c r="KEL3" s="16"/>
      <c r="KEM3" s="16"/>
      <c r="KEN3" s="16"/>
      <c r="KEO3" s="16"/>
      <c r="KEP3" s="16"/>
      <c r="KEQ3" s="16"/>
      <c r="KER3" s="16"/>
      <c r="KES3" s="16"/>
      <c r="KET3" s="16"/>
      <c r="KEU3" s="16"/>
      <c r="KEV3" s="16"/>
      <c r="KEW3" s="16"/>
      <c r="KEX3" s="16"/>
      <c r="KEY3" s="16"/>
      <c r="KEZ3" s="16"/>
      <c r="KFA3" s="16"/>
      <c r="KFB3" s="16"/>
      <c r="KFC3" s="16"/>
      <c r="KFD3" s="16"/>
      <c r="KFE3" s="16"/>
      <c r="KFF3" s="16"/>
      <c r="KFG3" s="16"/>
      <c r="KFH3" s="16"/>
      <c r="KFI3" s="16"/>
      <c r="KFJ3" s="16"/>
      <c r="KFK3" s="16"/>
      <c r="KFL3" s="16"/>
      <c r="KFM3" s="16"/>
      <c r="KFN3" s="16"/>
      <c r="KFO3" s="16"/>
      <c r="KFP3" s="16"/>
      <c r="KFQ3" s="16"/>
      <c r="KFR3" s="16"/>
      <c r="KFS3" s="16"/>
      <c r="KFT3" s="16"/>
      <c r="KFU3" s="16"/>
      <c r="KFV3" s="16"/>
      <c r="KFW3" s="16"/>
      <c r="KFX3" s="16"/>
      <c r="KFY3" s="16"/>
      <c r="KFZ3" s="16"/>
      <c r="KGA3" s="16"/>
      <c r="KGB3" s="16"/>
      <c r="KGC3" s="16"/>
      <c r="KGD3" s="16"/>
      <c r="KGE3" s="16"/>
      <c r="KGF3" s="16"/>
      <c r="KGG3" s="16"/>
      <c r="KGH3" s="16"/>
      <c r="KGI3" s="16"/>
      <c r="KGJ3" s="16"/>
      <c r="KGK3" s="16"/>
      <c r="KGL3" s="16"/>
      <c r="KGM3" s="16"/>
      <c r="KGN3" s="16"/>
      <c r="KGO3" s="16"/>
      <c r="KGP3" s="16"/>
      <c r="KGQ3" s="16"/>
      <c r="KGR3" s="16"/>
      <c r="KGS3" s="16"/>
      <c r="KGT3" s="16"/>
      <c r="KGU3" s="16"/>
      <c r="KGV3" s="16"/>
      <c r="KGW3" s="16"/>
      <c r="KGX3" s="16"/>
      <c r="KGY3" s="16"/>
      <c r="KGZ3" s="16"/>
      <c r="KHA3" s="16"/>
      <c r="KHB3" s="16"/>
      <c r="KHC3" s="16"/>
      <c r="KHD3" s="16"/>
      <c r="KHE3" s="16"/>
      <c r="KHF3" s="16"/>
      <c r="KHG3" s="16"/>
      <c r="KHH3" s="16"/>
      <c r="KHI3" s="16"/>
      <c r="KHJ3" s="16"/>
      <c r="KHK3" s="16"/>
      <c r="KHL3" s="16"/>
      <c r="KHM3" s="16"/>
      <c r="KHN3" s="16"/>
      <c r="KHO3" s="16"/>
      <c r="KHP3" s="16"/>
      <c r="KHQ3" s="16"/>
      <c r="KHR3" s="16"/>
      <c r="KHS3" s="16"/>
      <c r="KHT3" s="16"/>
      <c r="KHU3" s="16"/>
      <c r="KHV3" s="16"/>
      <c r="KHW3" s="16"/>
      <c r="KHX3" s="16"/>
      <c r="KHY3" s="16"/>
      <c r="KHZ3" s="16"/>
      <c r="KIA3" s="16"/>
      <c r="KIB3" s="16"/>
      <c r="KIC3" s="16"/>
      <c r="KID3" s="16"/>
      <c r="KIE3" s="16"/>
      <c r="KIF3" s="16"/>
      <c r="KIG3" s="16"/>
      <c r="KIH3" s="16"/>
      <c r="KII3" s="16"/>
      <c r="KIJ3" s="16"/>
      <c r="KIK3" s="16"/>
      <c r="KIL3" s="16"/>
      <c r="KIM3" s="16"/>
      <c r="KIN3" s="16"/>
      <c r="KIO3" s="16"/>
      <c r="KIP3" s="16"/>
      <c r="KIQ3" s="16"/>
      <c r="KIR3" s="16"/>
      <c r="KIS3" s="16"/>
      <c r="KIT3" s="16"/>
      <c r="KIU3" s="16"/>
      <c r="KIV3" s="16"/>
      <c r="KIW3" s="16"/>
      <c r="KIX3" s="16"/>
      <c r="KIY3" s="16"/>
      <c r="KIZ3" s="16"/>
      <c r="KJA3" s="16"/>
      <c r="KJB3" s="16"/>
      <c r="KJC3" s="16"/>
      <c r="KJD3" s="16"/>
      <c r="KJE3" s="16"/>
      <c r="KJF3" s="16"/>
      <c r="KJG3" s="16"/>
      <c r="KJH3" s="16"/>
      <c r="KJI3" s="16"/>
      <c r="KJJ3" s="16"/>
      <c r="KJK3" s="16"/>
      <c r="KJL3" s="16"/>
      <c r="KJM3" s="16"/>
      <c r="KJN3" s="16"/>
      <c r="KJO3" s="16"/>
      <c r="KJP3" s="16"/>
      <c r="KJQ3" s="16"/>
      <c r="KJR3" s="16"/>
      <c r="KJS3" s="16"/>
      <c r="KJT3" s="16"/>
      <c r="KJU3" s="16"/>
      <c r="KJV3" s="16"/>
      <c r="KJW3" s="16"/>
      <c r="KJX3" s="16"/>
      <c r="KJY3" s="16"/>
      <c r="KJZ3" s="16"/>
      <c r="KKA3" s="16"/>
      <c r="KKB3" s="16"/>
      <c r="KKC3" s="16"/>
      <c r="KKD3" s="16"/>
      <c r="KKE3" s="16"/>
      <c r="KKF3" s="16"/>
      <c r="KKG3" s="16"/>
      <c r="KKH3" s="16"/>
      <c r="KKI3" s="16"/>
      <c r="KKJ3" s="16"/>
      <c r="KKK3" s="16"/>
      <c r="KKL3" s="16"/>
      <c r="KKM3" s="16"/>
      <c r="KKN3" s="16"/>
      <c r="KKO3" s="16"/>
      <c r="KKP3" s="16"/>
      <c r="KKQ3" s="16"/>
      <c r="KKR3" s="16"/>
      <c r="KKS3" s="16"/>
      <c r="KKT3" s="16"/>
      <c r="KKU3" s="16"/>
      <c r="KKV3" s="16"/>
      <c r="KKW3" s="16"/>
      <c r="KKX3" s="16"/>
      <c r="KKY3" s="16"/>
      <c r="KKZ3" s="16"/>
      <c r="KLA3" s="16"/>
      <c r="KLB3" s="16"/>
      <c r="KLC3" s="16"/>
      <c r="KLD3" s="16"/>
      <c r="KLE3" s="16"/>
      <c r="KLF3" s="16"/>
      <c r="KLG3" s="16"/>
      <c r="KLH3" s="16"/>
      <c r="KLI3" s="16"/>
      <c r="KLJ3" s="16"/>
      <c r="KLK3" s="16"/>
      <c r="KLL3" s="16"/>
      <c r="KLM3" s="16"/>
      <c r="KLN3" s="16"/>
      <c r="KLO3" s="16"/>
      <c r="KLP3" s="16"/>
      <c r="KLQ3" s="16"/>
      <c r="KLR3" s="16"/>
      <c r="KLS3" s="16"/>
      <c r="KLT3" s="16"/>
      <c r="KLU3" s="16"/>
      <c r="KLV3" s="16"/>
      <c r="KLW3" s="16"/>
      <c r="KLX3" s="16"/>
      <c r="KLY3" s="16"/>
      <c r="KLZ3" s="16"/>
      <c r="KMA3" s="16"/>
      <c r="KMB3" s="16"/>
      <c r="KMC3" s="16"/>
      <c r="KMD3" s="16"/>
      <c r="KME3" s="16"/>
      <c r="KMF3" s="16"/>
      <c r="KMG3" s="16"/>
      <c r="KMH3" s="16"/>
      <c r="KMI3" s="16"/>
      <c r="KMJ3" s="16"/>
      <c r="KMK3" s="16"/>
      <c r="KML3" s="16"/>
      <c r="KMM3" s="16"/>
      <c r="KMN3" s="16"/>
      <c r="KMO3" s="16"/>
      <c r="KMP3" s="16"/>
      <c r="KMQ3" s="16"/>
      <c r="KMR3" s="16"/>
      <c r="KMS3" s="16"/>
      <c r="KMT3" s="16"/>
      <c r="KMU3" s="16"/>
      <c r="KMV3" s="16"/>
      <c r="KMW3" s="16"/>
      <c r="KMX3" s="16"/>
      <c r="KMY3" s="16"/>
      <c r="KMZ3" s="16"/>
      <c r="KNA3" s="16"/>
      <c r="KNB3" s="16"/>
      <c r="KNC3" s="16"/>
      <c r="KND3" s="16"/>
      <c r="KNE3" s="16"/>
      <c r="KNF3" s="16"/>
      <c r="KNG3" s="16"/>
      <c r="KNH3" s="16"/>
      <c r="KNI3" s="16"/>
      <c r="KNJ3" s="16"/>
      <c r="KNK3" s="16"/>
      <c r="KNL3" s="16"/>
      <c r="KNM3" s="16"/>
      <c r="KNN3" s="16"/>
      <c r="KNO3" s="16"/>
      <c r="KNP3" s="16"/>
      <c r="KNQ3" s="16"/>
      <c r="KNR3" s="16"/>
      <c r="KNS3" s="16"/>
      <c r="KNT3" s="16"/>
      <c r="KNU3" s="16"/>
      <c r="KNV3" s="16"/>
      <c r="KNW3" s="16"/>
      <c r="KNX3" s="16"/>
      <c r="KNY3" s="16"/>
      <c r="KNZ3" s="16"/>
      <c r="KOA3" s="16"/>
      <c r="KOB3" s="16"/>
      <c r="KOC3" s="16"/>
      <c r="KOD3" s="16"/>
      <c r="KOE3" s="16"/>
      <c r="KOF3" s="16"/>
      <c r="KOG3" s="16"/>
      <c r="KOH3" s="16"/>
      <c r="KOI3" s="16"/>
      <c r="KOJ3" s="16"/>
      <c r="KOK3" s="16"/>
      <c r="KOL3" s="16"/>
      <c r="KOM3" s="16"/>
      <c r="KON3" s="16"/>
      <c r="KOO3" s="16"/>
      <c r="KOP3" s="16"/>
      <c r="KOQ3" s="16"/>
      <c r="KOR3" s="16"/>
      <c r="KOS3" s="16"/>
      <c r="KOT3" s="16"/>
      <c r="KOU3" s="16"/>
      <c r="KOV3" s="16"/>
      <c r="KOW3" s="16"/>
      <c r="KOX3" s="16"/>
      <c r="KOY3" s="16"/>
      <c r="KOZ3" s="16"/>
      <c r="KPA3" s="16"/>
      <c r="KPB3" s="16"/>
      <c r="KPC3" s="16"/>
      <c r="KPD3" s="16"/>
      <c r="KPE3" s="16"/>
      <c r="KPF3" s="16"/>
      <c r="KPG3" s="16"/>
      <c r="KPH3" s="16"/>
      <c r="KPI3" s="16"/>
      <c r="KPJ3" s="16"/>
      <c r="KPK3" s="16"/>
      <c r="KPL3" s="16"/>
      <c r="KPM3" s="16"/>
      <c r="KPN3" s="16"/>
      <c r="KPO3" s="16"/>
      <c r="KPP3" s="16"/>
      <c r="KPQ3" s="16"/>
      <c r="KPR3" s="16"/>
      <c r="KPS3" s="16"/>
      <c r="KPT3" s="16"/>
      <c r="KPU3" s="16"/>
      <c r="KPV3" s="16"/>
      <c r="KPW3" s="16"/>
      <c r="KPX3" s="16"/>
      <c r="KPY3" s="16"/>
      <c r="KPZ3" s="16"/>
      <c r="KQA3" s="16"/>
      <c r="KQB3" s="16"/>
      <c r="KQC3" s="16"/>
      <c r="KQD3" s="16"/>
      <c r="KQE3" s="16"/>
      <c r="KQF3" s="16"/>
      <c r="KQG3" s="16"/>
      <c r="KQH3" s="16"/>
      <c r="KQI3" s="16"/>
      <c r="KQJ3" s="16"/>
      <c r="KQK3" s="16"/>
      <c r="KQL3" s="16"/>
      <c r="KQM3" s="16"/>
      <c r="KQN3" s="16"/>
      <c r="KQO3" s="16"/>
      <c r="KQP3" s="16"/>
      <c r="KQQ3" s="16"/>
      <c r="KQR3" s="16"/>
      <c r="KQS3" s="16"/>
      <c r="KQT3" s="16"/>
      <c r="KQU3" s="16"/>
      <c r="KQV3" s="16"/>
      <c r="KQW3" s="16"/>
      <c r="KQX3" s="16"/>
      <c r="KQY3" s="16"/>
      <c r="KQZ3" s="16"/>
      <c r="KRA3" s="16"/>
      <c r="KRB3" s="16"/>
      <c r="KRC3" s="16"/>
      <c r="KRD3" s="16"/>
      <c r="KRE3" s="16"/>
      <c r="KRF3" s="16"/>
      <c r="KRG3" s="16"/>
      <c r="KRH3" s="16"/>
      <c r="KRI3" s="16"/>
      <c r="KRJ3" s="16"/>
      <c r="KRK3" s="16"/>
      <c r="KRL3" s="16"/>
      <c r="KRM3" s="16"/>
      <c r="KRN3" s="16"/>
      <c r="KRO3" s="16"/>
      <c r="KRP3" s="16"/>
      <c r="KRQ3" s="16"/>
      <c r="KRR3" s="16"/>
      <c r="KRS3" s="16"/>
      <c r="KRT3" s="16"/>
      <c r="KRU3" s="16"/>
      <c r="KRV3" s="16"/>
      <c r="KRW3" s="16"/>
      <c r="KRX3" s="16"/>
      <c r="KRY3" s="16"/>
      <c r="KRZ3" s="16"/>
      <c r="KSA3" s="16"/>
      <c r="KSB3" s="16"/>
      <c r="KSC3" s="16"/>
      <c r="KSD3" s="16"/>
      <c r="KSE3" s="16"/>
      <c r="KSF3" s="16"/>
      <c r="KSG3" s="16"/>
      <c r="KSH3" s="16"/>
      <c r="KSI3" s="16"/>
      <c r="KSJ3" s="16"/>
      <c r="KSK3" s="16"/>
      <c r="KSL3" s="16"/>
      <c r="KSM3" s="16"/>
      <c r="KSN3" s="16"/>
      <c r="KSO3" s="16"/>
      <c r="KSP3" s="16"/>
      <c r="KSQ3" s="16"/>
      <c r="KSR3" s="16"/>
      <c r="KSS3" s="16"/>
      <c r="KST3" s="16"/>
      <c r="KSU3" s="16"/>
      <c r="KSV3" s="16"/>
      <c r="KSW3" s="16"/>
      <c r="KSX3" s="16"/>
      <c r="KSY3" s="16"/>
      <c r="KSZ3" s="16"/>
      <c r="KTA3" s="16"/>
      <c r="KTB3" s="16"/>
      <c r="KTC3" s="16"/>
      <c r="KTD3" s="16"/>
      <c r="KTE3" s="16"/>
      <c r="KTF3" s="16"/>
      <c r="KTG3" s="16"/>
      <c r="KTH3" s="16"/>
      <c r="KTI3" s="16"/>
      <c r="KTJ3" s="16"/>
      <c r="KTK3" s="16"/>
      <c r="KTL3" s="16"/>
      <c r="KTM3" s="16"/>
      <c r="KTN3" s="16"/>
      <c r="KTO3" s="16"/>
      <c r="KTP3" s="16"/>
      <c r="KTQ3" s="16"/>
      <c r="KTR3" s="16"/>
      <c r="KTS3" s="16"/>
      <c r="KTT3" s="16"/>
      <c r="KTU3" s="16"/>
      <c r="KTV3" s="16"/>
      <c r="KTW3" s="16"/>
      <c r="KTX3" s="16"/>
      <c r="KTY3" s="16"/>
      <c r="KTZ3" s="16"/>
      <c r="KUA3" s="16"/>
      <c r="KUB3" s="16"/>
      <c r="KUC3" s="16"/>
      <c r="KUD3" s="16"/>
      <c r="KUE3" s="16"/>
      <c r="KUF3" s="16"/>
      <c r="KUG3" s="16"/>
      <c r="KUH3" s="16"/>
      <c r="KUI3" s="16"/>
      <c r="KUJ3" s="16"/>
      <c r="KUK3" s="16"/>
      <c r="KUL3" s="16"/>
      <c r="KUM3" s="16"/>
      <c r="KUN3" s="16"/>
      <c r="KUO3" s="16"/>
      <c r="KUP3" s="16"/>
      <c r="KUQ3" s="16"/>
      <c r="KUR3" s="16"/>
      <c r="KUS3" s="16"/>
      <c r="KUT3" s="16"/>
      <c r="KUU3" s="16"/>
      <c r="KUV3" s="16"/>
      <c r="KUW3" s="16"/>
      <c r="KUX3" s="16"/>
      <c r="KUY3" s="16"/>
      <c r="KUZ3" s="16"/>
      <c r="KVA3" s="16"/>
      <c r="KVB3" s="16"/>
      <c r="KVC3" s="16"/>
      <c r="KVD3" s="16"/>
      <c r="KVE3" s="16"/>
      <c r="KVF3" s="16"/>
      <c r="KVG3" s="16"/>
      <c r="KVH3" s="16"/>
      <c r="KVI3" s="16"/>
      <c r="KVJ3" s="16"/>
      <c r="KVK3" s="16"/>
      <c r="KVL3" s="16"/>
      <c r="KVM3" s="16"/>
      <c r="KVN3" s="16"/>
      <c r="KVO3" s="16"/>
      <c r="KVP3" s="16"/>
      <c r="KVQ3" s="16"/>
      <c r="KVR3" s="16"/>
      <c r="KVS3" s="16"/>
      <c r="KVT3" s="16"/>
      <c r="KVU3" s="16"/>
      <c r="KVV3" s="16"/>
      <c r="KVW3" s="16"/>
      <c r="KVX3" s="16"/>
      <c r="KVY3" s="16"/>
      <c r="KVZ3" s="16"/>
      <c r="KWA3" s="16"/>
      <c r="KWB3" s="16"/>
      <c r="KWC3" s="16"/>
      <c r="KWD3" s="16"/>
      <c r="KWE3" s="16"/>
      <c r="KWF3" s="16"/>
      <c r="KWG3" s="16"/>
      <c r="KWH3" s="16"/>
      <c r="KWI3" s="16"/>
      <c r="KWJ3" s="16"/>
      <c r="KWK3" s="16"/>
      <c r="KWL3" s="16"/>
      <c r="KWM3" s="16"/>
      <c r="KWN3" s="16"/>
      <c r="KWO3" s="16"/>
      <c r="KWP3" s="16"/>
      <c r="KWQ3" s="16"/>
      <c r="KWR3" s="16"/>
      <c r="KWS3" s="16"/>
      <c r="KWT3" s="16"/>
      <c r="KWU3" s="16"/>
      <c r="KWV3" s="16"/>
      <c r="KWW3" s="16"/>
      <c r="KWX3" s="16"/>
      <c r="KWY3" s="16"/>
      <c r="KWZ3" s="16"/>
      <c r="KXA3" s="16"/>
      <c r="KXB3" s="16"/>
      <c r="KXC3" s="16"/>
      <c r="KXD3" s="16"/>
      <c r="KXE3" s="16"/>
      <c r="KXF3" s="16"/>
      <c r="KXG3" s="16"/>
      <c r="KXH3" s="16"/>
      <c r="KXI3" s="16"/>
      <c r="KXJ3" s="16"/>
      <c r="KXK3" s="16"/>
      <c r="KXL3" s="16"/>
      <c r="KXM3" s="16"/>
      <c r="KXN3" s="16"/>
      <c r="KXO3" s="16"/>
      <c r="KXP3" s="16"/>
      <c r="KXQ3" s="16"/>
      <c r="KXR3" s="16"/>
      <c r="KXS3" s="16"/>
      <c r="KXT3" s="16"/>
      <c r="KXU3" s="16"/>
      <c r="KXV3" s="16"/>
      <c r="KXW3" s="16"/>
      <c r="KXX3" s="16"/>
      <c r="KXY3" s="16"/>
      <c r="KXZ3" s="16"/>
      <c r="KYA3" s="16"/>
      <c r="KYB3" s="16"/>
      <c r="KYC3" s="16"/>
      <c r="KYD3" s="16"/>
      <c r="KYE3" s="16"/>
      <c r="KYF3" s="16"/>
      <c r="KYG3" s="16"/>
      <c r="KYH3" s="16"/>
      <c r="KYI3" s="16"/>
      <c r="KYJ3" s="16"/>
      <c r="KYK3" s="16"/>
      <c r="KYL3" s="16"/>
      <c r="KYM3" s="16"/>
      <c r="KYN3" s="16"/>
      <c r="KYO3" s="16"/>
      <c r="KYP3" s="16"/>
      <c r="KYQ3" s="16"/>
      <c r="KYR3" s="16"/>
      <c r="KYS3" s="16"/>
      <c r="KYT3" s="16"/>
      <c r="KYU3" s="16"/>
      <c r="KYV3" s="16"/>
      <c r="KYW3" s="16"/>
      <c r="KYX3" s="16"/>
      <c r="KYY3" s="16"/>
      <c r="KYZ3" s="16"/>
      <c r="KZA3" s="16"/>
      <c r="KZB3" s="16"/>
      <c r="KZC3" s="16"/>
      <c r="KZD3" s="16"/>
      <c r="KZE3" s="16"/>
      <c r="KZF3" s="16"/>
      <c r="KZG3" s="16"/>
      <c r="KZH3" s="16"/>
      <c r="KZI3" s="16"/>
      <c r="KZJ3" s="16"/>
      <c r="KZK3" s="16"/>
      <c r="KZL3" s="16"/>
      <c r="KZM3" s="16"/>
      <c r="KZN3" s="16"/>
      <c r="KZO3" s="16"/>
      <c r="KZP3" s="16"/>
      <c r="KZQ3" s="16"/>
      <c r="KZR3" s="16"/>
      <c r="KZS3" s="16"/>
      <c r="KZT3" s="16"/>
      <c r="KZU3" s="16"/>
      <c r="KZV3" s="16"/>
      <c r="KZW3" s="16"/>
      <c r="KZX3" s="16"/>
      <c r="KZY3" s="16"/>
      <c r="KZZ3" s="16"/>
      <c r="LAA3" s="16"/>
      <c r="LAB3" s="16"/>
      <c r="LAC3" s="16"/>
      <c r="LAD3" s="16"/>
      <c r="LAE3" s="16"/>
      <c r="LAF3" s="16"/>
      <c r="LAG3" s="16"/>
      <c r="LAH3" s="16"/>
      <c r="LAI3" s="16"/>
      <c r="LAJ3" s="16"/>
      <c r="LAK3" s="16"/>
      <c r="LAL3" s="16"/>
      <c r="LAM3" s="16"/>
      <c r="LAN3" s="16"/>
      <c r="LAO3" s="16"/>
      <c r="LAP3" s="16"/>
      <c r="LAQ3" s="16"/>
      <c r="LAR3" s="16"/>
      <c r="LAS3" s="16"/>
      <c r="LAT3" s="16"/>
      <c r="LAU3" s="16"/>
      <c r="LAV3" s="16"/>
      <c r="LAW3" s="16"/>
      <c r="LAX3" s="16"/>
      <c r="LAY3" s="16"/>
      <c r="LAZ3" s="16"/>
      <c r="LBA3" s="16"/>
      <c r="LBB3" s="16"/>
      <c r="LBC3" s="16"/>
      <c r="LBD3" s="16"/>
      <c r="LBE3" s="16"/>
      <c r="LBF3" s="16"/>
      <c r="LBG3" s="16"/>
      <c r="LBH3" s="16"/>
      <c r="LBI3" s="16"/>
      <c r="LBJ3" s="16"/>
      <c r="LBK3" s="16"/>
      <c r="LBL3" s="16"/>
      <c r="LBM3" s="16"/>
      <c r="LBN3" s="16"/>
      <c r="LBO3" s="16"/>
      <c r="LBP3" s="16"/>
      <c r="LBQ3" s="16"/>
      <c r="LBR3" s="16"/>
      <c r="LBS3" s="16"/>
      <c r="LBT3" s="16"/>
      <c r="LBU3" s="16"/>
      <c r="LBV3" s="16"/>
      <c r="LBW3" s="16"/>
      <c r="LBX3" s="16"/>
      <c r="LBY3" s="16"/>
      <c r="LBZ3" s="16"/>
      <c r="LCA3" s="16"/>
      <c r="LCB3" s="16"/>
      <c r="LCC3" s="16"/>
      <c r="LCD3" s="16"/>
      <c r="LCE3" s="16"/>
      <c r="LCF3" s="16"/>
      <c r="LCG3" s="16"/>
      <c r="LCH3" s="16"/>
      <c r="LCI3" s="16"/>
      <c r="LCJ3" s="16"/>
      <c r="LCK3" s="16"/>
      <c r="LCL3" s="16"/>
      <c r="LCM3" s="16"/>
      <c r="LCN3" s="16"/>
      <c r="LCO3" s="16"/>
      <c r="LCP3" s="16"/>
      <c r="LCQ3" s="16"/>
      <c r="LCR3" s="16"/>
      <c r="LCS3" s="16"/>
      <c r="LCT3" s="16"/>
      <c r="LCU3" s="16"/>
      <c r="LCV3" s="16"/>
      <c r="LCW3" s="16"/>
      <c r="LCX3" s="16"/>
      <c r="LCY3" s="16"/>
      <c r="LCZ3" s="16"/>
      <c r="LDA3" s="16"/>
      <c r="LDB3" s="16"/>
      <c r="LDC3" s="16"/>
      <c r="LDD3" s="16"/>
      <c r="LDE3" s="16"/>
      <c r="LDF3" s="16"/>
      <c r="LDG3" s="16"/>
      <c r="LDH3" s="16"/>
      <c r="LDI3" s="16"/>
      <c r="LDJ3" s="16"/>
      <c r="LDK3" s="16"/>
      <c r="LDL3" s="16"/>
      <c r="LDM3" s="16"/>
      <c r="LDN3" s="16"/>
      <c r="LDO3" s="16"/>
      <c r="LDP3" s="16"/>
      <c r="LDQ3" s="16"/>
      <c r="LDR3" s="16"/>
      <c r="LDS3" s="16"/>
      <c r="LDT3" s="16"/>
      <c r="LDU3" s="16"/>
      <c r="LDV3" s="16"/>
      <c r="LDW3" s="16"/>
      <c r="LDX3" s="16"/>
      <c r="LDY3" s="16"/>
      <c r="LDZ3" s="16"/>
      <c r="LEA3" s="16"/>
      <c r="LEB3" s="16"/>
      <c r="LEC3" s="16"/>
      <c r="LED3" s="16"/>
      <c r="LEE3" s="16"/>
      <c r="LEF3" s="16"/>
      <c r="LEG3" s="16"/>
      <c r="LEH3" s="16"/>
      <c r="LEI3" s="16"/>
      <c r="LEJ3" s="16"/>
      <c r="LEK3" s="16"/>
      <c r="LEL3" s="16"/>
      <c r="LEM3" s="16"/>
      <c r="LEN3" s="16"/>
      <c r="LEO3" s="16"/>
      <c r="LEP3" s="16"/>
      <c r="LEQ3" s="16"/>
      <c r="LER3" s="16"/>
      <c r="LES3" s="16"/>
      <c r="LET3" s="16"/>
      <c r="LEU3" s="16"/>
      <c r="LEV3" s="16"/>
      <c r="LEW3" s="16"/>
      <c r="LEX3" s="16"/>
      <c r="LEY3" s="16"/>
      <c r="LEZ3" s="16"/>
      <c r="LFA3" s="16"/>
      <c r="LFB3" s="16"/>
      <c r="LFC3" s="16"/>
      <c r="LFD3" s="16"/>
      <c r="LFE3" s="16"/>
      <c r="LFF3" s="16"/>
      <c r="LFG3" s="16"/>
      <c r="LFH3" s="16"/>
      <c r="LFI3" s="16"/>
      <c r="LFJ3" s="16"/>
      <c r="LFK3" s="16"/>
      <c r="LFL3" s="16"/>
      <c r="LFM3" s="16"/>
      <c r="LFN3" s="16"/>
      <c r="LFO3" s="16"/>
      <c r="LFP3" s="16"/>
      <c r="LFQ3" s="16"/>
      <c r="LFR3" s="16"/>
      <c r="LFS3" s="16"/>
      <c r="LFT3" s="16"/>
      <c r="LFU3" s="16"/>
      <c r="LFV3" s="16"/>
      <c r="LFW3" s="16"/>
      <c r="LFX3" s="16"/>
      <c r="LFY3" s="16"/>
      <c r="LFZ3" s="16"/>
      <c r="LGA3" s="16"/>
      <c r="LGB3" s="16"/>
      <c r="LGC3" s="16"/>
      <c r="LGD3" s="16"/>
      <c r="LGE3" s="16"/>
      <c r="LGF3" s="16"/>
      <c r="LGG3" s="16"/>
      <c r="LGH3" s="16"/>
      <c r="LGI3" s="16"/>
      <c r="LGJ3" s="16"/>
      <c r="LGK3" s="16"/>
      <c r="LGL3" s="16"/>
      <c r="LGM3" s="16"/>
      <c r="LGN3" s="16"/>
      <c r="LGO3" s="16"/>
      <c r="LGP3" s="16"/>
      <c r="LGQ3" s="16"/>
      <c r="LGR3" s="16"/>
      <c r="LGS3" s="16"/>
      <c r="LGT3" s="16"/>
      <c r="LGU3" s="16"/>
      <c r="LGV3" s="16"/>
      <c r="LGW3" s="16"/>
      <c r="LGX3" s="16"/>
      <c r="LGY3" s="16"/>
      <c r="LGZ3" s="16"/>
      <c r="LHA3" s="16"/>
      <c r="LHB3" s="16"/>
      <c r="LHC3" s="16"/>
      <c r="LHD3" s="16"/>
      <c r="LHE3" s="16"/>
      <c r="LHF3" s="16"/>
      <c r="LHG3" s="16"/>
      <c r="LHH3" s="16"/>
      <c r="LHI3" s="16"/>
      <c r="LHJ3" s="16"/>
      <c r="LHK3" s="16"/>
      <c r="LHL3" s="16"/>
      <c r="LHM3" s="16"/>
      <c r="LHN3" s="16"/>
      <c r="LHO3" s="16"/>
      <c r="LHP3" s="16"/>
      <c r="LHQ3" s="16"/>
      <c r="LHR3" s="16"/>
      <c r="LHS3" s="16"/>
      <c r="LHT3" s="16"/>
      <c r="LHU3" s="16"/>
      <c r="LHV3" s="16"/>
      <c r="LHW3" s="16"/>
      <c r="LHX3" s="16"/>
      <c r="LHY3" s="16"/>
      <c r="LHZ3" s="16"/>
      <c r="LIA3" s="16"/>
      <c r="LIB3" s="16"/>
      <c r="LIC3" s="16"/>
      <c r="LID3" s="16"/>
      <c r="LIE3" s="16"/>
      <c r="LIF3" s="16"/>
      <c r="LIG3" s="16"/>
      <c r="LIH3" s="16"/>
      <c r="LII3" s="16"/>
      <c r="LIJ3" s="16"/>
      <c r="LIK3" s="16"/>
      <c r="LIL3" s="16"/>
      <c r="LIM3" s="16"/>
      <c r="LIN3" s="16"/>
      <c r="LIO3" s="16"/>
      <c r="LIP3" s="16"/>
      <c r="LIQ3" s="16"/>
      <c r="LIR3" s="16"/>
      <c r="LIS3" s="16"/>
      <c r="LIT3" s="16"/>
      <c r="LIU3" s="16"/>
      <c r="LIV3" s="16"/>
      <c r="LIW3" s="16"/>
      <c r="LIX3" s="16"/>
      <c r="LIY3" s="16"/>
      <c r="LIZ3" s="16"/>
      <c r="LJA3" s="16"/>
      <c r="LJB3" s="16"/>
      <c r="LJC3" s="16"/>
      <c r="LJD3" s="16"/>
      <c r="LJE3" s="16"/>
      <c r="LJF3" s="16"/>
      <c r="LJG3" s="16"/>
      <c r="LJH3" s="16"/>
      <c r="LJI3" s="16"/>
      <c r="LJJ3" s="16"/>
      <c r="LJK3" s="16"/>
      <c r="LJL3" s="16"/>
      <c r="LJM3" s="16"/>
      <c r="LJN3" s="16"/>
      <c r="LJO3" s="16"/>
      <c r="LJP3" s="16"/>
      <c r="LJQ3" s="16"/>
      <c r="LJR3" s="16"/>
      <c r="LJS3" s="16"/>
      <c r="LJT3" s="16"/>
      <c r="LJU3" s="16"/>
      <c r="LJV3" s="16"/>
      <c r="LJW3" s="16"/>
      <c r="LJX3" s="16"/>
      <c r="LJY3" s="16"/>
      <c r="LJZ3" s="16"/>
      <c r="LKA3" s="16"/>
      <c r="LKB3" s="16"/>
      <c r="LKC3" s="16"/>
      <c r="LKD3" s="16"/>
      <c r="LKE3" s="16"/>
      <c r="LKF3" s="16"/>
      <c r="LKG3" s="16"/>
      <c r="LKH3" s="16"/>
      <c r="LKI3" s="16"/>
      <c r="LKJ3" s="16"/>
      <c r="LKK3" s="16"/>
      <c r="LKL3" s="16"/>
      <c r="LKM3" s="16"/>
      <c r="LKN3" s="16"/>
      <c r="LKO3" s="16"/>
      <c r="LKP3" s="16"/>
      <c r="LKQ3" s="16"/>
      <c r="LKR3" s="16"/>
      <c r="LKS3" s="16"/>
      <c r="LKT3" s="16"/>
      <c r="LKU3" s="16"/>
      <c r="LKV3" s="16"/>
      <c r="LKW3" s="16"/>
      <c r="LKX3" s="16"/>
      <c r="LKY3" s="16"/>
      <c r="LKZ3" s="16"/>
      <c r="LLA3" s="16"/>
      <c r="LLB3" s="16"/>
      <c r="LLC3" s="16"/>
      <c r="LLD3" s="16"/>
      <c r="LLE3" s="16"/>
      <c r="LLF3" s="16"/>
      <c r="LLG3" s="16"/>
      <c r="LLH3" s="16"/>
      <c r="LLI3" s="16"/>
      <c r="LLJ3" s="16"/>
      <c r="LLK3" s="16"/>
      <c r="LLL3" s="16"/>
      <c r="LLM3" s="16"/>
      <c r="LLN3" s="16"/>
      <c r="LLO3" s="16"/>
      <c r="LLP3" s="16"/>
      <c r="LLQ3" s="16"/>
      <c r="LLR3" s="16"/>
      <c r="LLS3" s="16"/>
      <c r="LLT3" s="16"/>
      <c r="LLU3" s="16"/>
      <c r="LLV3" s="16"/>
      <c r="LLW3" s="16"/>
      <c r="LLX3" s="16"/>
      <c r="LLY3" s="16"/>
      <c r="LLZ3" s="16"/>
      <c r="LMA3" s="16"/>
      <c r="LMB3" s="16"/>
      <c r="LMC3" s="16"/>
      <c r="LMD3" s="16"/>
      <c r="LME3" s="16"/>
      <c r="LMF3" s="16"/>
      <c r="LMG3" s="16"/>
      <c r="LMH3" s="16"/>
      <c r="LMI3" s="16"/>
      <c r="LMJ3" s="16"/>
      <c r="LMK3" s="16"/>
      <c r="LML3" s="16"/>
      <c r="LMM3" s="16"/>
      <c r="LMN3" s="16"/>
      <c r="LMO3" s="16"/>
      <c r="LMP3" s="16"/>
      <c r="LMQ3" s="16"/>
      <c r="LMR3" s="16"/>
      <c r="LMS3" s="16"/>
      <c r="LMT3" s="16"/>
      <c r="LMU3" s="16"/>
      <c r="LMV3" s="16"/>
      <c r="LMW3" s="16"/>
      <c r="LMX3" s="16"/>
      <c r="LMY3" s="16"/>
      <c r="LMZ3" s="16"/>
      <c r="LNA3" s="16"/>
      <c r="LNB3" s="16"/>
      <c r="LNC3" s="16"/>
      <c r="LND3" s="16"/>
      <c r="LNE3" s="16"/>
      <c r="LNF3" s="16"/>
      <c r="LNG3" s="16"/>
      <c r="LNH3" s="16"/>
      <c r="LNI3" s="16"/>
      <c r="LNJ3" s="16"/>
      <c r="LNK3" s="16"/>
      <c r="LNL3" s="16"/>
      <c r="LNM3" s="16"/>
      <c r="LNN3" s="16"/>
      <c r="LNO3" s="16"/>
      <c r="LNP3" s="16"/>
      <c r="LNQ3" s="16"/>
      <c r="LNR3" s="16"/>
      <c r="LNS3" s="16"/>
      <c r="LNT3" s="16"/>
      <c r="LNU3" s="16"/>
      <c r="LNV3" s="16"/>
      <c r="LNW3" s="16"/>
      <c r="LNX3" s="16"/>
      <c r="LNY3" s="16"/>
      <c r="LNZ3" s="16"/>
      <c r="LOA3" s="16"/>
      <c r="LOB3" s="16"/>
      <c r="LOC3" s="16"/>
      <c r="LOD3" s="16"/>
      <c r="LOE3" s="16"/>
      <c r="LOF3" s="16"/>
      <c r="LOG3" s="16"/>
      <c r="LOH3" s="16"/>
      <c r="LOI3" s="16"/>
      <c r="LOJ3" s="16"/>
      <c r="LOK3" s="16"/>
      <c r="LOL3" s="16"/>
      <c r="LOM3" s="16"/>
      <c r="LON3" s="16"/>
      <c r="LOO3" s="16"/>
      <c r="LOP3" s="16"/>
      <c r="LOQ3" s="16"/>
      <c r="LOR3" s="16"/>
      <c r="LOS3" s="16"/>
      <c r="LOT3" s="16"/>
      <c r="LOU3" s="16"/>
      <c r="LOV3" s="16"/>
      <c r="LOW3" s="16"/>
      <c r="LOX3" s="16"/>
      <c r="LOY3" s="16"/>
      <c r="LOZ3" s="16"/>
      <c r="LPA3" s="16"/>
      <c r="LPB3" s="16"/>
      <c r="LPC3" s="16"/>
      <c r="LPD3" s="16"/>
      <c r="LPE3" s="16"/>
      <c r="LPF3" s="16"/>
      <c r="LPG3" s="16"/>
      <c r="LPH3" s="16"/>
      <c r="LPI3" s="16"/>
      <c r="LPJ3" s="16"/>
      <c r="LPK3" s="16"/>
      <c r="LPL3" s="16"/>
      <c r="LPM3" s="16"/>
      <c r="LPN3" s="16"/>
      <c r="LPO3" s="16"/>
      <c r="LPP3" s="16"/>
      <c r="LPQ3" s="16"/>
      <c r="LPR3" s="16"/>
      <c r="LPS3" s="16"/>
      <c r="LPT3" s="16"/>
      <c r="LPU3" s="16"/>
      <c r="LPV3" s="16"/>
      <c r="LPW3" s="16"/>
      <c r="LPX3" s="16"/>
      <c r="LPY3" s="16"/>
      <c r="LPZ3" s="16"/>
      <c r="LQA3" s="16"/>
      <c r="LQB3" s="16"/>
      <c r="LQC3" s="16"/>
      <c r="LQD3" s="16"/>
      <c r="LQE3" s="16"/>
      <c r="LQF3" s="16"/>
      <c r="LQG3" s="16"/>
      <c r="LQH3" s="16"/>
      <c r="LQI3" s="16"/>
      <c r="LQJ3" s="16"/>
      <c r="LQK3" s="16"/>
      <c r="LQL3" s="16"/>
      <c r="LQM3" s="16"/>
      <c r="LQN3" s="16"/>
      <c r="LQO3" s="16"/>
      <c r="LQP3" s="16"/>
      <c r="LQQ3" s="16"/>
      <c r="LQR3" s="16"/>
      <c r="LQS3" s="16"/>
      <c r="LQT3" s="16"/>
      <c r="LQU3" s="16"/>
      <c r="LQV3" s="16"/>
      <c r="LQW3" s="16"/>
      <c r="LQX3" s="16"/>
      <c r="LQY3" s="16"/>
      <c r="LQZ3" s="16"/>
      <c r="LRA3" s="16"/>
      <c r="LRB3" s="16"/>
      <c r="LRC3" s="16"/>
      <c r="LRD3" s="16"/>
      <c r="LRE3" s="16"/>
      <c r="LRF3" s="16"/>
      <c r="LRG3" s="16"/>
      <c r="LRH3" s="16"/>
      <c r="LRI3" s="16"/>
      <c r="LRJ3" s="16"/>
      <c r="LRK3" s="16"/>
      <c r="LRL3" s="16"/>
      <c r="LRM3" s="16"/>
      <c r="LRN3" s="16"/>
      <c r="LRO3" s="16"/>
      <c r="LRP3" s="16"/>
      <c r="LRQ3" s="16"/>
      <c r="LRR3" s="16"/>
      <c r="LRS3" s="16"/>
      <c r="LRT3" s="16"/>
      <c r="LRU3" s="16"/>
      <c r="LRV3" s="16"/>
      <c r="LRW3" s="16"/>
      <c r="LRX3" s="16"/>
      <c r="LRY3" s="16"/>
      <c r="LRZ3" s="16"/>
      <c r="LSA3" s="16"/>
      <c r="LSB3" s="16"/>
      <c r="LSC3" s="16"/>
      <c r="LSD3" s="16"/>
      <c r="LSE3" s="16"/>
      <c r="LSF3" s="16"/>
      <c r="LSG3" s="16"/>
      <c r="LSH3" s="16"/>
      <c r="LSI3" s="16"/>
      <c r="LSJ3" s="16"/>
      <c r="LSK3" s="16"/>
      <c r="LSL3" s="16"/>
      <c r="LSM3" s="16"/>
      <c r="LSN3" s="16"/>
      <c r="LSO3" s="16"/>
      <c r="LSP3" s="16"/>
      <c r="LSQ3" s="16"/>
      <c r="LSR3" s="16"/>
      <c r="LSS3" s="16"/>
      <c r="LST3" s="16"/>
      <c r="LSU3" s="16"/>
      <c r="LSV3" s="16"/>
      <c r="LSW3" s="16"/>
      <c r="LSX3" s="16"/>
      <c r="LSY3" s="16"/>
      <c r="LSZ3" s="16"/>
      <c r="LTA3" s="16"/>
      <c r="LTB3" s="16"/>
      <c r="LTC3" s="16"/>
      <c r="LTD3" s="16"/>
      <c r="LTE3" s="16"/>
      <c r="LTF3" s="16"/>
      <c r="LTG3" s="16"/>
      <c r="LTH3" s="16"/>
      <c r="LTI3" s="16"/>
      <c r="LTJ3" s="16"/>
      <c r="LTK3" s="16"/>
      <c r="LTL3" s="16"/>
      <c r="LTM3" s="16"/>
      <c r="LTN3" s="16"/>
      <c r="LTO3" s="16"/>
      <c r="LTP3" s="16"/>
      <c r="LTQ3" s="16"/>
      <c r="LTR3" s="16"/>
      <c r="LTS3" s="16"/>
      <c r="LTT3" s="16"/>
      <c r="LTU3" s="16"/>
      <c r="LTV3" s="16"/>
      <c r="LTW3" s="16"/>
      <c r="LTX3" s="16"/>
      <c r="LTY3" s="16"/>
      <c r="LTZ3" s="16"/>
      <c r="LUA3" s="16"/>
      <c r="LUB3" s="16"/>
      <c r="LUC3" s="16"/>
      <c r="LUD3" s="16"/>
      <c r="LUE3" s="16"/>
      <c r="LUF3" s="16"/>
      <c r="LUG3" s="16"/>
      <c r="LUH3" s="16"/>
      <c r="LUI3" s="16"/>
      <c r="LUJ3" s="16"/>
      <c r="LUK3" s="16"/>
      <c r="LUL3" s="16"/>
      <c r="LUM3" s="16"/>
      <c r="LUN3" s="16"/>
      <c r="LUO3" s="16"/>
      <c r="LUP3" s="16"/>
      <c r="LUQ3" s="16"/>
      <c r="LUR3" s="16"/>
      <c r="LUS3" s="16"/>
      <c r="LUT3" s="16"/>
      <c r="LUU3" s="16"/>
      <c r="LUV3" s="16"/>
      <c r="LUW3" s="16"/>
      <c r="LUX3" s="16"/>
      <c r="LUY3" s="16"/>
      <c r="LUZ3" s="16"/>
      <c r="LVA3" s="16"/>
      <c r="LVB3" s="16"/>
      <c r="LVC3" s="16"/>
      <c r="LVD3" s="16"/>
      <c r="LVE3" s="16"/>
      <c r="LVF3" s="16"/>
      <c r="LVG3" s="16"/>
      <c r="LVH3" s="16"/>
      <c r="LVI3" s="16"/>
      <c r="LVJ3" s="16"/>
      <c r="LVK3" s="16"/>
      <c r="LVL3" s="16"/>
      <c r="LVM3" s="16"/>
      <c r="LVN3" s="16"/>
      <c r="LVO3" s="16"/>
      <c r="LVP3" s="16"/>
      <c r="LVQ3" s="16"/>
      <c r="LVR3" s="16"/>
      <c r="LVS3" s="16"/>
      <c r="LVT3" s="16"/>
      <c r="LVU3" s="16"/>
      <c r="LVV3" s="16"/>
      <c r="LVW3" s="16"/>
      <c r="LVX3" s="16"/>
      <c r="LVY3" s="16"/>
      <c r="LVZ3" s="16"/>
      <c r="LWA3" s="16"/>
      <c r="LWB3" s="16"/>
      <c r="LWC3" s="16"/>
      <c r="LWD3" s="16"/>
      <c r="LWE3" s="16"/>
      <c r="LWF3" s="16"/>
      <c r="LWG3" s="16"/>
      <c r="LWH3" s="16"/>
      <c r="LWI3" s="16"/>
      <c r="LWJ3" s="16"/>
      <c r="LWK3" s="16"/>
      <c r="LWL3" s="16"/>
      <c r="LWM3" s="16"/>
      <c r="LWN3" s="16"/>
      <c r="LWO3" s="16"/>
      <c r="LWP3" s="16"/>
      <c r="LWQ3" s="16"/>
      <c r="LWR3" s="16"/>
      <c r="LWS3" s="16"/>
      <c r="LWT3" s="16"/>
      <c r="LWU3" s="16"/>
      <c r="LWV3" s="16"/>
      <c r="LWW3" s="16"/>
      <c r="LWX3" s="16"/>
      <c r="LWY3" s="16"/>
      <c r="LWZ3" s="16"/>
      <c r="LXA3" s="16"/>
      <c r="LXB3" s="16"/>
      <c r="LXC3" s="16"/>
      <c r="LXD3" s="16"/>
      <c r="LXE3" s="16"/>
      <c r="LXF3" s="16"/>
      <c r="LXG3" s="16"/>
      <c r="LXH3" s="16"/>
      <c r="LXI3" s="16"/>
      <c r="LXJ3" s="16"/>
      <c r="LXK3" s="16"/>
      <c r="LXL3" s="16"/>
      <c r="LXM3" s="16"/>
      <c r="LXN3" s="16"/>
      <c r="LXO3" s="16"/>
      <c r="LXP3" s="16"/>
      <c r="LXQ3" s="16"/>
      <c r="LXR3" s="16"/>
      <c r="LXS3" s="16"/>
      <c r="LXT3" s="16"/>
      <c r="LXU3" s="16"/>
      <c r="LXV3" s="16"/>
      <c r="LXW3" s="16"/>
      <c r="LXX3" s="16"/>
      <c r="LXY3" s="16"/>
      <c r="LXZ3" s="16"/>
      <c r="LYA3" s="16"/>
      <c r="LYB3" s="16"/>
      <c r="LYC3" s="16"/>
      <c r="LYD3" s="16"/>
      <c r="LYE3" s="16"/>
      <c r="LYF3" s="16"/>
      <c r="LYG3" s="16"/>
      <c r="LYH3" s="16"/>
      <c r="LYI3" s="16"/>
      <c r="LYJ3" s="16"/>
      <c r="LYK3" s="16"/>
      <c r="LYL3" s="16"/>
      <c r="LYM3" s="16"/>
      <c r="LYN3" s="16"/>
      <c r="LYO3" s="16"/>
      <c r="LYP3" s="16"/>
      <c r="LYQ3" s="16"/>
      <c r="LYR3" s="16"/>
      <c r="LYS3" s="16"/>
      <c r="LYT3" s="16"/>
      <c r="LYU3" s="16"/>
      <c r="LYV3" s="16"/>
      <c r="LYW3" s="16"/>
      <c r="LYX3" s="16"/>
      <c r="LYY3" s="16"/>
      <c r="LYZ3" s="16"/>
      <c r="LZA3" s="16"/>
      <c r="LZB3" s="16"/>
      <c r="LZC3" s="16"/>
      <c r="LZD3" s="16"/>
      <c r="LZE3" s="16"/>
      <c r="LZF3" s="16"/>
      <c r="LZG3" s="16"/>
      <c r="LZH3" s="16"/>
      <c r="LZI3" s="16"/>
      <c r="LZJ3" s="16"/>
      <c r="LZK3" s="16"/>
      <c r="LZL3" s="16"/>
      <c r="LZM3" s="16"/>
      <c r="LZN3" s="16"/>
      <c r="LZO3" s="16"/>
      <c r="LZP3" s="16"/>
      <c r="LZQ3" s="16"/>
      <c r="LZR3" s="16"/>
      <c r="LZS3" s="16"/>
      <c r="LZT3" s="16"/>
      <c r="LZU3" s="16"/>
      <c r="LZV3" s="16"/>
      <c r="LZW3" s="16"/>
      <c r="LZX3" s="16"/>
      <c r="LZY3" s="16"/>
      <c r="LZZ3" s="16"/>
      <c r="MAA3" s="16"/>
      <c r="MAB3" s="16"/>
      <c r="MAC3" s="16"/>
      <c r="MAD3" s="16"/>
      <c r="MAE3" s="16"/>
      <c r="MAF3" s="16"/>
      <c r="MAG3" s="16"/>
      <c r="MAH3" s="16"/>
      <c r="MAI3" s="16"/>
      <c r="MAJ3" s="16"/>
      <c r="MAK3" s="16"/>
      <c r="MAL3" s="16"/>
      <c r="MAM3" s="16"/>
      <c r="MAN3" s="16"/>
      <c r="MAO3" s="16"/>
      <c r="MAP3" s="16"/>
      <c r="MAQ3" s="16"/>
      <c r="MAR3" s="16"/>
      <c r="MAS3" s="16"/>
      <c r="MAT3" s="16"/>
      <c r="MAU3" s="16"/>
      <c r="MAV3" s="16"/>
      <c r="MAW3" s="16"/>
      <c r="MAX3" s="16"/>
      <c r="MAY3" s="16"/>
      <c r="MAZ3" s="16"/>
      <c r="MBA3" s="16"/>
      <c r="MBB3" s="16"/>
      <c r="MBC3" s="16"/>
      <c r="MBD3" s="16"/>
      <c r="MBE3" s="16"/>
      <c r="MBF3" s="16"/>
      <c r="MBG3" s="16"/>
      <c r="MBH3" s="16"/>
      <c r="MBI3" s="16"/>
      <c r="MBJ3" s="16"/>
      <c r="MBK3" s="16"/>
      <c r="MBL3" s="16"/>
      <c r="MBM3" s="16"/>
      <c r="MBN3" s="16"/>
      <c r="MBO3" s="16"/>
      <c r="MBP3" s="16"/>
      <c r="MBQ3" s="16"/>
      <c r="MBR3" s="16"/>
      <c r="MBS3" s="16"/>
      <c r="MBT3" s="16"/>
      <c r="MBU3" s="16"/>
      <c r="MBV3" s="16"/>
      <c r="MBW3" s="16"/>
      <c r="MBX3" s="16"/>
      <c r="MBY3" s="16"/>
      <c r="MBZ3" s="16"/>
      <c r="MCA3" s="16"/>
      <c r="MCB3" s="16"/>
      <c r="MCC3" s="16"/>
      <c r="MCD3" s="16"/>
      <c r="MCE3" s="16"/>
      <c r="MCF3" s="16"/>
      <c r="MCG3" s="16"/>
      <c r="MCH3" s="16"/>
      <c r="MCI3" s="16"/>
      <c r="MCJ3" s="16"/>
      <c r="MCK3" s="16"/>
      <c r="MCL3" s="16"/>
      <c r="MCM3" s="16"/>
      <c r="MCN3" s="16"/>
      <c r="MCO3" s="16"/>
      <c r="MCP3" s="16"/>
      <c r="MCQ3" s="16"/>
      <c r="MCR3" s="16"/>
      <c r="MCS3" s="16"/>
      <c r="MCT3" s="16"/>
      <c r="MCU3" s="16"/>
      <c r="MCV3" s="16"/>
      <c r="MCW3" s="16"/>
      <c r="MCX3" s="16"/>
      <c r="MCY3" s="16"/>
      <c r="MCZ3" s="16"/>
      <c r="MDA3" s="16"/>
      <c r="MDB3" s="16"/>
      <c r="MDC3" s="16"/>
      <c r="MDD3" s="16"/>
      <c r="MDE3" s="16"/>
      <c r="MDF3" s="16"/>
      <c r="MDG3" s="16"/>
      <c r="MDH3" s="16"/>
      <c r="MDI3" s="16"/>
      <c r="MDJ3" s="16"/>
      <c r="MDK3" s="16"/>
      <c r="MDL3" s="16"/>
      <c r="MDM3" s="16"/>
      <c r="MDN3" s="16"/>
      <c r="MDO3" s="16"/>
      <c r="MDP3" s="16"/>
      <c r="MDQ3" s="16"/>
      <c r="MDR3" s="16"/>
      <c r="MDS3" s="16"/>
      <c r="MDT3" s="16"/>
      <c r="MDU3" s="16"/>
      <c r="MDV3" s="16"/>
      <c r="MDW3" s="16"/>
      <c r="MDX3" s="16"/>
      <c r="MDY3" s="16"/>
      <c r="MDZ3" s="16"/>
      <c r="MEA3" s="16"/>
      <c r="MEB3" s="16"/>
      <c r="MEC3" s="16"/>
      <c r="MED3" s="16"/>
      <c r="MEE3" s="16"/>
      <c r="MEF3" s="16"/>
      <c r="MEG3" s="16"/>
      <c r="MEH3" s="16"/>
      <c r="MEI3" s="16"/>
      <c r="MEJ3" s="16"/>
      <c r="MEK3" s="16"/>
      <c r="MEL3" s="16"/>
      <c r="MEM3" s="16"/>
      <c r="MEN3" s="16"/>
      <c r="MEO3" s="16"/>
      <c r="MEP3" s="16"/>
      <c r="MEQ3" s="16"/>
      <c r="MER3" s="16"/>
      <c r="MES3" s="16"/>
      <c r="MET3" s="16"/>
      <c r="MEU3" s="16"/>
      <c r="MEV3" s="16"/>
      <c r="MEW3" s="16"/>
      <c r="MEX3" s="16"/>
      <c r="MEY3" s="16"/>
      <c r="MEZ3" s="16"/>
      <c r="MFA3" s="16"/>
      <c r="MFB3" s="16"/>
      <c r="MFC3" s="16"/>
      <c r="MFD3" s="16"/>
      <c r="MFE3" s="16"/>
      <c r="MFF3" s="16"/>
      <c r="MFG3" s="16"/>
      <c r="MFH3" s="16"/>
      <c r="MFI3" s="16"/>
      <c r="MFJ3" s="16"/>
      <c r="MFK3" s="16"/>
      <c r="MFL3" s="16"/>
      <c r="MFM3" s="16"/>
      <c r="MFN3" s="16"/>
      <c r="MFO3" s="16"/>
      <c r="MFP3" s="16"/>
      <c r="MFQ3" s="16"/>
      <c r="MFR3" s="16"/>
      <c r="MFS3" s="16"/>
      <c r="MFT3" s="16"/>
      <c r="MFU3" s="16"/>
      <c r="MFV3" s="16"/>
      <c r="MFW3" s="16"/>
      <c r="MFX3" s="16"/>
      <c r="MFY3" s="16"/>
      <c r="MFZ3" s="16"/>
      <c r="MGA3" s="16"/>
      <c r="MGB3" s="16"/>
      <c r="MGC3" s="16"/>
      <c r="MGD3" s="16"/>
      <c r="MGE3" s="16"/>
      <c r="MGF3" s="16"/>
      <c r="MGG3" s="16"/>
      <c r="MGH3" s="16"/>
      <c r="MGI3" s="16"/>
      <c r="MGJ3" s="16"/>
      <c r="MGK3" s="16"/>
      <c r="MGL3" s="16"/>
      <c r="MGM3" s="16"/>
      <c r="MGN3" s="16"/>
      <c r="MGO3" s="16"/>
      <c r="MGP3" s="16"/>
      <c r="MGQ3" s="16"/>
      <c r="MGR3" s="16"/>
      <c r="MGS3" s="16"/>
      <c r="MGT3" s="16"/>
      <c r="MGU3" s="16"/>
      <c r="MGV3" s="16"/>
      <c r="MGW3" s="16"/>
      <c r="MGX3" s="16"/>
      <c r="MGY3" s="16"/>
      <c r="MGZ3" s="16"/>
      <c r="MHA3" s="16"/>
      <c r="MHB3" s="16"/>
      <c r="MHC3" s="16"/>
      <c r="MHD3" s="16"/>
      <c r="MHE3" s="16"/>
      <c r="MHF3" s="16"/>
      <c r="MHG3" s="16"/>
      <c r="MHH3" s="16"/>
      <c r="MHI3" s="16"/>
      <c r="MHJ3" s="16"/>
      <c r="MHK3" s="16"/>
      <c r="MHL3" s="16"/>
      <c r="MHM3" s="16"/>
      <c r="MHN3" s="16"/>
      <c r="MHO3" s="16"/>
      <c r="MHP3" s="16"/>
      <c r="MHQ3" s="16"/>
      <c r="MHR3" s="16"/>
      <c r="MHS3" s="16"/>
      <c r="MHT3" s="16"/>
      <c r="MHU3" s="16"/>
      <c r="MHV3" s="16"/>
      <c r="MHW3" s="16"/>
      <c r="MHX3" s="16"/>
      <c r="MHY3" s="16"/>
      <c r="MHZ3" s="16"/>
      <c r="MIA3" s="16"/>
      <c r="MIB3" s="16"/>
      <c r="MIC3" s="16"/>
      <c r="MID3" s="16"/>
      <c r="MIE3" s="16"/>
      <c r="MIF3" s="16"/>
      <c r="MIG3" s="16"/>
      <c r="MIH3" s="16"/>
      <c r="MII3" s="16"/>
      <c r="MIJ3" s="16"/>
      <c r="MIK3" s="16"/>
      <c r="MIL3" s="16"/>
      <c r="MIM3" s="16"/>
      <c r="MIN3" s="16"/>
      <c r="MIO3" s="16"/>
      <c r="MIP3" s="16"/>
      <c r="MIQ3" s="16"/>
      <c r="MIR3" s="16"/>
      <c r="MIS3" s="16"/>
      <c r="MIT3" s="16"/>
      <c r="MIU3" s="16"/>
      <c r="MIV3" s="16"/>
      <c r="MIW3" s="16"/>
      <c r="MIX3" s="16"/>
      <c r="MIY3" s="16"/>
      <c r="MIZ3" s="16"/>
      <c r="MJA3" s="16"/>
      <c r="MJB3" s="16"/>
      <c r="MJC3" s="16"/>
      <c r="MJD3" s="16"/>
      <c r="MJE3" s="16"/>
      <c r="MJF3" s="16"/>
      <c r="MJG3" s="16"/>
      <c r="MJH3" s="16"/>
      <c r="MJI3" s="16"/>
      <c r="MJJ3" s="16"/>
      <c r="MJK3" s="16"/>
      <c r="MJL3" s="16"/>
      <c r="MJM3" s="16"/>
      <c r="MJN3" s="16"/>
      <c r="MJO3" s="16"/>
      <c r="MJP3" s="16"/>
      <c r="MJQ3" s="16"/>
      <c r="MJR3" s="16"/>
      <c r="MJS3" s="16"/>
      <c r="MJT3" s="16"/>
      <c r="MJU3" s="16"/>
      <c r="MJV3" s="16"/>
      <c r="MJW3" s="16"/>
      <c r="MJX3" s="16"/>
      <c r="MJY3" s="16"/>
      <c r="MJZ3" s="16"/>
      <c r="MKA3" s="16"/>
      <c r="MKB3" s="16"/>
      <c r="MKC3" s="16"/>
      <c r="MKD3" s="16"/>
      <c r="MKE3" s="16"/>
      <c r="MKF3" s="16"/>
      <c r="MKG3" s="16"/>
      <c r="MKH3" s="16"/>
      <c r="MKI3" s="16"/>
      <c r="MKJ3" s="16"/>
      <c r="MKK3" s="16"/>
      <c r="MKL3" s="16"/>
      <c r="MKM3" s="16"/>
      <c r="MKN3" s="16"/>
      <c r="MKO3" s="16"/>
      <c r="MKP3" s="16"/>
      <c r="MKQ3" s="16"/>
      <c r="MKR3" s="16"/>
      <c r="MKS3" s="16"/>
      <c r="MKT3" s="16"/>
      <c r="MKU3" s="16"/>
      <c r="MKV3" s="16"/>
      <c r="MKW3" s="16"/>
      <c r="MKX3" s="16"/>
      <c r="MKY3" s="16"/>
      <c r="MKZ3" s="16"/>
      <c r="MLA3" s="16"/>
      <c r="MLB3" s="16"/>
      <c r="MLC3" s="16"/>
      <c r="MLD3" s="16"/>
      <c r="MLE3" s="16"/>
      <c r="MLF3" s="16"/>
      <c r="MLG3" s="16"/>
      <c r="MLH3" s="16"/>
      <c r="MLI3" s="16"/>
      <c r="MLJ3" s="16"/>
      <c r="MLK3" s="16"/>
      <c r="MLL3" s="16"/>
      <c r="MLM3" s="16"/>
      <c r="MLN3" s="16"/>
      <c r="MLO3" s="16"/>
      <c r="MLP3" s="16"/>
      <c r="MLQ3" s="16"/>
      <c r="MLR3" s="16"/>
      <c r="MLS3" s="16"/>
      <c r="MLT3" s="16"/>
      <c r="MLU3" s="16"/>
      <c r="MLV3" s="16"/>
      <c r="MLW3" s="16"/>
      <c r="MLX3" s="16"/>
      <c r="MLY3" s="16"/>
      <c r="MLZ3" s="16"/>
      <c r="MMA3" s="16"/>
      <c r="MMB3" s="16"/>
      <c r="MMC3" s="16"/>
      <c r="MMD3" s="16"/>
      <c r="MME3" s="16"/>
      <c r="MMF3" s="16"/>
      <c r="MMG3" s="16"/>
      <c r="MMH3" s="16"/>
      <c r="MMI3" s="16"/>
      <c r="MMJ3" s="16"/>
      <c r="MMK3" s="16"/>
      <c r="MML3" s="16"/>
      <c r="MMM3" s="16"/>
      <c r="MMN3" s="16"/>
      <c r="MMO3" s="16"/>
      <c r="MMP3" s="16"/>
      <c r="MMQ3" s="16"/>
      <c r="MMR3" s="16"/>
      <c r="MMS3" s="16"/>
      <c r="MMT3" s="16"/>
      <c r="MMU3" s="16"/>
      <c r="MMV3" s="16"/>
      <c r="MMW3" s="16"/>
      <c r="MMX3" s="16"/>
      <c r="MMY3" s="16"/>
      <c r="MMZ3" s="16"/>
      <c r="MNA3" s="16"/>
      <c r="MNB3" s="16"/>
      <c r="MNC3" s="16"/>
      <c r="MND3" s="16"/>
      <c r="MNE3" s="16"/>
      <c r="MNF3" s="16"/>
      <c r="MNG3" s="16"/>
      <c r="MNH3" s="16"/>
      <c r="MNI3" s="16"/>
      <c r="MNJ3" s="16"/>
      <c r="MNK3" s="16"/>
      <c r="MNL3" s="16"/>
      <c r="MNM3" s="16"/>
      <c r="MNN3" s="16"/>
      <c r="MNO3" s="16"/>
      <c r="MNP3" s="16"/>
      <c r="MNQ3" s="16"/>
      <c r="MNR3" s="16"/>
      <c r="MNS3" s="16"/>
      <c r="MNT3" s="16"/>
      <c r="MNU3" s="16"/>
      <c r="MNV3" s="16"/>
      <c r="MNW3" s="16"/>
      <c r="MNX3" s="16"/>
      <c r="MNY3" s="16"/>
      <c r="MNZ3" s="16"/>
      <c r="MOA3" s="16"/>
      <c r="MOB3" s="16"/>
      <c r="MOC3" s="16"/>
      <c r="MOD3" s="16"/>
      <c r="MOE3" s="16"/>
      <c r="MOF3" s="16"/>
      <c r="MOG3" s="16"/>
      <c r="MOH3" s="16"/>
      <c r="MOI3" s="16"/>
      <c r="MOJ3" s="16"/>
      <c r="MOK3" s="16"/>
      <c r="MOL3" s="16"/>
      <c r="MOM3" s="16"/>
      <c r="MON3" s="16"/>
      <c r="MOO3" s="16"/>
      <c r="MOP3" s="16"/>
      <c r="MOQ3" s="16"/>
      <c r="MOR3" s="16"/>
      <c r="MOS3" s="16"/>
      <c r="MOT3" s="16"/>
      <c r="MOU3" s="16"/>
      <c r="MOV3" s="16"/>
      <c r="MOW3" s="16"/>
      <c r="MOX3" s="16"/>
      <c r="MOY3" s="16"/>
      <c r="MOZ3" s="16"/>
      <c r="MPA3" s="16"/>
      <c r="MPB3" s="16"/>
      <c r="MPC3" s="16"/>
      <c r="MPD3" s="16"/>
      <c r="MPE3" s="16"/>
      <c r="MPF3" s="16"/>
      <c r="MPG3" s="16"/>
      <c r="MPH3" s="16"/>
      <c r="MPI3" s="16"/>
      <c r="MPJ3" s="16"/>
      <c r="MPK3" s="16"/>
      <c r="MPL3" s="16"/>
      <c r="MPM3" s="16"/>
      <c r="MPN3" s="16"/>
      <c r="MPO3" s="16"/>
      <c r="MPP3" s="16"/>
      <c r="MPQ3" s="16"/>
      <c r="MPR3" s="16"/>
      <c r="MPS3" s="16"/>
      <c r="MPT3" s="16"/>
      <c r="MPU3" s="16"/>
      <c r="MPV3" s="16"/>
      <c r="MPW3" s="16"/>
      <c r="MPX3" s="16"/>
      <c r="MPY3" s="16"/>
      <c r="MPZ3" s="16"/>
      <c r="MQA3" s="16"/>
      <c r="MQB3" s="16"/>
      <c r="MQC3" s="16"/>
      <c r="MQD3" s="16"/>
      <c r="MQE3" s="16"/>
      <c r="MQF3" s="16"/>
      <c r="MQG3" s="16"/>
      <c r="MQH3" s="16"/>
      <c r="MQI3" s="16"/>
      <c r="MQJ3" s="16"/>
      <c r="MQK3" s="16"/>
      <c r="MQL3" s="16"/>
      <c r="MQM3" s="16"/>
      <c r="MQN3" s="16"/>
      <c r="MQO3" s="16"/>
      <c r="MQP3" s="16"/>
      <c r="MQQ3" s="16"/>
      <c r="MQR3" s="16"/>
      <c r="MQS3" s="16"/>
      <c r="MQT3" s="16"/>
      <c r="MQU3" s="16"/>
      <c r="MQV3" s="16"/>
      <c r="MQW3" s="16"/>
      <c r="MQX3" s="16"/>
      <c r="MQY3" s="16"/>
      <c r="MQZ3" s="16"/>
      <c r="MRA3" s="16"/>
      <c r="MRB3" s="16"/>
      <c r="MRC3" s="16"/>
      <c r="MRD3" s="16"/>
      <c r="MRE3" s="16"/>
      <c r="MRF3" s="16"/>
      <c r="MRG3" s="16"/>
      <c r="MRH3" s="16"/>
      <c r="MRI3" s="16"/>
      <c r="MRJ3" s="16"/>
      <c r="MRK3" s="16"/>
      <c r="MRL3" s="16"/>
      <c r="MRM3" s="16"/>
      <c r="MRN3" s="16"/>
      <c r="MRO3" s="16"/>
      <c r="MRP3" s="16"/>
      <c r="MRQ3" s="16"/>
      <c r="MRR3" s="16"/>
      <c r="MRS3" s="16"/>
      <c r="MRT3" s="16"/>
      <c r="MRU3" s="16"/>
      <c r="MRV3" s="16"/>
      <c r="MRW3" s="16"/>
      <c r="MRX3" s="16"/>
      <c r="MRY3" s="16"/>
      <c r="MRZ3" s="16"/>
      <c r="MSA3" s="16"/>
      <c r="MSB3" s="16"/>
      <c r="MSC3" s="16"/>
      <c r="MSD3" s="16"/>
      <c r="MSE3" s="16"/>
      <c r="MSF3" s="16"/>
      <c r="MSG3" s="16"/>
      <c r="MSH3" s="16"/>
      <c r="MSI3" s="16"/>
      <c r="MSJ3" s="16"/>
      <c r="MSK3" s="16"/>
      <c r="MSL3" s="16"/>
      <c r="MSM3" s="16"/>
      <c r="MSN3" s="16"/>
      <c r="MSO3" s="16"/>
      <c r="MSP3" s="16"/>
      <c r="MSQ3" s="16"/>
      <c r="MSR3" s="16"/>
      <c r="MSS3" s="16"/>
      <c r="MST3" s="16"/>
      <c r="MSU3" s="16"/>
      <c r="MSV3" s="16"/>
      <c r="MSW3" s="16"/>
      <c r="MSX3" s="16"/>
      <c r="MSY3" s="16"/>
      <c r="MSZ3" s="16"/>
      <c r="MTA3" s="16"/>
      <c r="MTB3" s="16"/>
      <c r="MTC3" s="16"/>
      <c r="MTD3" s="16"/>
      <c r="MTE3" s="16"/>
      <c r="MTF3" s="16"/>
      <c r="MTG3" s="16"/>
      <c r="MTH3" s="16"/>
      <c r="MTI3" s="16"/>
      <c r="MTJ3" s="16"/>
      <c r="MTK3" s="16"/>
      <c r="MTL3" s="16"/>
      <c r="MTM3" s="16"/>
      <c r="MTN3" s="16"/>
      <c r="MTO3" s="16"/>
      <c r="MTP3" s="16"/>
      <c r="MTQ3" s="16"/>
      <c r="MTR3" s="16"/>
      <c r="MTS3" s="16"/>
      <c r="MTT3" s="16"/>
      <c r="MTU3" s="16"/>
      <c r="MTV3" s="16"/>
      <c r="MTW3" s="16"/>
      <c r="MTX3" s="16"/>
      <c r="MTY3" s="16"/>
      <c r="MTZ3" s="16"/>
      <c r="MUA3" s="16"/>
      <c r="MUB3" s="16"/>
      <c r="MUC3" s="16"/>
      <c r="MUD3" s="16"/>
      <c r="MUE3" s="16"/>
      <c r="MUF3" s="16"/>
      <c r="MUG3" s="16"/>
      <c r="MUH3" s="16"/>
      <c r="MUI3" s="16"/>
      <c r="MUJ3" s="16"/>
      <c r="MUK3" s="16"/>
      <c r="MUL3" s="16"/>
      <c r="MUM3" s="16"/>
      <c r="MUN3" s="16"/>
      <c r="MUO3" s="16"/>
      <c r="MUP3" s="16"/>
      <c r="MUQ3" s="16"/>
      <c r="MUR3" s="16"/>
      <c r="MUS3" s="16"/>
      <c r="MUT3" s="16"/>
      <c r="MUU3" s="16"/>
      <c r="MUV3" s="16"/>
      <c r="MUW3" s="16"/>
      <c r="MUX3" s="16"/>
      <c r="MUY3" s="16"/>
      <c r="MUZ3" s="16"/>
      <c r="MVA3" s="16"/>
      <c r="MVB3" s="16"/>
      <c r="MVC3" s="16"/>
      <c r="MVD3" s="16"/>
      <c r="MVE3" s="16"/>
      <c r="MVF3" s="16"/>
      <c r="MVG3" s="16"/>
      <c r="MVH3" s="16"/>
      <c r="MVI3" s="16"/>
      <c r="MVJ3" s="16"/>
      <c r="MVK3" s="16"/>
      <c r="MVL3" s="16"/>
      <c r="MVM3" s="16"/>
      <c r="MVN3" s="16"/>
      <c r="MVO3" s="16"/>
      <c r="MVP3" s="16"/>
      <c r="MVQ3" s="16"/>
      <c r="MVR3" s="16"/>
      <c r="MVS3" s="16"/>
      <c r="MVT3" s="16"/>
      <c r="MVU3" s="16"/>
      <c r="MVV3" s="16"/>
      <c r="MVW3" s="16"/>
      <c r="MVX3" s="16"/>
      <c r="MVY3" s="16"/>
      <c r="MVZ3" s="16"/>
      <c r="MWA3" s="16"/>
      <c r="MWB3" s="16"/>
      <c r="MWC3" s="16"/>
      <c r="MWD3" s="16"/>
      <c r="MWE3" s="16"/>
      <c r="MWF3" s="16"/>
      <c r="MWG3" s="16"/>
      <c r="MWH3" s="16"/>
      <c r="MWI3" s="16"/>
      <c r="MWJ3" s="16"/>
      <c r="MWK3" s="16"/>
      <c r="MWL3" s="16"/>
      <c r="MWM3" s="16"/>
      <c r="MWN3" s="16"/>
      <c r="MWO3" s="16"/>
      <c r="MWP3" s="16"/>
      <c r="MWQ3" s="16"/>
      <c r="MWR3" s="16"/>
      <c r="MWS3" s="16"/>
      <c r="MWT3" s="16"/>
      <c r="MWU3" s="16"/>
      <c r="MWV3" s="16"/>
      <c r="MWW3" s="16"/>
      <c r="MWX3" s="16"/>
      <c r="MWY3" s="16"/>
      <c r="MWZ3" s="16"/>
      <c r="MXA3" s="16"/>
      <c r="MXB3" s="16"/>
      <c r="MXC3" s="16"/>
      <c r="MXD3" s="16"/>
      <c r="MXE3" s="16"/>
      <c r="MXF3" s="16"/>
      <c r="MXG3" s="16"/>
      <c r="MXH3" s="16"/>
      <c r="MXI3" s="16"/>
      <c r="MXJ3" s="16"/>
      <c r="MXK3" s="16"/>
      <c r="MXL3" s="16"/>
      <c r="MXM3" s="16"/>
      <c r="MXN3" s="16"/>
      <c r="MXO3" s="16"/>
      <c r="MXP3" s="16"/>
      <c r="MXQ3" s="16"/>
      <c r="MXR3" s="16"/>
      <c r="MXS3" s="16"/>
      <c r="MXT3" s="16"/>
      <c r="MXU3" s="16"/>
      <c r="MXV3" s="16"/>
      <c r="MXW3" s="16"/>
      <c r="MXX3" s="16"/>
      <c r="MXY3" s="16"/>
      <c r="MXZ3" s="16"/>
      <c r="MYA3" s="16"/>
      <c r="MYB3" s="16"/>
      <c r="MYC3" s="16"/>
      <c r="MYD3" s="16"/>
      <c r="MYE3" s="16"/>
      <c r="MYF3" s="16"/>
      <c r="MYG3" s="16"/>
      <c r="MYH3" s="16"/>
      <c r="MYI3" s="16"/>
      <c r="MYJ3" s="16"/>
      <c r="MYK3" s="16"/>
      <c r="MYL3" s="16"/>
      <c r="MYM3" s="16"/>
      <c r="MYN3" s="16"/>
      <c r="MYO3" s="16"/>
      <c r="MYP3" s="16"/>
      <c r="MYQ3" s="16"/>
      <c r="MYR3" s="16"/>
      <c r="MYS3" s="16"/>
      <c r="MYT3" s="16"/>
      <c r="MYU3" s="16"/>
      <c r="MYV3" s="16"/>
      <c r="MYW3" s="16"/>
      <c r="MYX3" s="16"/>
      <c r="MYY3" s="16"/>
      <c r="MYZ3" s="16"/>
      <c r="MZA3" s="16"/>
      <c r="MZB3" s="16"/>
      <c r="MZC3" s="16"/>
      <c r="MZD3" s="16"/>
      <c r="MZE3" s="16"/>
      <c r="MZF3" s="16"/>
      <c r="MZG3" s="16"/>
      <c r="MZH3" s="16"/>
      <c r="MZI3" s="16"/>
      <c r="MZJ3" s="16"/>
      <c r="MZK3" s="16"/>
      <c r="MZL3" s="16"/>
      <c r="MZM3" s="16"/>
      <c r="MZN3" s="16"/>
      <c r="MZO3" s="16"/>
      <c r="MZP3" s="16"/>
      <c r="MZQ3" s="16"/>
      <c r="MZR3" s="16"/>
      <c r="MZS3" s="16"/>
      <c r="MZT3" s="16"/>
      <c r="MZU3" s="16"/>
      <c r="MZV3" s="16"/>
      <c r="MZW3" s="16"/>
      <c r="MZX3" s="16"/>
      <c r="MZY3" s="16"/>
      <c r="MZZ3" s="16"/>
      <c r="NAA3" s="16"/>
      <c r="NAB3" s="16"/>
      <c r="NAC3" s="16"/>
      <c r="NAD3" s="16"/>
      <c r="NAE3" s="16"/>
      <c r="NAF3" s="16"/>
      <c r="NAG3" s="16"/>
      <c r="NAH3" s="16"/>
      <c r="NAI3" s="16"/>
      <c r="NAJ3" s="16"/>
      <c r="NAK3" s="16"/>
      <c r="NAL3" s="16"/>
      <c r="NAM3" s="16"/>
      <c r="NAN3" s="16"/>
      <c r="NAO3" s="16"/>
      <c r="NAP3" s="16"/>
      <c r="NAQ3" s="16"/>
      <c r="NAR3" s="16"/>
      <c r="NAS3" s="16"/>
      <c r="NAT3" s="16"/>
      <c r="NAU3" s="16"/>
      <c r="NAV3" s="16"/>
      <c r="NAW3" s="16"/>
      <c r="NAX3" s="16"/>
      <c r="NAY3" s="16"/>
      <c r="NAZ3" s="16"/>
      <c r="NBA3" s="16"/>
      <c r="NBB3" s="16"/>
      <c r="NBC3" s="16"/>
      <c r="NBD3" s="16"/>
      <c r="NBE3" s="16"/>
      <c r="NBF3" s="16"/>
      <c r="NBG3" s="16"/>
      <c r="NBH3" s="16"/>
      <c r="NBI3" s="16"/>
      <c r="NBJ3" s="16"/>
      <c r="NBK3" s="16"/>
      <c r="NBL3" s="16"/>
      <c r="NBM3" s="16"/>
      <c r="NBN3" s="16"/>
      <c r="NBO3" s="16"/>
      <c r="NBP3" s="16"/>
      <c r="NBQ3" s="16"/>
      <c r="NBR3" s="16"/>
      <c r="NBS3" s="16"/>
      <c r="NBT3" s="16"/>
      <c r="NBU3" s="16"/>
      <c r="NBV3" s="16"/>
      <c r="NBW3" s="16"/>
      <c r="NBX3" s="16"/>
      <c r="NBY3" s="16"/>
      <c r="NBZ3" s="16"/>
      <c r="NCA3" s="16"/>
      <c r="NCB3" s="16"/>
      <c r="NCC3" s="16"/>
      <c r="NCD3" s="16"/>
      <c r="NCE3" s="16"/>
      <c r="NCF3" s="16"/>
      <c r="NCG3" s="16"/>
      <c r="NCH3" s="16"/>
      <c r="NCI3" s="16"/>
      <c r="NCJ3" s="16"/>
      <c r="NCK3" s="16"/>
      <c r="NCL3" s="16"/>
      <c r="NCM3" s="16"/>
      <c r="NCN3" s="16"/>
      <c r="NCO3" s="16"/>
      <c r="NCP3" s="16"/>
      <c r="NCQ3" s="16"/>
      <c r="NCR3" s="16"/>
      <c r="NCS3" s="16"/>
      <c r="NCT3" s="16"/>
      <c r="NCU3" s="16"/>
      <c r="NCV3" s="16"/>
      <c r="NCW3" s="16"/>
      <c r="NCX3" s="16"/>
      <c r="NCY3" s="16"/>
      <c r="NCZ3" s="16"/>
      <c r="NDA3" s="16"/>
      <c r="NDB3" s="16"/>
      <c r="NDC3" s="16"/>
      <c r="NDD3" s="16"/>
      <c r="NDE3" s="16"/>
      <c r="NDF3" s="16"/>
      <c r="NDG3" s="16"/>
      <c r="NDH3" s="16"/>
      <c r="NDI3" s="16"/>
      <c r="NDJ3" s="16"/>
      <c r="NDK3" s="16"/>
      <c r="NDL3" s="16"/>
      <c r="NDM3" s="16"/>
      <c r="NDN3" s="16"/>
      <c r="NDO3" s="16"/>
      <c r="NDP3" s="16"/>
      <c r="NDQ3" s="16"/>
      <c r="NDR3" s="16"/>
      <c r="NDS3" s="16"/>
      <c r="NDT3" s="16"/>
      <c r="NDU3" s="16"/>
      <c r="NDV3" s="16"/>
      <c r="NDW3" s="16"/>
      <c r="NDX3" s="16"/>
      <c r="NDY3" s="16"/>
      <c r="NDZ3" s="16"/>
      <c r="NEA3" s="16"/>
      <c r="NEB3" s="16"/>
      <c r="NEC3" s="16"/>
      <c r="NED3" s="16"/>
      <c r="NEE3" s="16"/>
      <c r="NEF3" s="16"/>
      <c r="NEG3" s="16"/>
      <c r="NEH3" s="16"/>
      <c r="NEI3" s="16"/>
      <c r="NEJ3" s="16"/>
      <c r="NEK3" s="16"/>
      <c r="NEL3" s="16"/>
      <c r="NEM3" s="16"/>
      <c r="NEN3" s="16"/>
      <c r="NEO3" s="16"/>
      <c r="NEP3" s="16"/>
      <c r="NEQ3" s="16"/>
      <c r="NER3" s="16"/>
      <c r="NES3" s="16"/>
      <c r="NET3" s="16"/>
      <c r="NEU3" s="16"/>
      <c r="NEV3" s="16"/>
      <c r="NEW3" s="16"/>
      <c r="NEX3" s="16"/>
      <c r="NEY3" s="16"/>
      <c r="NEZ3" s="16"/>
      <c r="NFA3" s="16"/>
      <c r="NFB3" s="16"/>
      <c r="NFC3" s="16"/>
      <c r="NFD3" s="16"/>
      <c r="NFE3" s="16"/>
      <c r="NFF3" s="16"/>
      <c r="NFG3" s="16"/>
      <c r="NFH3" s="16"/>
      <c r="NFI3" s="16"/>
      <c r="NFJ3" s="16"/>
      <c r="NFK3" s="16"/>
      <c r="NFL3" s="16"/>
      <c r="NFM3" s="16"/>
      <c r="NFN3" s="16"/>
      <c r="NFO3" s="16"/>
      <c r="NFP3" s="16"/>
      <c r="NFQ3" s="16"/>
      <c r="NFR3" s="16"/>
      <c r="NFS3" s="16"/>
      <c r="NFT3" s="16"/>
      <c r="NFU3" s="16"/>
      <c r="NFV3" s="16"/>
      <c r="NFW3" s="16"/>
      <c r="NFX3" s="16"/>
      <c r="NFY3" s="16"/>
      <c r="NFZ3" s="16"/>
      <c r="NGA3" s="16"/>
      <c r="NGB3" s="16"/>
      <c r="NGC3" s="16"/>
      <c r="NGD3" s="16"/>
      <c r="NGE3" s="16"/>
      <c r="NGF3" s="16"/>
      <c r="NGG3" s="16"/>
      <c r="NGH3" s="16"/>
      <c r="NGI3" s="16"/>
      <c r="NGJ3" s="16"/>
      <c r="NGK3" s="16"/>
      <c r="NGL3" s="16"/>
      <c r="NGM3" s="16"/>
      <c r="NGN3" s="16"/>
      <c r="NGO3" s="16"/>
      <c r="NGP3" s="16"/>
      <c r="NGQ3" s="16"/>
      <c r="NGR3" s="16"/>
      <c r="NGS3" s="16"/>
      <c r="NGT3" s="16"/>
      <c r="NGU3" s="16"/>
      <c r="NGV3" s="16"/>
      <c r="NGW3" s="16"/>
      <c r="NGX3" s="16"/>
      <c r="NGY3" s="16"/>
      <c r="NGZ3" s="16"/>
      <c r="NHA3" s="16"/>
      <c r="NHB3" s="16"/>
      <c r="NHC3" s="16"/>
      <c r="NHD3" s="16"/>
      <c r="NHE3" s="16"/>
      <c r="NHF3" s="16"/>
      <c r="NHG3" s="16"/>
      <c r="NHH3" s="16"/>
      <c r="NHI3" s="16"/>
      <c r="NHJ3" s="16"/>
      <c r="NHK3" s="16"/>
      <c r="NHL3" s="16"/>
      <c r="NHM3" s="16"/>
      <c r="NHN3" s="16"/>
      <c r="NHO3" s="16"/>
      <c r="NHP3" s="16"/>
      <c r="NHQ3" s="16"/>
      <c r="NHR3" s="16"/>
      <c r="NHS3" s="16"/>
      <c r="NHT3" s="16"/>
      <c r="NHU3" s="16"/>
      <c r="NHV3" s="16"/>
      <c r="NHW3" s="16"/>
      <c r="NHX3" s="16"/>
      <c r="NHY3" s="16"/>
      <c r="NHZ3" s="16"/>
      <c r="NIA3" s="16"/>
      <c r="NIB3" s="16"/>
      <c r="NIC3" s="16"/>
      <c r="NID3" s="16"/>
      <c r="NIE3" s="16"/>
      <c r="NIF3" s="16"/>
      <c r="NIG3" s="16"/>
      <c r="NIH3" s="16"/>
      <c r="NII3" s="16"/>
      <c r="NIJ3" s="16"/>
      <c r="NIK3" s="16"/>
      <c r="NIL3" s="16"/>
      <c r="NIM3" s="16"/>
      <c r="NIN3" s="16"/>
      <c r="NIO3" s="16"/>
      <c r="NIP3" s="16"/>
      <c r="NIQ3" s="16"/>
      <c r="NIR3" s="16"/>
      <c r="NIS3" s="16"/>
      <c r="NIT3" s="16"/>
      <c r="NIU3" s="16"/>
      <c r="NIV3" s="16"/>
      <c r="NIW3" s="16"/>
      <c r="NIX3" s="16"/>
      <c r="NIY3" s="16"/>
      <c r="NIZ3" s="16"/>
      <c r="NJA3" s="16"/>
      <c r="NJB3" s="16"/>
      <c r="NJC3" s="16"/>
      <c r="NJD3" s="16"/>
      <c r="NJE3" s="16"/>
      <c r="NJF3" s="16"/>
      <c r="NJG3" s="16"/>
      <c r="NJH3" s="16"/>
      <c r="NJI3" s="16"/>
      <c r="NJJ3" s="16"/>
      <c r="NJK3" s="16"/>
      <c r="NJL3" s="16"/>
      <c r="NJM3" s="16"/>
      <c r="NJN3" s="16"/>
      <c r="NJO3" s="16"/>
      <c r="NJP3" s="16"/>
      <c r="NJQ3" s="16"/>
      <c r="NJR3" s="16"/>
      <c r="NJS3" s="16"/>
      <c r="NJT3" s="16"/>
      <c r="NJU3" s="16"/>
      <c r="NJV3" s="16"/>
      <c r="NJW3" s="16"/>
      <c r="NJX3" s="16"/>
      <c r="NJY3" s="16"/>
      <c r="NJZ3" s="16"/>
      <c r="NKA3" s="16"/>
      <c r="NKB3" s="16"/>
      <c r="NKC3" s="16"/>
      <c r="NKD3" s="16"/>
      <c r="NKE3" s="16"/>
      <c r="NKF3" s="16"/>
      <c r="NKG3" s="16"/>
      <c r="NKH3" s="16"/>
      <c r="NKI3" s="16"/>
      <c r="NKJ3" s="16"/>
      <c r="NKK3" s="16"/>
      <c r="NKL3" s="16"/>
      <c r="NKM3" s="16"/>
      <c r="NKN3" s="16"/>
      <c r="NKO3" s="16"/>
      <c r="NKP3" s="16"/>
      <c r="NKQ3" s="16"/>
      <c r="NKR3" s="16"/>
      <c r="NKS3" s="16"/>
      <c r="NKT3" s="16"/>
      <c r="NKU3" s="16"/>
      <c r="NKV3" s="16"/>
      <c r="NKW3" s="16"/>
      <c r="NKX3" s="16"/>
      <c r="NKY3" s="16"/>
      <c r="NKZ3" s="16"/>
      <c r="NLA3" s="16"/>
      <c r="NLB3" s="16"/>
      <c r="NLC3" s="16"/>
      <c r="NLD3" s="16"/>
      <c r="NLE3" s="16"/>
      <c r="NLF3" s="16"/>
      <c r="NLG3" s="16"/>
      <c r="NLH3" s="16"/>
      <c r="NLI3" s="16"/>
      <c r="NLJ3" s="16"/>
      <c r="NLK3" s="16"/>
      <c r="NLL3" s="16"/>
      <c r="NLM3" s="16"/>
      <c r="NLN3" s="16"/>
      <c r="NLO3" s="16"/>
      <c r="NLP3" s="16"/>
      <c r="NLQ3" s="16"/>
      <c r="NLR3" s="16"/>
      <c r="NLS3" s="16"/>
      <c r="NLT3" s="16"/>
      <c r="NLU3" s="16"/>
      <c r="NLV3" s="16"/>
      <c r="NLW3" s="16"/>
      <c r="NLX3" s="16"/>
      <c r="NLY3" s="16"/>
      <c r="NLZ3" s="16"/>
      <c r="NMA3" s="16"/>
      <c r="NMB3" s="16"/>
      <c r="NMC3" s="16"/>
      <c r="NMD3" s="16"/>
      <c r="NME3" s="16"/>
      <c r="NMF3" s="16"/>
      <c r="NMG3" s="16"/>
      <c r="NMH3" s="16"/>
      <c r="NMI3" s="16"/>
      <c r="NMJ3" s="16"/>
      <c r="NMK3" s="16"/>
      <c r="NML3" s="16"/>
      <c r="NMM3" s="16"/>
      <c r="NMN3" s="16"/>
      <c r="NMO3" s="16"/>
      <c r="NMP3" s="16"/>
      <c r="NMQ3" s="16"/>
      <c r="NMR3" s="16"/>
      <c r="NMS3" s="16"/>
      <c r="NMT3" s="16"/>
      <c r="NMU3" s="16"/>
      <c r="NMV3" s="16"/>
      <c r="NMW3" s="16"/>
      <c r="NMX3" s="16"/>
      <c r="NMY3" s="16"/>
      <c r="NMZ3" s="16"/>
      <c r="NNA3" s="16"/>
      <c r="NNB3" s="16"/>
      <c r="NNC3" s="16"/>
      <c r="NND3" s="16"/>
      <c r="NNE3" s="16"/>
      <c r="NNF3" s="16"/>
      <c r="NNG3" s="16"/>
      <c r="NNH3" s="16"/>
      <c r="NNI3" s="16"/>
      <c r="NNJ3" s="16"/>
      <c r="NNK3" s="16"/>
      <c r="NNL3" s="16"/>
      <c r="NNM3" s="16"/>
      <c r="NNN3" s="16"/>
      <c r="NNO3" s="16"/>
      <c r="NNP3" s="16"/>
      <c r="NNQ3" s="16"/>
      <c r="NNR3" s="16"/>
      <c r="NNS3" s="16"/>
      <c r="NNT3" s="16"/>
      <c r="NNU3" s="16"/>
      <c r="NNV3" s="16"/>
      <c r="NNW3" s="16"/>
      <c r="NNX3" s="16"/>
      <c r="NNY3" s="16"/>
      <c r="NNZ3" s="16"/>
      <c r="NOA3" s="16"/>
      <c r="NOB3" s="16"/>
      <c r="NOC3" s="16"/>
      <c r="NOD3" s="16"/>
      <c r="NOE3" s="16"/>
      <c r="NOF3" s="16"/>
      <c r="NOG3" s="16"/>
      <c r="NOH3" s="16"/>
      <c r="NOI3" s="16"/>
      <c r="NOJ3" s="16"/>
      <c r="NOK3" s="16"/>
      <c r="NOL3" s="16"/>
      <c r="NOM3" s="16"/>
      <c r="NON3" s="16"/>
      <c r="NOO3" s="16"/>
      <c r="NOP3" s="16"/>
      <c r="NOQ3" s="16"/>
      <c r="NOR3" s="16"/>
      <c r="NOS3" s="16"/>
      <c r="NOT3" s="16"/>
      <c r="NOU3" s="16"/>
      <c r="NOV3" s="16"/>
      <c r="NOW3" s="16"/>
      <c r="NOX3" s="16"/>
      <c r="NOY3" s="16"/>
      <c r="NOZ3" s="16"/>
      <c r="NPA3" s="16"/>
      <c r="NPB3" s="16"/>
      <c r="NPC3" s="16"/>
      <c r="NPD3" s="16"/>
      <c r="NPE3" s="16"/>
      <c r="NPF3" s="16"/>
      <c r="NPG3" s="16"/>
      <c r="NPH3" s="16"/>
      <c r="NPI3" s="16"/>
      <c r="NPJ3" s="16"/>
      <c r="NPK3" s="16"/>
      <c r="NPL3" s="16"/>
      <c r="NPM3" s="16"/>
      <c r="NPN3" s="16"/>
      <c r="NPO3" s="16"/>
      <c r="NPP3" s="16"/>
      <c r="NPQ3" s="16"/>
      <c r="NPR3" s="16"/>
      <c r="NPS3" s="16"/>
      <c r="NPT3" s="16"/>
      <c r="NPU3" s="16"/>
      <c r="NPV3" s="16"/>
      <c r="NPW3" s="16"/>
      <c r="NPX3" s="16"/>
      <c r="NPY3" s="16"/>
      <c r="NPZ3" s="16"/>
      <c r="NQA3" s="16"/>
      <c r="NQB3" s="16"/>
      <c r="NQC3" s="16"/>
      <c r="NQD3" s="16"/>
      <c r="NQE3" s="16"/>
      <c r="NQF3" s="16"/>
      <c r="NQG3" s="16"/>
      <c r="NQH3" s="16"/>
      <c r="NQI3" s="16"/>
      <c r="NQJ3" s="16"/>
      <c r="NQK3" s="16"/>
      <c r="NQL3" s="16"/>
      <c r="NQM3" s="16"/>
      <c r="NQN3" s="16"/>
      <c r="NQO3" s="16"/>
      <c r="NQP3" s="16"/>
      <c r="NQQ3" s="16"/>
      <c r="NQR3" s="16"/>
      <c r="NQS3" s="16"/>
      <c r="NQT3" s="16"/>
      <c r="NQU3" s="16"/>
      <c r="NQV3" s="16"/>
      <c r="NQW3" s="16"/>
      <c r="NQX3" s="16"/>
      <c r="NQY3" s="16"/>
      <c r="NQZ3" s="16"/>
      <c r="NRA3" s="16"/>
      <c r="NRB3" s="16"/>
      <c r="NRC3" s="16"/>
      <c r="NRD3" s="16"/>
      <c r="NRE3" s="16"/>
      <c r="NRF3" s="16"/>
      <c r="NRG3" s="16"/>
      <c r="NRH3" s="16"/>
      <c r="NRI3" s="16"/>
      <c r="NRJ3" s="16"/>
      <c r="NRK3" s="16"/>
      <c r="NRL3" s="16"/>
      <c r="NRM3" s="16"/>
      <c r="NRN3" s="16"/>
      <c r="NRO3" s="16"/>
      <c r="NRP3" s="16"/>
      <c r="NRQ3" s="16"/>
      <c r="NRR3" s="16"/>
      <c r="NRS3" s="16"/>
      <c r="NRT3" s="16"/>
      <c r="NRU3" s="16"/>
      <c r="NRV3" s="16"/>
      <c r="NRW3" s="16"/>
      <c r="NRX3" s="16"/>
      <c r="NRY3" s="16"/>
      <c r="NRZ3" s="16"/>
      <c r="NSA3" s="16"/>
      <c r="NSB3" s="16"/>
      <c r="NSC3" s="16"/>
      <c r="NSD3" s="16"/>
      <c r="NSE3" s="16"/>
      <c r="NSF3" s="16"/>
      <c r="NSG3" s="16"/>
      <c r="NSH3" s="16"/>
      <c r="NSI3" s="16"/>
      <c r="NSJ3" s="16"/>
      <c r="NSK3" s="16"/>
      <c r="NSL3" s="16"/>
      <c r="NSM3" s="16"/>
      <c r="NSN3" s="16"/>
      <c r="NSO3" s="16"/>
      <c r="NSP3" s="16"/>
      <c r="NSQ3" s="16"/>
      <c r="NSR3" s="16"/>
      <c r="NSS3" s="16"/>
      <c r="NST3" s="16"/>
      <c r="NSU3" s="16"/>
      <c r="NSV3" s="16"/>
      <c r="NSW3" s="16"/>
      <c r="NSX3" s="16"/>
      <c r="NSY3" s="16"/>
      <c r="NSZ3" s="16"/>
      <c r="NTA3" s="16"/>
      <c r="NTB3" s="16"/>
      <c r="NTC3" s="16"/>
      <c r="NTD3" s="16"/>
      <c r="NTE3" s="16"/>
      <c r="NTF3" s="16"/>
      <c r="NTG3" s="16"/>
      <c r="NTH3" s="16"/>
      <c r="NTI3" s="16"/>
      <c r="NTJ3" s="16"/>
      <c r="NTK3" s="16"/>
      <c r="NTL3" s="16"/>
      <c r="NTM3" s="16"/>
      <c r="NTN3" s="16"/>
      <c r="NTO3" s="16"/>
      <c r="NTP3" s="16"/>
      <c r="NTQ3" s="16"/>
      <c r="NTR3" s="16"/>
      <c r="NTS3" s="16"/>
      <c r="NTT3" s="16"/>
      <c r="NTU3" s="16"/>
      <c r="NTV3" s="16"/>
      <c r="NTW3" s="16"/>
      <c r="NTX3" s="16"/>
      <c r="NTY3" s="16"/>
      <c r="NTZ3" s="16"/>
      <c r="NUA3" s="16"/>
      <c r="NUB3" s="16"/>
      <c r="NUC3" s="16"/>
      <c r="NUD3" s="16"/>
      <c r="NUE3" s="16"/>
      <c r="NUF3" s="16"/>
      <c r="NUG3" s="16"/>
      <c r="NUH3" s="16"/>
      <c r="NUI3" s="16"/>
      <c r="NUJ3" s="16"/>
      <c r="NUK3" s="16"/>
      <c r="NUL3" s="16"/>
      <c r="NUM3" s="16"/>
      <c r="NUN3" s="16"/>
      <c r="NUO3" s="16"/>
      <c r="NUP3" s="16"/>
      <c r="NUQ3" s="16"/>
      <c r="NUR3" s="16"/>
      <c r="NUS3" s="16"/>
      <c r="NUT3" s="16"/>
      <c r="NUU3" s="16"/>
      <c r="NUV3" s="16"/>
      <c r="NUW3" s="16"/>
      <c r="NUX3" s="16"/>
      <c r="NUY3" s="16"/>
      <c r="NUZ3" s="16"/>
      <c r="NVA3" s="16"/>
      <c r="NVB3" s="16"/>
      <c r="NVC3" s="16"/>
      <c r="NVD3" s="16"/>
      <c r="NVE3" s="16"/>
      <c r="NVF3" s="16"/>
      <c r="NVG3" s="16"/>
      <c r="NVH3" s="16"/>
      <c r="NVI3" s="16"/>
      <c r="NVJ3" s="16"/>
      <c r="NVK3" s="16"/>
      <c r="NVL3" s="16"/>
      <c r="NVM3" s="16"/>
      <c r="NVN3" s="16"/>
      <c r="NVO3" s="16"/>
      <c r="NVP3" s="16"/>
      <c r="NVQ3" s="16"/>
      <c r="NVR3" s="16"/>
      <c r="NVS3" s="16"/>
      <c r="NVT3" s="16"/>
      <c r="NVU3" s="16"/>
      <c r="NVV3" s="16"/>
      <c r="NVW3" s="16"/>
      <c r="NVX3" s="16"/>
      <c r="NVY3" s="16"/>
      <c r="NVZ3" s="16"/>
      <c r="NWA3" s="16"/>
      <c r="NWB3" s="16"/>
      <c r="NWC3" s="16"/>
      <c r="NWD3" s="16"/>
      <c r="NWE3" s="16"/>
      <c r="NWF3" s="16"/>
      <c r="NWG3" s="16"/>
      <c r="NWH3" s="16"/>
      <c r="NWI3" s="16"/>
      <c r="NWJ3" s="16"/>
      <c r="NWK3" s="16"/>
      <c r="NWL3" s="16"/>
      <c r="NWM3" s="16"/>
      <c r="NWN3" s="16"/>
      <c r="NWO3" s="16"/>
      <c r="NWP3" s="16"/>
      <c r="NWQ3" s="16"/>
      <c r="NWR3" s="16"/>
      <c r="NWS3" s="16"/>
      <c r="NWT3" s="16"/>
      <c r="NWU3" s="16"/>
      <c r="NWV3" s="16"/>
      <c r="NWW3" s="16"/>
      <c r="NWX3" s="16"/>
      <c r="NWY3" s="16"/>
      <c r="NWZ3" s="16"/>
      <c r="NXA3" s="16"/>
      <c r="NXB3" s="16"/>
      <c r="NXC3" s="16"/>
      <c r="NXD3" s="16"/>
      <c r="NXE3" s="16"/>
      <c r="NXF3" s="16"/>
      <c r="NXG3" s="16"/>
      <c r="NXH3" s="16"/>
      <c r="NXI3" s="16"/>
      <c r="NXJ3" s="16"/>
      <c r="NXK3" s="16"/>
      <c r="NXL3" s="16"/>
      <c r="NXM3" s="16"/>
      <c r="NXN3" s="16"/>
      <c r="NXO3" s="16"/>
      <c r="NXP3" s="16"/>
      <c r="NXQ3" s="16"/>
      <c r="NXR3" s="16"/>
      <c r="NXS3" s="16"/>
      <c r="NXT3" s="16"/>
      <c r="NXU3" s="16"/>
      <c r="NXV3" s="16"/>
      <c r="NXW3" s="16"/>
      <c r="NXX3" s="16"/>
      <c r="NXY3" s="16"/>
      <c r="NXZ3" s="16"/>
      <c r="NYA3" s="16"/>
      <c r="NYB3" s="16"/>
      <c r="NYC3" s="16"/>
      <c r="NYD3" s="16"/>
      <c r="NYE3" s="16"/>
      <c r="NYF3" s="16"/>
      <c r="NYG3" s="16"/>
      <c r="NYH3" s="16"/>
      <c r="NYI3" s="16"/>
      <c r="NYJ3" s="16"/>
      <c r="NYK3" s="16"/>
      <c r="NYL3" s="16"/>
      <c r="NYM3" s="16"/>
      <c r="NYN3" s="16"/>
      <c r="NYO3" s="16"/>
      <c r="NYP3" s="16"/>
      <c r="NYQ3" s="16"/>
      <c r="NYR3" s="16"/>
      <c r="NYS3" s="16"/>
      <c r="NYT3" s="16"/>
      <c r="NYU3" s="16"/>
      <c r="NYV3" s="16"/>
      <c r="NYW3" s="16"/>
      <c r="NYX3" s="16"/>
      <c r="NYY3" s="16"/>
      <c r="NYZ3" s="16"/>
      <c r="NZA3" s="16"/>
      <c r="NZB3" s="16"/>
      <c r="NZC3" s="16"/>
      <c r="NZD3" s="16"/>
      <c r="NZE3" s="16"/>
      <c r="NZF3" s="16"/>
      <c r="NZG3" s="16"/>
      <c r="NZH3" s="16"/>
      <c r="NZI3" s="16"/>
      <c r="NZJ3" s="16"/>
      <c r="NZK3" s="16"/>
      <c r="NZL3" s="16"/>
      <c r="NZM3" s="16"/>
      <c r="NZN3" s="16"/>
      <c r="NZO3" s="16"/>
      <c r="NZP3" s="16"/>
      <c r="NZQ3" s="16"/>
      <c r="NZR3" s="16"/>
      <c r="NZS3" s="16"/>
      <c r="NZT3" s="16"/>
      <c r="NZU3" s="16"/>
      <c r="NZV3" s="16"/>
      <c r="NZW3" s="16"/>
      <c r="NZX3" s="16"/>
      <c r="NZY3" s="16"/>
      <c r="NZZ3" s="16"/>
      <c r="OAA3" s="16"/>
      <c r="OAB3" s="16"/>
      <c r="OAC3" s="16"/>
      <c r="OAD3" s="16"/>
      <c r="OAE3" s="16"/>
      <c r="OAF3" s="16"/>
      <c r="OAG3" s="16"/>
      <c r="OAH3" s="16"/>
      <c r="OAI3" s="16"/>
      <c r="OAJ3" s="16"/>
      <c r="OAK3" s="16"/>
      <c r="OAL3" s="16"/>
      <c r="OAM3" s="16"/>
      <c r="OAN3" s="16"/>
      <c r="OAO3" s="16"/>
      <c r="OAP3" s="16"/>
      <c r="OAQ3" s="16"/>
      <c r="OAR3" s="16"/>
      <c r="OAS3" s="16"/>
      <c r="OAT3" s="16"/>
      <c r="OAU3" s="16"/>
      <c r="OAV3" s="16"/>
      <c r="OAW3" s="16"/>
      <c r="OAX3" s="16"/>
      <c r="OAY3" s="16"/>
      <c r="OAZ3" s="16"/>
      <c r="OBA3" s="16"/>
      <c r="OBB3" s="16"/>
      <c r="OBC3" s="16"/>
      <c r="OBD3" s="16"/>
      <c r="OBE3" s="16"/>
      <c r="OBF3" s="16"/>
      <c r="OBG3" s="16"/>
      <c r="OBH3" s="16"/>
      <c r="OBI3" s="16"/>
      <c r="OBJ3" s="16"/>
      <c r="OBK3" s="16"/>
      <c r="OBL3" s="16"/>
      <c r="OBM3" s="16"/>
      <c r="OBN3" s="16"/>
      <c r="OBO3" s="16"/>
      <c r="OBP3" s="16"/>
      <c r="OBQ3" s="16"/>
      <c r="OBR3" s="16"/>
      <c r="OBS3" s="16"/>
      <c r="OBT3" s="16"/>
      <c r="OBU3" s="16"/>
      <c r="OBV3" s="16"/>
      <c r="OBW3" s="16"/>
      <c r="OBX3" s="16"/>
      <c r="OBY3" s="16"/>
      <c r="OBZ3" s="16"/>
      <c r="OCA3" s="16"/>
      <c r="OCB3" s="16"/>
      <c r="OCC3" s="16"/>
      <c r="OCD3" s="16"/>
      <c r="OCE3" s="16"/>
      <c r="OCF3" s="16"/>
      <c r="OCG3" s="16"/>
      <c r="OCH3" s="16"/>
      <c r="OCI3" s="16"/>
      <c r="OCJ3" s="16"/>
      <c r="OCK3" s="16"/>
      <c r="OCL3" s="16"/>
      <c r="OCM3" s="16"/>
      <c r="OCN3" s="16"/>
      <c r="OCO3" s="16"/>
      <c r="OCP3" s="16"/>
      <c r="OCQ3" s="16"/>
      <c r="OCR3" s="16"/>
      <c r="OCS3" s="16"/>
      <c r="OCT3" s="16"/>
      <c r="OCU3" s="16"/>
      <c r="OCV3" s="16"/>
      <c r="OCW3" s="16"/>
      <c r="OCX3" s="16"/>
      <c r="OCY3" s="16"/>
      <c r="OCZ3" s="16"/>
      <c r="ODA3" s="16"/>
      <c r="ODB3" s="16"/>
      <c r="ODC3" s="16"/>
      <c r="ODD3" s="16"/>
      <c r="ODE3" s="16"/>
      <c r="ODF3" s="16"/>
      <c r="ODG3" s="16"/>
      <c r="ODH3" s="16"/>
      <c r="ODI3" s="16"/>
      <c r="ODJ3" s="16"/>
      <c r="ODK3" s="16"/>
      <c r="ODL3" s="16"/>
      <c r="ODM3" s="16"/>
      <c r="ODN3" s="16"/>
      <c r="ODO3" s="16"/>
      <c r="ODP3" s="16"/>
      <c r="ODQ3" s="16"/>
      <c r="ODR3" s="16"/>
      <c r="ODS3" s="16"/>
      <c r="ODT3" s="16"/>
      <c r="ODU3" s="16"/>
      <c r="ODV3" s="16"/>
      <c r="ODW3" s="16"/>
      <c r="ODX3" s="16"/>
      <c r="ODY3" s="16"/>
      <c r="ODZ3" s="16"/>
      <c r="OEA3" s="16"/>
      <c r="OEB3" s="16"/>
      <c r="OEC3" s="16"/>
      <c r="OED3" s="16"/>
      <c r="OEE3" s="16"/>
      <c r="OEF3" s="16"/>
      <c r="OEG3" s="16"/>
      <c r="OEH3" s="16"/>
      <c r="OEI3" s="16"/>
      <c r="OEJ3" s="16"/>
      <c r="OEK3" s="16"/>
      <c r="OEL3" s="16"/>
      <c r="OEM3" s="16"/>
      <c r="OEN3" s="16"/>
      <c r="OEO3" s="16"/>
      <c r="OEP3" s="16"/>
      <c r="OEQ3" s="16"/>
      <c r="OER3" s="16"/>
      <c r="OES3" s="16"/>
      <c r="OET3" s="16"/>
      <c r="OEU3" s="16"/>
      <c r="OEV3" s="16"/>
      <c r="OEW3" s="16"/>
      <c r="OEX3" s="16"/>
      <c r="OEY3" s="16"/>
      <c r="OEZ3" s="16"/>
      <c r="OFA3" s="16"/>
      <c r="OFB3" s="16"/>
      <c r="OFC3" s="16"/>
      <c r="OFD3" s="16"/>
      <c r="OFE3" s="16"/>
      <c r="OFF3" s="16"/>
      <c r="OFG3" s="16"/>
      <c r="OFH3" s="16"/>
      <c r="OFI3" s="16"/>
      <c r="OFJ3" s="16"/>
      <c r="OFK3" s="16"/>
      <c r="OFL3" s="16"/>
      <c r="OFM3" s="16"/>
      <c r="OFN3" s="16"/>
      <c r="OFO3" s="16"/>
      <c r="OFP3" s="16"/>
      <c r="OFQ3" s="16"/>
      <c r="OFR3" s="16"/>
      <c r="OFS3" s="16"/>
      <c r="OFT3" s="16"/>
      <c r="OFU3" s="16"/>
      <c r="OFV3" s="16"/>
      <c r="OFW3" s="16"/>
      <c r="OFX3" s="16"/>
      <c r="OFY3" s="16"/>
      <c r="OFZ3" s="16"/>
      <c r="OGA3" s="16"/>
      <c r="OGB3" s="16"/>
      <c r="OGC3" s="16"/>
      <c r="OGD3" s="16"/>
      <c r="OGE3" s="16"/>
      <c r="OGF3" s="16"/>
      <c r="OGG3" s="16"/>
      <c r="OGH3" s="16"/>
      <c r="OGI3" s="16"/>
      <c r="OGJ3" s="16"/>
      <c r="OGK3" s="16"/>
      <c r="OGL3" s="16"/>
      <c r="OGM3" s="16"/>
      <c r="OGN3" s="16"/>
      <c r="OGO3" s="16"/>
      <c r="OGP3" s="16"/>
      <c r="OGQ3" s="16"/>
      <c r="OGR3" s="16"/>
      <c r="OGS3" s="16"/>
      <c r="OGT3" s="16"/>
      <c r="OGU3" s="16"/>
      <c r="OGV3" s="16"/>
      <c r="OGW3" s="16"/>
      <c r="OGX3" s="16"/>
      <c r="OGY3" s="16"/>
      <c r="OGZ3" s="16"/>
      <c r="OHA3" s="16"/>
      <c r="OHB3" s="16"/>
      <c r="OHC3" s="16"/>
      <c r="OHD3" s="16"/>
      <c r="OHE3" s="16"/>
      <c r="OHF3" s="16"/>
      <c r="OHG3" s="16"/>
      <c r="OHH3" s="16"/>
      <c r="OHI3" s="16"/>
      <c r="OHJ3" s="16"/>
      <c r="OHK3" s="16"/>
      <c r="OHL3" s="16"/>
      <c r="OHM3" s="16"/>
      <c r="OHN3" s="16"/>
      <c r="OHO3" s="16"/>
      <c r="OHP3" s="16"/>
      <c r="OHQ3" s="16"/>
      <c r="OHR3" s="16"/>
      <c r="OHS3" s="16"/>
      <c r="OHT3" s="16"/>
      <c r="OHU3" s="16"/>
      <c r="OHV3" s="16"/>
      <c r="OHW3" s="16"/>
      <c r="OHX3" s="16"/>
      <c r="OHY3" s="16"/>
      <c r="OHZ3" s="16"/>
      <c r="OIA3" s="16"/>
      <c r="OIB3" s="16"/>
      <c r="OIC3" s="16"/>
      <c r="OID3" s="16"/>
      <c r="OIE3" s="16"/>
      <c r="OIF3" s="16"/>
      <c r="OIG3" s="16"/>
      <c r="OIH3" s="16"/>
      <c r="OII3" s="16"/>
      <c r="OIJ3" s="16"/>
      <c r="OIK3" s="16"/>
      <c r="OIL3" s="16"/>
      <c r="OIM3" s="16"/>
      <c r="OIN3" s="16"/>
      <c r="OIO3" s="16"/>
      <c r="OIP3" s="16"/>
      <c r="OIQ3" s="16"/>
      <c r="OIR3" s="16"/>
      <c r="OIS3" s="16"/>
      <c r="OIT3" s="16"/>
      <c r="OIU3" s="16"/>
      <c r="OIV3" s="16"/>
      <c r="OIW3" s="16"/>
      <c r="OIX3" s="16"/>
      <c r="OIY3" s="16"/>
      <c r="OIZ3" s="16"/>
      <c r="OJA3" s="16"/>
      <c r="OJB3" s="16"/>
      <c r="OJC3" s="16"/>
      <c r="OJD3" s="16"/>
      <c r="OJE3" s="16"/>
      <c r="OJF3" s="16"/>
      <c r="OJG3" s="16"/>
      <c r="OJH3" s="16"/>
      <c r="OJI3" s="16"/>
      <c r="OJJ3" s="16"/>
      <c r="OJK3" s="16"/>
      <c r="OJL3" s="16"/>
      <c r="OJM3" s="16"/>
      <c r="OJN3" s="16"/>
      <c r="OJO3" s="16"/>
      <c r="OJP3" s="16"/>
      <c r="OJQ3" s="16"/>
      <c r="OJR3" s="16"/>
      <c r="OJS3" s="16"/>
      <c r="OJT3" s="16"/>
      <c r="OJU3" s="16"/>
      <c r="OJV3" s="16"/>
      <c r="OJW3" s="16"/>
      <c r="OJX3" s="16"/>
      <c r="OJY3" s="16"/>
      <c r="OJZ3" s="16"/>
      <c r="OKA3" s="16"/>
      <c r="OKB3" s="16"/>
      <c r="OKC3" s="16"/>
      <c r="OKD3" s="16"/>
      <c r="OKE3" s="16"/>
      <c r="OKF3" s="16"/>
      <c r="OKG3" s="16"/>
      <c r="OKH3" s="16"/>
      <c r="OKI3" s="16"/>
      <c r="OKJ3" s="16"/>
      <c r="OKK3" s="16"/>
      <c r="OKL3" s="16"/>
      <c r="OKM3" s="16"/>
      <c r="OKN3" s="16"/>
      <c r="OKO3" s="16"/>
      <c r="OKP3" s="16"/>
      <c r="OKQ3" s="16"/>
      <c r="OKR3" s="16"/>
      <c r="OKS3" s="16"/>
      <c r="OKT3" s="16"/>
      <c r="OKU3" s="16"/>
      <c r="OKV3" s="16"/>
      <c r="OKW3" s="16"/>
      <c r="OKX3" s="16"/>
      <c r="OKY3" s="16"/>
      <c r="OKZ3" s="16"/>
      <c r="OLA3" s="16"/>
      <c r="OLB3" s="16"/>
      <c r="OLC3" s="16"/>
      <c r="OLD3" s="16"/>
      <c r="OLE3" s="16"/>
      <c r="OLF3" s="16"/>
      <c r="OLG3" s="16"/>
      <c r="OLH3" s="16"/>
      <c r="OLI3" s="16"/>
      <c r="OLJ3" s="16"/>
      <c r="OLK3" s="16"/>
      <c r="OLL3" s="16"/>
      <c r="OLM3" s="16"/>
      <c r="OLN3" s="16"/>
      <c r="OLO3" s="16"/>
      <c r="OLP3" s="16"/>
      <c r="OLQ3" s="16"/>
      <c r="OLR3" s="16"/>
      <c r="OLS3" s="16"/>
      <c r="OLT3" s="16"/>
      <c r="OLU3" s="16"/>
      <c r="OLV3" s="16"/>
      <c r="OLW3" s="16"/>
      <c r="OLX3" s="16"/>
      <c r="OLY3" s="16"/>
      <c r="OLZ3" s="16"/>
      <c r="OMA3" s="16"/>
      <c r="OMB3" s="16"/>
      <c r="OMC3" s="16"/>
      <c r="OMD3" s="16"/>
      <c r="OME3" s="16"/>
      <c r="OMF3" s="16"/>
      <c r="OMG3" s="16"/>
      <c r="OMH3" s="16"/>
      <c r="OMI3" s="16"/>
      <c r="OMJ3" s="16"/>
      <c r="OMK3" s="16"/>
      <c r="OML3" s="16"/>
      <c r="OMM3" s="16"/>
      <c r="OMN3" s="16"/>
      <c r="OMO3" s="16"/>
      <c r="OMP3" s="16"/>
      <c r="OMQ3" s="16"/>
      <c r="OMR3" s="16"/>
      <c r="OMS3" s="16"/>
      <c r="OMT3" s="16"/>
      <c r="OMU3" s="16"/>
      <c r="OMV3" s="16"/>
      <c r="OMW3" s="16"/>
      <c r="OMX3" s="16"/>
      <c r="OMY3" s="16"/>
      <c r="OMZ3" s="16"/>
      <c r="ONA3" s="16"/>
      <c r="ONB3" s="16"/>
      <c r="ONC3" s="16"/>
      <c r="OND3" s="16"/>
      <c r="ONE3" s="16"/>
      <c r="ONF3" s="16"/>
      <c r="ONG3" s="16"/>
      <c r="ONH3" s="16"/>
      <c r="ONI3" s="16"/>
      <c r="ONJ3" s="16"/>
      <c r="ONK3" s="16"/>
      <c r="ONL3" s="16"/>
      <c r="ONM3" s="16"/>
      <c r="ONN3" s="16"/>
      <c r="ONO3" s="16"/>
      <c r="ONP3" s="16"/>
      <c r="ONQ3" s="16"/>
      <c r="ONR3" s="16"/>
      <c r="ONS3" s="16"/>
      <c r="ONT3" s="16"/>
      <c r="ONU3" s="16"/>
      <c r="ONV3" s="16"/>
      <c r="ONW3" s="16"/>
      <c r="ONX3" s="16"/>
      <c r="ONY3" s="16"/>
      <c r="ONZ3" s="16"/>
      <c r="OOA3" s="16"/>
      <c r="OOB3" s="16"/>
      <c r="OOC3" s="16"/>
      <c r="OOD3" s="16"/>
      <c r="OOE3" s="16"/>
      <c r="OOF3" s="16"/>
      <c r="OOG3" s="16"/>
      <c r="OOH3" s="16"/>
      <c r="OOI3" s="16"/>
      <c r="OOJ3" s="16"/>
      <c r="OOK3" s="16"/>
      <c r="OOL3" s="16"/>
      <c r="OOM3" s="16"/>
      <c r="OON3" s="16"/>
      <c r="OOO3" s="16"/>
      <c r="OOP3" s="16"/>
      <c r="OOQ3" s="16"/>
      <c r="OOR3" s="16"/>
      <c r="OOS3" s="16"/>
      <c r="OOT3" s="16"/>
      <c r="OOU3" s="16"/>
      <c r="OOV3" s="16"/>
      <c r="OOW3" s="16"/>
      <c r="OOX3" s="16"/>
      <c r="OOY3" s="16"/>
      <c r="OOZ3" s="16"/>
      <c r="OPA3" s="16"/>
      <c r="OPB3" s="16"/>
      <c r="OPC3" s="16"/>
      <c r="OPD3" s="16"/>
    </row>
    <row r="4" spans="2:10560" x14ac:dyDescent="0.25">
      <c r="B4" s="200"/>
      <c r="C4" s="82"/>
      <c r="D4" s="82"/>
      <c r="E4" s="113"/>
      <c r="F4" s="74"/>
      <c r="G4" s="162"/>
      <c r="H4" s="82"/>
      <c r="I4" s="205"/>
    </row>
    <row r="5" spans="2:10560" x14ac:dyDescent="0.25">
      <c r="B5" s="199"/>
      <c r="C5" s="81"/>
      <c r="D5" s="81"/>
      <c r="E5" s="112"/>
      <c r="F5" s="74"/>
      <c r="G5" s="162"/>
      <c r="H5" s="81"/>
      <c r="I5" s="204"/>
    </row>
    <row r="6" spans="2:10560" x14ac:dyDescent="0.25">
      <c r="B6" s="200"/>
      <c r="C6" s="82"/>
      <c r="D6" s="82"/>
      <c r="E6" s="113"/>
      <c r="F6" s="74"/>
      <c r="G6" s="162"/>
      <c r="H6" s="82"/>
      <c r="I6" s="205"/>
    </row>
    <row r="7" spans="2:10560" x14ac:dyDescent="0.25">
      <c r="B7" s="199"/>
      <c r="C7" s="81"/>
      <c r="D7" s="81"/>
      <c r="E7" s="112"/>
      <c r="F7" s="74"/>
      <c r="G7" s="162"/>
      <c r="H7" s="81"/>
      <c r="I7" s="204"/>
    </row>
    <row r="8" spans="2:10560" x14ac:dyDescent="0.25">
      <c r="B8" s="200"/>
      <c r="C8" s="82"/>
      <c r="D8" s="82"/>
      <c r="E8" s="113"/>
      <c r="F8" s="74"/>
      <c r="G8" s="162"/>
      <c r="H8" s="82"/>
      <c r="I8" s="205"/>
    </row>
    <row r="9" spans="2:10560" x14ac:dyDescent="0.25">
      <c r="B9" s="199"/>
      <c r="C9" s="81"/>
      <c r="D9" s="81"/>
      <c r="E9" s="112"/>
      <c r="F9" s="74"/>
      <c r="G9" s="162"/>
      <c r="H9" s="81"/>
      <c r="I9" s="204"/>
    </row>
    <row r="10" spans="2:10560" x14ac:dyDescent="0.25">
      <c r="B10" s="200"/>
      <c r="C10" s="82"/>
      <c r="D10" s="82"/>
      <c r="E10" s="113"/>
      <c r="F10" s="74"/>
      <c r="G10" s="162"/>
      <c r="H10" s="82"/>
      <c r="I10" s="205"/>
    </row>
    <row r="11" spans="2:10560" x14ac:dyDescent="0.25">
      <c r="B11" s="199"/>
      <c r="C11" s="81"/>
      <c r="D11" s="81"/>
      <c r="E11" s="112"/>
      <c r="F11" s="74"/>
      <c r="G11" s="162"/>
      <c r="H11" s="81"/>
      <c r="I11" s="204"/>
    </row>
    <row r="12" spans="2:10560" x14ac:dyDescent="0.25">
      <c r="B12" s="200"/>
      <c r="C12" s="82"/>
      <c r="D12" s="82"/>
      <c r="E12" s="113"/>
      <c r="F12" s="74"/>
      <c r="G12" s="162"/>
      <c r="H12" s="82"/>
      <c r="I12" s="205"/>
    </row>
    <row r="13" spans="2:10560" x14ac:dyDescent="0.25">
      <c r="B13" s="199"/>
      <c r="C13" s="81"/>
      <c r="D13" s="81"/>
      <c r="E13" s="112"/>
      <c r="F13" s="74"/>
      <c r="G13" s="162"/>
      <c r="H13" s="81"/>
      <c r="I13" s="204"/>
    </row>
    <row r="14" spans="2:10560" s="47" customFormat="1" x14ac:dyDescent="0.25">
      <c r="B14" s="201"/>
      <c r="D14" s="85"/>
      <c r="E14" s="85"/>
      <c r="F14" s="74"/>
      <c r="G14" s="162"/>
      <c r="H14" s="85"/>
      <c r="I14" s="206"/>
      <c r="K14" s="172"/>
      <c r="L14" s="172"/>
    </row>
    <row r="15" spans="2:10560" s="47" customFormat="1" ht="15.75" thickBot="1" x14ac:dyDescent="0.3">
      <c r="B15" s="202"/>
      <c r="C15" s="163"/>
      <c r="D15" s="164"/>
      <c r="E15" s="164"/>
      <c r="F15" s="165"/>
      <c r="G15" s="203"/>
      <c r="H15" s="164"/>
      <c r="I15" s="207"/>
      <c r="K15" s="172"/>
      <c r="L15" s="172"/>
    </row>
    <row r="16" spans="2:10560" s="47" customFormat="1" ht="15.75" thickBot="1" x14ac:dyDescent="0.3">
      <c r="B16"/>
      <c r="C16"/>
      <c r="D16"/>
      <c r="E16"/>
      <c r="F16"/>
      <c r="G16"/>
      <c r="H16"/>
      <c r="I16"/>
      <c r="K16" s="172"/>
      <c r="L16" s="172"/>
    </row>
    <row r="17" spans="2:12" s="47" customFormat="1" ht="15.75" thickBot="1" x14ac:dyDescent="0.3">
      <c r="B17"/>
      <c r="C17"/>
      <c r="D17"/>
      <c r="E17"/>
      <c r="F17"/>
      <c r="G17"/>
      <c r="H17" s="83">
        <v>-737314.12999999989</v>
      </c>
      <c r="I17" s="26">
        <v>1</v>
      </c>
      <c r="K17" s="172"/>
      <c r="L17" s="172"/>
    </row>
    <row r="18" spans="2:12" s="47" customFormat="1" x14ac:dyDescent="0.25">
      <c r="B18"/>
      <c r="C18"/>
      <c r="D18"/>
      <c r="E18"/>
      <c r="F18"/>
      <c r="G18"/>
      <c r="H18"/>
      <c r="I18"/>
      <c r="K18" s="172"/>
      <c r="L18" s="172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GoogleFinance">
    <tabColor rgb="FF0070C0"/>
  </sheetPr>
  <dimension ref="A1:Z257"/>
  <sheetViews>
    <sheetView showGridLines="0" topLeftCell="A10" zoomScale="80" zoomScaleNormal="80" workbookViewId="0">
      <selection activeCell="T10" sqref="T10"/>
    </sheetView>
  </sheetViews>
  <sheetFormatPr defaultColWidth="9.140625" defaultRowHeight="15" x14ac:dyDescent="0.25"/>
  <cols>
    <col min="1" max="1" width="11.28515625" style="18" bestFit="1" customWidth="1"/>
    <col min="2" max="2" width="9.140625" style="177"/>
    <col min="3" max="3" width="12.28515625" style="5" customWidth="1"/>
    <col min="4" max="4" width="12.28515625" style="11" customWidth="1"/>
    <col min="6" max="6" width="13.28515625" customWidth="1"/>
    <col min="7" max="7" width="16.140625" customWidth="1"/>
    <col min="15" max="15" width="9.140625" hidden="1" customWidth="1"/>
    <col min="16" max="16" width="16.5703125" style="13" bestFit="1" customWidth="1"/>
    <col min="17" max="20" width="11.42578125" style="23" bestFit="1" customWidth="1"/>
    <col min="21" max="21" width="11.42578125" bestFit="1" customWidth="1"/>
    <col min="23" max="23" width="15.28515625" style="11" bestFit="1" customWidth="1"/>
    <col min="24" max="26" width="10.5703125" style="11" bestFit="1" customWidth="1"/>
    <col min="27" max="27" width="10.5703125" bestFit="1" customWidth="1"/>
  </cols>
  <sheetData>
    <row r="1" spans="1:26" x14ac:dyDescent="0.25">
      <c r="A1" s="17" t="s">
        <v>10</v>
      </c>
      <c r="B1" s="176" t="s">
        <v>11</v>
      </c>
      <c r="C1" s="4" t="s">
        <v>12</v>
      </c>
      <c r="D1" s="178" t="s">
        <v>44</v>
      </c>
      <c r="O1" t="s">
        <v>29</v>
      </c>
      <c r="P1" s="2" t="s">
        <v>39</v>
      </c>
      <c r="Q1" s="240" t="s">
        <v>160</v>
      </c>
      <c r="R1" s="240" t="s">
        <v>161</v>
      </c>
      <c r="S1" s="3" t="e">
        <f t="shared" ref="S1:T1" si="0">R1+1</f>
        <v>#VALUE!</v>
      </c>
      <c r="T1" s="3" t="e">
        <f t="shared" si="0"/>
        <v>#VALUE!</v>
      </c>
      <c r="W1" s="2" t="s">
        <v>38</v>
      </c>
      <c r="X1" s="240" t="s">
        <v>162</v>
      </c>
      <c r="Y1" s="240" t="s">
        <v>163</v>
      </c>
      <c r="Z1" s="240" t="s">
        <v>164</v>
      </c>
    </row>
    <row r="2" spans="1:26" x14ac:dyDescent="0.25">
      <c r="A2" s="19"/>
      <c r="F2" s="4" t="s">
        <v>40</v>
      </c>
      <c r="G2" t="s">
        <v>16</v>
      </c>
      <c r="O2" t="s">
        <v>17</v>
      </c>
      <c r="P2" s="13" t="s">
        <v>30</v>
      </c>
      <c r="W2" s="182" t="s">
        <v>30</v>
      </c>
      <c r="X2">
        <v>8.8695471971816486E-2</v>
      </c>
      <c r="Y2">
        <v>4.2067193299704986E-2</v>
      </c>
      <c r="Z2">
        <v>2.931774591286862E-2</v>
      </c>
    </row>
    <row r="3" spans="1:26" x14ac:dyDescent="0.25">
      <c r="A3" s="19"/>
      <c r="F3" s="4" t="s">
        <v>13</v>
      </c>
      <c r="G3" s="15">
        <v>42374</v>
      </c>
      <c r="O3" t="s">
        <v>18</v>
      </c>
      <c r="P3" s="13" t="s">
        <v>31</v>
      </c>
      <c r="W3" s="182" t="s">
        <v>31</v>
      </c>
      <c r="X3">
        <v>7.7171978644232198E-2</v>
      </c>
      <c r="Y3">
        <v>9.7476719735656525E-2</v>
      </c>
      <c r="Z3">
        <v>4.1056521144108293E-2</v>
      </c>
    </row>
    <row r="4" spans="1:26" x14ac:dyDescent="0.25">
      <c r="A4" s="19"/>
      <c r="F4" s="4" t="s">
        <v>14</v>
      </c>
      <c r="G4" s="15">
        <v>43322</v>
      </c>
      <c r="O4" t="s">
        <v>19</v>
      </c>
      <c r="P4" s="13" t="s">
        <v>41</v>
      </c>
      <c r="W4" s="182" t="s">
        <v>41</v>
      </c>
      <c r="X4">
        <v>0.1418530351437699</v>
      </c>
      <c r="Y4">
        <v>0.23838836038052613</v>
      </c>
      <c r="Z4">
        <v>8.1337550835969274E-3</v>
      </c>
    </row>
    <row r="5" spans="1:26" x14ac:dyDescent="0.25">
      <c r="A5" s="19"/>
      <c r="O5" t="s">
        <v>20</v>
      </c>
      <c r="P5" s="13" t="s">
        <v>32</v>
      </c>
      <c r="W5" s="182" t="s">
        <v>32</v>
      </c>
      <c r="X5">
        <v>0.10583153347732188</v>
      </c>
      <c r="Y5">
        <v>0.8583984375</v>
      </c>
      <c r="Z5">
        <v>-0.22122963741460866</v>
      </c>
    </row>
    <row r="6" spans="1:26" x14ac:dyDescent="0.25">
      <c r="A6" s="19"/>
      <c r="F6" s="4" t="s">
        <v>45</v>
      </c>
      <c r="G6" s="4" t="s">
        <v>46</v>
      </c>
      <c r="H6" s="4" t="s">
        <v>47</v>
      </c>
      <c r="I6" s="4" t="s">
        <v>48</v>
      </c>
      <c r="W6" s="182"/>
      <c r="X6"/>
      <c r="Y6"/>
      <c r="Z6"/>
    </row>
    <row r="7" spans="1:26" x14ac:dyDescent="0.25">
      <c r="A7" s="19"/>
      <c r="F7" s="11"/>
      <c r="G7" s="11"/>
      <c r="H7" s="21"/>
      <c r="I7" s="21"/>
      <c r="O7" t="s">
        <v>21</v>
      </c>
      <c r="P7" s="13" t="s">
        <v>42</v>
      </c>
      <c r="W7" s="182" t="s">
        <v>42</v>
      </c>
      <c r="X7">
        <v>-2.4416317454887482E-2</v>
      </c>
      <c r="Y7">
        <v>7.0129300898531755E-2</v>
      </c>
      <c r="Z7">
        <v>4.0999385623591955E-2</v>
      </c>
    </row>
    <row r="8" spans="1:26" x14ac:dyDescent="0.25">
      <c r="A8" s="19"/>
      <c r="O8" t="s">
        <v>22</v>
      </c>
      <c r="P8" s="13" t="s">
        <v>43</v>
      </c>
      <c r="W8" s="182" t="s">
        <v>43</v>
      </c>
      <c r="X8">
        <v>-7.4546462805988978E-2</v>
      </c>
      <c r="Y8">
        <v>-2.6194144838212696E-2</v>
      </c>
      <c r="Z8">
        <v>-3.7798874824190865E-3</v>
      </c>
    </row>
    <row r="9" spans="1:26" x14ac:dyDescent="0.25">
      <c r="A9" s="19"/>
      <c r="O9" t="s">
        <v>23</v>
      </c>
      <c r="P9" s="13" t="s">
        <v>40</v>
      </c>
      <c r="W9" s="182" t="s">
        <v>40</v>
      </c>
      <c r="X9">
        <v>3.437703242590362E-2</v>
      </c>
      <c r="Y9">
        <v>0.17120273062067737</v>
      </c>
      <c r="Z9">
        <v>8.0067489838177686E-2</v>
      </c>
    </row>
    <row r="10" spans="1:26" x14ac:dyDescent="0.25">
      <c r="A10" s="19"/>
      <c r="W10" s="182"/>
      <c r="X10"/>
      <c r="Y10"/>
      <c r="Z10"/>
    </row>
    <row r="11" spans="1:26" x14ac:dyDescent="0.25">
      <c r="A11" s="19"/>
      <c r="O11" t="s">
        <v>24</v>
      </c>
      <c r="P11" s="13" t="s">
        <v>33</v>
      </c>
      <c r="W11" s="182" t="s">
        <v>33</v>
      </c>
      <c r="X11">
        <v>3.2863983582259726E-2</v>
      </c>
      <c r="Y11">
        <v>0.68210668653586115</v>
      </c>
      <c r="Z11">
        <v>-0.28728805912606947</v>
      </c>
    </row>
    <row r="12" spans="1:26" x14ac:dyDescent="0.25">
      <c r="A12" s="19"/>
      <c r="O12" t="s">
        <v>28</v>
      </c>
      <c r="P12" s="13" t="s">
        <v>34</v>
      </c>
      <c r="W12" s="182" t="s">
        <v>34</v>
      </c>
      <c r="X12">
        <v>5.4710287741426722E-2</v>
      </c>
      <c r="Y12">
        <v>0.68327763125580621</v>
      </c>
      <c r="Z12">
        <v>-0.30610108852858342</v>
      </c>
    </row>
    <row r="13" spans="1:26" x14ac:dyDescent="0.25">
      <c r="A13" s="19"/>
      <c r="O13" t="s">
        <v>25</v>
      </c>
      <c r="P13" s="13" t="s">
        <v>35</v>
      </c>
      <c r="W13" s="182" t="s">
        <v>35</v>
      </c>
      <c r="X13">
        <v>4.882861882473355E-2</v>
      </c>
      <c r="Y13">
        <v>0.18839702017321569</v>
      </c>
      <c r="Z13">
        <v>-2.0581934404979241E-2</v>
      </c>
    </row>
    <row r="14" spans="1:26" x14ac:dyDescent="0.25">
      <c r="A14" s="19"/>
      <c r="O14" t="s">
        <v>26</v>
      </c>
      <c r="P14" s="13" t="s">
        <v>36</v>
      </c>
      <c r="W14" s="182" t="s">
        <v>36</v>
      </c>
      <c r="X14">
        <v>-9.6886949632640551E-2</v>
      </c>
      <c r="Y14">
        <v>-0.20838402807166023</v>
      </c>
      <c r="Z14">
        <v>-7.1757718855195551E-2</v>
      </c>
    </row>
    <row r="15" spans="1:26" x14ac:dyDescent="0.25">
      <c r="A15" s="19"/>
      <c r="O15" t="s">
        <v>27</v>
      </c>
      <c r="P15" s="13" t="s">
        <v>37</v>
      </c>
      <c r="W15" s="182" t="s">
        <v>37</v>
      </c>
      <c r="X15">
        <v>7.9356755208854546E-2</v>
      </c>
      <c r="Y15">
        <v>1.5602025290560206E-2</v>
      </c>
      <c r="Z15">
        <v>0.22397985679439758</v>
      </c>
    </row>
    <row r="16" spans="1:26" x14ac:dyDescent="0.25">
      <c r="A16" s="20"/>
    </row>
    <row r="17" spans="1:1" x14ac:dyDescent="0.25">
      <c r="A17" s="20"/>
    </row>
    <row r="18" spans="1:1" x14ac:dyDescent="0.25">
      <c r="A18" s="20"/>
    </row>
    <row r="19" spans="1:1" x14ac:dyDescent="0.25">
      <c r="A19" s="20"/>
    </row>
    <row r="20" spans="1:1" x14ac:dyDescent="0.25">
      <c r="A20" s="20"/>
    </row>
    <row r="21" spans="1:1" x14ac:dyDescent="0.25">
      <c r="A21" s="20"/>
    </row>
    <row r="22" spans="1:1" x14ac:dyDescent="0.25">
      <c r="A22" s="20"/>
    </row>
    <row r="23" spans="1:1" x14ac:dyDescent="0.25">
      <c r="A23" s="20"/>
    </row>
    <row r="24" spans="1:1" x14ac:dyDescent="0.25">
      <c r="A24" s="20"/>
    </row>
    <row r="25" spans="1:1" x14ac:dyDescent="0.25">
      <c r="A25" s="20"/>
    </row>
    <row r="26" spans="1:1" x14ac:dyDescent="0.25">
      <c r="A26" s="20"/>
    </row>
    <row r="27" spans="1:1" x14ac:dyDescent="0.25">
      <c r="A27" s="20"/>
    </row>
    <row r="28" spans="1:1" x14ac:dyDescent="0.25">
      <c r="A28" s="20"/>
    </row>
    <row r="29" spans="1:1" x14ac:dyDescent="0.25">
      <c r="A29" s="20"/>
    </row>
    <row r="30" spans="1:1" x14ac:dyDescent="0.25">
      <c r="A30" s="20"/>
    </row>
    <row r="31" spans="1:1" x14ac:dyDescent="0.25">
      <c r="A31" s="20"/>
    </row>
    <row r="32" spans="1:1" x14ac:dyDescent="0.25">
      <c r="A32" s="20"/>
    </row>
    <row r="33" spans="1:1" x14ac:dyDescent="0.25">
      <c r="A33" s="20"/>
    </row>
    <row r="34" spans="1:1" x14ac:dyDescent="0.25">
      <c r="A34" s="20"/>
    </row>
    <row r="35" spans="1:1" x14ac:dyDescent="0.25">
      <c r="A35" s="20"/>
    </row>
    <row r="36" spans="1:1" x14ac:dyDescent="0.25">
      <c r="A36" s="20"/>
    </row>
    <row r="37" spans="1:1" x14ac:dyDescent="0.25">
      <c r="A37" s="20"/>
    </row>
    <row r="38" spans="1:1" x14ac:dyDescent="0.25">
      <c r="A38" s="20"/>
    </row>
    <row r="39" spans="1:1" x14ac:dyDescent="0.25">
      <c r="A39" s="20"/>
    </row>
    <row r="40" spans="1:1" x14ac:dyDescent="0.25">
      <c r="A40" s="20"/>
    </row>
    <row r="41" spans="1:1" x14ac:dyDescent="0.25">
      <c r="A41" s="20"/>
    </row>
    <row r="42" spans="1:1" x14ac:dyDescent="0.25">
      <c r="A42" s="20"/>
    </row>
    <row r="43" spans="1:1" x14ac:dyDescent="0.25">
      <c r="A43" s="20"/>
    </row>
    <row r="44" spans="1:1" x14ac:dyDescent="0.25">
      <c r="A44" s="20"/>
    </row>
    <row r="45" spans="1:1" x14ac:dyDescent="0.25">
      <c r="A45" s="20"/>
    </row>
    <row r="46" spans="1:1" x14ac:dyDescent="0.25">
      <c r="A46" s="20"/>
    </row>
    <row r="47" spans="1:1" x14ac:dyDescent="0.25">
      <c r="A47" s="20"/>
    </row>
    <row r="48" spans="1:1" x14ac:dyDescent="0.25">
      <c r="A48" s="20"/>
    </row>
    <row r="49" spans="1:1" x14ac:dyDescent="0.25">
      <c r="A49" s="20"/>
    </row>
    <row r="50" spans="1:1" x14ac:dyDescent="0.25">
      <c r="A50" s="20"/>
    </row>
    <row r="51" spans="1:1" x14ac:dyDescent="0.25">
      <c r="A51" s="20"/>
    </row>
    <row r="52" spans="1:1" x14ac:dyDescent="0.25">
      <c r="A52" s="20"/>
    </row>
    <row r="53" spans="1:1" x14ac:dyDescent="0.25">
      <c r="A53" s="20"/>
    </row>
    <row r="54" spans="1:1" x14ac:dyDescent="0.25">
      <c r="A54" s="20"/>
    </row>
    <row r="55" spans="1:1" x14ac:dyDescent="0.25">
      <c r="A55" s="20"/>
    </row>
    <row r="56" spans="1:1" x14ac:dyDescent="0.25">
      <c r="A56" s="20"/>
    </row>
    <row r="57" spans="1:1" x14ac:dyDescent="0.25">
      <c r="A57" s="20"/>
    </row>
    <row r="58" spans="1:1" x14ac:dyDescent="0.25">
      <c r="A58" s="20"/>
    </row>
    <row r="59" spans="1:1" x14ac:dyDescent="0.25">
      <c r="A59" s="20"/>
    </row>
    <row r="60" spans="1:1" x14ac:dyDescent="0.25">
      <c r="A60" s="20"/>
    </row>
    <row r="61" spans="1:1" x14ac:dyDescent="0.25">
      <c r="A61" s="20"/>
    </row>
    <row r="62" spans="1:1" x14ac:dyDescent="0.25">
      <c r="A62" s="20"/>
    </row>
    <row r="63" spans="1:1" x14ac:dyDescent="0.25">
      <c r="A63" s="20"/>
    </row>
    <row r="64" spans="1:1" x14ac:dyDescent="0.25">
      <c r="A64" s="20"/>
    </row>
    <row r="65" spans="1:1" x14ac:dyDescent="0.25">
      <c r="A65" s="20"/>
    </row>
    <row r="66" spans="1:1" x14ac:dyDescent="0.25">
      <c r="A66" s="20"/>
    </row>
    <row r="67" spans="1:1" x14ac:dyDescent="0.25">
      <c r="A67" s="20"/>
    </row>
    <row r="68" spans="1:1" x14ac:dyDescent="0.25">
      <c r="A68" s="20"/>
    </row>
    <row r="69" spans="1:1" x14ac:dyDescent="0.25">
      <c r="A69" s="20"/>
    </row>
    <row r="70" spans="1:1" x14ac:dyDescent="0.25">
      <c r="A70" s="20"/>
    </row>
    <row r="71" spans="1:1" x14ac:dyDescent="0.25">
      <c r="A71" s="20"/>
    </row>
    <row r="72" spans="1:1" x14ac:dyDescent="0.25">
      <c r="A72" s="20"/>
    </row>
    <row r="73" spans="1:1" x14ac:dyDescent="0.25">
      <c r="A73" s="20"/>
    </row>
    <row r="74" spans="1:1" x14ac:dyDescent="0.25">
      <c r="A74" s="20"/>
    </row>
    <row r="75" spans="1:1" x14ac:dyDescent="0.25">
      <c r="A75" s="20"/>
    </row>
    <row r="76" spans="1:1" x14ac:dyDescent="0.25">
      <c r="A76" s="20"/>
    </row>
    <row r="77" spans="1:1" x14ac:dyDescent="0.25">
      <c r="A77" s="20"/>
    </row>
    <row r="78" spans="1:1" x14ac:dyDescent="0.25">
      <c r="A78" s="20"/>
    </row>
    <row r="79" spans="1:1" x14ac:dyDescent="0.25">
      <c r="A79" s="20"/>
    </row>
    <row r="80" spans="1:1" x14ac:dyDescent="0.25">
      <c r="A80" s="20"/>
    </row>
    <row r="81" spans="1:1" x14ac:dyDescent="0.25">
      <c r="A81" s="20"/>
    </row>
    <row r="82" spans="1:1" x14ac:dyDescent="0.25">
      <c r="A82" s="20"/>
    </row>
    <row r="83" spans="1:1" x14ac:dyDescent="0.25">
      <c r="A83" s="20"/>
    </row>
    <row r="84" spans="1:1" x14ac:dyDescent="0.25">
      <c r="A84" s="20"/>
    </row>
    <row r="85" spans="1:1" x14ac:dyDescent="0.25">
      <c r="A85" s="20"/>
    </row>
    <row r="86" spans="1:1" x14ac:dyDescent="0.25">
      <c r="A86" s="20"/>
    </row>
    <row r="87" spans="1:1" x14ac:dyDescent="0.25">
      <c r="A87" s="20"/>
    </row>
    <row r="88" spans="1:1" x14ac:dyDescent="0.25">
      <c r="A88" s="20"/>
    </row>
    <row r="89" spans="1:1" x14ac:dyDescent="0.25">
      <c r="A89" s="20"/>
    </row>
    <row r="90" spans="1:1" x14ac:dyDescent="0.25">
      <c r="A90" s="20"/>
    </row>
    <row r="91" spans="1:1" x14ac:dyDescent="0.25">
      <c r="A91" s="20"/>
    </row>
    <row r="92" spans="1:1" x14ac:dyDescent="0.25">
      <c r="A92" s="20"/>
    </row>
    <row r="93" spans="1:1" x14ac:dyDescent="0.25">
      <c r="A93" s="20"/>
    </row>
    <row r="94" spans="1:1" x14ac:dyDescent="0.25">
      <c r="A94" s="20"/>
    </row>
    <row r="95" spans="1:1" x14ac:dyDescent="0.25">
      <c r="A95" s="20"/>
    </row>
    <row r="96" spans="1:1" x14ac:dyDescent="0.25">
      <c r="A96" s="20"/>
    </row>
    <row r="97" spans="1:1" x14ac:dyDescent="0.25">
      <c r="A97" s="20"/>
    </row>
    <row r="98" spans="1:1" x14ac:dyDescent="0.25">
      <c r="A98" s="20"/>
    </row>
    <row r="99" spans="1:1" x14ac:dyDescent="0.25">
      <c r="A99" s="20"/>
    </row>
    <row r="100" spans="1:1" x14ac:dyDescent="0.25">
      <c r="A100" s="20"/>
    </row>
    <row r="101" spans="1:1" x14ac:dyDescent="0.25">
      <c r="A101" s="20"/>
    </row>
    <row r="102" spans="1:1" x14ac:dyDescent="0.25">
      <c r="A102" s="20"/>
    </row>
    <row r="103" spans="1:1" x14ac:dyDescent="0.25">
      <c r="A103" s="20"/>
    </row>
    <row r="104" spans="1:1" x14ac:dyDescent="0.25">
      <c r="A104" s="20"/>
    </row>
    <row r="105" spans="1:1" x14ac:dyDescent="0.25">
      <c r="A105" s="20"/>
    </row>
    <row r="106" spans="1:1" x14ac:dyDescent="0.25">
      <c r="A106" s="20"/>
    </row>
    <row r="107" spans="1:1" x14ac:dyDescent="0.25">
      <c r="A107" s="20"/>
    </row>
    <row r="108" spans="1:1" x14ac:dyDescent="0.25">
      <c r="A108" s="20"/>
    </row>
    <row r="109" spans="1:1" x14ac:dyDescent="0.25">
      <c r="A109" s="20"/>
    </row>
    <row r="110" spans="1:1" x14ac:dyDescent="0.25">
      <c r="A110" s="20"/>
    </row>
    <row r="111" spans="1:1" x14ac:dyDescent="0.25">
      <c r="A111" s="20"/>
    </row>
    <row r="112" spans="1:1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  <row r="256" spans="1:1" x14ac:dyDescent="0.25">
      <c r="A256" s="20"/>
    </row>
    <row r="257" spans="1:1" x14ac:dyDescent="0.25">
      <c r="A257" s="20"/>
    </row>
  </sheetData>
  <dataValidations disablePrompts="1" count="1">
    <dataValidation type="date" operator="greaterThan" allowBlank="1" showInputMessage="1" showErrorMessage="1" sqref="G3:G4" xr:uid="{9488FB83-B68A-43B2-95CF-28997389C1BA}">
      <formula1>1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'EQUITY Portfolio'!$B$3:$B$15</xm:f>
          </x14:formula1>
          <xm:sqref>G2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FEfficient">
    <tabColor rgb="FF0070C0"/>
  </sheetPr>
  <dimension ref="A1:B1002"/>
  <sheetViews>
    <sheetView showGridLines="0" topLeftCell="B1" zoomScale="90" zoomScaleNormal="90" workbookViewId="0">
      <selection activeCell="B2" sqref="B2:B1002"/>
    </sheetView>
  </sheetViews>
  <sheetFormatPr defaultColWidth="11.42578125" defaultRowHeight="15" x14ac:dyDescent="0.25"/>
  <cols>
    <col min="1" max="2" width="11.42578125" style="6"/>
    <col min="3" max="3" width="12" style="6" bestFit="1" customWidth="1"/>
    <col min="4" max="258" width="11.42578125" style="6"/>
    <col min="259" max="259" width="12" style="6" bestFit="1" customWidth="1"/>
    <col min="260" max="514" width="11.42578125" style="6"/>
    <col min="515" max="515" width="12" style="6" bestFit="1" customWidth="1"/>
    <col min="516" max="770" width="11.42578125" style="6"/>
    <col min="771" max="771" width="12" style="6" bestFit="1" customWidth="1"/>
    <col min="772" max="1026" width="11.42578125" style="6"/>
    <col min="1027" max="1027" width="12" style="6" bestFit="1" customWidth="1"/>
    <col min="1028" max="1282" width="11.42578125" style="6"/>
    <col min="1283" max="1283" width="12" style="6" bestFit="1" customWidth="1"/>
    <col min="1284" max="1538" width="11.42578125" style="6"/>
    <col min="1539" max="1539" width="12" style="6" bestFit="1" customWidth="1"/>
    <col min="1540" max="1794" width="11.42578125" style="6"/>
    <col min="1795" max="1795" width="12" style="6" bestFit="1" customWidth="1"/>
    <col min="1796" max="2050" width="11.42578125" style="6"/>
    <col min="2051" max="2051" width="12" style="6" bestFit="1" customWidth="1"/>
    <col min="2052" max="2306" width="11.42578125" style="6"/>
    <col min="2307" max="2307" width="12" style="6" bestFit="1" customWidth="1"/>
    <col min="2308" max="2562" width="11.42578125" style="6"/>
    <col min="2563" max="2563" width="12" style="6" bestFit="1" customWidth="1"/>
    <col min="2564" max="2818" width="11.42578125" style="6"/>
    <col min="2819" max="2819" width="12" style="6" bestFit="1" customWidth="1"/>
    <col min="2820" max="3074" width="11.42578125" style="6"/>
    <col min="3075" max="3075" width="12" style="6" bestFit="1" customWidth="1"/>
    <col min="3076" max="3330" width="11.42578125" style="6"/>
    <col min="3331" max="3331" width="12" style="6" bestFit="1" customWidth="1"/>
    <col min="3332" max="3586" width="11.42578125" style="6"/>
    <col min="3587" max="3587" width="12" style="6" bestFit="1" customWidth="1"/>
    <col min="3588" max="3842" width="11.42578125" style="6"/>
    <col min="3843" max="3843" width="12" style="6" bestFit="1" customWidth="1"/>
    <col min="3844" max="4098" width="11.42578125" style="6"/>
    <col min="4099" max="4099" width="12" style="6" bestFit="1" customWidth="1"/>
    <col min="4100" max="4354" width="11.42578125" style="6"/>
    <col min="4355" max="4355" width="12" style="6" bestFit="1" customWidth="1"/>
    <col min="4356" max="4610" width="11.42578125" style="6"/>
    <col min="4611" max="4611" width="12" style="6" bestFit="1" customWidth="1"/>
    <col min="4612" max="4866" width="11.42578125" style="6"/>
    <col min="4867" max="4867" width="12" style="6" bestFit="1" customWidth="1"/>
    <col min="4868" max="5122" width="11.42578125" style="6"/>
    <col min="5123" max="5123" width="12" style="6" bestFit="1" customWidth="1"/>
    <col min="5124" max="5378" width="11.42578125" style="6"/>
    <col min="5379" max="5379" width="12" style="6" bestFit="1" customWidth="1"/>
    <col min="5380" max="5634" width="11.42578125" style="6"/>
    <col min="5635" max="5635" width="12" style="6" bestFit="1" customWidth="1"/>
    <col min="5636" max="5890" width="11.42578125" style="6"/>
    <col min="5891" max="5891" width="12" style="6" bestFit="1" customWidth="1"/>
    <col min="5892" max="6146" width="11.42578125" style="6"/>
    <col min="6147" max="6147" width="12" style="6" bestFit="1" customWidth="1"/>
    <col min="6148" max="6402" width="11.42578125" style="6"/>
    <col min="6403" max="6403" width="12" style="6" bestFit="1" customWidth="1"/>
    <col min="6404" max="6658" width="11.42578125" style="6"/>
    <col min="6659" max="6659" width="12" style="6" bestFit="1" customWidth="1"/>
    <col min="6660" max="6914" width="11.42578125" style="6"/>
    <col min="6915" max="6915" width="12" style="6" bestFit="1" customWidth="1"/>
    <col min="6916" max="7170" width="11.42578125" style="6"/>
    <col min="7171" max="7171" width="12" style="6" bestFit="1" customWidth="1"/>
    <col min="7172" max="7426" width="11.42578125" style="6"/>
    <col min="7427" max="7427" width="12" style="6" bestFit="1" customWidth="1"/>
    <col min="7428" max="7682" width="11.42578125" style="6"/>
    <col min="7683" max="7683" width="12" style="6" bestFit="1" customWidth="1"/>
    <col min="7684" max="7938" width="11.42578125" style="6"/>
    <col min="7939" max="7939" width="12" style="6" bestFit="1" customWidth="1"/>
    <col min="7940" max="8194" width="11.42578125" style="6"/>
    <col min="8195" max="8195" width="12" style="6" bestFit="1" customWidth="1"/>
    <col min="8196" max="8450" width="11.42578125" style="6"/>
    <col min="8451" max="8451" width="12" style="6" bestFit="1" customWidth="1"/>
    <col min="8452" max="8706" width="11.42578125" style="6"/>
    <col min="8707" max="8707" width="12" style="6" bestFit="1" customWidth="1"/>
    <col min="8708" max="8962" width="11.42578125" style="6"/>
    <col min="8963" max="8963" width="12" style="6" bestFit="1" customWidth="1"/>
    <col min="8964" max="9218" width="11.42578125" style="6"/>
    <col min="9219" max="9219" width="12" style="6" bestFit="1" customWidth="1"/>
    <col min="9220" max="9474" width="11.42578125" style="6"/>
    <col min="9475" max="9475" width="12" style="6" bestFit="1" customWidth="1"/>
    <col min="9476" max="9730" width="11.42578125" style="6"/>
    <col min="9731" max="9731" width="12" style="6" bestFit="1" customWidth="1"/>
    <col min="9732" max="9986" width="11.42578125" style="6"/>
    <col min="9987" max="9987" width="12" style="6" bestFit="1" customWidth="1"/>
    <col min="9988" max="10242" width="11.42578125" style="6"/>
    <col min="10243" max="10243" width="12" style="6" bestFit="1" customWidth="1"/>
    <col min="10244" max="10498" width="11.42578125" style="6"/>
    <col min="10499" max="10499" width="12" style="6" bestFit="1" customWidth="1"/>
    <col min="10500" max="10754" width="11.42578125" style="6"/>
    <col min="10755" max="10755" width="12" style="6" bestFit="1" customWidth="1"/>
    <col min="10756" max="11010" width="11.42578125" style="6"/>
    <col min="11011" max="11011" width="12" style="6" bestFit="1" customWidth="1"/>
    <col min="11012" max="11266" width="11.42578125" style="6"/>
    <col min="11267" max="11267" width="12" style="6" bestFit="1" customWidth="1"/>
    <col min="11268" max="11522" width="11.42578125" style="6"/>
    <col min="11523" max="11523" width="12" style="6" bestFit="1" customWidth="1"/>
    <col min="11524" max="11778" width="11.42578125" style="6"/>
    <col min="11779" max="11779" width="12" style="6" bestFit="1" customWidth="1"/>
    <col min="11780" max="12034" width="11.42578125" style="6"/>
    <col min="12035" max="12035" width="12" style="6" bestFit="1" customWidth="1"/>
    <col min="12036" max="12290" width="11.42578125" style="6"/>
    <col min="12291" max="12291" width="12" style="6" bestFit="1" customWidth="1"/>
    <col min="12292" max="12546" width="11.42578125" style="6"/>
    <col min="12547" max="12547" width="12" style="6" bestFit="1" customWidth="1"/>
    <col min="12548" max="12802" width="11.42578125" style="6"/>
    <col min="12803" max="12803" width="12" style="6" bestFit="1" customWidth="1"/>
    <col min="12804" max="13058" width="11.42578125" style="6"/>
    <col min="13059" max="13059" width="12" style="6" bestFit="1" customWidth="1"/>
    <col min="13060" max="13314" width="11.42578125" style="6"/>
    <col min="13315" max="13315" width="12" style="6" bestFit="1" customWidth="1"/>
    <col min="13316" max="13570" width="11.42578125" style="6"/>
    <col min="13571" max="13571" width="12" style="6" bestFit="1" customWidth="1"/>
    <col min="13572" max="13826" width="11.42578125" style="6"/>
    <col min="13827" max="13827" width="12" style="6" bestFit="1" customWidth="1"/>
    <col min="13828" max="14082" width="11.42578125" style="6"/>
    <col min="14083" max="14083" width="12" style="6" bestFit="1" customWidth="1"/>
    <col min="14084" max="14338" width="11.42578125" style="6"/>
    <col min="14339" max="14339" width="12" style="6" bestFit="1" customWidth="1"/>
    <col min="14340" max="14594" width="11.42578125" style="6"/>
    <col min="14595" max="14595" width="12" style="6" bestFit="1" customWidth="1"/>
    <col min="14596" max="14850" width="11.42578125" style="6"/>
    <col min="14851" max="14851" width="12" style="6" bestFit="1" customWidth="1"/>
    <col min="14852" max="15106" width="11.42578125" style="6"/>
    <col min="15107" max="15107" width="12" style="6" bestFit="1" customWidth="1"/>
    <col min="15108" max="15362" width="11.42578125" style="6"/>
    <col min="15363" max="15363" width="12" style="6" bestFit="1" customWidth="1"/>
    <col min="15364" max="15618" width="11.42578125" style="6"/>
    <col min="15619" max="15619" width="12" style="6" bestFit="1" customWidth="1"/>
    <col min="15620" max="15874" width="11.42578125" style="6"/>
    <col min="15875" max="15875" width="12" style="6" bestFit="1" customWidth="1"/>
    <col min="15876" max="16130" width="11.42578125" style="6"/>
    <col min="16131" max="16131" width="12" style="6" bestFit="1" customWidth="1"/>
    <col min="16132" max="16384" width="11.42578125" style="6"/>
  </cols>
  <sheetData>
    <row r="1" spans="1:2" ht="15.75" thickBot="1" x14ac:dyDescent="0.3">
      <c r="A1" s="17" t="s">
        <v>8</v>
      </c>
      <c r="B1" s="17" t="s">
        <v>9</v>
      </c>
    </row>
    <row r="2" spans="1:2" x14ac:dyDescent="0.25">
      <c r="A2" s="7">
        <v>9.3059821308778545E-3</v>
      </c>
      <c r="B2" s="241">
        <v>3.6332791902007064E-4</v>
      </c>
    </row>
    <row r="3" spans="1:2" x14ac:dyDescent="0.25">
      <c r="A3" s="8">
        <v>1.3163379073967958E-2</v>
      </c>
      <c r="B3" s="242">
        <v>3.3186577563475009E-4</v>
      </c>
    </row>
    <row r="4" spans="1:2" x14ac:dyDescent="0.25">
      <c r="A4" s="8">
        <v>1.3163343051829165E-2</v>
      </c>
      <c r="B4" s="242">
        <v>3.506830414669338E-4</v>
      </c>
    </row>
    <row r="5" spans="1:2" x14ac:dyDescent="0.25">
      <c r="A5" s="8">
        <v>1.3163210762950286E-2</v>
      </c>
      <c r="B5" s="242">
        <v>3.4454942095499643E-4</v>
      </c>
    </row>
    <row r="6" spans="1:2" x14ac:dyDescent="0.25">
      <c r="A6" s="8">
        <v>1.3173261091671572E-2</v>
      </c>
      <c r="B6" s="242">
        <v>4.1553579238939458E-4</v>
      </c>
    </row>
    <row r="7" spans="1:2" x14ac:dyDescent="0.25">
      <c r="A7" s="8">
        <v>1.3171737657364516E-2</v>
      </c>
      <c r="B7" s="242">
        <v>4.0972365543013938E-4</v>
      </c>
    </row>
    <row r="8" spans="1:2" x14ac:dyDescent="0.25">
      <c r="A8" s="8">
        <v>1.316362084251107E-2</v>
      </c>
      <c r="B8" s="242">
        <v>3.2665505535246048E-4</v>
      </c>
    </row>
    <row r="9" spans="1:2" x14ac:dyDescent="0.25">
      <c r="A9" s="8">
        <v>2.3070380324561563E-2</v>
      </c>
      <c r="B9" s="242">
        <v>3.0556472844738007E-3</v>
      </c>
    </row>
    <row r="10" spans="1:2" x14ac:dyDescent="0.25">
      <c r="A10" s="8">
        <v>1.3163567745473479E-2</v>
      </c>
      <c r="B10" s="242">
        <v>3.2763412496488592E-4</v>
      </c>
    </row>
    <row r="11" spans="1:2" x14ac:dyDescent="0.25">
      <c r="A11" s="8">
        <v>1.316377864387693E-2</v>
      </c>
      <c r="B11" s="242">
        <v>3.2406158311614169E-4</v>
      </c>
    </row>
    <row r="12" spans="1:2" x14ac:dyDescent="0.25">
      <c r="A12" s="8">
        <v>1.3163389781091819E-2</v>
      </c>
      <c r="B12" s="242">
        <v>3.3157859412837883E-4</v>
      </c>
    </row>
    <row r="13" spans="1:2" x14ac:dyDescent="0.25">
      <c r="A13" s="8">
        <v>1.4369092559180069E-2</v>
      </c>
      <c r="B13" s="242">
        <v>1.1671299688294097E-3</v>
      </c>
    </row>
    <row r="14" spans="1:2" x14ac:dyDescent="0.25">
      <c r="A14" s="8">
        <v>1.3164989081728582E-2</v>
      </c>
      <c r="B14" s="242">
        <v>3.7290744080428111E-4</v>
      </c>
    </row>
    <row r="15" spans="1:2" x14ac:dyDescent="0.25">
      <c r="A15" s="8">
        <v>1.3163978531874527E-2</v>
      </c>
      <c r="B15" s="242">
        <v>3.2124100487074123E-4</v>
      </c>
    </row>
    <row r="16" spans="1:2" x14ac:dyDescent="0.25">
      <c r="A16" s="8">
        <v>1.3163682216275483E-2</v>
      </c>
      <c r="B16" s="242">
        <v>3.2559694842733232E-4</v>
      </c>
    </row>
    <row r="17" spans="1:2" x14ac:dyDescent="0.25">
      <c r="A17" s="8">
        <v>1.3166442566117566E-2</v>
      </c>
      <c r="B17" s="242">
        <v>3.8366547776538112E-4</v>
      </c>
    </row>
    <row r="18" spans="1:2" x14ac:dyDescent="0.25">
      <c r="A18" s="8">
        <v>1.3164398613323029E-2</v>
      </c>
      <c r="B18" s="242">
        <v>3.1631126953833355E-4</v>
      </c>
    </row>
    <row r="19" spans="1:2" x14ac:dyDescent="0.25">
      <c r="A19" s="8">
        <v>1.316401575302358E-2</v>
      </c>
      <c r="B19" s="242">
        <v>3.2075751180082364E-4</v>
      </c>
    </row>
    <row r="20" spans="1:2" x14ac:dyDescent="0.25">
      <c r="A20" s="8">
        <v>1.3934489417841606E-2</v>
      </c>
      <c r="B20" s="242">
        <v>9.9662627310169124E-4</v>
      </c>
    </row>
    <row r="21" spans="1:2" x14ac:dyDescent="0.25">
      <c r="A21" s="8">
        <v>1.3164346462457547E-2</v>
      </c>
      <c r="B21" s="242">
        <v>3.1687020502400582E-4</v>
      </c>
    </row>
    <row r="22" spans="1:2" x14ac:dyDescent="0.25">
      <c r="A22" s="8">
        <v>1.3166903509559435E-2</v>
      </c>
      <c r="B22" s="242">
        <v>3.8654043980778995E-4</v>
      </c>
    </row>
    <row r="23" spans="1:2" x14ac:dyDescent="0.25">
      <c r="A23" s="8">
        <v>1.3163387354540425E-2</v>
      </c>
      <c r="B23" s="242">
        <v>3.5193985456180316E-4</v>
      </c>
    </row>
    <row r="24" spans="1:2" x14ac:dyDescent="0.25">
      <c r="A24" s="8">
        <v>1.3163591744172984E-2</v>
      </c>
      <c r="B24" s="242">
        <v>3.271834782682439E-4</v>
      </c>
    </row>
    <row r="25" spans="1:2" x14ac:dyDescent="0.25">
      <c r="A25" s="8">
        <v>1.4019868370804545E-2</v>
      </c>
      <c r="B25" s="242">
        <v>1.0330053499251789E-3</v>
      </c>
    </row>
    <row r="26" spans="1:2" x14ac:dyDescent="0.25">
      <c r="A26" s="8">
        <v>1.3163199379686654E-2</v>
      </c>
      <c r="B26" s="242">
        <v>3.4299892982756999E-4</v>
      </c>
    </row>
    <row r="27" spans="1:2" x14ac:dyDescent="0.25">
      <c r="A27" s="8">
        <v>1.316390332380105E-2</v>
      </c>
      <c r="B27" s="242">
        <v>3.6132840681657252E-4</v>
      </c>
    </row>
    <row r="28" spans="1:2" x14ac:dyDescent="0.25">
      <c r="A28" s="8">
        <v>1.3172176508413468E-2</v>
      </c>
      <c r="B28" s="242">
        <v>4.1144761705618854E-4</v>
      </c>
    </row>
    <row r="29" spans="1:2" x14ac:dyDescent="0.25">
      <c r="A29" s="8">
        <v>1.3163205357111242E-2</v>
      </c>
      <c r="B29" s="242">
        <v>3.3962652446297228E-4</v>
      </c>
    </row>
    <row r="30" spans="1:2" x14ac:dyDescent="0.25">
      <c r="A30" s="8">
        <v>1.3163238062081388E-2</v>
      </c>
      <c r="B30" s="242">
        <v>3.3706362941777367E-4</v>
      </c>
    </row>
    <row r="31" spans="1:2" x14ac:dyDescent="0.25">
      <c r="A31" s="8">
        <v>1.3177389922702546E-2</v>
      </c>
      <c r="B31" s="242">
        <v>4.293723499704468E-4</v>
      </c>
    </row>
    <row r="32" spans="1:2" x14ac:dyDescent="0.25">
      <c r="A32" s="8">
        <v>1.3174724920012244E-2</v>
      </c>
      <c r="B32" s="242">
        <v>4.2071890524964905E-4</v>
      </c>
    </row>
    <row r="33" spans="1:2" x14ac:dyDescent="0.25">
      <c r="A33" s="8">
        <v>1.3163841488059736E-2</v>
      </c>
      <c r="B33" s="242">
        <v>3.2312880627345409E-4</v>
      </c>
    </row>
    <row r="34" spans="1:2" x14ac:dyDescent="0.25">
      <c r="A34" s="8">
        <v>1.3163820049933345E-2</v>
      </c>
      <c r="B34" s="242">
        <v>3.2344167686180353E-4</v>
      </c>
    </row>
    <row r="35" spans="1:2" x14ac:dyDescent="0.25">
      <c r="A35" s="8">
        <v>1.3163201395562629E-2</v>
      </c>
      <c r="B35" s="242">
        <v>3.4338732751198429E-4</v>
      </c>
    </row>
    <row r="36" spans="1:2" x14ac:dyDescent="0.25">
      <c r="A36" s="8">
        <v>1.3164499525785569E-2</v>
      </c>
      <c r="B36" s="242">
        <v>3.1526313744319819E-4</v>
      </c>
    </row>
    <row r="37" spans="1:2" x14ac:dyDescent="0.25">
      <c r="A37" s="8">
        <v>1.3164183178530183E-2</v>
      </c>
      <c r="B37" s="242">
        <v>3.187075693928651E-4</v>
      </c>
    </row>
    <row r="38" spans="1:2" x14ac:dyDescent="0.25">
      <c r="A38" s="8">
        <v>1.3186760816378392E-2</v>
      </c>
      <c r="B38" s="242">
        <v>4.5465965971268655E-4</v>
      </c>
    </row>
    <row r="39" spans="1:2" x14ac:dyDescent="0.25">
      <c r="A39" s="8">
        <v>1.3163348316997468E-2</v>
      </c>
      <c r="B39" s="242">
        <v>3.3274126936096046E-4</v>
      </c>
    </row>
    <row r="40" spans="1:2" x14ac:dyDescent="0.25">
      <c r="A40" s="8">
        <v>1.3164474157739048E-2</v>
      </c>
      <c r="B40" s="242">
        <v>3.1552268915486755E-4</v>
      </c>
    </row>
    <row r="41" spans="1:2" x14ac:dyDescent="0.25">
      <c r="A41" s="8">
        <v>1.3181784009194619E-2</v>
      </c>
      <c r="B41" s="242">
        <v>4.4202505050802335E-4</v>
      </c>
    </row>
    <row r="42" spans="1:2" x14ac:dyDescent="0.25">
      <c r="A42" s="8">
        <v>1.3163340924344267E-2</v>
      </c>
      <c r="B42" s="242">
        <v>3.5061818547325988E-4</v>
      </c>
    </row>
    <row r="43" spans="1:2" x14ac:dyDescent="0.25">
      <c r="A43" s="8">
        <v>1.334745711277727E-2</v>
      </c>
      <c r="B43" s="242">
        <v>6.5837057595824011E-4</v>
      </c>
    </row>
    <row r="44" spans="1:2" x14ac:dyDescent="0.25">
      <c r="A44" s="8">
        <v>1.3164554781292945E-2</v>
      </c>
      <c r="B44" s="242">
        <v>3.1470639982789057E-4</v>
      </c>
    </row>
    <row r="45" spans="1:2" x14ac:dyDescent="0.25">
      <c r="A45" s="8">
        <v>1.3163297834137343E-2</v>
      </c>
      <c r="B45" s="242">
        <v>3.3439971530617641E-4</v>
      </c>
    </row>
    <row r="46" spans="1:2" x14ac:dyDescent="0.25">
      <c r="A46" s="8">
        <v>2.1471409227677783E-2</v>
      </c>
      <c r="B46" s="242">
        <v>2.7715604414153688E-3</v>
      </c>
    </row>
    <row r="47" spans="1:2" x14ac:dyDescent="0.25">
      <c r="A47" s="8">
        <v>1.3163216756371315E-2</v>
      </c>
      <c r="B47" s="242">
        <v>3.4508441684628444E-4</v>
      </c>
    </row>
    <row r="48" spans="1:2" x14ac:dyDescent="0.25">
      <c r="A48" s="8">
        <v>1.3376357249741495E-2</v>
      </c>
      <c r="B48" s="242">
        <v>6.8247899974826142E-4</v>
      </c>
    </row>
    <row r="49" spans="1:2" x14ac:dyDescent="0.25">
      <c r="A49" s="8">
        <v>1.3362073688199931E-2</v>
      </c>
      <c r="B49" s="242">
        <v>6.707780537297816E-4</v>
      </c>
    </row>
    <row r="50" spans="1:2" x14ac:dyDescent="0.25">
      <c r="A50" s="8">
        <v>1.3163715626563079E-2</v>
      </c>
      <c r="B50" s="242">
        <v>3.2504902699143865E-4</v>
      </c>
    </row>
    <row r="51" spans="1:2" x14ac:dyDescent="0.25">
      <c r="A51" s="8">
        <v>1.3173963486723544E-2</v>
      </c>
      <c r="B51" s="242">
        <v>4.1806672263364572E-4</v>
      </c>
    </row>
    <row r="52" spans="1:2" x14ac:dyDescent="0.25">
      <c r="A52" s="8">
        <v>1.4353176792467306E-2</v>
      </c>
      <c r="B52" s="242">
        <v>1.1614283389628499E-3</v>
      </c>
    </row>
    <row r="53" spans="1:2" x14ac:dyDescent="0.25">
      <c r="A53" s="8">
        <v>1.3172465709710885E-2</v>
      </c>
      <c r="B53" s="242">
        <v>4.125607792907409E-4</v>
      </c>
    </row>
    <row r="54" spans="1:2" x14ac:dyDescent="0.25">
      <c r="A54" s="8">
        <v>1.3166075410311588E-2</v>
      </c>
      <c r="B54" s="242">
        <v>3.8122587681645712E-4</v>
      </c>
    </row>
    <row r="55" spans="1:2" x14ac:dyDescent="0.25">
      <c r="A55" s="8">
        <v>1.3171848967931795E-2</v>
      </c>
      <c r="B55" s="242">
        <v>4.1016503160492429E-4</v>
      </c>
    </row>
    <row r="56" spans="1:2" x14ac:dyDescent="0.25">
      <c r="A56" s="8">
        <v>1.3164342308231538E-2</v>
      </c>
      <c r="B56" s="242">
        <v>3.1691526856173386E-4</v>
      </c>
    </row>
    <row r="57" spans="1:2" x14ac:dyDescent="0.25">
      <c r="A57" s="8">
        <v>1.3164473432543244E-2</v>
      </c>
      <c r="B57" s="242">
        <v>3.1553014666145962E-4</v>
      </c>
    </row>
    <row r="58" spans="1:2" x14ac:dyDescent="0.25">
      <c r="A58" s="8">
        <v>1.3165367783705436E-2</v>
      </c>
      <c r="B58" s="242">
        <v>3.7603741588137146E-4</v>
      </c>
    </row>
    <row r="59" spans="1:2" x14ac:dyDescent="0.25">
      <c r="A59" s="8">
        <v>1.3174889133189283E-2</v>
      </c>
      <c r="B59" s="242">
        <v>4.2127930383530917E-4</v>
      </c>
    </row>
    <row r="60" spans="1:2" x14ac:dyDescent="0.25">
      <c r="A60" s="8">
        <v>1.3228130726479763E-2</v>
      </c>
      <c r="B60" s="242">
        <v>5.2930075590313676E-4</v>
      </c>
    </row>
    <row r="61" spans="1:2" x14ac:dyDescent="0.25">
      <c r="A61" s="8">
        <v>1.322558499297437E-2</v>
      </c>
      <c r="B61" s="242">
        <v>5.2557949765934427E-4</v>
      </c>
    </row>
    <row r="62" spans="1:2" x14ac:dyDescent="0.25">
      <c r="A62" s="8">
        <v>1.3163235966925644E-2</v>
      </c>
      <c r="B62" s="242">
        <v>3.3718486728540574E-4</v>
      </c>
    </row>
    <row r="63" spans="1:2" x14ac:dyDescent="0.25">
      <c r="A63" s="8">
        <v>1.3165101178874046E-2</v>
      </c>
      <c r="B63" s="242">
        <v>3.7386575539144284E-4</v>
      </c>
    </row>
    <row r="64" spans="1:2" x14ac:dyDescent="0.25">
      <c r="A64" s="8">
        <v>1.3165024318509267E-2</v>
      </c>
      <c r="B64" s="242">
        <v>3.7321182789298841E-4</v>
      </c>
    </row>
    <row r="65" spans="1:2" x14ac:dyDescent="0.25">
      <c r="A65" s="8">
        <v>1.3163401321753339E-2</v>
      </c>
      <c r="B65" s="242">
        <v>3.3127783618866751E-4</v>
      </c>
    </row>
    <row r="66" spans="1:2" x14ac:dyDescent="0.25">
      <c r="A66" s="8">
        <v>1.3169385592160045E-2</v>
      </c>
      <c r="B66" s="242">
        <v>3.9961565185291244E-4</v>
      </c>
    </row>
    <row r="67" spans="1:2" x14ac:dyDescent="0.25">
      <c r="A67" s="8">
        <v>1.3163216342011879E-2</v>
      </c>
      <c r="B67" s="242">
        <v>3.3853256344696178E-4</v>
      </c>
    </row>
    <row r="68" spans="1:2" x14ac:dyDescent="0.25">
      <c r="A68" s="8">
        <v>1.3194282822601334E-2</v>
      </c>
      <c r="B68" s="242">
        <v>4.7144705307017326E-4</v>
      </c>
    </row>
    <row r="69" spans="1:2" x14ac:dyDescent="0.25">
      <c r="A69" s="8">
        <v>1.3206177475644936E-2</v>
      </c>
      <c r="B69" s="242">
        <v>4.9428205599302485E-4</v>
      </c>
    </row>
    <row r="70" spans="1:2" x14ac:dyDescent="0.25">
      <c r="A70" s="8">
        <v>1.3163206394686756E-2</v>
      </c>
      <c r="B70" s="242">
        <v>3.4408207883021092E-4</v>
      </c>
    </row>
    <row r="71" spans="1:2" x14ac:dyDescent="0.25">
      <c r="A71" s="8">
        <v>1.3513242266017234E-2</v>
      </c>
      <c r="B71" s="242">
        <v>7.7949720689038642E-4</v>
      </c>
    </row>
    <row r="72" spans="1:2" x14ac:dyDescent="0.25">
      <c r="A72" s="8">
        <v>1.3164059776571244E-2</v>
      </c>
      <c r="B72" s="242">
        <v>3.6338319388067871E-4</v>
      </c>
    </row>
    <row r="73" spans="1:2" x14ac:dyDescent="0.25">
      <c r="A73" s="8">
        <v>1.3164160975626258E-2</v>
      </c>
      <c r="B73" s="242">
        <v>3.1896882884779285E-4</v>
      </c>
    </row>
    <row r="74" spans="1:2" x14ac:dyDescent="0.25">
      <c r="A74" s="8">
        <v>1.3177860847125312E-2</v>
      </c>
      <c r="B74" s="242">
        <v>4.3081423471398735E-4</v>
      </c>
    </row>
    <row r="75" spans="1:2" x14ac:dyDescent="0.25">
      <c r="A75" s="8">
        <v>1.3163661491105471E-2</v>
      </c>
      <c r="B75" s="242">
        <v>3.2594635520476526E-4</v>
      </c>
    </row>
    <row r="76" spans="1:2" x14ac:dyDescent="0.25">
      <c r="A76" s="8">
        <v>1.3166205624569422E-2</v>
      </c>
      <c r="B76" s="242">
        <v>3.8210798689470351E-4</v>
      </c>
    </row>
    <row r="77" spans="1:2" x14ac:dyDescent="0.25">
      <c r="A77" s="8">
        <v>1.3173247406685122E-2</v>
      </c>
      <c r="B77" s="242">
        <v>4.1548561958183386E-4</v>
      </c>
    </row>
    <row r="78" spans="1:2" x14ac:dyDescent="0.25">
      <c r="A78" s="8">
        <v>1.3164218850253229E-2</v>
      </c>
      <c r="B78" s="242">
        <v>3.1829390447910667E-4</v>
      </c>
    </row>
    <row r="79" spans="1:2" x14ac:dyDescent="0.25">
      <c r="A79" s="8">
        <v>1.3163214599316584E-2</v>
      </c>
      <c r="B79" s="242">
        <v>3.3868033522149645E-4</v>
      </c>
    </row>
    <row r="80" spans="1:2" x14ac:dyDescent="0.25">
      <c r="A80" s="8">
        <v>1.3163210032651595E-2</v>
      </c>
      <c r="B80" s="242">
        <v>3.391058632801303E-4</v>
      </c>
    </row>
    <row r="81" spans="1:2" x14ac:dyDescent="0.25">
      <c r="A81" s="8">
        <v>1.3164624808827855E-2</v>
      </c>
      <c r="B81" s="242">
        <v>3.6956597072645173E-4</v>
      </c>
    </row>
    <row r="82" spans="1:2" x14ac:dyDescent="0.25">
      <c r="A82" s="8">
        <v>1.338717079131327E-2</v>
      </c>
      <c r="B82" s="242">
        <v>6.910847035659722E-4</v>
      </c>
    </row>
    <row r="83" spans="1:2" x14ac:dyDescent="0.25">
      <c r="A83" s="8">
        <v>1.3163244759332494E-2</v>
      </c>
      <c r="B83" s="242">
        <v>3.4688742358735599E-4</v>
      </c>
    </row>
    <row r="84" spans="1:2" x14ac:dyDescent="0.25">
      <c r="A84" s="8">
        <v>1.3163346521831513E-2</v>
      </c>
      <c r="B84" s="242">
        <v>3.3279499961030721E-4</v>
      </c>
    </row>
    <row r="85" spans="1:2" x14ac:dyDescent="0.25">
      <c r="A85" s="8">
        <v>1.316419485514006E-2</v>
      </c>
      <c r="B85" s="242">
        <v>3.185713510975605E-4</v>
      </c>
    </row>
    <row r="86" spans="1:2" x14ac:dyDescent="0.25">
      <c r="A86" s="8">
        <v>1.3163862252148181E-2</v>
      </c>
      <c r="B86" s="242">
        <v>3.2283069330898512E-4</v>
      </c>
    </row>
    <row r="87" spans="1:2" x14ac:dyDescent="0.25">
      <c r="A87" s="8">
        <v>1.7684952293981183E-2</v>
      </c>
      <c r="B87" s="242">
        <v>2.0334945914807835E-3</v>
      </c>
    </row>
    <row r="88" spans="1:2" x14ac:dyDescent="0.25">
      <c r="A88" s="8">
        <v>1.3163300308541166E-2</v>
      </c>
      <c r="B88" s="242">
        <v>3.4927296610190998E-4</v>
      </c>
    </row>
    <row r="89" spans="1:2" x14ac:dyDescent="0.25">
      <c r="A89" s="8">
        <v>1.3164205228738523E-2</v>
      </c>
      <c r="B89" s="242">
        <v>3.1845100037735546E-4</v>
      </c>
    </row>
    <row r="90" spans="1:2" x14ac:dyDescent="0.25">
      <c r="A90" s="8">
        <v>1.3164583732836575E-2</v>
      </c>
      <c r="B90" s="242">
        <v>3.691636077554003E-4</v>
      </c>
    </row>
    <row r="91" spans="1:2" x14ac:dyDescent="0.25">
      <c r="A91" s="8">
        <v>1.3163302234718101E-2</v>
      </c>
      <c r="B91" s="242">
        <v>3.3424064293865622E-4</v>
      </c>
    </row>
    <row r="92" spans="1:2" x14ac:dyDescent="0.25">
      <c r="A92" s="8">
        <v>1.3163541314496962E-2</v>
      </c>
      <c r="B92" s="242">
        <v>3.5543516339336001E-4</v>
      </c>
    </row>
    <row r="93" spans="1:2" x14ac:dyDescent="0.25">
      <c r="A93" s="8">
        <v>1.3163456483948411E-2</v>
      </c>
      <c r="B93" s="242">
        <v>3.536375435870563E-4</v>
      </c>
    </row>
    <row r="94" spans="1:2" x14ac:dyDescent="0.25">
      <c r="A94" s="8">
        <v>1.3163983889189492E-2</v>
      </c>
      <c r="B94" s="242">
        <v>3.6241210394568962E-4</v>
      </c>
    </row>
    <row r="95" spans="1:2" x14ac:dyDescent="0.25">
      <c r="A95" s="8">
        <v>1.3167482051294411E-2</v>
      </c>
      <c r="B95" s="242">
        <v>3.8990650147001751E-4</v>
      </c>
    </row>
    <row r="96" spans="1:2" x14ac:dyDescent="0.25">
      <c r="A96" s="8">
        <v>1.3165258277813507E-2</v>
      </c>
      <c r="B96" s="242">
        <v>3.751625244984513E-4</v>
      </c>
    </row>
    <row r="97" spans="1:2" x14ac:dyDescent="0.25">
      <c r="A97" s="8">
        <v>1.3176302878811681E-2</v>
      </c>
      <c r="B97" s="242">
        <v>4.2594995169856832E-4</v>
      </c>
    </row>
    <row r="98" spans="1:2" x14ac:dyDescent="0.25">
      <c r="A98" s="8">
        <v>1.3953489240980409E-2</v>
      </c>
      <c r="B98" s="242">
        <v>1.004875061683157E-3</v>
      </c>
    </row>
    <row r="99" spans="1:2" x14ac:dyDescent="0.25">
      <c r="A99" s="8">
        <v>1.3181806023931186E-2</v>
      </c>
      <c r="B99" s="242">
        <v>4.4208443294976125E-4</v>
      </c>
    </row>
    <row r="100" spans="1:2" x14ac:dyDescent="0.25">
      <c r="A100" s="8">
        <v>1.3164470297727075E-2</v>
      </c>
      <c r="B100" s="242">
        <v>3.1556240773964394E-4</v>
      </c>
    </row>
    <row r="101" spans="1:2" x14ac:dyDescent="0.25">
      <c r="A101" s="8">
        <v>1.3813653045615619E-2</v>
      </c>
      <c r="B101" s="242">
        <v>9.4180455997590383E-4</v>
      </c>
    </row>
    <row r="102" spans="1:2" x14ac:dyDescent="0.25">
      <c r="A102" s="8">
        <v>1.3165751950446884E-2</v>
      </c>
      <c r="B102" s="242">
        <v>3.7894418433092431E-4</v>
      </c>
    </row>
    <row r="103" spans="1:2" x14ac:dyDescent="0.25">
      <c r="A103" s="8">
        <v>1.3166853663196769E-2</v>
      </c>
      <c r="B103" s="242">
        <v>3.8623850551047578E-4</v>
      </c>
    </row>
    <row r="104" spans="1:2" x14ac:dyDescent="0.25">
      <c r="A104" s="8">
        <v>1.316365545365434E-2</v>
      </c>
      <c r="B104" s="242">
        <v>3.5753322089915253E-4</v>
      </c>
    </row>
    <row r="105" spans="1:2" x14ac:dyDescent="0.25">
      <c r="A105" s="8">
        <v>1.3233639949158198E-2</v>
      </c>
      <c r="B105" s="242">
        <v>5.3711367934356109E-4</v>
      </c>
    </row>
    <row r="106" spans="1:2" x14ac:dyDescent="0.25">
      <c r="A106" s="8">
        <v>1.3163828402866364E-2</v>
      </c>
      <c r="B106" s="242">
        <v>3.6026367726107935E-4</v>
      </c>
    </row>
    <row r="107" spans="1:2" x14ac:dyDescent="0.25">
      <c r="A107" s="8">
        <v>1.3178695605340171E-2</v>
      </c>
      <c r="B107" s="242">
        <v>4.3331443043710915E-4</v>
      </c>
    </row>
    <row r="108" spans="1:2" x14ac:dyDescent="0.25">
      <c r="A108" s="8">
        <v>1.3163211208193904E-2</v>
      </c>
      <c r="B108" s="242">
        <v>3.3899013973525099E-4</v>
      </c>
    </row>
    <row r="109" spans="1:2" x14ac:dyDescent="0.25">
      <c r="A109" s="8">
        <v>1.3163305360561399E-2</v>
      </c>
      <c r="B109" s="242">
        <v>3.4945316463901971E-4</v>
      </c>
    </row>
    <row r="110" spans="1:2" x14ac:dyDescent="0.25">
      <c r="A110" s="8">
        <v>1.3232870471280449E-2</v>
      </c>
      <c r="B110" s="242">
        <v>5.360411301131953E-4</v>
      </c>
    </row>
    <row r="111" spans="1:2" x14ac:dyDescent="0.25">
      <c r="A111" s="8">
        <v>1.3164299989621186E-2</v>
      </c>
      <c r="B111" s="242">
        <v>3.1737906403416562E-4</v>
      </c>
    </row>
    <row r="112" spans="1:2" x14ac:dyDescent="0.25">
      <c r="A112" s="8">
        <v>1.3163250186641879E-2</v>
      </c>
      <c r="B112" s="242">
        <v>3.3641545892902739E-4</v>
      </c>
    </row>
    <row r="113" spans="1:2" x14ac:dyDescent="0.25">
      <c r="A113" s="8">
        <v>1.3163512269592842E-2</v>
      </c>
      <c r="B113" s="242">
        <v>3.5484757333474279E-4</v>
      </c>
    </row>
    <row r="114" spans="1:2" x14ac:dyDescent="0.25">
      <c r="A114" s="8">
        <v>1.3165745280378876E-2</v>
      </c>
      <c r="B114" s="242">
        <v>3.7889565766804223E-4</v>
      </c>
    </row>
    <row r="115" spans="1:2" x14ac:dyDescent="0.25">
      <c r="A115" s="8">
        <v>1.3343343603979803E-2</v>
      </c>
      <c r="B115" s="242">
        <v>6.5479262002985706E-4</v>
      </c>
    </row>
    <row r="116" spans="1:2" x14ac:dyDescent="0.25">
      <c r="A116" s="8">
        <v>1.3163656728592699E-2</v>
      </c>
      <c r="B116" s="242">
        <v>3.2602774087490499E-4</v>
      </c>
    </row>
    <row r="117" spans="1:2" x14ac:dyDescent="0.25">
      <c r="A117" s="8">
        <v>1.3164033910782412E-2</v>
      </c>
      <c r="B117" s="242">
        <v>3.6305718468164841E-4</v>
      </c>
    </row>
    <row r="118" spans="1:2" x14ac:dyDescent="0.25">
      <c r="A118" s="8">
        <v>1.3163541738092034E-2</v>
      </c>
      <c r="B118" s="242">
        <v>3.28139274547813E-4</v>
      </c>
    </row>
    <row r="119" spans="1:2" x14ac:dyDescent="0.25">
      <c r="A119" s="8">
        <v>1.3163197817850627E-2</v>
      </c>
      <c r="B119" s="242">
        <v>3.4257531003437276E-4</v>
      </c>
    </row>
    <row r="120" spans="1:2" x14ac:dyDescent="0.25">
      <c r="A120" s="8">
        <v>1.3163853602530909E-2</v>
      </c>
      <c r="B120" s="242">
        <v>3.2295430382518666E-4</v>
      </c>
    </row>
    <row r="121" spans="1:2" x14ac:dyDescent="0.25">
      <c r="A121" s="8">
        <v>1.9392709357973381E-2</v>
      </c>
      <c r="B121" s="242">
        <v>2.3816403081325307E-3</v>
      </c>
    </row>
    <row r="122" spans="1:2" x14ac:dyDescent="0.25">
      <c r="A122" s="8">
        <v>1.3193034903932855E-2</v>
      </c>
      <c r="B122" s="242">
        <v>4.6881494923746404E-4</v>
      </c>
    </row>
    <row r="123" spans="1:2" x14ac:dyDescent="0.25">
      <c r="A123" s="8">
        <v>1.3589055499887613E-2</v>
      </c>
      <c r="B123" s="242">
        <v>8.2526089277125706E-4</v>
      </c>
    </row>
    <row r="124" spans="1:2" x14ac:dyDescent="0.25">
      <c r="A124" s="8">
        <v>1.3351316646669545E-2</v>
      </c>
      <c r="B124" s="242">
        <v>6.6169222361630751E-4</v>
      </c>
    </row>
    <row r="125" spans="1:2" x14ac:dyDescent="0.25">
      <c r="A125" s="8">
        <v>1.3168947984261371E-2</v>
      </c>
      <c r="B125" s="242">
        <v>3.9753338480997885E-4</v>
      </c>
    </row>
    <row r="126" spans="1:2" x14ac:dyDescent="0.25">
      <c r="A126" s="8">
        <v>1.3279621841748924E-2</v>
      </c>
      <c r="B126" s="242">
        <v>5.9311506393024843E-4</v>
      </c>
    </row>
    <row r="127" spans="1:2" x14ac:dyDescent="0.25">
      <c r="A127" s="8">
        <v>0.27368987743580186</v>
      </c>
      <c r="B127" s="242">
        <v>3.9499018109891669E-2</v>
      </c>
    </row>
    <row r="128" spans="1:2" x14ac:dyDescent="0.25">
      <c r="A128" s="8">
        <v>1.3163327548256313E-2</v>
      </c>
      <c r="B128" s="242">
        <v>3.5019896473805737E-4</v>
      </c>
    </row>
    <row r="129" spans="1:2" x14ac:dyDescent="0.25">
      <c r="A129" s="8">
        <v>1.3163255165399604E-2</v>
      </c>
      <c r="B129" s="242">
        <v>3.3617090558244221E-4</v>
      </c>
    </row>
    <row r="130" spans="1:2" x14ac:dyDescent="0.25">
      <c r="A130" s="8">
        <v>1.3163297805205027E-2</v>
      </c>
      <c r="B130" s="242">
        <v>3.4918204786235939E-4</v>
      </c>
    </row>
    <row r="131" spans="1:2" x14ac:dyDescent="0.25">
      <c r="A131" s="8">
        <v>1.3163831623121135E-2</v>
      </c>
      <c r="B131" s="242">
        <v>3.2327211990106764E-4</v>
      </c>
    </row>
    <row r="132" spans="1:2" x14ac:dyDescent="0.25">
      <c r="A132" s="8">
        <v>1.3501943320386045E-2</v>
      </c>
      <c r="B132" s="242">
        <v>7.7228382168002287E-4</v>
      </c>
    </row>
    <row r="133" spans="1:2" x14ac:dyDescent="0.25">
      <c r="A133" s="8">
        <v>1.320245131280854E-2</v>
      </c>
      <c r="B133" s="242">
        <v>4.8751194329247168E-4</v>
      </c>
    </row>
    <row r="134" spans="1:2" x14ac:dyDescent="0.25">
      <c r="A134" s="8">
        <v>1.3163304662656692E-2</v>
      </c>
      <c r="B134" s="242">
        <v>3.3415429588541667E-4</v>
      </c>
    </row>
    <row r="135" spans="1:2" x14ac:dyDescent="0.25">
      <c r="A135" s="8">
        <v>1.316412026123397E-2</v>
      </c>
      <c r="B135" s="242">
        <v>3.6412697179809674E-4</v>
      </c>
    </row>
    <row r="136" spans="1:2" x14ac:dyDescent="0.25">
      <c r="A136" s="8">
        <v>1.3167278744793762E-2</v>
      </c>
      <c r="B136" s="242">
        <v>3.8875111473359698E-4</v>
      </c>
    </row>
    <row r="137" spans="1:2" x14ac:dyDescent="0.25">
      <c r="A137" s="8">
        <v>1.3240966548666454E-2</v>
      </c>
      <c r="B137" s="242">
        <v>5.4704839962595891E-4</v>
      </c>
    </row>
    <row r="138" spans="1:2" x14ac:dyDescent="0.25">
      <c r="A138" s="8">
        <v>1.3163375585186324E-2</v>
      </c>
      <c r="B138" s="242">
        <v>3.3196116211275532E-4</v>
      </c>
    </row>
    <row r="139" spans="1:2" x14ac:dyDescent="0.25">
      <c r="A139" s="8">
        <v>1.3164258709403171E-2</v>
      </c>
      <c r="B139" s="242">
        <v>3.1784012922965118E-4</v>
      </c>
    </row>
    <row r="140" spans="1:2" x14ac:dyDescent="0.25">
      <c r="A140" s="8">
        <v>1.3163358831451038E-2</v>
      </c>
      <c r="B140" s="242">
        <v>3.5115006158299825E-4</v>
      </c>
    </row>
    <row r="141" spans="1:2" x14ac:dyDescent="0.25">
      <c r="A141" s="8">
        <v>1.3438690699481655E-2</v>
      </c>
      <c r="B141" s="242">
        <v>7.2955620852599586E-4</v>
      </c>
    </row>
    <row r="142" spans="1:2" x14ac:dyDescent="0.25">
      <c r="A142" s="8">
        <v>1.3163556620407536E-2</v>
      </c>
      <c r="B142" s="242">
        <v>3.2784797072065933E-4</v>
      </c>
    </row>
    <row r="143" spans="1:2" x14ac:dyDescent="0.25">
      <c r="A143" s="8">
        <v>1.3165352703416913E-2</v>
      </c>
      <c r="B143" s="242">
        <v>3.7591826403246005E-4</v>
      </c>
    </row>
    <row r="144" spans="1:2" x14ac:dyDescent="0.25">
      <c r="A144" s="8">
        <v>1.3164000201903781E-2</v>
      </c>
      <c r="B144" s="242">
        <v>3.6262466810310829E-4</v>
      </c>
    </row>
    <row r="145" spans="1:2" x14ac:dyDescent="0.25">
      <c r="A145" s="8">
        <v>1.3163633158454558E-2</v>
      </c>
      <c r="B145" s="242">
        <v>3.571459451677801E-4</v>
      </c>
    </row>
    <row r="146" spans="1:2" x14ac:dyDescent="0.25">
      <c r="A146" s="8">
        <v>1.31942527306807E-2</v>
      </c>
      <c r="B146" s="242">
        <v>4.7138420945249884E-4</v>
      </c>
    </row>
    <row r="147" spans="1:2" x14ac:dyDescent="0.25">
      <c r="A147" s="8">
        <v>1.3169100647623225E-2</v>
      </c>
      <c r="B147" s="242">
        <v>3.9826851431517683E-4</v>
      </c>
    </row>
    <row r="148" spans="1:2" x14ac:dyDescent="0.25">
      <c r="A148" s="8">
        <v>1.3401428437697276E-2</v>
      </c>
      <c r="B148" s="242">
        <v>7.0212748307843997E-4</v>
      </c>
    </row>
    <row r="149" spans="1:2" x14ac:dyDescent="0.25">
      <c r="A149" s="8">
        <v>1.3163200965386892E-2</v>
      </c>
      <c r="B149" s="242">
        <v>3.4331279062209554E-4</v>
      </c>
    </row>
    <row r="150" spans="1:2" x14ac:dyDescent="0.25">
      <c r="A150" s="8">
        <v>1.3218727975008832E-2</v>
      </c>
      <c r="B150" s="242">
        <v>5.1516310946336493E-4</v>
      </c>
    </row>
    <row r="151" spans="1:2" x14ac:dyDescent="0.25">
      <c r="A151" s="8">
        <v>1.3164253758057536E-2</v>
      </c>
      <c r="B151" s="242">
        <v>3.1789602900427887E-4</v>
      </c>
    </row>
    <row r="152" spans="1:2" x14ac:dyDescent="0.25">
      <c r="A152" s="8">
        <v>1.3387407453066063E-2</v>
      </c>
      <c r="B152" s="242">
        <v>6.9127075240395784E-4</v>
      </c>
    </row>
    <row r="153" spans="1:2" x14ac:dyDescent="0.25">
      <c r="A153" s="8">
        <v>1.3164302934881144E-2</v>
      </c>
      <c r="B153" s="242">
        <v>3.662363200673456E-4</v>
      </c>
    </row>
    <row r="154" spans="1:2" x14ac:dyDescent="0.25">
      <c r="A154" s="8">
        <v>1.3175751254335677E-2</v>
      </c>
      <c r="B154" s="242">
        <v>4.2415898385963298E-4</v>
      </c>
    </row>
    <row r="155" spans="1:2" x14ac:dyDescent="0.25">
      <c r="A155" s="8">
        <v>1.3164020403156779E-2</v>
      </c>
      <c r="B155" s="242">
        <v>3.2069788642764504E-4</v>
      </c>
    </row>
    <row r="156" spans="1:2" x14ac:dyDescent="0.25">
      <c r="A156" s="8">
        <v>1.3163530791158038E-2</v>
      </c>
      <c r="B156" s="242">
        <v>3.2835757913714112E-4</v>
      </c>
    </row>
    <row r="157" spans="1:2" x14ac:dyDescent="0.25">
      <c r="A157" s="8">
        <v>1.317575200417004E-2</v>
      </c>
      <c r="B157" s="242">
        <v>4.2416144473778116E-4</v>
      </c>
    </row>
    <row r="158" spans="1:2" x14ac:dyDescent="0.25">
      <c r="A158" s="8">
        <v>1.3163291676355219E-2</v>
      </c>
      <c r="B158" s="242">
        <v>3.3462823451416694E-4</v>
      </c>
    </row>
    <row r="159" spans="1:2" x14ac:dyDescent="0.25">
      <c r="A159" s="8">
        <v>1.3178830142795165E-2</v>
      </c>
      <c r="B159" s="242">
        <v>4.3371103679802658E-4</v>
      </c>
    </row>
    <row r="160" spans="1:2" x14ac:dyDescent="0.25">
      <c r="A160" s="8">
        <v>1.3436889138336561E-2</v>
      </c>
      <c r="B160" s="242">
        <v>7.2827316998525459E-4</v>
      </c>
    </row>
    <row r="161" spans="1:2" x14ac:dyDescent="0.25">
      <c r="A161" s="8">
        <v>1.5718709451174866E-2</v>
      </c>
      <c r="B161" s="242">
        <v>1.5723662233947525E-3</v>
      </c>
    </row>
    <row r="162" spans="1:2" x14ac:dyDescent="0.25">
      <c r="A162" s="8">
        <v>1.3169680129863918E-2</v>
      </c>
      <c r="B162" s="242">
        <v>4.0097595258722837E-4</v>
      </c>
    </row>
    <row r="163" spans="1:2" x14ac:dyDescent="0.25">
      <c r="A163" s="8">
        <v>1.3163680829424771E-2</v>
      </c>
      <c r="B163" s="242">
        <v>3.256200937457702E-4</v>
      </c>
    </row>
    <row r="164" spans="1:2" x14ac:dyDescent="0.25">
      <c r="A164" s="8">
        <v>1.3172285107368851E-2</v>
      </c>
      <c r="B164" s="242">
        <v>4.11867694834583E-4</v>
      </c>
    </row>
    <row r="165" spans="1:2" x14ac:dyDescent="0.25">
      <c r="A165" s="8">
        <v>1.3184142956614494E-2</v>
      </c>
      <c r="B165" s="242">
        <v>4.482002892600353E-4</v>
      </c>
    </row>
    <row r="166" spans="1:2" x14ac:dyDescent="0.25">
      <c r="A166" s="8">
        <v>1.3163756377186831E-2</v>
      </c>
      <c r="B166" s="242">
        <v>3.5917873873253162E-4</v>
      </c>
    </row>
    <row r="167" spans="1:2" x14ac:dyDescent="0.25">
      <c r="A167" s="8">
        <v>1.3179265477721374E-2</v>
      </c>
      <c r="B167" s="242">
        <v>4.3498283244686919E-4</v>
      </c>
    </row>
    <row r="168" spans="1:2" x14ac:dyDescent="0.25">
      <c r="A168" s="8">
        <v>1.3168299202766909E-2</v>
      </c>
      <c r="B168" s="242">
        <v>3.9429467402117801E-4</v>
      </c>
    </row>
    <row r="169" spans="1:2" x14ac:dyDescent="0.25">
      <c r="A169" s="8">
        <v>1.4392098599623669E-2</v>
      </c>
      <c r="B169" s="242">
        <v>1.1753136919666698E-3</v>
      </c>
    </row>
    <row r="170" spans="1:2" x14ac:dyDescent="0.25">
      <c r="A170" s="8">
        <v>1.31637342928473E-2</v>
      </c>
      <c r="B170" s="242">
        <v>3.5883224759492385E-4</v>
      </c>
    </row>
    <row r="171" spans="1:2" x14ac:dyDescent="0.25">
      <c r="A171" s="8">
        <v>1.3194994701381406E-2</v>
      </c>
      <c r="B171" s="242">
        <v>4.7292499048350191E-4</v>
      </c>
    </row>
    <row r="172" spans="1:2" x14ac:dyDescent="0.25">
      <c r="A172" s="8">
        <v>1.3163986598615113E-2</v>
      </c>
      <c r="B172" s="242">
        <v>3.2113525953910224E-4</v>
      </c>
    </row>
    <row r="173" spans="1:2" x14ac:dyDescent="0.25">
      <c r="A173" s="8">
        <v>1.3163201777646804E-2</v>
      </c>
      <c r="B173" s="242">
        <v>3.434507262466593E-4</v>
      </c>
    </row>
    <row r="174" spans="1:2" x14ac:dyDescent="0.25">
      <c r="A174" s="8">
        <v>1.3163546215354198E-2</v>
      </c>
      <c r="B174" s="242">
        <v>3.2805098792628655E-4</v>
      </c>
    </row>
    <row r="175" spans="1:2" x14ac:dyDescent="0.25">
      <c r="A175" s="8">
        <v>1.3164254886699816E-2</v>
      </c>
      <c r="B175" s="242">
        <v>3.1788327534319386E-4</v>
      </c>
    </row>
    <row r="176" spans="1:2" x14ac:dyDescent="0.25">
      <c r="A176" s="8">
        <v>1.3169000367560113E-2</v>
      </c>
      <c r="B176" s="242">
        <v>3.9778671609389644E-4</v>
      </c>
    </row>
    <row r="177" spans="1:2" x14ac:dyDescent="0.25">
      <c r="A177" s="8">
        <v>1.3163301934890332E-2</v>
      </c>
      <c r="B177" s="242">
        <v>3.4933144575552893E-4</v>
      </c>
    </row>
    <row r="178" spans="1:2" x14ac:dyDescent="0.25">
      <c r="A178" s="8">
        <v>1.3513470746814749E-2</v>
      </c>
      <c r="B178" s="242">
        <v>7.7964190771219379E-4</v>
      </c>
    </row>
    <row r="179" spans="1:2" x14ac:dyDescent="0.25">
      <c r="A179" s="8">
        <v>1.3163217844491213E-2</v>
      </c>
      <c r="B179" s="242">
        <v>3.3841034124012137E-4</v>
      </c>
    </row>
    <row r="180" spans="1:2" x14ac:dyDescent="0.25">
      <c r="A180" s="8">
        <v>1.3165102239339217E-2</v>
      </c>
      <c r="B180" s="242">
        <v>3.7387468463189589E-4</v>
      </c>
    </row>
    <row r="181" spans="1:2" x14ac:dyDescent="0.25">
      <c r="A181" s="8">
        <v>1.3164392186116751E-2</v>
      </c>
      <c r="B181" s="242">
        <v>3.1637949009381643E-4</v>
      </c>
    </row>
    <row r="182" spans="1:2" x14ac:dyDescent="0.25">
      <c r="A182" s="8">
        <v>1.3316989496227179E-2</v>
      </c>
      <c r="B182" s="242">
        <v>6.308491547761736E-4</v>
      </c>
    </row>
    <row r="183" spans="1:2" x14ac:dyDescent="0.25">
      <c r="A183" s="8">
        <v>1.3164236089879546E-2</v>
      </c>
      <c r="B183" s="242">
        <v>3.1809657415473832E-4</v>
      </c>
    </row>
    <row r="184" spans="1:2" x14ac:dyDescent="0.25">
      <c r="A184" s="8">
        <v>1.3163203362964138E-2</v>
      </c>
      <c r="B184" s="242">
        <v>3.3989151071976015E-4</v>
      </c>
    </row>
    <row r="185" spans="1:2" x14ac:dyDescent="0.25">
      <c r="A185" s="8">
        <v>1.3167830788059923E-2</v>
      </c>
      <c r="B185" s="242">
        <v>3.9182631074288597E-4</v>
      </c>
    </row>
    <row r="186" spans="1:2" x14ac:dyDescent="0.25">
      <c r="A186" s="8">
        <v>1.3241982790777302E-2</v>
      </c>
      <c r="B186" s="242">
        <v>5.4838909980866484E-4</v>
      </c>
    </row>
    <row r="187" spans="1:2" x14ac:dyDescent="0.25">
      <c r="A187" s="8">
        <v>1.3163762089790572E-2</v>
      </c>
      <c r="B187" s="242">
        <v>3.5926724811926789E-4</v>
      </c>
    </row>
    <row r="188" spans="1:2" x14ac:dyDescent="0.25">
      <c r="A188" s="8">
        <v>1.3189389765354309E-2</v>
      </c>
      <c r="B188" s="242">
        <v>4.607952621125334E-4</v>
      </c>
    </row>
    <row r="189" spans="1:2" x14ac:dyDescent="0.25">
      <c r="A189" s="8">
        <v>1.3164531248904675E-2</v>
      </c>
      <c r="B189" s="242">
        <v>3.1494209390237478E-4</v>
      </c>
    </row>
    <row r="190" spans="1:2" x14ac:dyDescent="0.25">
      <c r="A190" s="8">
        <v>1.3274795273895064E-2</v>
      </c>
      <c r="B190" s="242">
        <v>5.8782797913067863E-4</v>
      </c>
    </row>
    <row r="191" spans="1:2" x14ac:dyDescent="0.25">
      <c r="A191" s="8">
        <v>1.6072002758229103E-2</v>
      </c>
      <c r="B191" s="242">
        <v>1.6626808951542274E-3</v>
      </c>
    </row>
    <row r="192" spans="1:2" x14ac:dyDescent="0.25">
      <c r="A192" s="8">
        <v>1.3167979804521973E-2</v>
      </c>
      <c r="B192" s="242">
        <v>3.9262456168593241E-4</v>
      </c>
    </row>
    <row r="193" spans="1:2" x14ac:dyDescent="0.25">
      <c r="A193" s="8">
        <v>1.3163284469629858E-2</v>
      </c>
      <c r="B193" s="242">
        <v>3.4867751525957658E-4</v>
      </c>
    </row>
    <row r="194" spans="1:2" x14ac:dyDescent="0.25">
      <c r="A194" s="8">
        <v>1.3164234011231814E-2</v>
      </c>
      <c r="B194" s="242">
        <v>3.1812027982571812E-4</v>
      </c>
    </row>
    <row r="195" spans="1:2" x14ac:dyDescent="0.25">
      <c r="A195" s="8">
        <v>1.3163321191412954E-2</v>
      </c>
      <c r="B195" s="242">
        <v>3.4999222583498622E-4</v>
      </c>
    </row>
    <row r="196" spans="1:2" x14ac:dyDescent="0.25">
      <c r="A196" s="8">
        <v>1.3165209598159425E-2</v>
      </c>
      <c r="B196" s="242">
        <v>3.7476615119304892E-4</v>
      </c>
    </row>
    <row r="197" spans="1:2" x14ac:dyDescent="0.25">
      <c r="A197" s="8">
        <v>1.3163914014683217E-2</v>
      </c>
      <c r="B197" s="242">
        <v>3.2210717572933627E-4</v>
      </c>
    </row>
    <row r="198" spans="1:2" x14ac:dyDescent="0.25">
      <c r="A198" s="8">
        <v>1.3163826733312536E-2</v>
      </c>
      <c r="B198" s="242">
        <v>3.2334356961348531E-4</v>
      </c>
    </row>
    <row r="199" spans="1:2" x14ac:dyDescent="0.25">
      <c r="A199" s="8">
        <v>1.3163288761308255E-2</v>
      </c>
      <c r="B199" s="242">
        <v>3.347389956111254E-4</v>
      </c>
    </row>
    <row r="200" spans="1:2" x14ac:dyDescent="0.25">
      <c r="A200" s="8">
        <v>1.3163430858487122E-2</v>
      </c>
      <c r="B200" s="242">
        <v>3.3054466082120488E-4</v>
      </c>
    </row>
    <row r="201" spans="1:2" x14ac:dyDescent="0.25">
      <c r="A201" s="8">
        <v>1.3164543844612721E-2</v>
      </c>
      <c r="B201" s="242">
        <v>3.1481568259216468E-4</v>
      </c>
    </row>
    <row r="202" spans="1:2" x14ac:dyDescent="0.25">
      <c r="A202" s="8">
        <v>1.3168354537108875E-2</v>
      </c>
      <c r="B202" s="242">
        <v>3.9457864782929149E-4</v>
      </c>
    </row>
    <row r="203" spans="1:2" x14ac:dyDescent="0.25">
      <c r="A203" s="8">
        <v>1.3163604434025044E-2</v>
      </c>
      <c r="B203" s="242">
        <v>3.5663210205044623E-4</v>
      </c>
    </row>
    <row r="204" spans="1:2" x14ac:dyDescent="0.25">
      <c r="A204" s="8">
        <v>1.3165018686547498E-2</v>
      </c>
      <c r="B204" s="242">
        <v>3.731633753654105E-4</v>
      </c>
    </row>
    <row r="205" spans="1:2" x14ac:dyDescent="0.25">
      <c r="A205" s="8">
        <v>1.3163348791943317E-2</v>
      </c>
      <c r="B205" s="242">
        <v>3.3272710726263481E-4</v>
      </c>
    </row>
    <row r="206" spans="1:2" x14ac:dyDescent="0.25">
      <c r="A206" s="8">
        <v>1.3211093234820505E-2</v>
      </c>
      <c r="B206" s="242">
        <v>5.0278129625271864E-4</v>
      </c>
    </row>
    <row r="207" spans="1:2" x14ac:dyDescent="0.25">
      <c r="A207" s="8">
        <v>1.3164756894127452E-2</v>
      </c>
      <c r="B207" s="242">
        <v>3.7082205604610795E-4</v>
      </c>
    </row>
    <row r="208" spans="1:2" x14ac:dyDescent="0.25">
      <c r="A208" s="8">
        <v>1.3163301018505534E-2</v>
      </c>
      <c r="B208" s="242">
        <v>3.4929855076014984E-4</v>
      </c>
    </row>
    <row r="209" spans="1:2" x14ac:dyDescent="0.25">
      <c r="A209" s="8">
        <v>1.3163779352563909E-2</v>
      </c>
      <c r="B209" s="242">
        <v>3.2405079090301055E-4</v>
      </c>
    </row>
    <row r="210" spans="1:2" x14ac:dyDescent="0.25">
      <c r="A210" s="8">
        <v>1.3163310012240186E-2</v>
      </c>
      <c r="B210" s="242">
        <v>3.4961541452174723E-4</v>
      </c>
    </row>
    <row r="211" spans="1:2" x14ac:dyDescent="0.25">
      <c r="A211" s="8">
        <v>1.316464618426472E-2</v>
      </c>
      <c r="B211" s="242">
        <v>3.6977306718197569E-4</v>
      </c>
    </row>
    <row r="212" spans="1:2" x14ac:dyDescent="0.25">
      <c r="A212" s="8">
        <v>1.3163489687716638E-2</v>
      </c>
      <c r="B212" s="242">
        <v>3.5437178455657967E-4</v>
      </c>
    </row>
    <row r="213" spans="1:2" x14ac:dyDescent="0.25">
      <c r="A213" s="8">
        <v>1.3186459014947785E-2</v>
      </c>
      <c r="B213" s="242">
        <v>4.539338991925498E-4</v>
      </c>
    </row>
    <row r="214" spans="1:2" x14ac:dyDescent="0.25">
      <c r="A214" s="8">
        <v>1.3163202614832926E-2</v>
      </c>
      <c r="B214" s="242">
        <v>3.4000101223406997E-4</v>
      </c>
    </row>
    <row r="215" spans="1:2" x14ac:dyDescent="0.25">
      <c r="A215" s="8">
        <v>1.3163656096206339E-2</v>
      </c>
      <c r="B215" s="242">
        <v>3.5754424111900763E-4</v>
      </c>
    </row>
    <row r="216" spans="1:2" x14ac:dyDescent="0.25">
      <c r="A216" s="8">
        <v>1.3163309515257378E-2</v>
      </c>
      <c r="B216" s="242">
        <v>3.3398457962305811E-4</v>
      </c>
    </row>
    <row r="217" spans="1:2" x14ac:dyDescent="0.25">
      <c r="A217" s="8">
        <v>1.3164079861590168E-2</v>
      </c>
      <c r="B217" s="242">
        <v>3.1994983297252102E-4</v>
      </c>
    </row>
    <row r="218" spans="1:2" x14ac:dyDescent="0.25">
      <c r="A218" s="8">
        <v>1.3166583027213848E-2</v>
      </c>
      <c r="B218" s="242">
        <v>3.84562017024632E-4</v>
      </c>
    </row>
    <row r="219" spans="1:2" x14ac:dyDescent="0.25">
      <c r="A219" s="8">
        <v>1.3171675708156498E-2</v>
      </c>
      <c r="B219" s="242">
        <v>4.0947676521060488E-4</v>
      </c>
    </row>
    <row r="220" spans="1:2" x14ac:dyDescent="0.25">
      <c r="A220" s="8">
        <v>1.3172829640155944E-2</v>
      </c>
      <c r="B220" s="242">
        <v>4.1393721287459172E-4</v>
      </c>
    </row>
    <row r="221" spans="1:2" x14ac:dyDescent="0.25">
      <c r="A221" s="8">
        <v>1.3240515524860573E-2</v>
      </c>
      <c r="B221" s="242">
        <v>5.4645059560307237E-4</v>
      </c>
    </row>
    <row r="222" spans="1:2" x14ac:dyDescent="0.25">
      <c r="A222" s="8">
        <v>1.3163360823084993E-2</v>
      </c>
      <c r="B222" s="242">
        <v>3.5120736066565134E-4</v>
      </c>
    </row>
    <row r="223" spans="1:2" x14ac:dyDescent="0.25">
      <c r="A223" s="8">
        <v>1.3187992367614261E-2</v>
      </c>
      <c r="B223" s="242">
        <v>4.5757426482010154E-4</v>
      </c>
    </row>
    <row r="224" spans="1:2" x14ac:dyDescent="0.25">
      <c r="A224" s="8">
        <v>1.3163205234017764E-2</v>
      </c>
      <c r="B224" s="242">
        <v>3.4394088518076868E-4</v>
      </c>
    </row>
    <row r="225" spans="1:2" x14ac:dyDescent="0.25">
      <c r="A225" s="8">
        <v>1.3166932361043014E-2</v>
      </c>
      <c r="B225" s="242">
        <v>3.8671427514516221E-4</v>
      </c>
    </row>
    <row r="226" spans="1:2" x14ac:dyDescent="0.25">
      <c r="A226" s="8">
        <v>1.3164034889178562E-2</v>
      </c>
      <c r="B226" s="242">
        <v>3.205132131955404E-4</v>
      </c>
    </row>
    <row r="227" spans="1:2" x14ac:dyDescent="0.25">
      <c r="A227" s="8">
        <v>1.3163785093679091E-2</v>
      </c>
      <c r="B227" s="242">
        <v>3.5961921698267763E-4</v>
      </c>
    </row>
    <row r="228" spans="1:2" x14ac:dyDescent="0.25">
      <c r="A228" s="8">
        <v>1.3203230488905263E-2</v>
      </c>
      <c r="B228" s="242">
        <v>4.8895323513970922E-4</v>
      </c>
    </row>
    <row r="229" spans="1:2" x14ac:dyDescent="0.25">
      <c r="A229" s="8">
        <v>1.3163317951439442E-2</v>
      </c>
      <c r="B229" s="242">
        <v>3.3369799721192278E-4</v>
      </c>
    </row>
    <row r="230" spans="1:2" x14ac:dyDescent="0.25">
      <c r="A230" s="8">
        <v>1.316351895706399E-2</v>
      </c>
      <c r="B230" s="242">
        <v>3.2859763773513296E-4</v>
      </c>
    </row>
    <row r="231" spans="1:2" x14ac:dyDescent="0.25">
      <c r="A231" s="8">
        <v>1.3163199444142104E-2</v>
      </c>
      <c r="B231" s="242">
        <v>3.4056955974556076E-4</v>
      </c>
    </row>
    <row r="232" spans="1:2" x14ac:dyDescent="0.25">
      <c r="A232" s="8">
        <v>1.3163649481964457E-2</v>
      </c>
      <c r="B232" s="242">
        <v>3.2615238955735118E-4</v>
      </c>
    </row>
    <row r="233" spans="1:2" x14ac:dyDescent="0.25">
      <c r="A233" s="8">
        <v>1.3226722419870895E-2</v>
      </c>
      <c r="B233" s="242">
        <v>5.2725128519655806E-4</v>
      </c>
    </row>
    <row r="234" spans="1:2" x14ac:dyDescent="0.25">
      <c r="A234" s="8">
        <v>1.3163751404132904E-2</v>
      </c>
      <c r="B234" s="242">
        <v>3.2448150107428758E-4</v>
      </c>
    </row>
    <row r="235" spans="1:2" x14ac:dyDescent="0.25">
      <c r="A235" s="8">
        <v>1.3196629406134898E-2</v>
      </c>
      <c r="B235" s="242">
        <v>4.7625764132994526E-4</v>
      </c>
    </row>
    <row r="236" spans="1:2" x14ac:dyDescent="0.25">
      <c r="A236" s="8">
        <v>1.3164376800340199E-2</v>
      </c>
      <c r="B236" s="242">
        <v>3.1654354861682137E-4</v>
      </c>
    </row>
    <row r="237" spans="1:2" x14ac:dyDescent="0.25">
      <c r="A237" s="8">
        <v>1.3712858913661032E-2</v>
      </c>
      <c r="B237" s="242">
        <v>8.92328753140657E-4</v>
      </c>
    </row>
    <row r="238" spans="1:2" x14ac:dyDescent="0.25">
      <c r="A238" s="8">
        <v>1.3799964611347327E-2</v>
      </c>
      <c r="B238" s="242">
        <v>9.3530690913820103E-4</v>
      </c>
    </row>
    <row r="239" spans="1:2" x14ac:dyDescent="0.25">
      <c r="A239" s="8">
        <v>1.3163692974819131E-2</v>
      </c>
      <c r="B239" s="242">
        <v>3.2541850909391558E-4</v>
      </c>
    </row>
    <row r="240" spans="1:2" x14ac:dyDescent="0.25">
      <c r="A240" s="8">
        <v>1.3166175769702406E-2</v>
      </c>
      <c r="B240" s="242">
        <v>3.8190745419797601E-4</v>
      </c>
    </row>
    <row r="241" spans="1:2" x14ac:dyDescent="0.25">
      <c r="A241" s="8">
        <v>1.3163975081411238E-2</v>
      </c>
      <c r="B241" s="242">
        <v>3.6229641752469257E-4</v>
      </c>
    </row>
    <row r="242" spans="1:2" x14ac:dyDescent="0.25">
      <c r="A242" s="8">
        <v>1.3301912985725363E-2</v>
      </c>
      <c r="B242" s="242">
        <v>6.1623726383124467E-4</v>
      </c>
    </row>
    <row r="243" spans="1:2" x14ac:dyDescent="0.25">
      <c r="A243" s="8">
        <v>1.3314248131476138E-2</v>
      </c>
      <c r="B243" s="242">
        <v>6.2824650763933666E-4</v>
      </c>
    </row>
    <row r="244" spans="1:2" x14ac:dyDescent="0.25">
      <c r="A244" s="8">
        <v>1.3215329768885399E-2</v>
      </c>
      <c r="B244" s="242">
        <v>5.0976386212721032E-4</v>
      </c>
    </row>
    <row r="245" spans="1:2" x14ac:dyDescent="0.25">
      <c r="A245" s="8">
        <v>1.4231321688910876E-2</v>
      </c>
      <c r="B245" s="242">
        <v>1.1166080598786641E-3</v>
      </c>
    </row>
    <row r="246" spans="1:2" x14ac:dyDescent="0.25">
      <c r="A246" s="8">
        <v>1.3163407934631687E-2</v>
      </c>
      <c r="B246" s="242">
        <v>3.3110931528862084E-4</v>
      </c>
    </row>
    <row r="247" spans="1:2" x14ac:dyDescent="0.25">
      <c r="A247" s="8">
        <v>1.3163344971078005E-2</v>
      </c>
      <c r="B247" s="242">
        <v>3.5074114620076168E-4</v>
      </c>
    </row>
    <row r="248" spans="1:2" x14ac:dyDescent="0.25">
      <c r="A248" s="8">
        <v>1.3163244835356903E-2</v>
      </c>
      <c r="B248" s="242">
        <v>3.4689145099840821E-4</v>
      </c>
    </row>
    <row r="249" spans="1:2" x14ac:dyDescent="0.25">
      <c r="A249" s="8">
        <v>1.3190412778933227E-2</v>
      </c>
      <c r="B249" s="242">
        <v>4.6309930245577225E-4</v>
      </c>
    </row>
    <row r="250" spans="1:2" x14ac:dyDescent="0.25">
      <c r="A250" s="8">
        <v>1.3163912770358959E-2</v>
      </c>
      <c r="B250" s="242">
        <v>3.6145856411159527E-4</v>
      </c>
    </row>
    <row r="251" spans="1:2" x14ac:dyDescent="0.25">
      <c r="A251" s="8">
        <v>1.3163515143400013E-2</v>
      </c>
      <c r="B251" s="242">
        <v>3.2867593526709522E-4</v>
      </c>
    </row>
    <row r="252" spans="1:2" x14ac:dyDescent="0.25">
      <c r="A252" s="8">
        <v>1.3163536702191763E-2</v>
      </c>
      <c r="B252" s="242">
        <v>3.2823926410879145E-4</v>
      </c>
    </row>
    <row r="253" spans="1:2" x14ac:dyDescent="0.25">
      <c r="A253" s="8">
        <v>1.3165447959336695E-2</v>
      </c>
      <c r="B253" s="242">
        <v>3.7666406370105303E-4</v>
      </c>
    </row>
    <row r="254" spans="1:2" x14ac:dyDescent="0.25">
      <c r="A254" s="8">
        <v>1.3164149815195094E-2</v>
      </c>
      <c r="B254" s="242">
        <v>3.1910128845898171E-4</v>
      </c>
    </row>
    <row r="255" spans="1:2" x14ac:dyDescent="0.25">
      <c r="A255" s="8">
        <v>1.3163513895696206E-2</v>
      </c>
      <c r="B255" s="242">
        <v>3.2870165328431568E-4</v>
      </c>
    </row>
    <row r="256" spans="1:2" x14ac:dyDescent="0.25">
      <c r="A256" s="8">
        <v>1.3446508746522614E-2</v>
      </c>
      <c r="B256" s="242">
        <v>7.3507754636494677E-4</v>
      </c>
    </row>
    <row r="257" spans="1:2" x14ac:dyDescent="0.25">
      <c r="A257" s="8">
        <v>1.316321810018032E-2</v>
      </c>
      <c r="B257" s="242">
        <v>3.3838997895069658E-4</v>
      </c>
    </row>
    <row r="258" spans="1:2" x14ac:dyDescent="0.25">
      <c r="A258" s="8">
        <v>1.3163402260805004E-2</v>
      </c>
      <c r="B258" s="242">
        <v>3.3125374146121013E-4</v>
      </c>
    </row>
    <row r="259" spans="1:2" x14ac:dyDescent="0.25">
      <c r="A259" s="8">
        <v>2.1489389714214713E-2</v>
      </c>
      <c r="B259" s="242">
        <v>2.7748195570418011E-3</v>
      </c>
    </row>
    <row r="260" spans="1:2" x14ac:dyDescent="0.25">
      <c r="A260" s="8">
        <v>1.3164563972668559E-2</v>
      </c>
      <c r="B260" s="242">
        <v>3.6896792386445254E-4</v>
      </c>
    </row>
    <row r="261" spans="1:2" x14ac:dyDescent="0.25">
      <c r="A261" s="8">
        <v>1.3165348188926288E-2</v>
      </c>
      <c r="B261" s="242">
        <v>3.7588251332815235E-4</v>
      </c>
    </row>
    <row r="262" spans="1:2" x14ac:dyDescent="0.25">
      <c r="A262" s="8">
        <v>1.3175363698367408E-2</v>
      </c>
      <c r="B262" s="242">
        <v>4.2287709022586595E-4</v>
      </c>
    </row>
    <row r="263" spans="1:2" x14ac:dyDescent="0.25">
      <c r="A263" s="8">
        <v>1.3164496533089392E-2</v>
      </c>
      <c r="B263" s="242">
        <v>3.1529362479630694E-4</v>
      </c>
    </row>
    <row r="264" spans="1:2" x14ac:dyDescent="0.25">
      <c r="A264" s="8">
        <v>1.3163730471253745E-2</v>
      </c>
      <c r="B264" s="242">
        <v>3.2481124898277932E-4</v>
      </c>
    </row>
    <row r="265" spans="1:2" x14ac:dyDescent="0.25">
      <c r="A265" s="8">
        <v>1.3163351138423129E-2</v>
      </c>
      <c r="B265" s="242">
        <v>3.3265746133736879E-4</v>
      </c>
    </row>
    <row r="266" spans="1:2" x14ac:dyDescent="0.25">
      <c r="A266" s="8">
        <v>1.3164892759396555E-2</v>
      </c>
      <c r="B266" s="242">
        <v>3.720597643361348E-4</v>
      </c>
    </row>
    <row r="267" spans="1:2" x14ac:dyDescent="0.25">
      <c r="A267" s="8">
        <v>1.3163473340256646E-2</v>
      </c>
      <c r="B267" s="242">
        <v>3.2956701778417031E-4</v>
      </c>
    </row>
    <row r="268" spans="1:2" x14ac:dyDescent="0.25">
      <c r="A268" s="8">
        <v>1.3175063595966697E-2</v>
      </c>
      <c r="B268" s="242">
        <v>4.2187039166619776E-4</v>
      </c>
    </row>
    <row r="269" spans="1:2" x14ac:dyDescent="0.25">
      <c r="A269" s="8">
        <v>1.3167303276861508E-2</v>
      </c>
      <c r="B269" s="242">
        <v>3.8889203265758963E-4</v>
      </c>
    </row>
    <row r="270" spans="1:2" x14ac:dyDescent="0.25">
      <c r="A270" s="8">
        <v>1.3164513273103506E-2</v>
      </c>
      <c r="B270" s="242">
        <v>3.6845928261395857E-4</v>
      </c>
    </row>
    <row r="271" spans="1:2" x14ac:dyDescent="0.25">
      <c r="A271" s="8">
        <v>1.3164327124548396E-2</v>
      </c>
      <c r="B271" s="242">
        <v>3.1708067462356558E-4</v>
      </c>
    </row>
    <row r="272" spans="1:2" x14ac:dyDescent="0.25">
      <c r="A272" s="8">
        <v>1.3296318771624882E-2</v>
      </c>
      <c r="B272" s="242">
        <v>6.1061790997890423E-4</v>
      </c>
    </row>
    <row r="273" spans="1:2" x14ac:dyDescent="0.25">
      <c r="A273" s="8">
        <v>1.3163234905676431E-2</v>
      </c>
      <c r="B273" s="242">
        <v>3.3724751137548676E-4</v>
      </c>
    </row>
    <row r="274" spans="1:2" x14ac:dyDescent="0.25">
      <c r="A274" s="8">
        <v>1.3167824108238529E-2</v>
      </c>
      <c r="B274" s="242">
        <v>3.9179023006505619E-4</v>
      </c>
    </row>
    <row r="275" spans="1:2" x14ac:dyDescent="0.25">
      <c r="A275" s="8">
        <v>1.335573755325118E-2</v>
      </c>
      <c r="B275" s="242">
        <v>6.6545628399096229E-4</v>
      </c>
    </row>
    <row r="276" spans="1:2" x14ac:dyDescent="0.25">
      <c r="A276" s="8">
        <v>1.3206586222607392E-2</v>
      </c>
      <c r="B276" s="242">
        <v>4.9500662001049985E-4</v>
      </c>
    </row>
    <row r="277" spans="1:2" x14ac:dyDescent="0.25">
      <c r="A277" s="8">
        <v>1.3544731467433079E-2</v>
      </c>
      <c r="B277" s="242">
        <v>7.9903038097020726E-4</v>
      </c>
    </row>
    <row r="278" spans="1:2" x14ac:dyDescent="0.25">
      <c r="A278" s="8">
        <v>1.3164528408190115E-2</v>
      </c>
      <c r="B278" s="242">
        <v>3.6861213453230119E-4</v>
      </c>
    </row>
    <row r="279" spans="1:2" x14ac:dyDescent="0.25">
      <c r="A279" s="8">
        <v>1.3164387346145548E-2</v>
      </c>
      <c r="B279" s="242">
        <v>3.1643098430518616E-4</v>
      </c>
    </row>
    <row r="280" spans="1:2" x14ac:dyDescent="0.25">
      <c r="A280" s="8">
        <v>1.316330552324641E-2</v>
      </c>
      <c r="B280" s="242">
        <v>3.4945889700582804E-4</v>
      </c>
    </row>
    <row r="281" spans="1:2" x14ac:dyDescent="0.25">
      <c r="A281" s="8">
        <v>1.3163612173053526E-2</v>
      </c>
      <c r="B281" s="242">
        <v>3.5677227789298699E-4</v>
      </c>
    </row>
    <row r="282" spans="1:2" x14ac:dyDescent="0.25">
      <c r="A282" s="8">
        <v>1.3164444768261717E-2</v>
      </c>
      <c r="B282" s="242">
        <v>3.1582662917057806E-4</v>
      </c>
    </row>
    <row r="283" spans="1:2" x14ac:dyDescent="0.25">
      <c r="A283" s="8">
        <v>1.3189999719896373E-2</v>
      </c>
      <c r="B283" s="242">
        <v>4.6217429385643895E-4</v>
      </c>
    </row>
    <row r="284" spans="1:2" x14ac:dyDescent="0.25">
      <c r="A284" s="8">
        <v>1.3166201839115146E-2</v>
      </c>
      <c r="B284" s="242">
        <v>3.8208261553538471E-4</v>
      </c>
    </row>
    <row r="285" spans="1:2" x14ac:dyDescent="0.25">
      <c r="A285" s="8">
        <v>1.3165552881355756E-2</v>
      </c>
      <c r="B285" s="242">
        <v>3.7746750989729174E-4</v>
      </c>
    </row>
    <row r="286" spans="1:2" x14ac:dyDescent="0.25">
      <c r="A286" s="8">
        <v>1.3174398072426662E-2</v>
      </c>
      <c r="B286" s="242">
        <v>4.1959150499996933E-4</v>
      </c>
    </row>
    <row r="287" spans="1:2" x14ac:dyDescent="0.25">
      <c r="A287" s="8">
        <v>1.3163533821605643E-2</v>
      </c>
      <c r="B287" s="242">
        <v>3.5528602810962722E-4</v>
      </c>
    </row>
    <row r="288" spans="1:2" x14ac:dyDescent="0.25">
      <c r="A288" s="8">
        <v>1.3258513380234659E-2</v>
      </c>
      <c r="B288" s="242">
        <v>5.6910271158713182E-4</v>
      </c>
    </row>
    <row r="289" spans="1:2" x14ac:dyDescent="0.25">
      <c r="A289" s="8">
        <v>1.3163433149504779E-2</v>
      </c>
      <c r="B289" s="242">
        <v>3.5309304081857732E-4</v>
      </c>
    </row>
    <row r="290" spans="1:2" x14ac:dyDescent="0.25">
      <c r="A290" s="8">
        <v>1.3164412928364778E-2</v>
      </c>
      <c r="B290" s="242">
        <v>3.1615997726117129E-4</v>
      </c>
    </row>
    <row r="291" spans="1:2" x14ac:dyDescent="0.25">
      <c r="A291" s="8">
        <v>1.316325394299003E-2</v>
      </c>
      <c r="B291" s="242">
        <v>3.4735286690046254E-4</v>
      </c>
    </row>
    <row r="292" spans="1:2" x14ac:dyDescent="0.25">
      <c r="A292" s="8">
        <v>1.316417571277774E-2</v>
      </c>
      <c r="B292" s="242">
        <v>3.1879508701209601E-4</v>
      </c>
    </row>
    <row r="293" spans="1:2" x14ac:dyDescent="0.25">
      <c r="A293" s="8">
        <v>1.3163255565624228E-2</v>
      </c>
      <c r="B293" s="242">
        <v>3.3615170727901831E-4</v>
      </c>
    </row>
    <row r="294" spans="1:2" x14ac:dyDescent="0.25">
      <c r="A294" s="8">
        <v>1.3164355760681241E-2</v>
      </c>
      <c r="B294" s="242">
        <v>3.6681318501353478E-4</v>
      </c>
    </row>
    <row r="295" spans="1:2" x14ac:dyDescent="0.25">
      <c r="A295" s="8">
        <v>1.3163342305060822E-2</v>
      </c>
      <c r="B295" s="242">
        <v>3.329224899561138E-4</v>
      </c>
    </row>
    <row r="296" spans="1:2" x14ac:dyDescent="0.25">
      <c r="A296" s="8">
        <v>1.3738348988376007E-2</v>
      </c>
      <c r="B296" s="242">
        <v>9.0521641672671794E-4</v>
      </c>
    </row>
    <row r="297" spans="1:2" x14ac:dyDescent="0.25">
      <c r="A297" s="8">
        <v>1.3163550574400679E-2</v>
      </c>
      <c r="B297" s="242">
        <v>3.2796557398092561E-4</v>
      </c>
    </row>
    <row r="298" spans="1:2" x14ac:dyDescent="0.25">
      <c r="A298" s="8">
        <v>1.3163363994580825E-2</v>
      </c>
      <c r="B298" s="242">
        <v>3.3228492891803621E-4</v>
      </c>
    </row>
    <row r="299" spans="1:2" x14ac:dyDescent="0.25">
      <c r="A299" s="8">
        <v>1.3163587542098757E-2</v>
      </c>
      <c r="B299" s="242">
        <v>3.5632144503812543E-4</v>
      </c>
    </row>
    <row r="300" spans="1:2" x14ac:dyDescent="0.25">
      <c r="A300" s="8">
        <v>1.3233916248300373E-2</v>
      </c>
      <c r="B300" s="242">
        <v>5.374973842827346E-4</v>
      </c>
    </row>
    <row r="301" spans="1:2" x14ac:dyDescent="0.25">
      <c r="A301" s="8">
        <v>1.3187825722892161E-2</v>
      </c>
      <c r="B301" s="242">
        <v>4.5718417230861547E-4</v>
      </c>
    </row>
    <row r="302" spans="1:2" x14ac:dyDescent="0.25">
      <c r="A302" s="8">
        <v>1.3169390731636954E-2</v>
      </c>
      <c r="B302" s="242">
        <v>3.9963966209570148E-4</v>
      </c>
    </row>
    <row r="303" spans="1:2" x14ac:dyDescent="0.25">
      <c r="A303" s="8">
        <v>1.3163658658125793E-2</v>
      </c>
      <c r="B303" s="242">
        <v>3.259947169293796E-4</v>
      </c>
    </row>
    <row r="304" spans="1:2" x14ac:dyDescent="0.25">
      <c r="A304" s="8">
        <v>1.4139248685845601E-2</v>
      </c>
      <c r="B304" s="242">
        <v>1.081215031897719E-3</v>
      </c>
    </row>
    <row r="305" spans="1:2" x14ac:dyDescent="0.25">
      <c r="A305" s="8">
        <v>1.3163428292855722E-2</v>
      </c>
      <c r="B305" s="242">
        <v>3.5297638023686236E-4</v>
      </c>
    </row>
    <row r="306" spans="1:2" x14ac:dyDescent="0.25">
      <c r="A306" s="8">
        <v>1.3163554032389614E-2</v>
      </c>
      <c r="B306" s="242">
        <v>3.2789818942303745E-4</v>
      </c>
    </row>
    <row r="307" spans="1:2" x14ac:dyDescent="0.25">
      <c r="A307" s="8">
        <v>1.3163722775145704E-2</v>
      </c>
      <c r="B307" s="242">
        <v>3.2493410439607293E-4</v>
      </c>
    </row>
    <row r="308" spans="1:2" x14ac:dyDescent="0.25">
      <c r="A308" s="8">
        <v>1.3169468745164826E-2</v>
      </c>
      <c r="B308" s="242">
        <v>4.0000290521763126E-4</v>
      </c>
    </row>
    <row r="309" spans="1:2" x14ac:dyDescent="0.25">
      <c r="A309" s="8">
        <v>1.3164443774299527E-2</v>
      </c>
      <c r="B309" s="242">
        <v>3.1583697073784818E-4</v>
      </c>
    </row>
    <row r="310" spans="1:2" x14ac:dyDescent="0.25">
      <c r="A310" s="8">
        <v>1.3163737228585194E-2</v>
      </c>
      <c r="B310" s="242">
        <v>3.2470410774835325E-4</v>
      </c>
    </row>
    <row r="311" spans="1:2" x14ac:dyDescent="0.25">
      <c r="A311" s="8">
        <v>1.3163294529471079E-2</v>
      </c>
      <c r="B311" s="242">
        <v>3.3452146046628685E-4</v>
      </c>
    </row>
    <row r="312" spans="1:2" x14ac:dyDescent="0.25">
      <c r="A312" s="8">
        <v>1.3164158428301835E-2</v>
      </c>
      <c r="B312" s="242">
        <v>3.1899899444182579E-4</v>
      </c>
    </row>
    <row r="313" spans="1:2" x14ac:dyDescent="0.25">
      <c r="A313" s="8">
        <v>1.316403406490585E-2</v>
      </c>
      <c r="B313" s="242">
        <v>3.2052367831170522E-4</v>
      </c>
    </row>
    <row r="314" spans="1:2" x14ac:dyDescent="0.25">
      <c r="A314" s="8">
        <v>1.3164918018620825E-2</v>
      </c>
      <c r="B314" s="242">
        <v>3.7228433497579825E-4</v>
      </c>
    </row>
    <row r="315" spans="1:2" x14ac:dyDescent="0.25">
      <c r="A315" s="8">
        <v>1.3292239364442916E-2</v>
      </c>
      <c r="B315" s="242">
        <v>6.0644648386606339E-4</v>
      </c>
    </row>
    <row r="316" spans="1:2" x14ac:dyDescent="0.25">
      <c r="A316" s="8">
        <v>1.3164365842254305E-2</v>
      </c>
      <c r="B316" s="242">
        <v>3.1666104759819956E-4</v>
      </c>
    </row>
    <row r="317" spans="1:2" x14ac:dyDescent="0.25">
      <c r="A317" s="8">
        <v>1.3163709286642185E-2</v>
      </c>
      <c r="B317" s="242">
        <v>3.251516133616684E-4</v>
      </c>
    </row>
    <row r="318" spans="1:2" x14ac:dyDescent="0.25">
      <c r="A318" s="8">
        <v>1.3163351668006416E-2</v>
      </c>
      <c r="B318" s="242">
        <v>3.3264181608648588E-4</v>
      </c>
    </row>
    <row r="319" spans="1:2" x14ac:dyDescent="0.25">
      <c r="A319" s="8">
        <v>1.3165360348882243E-2</v>
      </c>
      <c r="B319" s="242">
        <v>3.759787239984337E-4</v>
      </c>
    </row>
    <row r="320" spans="1:2" x14ac:dyDescent="0.25">
      <c r="A320" s="8">
        <v>2.0996472689923988E-2</v>
      </c>
      <c r="B320" s="242">
        <v>2.6848578952698657E-3</v>
      </c>
    </row>
    <row r="321" spans="1:2" x14ac:dyDescent="0.25">
      <c r="A321" s="8">
        <v>1.3220679293623585E-2</v>
      </c>
      <c r="B321" s="242">
        <v>5.1818939480128439E-4</v>
      </c>
    </row>
    <row r="322" spans="1:2" x14ac:dyDescent="0.25">
      <c r="A322" s="8">
        <v>1.3224131976541537E-2</v>
      </c>
      <c r="B322" s="242">
        <v>5.2342168706137268E-4</v>
      </c>
    </row>
    <row r="323" spans="1:2" x14ac:dyDescent="0.25">
      <c r="A323" s="8">
        <v>1.3163484894947794E-2</v>
      </c>
      <c r="B323" s="242">
        <v>3.5426846965160892E-4</v>
      </c>
    </row>
    <row r="324" spans="1:2" x14ac:dyDescent="0.25">
      <c r="A324" s="8">
        <v>1.3165220512290507E-2</v>
      </c>
      <c r="B324" s="242">
        <v>3.7485543245561575E-4</v>
      </c>
    </row>
    <row r="325" spans="1:2" x14ac:dyDescent="0.25">
      <c r="A325" s="8">
        <v>1.334843997983824E-2</v>
      </c>
      <c r="B325" s="242">
        <v>6.5921967253523795E-4</v>
      </c>
    </row>
    <row r="326" spans="1:2" x14ac:dyDescent="0.25">
      <c r="A326" s="8">
        <v>1.3175230095702352E-2</v>
      </c>
      <c r="B326" s="242">
        <v>4.2243046709659974E-4</v>
      </c>
    </row>
    <row r="327" spans="1:2" x14ac:dyDescent="0.25">
      <c r="A327" s="8">
        <v>1.3163230217585462E-2</v>
      </c>
      <c r="B327" s="242">
        <v>3.3753526162412501E-4</v>
      </c>
    </row>
    <row r="328" spans="1:2" x14ac:dyDescent="0.25">
      <c r="A328" s="8">
        <v>1.3163921771580678E-2</v>
      </c>
      <c r="B328" s="242">
        <v>3.2200103123766717E-4</v>
      </c>
    </row>
    <row r="329" spans="1:2" x14ac:dyDescent="0.25">
      <c r="A329" s="8">
        <v>1.31635795552332E-2</v>
      </c>
      <c r="B329" s="242">
        <v>3.5617222339842056E-4</v>
      </c>
    </row>
    <row r="330" spans="1:2" x14ac:dyDescent="0.25">
      <c r="A330" s="8">
        <v>1.3205024371607192E-2</v>
      </c>
      <c r="B330" s="242">
        <v>4.922193234952175E-4</v>
      </c>
    </row>
    <row r="331" spans="1:2" x14ac:dyDescent="0.25">
      <c r="A331" s="8">
        <v>1.31641223212931E-2</v>
      </c>
      <c r="B331" s="242">
        <v>3.1943095167094284E-4</v>
      </c>
    </row>
    <row r="332" spans="1:2" x14ac:dyDescent="0.25">
      <c r="A332" s="8">
        <v>1.3166475655633001E-2</v>
      </c>
      <c r="B332" s="242">
        <v>3.8387840128068456E-4</v>
      </c>
    </row>
    <row r="333" spans="1:2" x14ac:dyDescent="0.25">
      <c r="A333" s="8">
        <v>1.3169608244330971E-2</v>
      </c>
      <c r="B333" s="242">
        <v>4.0064685209876221E-4</v>
      </c>
    </row>
    <row r="334" spans="1:2" x14ac:dyDescent="0.25">
      <c r="A334" s="8">
        <v>1.3163605880900636E-2</v>
      </c>
      <c r="B334" s="242">
        <v>3.2692441081251576E-4</v>
      </c>
    </row>
    <row r="335" spans="1:2" x14ac:dyDescent="0.25">
      <c r="A335" s="8">
        <v>1.3189922848151148E-2</v>
      </c>
      <c r="B335" s="242">
        <v>4.6200136411224401E-4</v>
      </c>
    </row>
    <row r="336" spans="1:2" x14ac:dyDescent="0.25">
      <c r="A336" s="8">
        <v>1.3164245009361676E-2</v>
      </c>
      <c r="B336" s="242">
        <v>3.6558769924276933E-4</v>
      </c>
    </row>
    <row r="337" spans="1:2" x14ac:dyDescent="0.25">
      <c r="A337" s="8">
        <v>1.3183927132454814E-2</v>
      </c>
      <c r="B337" s="242">
        <v>4.4765023362304708E-4</v>
      </c>
    </row>
    <row r="338" spans="1:2" x14ac:dyDescent="0.25">
      <c r="A338" s="8">
        <v>1.3164045080905603E-2</v>
      </c>
      <c r="B338" s="242">
        <v>3.20384239814474E-4</v>
      </c>
    </row>
    <row r="339" spans="1:2" x14ac:dyDescent="0.25">
      <c r="A339" s="8">
        <v>1.3163197978286195E-2</v>
      </c>
      <c r="B339" s="242">
        <v>3.4095405952475776E-4</v>
      </c>
    </row>
    <row r="340" spans="1:2" x14ac:dyDescent="0.25">
      <c r="A340" s="8">
        <v>1.3166401902019004E-2</v>
      </c>
      <c r="B340" s="242">
        <v>3.8340232210585411E-4</v>
      </c>
    </row>
    <row r="341" spans="1:2" x14ac:dyDescent="0.25">
      <c r="A341" s="8">
        <v>1.3165781384284229E-2</v>
      </c>
      <c r="B341" s="242">
        <v>3.7915757161125521E-4</v>
      </c>
    </row>
    <row r="342" spans="1:2" x14ac:dyDescent="0.25">
      <c r="A342" s="8">
        <v>1.3163969987443401E-2</v>
      </c>
      <c r="B342" s="242">
        <v>3.2135360876023734E-4</v>
      </c>
    </row>
    <row r="343" spans="1:2" x14ac:dyDescent="0.25">
      <c r="A343" s="8">
        <v>1.3163203940323357E-2</v>
      </c>
      <c r="B343" s="242">
        <v>3.4377168057289344E-4</v>
      </c>
    </row>
    <row r="344" spans="1:2" x14ac:dyDescent="0.25">
      <c r="A344" s="8">
        <v>1.3164270448323667E-2</v>
      </c>
      <c r="B344" s="242">
        <v>3.1770811736844091E-4</v>
      </c>
    </row>
    <row r="345" spans="1:2" x14ac:dyDescent="0.25">
      <c r="A345" s="8">
        <v>1.3163433557659109E-2</v>
      </c>
      <c r="B345" s="242">
        <v>3.5310279020614308E-4</v>
      </c>
    </row>
    <row r="346" spans="1:2" x14ac:dyDescent="0.25">
      <c r="A346" s="8">
        <v>1.3169056225107223E-2</v>
      </c>
      <c r="B346" s="242">
        <v>3.9805559371694916E-4</v>
      </c>
    </row>
    <row r="347" spans="1:2" x14ac:dyDescent="0.25">
      <c r="A347" s="8">
        <v>1.3164003123220724E-2</v>
      </c>
      <c r="B347" s="242">
        <v>3.2092031431336774E-4</v>
      </c>
    </row>
    <row r="348" spans="1:2" x14ac:dyDescent="0.25">
      <c r="A348" s="8">
        <v>1.3178324455715235E-2</v>
      </c>
      <c r="B348" s="242">
        <v>4.3221131158988166E-4</v>
      </c>
    </row>
    <row r="349" spans="1:2" x14ac:dyDescent="0.25">
      <c r="A349" s="8">
        <v>1.3178226663448594E-2</v>
      </c>
      <c r="B349" s="242">
        <v>4.3191841441756872E-4</v>
      </c>
    </row>
    <row r="350" spans="1:2" x14ac:dyDescent="0.25">
      <c r="A350" s="8">
        <v>1.3211394009059995E-2</v>
      </c>
      <c r="B350" s="242">
        <v>5.0328690716170354E-4</v>
      </c>
    </row>
    <row r="351" spans="1:2" x14ac:dyDescent="0.25">
      <c r="A351" s="8">
        <v>1.3167879405005715E-2</v>
      </c>
      <c r="B351" s="242">
        <v>3.9208813326505656E-4</v>
      </c>
    </row>
    <row r="352" spans="1:2" x14ac:dyDescent="0.25">
      <c r="A352" s="8">
        <v>8.7372323026036008E-2</v>
      </c>
      <c r="B352" s="242">
        <v>1.2713921875476014E-2</v>
      </c>
    </row>
    <row r="353" spans="1:2" x14ac:dyDescent="0.25">
      <c r="A353" s="8">
        <v>1.3163500829712892E-2</v>
      </c>
      <c r="B353" s="242">
        <v>3.2897407212174781E-4</v>
      </c>
    </row>
    <row r="354" spans="1:2" x14ac:dyDescent="0.25">
      <c r="A354" s="8">
        <v>1.3163887481321336E-2</v>
      </c>
      <c r="B354" s="242">
        <v>3.2247466400216472E-4</v>
      </c>
    </row>
    <row r="355" spans="1:2" x14ac:dyDescent="0.25">
      <c r="A355" s="8">
        <v>1.317484103686789E-2</v>
      </c>
      <c r="B355" s="242">
        <v>4.2111557819954625E-4</v>
      </c>
    </row>
    <row r="356" spans="1:2" x14ac:dyDescent="0.25">
      <c r="A356" s="8">
        <v>1.3163371297882838E-2</v>
      </c>
      <c r="B356" s="242">
        <v>3.320796638388141E-4</v>
      </c>
    </row>
    <row r="357" spans="1:2" x14ac:dyDescent="0.25">
      <c r="A357" s="8">
        <v>1.3165257334557484E-2</v>
      </c>
      <c r="B357" s="242">
        <v>3.7515488877701416E-4</v>
      </c>
    </row>
    <row r="358" spans="1:2" x14ac:dyDescent="0.25">
      <c r="A358" s="8">
        <v>1.3163766770928167E-2</v>
      </c>
      <c r="B358" s="242">
        <v>3.2424337683042883E-4</v>
      </c>
    </row>
    <row r="359" spans="1:2" x14ac:dyDescent="0.25">
      <c r="A359" s="8">
        <v>1.3163498841389551E-2</v>
      </c>
      <c r="B359" s="242">
        <v>3.2901603683062932E-4</v>
      </c>
    </row>
    <row r="360" spans="1:2" x14ac:dyDescent="0.25">
      <c r="A360" s="8">
        <v>1.3164424820983475E-2</v>
      </c>
      <c r="B360" s="242">
        <v>3.6754785764786307E-4</v>
      </c>
    </row>
    <row r="361" spans="1:2" x14ac:dyDescent="0.25">
      <c r="A361" s="8">
        <v>1.3541490764756277E-2</v>
      </c>
      <c r="B361" s="242">
        <v>7.9705675507779259E-4</v>
      </c>
    </row>
    <row r="362" spans="1:2" x14ac:dyDescent="0.25">
      <c r="A362" s="8">
        <v>1.3165085030940571E-2</v>
      </c>
      <c r="B362" s="242">
        <v>3.73729479570028E-4</v>
      </c>
    </row>
    <row r="363" spans="1:2" x14ac:dyDescent="0.25">
      <c r="A363" s="8">
        <v>1.316838455395649E-2</v>
      </c>
      <c r="B363" s="242">
        <v>3.9473205641908269E-4</v>
      </c>
    </row>
    <row r="364" spans="1:2" x14ac:dyDescent="0.25">
      <c r="A364" s="8">
        <v>1.316339449416404E-2</v>
      </c>
      <c r="B364" s="242">
        <v>3.3145471091449694E-4</v>
      </c>
    </row>
    <row r="365" spans="1:2" x14ac:dyDescent="0.25">
      <c r="A365" s="8">
        <v>1.3170643875422841E-2</v>
      </c>
      <c r="B365" s="242">
        <v>4.0522357580842424E-4</v>
      </c>
    </row>
    <row r="366" spans="1:2" x14ac:dyDescent="0.25">
      <c r="A366" s="8">
        <v>1.3163715183248832E-2</v>
      </c>
      <c r="B366" s="242">
        <v>3.2505617981997212E-4</v>
      </c>
    </row>
    <row r="367" spans="1:2" x14ac:dyDescent="0.25">
      <c r="A367" s="8">
        <v>1.32385798659269E-2</v>
      </c>
      <c r="B367" s="242">
        <v>5.4386515370564872E-4</v>
      </c>
    </row>
    <row r="368" spans="1:2" x14ac:dyDescent="0.25">
      <c r="A368" s="8">
        <v>1.3163199107827558E-2</v>
      </c>
      <c r="B368" s="242">
        <v>3.4293651395709559E-4</v>
      </c>
    </row>
    <row r="369" spans="1:2" x14ac:dyDescent="0.25">
      <c r="A369" s="8">
        <v>1.3164374589906394E-2</v>
      </c>
      <c r="B369" s="242">
        <v>3.1656720611609437E-4</v>
      </c>
    </row>
    <row r="370" spans="1:2" x14ac:dyDescent="0.25">
      <c r="A370" s="8">
        <v>1.3181985189302661E-2</v>
      </c>
      <c r="B370" s="242">
        <v>4.4256641521211928E-4</v>
      </c>
    </row>
    <row r="371" spans="1:2" x14ac:dyDescent="0.25">
      <c r="A371" s="8">
        <v>1.3164306014654245E-2</v>
      </c>
      <c r="B371" s="242">
        <v>3.1731249562171954E-4</v>
      </c>
    </row>
    <row r="372" spans="1:2" x14ac:dyDescent="0.25">
      <c r="A372" s="8">
        <v>1.3317944917231228E-2</v>
      </c>
      <c r="B372" s="242">
        <v>6.3175086519502949E-4</v>
      </c>
    </row>
    <row r="373" spans="1:2" x14ac:dyDescent="0.25">
      <c r="A373" s="8">
        <v>1.316449186823636E-2</v>
      </c>
      <c r="B373" s="242">
        <v>3.1534121689866007E-4</v>
      </c>
    </row>
    <row r="374" spans="1:2" x14ac:dyDescent="0.25">
      <c r="A374" s="8">
        <v>1.316321609122844E-2</v>
      </c>
      <c r="B374" s="242">
        <v>3.385534131841167E-4</v>
      </c>
    </row>
    <row r="375" spans="1:2" x14ac:dyDescent="0.25">
      <c r="A375" s="8">
        <v>1.3163197081500964E-2</v>
      </c>
      <c r="B375" s="242">
        <v>3.4225699546542492E-4</v>
      </c>
    </row>
    <row r="376" spans="1:2" x14ac:dyDescent="0.25">
      <c r="A376" s="8">
        <v>1.3164147570543103E-2</v>
      </c>
      <c r="B376" s="242">
        <v>3.1912802301858081E-4</v>
      </c>
    </row>
    <row r="377" spans="1:2" x14ac:dyDescent="0.25">
      <c r="A377" s="8">
        <v>1.3163217243045143E-2</v>
      </c>
      <c r="B377" s="242">
        <v>3.4512409132214943E-4</v>
      </c>
    </row>
    <row r="378" spans="1:2" x14ac:dyDescent="0.25">
      <c r="A378" s="8">
        <v>1.3181469766839385E-2</v>
      </c>
      <c r="B378" s="242">
        <v>4.411735577077025E-4</v>
      </c>
    </row>
    <row r="379" spans="1:2" x14ac:dyDescent="0.25">
      <c r="A379" s="8">
        <v>1.3163968191818684E-2</v>
      </c>
      <c r="B379" s="242">
        <v>3.2137735160355445E-4</v>
      </c>
    </row>
    <row r="380" spans="1:2" x14ac:dyDescent="0.25">
      <c r="A380" s="8">
        <v>1.3576552085614467E-2</v>
      </c>
      <c r="B380" s="242">
        <v>8.179992488723403E-4</v>
      </c>
    </row>
    <row r="381" spans="1:2" x14ac:dyDescent="0.25">
      <c r="A381" s="8">
        <v>1.3164401211517247E-2</v>
      </c>
      <c r="B381" s="242">
        <v>3.6729907714592915E-4</v>
      </c>
    </row>
    <row r="382" spans="1:2" x14ac:dyDescent="0.25">
      <c r="A382" s="8">
        <v>1.316356497143991E-2</v>
      </c>
      <c r="B382" s="242">
        <v>3.2768714395016571E-4</v>
      </c>
    </row>
    <row r="383" spans="1:2" x14ac:dyDescent="0.25">
      <c r="A383" s="8">
        <v>1.3181343739319392E-2</v>
      </c>
      <c r="B383" s="242">
        <v>4.4083001384526008E-4</v>
      </c>
    </row>
    <row r="384" spans="1:2" x14ac:dyDescent="0.25">
      <c r="A384" s="8">
        <v>1.3166218303421632E-2</v>
      </c>
      <c r="B384" s="242">
        <v>3.8219284873376957E-4</v>
      </c>
    </row>
    <row r="385" spans="1:2" x14ac:dyDescent="0.25">
      <c r="A385" s="8">
        <v>1.3165504839642329E-2</v>
      </c>
      <c r="B385" s="242">
        <v>3.7710189604489829E-4</v>
      </c>
    </row>
    <row r="386" spans="1:2" x14ac:dyDescent="0.25">
      <c r="A386" s="8">
        <v>1.3163377941176316E-2</v>
      </c>
      <c r="B386" s="242">
        <v>3.5168617396071501E-4</v>
      </c>
    </row>
    <row r="387" spans="1:2" x14ac:dyDescent="0.25">
      <c r="A387" s="8">
        <v>1.317619323394318E-2</v>
      </c>
      <c r="B387" s="242">
        <v>4.2559700783418908E-4</v>
      </c>
    </row>
    <row r="388" spans="1:2" x14ac:dyDescent="0.25">
      <c r="A388" s="8">
        <v>1.3163208770935705E-2</v>
      </c>
      <c r="B388" s="242">
        <v>3.4434692630009065E-4</v>
      </c>
    </row>
    <row r="389" spans="1:2" x14ac:dyDescent="0.25">
      <c r="A389" s="8">
        <v>1.3193327243308822E-2</v>
      </c>
      <c r="B389" s="242">
        <v>4.6943639566842971E-4</v>
      </c>
    </row>
    <row r="390" spans="1:2" x14ac:dyDescent="0.25">
      <c r="A390" s="8">
        <v>1.3533671663910857E-2</v>
      </c>
      <c r="B390" s="242">
        <v>7.9226120085604192E-4</v>
      </c>
    </row>
    <row r="391" spans="1:2" x14ac:dyDescent="0.25">
      <c r="A391" s="8">
        <v>1.3164117358021175E-2</v>
      </c>
      <c r="B391" s="242">
        <v>3.1949098254864023E-4</v>
      </c>
    </row>
    <row r="392" spans="1:2" x14ac:dyDescent="0.25">
      <c r="A392" s="8">
        <v>1.3327920934462018E-2</v>
      </c>
      <c r="B392" s="242">
        <v>6.4100752773024771E-4</v>
      </c>
    </row>
    <row r="393" spans="1:2" x14ac:dyDescent="0.25">
      <c r="A393" s="8">
        <v>1.3163246191665675E-2</v>
      </c>
      <c r="B393" s="242">
        <v>3.3662004565360865E-4</v>
      </c>
    </row>
    <row r="394" spans="1:2" x14ac:dyDescent="0.25">
      <c r="A394" s="8">
        <v>1.3164138087044315E-2</v>
      </c>
      <c r="B394" s="242">
        <v>3.1924132446226142E-4</v>
      </c>
    </row>
    <row r="395" spans="1:2" x14ac:dyDescent="0.25">
      <c r="A395" s="8">
        <v>1.3185247194242409E-2</v>
      </c>
      <c r="B395" s="242">
        <v>4.5097136565683125E-4</v>
      </c>
    </row>
    <row r="396" spans="1:2" x14ac:dyDescent="0.25">
      <c r="A396" s="8">
        <v>1.3164347932689814E-2</v>
      </c>
      <c r="B396" s="242">
        <v>3.1685427598402322E-4</v>
      </c>
    </row>
    <row r="397" spans="1:2" x14ac:dyDescent="0.25">
      <c r="A397" s="8">
        <v>1.3163909592423639E-2</v>
      </c>
      <c r="B397" s="242">
        <v>3.2216794635576165E-4</v>
      </c>
    </row>
    <row r="398" spans="1:2" x14ac:dyDescent="0.25">
      <c r="A398" s="8">
        <v>1.3164353774376731E-2</v>
      </c>
      <c r="B398" s="242">
        <v>3.667917350963823E-4</v>
      </c>
    </row>
    <row r="399" spans="1:2" x14ac:dyDescent="0.25">
      <c r="A399" s="8">
        <v>1.3163634698504059E-2</v>
      </c>
      <c r="B399" s="242">
        <v>3.5717300987653461E-4</v>
      </c>
    </row>
    <row r="400" spans="1:2" x14ac:dyDescent="0.25">
      <c r="A400" s="8">
        <v>1.3163600830693891E-2</v>
      </c>
      <c r="B400" s="242">
        <v>3.2701643860390614E-4</v>
      </c>
    </row>
    <row r="401" spans="1:2" x14ac:dyDescent="0.25">
      <c r="A401" s="8">
        <v>1.3163862567859237E-2</v>
      </c>
      <c r="B401" s="242">
        <v>3.2282619676323062E-4</v>
      </c>
    </row>
    <row r="402" spans="1:2" x14ac:dyDescent="0.25">
      <c r="A402" s="8">
        <v>1.3166052533119607E-2</v>
      </c>
      <c r="B402" s="242">
        <v>3.8106885487207914E-4</v>
      </c>
    </row>
    <row r="403" spans="1:2" x14ac:dyDescent="0.25">
      <c r="A403" s="8">
        <v>1.3200361188713445E-2</v>
      </c>
      <c r="B403" s="242">
        <v>4.8357379429173872E-4</v>
      </c>
    </row>
    <row r="404" spans="1:2" x14ac:dyDescent="0.25">
      <c r="A404" s="8">
        <v>1.3169389638417456E-2</v>
      </c>
      <c r="B404" s="242">
        <v>3.9963455570430034E-4</v>
      </c>
    </row>
    <row r="405" spans="1:2" x14ac:dyDescent="0.25">
      <c r="A405" s="8">
        <v>1.3165011274078131E-2</v>
      </c>
      <c r="B405" s="242">
        <v>3.7309949063051994E-4</v>
      </c>
    </row>
    <row r="406" spans="1:2" x14ac:dyDescent="0.25">
      <c r="A406" s="8">
        <v>1.3237378048295121E-2</v>
      </c>
      <c r="B406" s="242">
        <v>5.422433106117377E-4</v>
      </c>
    </row>
    <row r="407" spans="1:2" x14ac:dyDescent="0.25">
      <c r="A407" s="8">
        <v>1.316320308131518E-2</v>
      </c>
      <c r="B407" s="242">
        <v>3.3993197773823783E-4</v>
      </c>
    </row>
    <row r="408" spans="1:2" x14ac:dyDescent="0.25">
      <c r="A408" s="8">
        <v>1.3379623463833125E-2</v>
      </c>
      <c r="B408" s="242">
        <v>6.8510034222688432E-4</v>
      </c>
    </row>
    <row r="409" spans="1:2" x14ac:dyDescent="0.25">
      <c r="A409" s="8">
        <v>1.3195451590087687E-2</v>
      </c>
      <c r="B409" s="242">
        <v>4.7386486915356336E-4</v>
      </c>
    </row>
    <row r="410" spans="1:2" x14ac:dyDescent="0.25">
      <c r="A410" s="8">
        <v>1.3163340965375473E-2</v>
      </c>
      <c r="B410" s="242">
        <v>3.3296337953606103E-4</v>
      </c>
    </row>
    <row r="411" spans="1:2" x14ac:dyDescent="0.25">
      <c r="A411" s="8">
        <v>1.3163525076090558E-2</v>
      </c>
      <c r="B411" s="242">
        <v>3.5510984935291595E-4</v>
      </c>
    </row>
    <row r="412" spans="1:2" x14ac:dyDescent="0.25">
      <c r="A412" s="8">
        <v>1.3208185565135457E-2</v>
      </c>
      <c r="B412" s="242">
        <v>4.9780956221381531E-4</v>
      </c>
    </row>
    <row r="413" spans="1:2" x14ac:dyDescent="0.25">
      <c r="A413" s="8">
        <v>1.3164521587979547E-2</v>
      </c>
      <c r="B413" s="242">
        <v>3.1503945624317668E-4</v>
      </c>
    </row>
    <row r="414" spans="1:2" x14ac:dyDescent="0.25">
      <c r="A414" s="8">
        <v>1.3163867561449898E-2</v>
      </c>
      <c r="B414" s="242">
        <v>3.6082760404137419E-4</v>
      </c>
    </row>
    <row r="415" spans="1:2" x14ac:dyDescent="0.25">
      <c r="A415" s="8">
        <v>6.0598292448402737E-2</v>
      </c>
      <c r="B415" s="242">
        <v>8.814471268241534E-3</v>
      </c>
    </row>
    <row r="416" spans="1:2" x14ac:dyDescent="0.25">
      <c r="A416" s="8">
        <v>1.316468583352544E-2</v>
      </c>
      <c r="B416" s="242">
        <v>3.7015320721135074E-4</v>
      </c>
    </row>
    <row r="417" spans="1:2" x14ac:dyDescent="0.25">
      <c r="A417" s="8">
        <v>1.3173374564920815E-2</v>
      </c>
      <c r="B417" s="242">
        <v>4.159505099202749E-4</v>
      </c>
    </row>
    <row r="418" spans="1:2" x14ac:dyDescent="0.25">
      <c r="A418" s="8">
        <v>1.3163537547832142E-2</v>
      </c>
      <c r="B418" s="242">
        <v>3.2822242214979264E-4</v>
      </c>
    </row>
    <row r="419" spans="1:2" x14ac:dyDescent="0.25">
      <c r="A419" s="8">
        <v>1.3164099691537078E-2</v>
      </c>
      <c r="B419" s="242">
        <v>3.1970598287706195E-4</v>
      </c>
    </row>
    <row r="420" spans="1:2" x14ac:dyDescent="0.25">
      <c r="A420" s="8">
        <v>1.316380907589646E-2</v>
      </c>
      <c r="B420" s="242">
        <v>3.2360391565608779E-4</v>
      </c>
    </row>
    <row r="421" spans="1:2" x14ac:dyDescent="0.25">
      <c r="A421" s="8">
        <v>1.3212796194752883E-2</v>
      </c>
      <c r="B421" s="242">
        <v>5.0562358237982532E-4</v>
      </c>
    </row>
    <row r="422" spans="1:2" x14ac:dyDescent="0.25">
      <c r="A422" s="8">
        <v>1.3337775148233644E-2</v>
      </c>
      <c r="B422" s="242">
        <v>6.4988474802937508E-4</v>
      </c>
    </row>
    <row r="423" spans="1:2" x14ac:dyDescent="0.25">
      <c r="A423" s="8">
        <v>2.8662546886063692E-2</v>
      </c>
      <c r="B423" s="242">
        <v>3.9887820514982134E-3</v>
      </c>
    </row>
    <row r="424" spans="1:2" x14ac:dyDescent="0.25">
      <c r="A424" s="8">
        <v>1.3238710866660093E-2</v>
      </c>
      <c r="B424" s="242">
        <v>5.4404116090349831E-4</v>
      </c>
    </row>
    <row r="425" spans="1:2" x14ac:dyDescent="0.25">
      <c r="A425" s="8">
        <v>1.3166270058844097E-2</v>
      </c>
      <c r="B425" s="242">
        <v>3.8253742471473925E-4</v>
      </c>
    </row>
    <row r="426" spans="1:2" x14ac:dyDescent="0.25">
      <c r="A426" s="8">
        <v>1.3204795394876333E-2</v>
      </c>
      <c r="B426" s="242">
        <v>4.9180636440961881E-4</v>
      </c>
    </row>
    <row r="427" spans="1:2" x14ac:dyDescent="0.25">
      <c r="A427" s="8">
        <v>1.3164472187881504E-2</v>
      </c>
      <c r="B427" s="242">
        <v>3.1554295100208674E-4</v>
      </c>
    </row>
    <row r="428" spans="1:2" x14ac:dyDescent="0.25">
      <c r="A428" s="8">
        <v>1.3164018592224399E-2</v>
      </c>
      <c r="B428" s="242">
        <v>3.2072108667698492E-4</v>
      </c>
    </row>
    <row r="429" spans="1:2" x14ac:dyDescent="0.25">
      <c r="A429" s="8">
        <v>1.3163208397957413E-2</v>
      </c>
      <c r="B429" s="242">
        <v>3.4430720096669475E-4</v>
      </c>
    </row>
    <row r="430" spans="1:2" x14ac:dyDescent="0.25">
      <c r="A430" s="8">
        <v>1.3163455964359519E-2</v>
      </c>
      <c r="B430" s="242">
        <v>3.2995712851065147E-4</v>
      </c>
    </row>
    <row r="431" spans="1:2" x14ac:dyDescent="0.25">
      <c r="A431" s="8">
        <v>1.3248186239348043E-2</v>
      </c>
      <c r="B431" s="242">
        <v>5.5639373735688982E-4</v>
      </c>
    </row>
    <row r="432" spans="1:2" x14ac:dyDescent="0.25">
      <c r="A432" s="8">
        <v>1.3178586509948869E-2</v>
      </c>
      <c r="B432" s="242">
        <v>4.329915620387379E-4</v>
      </c>
    </row>
    <row r="433" spans="1:2" x14ac:dyDescent="0.25">
      <c r="A433" s="8">
        <v>1.6195290933174709E-2</v>
      </c>
      <c r="B433" s="242">
        <v>1.6932235911142346E-3</v>
      </c>
    </row>
    <row r="434" spans="1:2" x14ac:dyDescent="0.25">
      <c r="A434" s="8">
        <v>1.3163833632485088E-2</v>
      </c>
      <c r="B434" s="242">
        <v>3.2324283892437491E-4</v>
      </c>
    </row>
    <row r="435" spans="1:2" x14ac:dyDescent="0.25">
      <c r="A435" s="8">
        <v>1.3163654301087256E-2</v>
      </c>
      <c r="B435" s="242">
        <v>3.2606938613620744E-4</v>
      </c>
    </row>
    <row r="436" spans="1:2" x14ac:dyDescent="0.25">
      <c r="A436" s="8">
        <v>1.3163684886145702E-2</v>
      </c>
      <c r="B436" s="242">
        <v>3.2555248351992825E-4</v>
      </c>
    </row>
    <row r="437" spans="1:2" x14ac:dyDescent="0.25">
      <c r="A437" s="8">
        <v>1.3168871710746818E-2</v>
      </c>
      <c r="B437" s="242">
        <v>3.9716244726328007E-4</v>
      </c>
    </row>
    <row r="438" spans="1:2" x14ac:dyDescent="0.25">
      <c r="A438" s="8">
        <v>1.3164175255642245E-2</v>
      </c>
      <c r="B438" s="242">
        <v>3.6478236371818103E-4</v>
      </c>
    </row>
    <row r="439" spans="1:2" x14ac:dyDescent="0.25">
      <c r="A439" s="8">
        <v>1.3163260665073279E-2</v>
      </c>
      <c r="B439" s="242">
        <v>3.4767024168709803E-4</v>
      </c>
    </row>
    <row r="440" spans="1:2" x14ac:dyDescent="0.25">
      <c r="A440" s="8">
        <v>1.3163733458044896E-2</v>
      </c>
      <c r="B440" s="242">
        <v>3.2476380862489263E-4</v>
      </c>
    </row>
    <row r="441" spans="1:2" x14ac:dyDescent="0.25">
      <c r="A441" s="8">
        <v>1.316323779702141E-2</v>
      </c>
      <c r="B441" s="242">
        <v>3.465040253536122E-4</v>
      </c>
    </row>
    <row r="442" spans="1:2" x14ac:dyDescent="0.25">
      <c r="A442" s="8">
        <v>1.3196156075736088E-2</v>
      </c>
      <c r="B442" s="242">
        <v>4.7530118344092485E-4</v>
      </c>
    </row>
    <row r="443" spans="1:2" x14ac:dyDescent="0.25">
      <c r="A443" s="8">
        <v>1.3194268043537421E-2</v>
      </c>
      <c r="B443" s="242">
        <v>4.7141619243400038E-4</v>
      </c>
    </row>
    <row r="444" spans="1:2" x14ac:dyDescent="0.25">
      <c r="A444" s="8">
        <v>1.3166869284819607E-2</v>
      </c>
      <c r="B444" s="242">
        <v>3.8633335042430425E-4</v>
      </c>
    </row>
    <row r="445" spans="1:2" x14ac:dyDescent="0.25">
      <c r="A445" s="8">
        <v>1.3163219366809698E-2</v>
      </c>
      <c r="B445" s="242">
        <v>3.4529196558810476E-4</v>
      </c>
    </row>
    <row r="446" spans="1:2" x14ac:dyDescent="0.25">
      <c r="A446" s="8">
        <v>1.3168058819271947E-2</v>
      </c>
      <c r="B446" s="242">
        <v>3.9304278749314006E-4</v>
      </c>
    </row>
    <row r="447" spans="1:2" x14ac:dyDescent="0.25">
      <c r="A447" s="8">
        <v>1.3163369078609096E-2</v>
      </c>
      <c r="B447" s="242">
        <v>3.5144124386765938E-4</v>
      </c>
    </row>
    <row r="448" spans="1:2" x14ac:dyDescent="0.25">
      <c r="A448" s="8">
        <v>1.3164694522875392E-2</v>
      </c>
      <c r="B448" s="242">
        <v>3.7023583842483196E-4</v>
      </c>
    </row>
    <row r="449" spans="1:2" x14ac:dyDescent="0.25">
      <c r="A449" s="8">
        <v>1.3163220195512096E-2</v>
      </c>
      <c r="B449" s="242">
        <v>3.45355326753048E-4</v>
      </c>
    </row>
    <row r="450" spans="1:2" x14ac:dyDescent="0.25">
      <c r="A450" s="8">
        <v>1.4148084031580235E-2</v>
      </c>
      <c r="B450" s="242">
        <v>1.0846743432664546E-3</v>
      </c>
    </row>
    <row r="451" spans="1:2" x14ac:dyDescent="0.25">
      <c r="A451" s="8">
        <v>1.316328470950154E-2</v>
      </c>
      <c r="B451" s="242">
        <v>3.4868691650481308E-4</v>
      </c>
    </row>
    <row r="452" spans="1:2" x14ac:dyDescent="0.25">
      <c r="A452" s="8">
        <v>1.3194776855387679E-2</v>
      </c>
      <c r="B452" s="242">
        <v>4.7247448500770014E-4</v>
      </c>
    </row>
    <row r="453" spans="1:2" x14ac:dyDescent="0.25">
      <c r="A453" s="8">
        <v>1.3164401657447604E-2</v>
      </c>
      <c r="B453" s="242">
        <v>3.1627902181370989E-4</v>
      </c>
    </row>
    <row r="454" spans="1:2" x14ac:dyDescent="0.25">
      <c r="A454" s="8">
        <v>1.3164276764648588E-2</v>
      </c>
      <c r="B454" s="242">
        <v>3.1763738465182022E-4</v>
      </c>
    </row>
    <row r="455" spans="1:2" x14ac:dyDescent="0.25">
      <c r="A455" s="8">
        <v>1.3164526441971551E-2</v>
      </c>
      <c r="B455" s="242">
        <v>3.1499049374196747E-4</v>
      </c>
    </row>
    <row r="456" spans="1:2" x14ac:dyDescent="0.25">
      <c r="A456" s="8">
        <v>1.3163882065415791E-2</v>
      </c>
      <c r="B456" s="242">
        <v>3.2255053697020035E-4</v>
      </c>
    </row>
    <row r="457" spans="1:2" x14ac:dyDescent="0.25">
      <c r="A457" s="8">
        <v>1.3165123042429207E-2</v>
      </c>
      <c r="B457" s="242">
        <v>3.7404934939928603E-4</v>
      </c>
    </row>
    <row r="458" spans="1:2" x14ac:dyDescent="0.25">
      <c r="A458" s="8">
        <v>1.3163741291406567E-2</v>
      </c>
      <c r="B458" s="242">
        <v>3.2464001161189174E-4</v>
      </c>
    </row>
    <row r="459" spans="1:2" x14ac:dyDescent="0.25">
      <c r="A459" s="8">
        <v>1.3164513390315668E-2</v>
      </c>
      <c r="B459" s="242">
        <v>3.1512235061828856E-4</v>
      </c>
    </row>
    <row r="460" spans="1:2" x14ac:dyDescent="0.25">
      <c r="A460" s="8">
        <v>1.3178451464904909E-2</v>
      </c>
      <c r="B460" s="242">
        <v>4.3259030906314297E-4</v>
      </c>
    </row>
    <row r="461" spans="1:2" x14ac:dyDescent="0.25">
      <c r="A461" s="8">
        <v>1.3214737957195308E-2</v>
      </c>
      <c r="B461" s="242">
        <v>5.0880586076981348E-4</v>
      </c>
    </row>
    <row r="462" spans="1:2" x14ac:dyDescent="0.25">
      <c r="A462" s="8">
        <v>1.3163346869314868E-2</v>
      </c>
      <c r="B462" s="242">
        <v>3.3278457423673794E-4</v>
      </c>
    </row>
    <row r="463" spans="1:2" x14ac:dyDescent="0.25">
      <c r="A463" s="8">
        <v>2.0491390871516222E-2</v>
      </c>
      <c r="B463" s="242">
        <v>2.591243195273929E-3</v>
      </c>
    </row>
    <row r="464" spans="1:2" x14ac:dyDescent="0.25">
      <c r="A464" s="8">
        <v>1.3168404462357229E-2</v>
      </c>
      <c r="B464" s="242">
        <v>3.9483355873865645E-4</v>
      </c>
    </row>
    <row r="465" spans="1:2" x14ac:dyDescent="0.25">
      <c r="A465" s="8">
        <v>1.3163341049824978E-2</v>
      </c>
      <c r="B465" s="242">
        <v>3.3296079639559529E-4</v>
      </c>
    </row>
    <row r="466" spans="1:2" x14ac:dyDescent="0.25">
      <c r="A466" s="8">
        <v>1.3331725679518638E-2</v>
      </c>
      <c r="B466" s="242">
        <v>6.444651303217987E-4</v>
      </c>
    </row>
    <row r="467" spans="1:2" x14ac:dyDescent="0.25">
      <c r="A467" s="8">
        <v>1.3334141741248933E-2</v>
      </c>
      <c r="B467" s="242">
        <v>6.4664090041580352E-4</v>
      </c>
    </row>
    <row r="468" spans="1:2" x14ac:dyDescent="0.25">
      <c r="A468" s="8">
        <v>1.3173126503787783E-2</v>
      </c>
      <c r="B468" s="242">
        <v>4.1504086664412922E-4</v>
      </c>
    </row>
    <row r="469" spans="1:2" x14ac:dyDescent="0.25">
      <c r="A469" s="8">
        <v>1.3165449755901256E-2</v>
      </c>
      <c r="B469" s="242">
        <v>3.7667797664428081E-4</v>
      </c>
    </row>
    <row r="470" spans="1:2" x14ac:dyDescent="0.25">
      <c r="A470" s="8">
        <v>1.3163249883061598E-2</v>
      </c>
      <c r="B470" s="242">
        <v>3.4715208889091734E-4</v>
      </c>
    </row>
    <row r="471" spans="1:2" x14ac:dyDescent="0.25">
      <c r="A471" s="8">
        <v>1.3170777055918403E-2</v>
      </c>
      <c r="B471" s="242">
        <v>4.0578841277572405E-4</v>
      </c>
    </row>
    <row r="472" spans="1:2" x14ac:dyDescent="0.25">
      <c r="A472" s="8">
        <v>1.3172489333182645E-2</v>
      </c>
      <c r="B472" s="242">
        <v>4.1265093670592439E-4</v>
      </c>
    </row>
    <row r="473" spans="1:2" x14ac:dyDescent="0.25">
      <c r="A473" s="8">
        <v>1.3163752056222826E-2</v>
      </c>
      <c r="B473" s="242">
        <v>3.2447132976312431E-4</v>
      </c>
    </row>
    <row r="474" spans="1:2" x14ac:dyDescent="0.25">
      <c r="A474" s="8">
        <v>1.3170912339950207E-2</v>
      </c>
      <c r="B474" s="242">
        <v>4.0635711807915397E-4</v>
      </c>
    </row>
    <row r="475" spans="1:2" x14ac:dyDescent="0.25">
      <c r="A475" s="8">
        <v>1.3166339979014473E-2</v>
      </c>
      <c r="B475" s="242">
        <v>3.8299836411506569E-4</v>
      </c>
    </row>
    <row r="476" spans="1:2" x14ac:dyDescent="0.25">
      <c r="A476" s="8">
        <v>1.3165378734895801E-2</v>
      </c>
      <c r="B476" s="242">
        <v>3.7612368394531885E-4</v>
      </c>
    </row>
    <row r="477" spans="1:2" x14ac:dyDescent="0.25">
      <c r="A477" s="8">
        <v>1.3163889733033391E-2</v>
      </c>
      <c r="B477" s="242">
        <v>3.2244320668109038E-4</v>
      </c>
    </row>
    <row r="478" spans="1:2" x14ac:dyDescent="0.25">
      <c r="A478" s="8">
        <v>1.3165115034035765E-2</v>
      </c>
      <c r="B478" s="242">
        <v>3.739822223100287E-4</v>
      </c>
    </row>
    <row r="479" spans="1:2" x14ac:dyDescent="0.25">
      <c r="A479" s="8">
        <v>1.3163439669128359E-2</v>
      </c>
      <c r="B479" s="242">
        <v>3.3033504050828083E-4</v>
      </c>
    </row>
    <row r="480" spans="1:2" x14ac:dyDescent="0.25">
      <c r="A480" s="8">
        <v>1.3163258594452719E-2</v>
      </c>
      <c r="B480" s="242">
        <v>3.3600848384043543E-4</v>
      </c>
    </row>
    <row r="481" spans="1:2" x14ac:dyDescent="0.25">
      <c r="A481" s="8">
        <v>1.3165210802197531E-2</v>
      </c>
      <c r="B481" s="242">
        <v>3.7477601248540741E-4</v>
      </c>
    </row>
    <row r="482" spans="1:2" x14ac:dyDescent="0.25">
      <c r="A482" s="8">
        <v>1.316434972451035E-2</v>
      </c>
      <c r="B482" s="242">
        <v>3.1683487648167846E-4</v>
      </c>
    </row>
    <row r="483" spans="1:2" x14ac:dyDescent="0.25">
      <c r="A483" s="8">
        <v>1.3163234276701838E-2</v>
      </c>
      <c r="B483" s="242">
        <v>3.3728504986938271E-4</v>
      </c>
    </row>
    <row r="484" spans="1:2" x14ac:dyDescent="0.25">
      <c r="A484" s="8">
        <v>1.3163440737404868E-2</v>
      </c>
      <c r="B484" s="242">
        <v>3.5327293583940588E-4</v>
      </c>
    </row>
    <row r="485" spans="1:2" x14ac:dyDescent="0.25">
      <c r="A485" s="8">
        <v>1.3187970792431806E-2</v>
      </c>
      <c r="B485" s="242">
        <v>4.5752383408674188E-4</v>
      </c>
    </row>
    <row r="486" spans="1:2" x14ac:dyDescent="0.25">
      <c r="A486" s="8">
        <v>1.3163207021170437E-2</v>
      </c>
      <c r="B486" s="242">
        <v>3.4415478695903667E-4</v>
      </c>
    </row>
    <row r="487" spans="1:2" x14ac:dyDescent="0.25">
      <c r="A487" s="8">
        <v>1.3163522984431523E-2</v>
      </c>
      <c r="B487" s="242">
        <v>3.2851545398095643E-4</v>
      </c>
    </row>
    <row r="488" spans="1:2" x14ac:dyDescent="0.25">
      <c r="A488" s="8">
        <v>1.3164083535853183E-2</v>
      </c>
      <c r="B488" s="242">
        <v>3.6367837504719841E-4</v>
      </c>
    </row>
    <row r="489" spans="1:2" x14ac:dyDescent="0.25">
      <c r="A489" s="8">
        <v>1.3164155223092888E-2</v>
      </c>
      <c r="B489" s="242">
        <v>3.1903700755862331E-4</v>
      </c>
    </row>
    <row r="490" spans="1:2" x14ac:dyDescent="0.25">
      <c r="A490" s="8">
        <v>1.3174175221601621E-2</v>
      </c>
      <c r="B490" s="242">
        <v>4.1881337772552271E-4</v>
      </c>
    </row>
    <row r="491" spans="1:2" x14ac:dyDescent="0.25">
      <c r="A491" s="8">
        <v>1.3163277427435106E-2</v>
      </c>
      <c r="B491" s="242">
        <v>3.3518726959897165E-4</v>
      </c>
    </row>
    <row r="492" spans="1:2" x14ac:dyDescent="0.25">
      <c r="A492" s="8">
        <v>1.3164094808152794E-2</v>
      </c>
      <c r="B492" s="242">
        <v>3.197657836339841E-4</v>
      </c>
    </row>
    <row r="493" spans="1:2" x14ac:dyDescent="0.25">
      <c r="A493" s="8">
        <v>1.3174416265557248E-2</v>
      </c>
      <c r="B493" s="242">
        <v>4.1965468712328567E-4</v>
      </c>
    </row>
    <row r="494" spans="1:2" x14ac:dyDescent="0.25">
      <c r="A494" s="8">
        <v>1.3166701320688486E-2</v>
      </c>
      <c r="B494" s="242">
        <v>3.8530274380992269E-4</v>
      </c>
    </row>
    <row r="495" spans="1:2" x14ac:dyDescent="0.25">
      <c r="A495" s="8">
        <v>2.2854927674931295E-2</v>
      </c>
      <c r="B495" s="242">
        <v>3.0179835465299937E-3</v>
      </c>
    </row>
    <row r="496" spans="1:2" x14ac:dyDescent="0.25">
      <c r="A496" s="8">
        <v>1.3172603526851187E-2</v>
      </c>
      <c r="B496" s="242">
        <v>4.1308514395537366E-4</v>
      </c>
    </row>
    <row r="497" spans="1:2" x14ac:dyDescent="0.25">
      <c r="A497" s="8">
        <v>1.316449100558351E-2</v>
      </c>
      <c r="B497" s="242">
        <v>3.1535002730157462E-4</v>
      </c>
    </row>
    <row r="498" spans="1:2" x14ac:dyDescent="0.25">
      <c r="A498" s="8">
        <v>1.3163569832593144E-2</v>
      </c>
      <c r="B498" s="242">
        <v>3.2759436520633816E-4</v>
      </c>
    </row>
    <row r="499" spans="1:2" x14ac:dyDescent="0.25">
      <c r="A499" s="8">
        <v>1.3163209116963989E-2</v>
      </c>
      <c r="B499" s="242">
        <v>3.4438323681617423E-4</v>
      </c>
    </row>
    <row r="500" spans="1:2" x14ac:dyDescent="0.25">
      <c r="A500" s="8">
        <v>1.3163196855464994E-2</v>
      </c>
      <c r="B500" s="242">
        <v>3.4148371000002769E-4</v>
      </c>
    </row>
    <row r="501" spans="1:2" x14ac:dyDescent="0.25">
      <c r="A501" s="8">
        <v>1.3176602576823604E-2</v>
      </c>
      <c r="B501" s="242">
        <v>4.2690721926707528E-4</v>
      </c>
    </row>
    <row r="502" spans="1:2" x14ac:dyDescent="0.25">
      <c r="A502" s="8">
        <v>1.3163496401842676E-2</v>
      </c>
      <c r="B502" s="242">
        <v>3.5451510639784796E-4</v>
      </c>
    </row>
    <row r="503" spans="1:2" x14ac:dyDescent="0.25">
      <c r="A503" s="8">
        <v>1.3163694558553941E-2</v>
      </c>
      <c r="B503" s="242">
        <v>3.2539240547830109E-4</v>
      </c>
    </row>
    <row r="504" spans="1:2" x14ac:dyDescent="0.25">
      <c r="A504" s="8">
        <v>1.3163956625492051E-2</v>
      </c>
      <c r="B504" s="242">
        <v>3.2153095536524974E-4</v>
      </c>
    </row>
    <row r="505" spans="1:2" x14ac:dyDescent="0.25">
      <c r="A505" s="8">
        <v>1.3415227861187519E-2</v>
      </c>
      <c r="B505" s="242">
        <v>7.1251295174538183E-4</v>
      </c>
    </row>
    <row r="506" spans="1:2" x14ac:dyDescent="0.25">
      <c r="A506" s="8">
        <v>1.3163306143591956E-2</v>
      </c>
      <c r="B506" s="242">
        <v>3.4948071627739606E-4</v>
      </c>
    </row>
    <row r="507" spans="1:2" x14ac:dyDescent="0.25">
      <c r="A507" s="8">
        <v>1.3164952285913592E-2</v>
      </c>
      <c r="B507" s="242">
        <v>3.7258637602937062E-4</v>
      </c>
    </row>
    <row r="508" spans="1:2" x14ac:dyDescent="0.25">
      <c r="A508" s="8">
        <v>1.359659780363697E-2</v>
      </c>
      <c r="B508" s="242">
        <v>8.295921686445034E-4</v>
      </c>
    </row>
    <row r="509" spans="1:2" x14ac:dyDescent="0.25">
      <c r="A509" s="8">
        <v>1.3164167801049328E-2</v>
      </c>
      <c r="B509" s="242">
        <v>3.6469462281251379E-4</v>
      </c>
    </row>
    <row r="510" spans="1:2" x14ac:dyDescent="0.25">
      <c r="A510" s="8">
        <v>1.3163359223643227E-2</v>
      </c>
      <c r="B510" s="242">
        <v>3.3242144773091469E-4</v>
      </c>
    </row>
    <row r="511" spans="1:2" x14ac:dyDescent="0.25">
      <c r="A511" s="8">
        <v>1.3163568297280374E-2</v>
      </c>
      <c r="B511" s="242">
        <v>3.5595921818442738E-4</v>
      </c>
    </row>
    <row r="512" spans="1:2" x14ac:dyDescent="0.25">
      <c r="A512" s="8">
        <v>1.3165194073374249E-2</v>
      </c>
      <c r="B512" s="242">
        <v>3.7463873525888074E-4</v>
      </c>
    </row>
    <row r="513" spans="1:2" x14ac:dyDescent="0.25">
      <c r="A513" s="8">
        <v>1.3164327551598409E-2</v>
      </c>
      <c r="B513" s="242">
        <v>3.17076007354211E-4</v>
      </c>
    </row>
    <row r="514" spans="1:2" x14ac:dyDescent="0.25">
      <c r="A514" s="8">
        <v>1.3164493518630716E-2</v>
      </c>
      <c r="B514" s="242">
        <v>3.153243693448008E-4</v>
      </c>
    </row>
    <row r="515" spans="1:2" x14ac:dyDescent="0.25">
      <c r="A515" s="8">
        <v>1.3163199939380569E-2</v>
      </c>
      <c r="B515" s="242">
        <v>3.4311821644382077E-4</v>
      </c>
    </row>
    <row r="516" spans="1:2" x14ac:dyDescent="0.25">
      <c r="A516" s="8">
        <v>1.316334997611894E-2</v>
      </c>
      <c r="B516" s="242">
        <v>3.5089092725245892E-4</v>
      </c>
    </row>
    <row r="517" spans="1:2" x14ac:dyDescent="0.25">
      <c r="A517" s="8">
        <v>1.316320003288717E-2</v>
      </c>
      <c r="B517" s="242">
        <v>3.4044570544194649E-4</v>
      </c>
    </row>
    <row r="518" spans="1:2" x14ac:dyDescent="0.25">
      <c r="A518" s="8">
        <v>1.3442179781116856E-2</v>
      </c>
      <c r="B518" s="242">
        <v>7.3202955725605958E-4</v>
      </c>
    </row>
    <row r="519" spans="1:2" x14ac:dyDescent="0.25">
      <c r="A519" s="8">
        <v>1.3207249942929581E-2</v>
      </c>
      <c r="B519" s="242">
        <v>4.961759651962612E-4</v>
      </c>
    </row>
    <row r="520" spans="1:2" x14ac:dyDescent="0.25">
      <c r="A520" s="8">
        <v>1.3174095998146498E-2</v>
      </c>
      <c r="B520" s="242">
        <v>4.1853485580521942E-4</v>
      </c>
    </row>
    <row r="521" spans="1:2" x14ac:dyDescent="0.25">
      <c r="A521" s="8">
        <v>1.936488160951998E-2</v>
      </c>
      <c r="B521" s="242">
        <v>2.3762090863297929E-3</v>
      </c>
    </row>
    <row r="522" spans="1:2" x14ac:dyDescent="0.25">
      <c r="A522" s="8">
        <v>1.3237477664338313E-2</v>
      </c>
      <c r="B522" s="242">
        <v>5.423782344584695E-4</v>
      </c>
    </row>
    <row r="523" spans="1:2" x14ac:dyDescent="0.25">
      <c r="A523" s="8">
        <v>1.3164827456137685E-2</v>
      </c>
      <c r="B523" s="242">
        <v>3.714713046236121E-4</v>
      </c>
    </row>
    <row r="524" spans="1:2" x14ac:dyDescent="0.25">
      <c r="A524" s="8">
        <v>1.3163281851821309E-2</v>
      </c>
      <c r="B524" s="242">
        <v>3.4857406895161502E-4</v>
      </c>
    </row>
    <row r="525" spans="1:2" x14ac:dyDescent="0.25">
      <c r="A525" s="8">
        <v>1.3163251403923137E-2</v>
      </c>
      <c r="B525" s="242">
        <v>3.4722816954491456E-4</v>
      </c>
    </row>
    <row r="526" spans="1:2" x14ac:dyDescent="0.25">
      <c r="A526" s="8">
        <v>1.3163645074473354E-2</v>
      </c>
      <c r="B526" s="242">
        <v>3.262286906920717E-4</v>
      </c>
    </row>
    <row r="527" spans="1:2" x14ac:dyDescent="0.25">
      <c r="A527" s="8">
        <v>1.4510002470566458E-2</v>
      </c>
      <c r="B527" s="242">
        <v>1.2162479694339061E-3</v>
      </c>
    </row>
    <row r="528" spans="1:2" x14ac:dyDescent="0.25">
      <c r="A528" s="8">
        <v>1.3165230226334585E-2</v>
      </c>
      <c r="B528" s="242">
        <v>3.7493469437400952E-4</v>
      </c>
    </row>
    <row r="529" spans="1:2" x14ac:dyDescent="0.25">
      <c r="A529" s="8">
        <v>1.3859932500163801E-2</v>
      </c>
      <c r="B529" s="242">
        <v>9.6331548536925386E-4</v>
      </c>
    </row>
    <row r="530" spans="1:2" x14ac:dyDescent="0.25">
      <c r="A530" s="8">
        <v>1.3170688550525514E-2</v>
      </c>
      <c r="B530" s="242">
        <v>4.0541360742010795E-4</v>
      </c>
    </row>
    <row r="531" spans="1:2" x14ac:dyDescent="0.25">
      <c r="A531" s="8">
        <v>1.3163196680420717E-2</v>
      </c>
      <c r="B531" s="242">
        <v>3.4177993897968893E-4</v>
      </c>
    </row>
    <row r="532" spans="1:2" x14ac:dyDescent="0.25">
      <c r="A532" s="8">
        <v>1.316343034728582E-2</v>
      </c>
      <c r="B532" s="242">
        <v>3.530258771192058E-4</v>
      </c>
    </row>
    <row r="533" spans="1:2" x14ac:dyDescent="0.25">
      <c r="A533" s="8">
        <v>1.3163197705491469E-2</v>
      </c>
      <c r="B533" s="242">
        <v>3.4253559409682234E-4</v>
      </c>
    </row>
    <row r="534" spans="1:2" x14ac:dyDescent="0.25">
      <c r="A534" s="8">
        <v>1.3169109380193762E-2</v>
      </c>
      <c r="B534" s="242">
        <v>3.9831027595475229E-4</v>
      </c>
    </row>
    <row r="535" spans="1:2" x14ac:dyDescent="0.25">
      <c r="A535" s="8">
        <v>1.316417611248347E-2</v>
      </c>
      <c r="B535" s="242">
        <v>3.1879039300806256E-4</v>
      </c>
    </row>
    <row r="536" spans="1:2" x14ac:dyDescent="0.25">
      <c r="A536" s="8">
        <v>1.3163602981098629E-2</v>
      </c>
      <c r="B536" s="242">
        <v>3.2697718280047262E-4</v>
      </c>
    </row>
    <row r="537" spans="1:2" x14ac:dyDescent="0.25">
      <c r="A537" s="8">
        <v>1.3163215724893405E-2</v>
      </c>
      <c r="B537" s="242">
        <v>3.4499870705475161E-4</v>
      </c>
    </row>
    <row r="538" spans="1:2" x14ac:dyDescent="0.25">
      <c r="A538" s="8">
        <v>1.3164553863320326E-2</v>
      </c>
      <c r="B538" s="242">
        <v>3.68867264797623E-4</v>
      </c>
    </row>
    <row r="539" spans="1:2" x14ac:dyDescent="0.25">
      <c r="A539" s="8">
        <v>1.3163466582053147E-2</v>
      </c>
      <c r="B539" s="242">
        <v>3.2971725010680402E-4</v>
      </c>
    </row>
    <row r="540" spans="1:2" x14ac:dyDescent="0.25">
      <c r="A540" s="8">
        <v>1.3225459437334075E-2</v>
      </c>
      <c r="B540" s="242">
        <v>5.2539403220899263E-4</v>
      </c>
    </row>
    <row r="541" spans="1:2" x14ac:dyDescent="0.25">
      <c r="A541" s="8">
        <v>1.3844409037729119E-2</v>
      </c>
      <c r="B541" s="242">
        <v>9.5617607806743336E-4</v>
      </c>
    </row>
    <row r="542" spans="1:2" x14ac:dyDescent="0.25">
      <c r="A542" s="8">
        <v>1.3181943181472998E-2</v>
      </c>
      <c r="B542" s="242">
        <v>4.4245361424904625E-4</v>
      </c>
    </row>
    <row r="543" spans="1:2" x14ac:dyDescent="0.25">
      <c r="A543" s="8">
        <v>1.316355975214002E-2</v>
      </c>
      <c r="B543" s="242">
        <v>3.2778744240852682E-4</v>
      </c>
    </row>
    <row r="544" spans="1:2" x14ac:dyDescent="0.25">
      <c r="A544" s="8">
        <v>1.3164353587233633E-2</v>
      </c>
      <c r="B544" s="242">
        <v>3.167931071370791E-4</v>
      </c>
    </row>
    <row r="545" spans="1:2" x14ac:dyDescent="0.25">
      <c r="A545" s="8">
        <v>1.316798346914962E-2</v>
      </c>
      <c r="B545" s="242">
        <v>3.9264403460193529E-4</v>
      </c>
    </row>
    <row r="546" spans="1:2" x14ac:dyDescent="0.25">
      <c r="A546" s="8">
        <v>1.3163318451249312E-2</v>
      </c>
      <c r="B546" s="242">
        <v>3.3368133610508122E-4</v>
      </c>
    </row>
    <row r="547" spans="1:2" x14ac:dyDescent="0.25">
      <c r="A547" s="8">
        <v>1.3163686106787276E-2</v>
      </c>
      <c r="B547" s="242">
        <v>3.2553219505175791E-4</v>
      </c>
    </row>
    <row r="548" spans="1:2" x14ac:dyDescent="0.25">
      <c r="A548" s="8">
        <v>1.5134144470578252E-2</v>
      </c>
      <c r="B548" s="242">
        <v>1.4115023650423356E-3</v>
      </c>
    </row>
    <row r="549" spans="1:2" x14ac:dyDescent="0.25">
      <c r="A549" s="8">
        <v>1.3163696849229327E-2</v>
      </c>
      <c r="B549" s="242">
        <v>3.2535472318314464E-4</v>
      </c>
    </row>
    <row r="550" spans="1:2" x14ac:dyDescent="0.25">
      <c r="A550" s="8">
        <v>1.3163722565031432E-2</v>
      </c>
      <c r="B550" s="242">
        <v>3.5864534926965654E-4</v>
      </c>
    </row>
    <row r="551" spans="1:2" x14ac:dyDescent="0.25">
      <c r="A551" s="8">
        <v>1.3194770751299338E-2</v>
      </c>
      <c r="B551" s="242">
        <v>4.7246183949146162E-4</v>
      </c>
    </row>
    <row r="552" spans="1:2" x14ac:dyDescent="0.25">
      <c r="A552" s="8">
        <v>1.3163196696888176E-2</v>
      </c>
      <c r="B552" s="242">
        <v>3.4188641685574026E-4</v>
      </c>
    </row>
    <row r="553" spans="1:2" x14ac:dyDescent="0.25">
      <c r="A553" s="8">
        <v>1.3164174333139262E-2</v>
      </c>
      <c r="B553" s="242">
        <v>3.1881129636838232E-4</v>
      </c>
    </row>
    <row r="554" spans="1:2" x14ac:dyDescent="0.25">
      <c r="A554" s="8">
        <v>1.3164328430563204E-2</v>
      </c>
      <c r="B554" s="242">
        <v>3.1706640383850996E-4</v>
      </c>
    </row>
    <row r="555" spans="1:2" x14ac:dyDescent="0.25">
      <c r="A555" s="8">
        <v>1.3163248096257846E-2</v>
      </c>
      <c r="B555" s="242">
        <v>3.3652151884257605E-4</v>
      </c>
    </row>
    <row r="556" spans="1:2" x14ac:dyDescent="0.25">
      <c r="A556" s="8">
        <v>2.2489389340226141E-2</v>
      </c>
      <c r="B556" s="242">
        <v>2.9536747646301594E-3</v>
      </c>
    </row>
    <row r="557" spans="1:2" x14ac:dyDescent="0.25">
      <c r="A557" s="8">
        <v>1.3163265147024317E-2</v>
      </c>
      <c r="B557" s="242">
        <v>3.3571016544950612E-4</v>
      </c>
    </row>
    <row r="558" spans="1:2" x14ac:dyDescent="0.25">
      <c r="A558" s="8">
        <v>1.3164410179300708E-2</v>
      </c>
      <c r="B558" s="242">
        <v>3.1618896212001968E-4</v>
      </c>
    </row>
    <row r="559" spans="1:2" x14ac:dyDescent="0.25">
      <c r="A559" s="8">
        <v>3.0650458057498491E-2</v>
      </c>
      <c r="B559" s="242">
        <v>4.3065952882607164E-3</v>
      </c>
    </row>
    <row r="560" spans="1:2" x14ac:dyDescent="0.25">
      <c r="A560" s="8">
        <v>1.3164363486821647E-2</v>
      </c>
      <c r="B560" s="242">
        <v>3.1668637571440072E-4</v>
      </c>
    </row>
    <row r="561" spans="1:2" x14ac:dyDescent="0.25">
      <c r="A561" s="8">
        <v>1.3593166706232663E-2</v>
      </c>
      <c r="B561" s="242">
        <v>8.2762630150973778E-4</v>
      </c>
    </row>
    <row r="562" spans="1:2" x14ac:dyDescent="0.25">
      <c r="A562" s="8">
        <v>1.3172774530573323E-2</v>
      </c>
      <c r="B562" s="242">
        <v>4.1373047070870065E-4</v>
      </c>
    </row>
    <row r="563" spans="1:2" x14ac:dyDescent="0.25">
      <c r="A563" s="8">
        <v>1.3163207313563158E-2</v>
      </c>
      <c r="B563" s="242">
        <v>3.441879664382302E-4</v>
      </c>
    </row>
    <row r="564" spans="1:2" x14ac:dyDescent="0.25">
      <c r="A564" s="8">
        <v>1.3163751836595811E-2</v>
      </c>
      <c r="B564" s="242">
        <v>3.2447475484233116E-4</v>
      </c>
    </row>
    <row r="565" spans="1:2" x14ac:dyDescent="0.25">
      <c r="A565" s="8">
        <v>1.4692620250053374E-2</v>
      </c>
      <c r="B565" s="242">
        <v>1.2767188517893953E-3</v>
      </c>
    </row>
    <row r="566" spans="1:2" x14ac:dyDescent="0.25">
      <c r="A566" s="8">
        <v>1.3982592168303732E-2</v>
      </c>
      <c r="B566" s="242">
        <v>1.0173361014602059E-3</v>
      </c>
    </row>
    <row r="567" spans="1:2" x14ac:dyDescent="0.25">
      <c r="A567" s="8">
        <v>1.3163237084145704E-2</v>
      </c>
      <c r="B567" s="242">
        <v>3.4646299346777421E-4</v>
      </c>
    </row>
    <row r="568" spans="1:2" x14ac:dyDescent="0.25">
      <c r="A568" s="8">
        <v>1.3170398540548887E-2</v>
      </c>
      <c r="B568" s="242">
        <v>4.0416970437916758E-4</v>
      </c>
    </row>
    <row r="569" spans="1:2" x14ac:dyDescent="0.25">
      <c r="A569" s="8">
        <v>1.3165035902341389E-2</v>
      </c>
      <c r="B569" s="242">
        <v>3.7331125108911795E-4</v>
      </c>
    </row>
    <row r="570" spans="1:2" x14ac:dyDescent="0.25">
      <c r="A570" s="8">
        <v>1.3163482507312238E-2</v>
      </c>
      <c r="B570" s="242">
        <v>3.5421668023310305E-4</v>
      </c>
    </row>
    <row r="571" spans="1:2" x14ac:dyDescent="0.25">
      <c r="A571" s="8">
        <v>1.316346996999767E-2</v>
      </c>
      <c r="B571" s="242">
        <v>3.2964170517823193E-4</v>
      </c>
    </row>
    <row r="572" spans="1:2" x14ac:dyDescent="0.25">
      <c r="A572" s="8">
        <v>1.3164174273432059E-2</v>
      </c>
      <c r="B572" s="242">
        <v>3.6477082221838365E-4</v>
      </c>
    </row>
    <row r="573" spans="1:2" x14ac:dyDescent="0.25">
      <c r="A573" s="8">
        <v>1.3169707783302821E-2</v>
      </c>
      <c r="B573" s="242">
        <v>4.0110206743031244E-4</v>
      </c>
    </row>
    <row r="574" spans="1:2" x14ac:dyDescent="0.25">
      <c r="A574" s="8">
        <v>1.3587083697682151E-2</v>
      </c>
      <c r="B574" s="242">
        <v>8.2412254289502542E-4</v>
      </c>
    </row>
    <row r="575" spans="1:2" x14ac:dyDescent="0.25">
      <c r="A575" s="8">
        <v>1.3165139570488607E-2</v>
      </c>
      <c r="B575" s="242">
        <v>3.7418744948144718E-4</v>
      </c>
    </row>
    <row r="576" spans="1:2" x14ac:dyDescent="0.25">
      <c r="A576" s="8">
        <v>1.3163220294470273E-2</v>
      </c>
      <c r="B576" s="242">
        <v>3.4536281779564673E-4</v>
      </c>
    </row>
    <row r="577" spans="1:2" x14ac:dyDescent="0.25">
      <c r="A577" s="8">
        <v>1.3163577833071797E-2</v>
      </c>
      <c r="B577" s="242">
        <v>3.2744297611560409E-4</v>
      </c>
    </row>
    <row r="578" spans="1:2" x14ac:dyDescent="0.25">
      <c r="A578" s="8">
        <v>1.3163209699000559E-2</v>
      </c>
      <c r="B578" s="242">
        <v>3.4444319161777768E-4</v>
      </c>
    </row>
    <row r="579" spans="1:2" x14ac:dyDescent="0.25">
      <c r="A579" s="8">
        <v>1.3163245286899626E-2</v>
      </c>
      <c r="B579" s="242">
        <v>3.3666751399616987E-4</v>
      </c>
    </row>
    <row r="580" spans="1:2" x14ac:dyDescent="0.25">
      <c r="A580" s="8">
        <v>1.3163751038245059E-2</v>
      </c>
      <c r="B580" s="242">
        <v>3.2448721081820565E-4</v>
      </c>
    </row>
    <row r="581" spans="1:2" x14ac:dyDescent="0.25">
      <c r="A581" s="8">
        <v>1.3164911864515478E-2</v>
      </c>
      <c r="B581" s="242">
        <v>3.7222977367019401E-4</v>
      </c>
    </row>
    <row r="582" spans="1:2" x14ac:dyDescent="0.25">
      <c r="A582" s="8">
        <v>1.3163708150697432E-2</v>
      </c>
      <c r="B582" s="242">
        <v>3.2517006098402556E-4</v>
      </c>
    </row>
    <row r="583" spans="1:2" x14ac:dyDescent="0.25">
      <c r="A583" s="8">
        <v>1.3163427932856164E-2</v>
      </c>
      <c r="B583" s="242">
        <v>3.3061513605923601E-4</v>
      </c>
    </row>
    <row r="584" spans="1:2" x14ac:dyDescent="0.25">
      <c r="A584" s="8">
        <v>1.31633433166666E-2</v>
      </c>
      <c r="B584" s="242">
        <v>3.3289173843462652E-4</v>
      </c>
    </row>
    <row r="585" spans="1:2" x14ac:dyDescent="0.25">
      <c r="A585" s="8">
        <v>1.3163460800556658E-2</v>
      </c>
      <c r="B585" s="242">
        <v>3.2984727015150672E-4</v>
      </c>
    </row>
    <row r="586" spans="1:2" x14ac:dyDescent="0.25">
      <c r="A586" s="8">
        <v>1.3202222371114847E-2</v>
      </c>
      <c r="B586" s="242">
        <v>4.8708575389513545E-4</v>
      </c>
    </row>
    <row r="587" spans="1:2" x14ac:dyDescent="0.25">
      <c r="A587" s="8">
        <v>1.3163616641488815E-2</v>
      </c>
      <c r="B587" s="242">
        <v>3.2673020042211744E-4</v>
      </c>
    </row>
    <row r="588" spans="1:2" x14ac:dyDescent="0.25">
      <c r="A588" s="8">
        <v>1.3646326311454425E-2</v>
      </c>
      <c r="B588" s="242">
        <v>8.5729589585388792E-4</v>
      </c>
    </row>
    <row r="589" spans="1:2" x14ac:dyDescent="0.25">
      <c r="A589" s="8">
        <v>1.3180759729020074E-2</v>
      </c>
      <c r="B589" s="242">
        <v>4.3922226706043466E-4</v>
      </c>
    </row>
    <row r="590" spans="1:2" x14ac:dyDescent="0.25">
      <c r="A590" s="8">
        <v>1.3164350073104829E-2</v>
      </c>
      <c r="B590" s="242">
        <v>3.1683110410565102E-4</v>
      </c>
    </row>
    <row r="591" spans="1:2" x14ac:dyDescent="0.25">
      <c r="A591" s="8">
        <v>1.3163800677774191E-2</v>
      </c>
      <c r="B591" s="242">
        <v>3.2372905664148206E-4</v>
      </c>
    </row>
    <row r="592" spans="1:2" x14ac:dyDescent="0.25">
      <c r="A592" s="8">
        <v>1.3189367210822679E-2</v>
      </c>
      <c r="B592" s="242">
        <v>4.6074396382405854E-4</v>
      </c>
    </row>
    <row r="593" spans="1:2" x14ac:dyDescent="0.25">
      <c r="A593" s="8">
        <v>1.320738763439119E-2</v>
      </c>
      <c r="B593" s="242">
        <v>4.9641745034772176E-4</v>
      </c>
    </row>
    <row r="594" spans="1:2" x14ac:dyDescent="0.25">
      <c r="A594" s="8">
        <v>1.3183671972004976E-2</v>
      </c>
      <c r="B594" s="242">
        <v>4.4699622622732253E-4</v>
      </c>
    </row>
    <row r="595" spans="1:2" x14ac:dyDescent="0.25">
      <c r="A595" s="8">
        <v>1.3164244584928583E-2</v>
      </c>
      <c r="B595" s="242">
        <v>3.179999389377874E-4</v>
      </c>
    </row>
    <row r="596" spans="1:2" x14ac:dyDescent="0.25">
      <c r="A596" s="8">
        <v>1.3178646115669507E-2</v>
      </c>
      <c r="B596" s="242">
        <v>4.3316810653494704E-4</v>
      </c>
    </row>
    <row r="597" spans="1:2" x14ac:dyDescent="0.25">
      <c r="A597" s="8">
        <v>1.3178982824915437E-2</v>
      </c>
      <c r="B597" s="242">
        <v>4.3415907423586777E-4</v>
      </c>
    </row>
    <row r="598" spans="1:2" x14ac:dyDescent="0.25">
      <c r="A598" s="8">
        <v>1.3163406884094377E-2</v>
      </c>
      <c r="B598" s="242">
        <v>3.3113590884669406E-4</v>
      </c>
    </row>
    <row r="599" spans="1:2" x14ac:dyDescent="0.25">
      <c r="A599" s="8">
        <v>1.3163271493922823E-2</v>
      </c>
      <c r="B599" s="242">
        <v>3.3543454401060925E-4</v>
      </c>
    </row>
    <row r="600" spans="1:2" x14ac:dyDescent="0.25">
      <c r="A600" s="8">
        <v>1.3163613717942247E-2</v>
      </c>
      <c r="B600" s="242">
        <v>3.2678271686427358E-4</v>
      </c>
    </row>
    <row r="601" spans="1:2" x14ac:dyDescent="0.25">
      <c r="A601" s="8">
        <v>1.3163560759381665E-2</v>
      </c>
      <c r="B601" s="242">
        <v>3.2776803054747474E-4</v>
      </c>
    </row>
    <row r="602" spans="1:2" x14ac:dyDescent="0.25">
      <c r="A602" s="8">
        <v>1.3171031071672194E-2</v>
      </c>
      <c r="B602" s="242">
        <v>4.0685214987616804E-4</v>
      </c>
    </row>
    <row r="603" spans="1:2" x14ac:dyDescent="0.25">
      <c r="A603" s="8">
        <v>1.3163819978085944E-2</v>
      </c>
      <c r="B603" s="242">
        <v>3.2344273438011229E-4</v>
      </c>
    </row>
    <row r="604" spans="1:2" x14ac:dyDescent="0.25">
      <c r="A604" s="8">
        <v>1.3163420723156806E-2</v>
      </c>
      <c r="B604" s="242">
        <v>3.307907368230729E-4</v>
      </c>
    </row>
    <row r="605" spans="1:2" x14ac:dyDescent="0.25">
      <c r="A605" s="8">
        <v>1.3164119579767946E-2</v>
      </c>
      <c r="B605" s="242">
        <v>3.194640905236271E-4</v>
      </c>
    </row>
    <row r="606" spans="1:2" x14ac:dyDescent="0.25">
      <c r="A606" s="8">
        <v>1.3188250449484063E-2</v>
      </c>
      <c r="B606" s="242">
        <v>4.5817582844088941E-4</v>
      </c>
    </row>
    <row r="607" spans="1:2" x14ac:dyDescent="0.25">
      <c r="A607" s="8">
        <v>1.3167332632542082E-2</v>
      </c>
      <c r="B607" s="242">
        <v>3.8906010675451212E-4</v>
      </c>
    </row>
    <row r="608" spans="1:2" x14ac:dyDescent="0.25">
      <c r="A608" s="8">
        <v>1.3163266053753815E-2</v>
      </c>
      <c r="B608" s="242">
        <v>3.4791279054020402E-4</v>
      </c>
    </row>
    <row r="609" spans="1:2" x14ac:dyDescent="0.25">
      <c r="A609" s="8">
        <v>1.3167360438278387E-2</v>
      </c>
      <c r="B609" s="242">
        <v>3.8921875780773143E-4</v>
      </c>
    </row>
    <row r="610" spans="1:2" x14ac:dyDescent="0.25">
      <c r="A610" s="8">
        <v>1.3195805998887205E-2</v>
      </c>
      <c r="B610" s="242">
        <v>4.7458937452998735E-4</v>
      </c>
    </row>
    <row r="611" spans="1:2" x14ac:dyDescent="0.25">
      <c r="A611" s="8">
        <v>1.316321147280331E-2</v>
      </c>
      <c r="B611" s="242">
        <v>3.446180763010875E-4</v>
      </c>
    </row>
    <row r="612" spans="1:2" x14ac:dyDescent="0.25">
      <c r="A612" s="8">
        <v>1.3163212569950683E-2</v>
      </c>
      <c r="B612" s="242">
        <v>3.3886179391671745E-4</v>
      </c>
    </row>
    <row r="613" spans="1:2" x14ac:dyDescent="0.25">
      <c r="A613" s="8">
        <v>1.3257274373487254E-2</v>
      </c>
      <c r="B613" s="242">
        <v>5.6761519213590814E-4</v>
      </c>
    </row>
    <row r="614" spans="1:2" x14ac:dyDescent="0.25">
      <c r="A614" s="8">
        <v>1.3812279192013662E-2</v>
      </c>
      <c r="B614" s="242">
        <v>9.4115530722008113E-4</v>
      </c>
    </row>
    <row r="615" spans="1:2" x14ac:dyDescent="0.25">
      <c r="A615" s="8">
        <v>1.3163217613406449E-2</v>
      </c>
      <c r="B615" s="242">
        <v>3.3842885019303017E-4</v>
      </c>
    </row>
    <row r="616" spans="1:2" x14ac:dyDescent="0.25">
      <c r="A616" s="8">
        <v>1.3163877788756264E-2</v>
      </c>
      <c r="B616" s="242">
        <v>3.2261066196225896E-4</v>
      </c>
    </row>
    <row r="617" spans="1:2" x14ac:dyDescent="0.25">
      <c r="A617" s="8">
        <v>1.316322695913183E-2</v>
      </c>
      <c r="B617" s="242">
        <v>3.3774730501128723E-4</v>
      </c>
    </row>
    <row r="618" spans="1:2" x14ac:dyDescent="0.25">
      <c r="A618" s="8">
        <v>1.316470785905558E-2</v>
      </c>
      <c r="B618" s="242">
        <v>3.7036219383731241E-4</v>
      </c>
    </row>
    <row r="619" spans="1:2" x14ac:dyDescent="0.25">
      <c r="A619" s="8">
        <v>1.3205456853011194E-2</v>
      </c>
      <c r="B619" s="242">
        <v>4.9299624545540328E-4</v>
      </c>
    </row>
    <row r="620" spans="1:2" x14ac:dyDescent="0.25">
      <c r="A620" s="8">
        <v>1.3163601948624686E-2</v>
      </c>
      <c r="B620" s="242">
        <v>3.565868026505311E-4</v>
      </c>
    </row>
    <row r="621" spans="1:2" x14ac:dyDescent="0.25">
      <c r="A621" s="8">
        <v>1.3164445455531672E-2</v>
      </c>
      <c r="B621" s="242">
        <v>3.1581948095553853E-4</v>
      </c>
    </row>
    <row r="622" spans="1:2" x14ac:dyDescent="0.25">
      <c r="A622" s="8">
        <v>1.3163600309809849E-2</v>
      </c>
      <c r="B622" s="242">
        <v>3.2702596308312979E-4</v>
      </c>
    </row>
    <row r="623" spans="1:2" x14ac:dyDescent="0.25">
      <c r="A623" s="8">
        <v>1.3166134213849495E-2</v>
      </c>
      <c r="B623" s="242">
        <v>3.8162664723765928E-4</v>
      </c>
    </row>
    <row r="624" spans="1:2" x14ac:dyDescent="0.25">
      <c r="A624" s="8">
        <v>1.3163710374307561E-2</v>
      </c>
      <c r="B624" s="242">
        <v>3.5844885140795882E-4</v>
      </c>
    </row>
    <row r="625" spans="1:2" x14ac:dyDescent="0.25">
      <c r="A625" s="8">
        <v>1.3163286785029369E-2</v>
      </c>
      <c r="B625" s="242">
        <v>3.4876773323290353E-4</v>
      </c>
    </row>
    <row r="626" spans="1:2" x14ac:dyDescent="0.25">
      <c r="A626" s="8">
        <v>1.3163292405193101E-2</v>
      </c>
      <c r="B626" s="242">
        <v>3.3460080795271141E-4</v>
      </c>
    </row>
    <row r="627" spans="1:2" x14ac:dyDescent="0.25">
      <c r="A627" s="8">
        <v>1.4865516844532568E-2</v>
      </c>
      <c r="B627" s="242">
        <v>1.3312059134233899E-3</v>
      </c>
    </row>
    <row r="628" spans="1:2" x14ac:dyDescent="0.25">
      <c r="A628" s="8">
        <v>1.3163238017686806E-2</v>
      </c>
      <c r="B628" s="242">
        <v>3.3706616608808666E-4</v>
      </c>
    </row>
    <row r="629" spans="1:2" x14ac:dyDescent="0.25">
      <c r="A629" s="8">
        <v>1.3164134510479764E-2</v>
      </c>
      <c r="B629" s="242">
        <v>3.1928420255609129E-4</v>
      </c>
    </row>
    <row r="630" spans="1:2" x14ac:dyDescent="0.25">
      <c r="A630" s="8">
        <v>1.3168314219222302E-2</v>
      </c>
      <c r="B630" s="242">
        <v>3.9437188942760646E-4</v>
      </c>
    </row>
    <row r="631" spans="1:2" x14ac:dyDescent="0.25">
      <c r="A631" s="8">
        <v>1.3308711014058542E-2</v>
      </c>
      <c r="B631" s="242">
        <v>6.2291777423855886E-4</v>
      </c>
    </row>
    <row r="632" spans="1:2" x14ac:dyDescent="0.25">
      <c r="A632" s="8">
        <v>1.3164693349064492E-2</v>
      </c>
      <c r="B632" s="242">
        <v>3.7022469011719104E-4</v>
      </c>
    </row>
    <row r="633" spans="1:2" x14ac:dyDescent="0.25">
      <c r="A633" s="8">
        <v>1.3163608795970951E-2</v>
      </c>
      <c r="B633" s="242">
        <v>3.2687154908461958E-4</v>
      </c>
    </row>
    <row r="634" spans="1:2" x14ac:dyDescent="0.25">
      <c r="A634" s="8">
        <v>1.3167218602547994E-2</v>
      </c>
      <c r="B634" s="242">
        <v>3.8840384233743055E-4</v>
      </c>
    </row>
    <row r="635" spans="1:2" x14ac:dyDescent="0.25">
      <c r="A635" s="8">
        <v>1.3165046034270638E-2</v>
      </c>
      <c r="B635" s="242">
        <v>3.7339795637232159E-4</v>
      </c>
    </row>
    <row r="636" spans="1:2" x14ac:dyDescent="0.25">
      <c r="A636" s="8">
        <v>1.3163519523233372E-2</v>
      </c>
      <c r="B636" s="242">
        <v>3.2858605340516198E-4</v>
      </c>
    </row>
    <row r="637" spans="1:2" x14ac:dyDescent="0.25">
      <c r="A637" s="8">
        <v>1.3164447086718501E-2</v>
      </c>
      <c r="B637" s="242">
        <v>3.6778029730414664E-4</v>
      </c>
    </row>
    <row r="638" spans="1:2" x14ac:dyDescent="0.25">
      <c r="A638" s="8">
        <v>1.3163424106168156E-2</v>
      </c>
      <c r="B638" s="242">
        <v>3.3070799313229251E-4</v>
      </c>
    </row>
    <row r="639" spans="1:2" x14ac:dyDescent="0.25">
      <c r="A639" s="8">
        <v>1.3163507219480263E-2</v>
      </c>
      <c r="B639" s="242">
        <v>3.5474268739374773E-4</v>
      </c>
    </row>
    <row r="640" spans="1:2" x14ac:dyDescent="0.25">
      <c r="A640" s="8">
        <v>1.3215523122600685E-2</v>
      </c>
      <c r="B640" s="242">
        <v>5.1007568276590308E-4</v>
      </c>
    </row>
    <row r="641" spans="1:2" x14ac:dyDescent="0.25">
      <c r="A641" s="8">
        <v>1.3174923887866369E-2</v>
      </c>
      <c r="B641" s="242">
        <v>4.2139740371043461E-4</v>
      </c>
    </row>
    <row r="642" spans="1:2" x14ac:dyDescent="0.25">
      <c r="A642" s="8">
        <v>1.3456319368111355E-2</v>
      </c>
      <c r="B642" s="242">
        <v>7.419027526421577E-4</v>
      </c>
    </row>
    <row r="643" spans="1:2" x14ac:dyDescent="0.25">
      <c r="A643" s="8">
        <v>1.3164469687163923E-2</v>
      </c>
      <c r="B643" s="242">
        <v>3.1556869579556479E-4</v>
      </c>
    </row>
    <row r="644" spans="1:2" x14ac:dyDescent="0.25">
      <c r="A644" s="8">
        <v>1.3174092441687246E-2</v>
      </c>
      <c r="B644" s="242">
        <v>4.1852232886828704E-4</v>
      </c>
    </row>
    <row r="645" spans="1:2" x14ac:dyDescent="0.25">
      <c r="A645" s="8">
        <v>1.3163201865284682E-2</v>
      </c>
      <c r="B645" s="242">
        <v>3.4011789104688799E-4</v>
      </c>
    </row>
    <row r="646" spans="1:2" x14ac:dyDescent="0.25">
      <c r="A646" s="8">
        <v>1.3171224041127432E-2</v>
      </c>
      <c r="B646" s="242">
        <v>4.0764877490953577E-4</v>
      </c>
    </row>
    <row r="647" spans="1:2" x14ac:dyDescent="0.25">
      <c r="A647" s="8">
        <v>1.3163935214796698E-2</v>
      </c>
      <c r="B647" s="242">
        <v>3.2181841156629144E-4</v>
      </c>
    </row>
    <row r="648" spans="1:2" x14ac:dyDescent="0.25">
      <c r="A648" s="8">
        <v>1.3170011800565012E-2</v>
      </c>
      <c r="B648" s="242">
        <v>4.0247129149715275E-4</v>
      </c>
    </row>
    <row r="649" spans="1:2" x14ac:dyDescent="0.25">
      <c r="A649" s="8">
        <v>1.3163701715277155E-2</v>
      </c>
      <c r="B649" s="242">
        <v>3.2527496051044984E-4</v>
      </c>
    </row>
    <row r="650" spans="1:2" x14ac:dyDescent="0.25">
      <c r="A650" s="8">
        <v>1.3214810037491899E-2</v>
      </c>
      <c r="B650" s="242">
        <v>5.0892283288273053E-4</v>
      </c>
    </row>
    <row r="651" spans="1:2" x14ac:dyDescent="0.25">
      <c r="A651" s="8">
        <v>1.3171957162687814E-2</v>
      </c>
      <c r="B651" s="242">
        <v>4.1059134254662743E-4</v>
      </c>
    </row>
    <row r="652" spans="1:2" x14ac:dyDescent="0.25">
      <c r="A652" s="8">
        <v>1.3605201718662368E-2</v>
      </c>
      <c r="B652" s="242">
        <v>8.3448949222037156E-4</v>
      </c>
    </row>
    <row r="653" spans="1:2" x14ac:dyDescent="0.25">
      <c r="A653" s="8">
        <v>1.3163621750039675E-2</v>
      </c>
      <c r="B653" s="242">
        <v>3.5694394931008088E-4</v>
      </c>
    </row>
    <row r="654" spans="1:2" x14ac:dyDescent="0.25">
      <c r="A654" s="8">
        <v>1.3164143205498071E-2</v>
      </c>
      <c r="B654" s="242">
        <v>3.6440271768226957E-4</v>
      </c>
    </row>
    <row r="655" spans="1:2" x14ac:dyDescent="0.25">
      <c r="A655" s="8">
        <v>1.3163197319234198E-2</v>
      </c>
      <c r="B655" s="242">
        <v>3.4237892873467609E-4</v>
      </c>
    </row>
    <row r="656" spans="1:2" x14ac:dyDescent="0.25">
      <c r="A656" s="8">
        <v>1.5829067470146441E-2</v>
      </c>
      <c r="B656" s="242">
        <v>1.6010551047005439E-3</v>
      </c>
    </row>
    <row r="657" spans="1:2" x14ac:dyDescent="0.25">
      <c r="A657" s="8">
        <v>1.3170077495765667E-2</v>
      </c>
      <c r="B657" s="242">
        <v>4.0276313174585559E-4</v>
      </c>
    </row>
    <row r="658" spans="1:2" x14ac:dyDescent="0.25">
      <c r="A658" s="8">
        <v>1.3264200380907597E-2</v>
      </c>
      <c r="B658" s="242">
        <v>5.7581083422258462E-4</v>
      </c>
    </row>
    <row r="659" spans="1:2" x14ac:dyDescent="0.25">
      <c r="A659" s="8">
        <v>1.3169323753605333E-2</v>
      </c>
      <c r="B659" s="242">
        <v>3.9932597405801856E-4</v>
      </c>
    </row>
    <row r="660" spans="1:2" x14ac:dyDescent="0.25">
      <c r="A660" s="8">
        <v>1.3163565088145413E-2</v>
      </c>
      <c r="B660" s="242">
        <v>3.2768490938966575E-4</v>
      </c>
    </row>
    <row r="661" spans="1:2" x14ac:dyDescent="0.25">
      <c r="A661" s="8">
        <v>1.3163209678172328E-2</v>
      </c>
      <c r="B661" s="242">
        <v>3.3914175081019532E-4</v>
      </c>
    </row>
    <row r="662" spans="1:2" x14ac:dyDescent="0.25">
      <c r="A662" s="8">
        <v>1.3164405547797299E-2</v>
      </c>
      <c r="B662" s="242">
        <v>3.1623786888772601E-4</v>
      </c>
    </row>
    <row r="663" spans="1:2" x14ac:dyDescent="0.25">
      <c r="A663" s="8">
        <v>1.3163832693959793E-2</v>
      </c>
      <c r="B663" s="242">
        <v>3.2325650960366879E-4</v>
      </c>
    </row>
    <row r="664" spans="1:2" x14ac:dyDescent="0.25">
      <c r="A664" s="8">
        <v>1.3163263902474338E-2</v>
      </c>
      <c r="B664" s="242">
        <v>3.4781713063362013E-4</v>
      </c>
    </row>
    <row r="665" spans="1:2" x14ac:dyDescent="0.25">
      <c r="A665" s="8">
        <v>1.3163197038892472E-2</v>
      </c>
      <c r="B665" s="242">
        <v>3.413512337686971E-4</v>
      </c>
    </row>
    <row r="666" spans="1:2" x14ac:dyDescent="0.25">
      <c r="A666" s="8">
        <v>1.3203488130560643E-2</v>
      </c>
      <c r="B666" s="242">
        <v>4.8942673447666541E-4</v>
      </c>
    </row>
    <row r="667" spans="1:2" x14ac:dyDescent="0.25">
      <c r="A667" s="8">
        <v>1.3164145138563812E-2</v>
      </c>
      <c r="B667" s="242">
        <v>3.19157024344564E-4</v>
      </c>
    </row>
    <row r="668" spans="1:2" x14ac:dyDescent="0.25">
      <c r="A668" s="8">
        <v>1.3170046164199653E-2</v>
      </c>
      <c r="B668" s="242">
        <v>4.0262412081353195E-4</v>
      </c>
    </row>
    <row r="669" spans="1:2" x14ac:dyDescent="0.25">
      <c r="A669" s="8">
        <v>1.3163196824251896E-2</v>
      </c>
      <c r="B669" s="242">
        <v>3.4207037263586757E-4</v>
      </c>
    </row>
    <row r="670" spans="1:2" x14ac:dyDescent="0.25">
      <c r="A670" s="8">
        <v>1.3163197460175356E-2</v>
      </c>
      <c r="B670" s="242">
        <v>3.4244049069442705E-4</v>
      </c>
    </row>
    <row r="671" spans="1:2" x14ac:dyDescent="0.25">
      <c r="A671" s="8">
        <v>1.3163591455732994E-2</v>
      </c>
      <c r="B671" s="242">
        <v>3.2718881201709903E-4</v>
      </c>
    </row>
    <row r="672" spans="1:2" x14ac:dyDescent="0.25">
      <c r="A672" s="8">
        <v>1.3163408287583823E-2</v>
      </c>
      <c r="B672" s="242">
        <v>3.3110039541757843E-4</v>
      </c>
    </row>
    <row r="673" spans="1:2" x14ac:dyDescent="0.25">
      <c r="A673" s="8">
        <v>1.3163326078176217E-2</v>
      </c>
      <c r="B673" s="242">
        <v>3.3343121148681214E-4</v>
      </c>
    </row>
    <row r="674" spans="1:2" x14ac:dyDescent="0.25">
      <c r="A674" s="8">
        <v>1.3163566883329109E-2</v>
      </c>
      <c r="B674" s="242">
        <v>3.2765058149375362E-4</v>
      </c>
    </row>
    <row r="675" spans="1:2" x14ac:dyDescent="0.25">
      <c r="A675" s="8">
        <v>1.3178531486440638E-2</v>
      </c>
      <c r="B675" s="242">
        <v>4.3282828628030112E-4</v>
      </c>
    </row>
    <row r="676" spans="1:2" x14ac:dyDescent="0.25">
      <c r="A676" s="8">
        <v>1.3163277435410504E-2</v>
      </c>
      <c r="B676" s="242">
        <v>3.4839587688338647E-4</v>
      </c>
    </row>
    <row r="677" spans="1:2" x14ac:dyDescent="0.25">
      <c r="A677" s="8">
        <v>1.3163489330544689E-2</v>
      </c>
      <c r="B677" s="242">
        <v>3.5436411448608226E-4</v>
      </c>
    </row>
    <row r="678" spans="1:2" x14ac:dyDescent="0.25">
      <c r="A678" s="8">
        <v>1.3163235067885058E-2</v>
      </c>
      <c r="B678" s="242">
        <v>3.4634493971773001E-4</v>
      </c>
    </row>
    <row r="679" spans="1:2" x14ac:dyDescent="0.25">
      <c r="A679" s="8">
        <v>1.3174382214989899E-2</v>
      </c>
      <c r="B679" s="242">
        <v>4.195363925941888E-4</v>
      </c>
    </row>
    <row r="680" spans="1:2" x14ac:dyDescent="0.25">
      <c r="A680" s="8">
        <v>1.3164939937763142E-2</v>
      </c>
      <c r="B680" s="242">
        <v>3.7247787867741053E-4</v>
      </c>
    </row>
    <row r="681" spans="1:2" x14ac:dyDescent="0.25">
      <c r="A681" s="8">
        <v>1.316765894596318E-2</v>
      </c>
      <c r="B681" s="242">
        <v>3.9088968937532376E-4</v>
      </c>
    </row>
    <row r="682" spans="1:2" x14ac:dyDescent="0.25">
      <c r="A682" s="8">
        <v>1.3164440559455219E-2</v>
      </c>
      <c r="B682" s="242">
        <v>3.1587044747035986E-4</v>
      </c>
    </row>
    <row r="683" spans="1:2" x14ac:dyDescent="0.25">
      <c r="A683" s="8">
        <v>1.316342416641997E-2</v>
      </c>
      <c r="B683" s="242">
        <v>3.528762952883327E-4</v>
      </c>
    </row>
    <row r="684" spans="1:2" x14ac:dyDescent="0.25">
      <c r="A684" s="8">
        <v>1.3163206948641414E-2</v>
      </c>
      <c r="B684" s="242">
        <v>3.4414648431981714E-4</v>
      </c>
    </row>
    <row r="685" spans="1:2" x14ac:dyDescent="0.25">
      <c r="A685" s="8">
        <v>1.3163954687470584E-2</v>
      </c>
      <c r="B685" s="242">
        <v>3.6202601351737596E-4</v>
      </c>
    </row>
    <row r="686" spans="1:2" x14ac:dyDescent="0.25">
      <c r="A686" s="8">
        <v>1.5556607147603334E-2</v>
      </c>
      <c r="B686" s="242">
        <v>1.5293509577782322E-3</v>
      </c>
    </row>
    <row r="687" spans="1:2" x14ac:dyDescent="0.25">
      <c r="A687" s="8">
        <v>1.3166255511942978E-2</v>
      </c>
      <c r="B687" s="242">
        <v>3.824408696897872E-4</v>
      </c>
    </row>
    <row r="688" spans="1:2" x14ac:dyDescent="0.25">
      <c r="A688" s="8">
        <v>1.3260385106504917E-2</v>
      </c>
      <c r="B688" s="242">
        <v>5.713318379069565E-4</v>
      </c>
    </row>
    <row r="689" spans="1:2" x14ac:dyDescent="0.25">
      <c r="A689" s="8">
        <v>1.3163249572943654E-2</v>
      </c>
      <c r="B689" s="242">
        <v>3.3644637793250702E-4</v>
      </c>
    </row>
    <row r="690" spans="1:2" x14ac:dyDescent="0.25">
      <c r="A690" s="8">
        <v>1.3236665268376392E-2</v>
      </c>
      <c r="B690" s="242">
        <v>5.4127526094806429E-4</v>
      </c>
    </row>
    <row r="691" spans="1:2" x14ac:dyDescent="0.25">
      <c r="A691" s="8">
        <v>1.3199009191904422E-2</v>
      </c>
      <c r="B691" s="242">
        <v>4.8096740439043515E-4</v>
      </c>
    </row>
    <row r="692" spans="1:2" x14ac:dyDescent="0.25">
      <c r="A692" s="8">
        <v>1.3166358518937504E-2</v>
      </c>
      <c r="B692" s="242">
        <v>3.8311972419779181E-4</v>
      </c>
    </row>
    <row r="693" spans="1:2" x14ac:dyDescent="0.25">
      <c r="A693" s="8">
        <v>1.34005195331577E-2</v>
      </c>
      <c r="B693" s="242">
        <v>7.0143329433338395E-4</v>
      </c>
    </row>
    <row r="694" spans="1:2" x14ac:dyDescent="0.25">
      <c r="A694" s="8">
        <v>1.3163200205490338E-2</v>
      </c>
      <c r="B694" s="242">
        <v>3.4041150056905766E-4</v>
      </c>
    </row>
    <row r="695" spans="1:2" x14ac:dyDescent="0.25">
      <c r="A695" s="8">
        <v>1.3163369611959071E-2</v>
      </c>
      <c r="B695" s="242">
        <v>3.3212666103393389E-4</v>
      </c>
    </row>
    <row r="696" spans="1:2" x14ac:dyDescent="0.25">
      <c r="A696" s="8">
        <v>1.316438617324365E-2</v>
      </c>
      <c r="B696" s="242">
        <v>3.6713934136532598E-4</v>
      </c>
    </row>
    <row r="697" spans="1:2" x14ac:dyDescent="0.25">
      <c r="A697" s="8">
        <v>1.3164807959472034E-2</v>
      </c>
      <c r="B697" s="242">
        <v>3.7129334193301329E-4</v>
      </c>
    </row>
    <row r="698" spans="1:2" x14ac:dyDescent="0.25">
      <c r="A698" s="8">
        <v>1.3168622221180135E-2</v>
      </c>
      <c r="B698" s="242">
        <v>3.9593138166708127E-4</v>
      </c>
    </row>
    <row r="699" spans="1:2" x14ac:dyDescent="0.25">
      <c r="A699" s="8">
        <v>1.3163364939244592E-2</v>
      </c>
      <c r="B699" s="242">
        <v>3.3225812953598517E-4</v>
      </c>
    </row>
    <row r="700" spans="1:2" x14ac:dyDescent="0.25">
      <c r="A700" s="8">
        <v>1.3191879107854639E-2</v>
      </c>
      <c r="B700" s="242">
        <v>4.6632776687333978E-4</v>
      </c>
    </row>
    <row r="701" spans="1:2" x14ac:dyDescent="0.25">
      <c r="A701" s="8">
        <v>1.4449633740188211E-2</v>
      </c>
      <c r="B701" s="242">
        <v>1.1954924341213836E-3</v>
      </c>
    </row>
    <row r="702" spans="1:2" x14ac:dyDescent="0.25">
      <c r="A702" s="8">
        <v>1.3164077599910444E-2</v>
      </c>
      <c r="B702" s="242">
        <v>3.1997781814783126E-4</v>
      </c>
    </row>
    <row r="703" spans="1:2" x14ac:dyDescent="0.25">
      <c r="A703" s="8">
        <v>1.4494259542535309E-2</v>
      </c>
      <c r="B703" s="242">
        <v>1.2108748368881055E-3</v>
      </c>
    </row>
    <row r="704" spans="1:2" x14ac:dyDescent="0.25">
      <c r="A704" s="8">
        <v>1.3164048363815605E-2</v>
      </c>
      <c r="B704" s="242">
        <v>3.6323995969521128E-4</v>
      </c>
    </row>
    <row r="705" spans="1:2" x14ac:dyDescent="0.25">
      <c r="A705" s="8">
        <v>1.3163488985741207E-2</v>
      </c>
      <c r="B705" s="242">
        <v>3.2922611476376995E-4</v>
      </c>
    </row>
    <row r="706" spans="1:2" x14ac:dyDescent="0.25">
      <c r="A706" s="8">
        <v>1.3163547510109317E-2</v>
      </c>
      <c r="B706" s="242">
        <v>3.2802556233939566E-4</v>
      </c>
    </row>
    <row r="707" spans="1:2" x14ac:dyDescent="0.25">
      <c r="A707" s="8">
        <v>1.3163811732603982E-2</v>
      </c>
      <c r="B707" s="242">
        <v>3.2356450675148716E-4</v>
      </c>
    </row>
    <row r="708" spans="1:2" x14ac:dyDescent="0.25">
      <c r="A708" s="8">
        <v>1.3193337999988886E-2</v>
      </c>
      <c r="B708" s="242">
        <v>4.694592044633759E-4</v>
      </c>
    </row>
    <row r="709" spans="1:2" x14ac:dyDescent="0.25">
      <c r="A709" s="8">
        <v>1.3163902838163653E-2</v>
      </c>
      <c r="B709" s="242">
        <v>3.6132169212957539E-4</v>
      </c>
    </row>
    <row r="710" spans="1:2" x14ac:dyDescent="0.25">
      <c r="A710" s="8">
        <v>1.3164001226479437E-2</v>
      </c>
      <c r="B710" s="242">
        <v>3.2094487375696932E-4</v>
      </c>
    </row>
    <row r="711" spans="1:2" x14ac:dyDescent="0.25">
      <c r="A711" s="8">
        <v>1.3163835460126609E-2</v>
      </c>
      <c r="B711" s="242">
        <v>3.2321624613497766E-4</v>
      </c>
    </row>
    <row r="712" spans="1:2" x14ac:dyDescent="0.25">
      <c r="A712" s="8">
        <v>1.31650916529799E-2</v>
      </c>
      <c r="B712" s="242">
        <v>3.7378543454904157E-4</v>
      </c>
    </row>
    <row r="713" spans="1:2" x14ac:dyDescent="0.25">
      <c r="A713" s="8">
        <v>1.3163990939069866E-2</v>
      </c>
      <c r="B713" s="242">
        <v>3.6250423561805034E-4</v>
      </c>
    </row>
    <row r="714" spans="1:2" x14ac:dyDescent="0.25">
      <c r="A714" s="8">
        <v>1.3167759385337683E-2</v>
      </c>
      <c r="B714" s="242">
        <v>3.9143927606548221E-4</v>
      </c>
    </row>
    <row r="715" spans="1:2" x14ac:dyDescent="0.25">
      <c r="A715" s="8">
        <v>1.3180474195488644E-2</v>
      </c>
      <c r="B715" s="242">
        <v>4.3842650056261009E-4</v>
      </c>
    </row>
    <row r="716" spans="1:2" x14ac:dyDescent="0.25">
      <c r="A716" s="8">
        <v>1.3163748418874435E-2</v>
      </c>
      <c r="B716" s="242">
        <v>3.2452814170309363E-4</v>
      </c>
    </row>
    <row r="717" spans="1:2" x14ac:dyDescent="0.25">
      <c r="A717" s="8">
        <v>1.3163296677991069E-2</v>
      </c>
      <c r="B717" s="242">
        <v>3.4914074153291733E-4</v>
      </c>
    </row>
    <row r="718" spans="1:2" x14ac:dyDescent="0.25">
      <c r="A718" s="8">
        <v>1.3163321172655814E-2</v>
      </c>
      <c r="B718" s="242">
        <v>3.4999160809809262E-4</v>
      </c>
    </row>
    <row r="719" spans="1:2" x14ac:dyDescent="0.25">
      <c r="A719" s="8">
        <v>1.316320905475447E-2</v>
      </c>
      <c r="B719" s="242">
        <v>3.3920607388981114E-4</v>
      </c>
    </row>
    <row r="720" spans="1:2" x14ac:dyDescent="0.25">
      <c r="A720" s="8">
        <v>1.3449699751985796E-2</v>
      </c>
      <c r="B720" s="242">
        <v>7.373098913056673E-4</v>
      </c>
    </row>
    <row r="721" spans="1:2" x14ac:dyDescent="0.25">
      <c r="A721" s="8">
        <v>1.3163396064172632E-2</v>
      </c>
      <c r="B721" s="242">
        <v>3.314137715564031E-4</v>
      </c>
    </row>
    <row r="722" spans="1:2" x14ac:dyDescent="0.25">
      <c r="A722" s="8">
        <v>1.3178545961478171E-2</v>
      </c>
      <c r="B722" s="242">
        <v>4.3287126754943219E-4</v>
      </c>
    </row>
    <row r="723" spans="1:2" x14ac:dyDescent="0.25">
      <c r="A723" s="8">
        <v>1.3897126125365412E-2</v>
      </c>
      <c r="B723" s="242">
        <v>9.801279578660043E-4</v>
      </c>
    </row>
    <row r="724" spans="1:2" x14ac:dyDescent="0.25">
      <c r="A724" s="8">
        <v>1.3175377271228292E-2</v>
      </c>
      <c r="B724" s="242">
        <v>4.2292232590162101E-4</v>
      </c>
    </row>
    <row r="725" spans="1:2" x14ac:dyDescent="0.25">
      <c r="A725" s="8">
        <v>1.3164392931261499E-2</v>
      </c>
      <c r="B725" s="242">
        <v>3.1637157149270551E-4</v>
      </c>
    </row>
    <row r="726" spans="1:2" x14ac:dyDescent="0.25">
      <c r="A726" s="8">
        <v>1.3169321877457915E-2</v>
      </c>
      <c r="B726" s="242">
        <v>3.9931716261633473E-4</v>
      </c>
    </row>
    <row r="727" spans="1:2" x14ac:dyDescent="0.25">
      <c r="A727" s="8">
        <v>1.3163237850622161E-2</v>
      </c>
      <c r="B727" s="242">
        <v>3.3707572425548717E-4</v>
      </c>
    </row>
    <row r="728" spans="1:2" x14ac:dyDescent="0.25">
      <c r="A728" s="8">
        <v>1.3166931926557223E-2</v>
      </c>
      <c r="B728" s="242">
        <v>3.8671166227701153E-4</v>
      </c>
    </row>
    <row r="729" spans="1:2" x14ac:dyDescent="0.25">
      <c r="A729" s="8">
        <v>1.3166611956491927E-2</v>
      </c>
      <c r="B729" s="242">
        <v>3.847443449463818E-4</v>
      </c>
    </row>
    <row r="730" spans="1:2" x14ac:dyDescent="0.25">
      <c r="A730" s="8">
        <v>1.3169333093784487E-2</v>
      </c>
      <c r="B730" s="242">
        <v>3.9936982073556735E-4</v>
      </c>
    </row>
    <row r="731" spans="1:2" x14ac:dyDescent="0.25">
      <c r="A731" s="8">
        <v>1.3191196722655089E-2</v>
      </c>
      <c r="B731" s="242">
        <v>4.6483583071880796E-4</v>
      </c>
    </row>
    <row r="732" spans="1:2" x14ac:dyDescent="0.25">
      <c r="A732" s="8">
        <v>1.3192196841842595E-2</v>
      </c>
      <c r="B732" s="242">
        <v>4.6701640721149131E-4</v>
      </c>
    </row>
    <row r="733" spans="1:2" x14ac:dyDescent="0.25">
      <c r="A733" s="8">
        <v>1.3164750712671241E-2</v>
      </c>
      <c r="B733" s="242">
        <v>3.7076448689782999E-4</v>
      </c>
    </row>
    <row r="734" spans="1:2" x14ac:dyDescent="0.25">
      <c r="A734" s="8">
        <v>1.3163201470731873E-2</v>
      </c>
      <c r="B734" s="242">
        <v>3.4018282264789551E-4</v>
      </c>
    </row>
    <row r="735" spans="1:2" x14ac:dyDescent="0.25">
      <c r="A735" s="8">
        <v>1.3182421232370643E-2</v>
      </c>
      <c r="B735" s="242">
        <v>4.4372994302019803E-4</v>
      </c>
    </row>
    <row r="736" spans="1:2" x14ac:dyDescent="0.25">
      <c r="A736" s="8">
        <v>1.3163323425244112E-2</v>
      </c>
      <c r="B736" s="242">
        <v>3.335173565866739E-4</v>
      </c>
    </row>
    <row r="737" spans="1:2" x14ac:dyDescent="0.25">
      <c r="A737" s="8">
        <v>1.3163200874556061E-2</v>
      </c>
      <c r="B737" s="242">
        <v>3.4329658039992001E-4</v>
      </c>
    </row>
    <row r="738" spans="1:2" x14ac:dyDescent="0.25">
      <c r="A738" s="8">
        <v>1.3163196680581416E-2</v>
      </c>
      <c r="B738" s="242">
        <v>3.4180618824348406E-4</v>
      </c>
    </row>
    <row r="739" spans="1:2" x14ac:dyDescent="0.25">
      <c r="A739" s="8">
        <v>1.3533208363262304E-2</v>
      </c>
      <c r="B739" s="242">
        <v>7.9197553699635601E-4</v>
      </c>
    </row>
    <row r="740" spans="1:2" x14ac:dyDescent="0.25">
      <c r="A740" s="8">
        <v>1.4407028804008194E-2</v>
      </c>
      <c r="B740" s="242">
        <v>1.1805888794464048E-3</v>
      </c>
    </row>
    <row r="741" spans="1:2" x14ac:dyDescent="0.25">
      <c r="A741" s="8">
        <v>1.3236694124400171E-2</v>
      </c>
      <c r="B741" s="242">
        <v>5.413145414640035E-4</v>
      </c>
    </row>
    <row r="742" spans="1:2" x14ac:dyDescent="0.25">
      <c r="A742" s="8">
        <v>1.3181208336383062E-2</v>
      </c>
      <c r="B742" s="242">
        <v>4.4045958387905337E-4</v>
      </c>
    </row>
    <row r="743" spans="1:2" x14ac:dyDescent="0.25">
      <c r="A743" s="8">
        <v>1.3165453858313048E-2</v>
      </c>
      <c r="B743" s="242">
        <v>3.7670972573953989E-4</v>
      </c>
    </row>
    <row r="744" spans="1:2" x14ac:dyDescent="0.25">
      <c r="A744" s="8">
        <v>1.3163205821518351E-2</v>
      </c>
      <c r="B744" s="242">
        <v>3.4401347531880764E-4</v>
      </c>
    </row>
    <row r="745" spans="1:2" x14ac:dyDescent="0.25">
      <c r="A745" s="8">
        <v>1.3173522656116892E-2</v>
      </c>
      <c r="B745" s="242">
        <v>4.1648828982463794E-4</v>
      </c>
    </row>
    <row r="746" spans="1:2" x14ac:dyDescent="0.25">
      <c r="A746" s="8">
        <v>1.3163868716149189E-2</v>
      </c>
      <c r="B746" s="242">
        <v>3.2273884068532716E-4</v>
      </c>
    </row>
    <row r="747" spans="1:2" x14ac:dyDescent="0.25">
      <c r="A747" s="8">
        <v>1.3164128541808722E-2</v>
      </c>
      <c r="B747" s="242">
        <v>3.1935594118222076E-4</v>
      </c>
    </row>
    <row r="748" spans="1:2" x14ac:dyDescent="0.25">
      <c r="A748" s="8">
        <v>1.3163377702228638E-2</v>
      </c>
      <c r="B748" s="242">
        <v>3.5167964986894325E-4</v>
      </c>
    </row>
    <row r="749" spans="1:2" x14ac:dyDescent="0.25">
      <c r="A749" s="8">
        <v>1.3165855896714989E-2</v>
      </c>
      <c r="B749" s="242">
        <v>3.7969239853351922E-4</v>
      </c>
    </row>
    <row r="750" spans="1:2" x14ac:dyDescent="0.25">
      <c r="A750" s="8">
        <v>8.228061416903408E-2</v>
      </c>
      <c r="B750" s="242">
        <v>1.1975647976370863E-2</v>
      </c>
    </row>
    <row r="751" spans="1:2" x14ac:dyDescent="0.25">
      <c r="A751" s="8">
        <v>1.3180101565811885E-2</v>
      </c>
      <c r="B751" s="242">
        <v>4.3737806449522371E-4</v>
      </c>
    </row>
    <row r="752" spans="1:2" x14ac:dyDescent="0.25">
      <c r="A752" s="8">
        <v>1.322556751712466E-2</v>
      </c>
      <c r="B752" s="242">
        <v>5.2555369418590949E-4</v>
      </c>
    </row>
    <row r="753" spans="1:2" x14ac:dyDescent="0.25">
      <c r="A753" s="8">
        <v>1.3163233558275582E-2</v>
      </c>
      <c r="B753" s="242">
        <v>3.3732831328113781E-4</v>
      </c>
    </row>
    <row r="754" spans="1:2" x14ac:dyDescent="0.25">
      <c r="A754" s="8">
        <v>1.3164478926291115E-2</v>
      </c>
      <c r="B754" s="242">
        <v>3.1547370466436595E-4</v>
      </c>
    </row>
    <row r="755" spans="1:2" x14ac:dyDescent="0.25">
      <c r="A755" s="8">
        <v>1.3170681144634176E-2</v>
      </c>
      <c r="B755" s="242">
        <v>4.0538214467848163E-4</v>
      </c>
    </row>
    <row r="756" spans="1:2" x14ac:dyDescent="0.25">
      <c r="A756" s="8">
        <v>1.3182629673066531E-2</v>
      </c>
      <c r="B756" s="242">
        <v>4.4428148882523629E-4</v>
      </c>
    </row>
    <row r="757" spans="1:2" x14ac:dyDescent="0.25">
      <c r="A757" s="8">
        <v>1.3164045965682551E-2</v>
      </c>
      <c r="B757" s="242">
        <v>3.2037307984876057E-4</v>
      </c>
    </row>
    <row r="758" spans="1:2" x14ac:dyDescent="0.25">
      <c r="A758" s="8">
        <v>1.3276496751995739E-2</v>
      </c>
      <c r="B758" s="242">
        <v>5.8970444865110013E-4</v>
      </c>
    </row>
    <row r="759" spans="1:2" x14ac:dyDescent="0.25">
      <c r="A759" s="8">
        <v>1.3163225849179087E-2</v>
      </c>
      <c r="B759" s="242">
        <v>3.4576069968493149E-4</v>
      </c>
    </row>
    <row r="760" spans="1:2" x14ac:dyDescent="0.25">
      <c r="A760" s="8">
        <v>1.3163197053858622E-2</v>
      </c>
      <c r="B760" s="242">
        <v>3.4134214519035406E-4</v>
      </c>
    </row>
    <row r="761" spans="1:2" x14ac:dyDescent="0.25">
      <c r="A761" s="8">
        <v>1.3163197898666025E-2</v>
      </c>
      <c r="B761" s="242">
        <v>3.4098014551714234E-4</v>
      </c>
    </row>
    <row r="762" spans="1:2" x14ac:dyDescent="0.25">
      <c r="A762" s="8">
        <v>1.3163344765680074E-2</v>
      </c>
      <c r="B762" s="242">
        <v>3.3284787447180225E-4</v>
      </c>
    </row>
    <row r="763" spans="1:2" x14ac:dyDescent="0.25">
      <c r="A763" s="8">
        <v>1.3163925635079163E-2</v>
      </c>
      <c r="B763" s="242">
        <v>3.2194837537234791E-4</v>
      </c>
    </row>
    <row r="764" spans="1:2" x14ac:dyDescent="0.25">
      <c r="A764" s="8">
        <v>1.3389430958204785E-2</v>
      </c>
      <c r="B764" s="242">
        <v>6.9285761516432482E-4</v>
      </c>
    </row>
    <row r="765" spans="1:2" x14ac:dyDescent="0.25">
      <c r="A765" s="8">
        <v>1.316560172117939E-2</v>
      </c>
      <c r="B765" s="242">
        <v>3.7783539763913053E-4</v>
      </c>
    </row>
    <row r="766" spans="1:2" x14ac:dyDescent="0.25">
      <c r="A766" s="8">
        <v>1.3163812670913287E-2</v>
      </c>
      <c r="B766" s="242">
        <v>3.2355060846055302E-4</v>
      </c>
    </row>
    <row r="767" spans="1:2" x14ac:dyDescent="0.25">
      <c r="A767" s="8">
        <v>1.3176586713612486E-2</v>
      </c>
      <c r="B767" s="242">
        <v>4.2685681993371639E-4</v>
      </c>
    </row>
    <row r="768" spans="1:2" x14ac:dyDescent="0.25">
      <c r="A768" s="8">
        <v>1.3163303454267227E-2</v>
      </c>
      <c r="B768" s="242">
        <v>3.3419714825376077E-4</v>
      </c>
    </row>
    <row r="769" spans="1:2" x14ac:dyDescent="0.25">
      <c r="A769" s="8">
        <v>1.3165540646797626E-2</v>
      </c>
      <c r="B769" s="242">
        <v>3.7737475713024016E-4</v>
      </c>
    </row>
    <row r="770" spans="1:2" x14ac:dyDescent="0.25">
      <c r="A770" s="8">
        <v>1.3163860507027406E-2</v>
      </c>
      <c r="B770" s="242">
        <v>3.2285556762437381E-4</v>
      </c>
    </row>
    <row r="771" spans="1:2" x14ac:dyDescent="0.25">
      <c r="A771" s="8">
        <v>1.3164526934535237E-2</v>
      </c>
      <c r="B771" s="242">
        <v>3.6859729012370693E-4</v>
      </c>
    </row>
    <row r="772" spans="1:2" x14ac:dyDescent="0.25">
      <c r="A772" s="8">
        <v>1.3163866994323311E-2</v>
      </c>
      <c r="B772" s="242">
        <v>3.2276326429085076E-4</v>
      </c>
    </row>
    <row r="773" spans="1:2" x14ac:dyDescent="0.25">
      <c r="A773" s="8">
        <v>1.3189624207525674E-2</v>
      </c>
      <c r="B773" s="242">
        <v>4.6132718159801065E-4</v>
      </c>
    </row>
    <row r="774" spans="1:2" x14ac:dyDescent="0.25">
      <c r="A774" s="8">
        <v>1.3163461833771491E-2</v>
      </c>
      <c r="B774" s="242">
        <v>3.2982393052667414E-4</v>
      </c>
    </row>
    <row r="775" spans="1:2" x14ac:dyDescent="0.25">
      <c r="A775" s="8">
        <v>1.3164132856607516E-2</v>
      </c>
      <c r="B775" s="242">
        <v>3.193040578522252E-4</v>
      </c>
    </row>
    <row r="776" spans="1:2" x14ac:dyDescent="0.25">
      <c r="A776" s="8">
        <v>1.3190054647834591E-2</v>
      </c>
      <c r="B776" s="242">
        <v>4.6229770768479149E-4</v>
      </c>
    </row>
    <row r="777" spans="1:2" x14ac:dyDescent="0.25">
      <c r="A777" s="8">
        <v>1.31644830743945E-2</v>
      </c>
      <c r="B777" s="242">
        <v>3.1543116768985096E-4</v>
      </c>
    </row>
    <row r="778" spans="1:2" x14ac:dyDescent="0.25">
      <c r="A778" s="8">
        <v>1.3164414442134106E-2</v>
      </c>
      <c r="B778" s="242">
        <v>3.1614403076053428E-4</v>
      </c>
    </row>
    <row r="779" spans="1:2" x14ac:dyDescent="0.25">
      <c r="A779" s="8">
        <v>1.3164015388565571E-2</v>
      </c>
      <c r="B779" s="242">
        <v>3.2076219213189567E-4</v>
      </c>
    </row>
    <row r="780" spans="1:2" x14ac:dyDescent="0.25">
      <c r="A780" s="8">
        <v>1.3163399156377029E-2</v>
      </c>
      <c r="B780" s="242">
        <v>3.5224921209666153E-4</v>
      </c>
    </row>
    <row r="781" spans="1:2" x14ac:dyDescent="0.25">
      <c r="A781" s="8">
        <v>1.3163243540455368E-2</v>
      </c>
      <c r="B781" s="242">
        <v>3.3676040725388E-4</v>
      </c>
    </row>
    <row r="782" spans="1:2" x14ac:dyDescent="0.25">
      <c r="A782" s="8">
        <v>1.3164080172873217E-2</v>
      </c>
      <c r="B782" s="242">
        <v>3.6363683626465347E-4</v>
      </c>
    </row>
    <row r="783" spans="1:2" x14ac:dyDescent="0.25">
      <c r="A783" s="8">
        <v>1.323257567661046E-2</v>
      </c>
      <c r="B783" s="242">
        <v>5.3562867004415386E-4</v>
      </c>
    </row>
    <row r="784" spans="1:2" x14ac:dyDescent="0.25">
      <c r="A784" s="8">
        <v>1.3163230245914931E-2</v>
      </c>
      <c r="B784" s="242">
        <v>3.3753346439063407E-4</v>
      </c>
    </row>
    <row r="785" spans="1:2" x14ac:dyDescent="0.25">
      <c r="A785" s="8">
        <v>1.3163198847702116E-2</v>
      </c>
      <c r="B785" s="242">
        <v>3.4070939380786134E-4</v>
      </c>
    </row>
    <row r="786" spans="1:2" x14ac:dyDescent="0.25">
      <c r="A786" s="8">
        <v>1.3163942163661835E-2</v>
      </c>
      <c r="B786" s="242">
        <v>3.217246660322541E-4</v>
      </c>
    </row>
    <row r="787" spans="1:2" x14ac:dyDescent="0.25">
      <c r="A787" s="8">
        <v>1.3166739394612529E-2</v>
      </c>
      <c r="B787" s="242">
        <v>3.8553848750303712E-4</v>
      </c>
    </row>
    <row r="788" spans="1:2" x14ac:dyDescent="0.25">
      <c r="A788" s="8">
        <v>1.4033311099076356E-2</v>
      </c>
      <c r="B788" s="242">
        <v>1.0385796647550145E-3</v>
      </c>
    </row>
    <row r="789" spans="1:2" x14ac:dyDescent="0.25">
      <c r="A789" s="8">
        <v>1.316351438203768E-2</v>
      </c>
      <c r="B789" s="242">
        <v>3.548911976694273E-4</v>
      </c>
    </row>
    <row r="790" spans="1:2" x14ac:dyDescent="0.25">
      <c r="A790" s="8">
        <v>1.3983617201723031E-2</v>
      </c>
      <c r="B790" s="242">
        <v>1.0177712723395738E-3</v>
      </c>
    </row>
    <row r="791" spans="1:2" x14ac:dyDescent="0.25">
      <c r="A791" s="8">
        <v>1.3166378570988712E-2</v>
      </c>
      <c r="B791" s="242">
        <v>3.8325058279073182E-4</v>
      </c>
    </row>
    <row r="792" spans="1:2" x14ac:dyDescent="0.25">
      <c r="A792" s="8">
        <v>1.3164170151742229E-2</v>
      </c>
      <c r="B792" s="242">
        <v>3.6472232681330141E-4</v>
      </c>
    </row>
    <row r="793" spans="1:2" x14ac:dyDescent="0.25">
      <c r="A793" s="8">
        <v>1.3172196674963386E-2</v>
      </c>
      <c r="B793" s="242">
        <v>4.1152581549559319E-4</v>
      </c>
    </row>
    <row r="794" spans="1:2" x14ac:dyDescent="0.25">
      <c r="A794" s="8">
        <v>1.3164425478650666E-2</v>
      </c>
      <c r="B794" s="242">
        <v>3.1602806703169355E-4</v>
      </c>
    </row>
    <row r="795" spans="1:2" x14ac:dyDescent="0.25">
      <c r="A795" s="8">
        <v>2.4420666717984745E-2</v>
      </c>
      <c r="B795" s="242">
        <v>3.2880928525170416E-3</v>
      </c>
    </row>
    <row r="796" spans="1:2" x14ac:dyDescent="0.25">
      <c r="A796" s="8">
        <v>1.3163241905390234E-2</v>
      </c>
      <c r="B796" s="242">
        <v>3.368489584561287E-4</v>
      </c>
    </row>
    <row r="797" spans="1:2" x14ac:dyDescent="0.25">
      <c r="A797" s="8">
        <v>1.3163199483546653E-2</v>
      </c>
      <c r="B797" s="242">
        <v>3.4056088089249681E-4</v>
      </c>
    </row>
    <row r="798" spans="1:2" x14ac:dyDescent="0.25">
      <c r="A798" s="8">
        <v>1.3163343915138553E-2</v>
      </c>
      <c r="B798" s="242">
        <v>3.5070922476814994E-4</v>
      </c>
    </row>
    <row r="799" spans="1:2" x14ac:dyDescent="0.25">
      <c r="A799" s="8">
        <v>1.5977376042405109E-2</v>
      </c>
      <c r="B799" s="242">
        <v>1.6389139213528014E-3</v>
      </c>
    </row>
    <row r="800" spans="1:2" x14ac:dyDescent="0.25">
      <c r="A800" s="8">
        <v>1.3163414567092699E-2</v>
      </c>
      <c r="B800" s="242">
        <v>3.3094292439850433E-4</v>
      </c>
    </row>
    <row r="801" spans="1:2" x14ac:dyDescent="0.25">
      <c r="A801" s="8">
        <v>1.3170472835425221E-2</v>
      </c>
      <c r="B801" s="242">
        <v>4.0449071662216777E-4</v>
      </c>
    </row>
    <row r="802" spans="1:2" x14ac:dyDescent="0.25">
      <c r="A802" s="8">
        <v>1.3164479415297921E-2</v>
      </c>
      <c r="B802" s="242">
        <v>3.1546868654134239E-4</v>
      </c>
    </row>
    <row r="803" spans="1:2" x14ac:dyDescent="0.25">
      <c r="A803" s="8">
        <v>1.3173064217512192E-2</v>
      </c>
      <c r="B803" s="242">
        <v>4.1481068492130749E-4</v>
      </c>
    </row>
    <row r="804" spans="1:2" x14ac:dyDescent="0.25">
      <c r="A804" s="8">
        <v>1.3166863534519428E-2</v>
      </c>
      <c r="B804" s="242">
        <v>3.8629846162115854E-4</v>
      </c>
    </row>
    <row r="805" spans="1:2" x14ac:dyDescent="0.25">
      <c r="A805" s="8">
        <v>1.3169767194216161E-2</v>
      </c>
      <c r="B805" s="242">
        <v>4.0137211183795973E-4</v>
      </c>
    </row>
    <row r="806" spans="1:2" x14ac:dyDescent="0.25">
      <c r="A806" s="8">
        <v>1.3167452039830597E-2</v>
      </c>
      <c r="B806" s="242">
        <v>3.8973769746920633E-4</v>
      </c>
    </row>
    <row r="807" spans="1:2" x14ac:dyDescent="0.25">
      <c r="A807" s="8">
        <v>1.3184042673916574E-2</v>
      </c>
      <c r="B807" s="242">
        <v>4.4794505928033573E-4</v>
      </c>
    </row>
    <row r="808" spans="1:2" x14ac:dyDescent="0.25">
      <c r="A808" s="8">
        <v>1.3163199182452649E-2</v>
      </c>
      <c r="B808" s="242">
        <v>3.4295398077825831E-4</v>
      </c>
    </row>
    <row r="809" spans="1:2" x14ac:dyDescent="0.25">
      <c r="A809" s="8">
        <v>1.3163369265082794E-2</v>
      </c>
      <c r="B809" s="242">
        <v>3.3213635901129218E-4</v>
      </c>
    </row>
    <row r="810" spans="1:2" x14ac:dyDescent="0.25">
      <c r="A810" s="8">
        <v>1.3176579601937292E-2</v>
      </c>
      <c r="B810" s="242">
        <v>4.2683421560760101E-4</v>
      </c>
    </row>
    <row r="811" spans="1:2" x14ac:dyDescent="0.25">
      <c r="A811" s="8">
        <v>1.3163216507430216E-2</v>
      </c>
      <c r="B811" s="242">
        <v>3.4506393680858654E-4</v>
      </c>
    </row>
    <row r="812" spans="1:2" x14ac:dyDescent="0.25">
      <c r="A812" s="8">
        <v>1.3163214312278961E-2</v>
      </c>
      <c r="B812" s="242">
        <v>3.4487746714657354E-4</v>
      </c>
    </row>
    <row r="813" spans="1:2" x14ac:dyDescent="0.25">
      <c r="A813" s="8">
        <v>1.3164518820757944E-2</v>
      </c>
      <c r="B813" s="242">
        <v>3.1506740950945796E-4</v>
      </c>
    </row>
    <row r="814" spans="1:2" x14ac:dyDescent="0.25">
      <c r="A814" s="8">
        <v>1.3164269769835837E-2</v>
      </c>
      <c r="B814" s="242">
        <v>3.1771572770291175E-4</v>
      </c>
    </row>
    <row r="815" spans="1:2" x14ac:dyDescent="0.25">
      <c r="A815" s="8">
        <v>1.3180309317573963E-2</v>
      </c>
      <c r="B815" s="242">
        <v>4.3796400390517251E-4</v>
      </c>
    </row>
    <row r="816" spans="1:2" x14ac:dyDescent="0.25">
      <c r="A816" s="8">
        <v>1.3163760633397794E-2</v>
      </c>
      <c r="B816" s="242">
        <v>3.243380945168269E-4</v>
      </c>
    </row>
    <row r="817" spans="1:2" x14ac:dyDescent="0.25">
      <c r="A817" s="8">
        <v>1.3163602241098801E-2</v>
      </c>
      <c r="B817" s="242">
        <v>3.2699067980510596E-4</v>
      </c>
    </row>
    <row r="818" spans="1:2" x14ac:dyDescent="0.25">
      <c r="A818" s="8">
        <v>1.3165171227921976E-2</v>
      </c>
      <c r="B818" s="242">
        <v>3.7445033302146102E-4</v>
      </c>
    </row>
    <row r="819" spans="1:2" x14ac:dyDescent="0.25">
      <c r="A819" s="8">
        <v>1.3163212498763914E-2</v>
      </c>
      <c r="B819" s="242">
        <v>3.3886836368068147E-4</v>
      </c>
    </row>
    <row r="820" spans="1:2" x14ac:dyDescent="0.25">
      <c r="A820" s="8">
        <v>1.3163618587097164E-2</v>
      </c>
      <c r="B820" s="242">
        <v>3.5688746815968258E-4</v>
      </c>
    </row>
    <row r="821" spans="1:2" x14ac:dyDescent="0.25">
      <c r="A821" s="8">
        <v>1.3163574744304863E-2</v>
      </c>
      <c r="B821" s="242">
        <v>3.5608158708098101E-4</v>
      </c>
    </row>
    <row r="822" spans="1:2" x14ac:dyDescent="0.25">
      <c r="A822" s="8">
        <v>1.3269072594440505E-2</v>
      </c>
      <c r="B822" s="242">
        <v>5.8141075688872431E-4</v>
      </c>
    </row>
    <row r="823" spans="1:2" x14ac:dyDescent="0.25">
      <c r="A823" s="8">
        <v>1.3164429892501028E-2</v>
      </c>
      <c r="B823" s="242">
        <v>3.1598183531541526E-4</v>
      </c>
    </row>
    <row r="824" spans="1:2" x14ac:dyDescent="0.25">
      <c r="A824" s="8">
        <v>1.3212220755515397E-2</v>
      </c>
      <c r="B824" s="242">
        <v>5.0466866628193924E-4</v>
      </c>
    </row>
    <row r="825" spans="1:2" x14ac:dyDescent="0.25">
      <c r="A825" s="8">
        <v>1.316320112496434E-2</v>
      </c>
      <c r="B825" s="242">
        <v>3.4334085913974473E-4</v>
      </c>
    </row>
    <row r="826" spans="1:2" x14ac:dyDescent="0.25">
      <c r="A826" s="8">
        <v>1.3163311451753468E-2</v>
      </c>
      <c r="B826" s="242">
        <v>3.3391787320153959E-4</v>
      </c>
    </row>
    <row r="827" spans="1:2" x14ac:dyDescent="0.25">
      <c r="A827" s="8">
        <v>1.3334801683961181E-2</v>
      </c>
      <c r="B827" s="242">
        <v>6.472325811917709E-4</v>
      </c>
    </row>
    <row r="828" spans="1:2" x14ac:dyDescent="0.25">
      <c r="A828" s="8">
        <v>1.3163243608308268E-2</v>
      </c>
      <c r="B828" s="242">
        <v>3.3675676616076933E-4</v>
      </c>
    </row>
    <row r="829" spans="1:2" x14ac:dyDescent="0.25">
      <c r="A829" s="8">
        <v>1.3163485975721367E-2</v>
      </c>
      <c r="B829" s="242">
        <v>3.2929097852800752E-4</v>
      </c>
    </row>
    <row r="830" spans="1:2" x14ac:dyDescent="0.25">
      <c r="A830" s="8">
        <v>1.3163641379711561E-2</v>
      </c>
      <c r="B830" s="242">
        <v>3.2629294268941996E-4</v>
      </c>
    </row>
    <row r="831" spans="1:2" x14ac:dyDescent="0.25">
      <c r="A831" s="8">
        <v>1.3164555141254562E-2</v>
      </c>
      <c r="B831" s="242">
        <v>3.6888000987368556E-4</v>
      </c>
    </row>
    <row r="832" spans="1:2" x14ac:dyDescent="0.25">
      <c r="A832" s="8">
        <v>1.3494184182953953E-2</v>
      </c>
      <c r="B832" s="242">
        <v>7.6726303775336686E-4</v>
      </c>
    </row>
    <row r="833" spans="1:2" x14ac:dyDescent="0.25">
      <c r="A833" s="8">
        <v>1.3163564455323892E-2</v>
      </c>
      <c r="B833" s="242">
        <v>3.5588579007252147E-4</v>
      </c>
    </row>
    <row r="834" spans="1:2" x14ac:dyDescent="0.25">
      <c r="A834" s="8">
        <v>1.3163217551307452E-2</v>
      </c>
      <c r="B834" s="242">
        <v>3.4514897887930155E-4</v>
      </c>
    </row>
    <row r="835" spans="1:2" x14ac:dyDescent="0.25">
      <c r="A835" s="8">
        <v>1.3842934263821514E-2</v>
      </c>
      <c r="B835" s="242">
        <v>9.5549391269146556E-4</v>
      </c>
    </row>
    <row r="836" spans="1:2" x14ac:dyDescent="0.25">
      <c r="A836" s="8">
        <v>1.3165033481391693E-2</v>
      </c>
      <c r="B836" s="242">
        <v>3.7329049818462032E-4</v>
      </c>
    </row>
    <row r="837" spans="1:2" x14ac:dyDescent="0.25">
      <c r="A837" s="8">
        <v>1.3305686569696341E-2</v>
      </c>
      <c r="B837" s="242">
        <v>6.1996500444762444E-4</v>
      </c>
    </row>
    <row r="838" spans="1:2" x14ac:dyDescent="0.25">
      <c r="A838" s="8">
        <v>1.3246631811553946E-2</v>
      </c>
      <c r="B838" s="242">
        <v>5.544159249373904E-4</v>
      </c>
    </row>
    <row r="839" spans="1:2" x14ac:dyDescent="0.25">
      <c r="A839" s="8">
        <v>1.3170420219861392E-2</v>
      </c>
      <c r="B839" s="242">
        <v>4.0426354629557001E-4</v>
      </c>
    </row>
    <row r="840" spans="1:2" x14ac:dyDescent="0.25">
      <c r="A840" s="8">
        <v>1.3164518805167714E-2</v>
      </c>
      <c r="B840" s="242">
        <v>3.1506756707798546E-4</v>
      </c>
    </row>
    <row r="841" spans="1:2" x14ac:dyDescent="0.25">
      <c r="A841" s="8">
        <v>1.3163196725172013E-2</v>
      </c>
      <c r="B841" s="242">
        <v>3.4163551470400415E-4</v>
      </c>
    </row>
    <row r="842" spans="1:2" x14ac:dyDescent="0.25">
      <c r="A842" s="8">
        <v>1.3175417656901271E-2</v>
      </c>
      <c r="B842" s="242">
        <v>4.2305677475536961E-4</v>
      </c>
    </row>
    <row r="843" spans="1:2" x14ac:dyDescent="0.25">
      <c r="A843" s="8">
        <v>1.3164927336839249E-2</v>
      </c>
      <c r="B843" s="242">
        <v>3.7236676352500701E-4</v>
      </c>
    </row>
    <row r="844" spans="1:2" x14ac:dyDescent="0.25">
      <c r="A844" s="8">
        <v>1.3163885713925558E-2</v>
      </c>
      <c r="B844" s="242">
        <v>3.6108342918622632E-4</v>
      </c>
    </row>
    <row r="845" spans="1:2" x14ac:dyDescent="0.25">
      <c r="A845" s="8">
        <v>1.3763892903637736E-2</v>
      </c>
      <c r="B845" s="242">
        <v>9.1786534622301024E-4</v>
      </c>
    </row>
    <row r="846" spans="1:2" x14ac:dyDescent="0.25">
      <c r="A846" s="8">
        <v>1.3164057464519352E-2</v>
      </c>
      <c r="B846" s="242">
        <v>3.6335425363930599E-4</v>
      </c>
    </row>
    <row r="847" spans="1:2" x14ac:dyDescent="0.25">
      <c r="A847" s="8">
        <v>1.3164430410718781E-2</v>
      </c>
      <c r="B847" s="242">
        <v>3.6760640753431568E-4</v>
      </c>
    </row>
    <row r="848" spans="1:2" x14ac:dyDescent="0.25">
      <c r="A848" s="8">
        <v>1.3164327544807944E-2</v>
      </c>
      <c r="B848" s="242">
        <v>3.1707608156092681E-4</v>
      </c>
    </row>
    <row r="849" spans="1:2" x14ac:dyDescent="0.25">
      <c r="A849" s="8">
        <v>1.3175734699940145E-2</v>
      </c>
      <c r="B849" s="242">
        <v>4.2410463535385152E-4</v>
      </c>
    </row>
    <row r="850" spans="1:2" x14ac:dyDescent="0.25">
      <c r="A850" s="8">
        <v>1.3215491305046474E-2</v>
      </c>
      <c r="B850" s="242">
        <v>5.1002441015889034E-4</v>
      </c>
    </row>
    <row r="851" spans="1:2" x14ac:dyDescent="0.25">
      <c r="A851" s="8">
        <v>1.3163512224256184E-2</v>
      </c>
      <c r="B851" s="242">
        <v>3.5484663548460442E-4</v>
      </c>
    </row>
    <row r="852" spans="1:2" x14ac:dyDescent="0.25">
      <c r="A852" s="8">
        <v>1.3168090464881457E-2</v>
      </c>
      <c r="B852" s="242">
        <v>3.9320933466695251E-4</v>
      </c>
    </row>
    <row r="853" spans="1:2" x14ac:dyDescent="0.25">
      <c r="A853" s="8">
        <v>1.3163461933796883E-2</v>
      </c>
      <c r="B853" s="242">
        <v>3.5376114690732806E-4</v>
      </c>
    </row>
    <row r="854" spans="1:2" x14ac:dyDescent="0.25">
      <c r="A854" s="8">
        <v>1.3165529974238914E-2</v>
      </c>
      <c r="B854" s="242">
        <v>3.7729364838858117E-4</v>
      </c>
    </row>
    <row r="855" spans="1:2" x14ac:dyDescent="0.25">
      <c r="A855" s="8">
        <v>1.3178249197801495E-2</v>
      </c>
      <c r="B855" s="242">
        <v>4.319859910974956E-4</v>
      </c>
    </row>
    <row r="856" spans="1:2" x14ac:dyDescent="0.25">
      <c r="A856" s="8">
        <v>1.3686834050101866E-2</v>
      </c>
      <c r="B856" s="242">
        <v>8.7887734345091378E-4</v>
      </c>
    </row>
    <row r="857" spans="1:2" x14ac:dyDescent="0.25">
      <c r="A857" s="8">
        <v>1.3163227261641089E-2</v>
      </c>
      <c r="B857" s="242">
        <v>3.3772715338758932E-4</v>
      </c>
    </row>
    <row r="858" spans="1:2" x14ac:dyDescent="0.25">
      <c r="A858" s="8">
        <v>1.3166865868848875E-2</v>
      </c>
      <c r="B858" s="242">
        <v>3.8631262799581283E-4</v>
      </c>
    </row>
    <row r="859" spans="1:2" x14ac:dyDescent="0.25">
      <c r="A859" s="8">
        <v>1.3163289185673449E-2</v>
      </c>
      <c r="B859" s="242">
        <v>3.4886005699185426E-4</v>
      </c>
    </row>
    <row r="860" spans="1:2" x14ac:dyDescent="0.25">
      <c r="A860" s="8">
        <v>1.3164058899301063E-2</v>
      </c>
      <c r="B860" s="242">
        <v>3.2021060279496046E-4</v>
      </c>
    </row>
    <row r="861" spans="1:2" x14ac:dyDescent="0.25">
      <c r="A861" s="8">
        <v>1.3164754284534926E-2</v>
      </c>
      <c r="B861" s="242">
        <v>3.7079776631752568E-4</v>
      </c>
    </row>
    <row r="862" spans="1:2" x14ac:dyDescent="0.25">
      <c r="A862" s="8">
        <v>1.316319842050462E-2</v>
      </c>
      <c r="B862" s="242">
        <v>3.4276095358670114E-4</v>
      </c>
    </row>
    <row r="863" spans="1:2" x14ac:dyDescent="0.25">
      <c r="A863" s="8">
        <v>1.3166125490440637E-2</v>
      </c>
      <c r="B863" s="242">
        <v>3.8156744857284453E-4</v>
      </c>
    </row>
    <row r="864" spans="1:2" x14ac:dyDescent="0.25">
      <c r="A864" s="8">
        <v>1.3906560359631991E-2</v>
      </c>
      <c r="B864" s="242">
        <v>9.8432955617551443E-4</v>
      </c>
    </row>
    <row r="865" spans="1:2" x14ac:dyDescent="0.25">
      <c r="A865" s="8">
        <v>1.3335277123822591E-2</v>
      </c>
      <c r="B865" s="242">
        <v>6.4765815217445193E-4</v>
      </c>
    </row>
    <row r="866" spans="1:2" x14ac:dyDescent="0.25">
      <c r="A866" s="8">
        <v>1.324689822788427E-2</v>
      </c>
      <c r="B866" s="242">
        <v>5.5475619372005605E-4</v>
      </c>
    </row>
    <row r="867" spans="1:2" x14ac:dyDescent="0.25">
      <c r="A867" s="8">
        <v>1.3248258964651202E-2</v>
      </c>
      <c r="B867" s="242">
        <v>5.5648583058374047E-4</v>
      </c>
    </row>
    <row r="868" spans="1:2" x14ac:dyDescent="0.25">
      <c r="A868" s="8">
        <v>1.3163565531973523E-2</v>
      </c>
      <c r="B868" s="242">
        <v>3.2767641464303236E-4</v>
      </c>
    </row>
    <row r="869" spans="1:2" x14ac:dyDescent="0.25">
      <c r="A869" s="8">
        <v>1.317722990153972E-2</v>
      </c>
      <c r="B869" s="242">
        <v>4.2887697199733567E-4</v>
      </c>
    </row>
    <row r="870" spans="1:2" x14ac:dyDescent="0.25">
      <c r="A870" s="8">
        <v>1.325891480640235E-2</v>
      </c>
      <c r="B870" s="242">
        <v>5.6958259971311674E-4</v>
      </c>
    </row>
    <row r="871" spans="1:2" x14ac:dyDescent="0.25">
      <c r="A871" s="8">
        <v>1.4556770520434362E-2</v>
      </c>
      <c r="B871" s="242">
        <v>1.2320525499942689E-3</v>
      </c>
    </row>
    <row r="872" spans="1:2" x14ac:dyDescent="0.25">
      <c r="A872" s="8">
        <v>1.3163341132284524E-2</v>
      </c>
      <c r="B872" s="242">
        <v>3.3295827485302647E-4</v>
      </c>
    </row>
    <row r="873" spans="1:2" x14ac:dyDescent="0.25">
      <c r="A873" s="8">
        <v>1.31639025062469E-2</v>
      </c>
      <c r="B873" s="242">
        <v>3.2226571880435411E-4</v>
      </c>
    </row>
    <row r="874" spans="1:2" x14ac:dyDescent="0.25">
      <c r="A874" s="8">
        <v>1.3163432533909874E-2</v>
      </c>
      <c r="B874" s="242">
        <v>3.5307832046886726E-4</v>
      </c>
    </row>
    <row r="875" spans="1:2" x14ac:dyDescent="0.25">
      <c r="A875" s="8">
        <v>1.3163721955259286E-2</v>
      </c>
      <c r="B875" s="242">
        <v>3.249472453134214E-4</v>
      </c>
    </row>
    <row r="876" spans="1:2" x14ac:dyDescent="0.25">
      <c r="A876" s="8">
        <v>1.3164488873196942E-2</v>
      </c>
      <c r="B876" s="242">
        <v>3.1537181829046425E-4</v>
      </c>
    </row>
    <row r="877" spans="1:2" x14ac:dyDescent="0.25">
      <c r="A877" s="8">
        <v>1.3163388870353607E-2</v>
      </c>
      <c r="B877" s="242">
        <v>3.5198011379046251E-4</v>
      </c>
    </row>
    <row r="878" spans="1:2" x14ac:dyDescent="0.25">
      <c r="A878" s="8">
        <v>1.3674151853068786E-2</v>
      </c>
      <c r="B878" s="242">
        <v>8.7220821044644106E-4</v>
      </c>
    </row>
    <row r="879" spans="1:2" x14ac:dyDescent="0.25">
      <c r="A879" s="8">
        <v>1.3163207469166389E-2</v>
      </c>
      <c r="B879" s="242">
        <v>3.3937738262726844E-4</v>
      </c>
    </row>
    <row r="880" spans="1:2" x14ac:dyDescent="0.25">
      <c r="A880" s="8">
        <v>1.3169131192204317E-2</v>
      </c>
      <c r="B880" s="242">
        <v>3.9841445277453454E-4</v>
      </c>
    </row>
    <row r="881" spans="1:2" x14ac:dyDescent="0.25">
      <c r="A881" s="8">
        <v>1.3174868746820506E-2</v>
      </c>
      <c r="B881" s="242">
        <v>4.2120994733546341E-4</v>
      </c>
    </row>
    <row r="882" spans="1:2" x14ac:dyDescent="0.25">
      <c r="A882" s="8">
        <v>1.3163314838461559E-2</v>
      </c>
      <c r="B882" s="242">
        <v>3.3380255010521221E-4</v>
      </c>
    </row>
    <row r="883" spans="1:2" x14ac:dyDescent="0.25">
      <c r="A883" s="8">
        <v>1.3165346418214322E-2</v>
      </c>
      <c r="B883" s="242">
        <v>3.7586848064512132E-4</v>
      </c>
    </row>
    <row r="884" spans="1:2" x14ac:dyDescent="0.25">
      <c r="A884" s="8">
        <v>1.3165979342258778E-2</v>
      </c>
      <c r="B884" s="242">
        <v>3.8056222576638533E-4</v>
      </c>
    </row>
    <row r="885" spans="1:2" x14ac:dyDescent="0.25">
      <c r="A885" s="8">
        <v>1.3195306695132532E-2</v>
      </c>
      <c r="B885" s="242">
        <v>4.7356752399306122E-4</v>
      </c>
    </row>
    <row r="886" spans="1:2" x14ac:dyDescent="0.25">
      <c r="A886" s="8">
        <v>1.3164034684555733E-2</v>
      </c>
      <c r="B886" s="242">
        <v>3.2051581064394542E-4</v>
      </c>
    </row>
    <row r="887" spans="1:2" x14ac:dyDescent="0.25">
      <c r="A887" s="8">
        <v>1.3239244308217041E-2</v>
      </c>
      <c r="B887" s="242">
        <v>5.4475631277989939E-4</v>
      </c>
    </row>
    <row r="888" spans="1:2" x14ac:dyDescent="0.25">
      <c r="A888" s="8">
        <v>1.316535973587689E-2</v>
      </c>
      <c r="B888" s="242">
        <v>3.7597388032412386E-4</v>
      </c>
    </row>
    <row r="889" spans="1:2" x14ac:dyDescent="0.25">
      <c r="A889" s="8">
        <v>1.3163197520122988E-2</v>
      </c>
      <c r="B889" s="242">
        <v>3.4111784842592738E-4</v>
      </c>
    </row>
    <row r="890" spans="1:2" x14ac:dyDescent="0.25">
      <c r="A890" s="8">
        <v>1.3163279347227951E-2</v>
      </c>
      <c r="B890" s="242">
        <v>3.4847359763385844E-4</v>
      </c>
    </row>
    <row r="891" spans="1:2" x14ac:dyDescent="0.25">
      <c r="A891" s="8">
        <v>1.3163456116127752E-2</v>
      </c>
      <c r="B891" s="242">
        <v>3.2995366547056056E-4</v>
      </c>
    </row>
    <row r="892" spans="1:2" x14ac:dyDescent="0.25">
      <c r="A892" s="8">
        <v>1.3291620832273992E-2</v>
      </c>
      <c r="B892" s="242">
        <v>6.0580835830028636E-4</v>
      </c>
    </row>
    <row r="893" spans="1:2" x14ac:dyDescent="0.25">
      <c r="A893" s="8">
        <v>1.3169488857789666E-2</v>
      </c>
      <c r="B893" s="242">
        <v>4.0009618615355938E-4</v>
      </c>
    </row>
    <row r="894" spans="1:2" x14ac:dyDescent="0.25">
      <c r="A894" s="8">
        <v>3.5458587241559113E-2</v>
      </c>
      <c r="B894" s="242">
        <v>5.0578485108674718E-3</v>
      </c>
    </row>
    <row r="895" spans="1:2" x14ac:dyDescent="0.25">
      <c r="A895" s="8">
        <v>1.3163654516181676E-2</v>
      </c>
      <c r="B895" s="242">
        <v>3.2606569161424927E-4</v>
      </c>
    </row>
    <row r="896" spans="1:2" x14ac:dyDescent="0.25">
      <c r="A896" s="8">
        <v>1.3164228294628821E-2</v>
      </c>
      <c r="B896" s="242">
        <v>3.1818559683198251E-4</v>
      </c>
    </row>
    <row r="897" spans="1:2" x14ac:dyDescent="0.25">
      <c r="A897" s="8">
        <v>1.3172019649076327E-2</v>
      </c>
      <c r="B897" s="242">
        <v>4.1083635505990182E-4</v>
      </c>
    </row>
    <row r="898" spans="1:2" x14ac:dyDescent="0.25">
      <c r="A898" s="8">
        <v>1.3187027921180953E-2</v>
      </c>
      <c r="B898" s="242">
        <v>4.5529812598327479E-4</v>
      </c>
    </row>
    <row r="899" spans="1:2" x14ac:dyDescent="0.25">
      <c r="A899" s="8">
        <v>1.3164361510701198E-2</v>
      </c>
      <c r="B899" s="242">
        <v>3.1670764478757533E-4</v>
      </c>
    </row>
    <row r="900" spans="1:2" x14ac:dyDescent="0.25">
      <c r="A900" s="8">
        <v>1.3204170557167636E-2</v>
      </c>
      <c r="B900" s="242">
        <v>4.9067368010651392E-4</v>
      </c>
    </row>
    <row r="901" spans="1:2" x14ac:dyDescent="0.25">
      <c r="A901" s="8">
        <v>1.3164905267388376E-2</v>
      </c>
      <c r="B901" s="242">
        <v>3.7217117580767801E-4</v>
      </c>
    </row>
    <row r="902" spans="1:2" x14ac:dyDescent="0.25">
      <c r="A902" s="8">
        <v>1.3166973078941456E-2</v>
      </c>
      <c r="B902" s="242">
        <v>3.8695847001631278E-4</v>
      </c>
    </row>
    <row r="903" spans="1:2" x14ac:dyDescent="0.25">
      <c r="A903" s="8">
        <v>1.3169502901807517E-2</v>
      </c>
      <c r="B903" s="242">
        <v>4.0016123301388033E-4</v>
      </c>
    </row>
    <row r="904" spans="1:2" x14ac:dyDescent="0.25">
      <c r="A904" s="8">
        <v>1.3164472590436415E-2</v>
      </c>
      <c r="B904" s="242">
        <v>3.1553880907319855E-4</v>
      </c>
    </row>
    <row r="905" spans="1:2" x14ac:dyDescent="0.25">
      <c r="A905" s="8">
        <v>1.3163211364750873E-2</v>
      </c>
      <c r="B905" s="242">
        <v>3.4460773371097357E-4</v>
      </c>
    </row>
    <row r="906" spans="1:2" x14ac:dyDescent="0.25">
      <c r="A906" s="8">
        <v>1.3163377876401346E-2</v>
      </c>
      <c r="B906" s="242">
        <v>3.516844058066615E-4</v>
      </c>
    </row>
    <row r="907" spans="1:2" x14ac:dyDescent="0.25">
      <c r="A907" s="8">
        <v>1.3267196481913308E-2</v>
      </c>
      <c r="B907" s="242">
        <v>5.7926982177254486E-4</v>
      </c>
    </row>
    <row r="908" spans="1:2" x14ac:dyDescent="0.25">
      <c r="A908" s="8">
        <v>1.3164131014931054E-2</v>
      </c>
      <c r="B908" s="242">
        <v>3.1932618844918365E-4</v>
      </c>
    </row>
    <row r="909" spans="1:2" x14ac:dyDescent="0.25">
      <c r="A909" s="8">
        <v>1.5687176825727907E-2</v>
      </c>
      <c r="B909" s="242">
        <v>1.5640828076091838E-3</v>
      </c>
    </row>
    <row r="910" spans="1:2" x14ac:dyDescent="0.25">
      <c r="A910" s="8">
        <v>1.3163690467024475E-2</v>
      </c>
      <c r="B910" s="242">
        <v>3.2545992868956747E-4</v>
      </c>
    </row>
    <row r="911" spans="1:2" x14ac:dyDescent="0.25">
      <c r="A911" s="8">
        <v>1.3163422076235371E-2</v>
      </c>
      <c r="B911" s="242">
        <v>3.3075756797216875E-4</v>
      </c>
    </row>
    <row r="912" spans="1:2" x14ac:dyDescent="0.25">
      <c r="A912" s="8">
        <v>1.318172912722403E-2</v>
      </c>
      <c r="B912" s="242">
        <v>4.4187685918395506E-4</v>
      </c>
    </row>
    <row r="913" spans="1:2" x14ac:dyDescent="0.25">
      <c r="A913" s="8">
        <v>1.316431552779644E-2</v>
      </c>
      <c r="B913" s="242">
        <v>3.1720775528710658E-4</v>
      </c>
    </row>
    <row r="914" spans="1:2" x14ac:dyDescent="0.25">
      <c r="A914" s="8">
        <v>1.3163928993484094E-2</v>
      </c>
      <c r="B914" s="242">
        <v>3.6168010363667402E-4</v>
      </c>
    </row>
    <row r="915" spans="1:2" x14ac:dyDescent="0.25">
      <c r="A915" s="8">
        <v>1.316343783862628E-2</v>
      </c>
      <c r="B915" s="242">
        <v>3.3037827446100908E-4</v>
      </c>
    </row>
    <row r="916" spans="1:2" x14ac:dyDescent="0.25">
      <c r="A916" s="8">
        <v>1.3165513534293566E-2</v>
      </c>
      <c r="B916" s="242">
        <v>3.7716834525480905E-4</v>
      </c>
    </row>
    <row r="917" spans="1:2" x14ac:dyDescent="0.25">
      <c r="A917" s="8">
        <v>1.3185126554097985E-2</v>
      </c>
      <c r="B917" s="242">
        <v>4.5067204058532774E-4</v>
      </c>
    </row>
    <row r="918" spans="1:2" x14ac:dyDescent="0.25">
      <c r="A918" s="8">
        <v>1.316319668208955E-2</v>
      </c>
      <c r="B918" s="242">
        <v>3.4182355041349484E-4</v>
      </c>
    </row>
    <row r="919" spans="1:2" x14ac:dyDescent="0.25">
      <c r="A919" s="8">
        <v>1.3163272833256974E-2</v>
      </c>
      <c r="B919" s="242">
        <v>3.482049251802742E-4</v>
      </c>
    </row>
    <row r="920" spans="1:2" x14ac:dyDescent="0.25">
      <c r="A920" s="8">
        <v>1.3164002124464185E-2</v>
      </c>
      <c r="B920" s="242">
        <v>3.626495775047042E-4</v>
      </c>
    </row>
    <row r="921" spans="1:2" x14ac:dyDescent="0.25">
      <c r="A921" s="8">
        <v>1.3163240618694772E-2</v>
      </c>
      <c r="B921" s="242">
        <v>3.3691977436172468E-4</v>
      </c>
    </row>
    <row r="922" spans="1:2" x14ac:dyDescent="0.25">
      <c r="A922" s="8">
        <v>1.3163587673504068E-2</v>
      </c>
      <c r="B922" s="242">
        <v>3.2725893302191952E-4</v>
      </c>
    </row>
    <row r="923" spans="1:2" x14ac:dyDescent="0.25">
      <c r="A923" s="8">
        <v>1.3725640011621465E-2</v>
      </c>
      <c r="B923" s="242">
        <v>8.9882509783517249E-4</v>
      </c>
    </row>
    <row r="924" spans="1:2" x14ac:dyDescent="0.25">
      <c r="A924" s="8">
        <v>1.3231774675667119E-2</v>
      </c>
      <c r="B924" s="242">
        <v>5.3450354341070877E-4</v>
      </c>
    </row>
    <row r="925" spans="1:2" x14ac:dyDescent="0.25">
      <c r="A925" s="8">
        <v>1.3375627085066275E-2</v>
      </c>
      <c r="B925" s="242">
        <v>6.818903214576089E-4</v>
      </c>
    </row>
    <row r="926" spans="1:2" x14ac:dyDescent="0.25">
      <c r="A926" s="8">
        <v>1.4100332264952952E-2</v>
      </c>
      <c r="B926" s="242">
        <v>1.0658076662058659E-3</v>
      </c>
    </row>
    <row r="927" spans="1:2" x14ac:dyDescent="0.25">
      <c r="A927" s="8">
        <v>1.3163291600746535E-2</v>
      </c>
      <c r="B927" s="242">
        <v>3.4895173462041166E-4</v>
      </c>
    </row>
    <row r="928" spans="1:2" x14ac:dyDescent="0.25">
      <c r="A928" s="8">
        <v>1.3164378345451743E-2</v>
      </c>
      <c r="B928" s="242">
        <v>3.1652702498112181E-4</v>
      </c>
    </row>
    <row r="929" spans="1:2" x14ac:dyDescent="0.25">
      <c r="A929" s="8">
        <v>1.3187008029108004E-2</v>
      </c>
      <c r="B929" s="242">
        <v>4.5525070091586287E-4</v>
      </c>
    </row>
    <row r="930" spans="1:2" x14ac:dyDescent="0.25">
      <c r="A930" s="8">
        <v>1.3167904232052351E-2</v>
      </c>
      <c r="B930" s="242">
        <v>3.9222131330898937E-4</v>
      </c>
    </row>
    <row r="931" spans="1:2" x14ac:dyDescent="0.25">
      <c r="A931" s="8">
        <v>1.3164096198902839E-2</v>
      </c>
      <c r="B931" s="242">
        <v>3.1974873632088378E-4</v>
      </c>
    </row>
    <row r="932" spans="1:2" x14ac:dyDescent="0.25">
      <c r="A932" s="8">
        <v>1.3163754330920806E-2</v>
      </c>
      <c r="B932" s="242">
        <v>3.5914692470349815E-4</v>
      </c>
    </row>
    <row r="933" spans="1:2" x14ac:dyDescent="0.25">
      <c r="A933" s="8">
        <v>1.3185132106455477E-2</v>
      </c>
      <c r="B933" s="242">
        <v>4.5068583476294089E-4</v>
      </c>
    </row>
    <row r="934" spans="1:2" x14ac:dyDescent="0.25">
      <c r="A934" s="8">
        <v>1.3163924631162734E-2</v>
      </c>
      <c r="B934" s="242">
        <v>3.2196204436832847E-4</v>
      </c>
    </row>
    <row r="935" spans="1:2" x14ac:dyDescent="0.25">
      <c r="A935" s="8">
        <v>1.3666665299923192E-2</v>
      </c>
      <c r="B935" s="242">
        <v>8.6823457435144559E-4</v>
      </c>
    </row>
    <row r="936" spans="1:2" x14ac:dyDescent="0.25">
      <c r="A936" s="8">
        <v>1.3269117709898292E-2</v>
      </c>
      <c r="B936" s="242">
        <v>5.8146200885009745E-4</v>
      </c>
    </row>
    <row r="937" spans="1:2" x14ac:dyDescent="0.25">
      <c r="A937" s="8">
        <v>1.3164408170112498E-2</v>
      </c>
      <c r="B937" s="242">
        <v>3.1621016683903183E-4</v>
      </c>
    </row>
    <row r="938" spans="1:2" x14ac:dyDescent="0.25">
      <c r="A938" s="8">
        <v>1.3163858508458689E-2</v>
      </c>
      <c r="B938" s="242">
        <v>3.2288409468891167E-4</v>
      </c>
    </row>
    <row r="939" spans="1:2" x14ac:dyDescent="0.25">
      <c r="A939" s="8">
        <v>1.3163815244974978E-2</v>
      </c>
      <c r="B939" s="242">
        <v>3.2351253556581503E-4</v>
      </c>
    </row>
    <row r="940" spans="1:2" x14ac:dyDescent="0.25">
      <c r="A940" s="8">
        <v>1.3164543384848102E-2</v>
      </c>
      <c r="B940" s="242">
        <v>3.1482028640210884E-4</v>
      </c>
    </row>
    <row r="941" spans="1:2" x14ac:dyDescent="0.25">
      <c r="A941" s="8">
        <v>1.3183056194571033E-2</v>
      </c>
      <c r="B941" s="242">
        <v>4.4540096517255086E-4</v>
      </c>
    </row>
    <row r="942" spans="1:2" x14ac:dyDescent="0.25">
      <c r="A942" s="8">
        <v>1.3163266990217092E-2</v>
      </c>
      <c r="B942" s="242">
        <v>3.3562885240232383E-4</v>
      </c>
    </row>
    <row r="943" spans="1:2" x14ac:dyDescent="0.25">
      <c r="A943" s="8">
        <v>1.3163208485110068E-2</v>
      </c>
      <c r="B943" s="242">
        <v>3.3926628092987058E-4</v>
      </c>
    </row>
    <row r="944" spans="1:2" x14ac:dyDescent="0.25">
      <c r="A944" s="8">
        <v>1.3164435330650251E-2</v>
      </c>
      <c r="B944" s="242">
        <v>3.1592498844811544E-4</v>
      </c>
    </row>
    <row r="945" spans="1:2" x14ac:dyDescent="0.25">
      <c r="A945" s="8">
        <v>1.3164811599836956E-2</v>
      </c>
      <c r="B945" s="242">
        <v>3.7132665204425399E-4</v>
      </c>
    </row>
    <row r="946" spans="1:2" x14ac:dyDescent="0.25">
      <c r="A946" s="8">
        <v>1.3921507663241272E-2</v>
      </c>
      <c r="B946" s="242">
        <v>9.9093652135583696E-4</v>
      </c>
    </row>
    <row r="947" spans="1:2" x14ac:dyDescent="0.25">
      <c r="A947" s="8">
        <v>1.3164044524946393E-2</v>
      </c>
      <c r="B947" s="242">
        <v>3.2039125527708886E-4</v>
      </c>
    </row>
    <row r="948" spans="1:2" x14ac:dyDescent="0.25">
      <c r="A948" s="8">
        <v>1.3225640943634624E-2</v>
      </c>
      <c r="B948" s="242">
        <v>5.2566208590389151E-4</v>
      </c>
    </row>
    <row r="949" spans="1:2" x14ac:dyDescent="0.25">
      <c r="A949" s="8">
        <v>1.3180513444060423E-2</v>
      </c>
      <c r="B949" s="242">
        <v>4.3853627120972894E-4</v>
      </c>
    </row>
    <row r="950" spans="1:2" x14ac:dyDescent="0.25">
      <c r="A950" s="8">
        <v>1.3163197266307998E-2</v>
      </c>
      <c r="B950" s="242">
        <v>3.4122874625430526E-4</v>
      </c>
    </row>
    <row r="951" spans="1:2" x14ac:dyDescent="0.25">
      <c r="A951" s="8">
        <v>1.3166837007815593E-2</v>
      </c>
      <c r="B951" s="242">
        <v>3.8613716094492269E-4</v>
      </c>
    </row>
    <row r="952" spans="1:2" x14ac:dyDescent="0.25">
      <c r="A952" s="8">
        <v>1.3163365327598257E-2</v>
      </c>
      <c r="B952" s="242">
        <v>3.5133568627615335E-4</v>
      </c>
    </row>
    <row r="953" spans="1:2" x14ac:dyDescent="0.25">
      <c r="A953" s="8">
        <v>1.3164214665448992E-2</v>
      </c>
      <c r="B953" s="242">
        <v>3.1834205552773833E-4</v>
      </c>
    </row>
    <row r="954" spans="1:2" x14ac:dyDescent="0.25">
      <c r="A954" s="8">
        <v>1.316328814415613E-2</v>
      </c>
      <c r="B954" s="242">
        <v>3.4882015134277459E-4</v>
      </c>
    </row>
    <row r="955" spans="1:2" x14ac:dyDescent="0.25">
      <c r="A955" s="8">
        <v>1.3164389146505367E-2</v>
      </c>
      <c r="B955" s="242">
        <v>3.1641181742167419E-4</v>
      </c>
    </row>
    <row r="956" spans="1:2" x14ac:dyDescent="0.25">
      <c r="A956" s="8">
        <v>1.3163582345266836E-2</v>
      </c>
      <c r="B956" s="242">
        <v>3.2735829436271311E-4</v>
      </c>
    </row>
    <row r="957" spans="1:2" x14ac:dyDescent="0.25">
      <c r="A957" s="8">
        <v>1.3165254044268748E-2</v>
      </c>
      <c r="B957" s="242">
        <v>3.7512823998073289E-4</v>
      </c>
    </row>
    <row r="958" spans="1:2" x14ac:dyDescent="0.25">
      <c r="A958" s="8">
        <v>1.3163550515295939E-2</v>
      </c>
      <c r="B958" s="242">
        <v>3.2796672858797262E-4</v>
      </c>
    </row>
    <row r="959" spans="1:2" x14ac:dyDescent="0.25">
      <c r="A959" s="8">
        <v>1.3163218926821239E-2</v>
      </c>
      <c r="B959" s="242">
        <v>3.4525785417186179E-4</v>
      </c>
    </row>
    <row r="960" spans="1:2" x14ac:dyDescent="0.25">
      <c r="A960" s="8">
        <v>1.3164280743880636E-2</v>
      </c>
      <c r="B960" s="242">
        <v>3.659898905761071E-4</v>
      </c>
    </row>
    <row r="961" spans="1:2" x14ac:dyDescent="0.25">
      <c r="A961" s="8">
        <v>1.4356967942655343E-2</v>
      </c>
      <c r="B961" s="242">
        <v>1.1627894906718877E-3</v>
      </c>
    </row>
    <row r="962" spans="1:2" x14ac:dyDescent="0.25">
      <c r="A962" s="8">
        <v>1.4830066944791127E-2</v>
      </c>
      <c r="B962" s="242">
        <v>1.3202303642280914E-3</v>
      </c>
    </row>
    <row r="963" spans="1:2" x14ac:dyDescent="0.25">
      <c r="A963" s="8">
        <v>1.3166946678137901E-2</v>
      </c>
      <c r="B963" s="242">
        <v>3.8680028908891277E-4</v>
      </c>
    </row>
    <row r="964" spans="1:2" x14ac:dyDescent="0.25">
      <c r="A964" s="8">
        <v>1.3164935725483261E-2</v>
      </c>
      <c r="B964" s="242">
        <v>3.7244077953569623E-4</v>
      </c>
    </row>
    <row r="965" spans="1:2" x14ac:dyDescent="0.25">
      <c r="A965" s="8">
        <v>1.3166832246992955E-2</v>
      </c>
      <c r="B965" s="242">
        <v>3.8610814975181687E-4</v>
      </c>
    </row>
    <row r="966" spans="1:2" x14ac:dyDescent="0.25">
      <c r="A966" s="8">
        <v>1.3163213821383839E-2</v>
      </c>
      <c r="B966" s="242">
        <v>3.387486159059573E-4</v>
      </c>
    </row>
    <row r="967" spans="1:2" x14ac:dyDescent="0.25">
      <c r="A967" s="8">
        <v>1.3210606191696488E-2</v>
      </c>
      <c r="B967" s="242">
        <v>5.0195920128074084E-4</v>
      </c>
    </row>
    <row r="968" spans="1:2" x14ac:dyDescent="0.25">
      <c r="A968" s="8">
        <v>1.316449424300588E-2</v>
      </c>
      <c r="B968" s="242">
        <v>3.6826584218010853E-4</v>
      </c>
    </row>
    <row r="969" spans="1:2" x14ac:dyDescent="0.25">
      <c r="A969" s="8">
        <v>1.3232870685099738E-2</v>
      </c>
      <c r="B969" s="242">
        <v>5.3604142896256795E-4</v>
      </c>
    </row>
    <row r="970" spans="1:2" x14ac:dyDescent="0.25">
      <c r="A970" s="8">
        <v>1.3164434820162002E-2</v>
      </c>
      <c r="B970" s="242">
        <v>3.1593031944611319E-4</v>
      </c>
    </row>
    <row r="971" spans="1:2" x14ac:dyDescent="0.25">
      <c r="A971" s="8">
        <v>1.3175454700632841E-2</v>
      </c>
      <c r="B971" s="242">
        <v>4.2317990294520757E-4</v>
      </c>
    </row>
    <row r="972" spans="1:2" x14ac:dyDescent="0.25">
      <c r="A972" s="8">
        <v>1.3865662147306458E-2</v>
      </c>
      <c r="B972" s="242">
        <v>9.6593197937689692E-4</v>
      </c>
    </row>
    <row r="973" spans="1:2" x14ac:dyDescent="0.25">
      <c r="A973" s="8">
        <v>1.3163739228383249E-2</v>
      </c>
      <c r="B973" s="242">
        <v>3.2467252842056774E-4</v>
      </c>
    </row>
    <row r="974" spans="1:2" x14ac:dyDescent="0.25">
      <c r="A974" s="8">
        <v>1.3163392825949203E-2</v>
      </c>
      <c r="B974" s="242">
        <v>3.3149838950843988E-4</v>
      </c>
    </row>
    <row r="975" spans="1:2" x14ac:dyDescent="0.25">
      <c r="A975" s="8">
        <v>1.3179842467800892E-2</v>
      </c>
      <c r="B975" s="242">
        <v>4.3664225016716069E-4</v>
      </c>
    </row>
    <row r="976" spans="1:2" x14ac:dyDescent="0.25">
      <c r="A976" s="8">
        <v>1.3163681477909242E-2</v>
      </c>
      <c r="B976" s="242">
        <v>3.2560926698993437E-4</v>
      </c>
    </row>
    <row r="977" spans="1:2" x14ac:dyDescent="0.25">
      <c r="A977" s="8">
        <v>1.3164010453672636E-2</v>
      </c>
      <c r="B977" s="242">
        <v>3.208256683429307E-4</v>
      </c>
    </row>
    <row r="978" spans="1:2" x14ac:dyDescent="0.25">
      <c r="A978" s="8">
        <v>1.3164489599515994E-2</v>
      </c>
      <c r="B978" s="242">
        <v>3.1536439397415674E-4</v>
      </c>
    </row>
    <row r="979" spans="1:2" x14ac:dyDescent="0.25">
      <c r="A979" s="8">
        <v>1.3176078162322115E-2</v>
      </c>
      <c r="B979" s="242">
        <v>4.252249928855936E-4</v>
      </c>
    </row>
    <row r="980" spans="1:2" x14ac:dyDescent="0.25">
      <c r="A980" s="8">
        <v>1.3163984016625418E-2</v>
      </c>
      <c r="B980" s="242">
        <v>3.624137730002818E-4</v>
      </c>
    </row>
    <row r="981" spans="1:2" x14ac:dyDescent="0.25">
      <c r="A981" s="8">
        <v>1.3164191587323329E-2</v>
      </c>
      <c r="B981" s="242">
        <v>3.1860939251174698E-4</v>
      </c>
    </row>
    <row r="982" spans="1:2" x14ac:dyDescent="0.25">
      <c r="A982" s="8">
        <v>1.3164234485005961E-2</v>
      </c>
      <c r="B982" s="242">
        <v>3.1811487464140112E-4</v>
      </c>
    </row>
    <row r="983" spans="1:2" x14ac:dyDescent="0.25">
      <c r="A983" s="8">
        <v>1.316356131402161E-2</v>
      </c>
      <c r="B983" s="242">
        <v>3.5582546752006231E-4</v>
      </c>
    </row>
    <row r="984" spans="1:2" x14ac:dyDescent="0.25">
      <c r="A984" s="8">
        <v>1.31640708747899E-2</v>
      </c>
      <c r="B984" s="242">
        <v>3.2006124514837053E-4</v>
      </c>
    </row>
    <row r="985" spans="1:2" x14ac:dyDescent="0.25">
      <c r="A985" s="8">
        <v>1.3163221056260107E-2</v>
      </c>
      <c r="B985" s="242">
        <v>3.4541996685963816E-4</v>
      </c>
    </row>
    <row r="986" spans="1:2" x14ac:dyDescent="0.25">
      <c r="A986" s="8">
        <v>1.3164774791202814E-2</v>
      </c>
      <c r="B986" s="242">
        <v>3.7098809517821703E-4</v>
      </c>
    </row>
    <row r="987" spans="1:2" x14ac:dyDescent="0.25">
      <c r="A987" s="8">
        <v>1.3163798403797443E-2</v>
      </c>
      <c r="B987" s="242">
        <v>3.2376309075409101E-4</v>
      </c>
    </row>
    <row r="988" spans="1:2" x14ac:dyDescent="0.25">
      <c r="A988" s="8">
        <v>1.3163446991147954E-2</v>
      </c>
      <c r="B988" s="242">
        <v>3.3016371178393151E-4</v>
      </c>
    </row>
    <row r="989" spans="1:2" x14ac:dyDescent="0.25">
      <c r="A989" s="8">
        <v>1.3164117735636588E-2</v>
      </c>
      <c r="B989" s="242">
        <v>3.1948640960464904E-4</v>
      </c>
    </row>
    <row r="990" spans="1:2" x14ac:dyDescent="0.25">
      <c r="A990" s="8">
        <v>1.3236292855196178E-2</v>
      </c>
      <c r="B990" s="242">
        <v>5.4076762209690279E-4</v>
      </c>
    </row>
    <row r="991" spans="1:2" x14ac:dyDescent="0.25">
      <c r="A991" s="8">
        <v>1.3163618106183675E-2</v>
      </c>
      <c r="B991" s="242">
        <v>3.2670395844792771E-4</v>
      </c>
    </row>
    <row r="992" spans="1:2" x14ac:dyDescent="0.25">
      <c r="A992" s="8">
        <v>1.3163275333308234E-2</v>
      </c>
      <c r="B992" s="242">
        <v>3.3527346942618084E-4</v>
      </c>
    </row>
    <row r="993" spans="1:2" x14ac:dyDescent="0.25">
      <c r="A993" s="8">
        <v>1.3164196487978773E-2</v>
      </c>
      <c r="B993" s="242">
        <v>3.1855236617064702E-4</v>
      </c>
    </row>
    <row r="994" spans="1:2" x14ac:dyDescent="0.25">
      <c r="A994" s="8">
        <v>1.3163856451325411E-2</v>
      </c>
      <c r="B994" s="242">
        <v>3.2291350270625296E-4</v>
      </c>
    </row>
    <row r="995" spans="1:2" x14ac:dyDescent="0.25">
      <c r="A995" s="8">
        <v>1.3163631709680114E-2</v>
      </c>
      <c r="B995" s="242">
        <v>3.2646237944211588E-4</v>
      </c>
    </row>
    <row r="996" spans="1:2" x14ac:dyDescent="0.25">
      <c r="A996" s="8">
        <v>1.3163627127634792E-2</v>
      </c>
      <c r="B996" s="242">
        <v>3.2654332268648045E-4</v>
      </c>
    </row>
    <row r="997" spans="1:2" x14ac:dyDescent="0.25">
      <c r="A997" s="8">
        <v>1.3163837685866965E-2</v>
      </c>
      <c r="B997" s="242">
        <v>3.6039890814971119E-4</v>
      </c>
    </row>
    <row r="998" spans="1:2" x14ac:dyDescent="0.25">
      <c r="A998" s="8">
        <v>1.3163484907172111E-2</v>
      </c>
      <c r="B998" s="242">
        <v>3.2931408609184029E-4</v>
      </c>
    </row>
    <row r="999" spans="1:2" x14ac:dyDescent="0.25">
      <c r="A999" s="8">
        <v>1.3163236424464063E-2</v>
      </c>
      <c r="B999" s="242">
        <v>3.4642469963986001E-4</v>
      </c>
    </row>
    <row r="1000" spans="1:2" x14ac:dyDescent="0.25">
      <c r="A1000" s="8">
        <v>1.3223854408567019E-2</v>
      </c>
      <c r="B1000" s="242">
        <v>5.2300658736225336E-4</v>
      </c>
    </row>
    <row r="1001" spans="1:2" x14ac:dyDescent="0.25">
      <c r="A1001" s="8">
        <v>1.3170721261288841E-2</v>
      </c>
      <c r="B1001" s="242">
        <v>4.055523883390965E-4</v>
      </c>
    </row>
    <row r="1002" spans="1:2" ht="15.75" thickBot="1" x14ac:dyDescent="0.3">
      <c r="A1002" s="9">
        <v>1.3163914766731054E-2</v>
      </c>
      <c r="B1002" s="243">
        <v>3.6148596059088628E-4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ondPortfolio">
    <tabColor rgb="FFC00000"/>
  </sheetPr>
  <dimension ref="A1:AA15"/>
  <sheetViews>
    <sheetView showGridLines="0" topLeftCell="Q1" zoomScale="70" zoomScaleNormal="70" workbookViewId="0">
      <selection activeCell="T13" sqref="T13:X13"/>
    </sheetView>
  </sheetViews>
  <sheetFormatPr defaultColWidth="11.42578125" defaultRowHeight="15" x14ac:dyDescent="0.25"/>
  <cols>
    <col min="1" max="1" width="38.5703125" bestFit="1" customWidth="1"/>
    <col min="8" max="8" width="16.28515625" bestFit="1" customWidth="1"/>
    <col min="9" max="9" width="15.7109375" bestFit="1" customWidth="1"/>
    <col min="10" max="15" width="15.7109375" customWidth="1"/>
    <col min="16" max="16" width="17.85546875" bestFit="1" customWidth="1"/>
    <col min="17" max="17" width="23.140625" bestFit="1" customWidth="1"/>
    <col min="24" max="24" width="14.140625" bestFit="1" customWidth="1"/>
    <col min="25" max="25" width="2.7109375" customWidth="1"/>
    <col min="26" max="27" width="15.7109375" style="174" customWidth="1"/>
    <col min="28" max="28" width="2.7109375" customWidth="1"/>
  </cols>
  <sheetData>
    <row r="1" spans="1:27" s="52" customFormat="1" ht="33.75" x14ac:dyDescent="0.25">
      <c r="A1" s="49" t="s">
        <v>53</v>
      </c>
      <c r="B1" s="115" t="s">
        <v>54</v>
      </c>
      <c r="C1" s="49" t="s">
        <v>55</v>
      </c>
      <c r="D1" s="49" t="s">
        <v>5</v>
      </c>
      <c r="E1" s="49" t="s">
        <v>56</v>
      </c>
      <c r="F1" s="117" t="s">
        <v>4</v>
      </c>
      <c r="G1" s="49" t="s">
        <v>57</v>
      </c>
      <c r="H1" s="49" t="s">
        <v>58</v>
      </c>
      <c r="I1" s="49" t="s">
        <v>59</v>
      </c>
      <c r="J1" s="49" t="s">
        <v>60</v>
      </c>
      <c r="K1" s="49" t="s">
        <v>61</v>
      </c>
      <c r="L1" s="49" t="s">
        <v>62</v>
      </c>
      <c r="M1" s="49" t="s">
        <v>63</v>
      </c>
      <c r="N1" s="49" t="s">
        <v>64</v>
      </c>
      <c r="O1" s="49" t="s">
        <v>65</v>
      </c>
      <c r="P1" s="49" t="s">
        <v>66</v>
      </c>
      <c r="Q1" s="49" t="s">
        <v>67</v>
      </c>
      <c r="R1" s="114" t="s">
        <v>68</v>
      </c>
      <c r="S1" s="51" t="s">
        <v>69</v>
      </c>
      <c r="T1" s="50" t="s">
        <v>70</v>
      </c>
      <c r="U1" s="50" t="s">
        <v>71</v>
      </c>
      <c r="V1" s="50" t="s">
        <v>72</v>
      </c>
      <c r="W1" s="50" t="s">
        <v>73</v>
      </c>
      <c r="X1" s="50" t="s">
        <v>74</v>
      </c>
      <c r="Z1" s="173"/>
      <c r="AA1" s="173"/>
    </row>
    <row r="2" spans="1:27" x14ac:dyDescent="0.25">
      <c r="A2" s="27" t="s">
        <v>75</v>
      </c>
      <c r="B2" s="116">
        <v>100</v>
      </c>
      <c r="C2" s="28">
        <v>100.32</v>
      </c>
      <c r="D2" s="29">
        <v>82</v>
      </c>
      <c r="E2" s="30">
        <v>4.0384719999999999E-2</v>
      </c>
      <c r="F2" s="31">
        <v>40635</v>
      </c>
      <c r="G2" s="32" t="s">
        <v>76</v>
      </c>
      <c r="H2" s="30">
        <v>4.1250000000000002E-2</v>
      </c>
      <c r="I2" s="27">
        <v>1</v>
      </c>
      <c r="J2" s="27">
        <v>100</v>
      </c>
      <c r="K2" s="27">
        <v>100</v>
      </c>
      <c r="L2" s="31">
        <v>43420</v>
      </c>
      <c r="M2" s="31">
        <v>43785</v>
      </c>
      <c r="N2" s="27">
        <v>23</v>
      </c>
      <c r="O2" s="27">
        <v>365</v>
      </c>
      <c r="P2" s="27">
        <v>20</v>
      </c>
      <c r="Q2" s="30">
        <v>0.02</v>
      </c>
      <c r="R2" s="84"/>
      <c r="S2" s="23"/>
      <c r="T2" s="33"/>
      <c r="U2" s="23"/>
      <c r="V2" s="23"/>
      <c r="W2" s="23"/>
      <c r="X2" s="23"/>
    </row>
    <row r="3" spans="1:27" x14ac:dyDescent="0.25">
      <c r="A3" s="27" t="s">
        <v>77</v>
      </c>
      <c r="B3" s="116">
        <v>100</v>
      </c>
      <c r="C3" s="28">
        <v>100.32</v>
      </c>
      <c r="D3" s="29">
        <v>101</v>
      </c>
      <c r="E3" s="30">
        <v>3.0105819999999998E-2</v>
      </c>
      <c r="F3" s="31">
        <v>40635</v>
      </c>
      <c r="G3" s="32" t="s">
        <v>78</v>
      </c>
      <c r="H3" s="30">
        <v>2.9489999999999999E-2</v>
      </c>
      <c r="I3" s="27">
        <v>1</v>
      </c>
      <c r="J3" s="27">
        <v>100</v>
      </c>
      <c r="K3" s="27">
        <v>100</v>
      </c>
      <c r="L3" s="31">
        <v>43124</v>
      </c>
      <c r="M3" s="31">
        <v>43489</v>
      </c>
      <c r="N3" s="27">
        <v>319</v>
      </c>
      <c r="O3" s="27">
        <v>365</v>
      </c>
      <c r="P3" s="27">
        <v>6</v>
      </c>
      <c r="Q3" s="30">
        <v>0.02</v>
      </c>
      <c r="R3" s="84"/>
      <c r="S3" s="23"/>
      <c r="T3" s="33"/>
      <c r="U3" s="23"/>
      <c r="V3" s="23"/>
      <c r="W3" s="23"/>
      <c r="X3" s="23"/>
    </row>
    <row r="4" spans="1:27" x14ac:dyDescent="0.25">
      <c r="A4" s="27" t="s">
        <v>79</v>
      </c>
      <c r="B4" s="116">
        <v>100</v>
      </c>
      <c r="C4" s="28">
        <v>100.32</v>
      </c>
      <c r="D4" s="29">
        <v>88</v>
      </c>
      <c r="E4" s="30">
        <v>2.5122529999999997E-2</v>
      </c>
      <c r="F4" s="31">
        <v>40635</v>
      </c>
      <c r="G4" s="32" t="s">
        <v>80</v>
      </c>
      <c r="H4" s="30">
        <v>2.5000000000000001E-2</v>
      </c>
      <c r="I4" s="27">
        <v>1</v>
      </c>
      <c r="J4" s="27">
        <v>100</v>
      </c>
      <c r="K4" s="27">
        <v>100</v>
      </c>
      <c r="L4" s="31">
        <v>43419</v>
      </c>
      <c r="M4" s="31">
        <v>43784</v>
      </c>
      <c r="N4" s="27">
        <v>24</v>
      </c>
      <c r="O4" s="27">
        <v>365</v>
      </c>
      <c r="P4" s="27">
        <v>12</v>
      </c>
      <c r="Q4" s="30">
        <v>0.02</v>
      </c>
      <c r="R4" s="84"/>
      <c r="S4" s="23"/>
      <c r="T4" s="33"/>
      <c r="U4" s="23"/>
      <c r="V4" s="23"/>
      <c r="W4" s="23"/>
      <c r="X4" s="23"/>
    </row>
    <row r="5" spans="1:27" x14ac:dyDescent="0.25">
      <c r="A5" s="27" t="s">
        <v>81</v>
      </c>
      <c r="B5" s="116">
        <v>100</v>
      </c>
      <c r="C5" s="28">
        <v>100.32</v>
      </c>
      <c r="D5" s="29">
        <v>82</v>
      </c>
      <c r="E5" s="30">
        <v>7.9519000000000009E-4</v>
      </c>
      <c r="F5" s="31">
        <v>40635</v>
      </c>
      <c r="G5" s="32" t="s">
        <v>82</v>
      </c>
      <c r="H5" s="30">
        <v>1.25E-3</v>
      </c>
      <c r="I5" s="27">
        <v>1</v>
      </c>
      <c r="J5" s="27">
        <v>100</v>
      </c>
      <c r="K5" s="27">
        <v>100</v>
      </c>
      <c r="L5" s="31">
        <v>43411</v>
      </c>
      <c r="M5" s="31">
        <v>43776</v>
      </c>
      <c r="N5" s="27">
        <v>32</v>
      </c>
      <c r="O5" s="27">
        <v>365</v>
      </c>
      <c r="P5" s="27">
        <v>5</v>
      </c>
      <c r="Q5" s="30">
        <v>0.02</v>
      </c>
      <c r="R5" s="84"/>
      <c r="S5" s="23"/>
      <c r="T5" s="33"/>
      <c r="U5" s="23"/>
      <c r="V5" s="23"/>
      <c r="W5" s="23"/>
      <c r="X5" s="23"/>
    </row>
    <row r="6" spans="1:27" x14ac:dyDescent="0.25">
      <c r="A6" s="27" t="s">
        <v>83</v>
      </c>
      <c r="B6" s="116">
        <v>100</v>
      </c>
      <c r="C6" s="28">
        <v>100.32</v>
      </c>
      <c r="D6" s="29">
        <v>154</v>
      </c>
      <c r="E6" s="30">
        <v>2.2680269999999999E-2</v>
      </c>
      <c r="F6" s="31">
        <v>40635</v>
      </c>
      <c r="G6" s="32" t="s">
        <v>84</v>
      </c>
      <c r="H6" s="30">
        <v>1.8749999999999999E-2</v>
      </c>
      <c r="I6" s="27">
        <v>1</v>
      </c>
      <c r="J6" s="27">
        <v>100</v>
      </c>
      <c r="K6" s="27">
        <v>100</v>
      </c>
      <c r="L6" s="31">
        <v>43417</v>
      </c>
      <c r="M6" s="31">
        <v>43782</v>
      </c>
      <c r="N6" s="27">
        <v>26</v>
      </c>
      <c r="O6" s="27">
        <v>365</v>
      </c>
      <c r="P6" s="27">
        <v>9</v>
      </c>
      <c r="Q6" s="30">
        <v>0.02</v>
      </c>
      <c r="R6" s="84"/>
      <c r="S6" s="23"/>
      <c r="T6" s="33"/>
      <c r="U6" s="23"/>
      <c r="V6" s="23"/>
      <c r="W6" s="23"/>
      <c r="X6" s="23"/>
    </row>
    <row r="7" spans="1:27" x14ac:dyDescent="0.25">
      <c r="A7" s="27" t="s">
        <v>85</v>
      </c>
      <c r="B7" s="116">
        <v>100</v>
      </c>
      <c r="C7" s="28">
        <v>100.32</v>
      </c>
      <c r="D7" s="29">
        <v>153</v>
      </c>
      <c r="E7" s="30">
        <v>1.2157649999999999E-2</v>
      </c>
      <c r="F7" s="31">
        <v>40635</v>
      </c>
      <c r="G7" s="32" t="s">
        <v>86</v>
      </c>
      <c r="H7" s="30">
        <v>0.01</v>
      </c>
      <c r="I7" s="27">
        <v>1</v>
      </c>
      <c r="J7" s="27">
        <v>100</v>
      </c>
      <c r="K7" s="27">
        <v>100</v>
      </c>
      <c r="L7" s="31">
        <v>43418</v>
      </c>
      <c r="M7" s="31">
        <v>43783</v>
      </c>
      <c r="N7" s="27">
        <v>25</v>
      </c>
      <c r="O7" s="27">
        <v>365</v>
      </c>
      <c r="P7" s="27">
        <v>6</v>
      </c>
      <c r="Q7" s="30">
        <v>0.02</v>
      </c>
      <c r="R7" s="84"/>
      <c r="S7" s="23"/>
      <c r="T7" s="33"/>
      <c r="U7" s="23"/>
      <c r="V7" s="23"/>
      <c r="W7" s="23"/>
      <c r="X7" s="23"/>
    </row>
    <row r="8" spans="1:27" x14ac:dyDescent="0.25">
      <c r="A8" s="27" t="s">
        <v>87</v>
      </c>
      <c r="B8" s="116">
        <v>100</v>
      </c>
      <c r="C8" s="28">
        <v>100.32</v>
      </c>
      <c r="D8" s="29">
        <v>4</v>
      </c>
      <c r="E8" s="30">
        <v>3.4768400000000001E-3</v>
      </c>
      <c r="F8" s="31">
        <v>40635</v>
      </c>
      <c r="G8" s="32" t="s">
        <v>88</v>
      </c>
      <c r="H8" s="30">
        <v>2.5000000000000001E-3</v>
      </c>
      <c r="I8" s="27">
        <v>1</v>
      </c>
      <c r="J8" s="27">
        <v>100</v>
      </c>
      <c r="K8" s="27">
        <v>100</v>
      </c>
      <c r="L8" s="31">
        <v>43327</v>
      </c>
      <c r="M8" s="31">
        <v>43692</v>
      </c>
      <c r="N8" s="27">
        <v>116</v>
      </c>
      <c r="O8" s="27">
        <v>365</v>
      </c>
      <c r="P8" s="27">
        <v>10</v>
      </c>
      <c r="Q8" s="30">
        <v>0.02</v>
      </c>
      <c r="R8" s="84"/>
      <c r="S8" s="23"/>
      <c r="T8" s="33"/>
      <c r="U8" s="23"/>
      <c r="V8" s="23"/>
      <c r="W8" s="23"/>
      <c r="X8" s="23"/>
    </row>
    <row r="9" spans="1:27" x14ac:dyDescent="0.25">
      <c r="A9" s="27" t="s">
        <v>89</v>
      </c>
      <c r="B9" s="116">
        <v>100</v>
      </c>
      <c r="C9" s="28">
        <v>100.32</v>
      </c>
      <c r="D9" s="29">
        <v>69</v>
      </c>
      <c r="E9" s="30">
        <v>5.5016139999999998E-2</v>
      </c>
      <c r="F9" s="31">
        <v>40635</v>
      </c>
      <c r="G9" s="32" t="s">
        <v>90</v>
      </c>
      <c r="H9" s="30">
        <v>5.2000000000000005E-2</v>
      </c>
      <c r="I9" s="27">
        <v>1</v>
      </c>
      <c r="J9" s="27">
        <v>100</v>
      </c>
      <c r="K9" s="27">
        <v>100</v>
      </c>
      <c r="L9" s="31">
        <v>43147</v>
      </c>
      <c r="M9" s="31">
        <v>43512</v>
      </c>
      <c r="N9" s="27">
        <v>296</v>
      </c>
      <c r="O9" s="27">
        <v>365</v>
      </c>
      <c r="P9" s="27">
        <v>8</v>
      </c>
      <c r="Q9" s="30">
        <v>0.02</v>
      </c>
      <c r="R9" s="84"/>
      <c r="S9" s="23"/>
      <c r="T9" s="33"/>
      <c r="U9" s="23"/>
      <c r="V9" s="23"/>
      <c r="W9" s="23"/>
      <c r="X9" s="23"/>
    </row>
    <row r="10" spans="1:27" x14ac:dyDescent="0.25">
      <c r="A10" s="27" t="s">
        <v>91</v>
      </c>
      <c r="B10" s="116">
        <v>100</v>
      </c>
      <c r="C10" s="28">
        <v>100.32</v>
      </c>
      <c r="D10" s="29">
        <v>37</v>
      </c>
      <c r="E10" s="30">
        <v>7.5332900000000006E-3</v>
      </c>
      <c r="F10" s="31">
        <v>40635</v>
      </c>
      <c r="G10" s="32" t="s">
        <v>92</v>
      </c>
      <c r="H10" s="30">
        <v>7.4999999999999997E-3</v>
      </c>
      <c r="I10" s="27">
        <v>1</v>
      </c>
      <c r="J10" s="27">
        <v>100</v>
      </c>
      <c r="K10" s="27">
        <v>100</v>
      </c>
      <c r="L10" s="31">
        <v>43429</v>
      </c>
      <c r="M10" s="31">
        <v>43794</v>
      </c>
      <c r="N10" s="27">
        <v>14</v>
      </c>
      <c r="O10" s="27">
        <v>365</v>
      </c>
      <c r="P10" s="27">
        <v>10</v>
      </c>
      <c r="Q10" s="30">
        <v>0.02</v>
      </c>
      <c r="R10" s="84"/>
      <c r="S10" s="23"/>
      <c r="T10" s="33"/>
      <c r="U10" s="23"/>
      <c r="V10" s="23"/>
      <c r="W10" s="23"/>
      <c r="X10" s="23"/>
    </row>
    <row r="11" spans="1:27" x14ac:dyDescent="0.25">
      <c r="A11" s="27" t="s">
        <v>93</v>
      </c>
      <c r="B11" s="116">
        <v>100</v>
      </c>
      <c r="C11" s="28">
        <v>100.32</v>
      </c>
      <c r="D11" s="29">
        <v>6</v>
      </c>
      <c r="E11" s="30">
        <v>-2.4099999999999998E-3</v>
      </c>
      <c r="F11" s="31">
        <v>40635</v>
      </c>
      <c r="G11" s="32" t="s">
        <v>94</v>
      </c>
      <c r="H11" s="30">
        <v>0</v>
      </c>
      <c r="I11" s="27">
        <v>1</v>
      </c>
      <c r="J11" s="27">
        <v>100</v>
      </c>
      <c r="K11" s="27">
        <v>100</v>
      </c>
      <c r="L11" s="31">
        <v>43386</v>
      </c>
      <c r="M11" s="31">
        <v>43751</v>
      </c>
      <c r="N11" s="27">
        <v>57</v>
      </c>
      <c r="O11" s="27">
        <v>365</v>
      </c>
      <c r="P11" s="27">
        <v>5</v>
      </c>
      <c r="Q11" s="30">
        <v>0.02</v>
      </c>
      <c r="R11" s="84"/>
      <c r="S11" s="23"/>
      <c r="T11" s="33"/>
      <c r="U11" s="23"/>
      <c r="V11" s="23"/>
      <c r="W11" s="23"/>
      <c r="X11" s="23"/>
    </row>
    <row r="12" spans="1:27" ht="15.75" thickBot="1" x14ac:dyDescent="0.3"/>
    <row r="13" spans="1:27" ht="15.75" thickBot="1" x14ac:dyDescent="0.3">
      <c r="T13" s="26"/>
      <c r="U13" s="46"/>
      <c r="V13" s="46"/>
      <c r="W13" s="46"/>
      <c r="X13" s="25"/>
    </row>
    <row r="15" spans="1:27" x14ac:dyDescent="0.25">
      <c r="A15" s="14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ondsAnalysis">
    <tabColor rgb="FFC00000"/>
  </sheetPr>
  <dimension ref="A1:S53"/>
  <sheetViews>
    <sheetView showGridLines="0" topLeftCell="D1" zoomScale="70" zoomScaleNormal="70" workbookViewId="0">
      <selection activeCell="Q21" sqref="Q21:R34"/>
    </sheetView>
  </sheetViews>
  <sheetFormatPr defaultColWidth="11.5703125" defaultRowHeight="15" x14ac:dyDescent="0.25"/>
  <cols>
    <col min="1" max="1" width="25.85546875" bestFit="1" customWidth="1"/>
    <col min="2" max="2" width="56" bestFit="1" customWidth="1"/>
    <col min="4" max="4" width="28.42578125" bestFit="1" customWidth="1"/>
    <col min="10" max="10" width="27.7109375" bestFit="1" customWidth="1"/>
    <col min="15" max="15" width="11.42578125" customWidth="1"/>
    <col min="16" max="16" width="18.85546875" bestFit="1" customWidth="1"/>
    <col min="17" max="17" width="15.28515625" bestFit="1" customWidth="1"/>
    <col min="18" max="18" width="15" bestFit="1" customWidth="1"/>
  </cols>
  <sheetData>
    <row r="1" spans="1:19" x14ac:dyDescent="0.25">
      <c r="D1" s="34"/>
    </row>
    <row r="2" spans="1:19" x14ac:dyDescent="0.25">
      <c r="A2" s="153" t="s">
        <v>53</v>
      </c>
      <c r="B2" s="153" t="s">
        <v>89</v>
      </c>
      <c r="Q2" s="35"/>
      <c r="S2">
        <v>0</v>
      </c>
    </row>
    <row r="3" spans="1:19" x14ac:dyDescent="0.25">
      <c r="A3" s="153" t="s">
        <v>54</v>
      </c>
      <c r="B3" s="36"/>
      <c r="S3">
        <v>0</v>
      </c>
    </row>
    <row r="4" spans="1:19" x14ac:dyDescent="0.25">
      <c r="A4" s="153" t="s">
        <v>55</v>
      </c>
      <c r="B4" s="36"/>
      <c r="S4">
        <v>0</v>
      </c>
    </row>
    <row r="5" spans="1:19" x14ac:dyDescent="0.25">
      <c r="A5" s="153" t="s">
        <v>5</v>
      </c>
      <c r="B5" s="36"/>
      <c r="S5">
        <v>0</v>
      </c>
    </row>
    <row r="6" spans="1:19" x14ac:dyDescent="0.25">
      <c r="A6" s="153" t="s">
        <v>56</v>
      </c>
      <c r="B6" s="37"/>
      <c r="S6">
        <v>0</v>
      </c>
    </row>
    <row r="7" spans="1:19" x14ac:dyDescent="0.25">
      <c r="A7" s="153" t="s">
        <v>4</v>
      </c>
      <c r="B7" s="16"/>
      <c r="S7">
        <v>0</v>
      </c>
    </row>
    <row r="8" spans="1:19" x14ac:dyDescent="0.25">
      <c r="A8" s="153" t="s">
        <v>57</v>
      </c>
      <c r="B8" s="38"/>
      <c r="S8">
        <v>0</v>
      </c>
    </row>
    <row r="9" spans="1:19" x14ac:dyDescent="0.25">
      <c r="A9" s="153" t="s">
        <v>58</v>
      </c>
      <c r="B9" s="37"/>
      <c r="S9">
        <v>0</v>
      </c>
    </row>
    <row r="10" spans="1:19" x14ac:dyDescent="0.25">
      <c r="A10" s="153" t="s">
        <v>59</v>
      </c>
      <c r="B10" s="39"/>
      <c r="S10">
        <v>0</v>
      </c>
    </row>
    <row r="11" spans="1:19" x14ac:dyDescent="0.25">
      <c r="A11" s="153" t="s">
        <v>60</v>
      </c>
      <c r="B11" s="36"/>
      <c r="S11">
        <v>0</v>
      </c>
    </row>
    <row r="12" spans="1:19" x14ac:dyDescent="0.25">
      <c r="A12" s="153" t="s">
        <v>61</v>
      </c>
      <c r="B12" s="36"/>
    </row>
    <row r="13" spans="1:19" x14ac:dyDescent="0.25">
      <c r="A13" s="153" t="s">
        <v>62</v>
      </c>
      <c r="B13" s="16"/>
    </row>
    <row r="14" spans="1:19" x14ac:dyDescent="0.25">
      <c r="A14" s="153" t="s">
        <v>63</v>
      </c>
      <c r="B14" s="16"/>
    </row>
    <row r="15" spans="1:19" x14ac:dyDescent="0.25">
      <c r="A15" s="153" t="s">
        <v>95</v>
      </c>
      <c r="B15" s="36"/>
    </row>
    <row r="16" spans="1:19" x14ac:dyDescent="0.25">
      <c r="A16" s="153" t="s">
        <v>65</v>
      </c>
      <c r="B16" s="36"/>
    </row>
    <row r="17" spans="1:18" x14ac:dyDescent="0.25">
      <c r="A17" s="153" t="s">
        <v>66</v>
      </c>
      <c r="B17" s="39"/>
    </row>
    <row r="18" spans="1:18" x14ac:dyDescent="0.25">
      <c r="A18" s="153" t="s">
        <v>67</v>
      </c>
      <c r="B18" s="37"/>
    </row>
    <row r="19" spans="1:18" x14ac:dyDescent="0.25">
      <c r="A19" s="154" t="s">
        <v>68</v>
      </c>
      <c r="B19" s="40"/>
      <c r="D19" s="156" t="s">
        <v>96</v>
      </c>
      <c r="E19" s="153"/>
      <c r="J19" s="153" t="s">
        <v>97</v>
      </c>
      <c r="K19" s="195">
        <v>0.01</v>
      </c>
      <c r="P19" s="153" t="s">
        <v>98</v>
      </c>
      <c r="Q19" s="153" t="s">
        <v>99</v>
      </c>
      <c r="R19" s="153" t="s">
        <v>100</v>
      </c>
    </row>
    <row r="20" spans="1:18" x14ac:dyDescent="0.25">
      <c r="A20" s="155" t="s">
        <v>69</v>
      </c>
      <c r="B20" s="41"/>
      <c r="D20" s="156" t="s">
        <v>101</v>
      </c>
      <c r="E20" s="153" t="s">
        <v>102</v>
      </c>
      <c r="J20" s="153" t="s">
        <v>103</v>
      </c>
      <c r="K20" s="153" t="s">
        <v>104</v>
      </c>
      <c r="P20" s="153" t="s">
        <v>105</v>
      </c>
      <c r="Q20" s="196">
        <v>0.01</v>
      </c>
      <c r="R20" s="196">
        <v>0.1</v>
      </c>
    </row>
    <row r="21" spans="1:18" x14ac:dyDescent="0.25">
      <c r="A21" s="155" t="s">
        <v>70</v>
      </c>
      <c r="B21" s="41"/>
      <c r="D21" s="244">
        <v>43147</v>
      </c>
      <c r="J21" s="43"/>
      <c r="K21" s="23"/>
      <c r="P21" s="244">
        <v>43147</v>
      </c>
      <c r="Q21" s="23"/>
      <c r="R21" s="23"/>
    </row>
    <row r="22" spans="1:18" x14ac:dyDescent="0.25">
      <c r="A22" s="155" t="s">
        <v>71</v>
      </c>
      <c r="B22" s="41"/>
      <c r="D22" s="244">
        <v>43512</v>
      </c>
      <c r="J22" s="43"/>
      <c r="K22" s="23"/>
      <c r="P22" s="244">
        <v>43512</v>
      </c>
      <c r="Q22" s="23"/>
      <c r="R22" s="23"/>
    </row>
    <row r="23" spans="1:18" x14ac:dyDescent="0.25">
      <c r="A23" s="155" t="s">
        <v>72</v>
      </c>
      <c r="B23" s="41"/>
      <c r="D23" s="244">
        <v>43877</v>
      </c>
      <c r="J23" s="43"/>
      <c r="K23" s="23"/>
      <c r="P23" s="244">
        <v>43877</v>
      </c>
      <c r="Q23" s="23"/>
      <c r="R23" s="23"/>
    </row>
    <row r="24" spans="1:18" x14ac:dyDescent="0.25">
      <c r="A24" s="155" t="s">
        <v>73</v>
      </c>
      <c r="B24" s="41"/>
      <c r="D24" s="244">
        <v>44243</v>
      </c>
      <c r="J24" s="43"/>
      <c r="K24" s="23"/>
      <c r="P24" s="244">
        <v>44243</v>
      </c>
      <c r="Q24" s="23"/>
      <c r="R24" s="23"/>
    </row>
    <row r="25" spans="1:18" x14ac:dyDescent="0.25">
      <c r="A25" s="155" t="s">
        <v>74</v>
      </c>
      <c r="B25" s="41"/>
      <c r="D25" s="244">
        <v>44608</v>
      </c>
      <c r="J25" s="44"/>
      <c r="K25" s="45"/>
      <c r="P25" s="244">
        <v>44608</v>
      </c>
      <c r="Q25" s="23"/>
      <c r="R25" s="23"/>
    </row>
    <row r="26" spans="1:18" x14ac:dyDescent="0.25">
      <c r="D26" s="244">
        <v>44973</v>
      </c>
      <c r="J26" s="43"/>
      <c r="K26" s="23"/>
      <c r="P26" s="244">
        <v>44973</v>
      </c>
      <c r="Q26" s="23"/>
      <c r="R26" s="23"/>
    </row>
    <row r="27" spans="1:18" x14ac:dyDescent="0.25">
      <c r="D27" s="244">
        <v>45338</v>
      </c>
      <c r="J27" s="43"/>
      <c r="K27" s="23"/>
      <c r="P27" s="244">
        <v>45338</v>
      </c>
      <c r="Q27" s="23"/>
      <c r="R27" s="23"/>
    </row>
    <row r="28" spans="1:18" x14ac:dyDescent="0.25">
      <c r="D28" s="244">
        <v>45704</v>
      </c>
      <c r="J28" s="43"/>
      <c r="K28" s="23"/>
      <c r="P28" s="244">
        <v>45704</v>
      </c>
      <c r="Q28" s="23"/>
      <c r="R28" s="23"/>
    </row>
    <row r="29" spans="1:18" x14ac:dyDescent="0.25">
      <c r="D29" s="244">
        <v>46069</v>
      </c>
      <c r="J29" s="43"/>
      <c r="K29" s="23"/>
      <c r="P29" s="244">
        <v>46069</v>
      </c>
      <c r="Q29" s="23"/>
      <c r="R29" s="23"/>
    </row>
    <row r="30" spans="1:18" x14ac:dyDescent="0.25">
      <c r="J30" s="43"/>
      <c r="K30" s="23"/>
      <c r="P30" s="244">
        <v>46706</v>
      </c>
      <c r="Q30" s="23"/>
      <c r="R30" s="23"/>
    </row>
    <row r="31" spans="1:18" x14ac:dyDescent="0.25">
      <c r="J31" s="43"/>
      <c r="K31" s="23"/>
      <c r="P31" s="244">
        <v>47072</v>
      </c>
      <c r="Q31" s="23"/>
      <c r="R31" s="23"/>
    </row>
    <row r="32" spans="1:18" x14ac:dyDescent="0.25">
      <c r="J32" s="43"/>
      <c r="K32" s="23"/>
      <c r="P32" s="244">
        <v>47437</v>
      </c>
      <c r="Q32" s="23"/>
      <c r="R32" s="23"/>
    </row>
    <row r="33" spans="10:18" x14ac:dyDescent="0.25">
      <c r="J33" s="43"/>
      <c r="K33" s="23"/>
      <c r="P33" s="244">
        <v>47802</v>
      </c>
      <c r="Q33" s="23"/>
      <c r="R33" s="23"/>
    </row>
    <row r="34" spans="10:18" x14ac:dyDescent="0.25">
      <c r="J34" s="43"/>
      <c r="K34" s="23"/>
      <c r="P34" s="42"/>
      <c r="Q34" s="23"/>
      <c r="R34" s="23"/>
    </row>
    <row r="35" spans="10:18" x14ac:dyDescent="0.25">
      <c r="J35" s="43"/>
      <c r="K35" s="23"/>
      <c r="P35" s="42"/>
      <c r="Q35" s="23"/>
      <c r="R35" s="23"/>
    </row>
    <row r="36" spans="10:18" x14ac:dyDescent="0.25">
      <c r="J36" s="43"/>
      <c r="K36" s="23"/>
      <c r="P36" s="42"/>
      <c r="Q36" s="23"/>
      <c r="R36" s="23"/>
    </row>
    <row r="37" spans="10:18" x14ac:dyDescent="0.25">
      <c r="J37" s="43"/>
      <c r="K37" s="23"/>
      <c r="P37" s="42"/>
      <c r="Q37" s="23"/>
      <c r="R37" s="23"/>
    </row>
    <row r="38" spans="10:18" x14ac:dyDescent="0.25">
      <c r="J38" s="43"/>
      <c r="K38" s="23"/>
      <c r="P38" s="42"/>
      <c r="Q38" s="23"/>
      <c r="R38" s="23"/>
    </row>
    <row r="39" spans="10:18" x14ac:dyDescent="0.25">
      <c r="J39" s="43"/>
      <c r="K39" s="23"/>
      <c r="P39" s="42"/>
      <c r="Q39" s="23"/>
      <c r="R39" s="23"/>
    </row>
    <row r="40" spans="10:18" x14ac:dyDescent="0.25">
      <c r="J40" s="43"/>
      <c r="K40" s="23"/>
      <c r="P40" s="42"/>
      <c r="Q40" s="23"/>
      <c r="R40" s="23"/>
    </row>
    <row r="41" spans="10:18" x14ac:dyDescent="0.25">
      <c r="J41" s="43"/>
      <c r="K41" s="23"/>
      <c r="P41" s="42"/>
      <c r="Q41" s="23"/>
      <c r="R41" s="23"/>
    </row>
    <row r="42" spans="10:18" x14ac:dyDescent="0.25">
      <c r="J42" s="43"/>
      <c r="K42" s="23"/>
      <c r="P42" s="42"/>
      <c r="Q42" s="23"/>
      <c r="R42" s="23"/>
    </row>
    <row r="43" spans="10:18" x14ac:dyDescent="0.25">
      <c r="J43" s="43"/>
      <c r="K43" s="23"/>
      <c r="P43" s="42"/>
      <c r="Q43" s="23"/>
      <c r="R43" s="23"/>
    </row>
    <row r="44" spans="10:18" x14ac:dyDescent="0.25">
      <c r="J44" s="43"/>
      <c r="K44" s="23"/>
      <c r="P44" s="42"/>
      <c r="Q44" s="23"/>
      <c r="R44" s="23"/>
    </row>
    <row r="45" spans="10:18" x14ac:dyDescent="0.25">
      <c r="J45" s="43"/>
      <c r="K45" s="23"/>
      <c r="P45" s="42"/>
      <c r="Q45" s="23"/>
      <c r="R45" s="23"/>
    </row>
    <row r="46" spans="10:18" x14ac:dyDescent="0.25">
      <c r="J46" s="43"/>
      <c r="K46" s="23"/>
      <c r="P46" s="42"/>
      <c r="Q46" s="23"/>
      <c r="R46" s="23"/>
    </row>
    <row r="47" spans="10:18" x14ac:dyDescent="0.25">
      <c r="J47" s="43"/>
      <c r="K47" s="23"/>
      <c r="P47" s="42"/>
      <c r="Q47" s="23"/>
      <c r="R47" s="23"/>
    </row>
    <row r="48" spans="10:18" x14ac:dyDescent="0.25">
      <c r="J48" s="43"/>
      <c r="K48" s="23"/>
      <c r="P48" s="42"/>
      <c r="Q48" s="23"/>
      <c r="R48" s="23"/>
    </row>
    <row r="49" spans="10:18" x14ac:dyDescent="0.25">
      <c r="J49" s="43"/>
      <c r="K49" s="23"/>
      <c r="P49" s="42"/>
      <c r="Q49" s="23"/>
      <c r="R49" s="23"/>
    </row>
    <row r="50" spans="10:18" x14ac:dyDescent="0.25">
      <c r="J50" s="43"/>
      <c r="K50" s="23"/>
      <c r="Q50" s="23"/>
      <c r="R50" s="23"/>
    </row>
    <row r="51" spans="10:18" x14ac:dyDescent="0.25">
      <c r="J51" s="43"/>
      <c r="K51" s="23"/>
      <c r="Q51" s="23"/>
      <c r="R51" s="23"/>
    </row>
    <row r="52" spans="10:18" x14ac:dyDescent="0.25">
      <c r="J52" s="43"/>
      <c r="K52" s="23"/>
      <c r="Q52" s="23"/>
      <c r="R52" s="23"/>
    </row>
    <row r="53" spans="10:18" x14ac:dyDescent="0.25">
      <c r="J53" s="43"/>
      <c r="K53" s="23"/>
      <c r="Q53" s="23"/>
      <c r="R53" s="23"/>
    </row>
  </sheetData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BondPortfolio!$A$2:$A$11</xm:f>
          </x14:formula1>
          <xm:sqref>B2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ondComparison">
    <tabColor rgb="FFC00000"/>
  </sheetPr>
  <dimension ref="A1:AI30"/>
  <sheetViews>
    <sheetView showGridLines="0" zoomScale="70" zoomScaleNormal="70" workbookViewId="0">
      <selection activeCell="K2" sqref="K2"/>
    </sheetView>
  </sheetViews>
  <sheetFormatPr defaultColWidth="11.5703125" defaultRowHeight="15" x14ac:dyDescent="0.25"/>
  <cols>
    <col min="1" max="1" width="25.85546875" bestFit="1" customWidth="1"/>
    <col min="2" max="3" width="56" bestFit="1" customWidth="1"/>
    <col min="5" max="6" width="15.7109375" customWidth="1"/>
    <col min="7" max="7" width="15.7109375" style="23" customWidth="1"/>
    <col min="8" max="8" width="15.7109375" style="22" customWidth="1"/>
    <col min="9" max="9" width="15.7109375" style="23" customWidth="1"/>
    <col min="11" max="12" width="15.7109375" customWidth="1"/>
    <col min="13" max="13" width="15.7109375" style="23" customWidth="1"/>
    <col min="14" max="14" width="15.7109375" style="22" customWidth="1"/>
    <col min="15" max="15" width="15.7109375" customWidth="1"/>
    <col min="18" max="18" width="11.42578125" style="23"/>
    <col min="20" max="20" width="11.42578125" style="23"/>
    <col min="25" max="25" width="25.7109375" style="22" bestFit="1" customWidth="1"/>
    <col min="26" max="27" width="12.7109375" style="23" customWidth="1"/>
    <col min="32" max="35" width="11.42578125" style="23"/>
  </cols>
  <sheetData>
    <row r="1" spans="1:19" x14ac:dyDescent="0.25">
      <c r="O1" s="23"/>
    </row>
    <row r="2" spans="1:19" ht="15" customHeight="1" x14ac:dyDescent="0.25">
      <c r="A2" s="153" t="s">
        <v>53</v>
      </c>
      <c r="B2" s="247" t="s">
        <v>83</v>
      </c>
      <c r="C2" s="247" t="s">
        <v>85</v>
      </c>
      <c r="E2" s="247" t="str">
        <f>Bond_Comp_1</f>
        <v>AVIVA PLC 1.88% 13/11/2027 EUR</v>
      </c>
      <c r="F2" s="247"/>
      <c r="G2" s="248"/>
      <c r="H2" s="159"/>
      <c r="I2" s="233" t="s">
        <v>106</v>
      </c>
      <c r="K2" s="247" t="str">
        <f>Bond_Comp_2</f>
        <v>BMW FINANCE NV 1.00% 14/11/2024 EUR</v>
      </c>
      <c r="L2" s="153"/>
      <c r="M2" s="158"/>
      <c r="N2" s="159"/>
      <c r="O2" s="233" t="s">
        <v>106</v>
      </c>
      <c r="S2">
        <v>0</v>
      </c>
    </row>
    <row r="3" spans="1:19" x14ac:dyDescent="0.25">
      <c r="A3" s="153" t="s">
        <v>54</v>
      </c>
      <c r="B3" s="36"/>
      <c r="C3" s="36"/>
      <c r="E3" s="153" t="s">
        <v>15</v>
      </c>
      <c r="F3" s="153" t="s">
        <v>107</v>
      </c>
      <c r="G3" s="158" t="s">
        <v>108</v>
      </c>
      <c r="H3" s="159" t="s">
        <v>70</v>
      </c>
      <c r="I3" s="233"/>
      <c r="K3" s="153" t="s">
        <v>15</v>
      </c>
      <c r="L3" s="153" t="s">
        <v>107</v>
      </c>
      <c r="M3" s="158" t="s">
        <v>108</v>
      </c>
      <c r="N3" s="159" t="s">
        <v>70</v>
      </c>
      <c r="O3" s="233"/>
      <c r="S3">
        <v>0</v>
      </c>
    </row>
    <row r="4" spans="1:19" x14ac:dyDescent="0.25">
      <c r="A4" s="153" t="s">
        <v>55</v>
      </c>
      <c r="B4" s="36"/>
      <c r="C4" s="36"/>
      <c r="O4" s="23"/>
      <c r="S4">
        <v>0</v>
      </c>
    </row>
    <row r="5" spans="1:19" x14ac:dyDescent="0.25">
      <c r="A5" s="153" t="s">
        <v>5</v>
      </c>
      <c r="B5" s="36"/>
      <c r="C5" s="36"/>
      <c r="O5" s="23"/>
      <c r="S5">
        <v>0</v>
      </c>
    </row>
    <row r="6" spans="1:19" x14ac:dyDescent="0.25">
      <c r="A6" s="153" t="s">
        <v>56</v>
      </c>
      <c r="B6" s="37"/>
      <c r="C6" s="37"/>
      <c r="O6" s="23"/>
      <c r="S6">
        <v>0</v>
      </c>
    </row>
    <row r="7" spans="1:19" x14ac:dyDescent="0.25">
      <c r="A7" s="153" t="s">
        <v>4</v>
      </c>
      <c r="B7" s="16"/>
      <c r="C7" s="16"/>
      <c r="O7" s="23"/>
      <c r="S7">
        <v>0</v>
      </c>
    </row>
    <row r="8" spans="1:19" x14ac:dyDescent="0.25">
      <c r="A8" s="153" t="s">
        <v>57</v>
      </c>
      <c r="B8" s="38"/>
      <c r="C8" s="38"/>
      <c r="O8" s="23"/>
      <c r="S8">
        <v>0</v>
      </c>
    </row>
    <row r="9" spans="1:19" x14ac:dyDescent="0.25">
      <c r="A9" s="153" t="s">
        <v>58</v>
      </c>
      <c r="B9" s="37"/>
      <c r="C9" s="37"/>
      <c r="O9" s="23"/>
      <c r="S9">
        <v>0</v>
      </c>
    </row>
    <row r="10" spans="1:19" x14ac:dyDescent="0.25">
      <c r="A10" s="153" t="s">
        <v>59</v>
      </c>
      <c r="B10" s="39"/>
      <c r="C10" s="39"/>
      <c r="O10" s="23"/>
      <c r="S10">
        <v>0</v>
      </c>
    </row>
    <row r="11" spans="1:19" x14ac:dyDescent="0.25">
      <c r="A11" s="153" t="s">
        <v>60</v>
      </c>
      <c r="B11" s="36"/>
      <c r="C11" s="36"/>
      <c r="O11" s="23"/>
      <c r="S11">
        <v>0</v>
      </c>
    </row>
    <row r="12" spans="1:19" x14ac:dyDescent="0.25">
      <c r="A12" s="153" t="s">
        <v>61</v>
      </c>
      <c r="B12" s="36"/>
      <c r="C12" s="36"/>
      <c r="O12" s="23"/>
    </row>
    <row r="13" spans="1:19" x14ac:dyDescent="0.25">
      <c r="A13" s="153" t="s">
        <v>62</v>
      </c>
      <c r="B13" s="16"/>
      <c r="C13" s="16"/>
      <c r="O13" s="23"/>
    </row>
    <row r="14" spans="1:19" x14ac:dyDescent="0.25">
      <c r="A14" s="153" t="s">
        <v>63</v>
      </c>
      <c r="B14" s="16"/>
      <c r="C14" s="16"/>
      <c r="O14" s="23"/>
    </row>
    <row r="15" spans="1:19" x14ac:dyDescent="0.25">
      <c r="A15" s="153" t="s">
        <v>95</v>
      </c>
      <c r="B15" s="36"/>
      <c r="C15" s="36"/>
      <c r="O15" s="23"/>
    </row>
    <row r="16" spans="1:19" x14ac:dyDescent="0.25">
      <c r="A16" s="153" t="s">
        <v>65</v>
      </c>
      <c r="B16" s="36"/>
      <c r="C16" s="36"/>
      <c r="O16" s="23"/>
    </row>
    <row r="17" spans="1:35" x14ac:dyDescent="0.25">
      <c r="A17" s="153" t="s">
        <v>66</v>
      </c>
      <c r="B17" s="39"/>
      <c r="C17" s="39"/>
      <c r="O17" s="23"/>
    </row>
    <row r="18" spans="1:35" x14ac:dyDescent="0.25">
      <c r="A18" s="153" t="s">
        <v>67</v>
      </c>
      <c r="B18" s="37"/>
      <c r="C18" s="37"/>
      <c r="O18" s="23"/>
    </row>
    <row r="19" spans="1:35" x14ac:dyDescent="0.25">
      <c r="A19" s="154" t="s">
        <v>68</v>
      </c>
      <c r="B19" s="40"/>
      <c r="C19" s="40"/>
      <c r="O19" s="23"/>
      <c r="Q19" s="156" t="s">
        <v>96</v>
      </c>
      <c r="R19" s="158"/>
      <c r="S19" s="153"/>
      <c r="T19" s="158"/>
      <c r="U19" s="153"/>
      <c r="Y19" s="159" t="s">
        <v>97</v>
      </c>
      <c r="Z19" s="195">
        <v>0.01</v>
      </c>
      <c r="AA19" s="160"/>
      <c r="AE19" s="153" t="s">
        <v>98</v>
      </c>
      <c r="AF19" s="158" t="s">
        <v>99</v>
      </c>
      <c r="AG19" s="158"/>
      <c r="AH19" s="158" t="s">
        <v>100</v>
      </c>
      <c r="AI19" s="158"/>
    </row>
    <row r="20" spans="1:35" x14ac:dyDescent="0.25">
      <c r="A20" s="155" t="s">
        <v>69</v>
      </c>
      <c r="B20" s="41"/>
      <c r="C20" s="41"/>
      <c r="O20" s="23"/>
      <c r="Q20" s="156" t="s">
        <v>101</v>
      </c>
      <c r="R20" s="158" t="s">
        <v>102</v>
      </c>
      <c r="S20" s="156" t="s">
        <v>101</v>
      </c>
      <c r="T20" s="158" t="s">
        <v>102</v>
      </c>
      <c r="U20" s="153" t="s">
        <v>149</v>
      </c>
      <c r="Y20" s="159" t="s">
        <v>103</v>
      </c>
      <c r="Z20" s="158" t="s">
        <v>150</v>
      </c>
      <c r="AA20" s="158" t="s">
        <v>151</v>
      </c>
      <c r="AE20" s="153" t="s">
        <v>105</v>
      </c>
      <c r="AF20" s="195">
        <v>0.01</v>
      </c>
      <c r="AG20" s="157"/>
      <c r="AH20" s="195">
        <v>0.1</v>
      </c>
      <c r="AI20" s="157"/>
    </row>
    <row r="21" spans="1:35" x14ac:dyDescent="0.25">
      <c r="A21" s="155" t="s">
        <v>70</v>
      </c>
      <c r="B21" s="41"/>
      <c r="C21" s="41"/>
      <c r="Q21" s="244">
        <v>43417</v>
      </c>
      <c r="S21" s="244">
        <v>43418</v>
      </c>
      <c r="U21" s="246">
        <v>2018</v>
      </c>
      <c r="AE21" s="245">
        <v>2018</v>
      </c>
    </row>
    <row r="22" spans="1:35" x14ac:dyDescent="0.25">
      <c r="A22" s="155" t="s">
        <v>71</v>
      </c>
      <c r="B22" s="41"/>
      <c r="C22" s="41"/>
      <c r="Q22" s="244">
        <v>43782</v>
      </c>
      <c r="S22" s="244">
        <v>43783</v>
      </c>
      <c r="U22" s="246">
        <v>2019</v>
      </c>
      <c r="AE22" s="245">
        <v>2019</v>
      </c>
    </row>
    <row r="23" spans="1:35" x14ac:dyDescent="0.25">
      <c r="A23" s="155" t="s">
        <v>72</v>
      </c>
      <c r="B23" s="41"/>
      <c r="C23" s="41"/>
      <c r="Q23" s="244">
        <v>44148</v>
      </c>
      <c r="S23" s="244">
        <v>44149</v>
      </c>
      <c r="U23" s="246">
        <v>2020</v>
      </c>
      <c r="AE23" s="245">
        <v>2020</v>
      </c>
    </row>
    <row r="24" spans="1:35" x14ac:dyDescent="0.25">
      <c r="A24" s="155" t="s">
        <v>73</v>
      </c>
      <c r="B24" s="41"/>
      <c r="C24" s="41"/>
      <c r="Q24" s="244">
        <v>44513</v>
      </c>
      <c r="S24" s="244">
        <v>44514</v>
      </c>
      <c r="U24" s="246">
        <v>2021</v>
      </c>
      <c r="AE24" s="245">
        <v>2021</v>
      </c>
    </row>
    <row r="25" spans="1:35" x14ac:dyDescent="0.25">
      <c r="A25" s="155" t="s">
        <v>74</v>
      </c>
      <c r="B25" s="41"/>
      <c r="C25" s="41"/>
      <c r="Q25" s="244">
        <v>44878</v>
      </c>
      <c r="S25" s="244">
        <v>44879</v>
      </c>
      <c r="U25" s="246">
        <v>2022</v>
      </c>
      <c r="AE25" s="245">
        <v>2022</v>
      </c>
    </row>
    <row r="26" spans="1:35" x14ac:dyDescent="0.25">
      <c r="Q26" s="244">
        <v>45243</v>
      </c>
      <c r="S26" s="244">
        <v>45244</v>
      </c>
      <c r="U26" s="246">
        <v>2023</v>
      </c>
      <c r="AE26" s="245">
        <v>2023</v>
      </c>
    </row>
    <row r="27" spans="1:35" x14ac:dyDescent="0.25">
      <c r="Q27" s="244">
        <v>45609</v>
      </c>
      <c r="S27" s="244">
        <v>45610</v>
      </c>
      <c r="U27" s="246">
        <v>2024</v>
      </c>
      <c r="AE27" s="245">
        <v>2024</v>
      </c>
    </row>
    <row r="28" spans="1:35" x14ac:dyDescent="0.25">
      <c r="Q28" s="244">
        <v>45974</v>
      </c>
      <c r="U28" s="246">
        <v>2025</v>
      </c>
      <c r="AE28" s="245">
        <v>2025</v>
      </c>
    </row>
    <row r="29" spans="1:35" x14ac:dyDescent="0.25">
      <c r="Q29" s="244">
        <v>46339</v>
      </c>
      <c r="U29" s="246">
        <v>2026</v>
      </c>
      <c r="AE29" s="245">
        <v>2026</v>
      </c>
    </row>
    <row r="30" spans="1:35" x14ac:dyDescent="0.25">
      <c r="Q30" s="244">
        <v>46704</v>
      </c>
      <c r="U30" s="246">
        <v>2027</v>
      </c>
      <c r="AE30" s="245">
        <v>2027</v>
      </c>
    </row>
  </sheetData>
  <mergeCells count="2">
    <mergeCell ref="I2:I3"/>
    <mergeCell ref="O2:O3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BondPortfolio!$A$2:$A$11</xm:f>
          </x14:formula1>
          <xm:sqref>B2 C2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OptionPortfolio">
    <tabColor rgb="FF92D050"/>
  </sheetPr>
  <dimension ref="A2:W30"/>
  <sheetViews>
    <sheetView showGridLines="0" zoomScale="70" zoomScaleNormal="70" workbookViewId="0">
      <selection activeCell="A7" sqref="A7:A8"/>
    </sheetView>
  </sheetViews>
  <sheetFormatPr defaultColWidth="11.42578125" defaultRowHeight="15" x14ac:dyDescent="0.25"/>
  <cols>
    <col min="1" max="1" width="31.5703125" bestFit="1" customWidth="1"/>
    <col min="2" max="2" width="28.85546875" bestFit="1" customWidth="1"/>
    <col min="3" max="3" width="29.140625" bestFit="1" customWidth="1"/>
    <col min="4" max="4" width="21" bestFit="1" customWidth="1"/>
    <col min="5" max="5" width="16.42578125" bestFit="1" customWidth="1"/>
    <col min="6" max="6" width="27.7109375" bestFit="1" customWidth="1"/>
    <col min="7" max="7" width="14.85546875" bestFit="1" customWidth="1"/>
    <col min="8" max="8" width="17.28515625" bestFit="1" customWidth="1"/>
    <col min="9" max="9" width="37.28515625" bestFit="1" customWidth="1"/>
    <col min="10" max="10" width="13.140625" bestFit="1" customWidth="1"/>
    <col min="11" max="11" width="10.7109375" bestFit="1" customWidth="1"/>
    <col min="12" max="12" width="16" bestFit="1" customWidth="1"/>
    <col min="13" max="13" width="8.140625" bestFit="1" customWidth="1"/>
    <col min="14" max="14" width="10.140625" bestFit="1" customWidth="1"/>
    <col min="15" max="15" width="8.28515625" bestFit="1" customWidth="1"/>
    <col min="16" max="16" width="9.5703125" bestFit="1" customWidth="1"/>
    <col min="17" max="17" width="7.85546875" bestFit="1" customWidth="1"/>
    <col min="18" max="18" width="13.5703125" bestFit="1" customWidth="1"/>
    <col min="19" max="19" width="27.28515625" bestFit="1" customWidth="1"/>
    <col min="20" max="20" width="9.5703125" customWidth="1"/>
    <col min="21" max="21" width="9.5703125" bestFit="1" customWidth="1"/>
    <col min="22" max="22" width="15.42578125" bestFit="1" customWidth="1"/>
  </cols>
  <sheetData>
    <row r="2" spans="1:23" s="175" customFormat="1" ht="50.1" customHeight="1" x14ac:dyDescent="0.25"/>
    <row r="3" spans="1:23" s="175" customFormat="1" ht="50.1" customHeight="1" x14ac:dyDescent="0.25"/>
    <row r="5" spans="1:23" ht="15.75" thickBot="1" x14ac:dyDescent="0.3">
      <c r="S5" s="14"/>
      <c r="T5" s="14"/>
      <c r="U5" s="14"/>
    </row>
    <row r="6" spans="1:23" s="13" customFormat="1" x14ac:dyDescent="0.25">
      <c r="A6" s="102" t="s">
        <v>135</v>
      </c>
      <c r="B6" s="103" t="s">
        <v>144</v>
      </c>
      <c r="C6" s="103" t="s">
        <v>143</v>
      </c>
      <c r="D6" s="103" t="s">
        <v>142</v>
      </c>
      <c r="E6" s="104" t="s">
        <v>141</v>
      </c>
      <c r="F6" s="105" t="s">
        <v>140</v>
      </c>
      <c r="G6" s="103" t="s">
        <v>132</v>
      </c>
      <c r="H6" s="103" t="s">
        <v>130</v>
      </c>
      <c r="I6" s="103" t="s">
        <v>139</v>
      </c>
      <c r="J6" s="118" t="s">
        <v>138</v>
      </c>
      <c r="K6" s="105" t="s">
        <v>112</v>
      </c>
      <c r="L6" s="118" t="s">
        <v>127</v>
      </c>
      <c r="M6" s="105" t="s">
        <v>126</v>
      </c>
      <c r="N6" s="107" t="s">
        <v>125</v>
      </c>
      <c r="O6" s="105" t="s">
        <v>124</v>
      </c>
      <c r="P6" s="105" t="s">
        <v>123</v>
      </c>
      <c r="Q6" s="105" t="s">
        <v>122</v>
      </c>
      <c r="R6" s="106" t="s">
        <v>5</v>
      </c>
      <c r="S6" s="106" t="s">
        <v>121</v>
      </c>
      <c r="T6" s="106" t="s">
        <v>137</v>
      </c>
      <c r="U6" s="103" t="s">
        <v>70</v>
      </c>
      <c r="V6" s="130" t="s">
        <v>4</v>
      </c>
    </row>
    <row r="7" spans="1:23" s="129" customFormat="1" x14ac:dyDescent="0.25">
      <c r="A7" s="131"/>
      <c r="B7" s="132"/>
      <c r="C7" s="132"/>
      <c r="D7" s="132"/>
      <c r="E7" s="133"/>
      <c r="F7" s="132"/>
      <c r="G7" s="132"/>
      <c r="H7" s="108"/>
      <c r="I7" s="134"/>
      <c r="J7" s="135"/>
      <c r="K7" s="136"/>
      <c r="L7" s="137"/>
      <c r="M7" s="138"/>
      <c r="N7" s="138"/>
      <c r="O7" s="138"/>
      <c r="P7" s="138"/>
      <c r="Q7" s="138"/>
      <c r="R7" s="139"/>
      <c r="S7" s="138"/>
      <c r="T7" s="138"/>
      <c r="U7" s="140"/>
      <c r="V7" s="141"/>
      <c r="W7" s="96"/>
    </row>
    <row r="8" spans="1:23" s="129" customFormat="1" ht="15.75" thickBot="1" x14ac:dyDescent="0.3">
      <c r="A8" s="142"/>
      <c r="B8" s="143"/>
      <c r="C8" s="143"/>
      <c r="D8" s="143"/>
      <c r="E8" s="144"/>
      <c r="F8" s="143"/>
      <c r="G8" s="143"/>
      <c r="H8" s="109"/>
      <c r="I8" s="145"/>
      <c r="J8" s="146"/>
      <c r="K8" s="147"/>
      <c r="L8" s="148"/>
      <c r="M8" s="149"/>
      <c r="N8" s="149"/>
      <c r="O8" s="149"/>
      <c r="P8" s="149"/>
      <c r="Q8" s="149"/>
      <c r="R8" s="150"/>
      <c r="S8" s="149"/>
      <c r="T8" s="149"/>
      <c r="U8" s="151"/>
      <c r="V8" s="152"/>
      <c r="W8" s="96"/>
    </row>
    <row r="9" spans="1:23" ht="15.75" thickBot="1" x14ac:dyDescent="0.3">
      <c r="A9" s="94"/>
      <c r="B9" s="94"/>
      <c r="C9" s="94"/>
      <c r="D9" s="93"/>
      <c r="E9" s="93"/>
      <c r="F9" s="95"/>
      <c r="G9" s="94"/>
      <c r="H9" s="94"/>
      <c r="I9" s="94"/>
      <c r="J9" s="96"/>
      <c r="K9" s="97"/>
      <c r="L9" s="98"/>
      <c r="M9" s="97"/>
      <c r="N9" s="99"/>
      <c r="O9" s="97"/>
      <c r="P9" s="97"/>
      <c r="Q9" s="97"/>
      <c r="R9" s="94"/>
      <c r="S9" s="98"/>
      <c r="T9" s="91"/>
      <c r="U9" s="92"/>
      <c r="V9" s="94"/>
      <c r="W9" s="94"/>
    </row>
    <row r="10" spans="1:23" ht="15.75" thickBot="1" x14ac:dyDescent="0.3">
      <c r="A10" s="94"/>
      <c r="B10" s="94"/>
      <c r="C10" s="94"/>
      <c r="D10" s="93"/>
      <c r="E10" s="93"/>
      <c r="F10" s="95"/>
      <c r="G10" s="94"/>
      <c r="H10" s="94"/>
      <c r="I10" s="94"/>
      <c r="J10" s="96"/>
      <c r="K10" s="97"/>
      <c r="L10" s="98"/>
      <c r="M10" s="97"/>
      <c r="N10" s="99"/>
      <c r="O10" s="97"/>
      <c r="P10" s="97"/>
      <c r="Q10" s="97"/>
      <c r="R10" s="94"/>
      <c r="S10" s="98"/>
      <c r="T10" s="79">
        <v>-16.981443458727025</v>
      </c>
      <c r="U10" s="80">
        <v>1</v>
      </c>
      <c r="V10" s="94"/>
      <c r="W10" s="94"/>
    </row>
    <row r="11" spans="1:23" x14ac:dyDescent="0.25">
      <c r="A11" s="94"/>
      <c r="B11" s="93"/>
      <c r="C11" s="94"/>
      <c r="D11" s="93"/>
      <c r="E11" s="93"/>
      <c r="F11" s="95"/>
      <c r="G11" s="94"/>
      <c r="H11" s="94"/>
      <c r="I11" s="94"/>
      <c r="J11" s="96"/>
      <c r="K11" s="97"/>
      <c r="L11" s="98"/>
      <c r="M11" s="97"/>
      <c r="N11" s="99"/>
      <c r="O11" s="97"/>
      <c r="P11" s="97"/>
      <c r="Q11" s="97"/>
      <c r="R11" s="94"/>
      <c r="S11" s="98"/>
      <c r="T11" s="91"/>
      <c r="U11" s="94"/>
      <c r="V11" s="94"/>
      <c r="W11" s="94"/>
    </row>
    <row r="12" spans="1:23" x14ac:dyDescent="0.25">
      <c r="A12" s="94"/>
      <c r="B12" s="93"/>
      <c r="C12" s="94"/>
      <c r="D12" s="93"/>
      <c r="E12" s="93"/>
      <c r="F12" s="95"/>
      <c r="G12" s="94"/>
      <c r="H12" s="94"/>
      <c r="I12" s="94"/>
      <c r="J12" s="96"/>
      <c r="K12" s="97"/>
      <c r="L12" s="98"/>
      <c r="M12" s="97"/>
      <c r="N12" s="99"/>
      <c r="O12" s="97"/>
      <c r="P12" s="97"/>
      <c r="Q12" s="97"/>
      <c r="R12" s="94"/>
      <c r="S12" s="98"/>
      <c r="T12" s="91"/>
      <c r="U12" s="94"/>
      <c r="V12" s="94"/>
      <c r="W12" s="94"/>
    </row>
    <row r="13" spans="1:23" x14ac:dyDescent="0.25">
      <c r="A13" s="94"/>
      <c r="B13" s="93"/>
      <c r="C13" s="94"/>
      <c r="D13" s="93"/>
      <c r="E13" s="93"/>
      <c r="F13" s="95"/>
      <c r="G13" s="94"/>
      <c r="H13" s="94"/>
      <c r="I13" s="94"/>
      <c r="J13" s="100"/>
      <c r="K13" s="97"/>
      <c r="L13" s="101"/>
      <c r="M13" s="97"/>
      <c r="N13" s="99"/>
      <c r="O13" s="97"/>
      <c r="P13" s="97"/>
      <c r="Q13" s="97"/>
      <c r="R13" s="94"/>
      <c r="S13" s="98"/>
      <c r="T13" s="91"/>
      <c r="U13" s="94"/>
      <c r="V13" s="94"/>
      <c r="W13" s="94"/>
    </row>
    <row r="14" spans="1:23" x14ac:dyDescent="0.25">
      <c r="A14" s="94"/>
      <c r="B14" s="93"/>
      <c r="C14" s="94"/>
      <c r="D14" s="93"/>
      <c r="E14" s="93"/>
      <c r="F14" s="95"/>
      <c r="G14" s="94"/>
      <c r="H14" s="94"/>
      <c r="I14" s="94"/>
      <c r="J14" s="96"/>
      <c r="K14" s="97"/>
      <c r="L14" s="98"/>
      <c r="M14" s="97"/>
      <c r="N14" s="99"/>
      <c r="O14" s="97"/>
      <c r="P14" s="97"/>
      <c r="Q14" s="97"/>
      <c r="R14" s="94"/>
      <c r="S14" s="98"/>
      <c r="T14" s="91"/>
      <c r="U14" s="94"/>
      <c r="V14" s="94"/>
      <c r="W14" s="94"/>
    </row>
    <row r="15" spans="1:23" x14ac:dyDescent="0.25">
      <c r="A15" s="94"/>
      <c r="B15" s="93"/>
      <c r="C15" s="94"/>
      <c r="D15" s="93"/>
      <c r="E15" s="93"/>
      <c r="F15" s="95"/>
      <c r="G15" s="94"/>
      <c r="H15" s="94"/>
      <c r="I15" s="94"/>
      <c r="J15" s="96"/>
      <c r="K15" s="97"/>
      <c r="L15" s="98"/>
      <c r="M15" s="97"/>
      <c r="N15" s="99"/>
      <c r="O15" s="97"/>
      <c r="P15" s="97"/>
      <c r="Q15" s="97"/>
      <c r="R15" s="94"/>
      <c r="S15" s="98"/>
      <c r="T15" s="91"/>
      <c r="U15" s="94"/>
      <c r="V15" s="94"/>
      <c r="W15" s="94"/>
    </row>
    <row r="16" spans="1:23" x14ac:dyDescent="0.25">
      <c r="A16" s="94"/>
      <c r="B16" s="93"/>
      <c r="C16" s="94"/>
      <c r="D16" s="93"/>
      <c r="E16" s="93"/>
      <c r="F16" s="95"/>
      <c r="G16" s="94"/>
      <c r="H16" s="94"/>
      <c r="I16" s="94"/>
      <c r="J16" s="96"/>
      <c r="K16" s="97"/>
      <c r="L16" s="98"/>
      <c r="M16" s="97"/>
      <c r="N16" s="99"/>
      <c r="O16" s="97"/>
      <c r="P16" s="97"/>
      <c r="Q16" s="97"/>
      <c r="R16" s="94"/>
      <c r="S16" s="98"/>
      <c r="T16" s="91"/>
      <c r="U16" s="94"/>
      <c r="V16" s="94"/>
      <c r="W16" s="94"/>
    </row>
    <row r="17" spans="1:23" x14ac:dyDescent="0.25">
      <c r="A17" s="94"/>
      <c r="B17" s="93"/>
      <c r="C17" s="94"/>
      <c r="D17" s="93"/>
      <c r="E17" s="93"/>
      <c r="F17" s="95"/>
      <c r="G17" s="94"/>
      <c r="H17" s="94"/>
      <c r="I17" s="94"/>
      <c r="J17" s="96"/>
      <c r="K17" s="97"/>
      <c r="L17" s="98"/>
      <c r="M17" s="97"/>
      <c r="N17" s="99"/>
      <c r="O17" s="97"/>
      <c r="P17" s="97"/>
      <c r="Q17" s="97"/>
      <c r="R17" s="94"/>
      <c r="S17" s="98"/>
      <c r="T17" s="91"/>
      <c r="U17" s="94"/>
      <c r="V17" s="94"/>
      <c r="W17" s="94"/>
    </row>
    <row r="18" spans="1:23" x14ac:dyDescent="0.25">
      <c r="A18" s="94"/>
      <c r="B18" s="93"/>
      <c r="C18" s="94"/>
      <c r="D18" s="93"/>
      <c r="E18" s="93"/>
      <c r="F18" s="95"/>
      <c r="G18" s="94"/>
      <c r="H18" s="94"/>
      <c r="I18" s="94"/>
      <c r="J18" s="100"/>
      <c r="K18" s="97"/>
      <c r="L18" s="101"/>
      <c r="M18" s="97"/>
      <c r="N18" s="99"/>
      <c r="O18" s="97"/>
      <c r="P18" s="97"/>
      <c r="Q18" s="97"/>
      <c r="R18" s="94"/>
      <c r="S18" s="98"/>
      <c r="T18" s="91"/>
      <c r="U18" s="94"/>
      <c r="V18" s="94"/>
      <c r="W18" s="94"/>
    </row>
    <row r="19" spans="1:23" x14ac:dyDescent="0.25">
      <c r="A19" s="94"/>
      <c r="B19" s="93"/>
      <c r="C19" s="94"/>
      <c r="D19" s="93"/>
      <c r="E19" s="93"/>
      <c r="F19" s="95"/>
      <c r="G19" s="94"/>
      <c r="H19" s="94"/>
      <c r="I19" s="94"/>
      <c r="J19" s="96"/>
      <c r="K19" s="97"/>
      <c r="L19" s="98"/>
      <c r="M19" s="97"/>
      <c r="N19" s="99"/>
      <c r="O19" s="97"/>
      <c r="P19" s="97"/>
      <c r="Q19" s="97"/>
      <c r="R19" s="94"/>
      <c r="S19" s="98"/>
      <c r="T19" s="91"/>
      <c r="U19" s="94"/>
      <c r="V19" s="94"/>
      <c r="W19" s="94"/>
    </row>
    <row r="20" spans="1:23" x14ac:dyDescent="0.25">
      <c r="A20" s="94"/>
      <c r="B20" s="93"/>
      <c r="C20" s="94"/>
      <c r="D20" s="93"/>
      <c r="E20" s="93"/>
      <c r="F20" s="95"/>
      <c r="G20" s="94"/>
      <c r="H20" s="94"/>
      <c r="I20" s="94"/>
      <c r="J20" s="96"/>
      <c r="K20" s="97"/>
      <c r="L20" s="98"/>
      <c r="M20" s="97"/>
      <c r="N20" s="99"/>
      <c r="O20" s="97"/>
      <c r="P20" s="97"/>
      <c r="Q20" s="97"/>
      <c r="R20" s="94"/>
      <c r="S20" s="98"/>
      <c r="T20" s="91"/>
      <c r="U20" s="94"/>
      <c r="V20" s="94"/>
      <c r="W20" s="94"/>
    </row>
    <row r="21" spans="1:23" x14ac:dyDescent="0.25">
      <c r="A21" s="94"/>
      <c r="B21" s="93"/>
      <c r="C21" s="94"/>
      <c r="D21" s="93"/>
      <c r="E21" s="93"/>
      <c r="F21" s="95"/>
      <c r="G21" s="94"/>
      <c r="H21" s="94"/>
      <c r="I21" s="94"/>
      <c r="J21" s="96"/>
      <c r="K21" s="97"/>
      <c r="L21" s="98"/>
      <c r="M21" s="97"/>
      <c r="N21" s="99"/>
      <c r="O21" s="97"/>
      <c r="P21" s="97"/>
      <c r="Q21" s="97"/>
      <c r="R21" s="94"/>
      <c r="S21" s="98"/>
      <c r="T21" s="91"/>
      <c r="U21" s="94"/>
      <c r="V21" s="94"/>
      <c r="W21" s="94"/>
    </row>
    <row r="22" spans="1:23" x14ac:dyDescent="0.25">
      <c r="A22" s="94"/>
      <c r="B22" s="93"/>
      <c r="C22" s="94"/>
      <c r="D22" s="93"/>
      <c r="E22" s="93"/>
      <c r="F22" s="95"/>
      <c r="G22" s="94"/>
      <c r="H22" s="94"/>
      <c r="I22" s="94"/>
      <c r="J22" s="96"/>
      <c r="K22" s="97"/>
      <c r="L22" s="98"/>
      <c r="M22" s="97"/>
      <c r="N22" s="99"/>
      <c r="O22" s="97"/>
      <c r="P22" s="97"/>
      <c r="Q22" s="97"/>
      <c r="R22" s="94"/>
      <c r="S22" s="98"/>
      <c r="T22" s="91"/>
      <c r="U22" s="94"/>
      <c r="V22" s="94"/>
      <c r="W22" s="94"/>
    </row>
    <row r="23" spans="1:23" x14ac:dyDescent="0.25">
      <c r="A23" s="94"/>
      <c r="B23" s="93"/>
      <c r="C23" s="94"/>
      <c r="D23" s="93"/>
      <c r="E23" s="93"/>
      <c r="F23" s="95"/>
      <c r="G23" s="94"/>
      <c r="H23" s="94"/>
      <c r="I23" s="94"/>
      <c r="J23" s="100"/>
      <c r="K23" s="97"/>
      <c r="L23" s="101"/>
      <c r="M23" s="97"/>
      <c r="N23" s="99"/>
      <c r="O23" s="97"/>
      <c r="P23" s="97"/>
      <c r="Q23" s="97"/>
      <c r="R23" s="94"/>
      <c r="S23" s="98"/>
      <c r="T23" s="91"/>
      <c r="U23" s="94"/>
      <c r="V23" s="94"/>
      <c r="W23" s="94"/>
    </row>
    <row r="24" spans="1:23" x14ac:dyDescent="0.25">
      <c r="B24" s="16"/>
      <c r="D24" s="16"/>
      <c r="E24" s="16"/>
      <c r="F24" s="64"/>
      <c r="J24" s="63"/>
      <c r="K24" s="61"/>
      <c r="L24" s="21"/>
      <c r="M24" s="61"/>
      <c r="N24" s="62"/>
      <c r="O24" s="61"/>
      <c r="P24" s="61"/>
      <c r="Q24" s="61"/>
      <c r="S24" s="21"/>
      <c r="T24" s="60"/>
    </row>
    <row r="25" spans="1:23" x14ac:dyDescent="0.25">
      <c r="B25" s="16"/>
      <c r="D25" s="16"/>
      <c r="E25" s="16"/>
      <c r="F25" s="64"/>
      <c r="J25" s="63"/>
      <c r="K25" s="61"/>
      <c r="L25" s="21"/>
      <c r="M25" s="61"/>
      <c r="N25" s="62"/>
      <c r="O25" s="61"/>
      <c r="P25" s="61"/>
      <c r="Q25" s="61"/>
      <c r="S25" s="21"/>
      <c r="T25" s="60"/>
    </row>
    <row r="26" spans="1:23" x14ac:dyDescent="0.25">
      <c r="B26" s="71"/>
      <c r="C26" s="35"/>
      <c r="D26" s="71"/>
      <c r="E26" s="71"/>
      <c r="F26" s="70"/>
      <c r="G26" s="35"/>
      <c r="H26" s="35"/>
      <c r="I26" s="35"/>
      <c r="J26" s="63"/>
      <c r="K26" s="68"/>
      <c r="L26" s="67"/>
      <c r="M26" s="68"/>
      <c r="N26" s="69"/>
      <c r="O26" s="68"/>
      <c r="P26" s="68"/>
      <c r="Q26" s="68"/>
      <c r="R26" s="35"/>
      <c r="S26" s="67"/>
      <c r="T26" s="60"/>
    </row>
    <row r="27" spans="1:23" x14ac:dyDescent="0.25">
      <c r="B27" s="16"/>
      <c r="D27" s="16"/>
      <c r="E27" s="16"/>
      <c r="F27" s="64"/>
      <c r="J27" s="63"/>
      <c r="K27" s="61"/>
      <c r="L27" s="21"/>
      <c r="M27" s="61"/>
      <c r="N27" s="62"/>
      <c r="O27" s="61"/>
      <c r="P27" s="61"/>
      <c r="Q27" s="61"/>
      <c r="S27" s="21"/>
      <c r="T27" s="60"/>
    </row>
    <row r="28" spans="1:23" x14ac:dyDescent="0.25">
      <c r="B28" s="16"/>
      <c r="D28" s="16"/>
      <c r="E28" s="16"/>
      <c r="F28" s="64"/>
      <c r="J28" s="66"/>
      <c r="K28" s="61"/>
      <c r="L28" s="65"/>
      <c r="M28" s="61"/>
      <c r="N28" s="62"/>
      <c r="O28" s="61"/>
      <c r="P28" s="61"/>
      <c r="Q28" s="61"/>
      <c r="S28" s="21"/>
      <c r="T28" s="60"/>
    </row>
    <row r="29" spans="1:23" x14ac:dyDescent="0.25">
      <c r="D29" s="16"/>
      <c r="E29" s="16"/>
      <c r="F29" s="64"/>
      <c r="J29" s="63"/>
      <c r="K29" s="61"/>
      <c r="L29" s="21"/>
      <c r="M29" s="61"/>
      <c r="N29" s="62"/>
      <c r="O29" s="61"/>
      <c r="P29" s="61"/>
      <c r="Q29" s="61"/>
      <c r="S29" s="21"/>
      <c r="T29" s="60"/>
    </row>
    <row r="30" spans="1:23" x14ac:dyDescent="0.25">
      <c r="D30" s="16"/>
      <c r="E30" s="16"/>
      <c r="F30" s="64"/>
      <c r="J30" s="63"/>
      <c r="K30" s="61"/>
      <c r="L30" s="21"/>
      <c r="M30" s="61"/>
      <c r="N30" s="62"/>
      <c r="O30" s="61"/>
      <c r="P30" s="61"/>
      <c r="Q30" s="61"/>
      <c r="S30" s="21"/>
      <c r="T30" s="60"/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OptionAnalysis">
    <tabColor rgb="FF92D050"/>
  </sheetPr>
  <dimension ref="A1:S18"/>
  <sheetViews>
    <sheetView showGridLines="0" topLeftCell="C1" zoomScale="70" zoomScaleNormal="70" workbookViewId="0">
      <selection activeCell="F5" sqref="F5:S13"/>
    </sheetView>
  </sheetViews>
  <sheetFormatPr defaultColWidth="11.42578125" defaultRowHeight="15" x14ac:dyDescent="0.25"/>
  <cols>
    <col min="1" max="1" width="21.28515625" bestFit="1" customWidth="1"/>
    <col min="2" max="2" width="32.85546875" bestFit="1" customWidth="1"/>
  </cols>
  <sheetData>
    <row r="1" spans="1:19" x14ac:dyDescent="0.25">
      <c r="A1" s="183" t="s">
        <v>135</v>
      </c>
      <c r="B1" s="249" t="s">
        <v>136</v>
      </c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</row>
    <row r="2" spans="1:19" x14ac:dyDescent="0.25">
      <c r="A2" s="183" t="s">
        <v>133</v>
      </c>
      <c r="B2" s="185"/>
      <c r="F2" s="234" t="s">
        <v>134</v>
      </c>
      <c r="G2" s="235"/>
      <c r="H2" s="235"/>
      <c r="I2" s="238" t="s">
        <v>132</v>
      </c>
      <c r="J2" s="238"/>
    </row>
    <row r="3" spans="1:19" x14ac:dyDescent="0.25">
      <c r="A3" s="183" t="s">
        <v>132</v>
      </c>
      <c r="B3" s="185"/>
      <c r="F3" s="236"/>
      <c r="G3" s="237"/>
      <c r="H3" s="237"/>
      <c r="I3" s="239"/>
      <c r="J3" s="239"/>
    </row>
    <row r="4" spans="1:19" x14ac:dyDescent="0.25">
      <c r="A4" s="184" t="s">
        <v>112</v>
      </c>
      <c r="B4" s="185"/>
      <c r="F4" s="194" t="s">
        <v>133</v>
      </c>
      <c r="G4" s="194" t="s">
        <v>132</v>
      </c>
      <c r="H4" s="194" t="s">
        <v>112</v>
      </c>
      <c r="I4" s="194" t="s">
        <v>131</v>
      </c>
      <c r="J4" s="194" t="s">
        <v>129</v>
      </c>
      <c r="K4" s="194" t="s">
        <v>128</v>
      </c>
      <c r="L4" s="194" t="s">
        <v>127</v>
      </c>
      <c r="M4" s="194" t="s">
        <v>126</v>
      </c>
      <c r="N4" s="194" t="s">
        <v>125</v>
      </c>
      <c r="O4" s="194" t="s">
        <v>124</v>
      </c>
      <c r="P4" s="194" t="s">
        <v>123</v>
      </c>
      <c r="Q4" s="194" t="s">
        <v>122</v>
      </c>
      <c r="R4" s="194" t="s">
        <v>5</v>
      </c>
      <c r="S4" s="194" t="s">
        <v>121</v>
      </c>
    </row>
    <row r="5" spans="1:19" x14ac:dyDescent="0.25">
      <c r="A5" s="183" t="s">
        <v>130</v>
      </c>
      <c r="B5" s="186"/>
      <c r="F5" s="56"/>
      <c r="G5" s="56"/>
      <c r="H5" s="58"/>
      <c r="I5" s="58"/>
      <c r="J5" s="58"/>
      <c r="K5" s="56"/>
      <c r="L5" s="55"/>
      <c r="M5" s="57"/>
      <c r="N5" s="57"/>
      <c r="O5" s="57"/>
      <c r="P5" s="57"/>
      <c r="Q5" s="57"/>
      <c r="R5" s="56"/>
      <c r="S5" s="55"/>
    </row>
    <row r="6" spans="1:19" x14ac:dyDescent="0.25">
      <c r="A6" s="183" t="s">
        <v>129</v>
      </c>
      <c r="B6" s="185"/>
      <c r="F6" s="56"/>
      <c r="G6" s="56"/>
      <c r="H6" s="58"/>
      <c r="I6" s="58"/>
      <c r="J6" s="58"/>
      <c r="K6" s="56"/>
      <c r="L6" s="55"/>
      <c r="M6" s="57"/>
      <c r="N6" s="57"/>
      <c r="O6" s="57"/>
      <c r="P6" s="57"/>
      <c r="Q6" s="57"/>
      <c r="R6" s="56"/>
      <c r="S6" s="55"/>
    </row>
    <row r="7" spans="1:19" x14ac:dyDescent="0.25">
      <c r="A7" s="183" t="s">
        <v>128</v>
      </c>
      <c r="B7" s="185"/>
      <c r="F7" s="56"/>
      <c r="G7" s="56"/>
      <c r="H7" s="58"/>
      <c r="I7" s="58"/>
      <c r="J7" s="58"/>
      <c r="K7" s="56"/>
      <c r="L7" s="55"/>
      <c r="M7" s="57"/>
      <c r="N7" s="57"/>
      <c r="O7" s="57"/>
      <c r="P7" s="57"/>
      <c r="Q7" s="57"/>
      <c r="R7" s="56"/>
      <c r="S7" s="55"/>
    </row>
    <row r="8" spans="1:19" x14ac:dyDescent="0.25">
      <c r="A8" s="183" t="s">
        <v>127</v>
      </c>
      <c r="B8" s="187"/>
      <c r="F8" s="56"/>
      <c r="G8" s="56"/>
      <c r="H8" s="58"/>
      <c r="I8" s="58"/>
      <c r="J8" s="58"/>
      <c r="K8" s="56"/>
      <c r="L8" s="55"/>
      <c r="M8" s="57"/>
      <c r="N8" s="57"/>
      <c r="O8" s="57"/>
      <c r="P8" s="57"/>
      <c r="Q8" s="57"/>
      <c r="R8" s="56"/>
      <c r="S8" s="55"/>
    </row>
    <row r="9" spans="1:19" x14ac:dyDescent="0.25">
      <c r="A9" s="190" t="s">
        <v>126</v>
      </c>
      <c r="B9" s="188"/>
      <c r="F9" s="56"/>
      <c r="G9" s="56"/>
      <c r="H9" s="58"/>
      <c r="I9" s="58"/>
      <c r="J9" s="58"/>
      <c r="K9" s="56"/>
      <c r="L9" s="59"/>
      <c r="M9" s="57"/>
      <c r="N9" s="57"/>
      <c r="O9" s="57"/>
      <c r="P9" s="57"/>
      <c r="Q9" s="57"/>
      <c r="R9" s="56"/>
      <c r="S9" s="55"/>
    </row>
    <row r="10" spans="1:19" x14ac:dyDescent="0.25">
      <c r="A10" s="191" t="s">
        <v>125</v>
      </c>
      <c r="B10" s="188"/>
      <c r="F10" s="56"/>
      <c r="G10" s="56"/>
      <c r="H10" s="58"/>
      <c r="I10" s="58"/>
      <c r="J10" s="58"/>
      <c r="K10" s="56"/>
      <c r="L10" s="55"/>
      <c r="M10" s="57"/>
      <c r="N10" s="57"/>
      <c r="O10" s="57"/>
      <c r="P10" s="57"/>
      <c r="Q10" s="57"/>
      <c r="R10" s="56"/>
      <c r="S10" s="55"/>
    </row>
    <row r="11" spans="1:19" x14ac:dyDescent="0.25">
      <c r="A11" s="192" t="s">
        <v>124</v>
      </c>
      <c r="B11" s="188"/>
      <c r="F11" s="56"/>
      <c r="G11" s="56"/>
      <c r="H11" s="58"/>
      <c r="I11" s="58"/>
      <c r="J11" s="58"/>
      <c r="K11" s="56"/>
      <c r="L11" s="55"/>
      <c r="M11" s="57"/>
      <c r="N11" s="57"/>
      <c r="O11" s="57"/>
      <c r="P11" s="57"/>
      <c r="Q11" s="57"/>
      <c r="R11" s="56"/>
      <c r="S11" s="55"/>
    </row>
    <row r="12" spans="1:19" x14ac:dyDescent="0.25">
      <c r="A12" s="190" t="s">
        <v>123</v>
      </c>
      <c r="B12" s="188"/>
      <c r="F12" s="56"/>
      <c r="G12" s="56"/>
      <c r="H12" s="58"/>
      <c r="I12" s="58"/>
      <c r="J12" s="58"/>
      <c r="K12" s="56"/>
      <c r="L12" s="55"/>
      <c r="M12" s="57"/>
      <c r="N12" s="57"/>
      <c r="O12" s="57"/>
      <c r="P12" s="57"/>
      <c r="Q12" s="57"/>
      <c r="R12" s="56"/>
      <c r="S12" s="55"/>
    </row>
    <row r="13" spans="1:19" x14ac:dyDescent="0.25">
      <c r="A13" s="190" t="s">
        <v>122</v>
      </c>
      <c r="B13" s="188"/>
      <c r="F13" s="56"/>
      <c r="G13" s="56"/>
      <c r="H13" s="58"/>
      <c r="I13" s="58"/>
      <c r="J13" s="58"/>
      <c r="K13" s="56"/>
      <c r="L13" s="55"/>
      <c r="M13" s="57"/>
      <c r="N13" s="57"/>
      <c r="O13" s="57"/>
      <c r="P13" s="57"/>
      <c r="Q13" s="57"/>
      <c r="R13" s="56"/>
      <c r="S13" s="55"/>
    </row>
    <row r="14" spans="1:19" x14ac:dyDescent="0.25">
      <c r="A14" s="190" t="s">
        <v>5</v>
      </c>
      <c r="B14" s="189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</row>
    <row r="15" spans="1:19" x14ac:dyDescent="0.25">
      <c r="A15" s="191" t="s">
        <v>121</v>
      </c>
      <c r="B15" s="185"/>
    </row>
    <row r="16" spans="1:19" x14ac:dyDescent="0.25">
      <c r="A16" s="193" t="s">
        <v>120</v>
      </c>
      <c r="B16" s="197">
        <v>0.1</v>
      </c>
    </row>
    <row r="18" spans="2:2" x14ac:dyDescent="0.25">
      <c r="B18" s="16"/>
    </row>
  </sheetData>
  <mergeCells count="2">
    <mergeCell ref="F2:H3"/>
    <mergeCell ref="I2:J3"/>
  </mergeCells>
  <dataValidations count="1">
    <dataValidation type="list" allowBlank="1" showInputMessage="1" showErrorMessage="1" sqref="I2" xr:uid="{00000000-0002-0000-0800-000000000000}">
      <formula1>$A$2:$A$6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OptionPortfolio!$A$7:$A$8</xm:f>
          </x14:formula1>
          <xm:sqref>B1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Invoices">
    <tabColor theme="0" tint="-0.499984740745262"/>
  </sheetPr>
  <dimension ref="B2:E2"/>
  <sheetViews>
    <sheetView showGridLines="0" workbookViewId="0">
      <selection activeCell="B3" sqref="B3:E4"/>
    </sheetView>
  </sheetViews>
  <sheetFormatPr defaultColWidth="11.5703125" defaultRowHeight="15" x14ac:dyDescent="0.25"/>
  <cols>
    <col min="1" max="1" width="2.7109375" customWidth="1"/>
    <col min="2" max="3" width="15.7109375" customWidth="1"/>
    <col min="4" max="4" width="15.7109375" style="16" customWidth="1"/>
    <col min="5" max="7" width="15.7109375" customWidth="1"/>
  </cols>
  <sheetData>
    <row r="2" spans="2:5" s="75" customFormat="1" ht="30" x14ac:dyDescent="0.25">
      <c r="B2" s="127" t="s">
        <v>145</v>
      </c>
      <c r="C2" s="127" t="s">
        <v>146</v>
      </c>
      <c r="D2" s="128" t="s">
        <v>147</v>
      </c>
      <c r="E2" s="127" t="s">
        <v>148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Returns">
    <tabColor theme="0" tint="-0.499984740745262"/>
  </sheetPr>
  <dimension ref="A1:N1280"/>
  <sheetViews>
    <sheetView showGridLines="0" workbookViewId="0">
      <selection activeCell="B1" sqref="B1:N1048576"/>
    </sheetView>
  </sheetViews>
  <sheetFormatPr defaultColWidth="11.42578125" defaultRowHeight="15" x14ac:dyDescent="0.25"/>
  <cols>
    <col min="1" max="1" width="11.42578125" style="251"/>
    <col min="2" max="2" width="12.85546875" bestFit="1" customWidth="1"/>
    <col min="3" max="3" width="11.7109375" bestFit="1" customWidth="1"/>
    <col min="4" max="4" width="12.85546875" bestFit="1" customWidth="1"/>
    <col min="5" max="5" width="12.42578125" bestFit="1" customWidth="1"/>
    <col min="6" max="6" width="13.85546875" bestFit="1" customWidth="1"/>
    <col min="7" max="7" width="12.140625" bestFit="1" customWidth="1"/>
    <col min="8" max="9" width="12.42578125" bestFit="1" customWidth="1"/>
    <col min="10" max="10" width="12.140625" bestFit="1" customWidth="1"/>
    <col min="11" max="11" width="11.140625" bestFit="1" customWidth="1"/>
    <col min="12" max="12" width="13.140625" bestFit="1" customWidth="1"/>
  </cols>
  <sheetData>
    <row r="1" spans="1:14" s="13" customFormat="1" x14ac:dyDescent="0.25">
      <c r="A1" s="250" t="s">
        <v>10</v>
      </c>
    </row>
    <row r="2" spans="1:14" x14ac:dyDescent="0.25">
      <c r="A2" s="251">
        <v>42374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22"/>
      <c r="N2" s="22"/>
    </row>
    <row r="3" spans="1:14" x14ac:dyDescent="0.25">
      <c r="A3" s="251">
        <v>42375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22"/>
      <c r="N3" s="22"/>
    </row>
    <row r="4" spans="1:14" x14ac:dyDescent="0.25">
      <c r="A4" s="251">
        <v>42376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22"/>
      <c r="N4" s="22"/>
    </row>
    <row r="5" spans="1:14" x14ac:dyDescent="0.25">
      <c r="A5" s="251">
        <v>42377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22"/>
      <c r="N5" s="22"/>
    </row>
    <row r="6" spans="1:14" x14ac:dyDescent="0.25">
      <c r="A6" s="251">
        <v>42380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22"/>
      <c r="N6" s="22"/>
    </row>
    <row r="7" spans="1:14" x14ac:dyDescent="0.25">
      <c r="A7" s="251">
        <v>42381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22"/>
      <c r="N7" s="22"/>
    </row>
    <row r="8" spans="1:14" x14ac:dyDescent="0.25">
      <c r="A8" s="251">
        <v>42382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22"/>
      <c r="N8" s="22"/>
    </row>
    <row r="9" spans="1:14" x14ac:dyDescent="0.25">
      <c r="A9" s="251">
        <v>42383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2"/>
      <c r="N9" s="22"/>
    </row>
    <row r="10" spans="1:14" x14ac:dyDescent="0.25">
      <c r="A10" s="251">
        <v>42384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22"/>
      <c r="N10" s="22"/>
    </row>
    <row r="11" spans="1:14" x14ac:dyDescent="0.25">
      <c r="A11" s="251">
        <v>42387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22"/>
      <c r="N11" s="22"/>
    </row>
    <row r="12" spans="1:14" x14ac:dyDescent="0.25">
      <c r="A12" s="251">
        <v>42388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22"/>
      <c r="N12" s="22"/>
    </row>
    <row r="13" spans="1:14" x14ac:dyDescent="0.25">
      <c r="A13" s="251">
        <v>42389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22"/>
      <c r="N13" s="22"/>
    </row>
    <row r="14" spans="1:14" x14ac:dyDescent="0.25">
      <c r="A14" s="251">
        <v>42390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22"/>
      <c r="N14" s="22"/>
    </row>
    <row r="15" spans="1:14" x14ac:dyDescent="0.25">
      <c r="A15" s="251">
        <v>42391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22"/>
      <c r="N15" s="22"/>
    </row>
    <row r="16" spans="1:14" x14ac:dyDescent="0.25">
      <c r="A16" s="251">
        <v>42394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22"/>
      <c r="N16" s="22"/>
    </row>
    <row r="17" spans="1:14" x14ac:dyDescent="0.25">
      <c r="A17" s="251">
        <v>42395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22"/>
      <c r="N17" s="22"/>
    </row>
    <row r="18" spans="1:14" x14ac:dyDescent="0.25">
      <c r="A18" s="251">
        <v>42396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22"/>
      <c r="N18" s="22"/>
    </row>
    <row r="19" spans="1:14" x14ac:dyDescent="0.25">
      <c r="A19" s="251">
        <v>42397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22"/>
      <c r="N19" s="22"/>
    </row>
    <row r="20" spans="1:14" x14ac:dyDescent="0.25">
      <c r="A20" s="251">
        <v>42398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22"/>
      <c r="N20" s="22"/>
    </row>
    <row r="21" spans="1:14" x14ac:dyDescent="0.25">
      <c r="A21" s="251">
        <v>42401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22"/>
      <c r="N21" s="22"/>
    </row>
    <row r="22" spans="1:14" x14ac:dyDescent="0.25">
      <c r="A22" s="251">
        <v>42402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22"/>
      <c r="N22" s="22"/>
    </row>
    <row r="23" spans="1:14" x14ac:dyDescent="0.25">
      <c r="A23" s="251">
        <v>42403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22"/>
      <c r="N23" s="22"/>
    </row>
    <row r="24" spans="1:14" x14ac:dyDescent="0.25">
      <c r="A24" s="251">
        <v>42404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22"/>
      <c r="N24" s="22"/>
    </row>
    <row r="25" spans="1:14" x14ac:dyDescent="0.25">
      <c r="A25" s="251">
        <v>42405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22"/>
      <c r="N25" s="22"/>
    </row>
    <row r="26" spans="1:14" x14ac:dyDescent="0.25">
      <c r="A26" s="251">
        <v>42408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22"/>
      <c r="N26" s="22"/>
    </row>
    <row r="27" spans="1:14" x14ac:dyDescent="0.25">
      <c r="A27" s="251">
        <v>42409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22"/>
      <c r="N27" s="22"/>
    </row>
    <row r="28" spans="1:14" x14ac:dyDescent="0.25">
      <c r="A28" s="251">
        <v>42410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22"/>
      <c r="N28" s="22"/>
    </row>
    <row r="29" spans="1:14" x14ac:dyDescent="0.25">
      <c r="A29" s="251">
        <v>42411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22"/>
      <c r="N29" s="22"/>
    </row>
    <row r="30" spans="1:14" x14ac:dyDescent="0.25">
      <c r="A30" s="251">
        <v>42412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22"/>
      <c r="N30" s="22"/>
    </row>
    <row r="31" spans="1:14" x14ac:dyDescent="0.25">
      <c r="A31" s="251">
        <v>42415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22"/>
      <c r="N31" s="22"/>
    </row>
    <row r="32" spans="1:14" x14ac:dyDescent="0.25">
      <c r="A32" s="251">
        <v>42416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22"/>
      <c r="N32" s="22"/>
    </row>
    <row r="33" spans="1:14" x14ac:dyDescent="0.25">
      <c r="A33" s="251">
        <v>42417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22"/>
      <c r="N33" s="22"/>
    </row>
    <row r="34" spans="1:14" x14ac:dyDescent="0.25">
      <c r="A34" s="251">
        <v>42418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22"/>
      <c r="N34" s="22"/>
    </row>
    <row r="35" spans="1:14" x14ac:dyDescent="0.25">
      <c r="A35" s="251">
        <v>42419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22"/>
      <c r="N35" s="22"/>
    </row>
    <row r="36" spans="1:14" x14ac:dyDescent="0.25">
      <c r="A36" s="251">
        <v>42422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22"/>
      <c r="N36" s="22"/>
    </row>
    <row r="37" spans="1:14" x14ac:dyDescent="0.25">
      <c r="A37" s="251">
        <v>42423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22"/>
      <c r="N37" s="22"/>
    </row>
    <row r="38" spans="1:14" x14ac:dyDescent="0.25">
      <c r="A38" s="251">
        <v>42424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22"/>
      <c r="N38" s="22"/>
    </row>
    <row r="39" spans="1:14" x14ac:dyDescent="0.25">
      <c r="A39" s="251">
        <v>42425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22"/>
      <c r="N39" s="22"/>
    </row>
    <row r="40" spans="1:14" x14ac:dyDescent="0.25">
      <c r="A40" s="251">
        <v>42426</v>
      </c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22"/>
      <c r="N40" s="22"/>
    </row>
    <row r="41" spans="1:14" x14ac:dyDescent="0.25">
      <c r="A41" s="251">
        <v>42429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22"/>
      <c r="N41" s="22"/>
    </row>
    <row r="42" spans="1:14" x14ac:dyDescent="0.25">
      <c r="A42" s="251">
        <v>42430</v>
      </c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22"/>
      <c r="N42" s="22"/>
    </row>
    <row r="43" spans="1:14" x14ac:dyDescent="0.25">
      <c r="A43" s="251">
        <v>42431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22"/>
      <c r="N43" s="22"/>
    </row>
    <row r="44" spans="1:14" x14ac:dyDescent="0.25">
      <c r="A44" s="251">
        <v>42432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22"/>
      <c r="N44" s="22"/>
    </row>
    <row r="45" spans="1:14" x14ac:dyDescent="0.25">
      <c r="A45" s="251">
        <v>42433</v>
      </c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22"/>
      <c r="N45" s="22"/>
    </row>
    <row r="46" spans="1:14" x14ac:dyDescent="0.25">
      <c r="A46" s="251">
        <v>42436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22"/>
      <c r="N46" s="22"/>
    </row>
    <row r="47" spans="1:14" x14ac:dyDescent="0.25">
      <c r="A47" s="251">
        <v>42437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22"/>
      <c r="N47" s="22"/>
    </row>
    <row r="48" spans="1:14" x14ac:dyDescent="0.25">
      <c r="A48" s="251">
        <v>42438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22"/>
      <c r="N48" s="22"/>
    </row>
    <row r="49" spans="1:14" x14ac:dyDescent="0.25">
      <c r="A49" s="251">
        <v>42439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22"/>
      <c r="N49" s="22"/>
    </row>
    <row r="50" spans="1:14" x14ac:dyDescent="0.25">
      <c r="A50" s="251">
        <v>42440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22"/>
      <c r="N50" s="22"/>
    </row>
    <row r="51" spans="1:14" x14ac:dyDescent="0.25">
      <c r="A51" s="251">
        <v>42443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22"/>
      <c r="N51" s="22"/>
    </row>
    <row r="52" spans="1:14" x14ac:dyDescent="0.25">
      <c r="A52" s="251">
        <v>42444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22"/>
      <c r="N52" s="22"/>
    </row>
    <row r="53" spans="1:14" x14ac:dyDescent="0.25">
      <c r="A53" s="251">
        <v>42445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22"/>
      <c r="N53" s="22"/>
    </row>
    <row r="54" spans="1:14" x14ac:dyDescent="0.25">
      <c r="A54" s="251">
        <v>42446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22"/>
      <c r="N54" s="22"/>
    </row>
    <row r="55" spans="1:14" x14ac:dyDescent="0.25">
      <c r="A55" s="251">
        <v>42447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22"/>
      <c r="N55" s="22"/>
    </row>
    <row r="56" spans="1:14" x14ac:dyDescent="0.25">
      <c r="A56" s="251">
        <v>42450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22"/>
      <c r="N56" s="22"/>
    </row>
    <row r="57" spans="1:14" x14ac:dyDescent="0.25">
      <c r="A57" s="251">
        <v>42451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22"/>
      <c r="N57" s="22"/>
    </row>
    <row r="58" spans="1:14" x14ac:dyDescent="0.25">
      <c r="A58" s="251">
        <v>42452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22"/>
      <c r="N58" s="22"/>
    </row>
    <row r="59" spans="1:14" x14ac:dyDescent="0.25">
      <c r="A59" s="251">
        <v>42453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22"/>
      <c r="N59" s="22"/>
    </row>
    <row r="60" spans="1:14" x14ac:dyDescent="0.25">
      <c r="A60" s="251">
        <v>42458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22"/>
      <c r="N60" s="22"/>
    </row>
    <row r="61" spans="1:14" x14ac:dyDescent="0.25">
      <c r="A61" s="251">
        <v>42459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22"/>
      <c r="N61" s="22"/>
    </row>
    <row r="62" spans="1:14" x14ac:dyDescent="0.25">
      <c r="A62" s="251">
        <v>42460</v>
      </c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22"/>
      <c r="N62" s="22"/>
    </row>
    <row r="63" spans="1:14" x14ac:dyDescent="0.25">
      <c r="A63" s="251">
        <v>42461</v>
      </c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22"/>
      <c r="N63" s="22"/>
    </row>
    <row r="64" spans="1:14" x14ac:dyDescent="0.25">
      <c r="A64" s="251">
        <v>42464</v>
      </c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22"/>
      <c r="N64" s="22"/>
    </row>
    <row r="65" spans="1:14" x14ac:dyDescent="0.25">
      <c r="A65" s="251">
        <v>42465</v>
      </c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22"/>
      <c r="N65" s="22"/>
    </row>
    <row r="66" spans="1:14" x14ac:dyDescent="0.25">
      <c r="A66" s="251">
        <v>42466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22"/>
      <c r="N66" s="22"/>
    </row>
    <row r="67" spans="1:14" x14ac:dyDescent="0.25">
      <c r="A67" s="251">
        <v>42467</v>
      </c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22"/>
      <c r="N67" s="22"/>
    </row>
    <row r="68" spans="1:14" x14ac:dyDescent="0.25">
      <c r="A68" s="251">
        <v>42468</v>
      </c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22"/>
      <c r="N68" s="22"/>
    </row>
    <row r="69" spans="1:14" x14ac:dyDescent="0.25">
      <c r="A69" s="251">
        <v>42471</v>
      </c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22"/>
      <c r="N69" s="22"/>
    </row>
    <row r="70" spans="1:14" x14ac:dyDescent="0.25">
      <c r="A70" s="251">
        <v>42472</v>
      </c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22"/>
      <c r="N70" s="22"/>
    </row>
    <row r="71" spans="1:14" x14ac:dyDescent="0.25">
      <c r="A71" s="251">
        <v>42473</v>
      </c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22"/>
      <c r="N71" s="22"/>
    </row>
    <row r="72" spans="1:14" x14ac:dyDescent="0.25">
      <c r="A72" s="251">
        <v>42474</v>
      </c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22"/>
      <c r="N72" s="22"/>
    </row>
    <row r="73" spans="1:14" x14ac:dyDescent="0.25">
      <c r="A73" s="251">
        <v>42475</v>
      </c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22"/>
      <c r="N73" s="22"/>
    </row>
    <row r="74" spans="1:14" x14ac:dyDescent="0.25">
      <c r="A74" s="251">
        <v>42478</v>
      </c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22"/>
      <c r="N74" s="22"/>
    </row>
    <row r="75" spans="1:14" x14ac:dyDescent="0.25">
      <c r="A75" s="251">
        <v>42479</v>
      </c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22"/>
      <c r="N75" s="22"/>
    </row>
    <row r="76" spans="1:14" x14ac:dyDescent="0.25">
      <c r="A76" s="251">
        <v>42480</v>
      </c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22"/>
      <c r="N76" s="22"/>
    </row>
    <row r="77" spans="1:14" x14ac:dyDescent="0.25">
      <c r="A77" s="251">
        <v>42481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22"/>
      <c r="N77" s="22"/>
    </row>
    <row r="78" spans="1:14" x14ac:dyDescent="0.25">
      <c r="A78" s="251">
        <v>42482</v>
      </c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22"/>
      <c r="N78" s="22"/>
    </row>
    <row r="79" spans="1:14" x14ac:dyDescent="0.25">
      <c r="A79" s="251">
        <v>42485</v>
      </c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22"/>
      <c r="N79" s="22"/>
    </row>
    <row r="80" spans="1:14" x14ac:dyDescent="0.25">
      <c r="A80" s="251">
        <v>42486</v>
      </c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22"/>
      <c r="N80" s="22"/>
    </row>
    <row r="81" spans="1:14" x14ac:dyDescent="0.25">
      <c r="A81" s="251">
        <v>42487</v>
      </c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22"/>
      <c r="N81" s="22"/>
    </row>
    <row r="82" spans="1:14" x14ac:dyDescent="0.25">
      <c r="A82" s="251">
        <v>42488</v>
      </c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22"/>
      <c r="N82" s="22"/>
    </row>
    <row r="83" spans="1:14" x14ac:dyDescent="0.25">
      <c r="A83" s="251">
        <v>42489</v>
      </c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22"/>
      <c r="N83" s="22"/>
    </row>
    <row r="84" spans="1:14" x14ac:dyDescent="0.25">
      <c r="A84" s="251">
        <v>42492</v>
      </c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22"/>
      <c r="N84" s="22"/>
    </row>
    <row r="85" spans="1:14" x14ac:dyDescent="0.25">
      <c r="A85" s="251">
        <v>42493</v>
      </c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22"/>
      <c r="N85" s="22"/>
    </row>
    <row r="86" spans="1:14" x14ac:dyDescent="0.25">
      <c r="A86" s="251">
        <v>42494</v>
      </c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22"/>
      <c r="N86" s="22"/>
    </row>
    <row r="87" spans="1:14" x14ac:dyDescent="0.25">
      <c r="A87" s="251">
        <v>42495</v>
      </c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22"/>
      <c r="N87" s="22"/>
    </row>
    <row r="88" spans="1:14" x14ac:dyDescent="0.25">
      <c r="A88" s="251">
        <v>42496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22"/>
      <c r="N88" s="22"/>
    </row>
    <row r="89" spans="1:14" x14ac:dyDescent="0.25">
      <c r="A89" s="251">
        <v>42499</v>
      </c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22"/>
      <c r="N89" s="22"/>
    </row>
    <row r="90" spans="1:14" x14ac:dyDescent="0.25">
      <c r="A90" s="251">
        <v>42500</v>
      </c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22"/>
      <c r="N90" s="22"/>
    </row>
    <row r="91" spans="1:14" x14ac:dyDescent="0.25">
      <c r="A91" s="251">
        <v>42501</v>
      </c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22"/>
      <c r="N91" s="22"/>
    </row>
    <row r="92" spans="1:14" x14ac:dyDescent="0.25">
      <c r="A92" s="251">
        <v>42502</v>
      </c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22"/>
      <c r="N92" s="22"/>
    </row>
    <row r="93" spans="1:14" x14ac:dyDescent="0.25">
      <c r="A93" s="251">
        <v>42503</v>
      </c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22"/>
      <c r="N93" s="22"/>
    </row>
    <row r="94" spans="1:14" x14ac:dyDescent="0.25">
      <c r="A94" s="251">
        <v>42506</v>
      </c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22"/>
      <c r="N94" s="22"/>
    </row>
    <row r="95" spans="1:14" x14ac:dyDescent="0.25">
      <c r="A95" s="251">
        <v>42507</v>
      </c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22"/>
      <c r="N95" s="22"/>
    </row>
    <row r="96" spans="1:14" x14ac:dyDescent="0.25">
      <c r="A96" s="251">
        <v>42508</v>
      </c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22"/>
      <c r="N96" s="22"/>
    </row>
    <row r="97" spans="1:14" x14ac:dyDescent="0.25">
      <c r="A97" s="251">
        <v>42509</v>
      </c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22"/>
      <c r="N97" s="22"/>
    </row>
    <row r="98" spans="1:14" x14ac:dyDescent="0.25">
      <c r="A98" s="251">
        <v>42510</v>
      </c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22"/>
      <c r="N98" s="22"/>
    </row>
    <row r="99" spans="1:14" x14ac:dyDescent="0.25">
      <c r="A99" s="251">
        <v>42513</v>
      </c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22"/>
      <c r="N99" s="22"/>
    </row>
    <row r="100" spans="1:14" x14ac:dyDescent="0.25">
      <c r="A100" s="251">
        <v>42514</v>
      </c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22"/>
      <c r="N100" s="22"/>
    </row>
    <row r="101" spans="1:14" x14ac:dyDescent="0.25">
      <c r="A101" s="251">
        <v>42515</v>
      </c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22"/>
      <c r="N101" s="22"/>
    </row>
    <row r="102" spans="1:14" x14ac:dyDescent="0.25">
      <c r="A102" s="251">
        <v>42516</v>
      </c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22"/>
      <c r="N102" s="22"/>
    </row>
    <row r="103" spans="1:14" x14ac:dyDescent="0.25">
      <c r="A103" s="251">
        <v>42517</v>
      </c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22"/>
      <c r="N103" s="22"/>
    </row>
    <row r="104" spans="1:14" x14ac:dyDescent="0.25">
      <c r="A104" s="251">
        <v>42520</v>
      </c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22"/>
      <c r="N104" s="22"/>
    </row>
    <row r="105" spans="1:14" x14ac:dyDescent="0.25">
      <c r="A105" s="251">
        <v>42521</v>
      </c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22"/>
      <c r="N105" s="22"/>
    </row>
    <row r="106" spans="1:14" x14ac:dyDescent="0.25">
      <c r="A106" s="251">
        <v>42522</v>
      </c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22"/>
      <c r="N106" s="22"/>
    </row>
    <row r="107" spans="1:14" x14ac:dyDescent="0.25">
      <c r="A107" s="251">
        <v>42523</v>
      </c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22"/>
      <c r="N107" s="22"/>
    </row>
    <row r="108" spans="1:14" x14ac:dyDescent="0.25">
      <c r="A108" s="251">
        <v>42524</v>
      </c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22"/>
      <c r="N108" s="22"/>
    </row>
    <row r="109" spans="1:14" x14ac:dyDescent="0.25">
      <c r="A109" s="251">
        <v>42527</v>
      </c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22"/>
      <c r="N109" s="22"/>
    </row>
    <row r="110" spans="1:14" x14ac:dyDescent="0.25">
      <c r="A110" s="251">
        <v>42528</v>
      </c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22"/>
      <c r="N110" s="22"/>
    </row>
    <row r="111" spans="1:14" x14ac:dyDescent="0.25">
      <c r="A111" s="251">
        <v>42529</v>
      </c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22"/>
      <c r="N111" s="22"/>
    </row>
    <row r="112" spans="1:14" x14ac:dyDescent="0.25">
      <c r="A112" s="251">
        <v>42530</v>
      </c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22"/>
      <c r="N112" s="22"/>
    </row>
    <row r="113" spans="1:14" x14ac:dyDescent="0.25">
      <c r="A113" s="251">
        <v>42531</v>
      </c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22"/>
      <c r="N113" s="22"/>
    </row>
    <row r="114" spans="1:14" x14ac:dyDescent="0.25">
      <c r="A114" s="251">
        <v>42534</v>
      </c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22"/>
      <c r="N114" s="22"/>
    </row>
    <row r="115" spans="1:14" x14ac:dyDescent="0.25">
      <c r="A115" s="251">
        <v>42535</v>
      </c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22"/>
      <c r="N115" s="22"/>
    </row>
    <row r="116" spans="1:14" x14ac:dyDescent="0.25">
      <c r="A116" s="251">
        <v>42536</v>
      </c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22"/>
      <c r="N116" s="22"/>
    </row>
    <row r="117" spans="1:14" x14ac:dyDescent="0.25">
      <c r="A117" s="251">
        <v>42537</v>
      </c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22"/>
      <c r="N117" s="22"/>
    </row>
    <row r="118" spans="1:14" x14ac:dyDescent="0.25">
      <c r="A118" s="251">
        <v>42538</v>
      </c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22"/>
      <c r="N118" s="22"/>
    </row>
    <row r="119" spans="1:14" x14ac:dyDescent="0.25">
      <c r="A119" s="251">
        <v>42541</v>
      </c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22"/>
      <c r="N119" s="22"/>
    </row>
    <row r="120" spans="1:14" x14ac:dyDescent="0.25">
      <c r="A120" s="251">
        <v>42542</v>
      </c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22"/>
      <c r="N120" s="22"/>
    </row>
    <row r="121" spans="1:14" x14ac:dyDescent="0.25">
      <c r="A121" s="251">
        <v>42543</v>
      </c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22"/>
      <c r="N121" s="22"/>
    </row>
    <row r="122" spans="1:14" x14ac:dyDescent="0.25">
      <c r="A122" s="251">
        <v>42544</v>
      </c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22"/>
      <c r="N122" s="22"/>
    </row>
    <row r="123" spans="1:14" x14ac:dyDescent="0.25">
      <c r="A123" s="251">
        <v>42545</v>
      </c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22"/>
      <c r="N123" s="22"/>
    </row>
    <row r="124" spans="1:14" x14ac:dyDescent="0.25">
      <c r="A124" s="251">
        <v>42548</v>
      </c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22"/>
      <c r="N124" s="22"/>
    </row>
    <row r="125" spans="1:14" x14ac:dyDescent="0.25">
      <c r="A125" s="251">
        <v>42549</v>
      </c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22"/>
      <c r="N125" s="22"/>
    </row>
    <row r="126" spans="1:14" x14ac:dyDescent="0.25">
      <c r="A126" s="251">
        <v>42550</v>
      </c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22"/>
      <c r="N126" s="22"/>
    </row>
    <row r="127" spans="1:14" x14ac:dyDescent="0.25">
      <c r="A127" s="251">
        <v>42551</v>
      </c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22"/>
      <c r="N127" s="22"/>
    </row>
    <row r="128" spans="1:14" x14ac:dyDescent="0.25">
      <c r="A128" s="251">
        <v>42552</v>
      </c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22"/>
      <c r="N128" s="22"/>
    </row>
    <row r="129" spans="1:14" x14ac:dyDescent="0.25">
      <c r="A129" s="251">
        <v>42555</v>
      </c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22"/>
      <c r="N129" s="22"/>
    </row>
    <row r="130" spans="1:14" x14ac:dyDescent="0.25">
      <c r="A130" s="251">
        <v>42556</v>
      </c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22"/>
      <c r="N130" s="22"/>
    </row>
    <row r="131" spans="1:14" x14ac:dyDescent="0.25">
      <c r="A131" s="251">
        <v>42557</v>
      </c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22"/>
      <c r="N131" s="22"/>
    </row>
    <row r="132" spans="1:14" x14ac:dyDescent="0.25">
      <c r="A132" s="251">
        <v>42558</v>
      </c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22"/>
      <c r="N132" s="22"/>
    </row>
    <row r="133" spans="1:14" x14ac:dyDescent="0.25">
      <c r="A133" s="251">
        <v>42559</v>
      </c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22"/>
      <c r="N133" s="22"/>
    </row>
    <row r="134" spans="1:14" x14ac:dyDescent="0.25">
      <c r="A134" s="251">
        <v>42562</v>
      </c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22"/>
      <c r="N134" s="22"/>
    </row>
    <row r="135" spans="1:14" x14ac:dyDescent="0.25">
      <c r="A135" s="251">
        <v>42563</v>
      </c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22"/>
      <c r="N135" s="22"/>
    </row>
    <row r="136" spans="1:14" x14ac:dyDescent="0.25">
      <c r="A136" s="251">
        <v>42564</v>
      </c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22"/>
      <c r="N136" s="22"/>
    </row>
    <row r="137" spans="1:14" x14ac:dyDescent="0.25">
      <c r="A137" s="251">
        <v>42565</v>
      </c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22"/>
      <c r="N137" s="22"/>
    </row>
    <row r="138" spans="1:14" x14ac:dyDescent="0.25">
      <c r="A138" s="251">
        <v>42566</v>
      </c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22"/>
      <c r="N138" s="22"/>
    </row>
    <row r="139" spans="1:14" x14ac:dyDescent="0.25">
      <c r="A139" s="251">
        <v>42569</v>
      </c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22"/>
      <c r="N139" s="22"/>
    </row>
    <row r="140" spans="1:14" x14ac:dyDescent="0.25">
      <c r="A140" s="251">
        <v>42570</v>
      </c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22"/>
      <c r="N140" s="22"/>
    </row>
    <row r="141" spans="1:14" x14ac:dyDescent="0.25">
      <c r="A141" s="251">
        <v>42571</v>
      </c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22"/>
      <c r="N141" s="22"/>
    </row>
    <row r="142" spans="1:14" x14ac:dyDescent="0.25">
      <c r="A142" s="251">
        <v>42572</v>
      </c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22"/>
      <c r="N142" s="22"/>
    </row>
    <row r="143" spans="1:14" x14ac:dyDescent="0.25">
      <c r="A143" s="251">
        <v>42573</v>
      </c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22"/>
      <c r="N143" s="22"/>
    </row>
    <row r="144" spans="1:14" x14ac:dyDescent="0.25">
      <c r="A144" s="251">
        <v>42576</v>
      </c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22"/>
      <c r="N144" s="22"/>
    </row>
    <row r="145" spans="1:14" x14ac:dyDescent="0.25">
      <c r="A145" s="251">
        <v>42577</v>
      </c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22"/>
      <c r="N145" s="22"/>
    </row>
    <row r="146" spans="1:14" x14ac:dyDescent="0.25">
      <c r="A146" s="251">
        <v>42578</v>
      </c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22"/>
      <c r="N146" s="22"/>
    </row>
    <row r="147" spans="1:14" x14ac:dyDescent="0.25">
      <c r="A147" s="251">
        <v>42579</v>
      </c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22"/>
      <c r="N147" s="22"/>
    </row>
    <row r="148" spans="1:14" x14ac:dyDescent="0.25">
      <c r="A148" s="251">
        <v>42580</v>
      </c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22"/>
      <c r="N148" s="22"/>
    </row>
    <row r="149" spans="1:14" x14ac:dyDescent="0.25">
      <c r="A149" s="251">
        <v>42583</v>
      </c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22"/>
      <c r="N149" s="22"/>
    </row>
    <row r="150" spans="1:14" x14ac:dyDescent="0.25">
      <c r="A150" s="251">
        <v>42584</v>
      </c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22"/>
      <c r="N150" s="22"/>
    </row>
    <row r="151" spans="1:14" x14ac:dyDescent="0.25">
      <c r="A151" s="251">
        <v>42585</v>
      </c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22"/>
      <c r="N151" s="22"/>
    </row>
    <row r="152" spans="1:14" x14ac:dyDescent="0.25">
      <c r="A152" s="251">
        <v>42586</v>
      </c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22"/>
      <c r="N152" s="22"/>
    </row>
    <row r="153" spans="1:14" x14ac:dyDescent="0.25">
      <c r="A153" s="251">
        <v>42587</v>
      </c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22"/>
      <c r="N153" s="22"/>
    </row>
    <row r="154" spans="1:14" x14ac:dyDescent="0.25">
      <c r="A154" s="251">
        <v>42590</v>
      </c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22"/>
      <c r="N154" s="22"/>
    </row>
    <row r="155" spans="1:14" x14ac:dyDescent="0.25">
      <c r="A155" s="251">
        <v>42591</v>
      </c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22"/>
      <c r="N155" s="22"/>
    </row>
    <row r="156" spans="1:14" x14ac:dyDescent="0.25">
      <c r="A156" s="251">
        <v>42592</v>
      </c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22"/>
      <c r="N156" s="22"/>
    </row>
    <row r="157" spans="1:14" x14ac:dyDescent="0.25">
      <c r="A157" s="251">
        <v>42593</v>
      </c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22"/>
      <c r="N157" s="22"/>
    </row>
    <row r="158" spans="1:14" x14ac:dyDescent="0.25">
      <c r="A158" s="251">
        <v>42594</v>
      </c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22"/>
      <c r="N158" s="22"/>
    </row>
    <row r="159" spans="1:14" x14ac:dyDescent="0.25">
      <c r="A159" s="251">
        <v>42598</v>
      </c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22"/>
      <c r="N159" s="22"/>
    </row>
    <row r="160" spans="1:14" x14ac:dyDescent="0.25">
      <c r="A160" s="251">
        <v>42599</v>
      </c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22"/>
      <c r="N160" s="22"/>
    </row>
    <row r="161" spans="1:14" x14ac:dyDescent="0.25">
      <c r="A161" s="251">
        <v>42600</v>
      </c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22"/>
      <c r="N161" s="22"/>
    </row>
    <row r="162" spans="1:14" x14ac:dyDescent="0.25">
      <c r="A162" s="251">
        <v>42601</v>
      </c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22"/>
      <c r="N162" s="22"/>
    </row>
    <row r="163" spans="1:14" x14ac:dyDescent="0.25">
      <c r="A163" s="251">
        <v>42604</v>
      </c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22"/>
      <c r="N163" s="22"/>
    </row>
    <row r="164" spans="1:14" x14ac:dyDescent="0.25">
      <c r="A164" s="251">
        <v>42605</v>
      </c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22"/>
      <c r="N164" s="22"/>
    </row>
    <row r="165" spans="1:14" x14ac:dyDescent="0.25">
      <c r="A165" s="251">
        <v>42606</v>
      </c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22"/>
      <c r="N165" s="22"/>
    </row>
    <row r="166" spans="1:14" x14ac:dyDescent="0.25">
      <c r="A166" s="251">
        <v>42607</v>
      </c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22"/>
      <c r="N166" s="22"/>
    </row>
    <row r="167" spans="1:14" x14ac:dyDescent="0.25">
      <c r="A167" s="251">
        <v>42608</v>
      </c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22"/>
      <c r="N167" s="22"/>
    </row>
    <row r="168" spans="1:14" x14ac:dyDescent="0.25">
      <c r="A168" s="251">
        <v>42611</v>
      </c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22"/>
      <c r="N168" s="22"/>
    </row>
    <row r="169" spans="1:14" x14ac:dyDescent="0.25">
      <c r="A169" s="251">
        <v>42612</v>
      </c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22"/>
      <c r="N169" s="22"/>
    </row>
    <row r="170" spans="1:14" x14ac:dyDescent="0.25">
      <c r="A170" s="251">
        <v>42613</v>
      </c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22"/>
      <c r="N170" s="22"/>
    </row>
    <row r="171" spans="1:14" x14ac:dyDescent="0.25">
      <c r="A171" s="251">
        <v>42614</v>
      </c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22"/>
      <c r="N171" s="22"/>
    </row>
    <row r="172" spans="1:14" x14ac:dyDescent="0.25">
      <c r="A172" s="251">
        <v>42615</v>
      </c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22"/>
      <c r="N172" s="22"/>
    </row>
    <row r="173" spans="1:14" x14ac:dyDescent="0.25">
      <c r="A173" s="251">
        <v>42618</v>
      </c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22"/>
      <c r="N173" s="22"/>
    </row>
    <row r="174" spans="1:14" x14ac:dyDescent="0.25">
      <c r="A174" s="251">
        <v>42619</v>
      </c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22"/>
      <c r="N174" s="22"/>
    </row>
    <row r="175" spans="1:14" x14ac:dyDescent="0.25">
      <c r="A175" s="251">
        <v>42620</v>
      </c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22"/>
      <c r="N175" s="22"/>
    </row>
    <row r="176" spans="1:14" x14ac:dyDescent="0.25">
      <c r="A176" s="251">
        <v>42621</v>
      </c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22"/>
      <c r="N176" s="22"/>
    </row>
    <row r="177" spans="1:14" x14ac:dyDescent="0.25">
      <c r="A177" s="251">
        <v>42622</v>
      </c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22"/>
      <c r="N177" s="22"/>
    </row>
    <row r="178" spans="1:14" x14ac:dyDescent="0.25">
      <c r="A178" s="251">
        <v>42625</v>
      </c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22"/>
      <c r="N178" s="22"/>
    </row>
    <row r="179" spans="1:14" x14ac:dyDescent="0.25">
      <c r="A179" s="251">
        <v>42626</v>
      </c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22"/>
      <c r="N179" s="22"/>
    </row>
    <row r="180" spans="1:14" x14ac:dyDescent="0.25">
      <c r="A180" s="251">
        <v>42627</v>
      </c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22"/>
      <c r="N180" s="22"/>
    </row>
    <row r="181" spans="1:14" x14ac:dyDescent="0.25">
      <c r="A181" s="251">
        <v>42628</v>
      </c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22"/>
      <c r="N181" s="22"/>
    </row>
    <row r="182" spans="1:14" x14ac:dyDescent="0.25">
      <c r="A182" s="251">
        <v>42629</v>
      </c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22"/>
      <c r="N182" s="22"/>
    </row>
    <row r="183" spans="1:14" x14ac:dyDescent="0.25">
      <c r="A183" s="251">
        <v>42632</v>
      </c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22"/>
      <c r="N183" s="22"/>
    </row>
    <row r="184" spans="1:14" x14ac:dyDescent="0.25">
      <c r="A184" s="251">
        <v>42633</v>
      </c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22"/>
      <c r="N184" s="22"/>
    </row>
    <row r="185" spans="1:14" x14ac:dyDescent="0.25">
      <c r="A185" s="251">
        <v>42634</v>
      </c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22"/>
      <c r="N185" s="22"/>
    </row>
    <row r="186" spans="1:14" x14ac:dyDescent="0.25">
      <c r="A186" s="251">
        <v>42635</v>
      </c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22"/>
      <c r="N186" s="22"/>
    </row>
    <row r="187" spans="1:14" x14ac:dyDescent="0.25">
      <c r="A187" s="251">
        <v>42636</v>
      </c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22"/>
      <c r="N187" s="22"/>
    </row>
    <row r="188" spans="1:14" x14ac:dyDescent="0.25">
      <c r="A188" s="251">
        <v>42639</v>
      </c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22"/>
      <c r="N188" s="22"/>
    </row>
    <row r="189" spans="1:14" x14ac:dyDescent="0.25">
      <c r="A189" s="251">
        <v>42640</v>
      </c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22"/>
      <c r="N189" s="22"/>
    </row>
    <row r="190" spans="1:14" x14ac:dyDescent="0.25">
      <c r="A190" s="251">
        <v>42641</v>
      </c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22"/>
      <c r="N190" s="22"/>
    </row>
    <row r="191" spans="1:14" x14ac:dyDescent="0.25">
      <c r="A191" s="251">
        <v>42642</v>
      </c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22"/>
      <c r="N191" s="22"/>
    </row>
    <row r="192" spans="1:14" x14ac:dyDescent="0.25">
      <c r="A192" s="251">
        <v>42643</v>
      </c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22"/>
      <c r="N192" s="22"/>
    </row>
    <row r="193" spans="1:14" x14ac:dyDescent="0.25">
      <c r="A193" s="251">
        <v>42646</v>
      </c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22"/>
      <c r="N193" s="22"/>
    </row>
    <row r="194" spans="1:14" x14ac:dyDescent="0.25">
      <c r="A194" s="251">
        <v>42647</v>
      </c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22"/>
      <c r="N194" s="22"/>
    </row>
    <row r="195" spans="1:14" x14ac:dyDescent="0.25">
      <c r="A195" s="251">
        <v>42648</v>
      </c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22"/>
      <c r="N195" s="22"/>
    </row>
    <row r="196" spans="1:14" x14ac:dyDescent="0.25">
      <c r="A196" s="251">
        <v>42649</v>
      </c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22"/>
      <c r="N196" s="22"/>
    </row>
    <row r="197" spans="1:14" x14ac:dyDescent="0.25">
      <c r="A197" s="251">
        <v>42650</v>
      </c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22"/>
      <c r="N197" s="22"/>
    </row>
    <row r="198" spans="1:14" x14ac:dyDescent="0.25">
      <c r="A198" s="251">
        <v>42653</v>
      </c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22"/>
      <c r="N198" s="22"/>
    </row>
    <row r="199" spans="1:14" x14ac:dyDescent="0.25">
      <c r="A199" s="251">
        <v>42654</v>
      </c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22"/>
      <c r="N199" s="22"/>
    </row>
    <row r="200" spans="1:14" x14ac:dyDescent="0.25">
      <c r="A200" s="251">
        <v>42655</v>
      </c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22"/>
      <c r="N200" s="22"/>
    </row>
    <row r="201" spans="1:14" x14ac:dyDescent="0.25">
      <c r="A201" s="251">
        <v>42656</v>
      </c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22"/>
      <c r="N201" s="22"/>
    </row>
    <row r="202" spans="1:14" x14ac:dyDescent="0.25">
      <c r="A202" s="251">
        <v>42657</v>
      </c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22"/>
      <c r="N202" s="22"/>
    </row>
    <row r="203" spans="1:14" x14ac:dyDescent="0.25">
      <c r="A203" s="251">
        <v>42660</v>
      </c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22"/>
      <c r="N203" s="22"/>
    </row>
    <row r="204" spans="1:14" x14ac:dyDescent="0.25">
      <c r="A204" s="251">
        <v>42661</v>
      </c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22"/>
      <c r="N204" s="22"/>
    </row>
    <row r="205" spans="1:14" x14ac:dyDescent="0.25">
      <c r="A205" s="251">
        <v>42662</v>
      </c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22"/>
      <c r="N205" s="22"/>
    </row>
    <row r="206" spans="1:14" x14ac:dyDescent="0.25">
      <c r="A206" s="251">
        <v>42663</v>
      </c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22"/>
      <c r="N206" s="22"/>
    </row>
    <row r="207" spans="1:14" x14ac:dyDescent="0.25">
      <c r="A207" s="251">
        <v>42664</v>
      </c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22"/>
      <c r="N207" s="22"/>
    </row>
    <row r="208" spans="1:14" x14ac:dyDescent="0.25">
      <c r="A208" s="251">
        <v>42667</v>
      </c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22"/>
      <c r="N208" s="22"/>
    </row>
    <row r="209" spans="1:14" x14ac:dyDescent="0.25">
      <c r="A209" s="251">
        <v>42668</v>
      </c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22"/>
      <c r="N209" s="22"/>
    </row>
    <row r="210" spans="1:14" x14ac:dyDescent="0.25">
      <c r="A210" s="251">
        <v>42669</v>
      </c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22"/>
      <c r="N210" s="22"/>
    </row>
    <row r="211" spans="1:14" x14ac:dyDescent="0.25">
      <c r="A211" s="251">
        <v>42670</v>
      </c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22"/>
      <c r="N211" s="22"/>
    </row>
    <row r="212" spans="1:14" x14ac:dyDescent="0.25">
      <c r="A212" s="251">
        <v>42671</v>
      </c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22"/>
      <c r="N212" s="22"/>
    </row>
    <row r="213" spans="1:14" x14ac:dyDescent="0.25">
      <c r="A213" s="251">
        <v>42674</v>
      </c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22"/>
      <c r="N213" s="22"/>
    </row>
    <row r="214" spans="1:14" x14ac:dyDescent="0.25">
      <c r="A214" s="251">
        <v>42675</v>
      </c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22"/>
      <c r="N214" s="22"/>
    </row>
    <row r="215" spans="1:14" x14ac:dyDescent="0.25">
      <c r="A215" s="251">
        <v>42676</v>
      </c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22"/>
      <c r="N215" s="22"/>
    </row>
    <row r="216" spans="1:14" x14ac:dyDescent="0.25">
      <c r="A216" s="251">
        <v>42677</v>
      </c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22"/>
      <c r="N216" s="22"/>
    </row>
    <row r="217" spans="1:14" x14ac:dyDescent="0.25">
      <c r="A217" s="251">
        <v>42678</v>
      </c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22"/>
      <c r="N217" s="22"/>
    </row>
    <row r="218" spans="1:14" x14ac:dyDescent="0.25">
      <c r="A218" s="251">
        <v>42681</v>
      </c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22"/>
      <c r="N218" s="22"/>
    </row>
    <row r="219" spans="1:14" x14ac:dyDescent="0.25">
      <c r="A219" s="251">
        <v>42682</v>
      </c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22"/>
      <c r="N219" s="22"/>
    </row>
    <row r="220" spans="1:14" x14ac:dyDescent="0.25">
      <c r="A220" s="251">
        <v>42683</v>
      </c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22"/>
      <c r="N220" s="22"/>
    </row>
    <row r="221" spans="1:14" x14ac:dyDescent="0.25">
      <c r="A221" s="251">
        <v>42684</v>
      </c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22"/>
      <c r="N221" s="22"/>
    </row>
    <row r="222" spans="1:14" x14ac:dyDescent="0.25">
      <c r="A222" s="251">
        <v>42685</v>
      </c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22"/>
      <c r="N222" s="22"/>
    </row>
    <row r="223" spans="1:14" x14ac:dyDescent="0.25">
      <c r="A223" s="251">
        <v>42688</v>
      </c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22"/>
      <c r="N223" s="22"/>
    </row>
    <row r="224" spans="1:14" x14ac:dyDescent="0.25">
      <c r="A224" s="251">
        <v>42689</v>
      </c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22"/>
      <c r="N224" s="22"/>
    </row>
    <row r="225" spans="1:14" x14ac:dyDescent="0.25">
      <c r="A225" s="251">
        <v>42690</v>
      </c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22"/>
      <c r="N225" s="22"/>
    </row>
    <row r="226" spans="1:14" x14ac:dyDescent="0.25">
      <c r="A226" s="251">
        <v>42691</v>
      </c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22"/>
      <c r="N226" s="22"/>
    </row>
    <row r="227" spans="1:14" x14ac:dyDescent="0.25">
      <c r="A227" s="251">
        <v>42692</v>
      </c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22"/>
      <c r="N227" s="22"/>
    </row>
    <row r="228" spans="1:14" x14ac:dyDescent="0.25">
      <c r="A228" s="251">
        <v>42695</v>
      </c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22"/>
      <c r="N228" s="22"/>
    </row>
    <row r="229" spans="1:14" x14ac:dyDescent="0.25">
      <c r="A229" s="251">
        <v>42696</v>
      </c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22"/>
      <c r="N229" s="22"/>
    </row>
    <row r="230" spans="1:14" x14ac:dyDescent="0.25">
      <c r="A230" s="251">
        <v>42697</v>
      </c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22"/>
      <c r="N230" s="22"/>
    </row>
    <row r="231" spans="1:14" x14ac:dyDescent="0.25">
      <c r="A231" s="251">
        <v>42698</v>
      </c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22"/>
      <c r="N231" s="22"/>
    </row>
    <row r="232" spans="1:14" x14ac:dyDescent="0.25">
      <c r="A232" s="251">
        <v>42699</v>
      </c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22"/>
      <c r="N232" s="22"/>
    </row>
    <row r="233" spans="1:14" x14ac:dyDescent="0.25">
      <c r="A233" s="251">
        <v>42702</v>
      </c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22"/>
      <c r="N233" s="22"/>
    </row>
    <row r="234" spans="1:14" x14ac:dyDescent="0.25">
      <c r="A234" s="251">
        <v>42703</v>
      </c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22"/>
      <c r="N234" s="22"/>
    </row>
    <row r="235" spans="1:14" x14ac:dyDescent="0.25">
      <c r="A235" s="251">
        <v>42704</v>
      </c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22"/>
      <c r="N235" s="22"/>
    </row>
    <row r="236" spans="1:14" x14ac:dyDescent="0.25">
      <c r="A236" s="251">
        <v>42705</v>
      </c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22"/>
      <c r="N236" s="22"/>
    </row>
    <row r="237" spans="1:14" x14ac:dyDescent="0.25">
      <c r="A237" s="251">
        <v>42706</v>
      </c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22"/>
      <c r="N237" s="22"/>
    </row>
    <row r="238" spans="1:14" x14ac:dyDescent="0.25">
      <c r="A238" s="251">
        <v>42709</v>
      </c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22"/>
      <c r="N238" s="22"/>
    </row>
    <row r="239" spans="1:14" x14ac:dyDescent="0.25">
      <c r="A239" s="251">
        <v>42710</v>
      </c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22"/>
      <c r="N239" s="22"/>
    </row>
    <row r="240" spans="1:14" x14ac:dyDescent="0.25">
      <c r="A240" s="251">
        <v>42711</v>
      </c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22"/>
      <c r="N240" s="22"/>
    </row>
    <row r="241" spans="1:14" x14ac:dyDescent="0.25">
      <c r="A241" s="251">
        <v>42712</v>
      </c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22"/>
      <c r="N241" s="22"/>
    </row>
    <row r="242" spans="1:14" x14ac:dyDescent="0.25">
      <c r="A242" s="251">
        <v>42713</v>
      </c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22"/>
      <c r="N242" s="22"/>
    </row>
    <row r="243" spans="1:14" x14ac:dyDescent="0.25">
      <c r="A243" s="251">
        <v>42716</v>
      </c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22"/>
      <c r="N243" s="22"/>
    </row>
    <row r="244" spans="1:14" x14ac:dyDescent="0.25">
      <c r="A244" s="251">
        <v>42717</v>
      </c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22"/>
      <c r="N244" s="22"/>
    </row>
    <row r="245" spans="1:14" x14ac:dyDescent="0.25">
      <c r="A245" s="251">
        <v>42718</v>
      </c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22"/>
      <c r="N245" s="22"/>
    </row>
    <row r="246" spans="1:14" x14ac:dyDescent="0.25">
      <c r="A246" s="251">
        <v>42719</v>
      </c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22"/>
      <c r="N246" s="22"/>
    </row>
    <row r="247" spans="1:14" x14ac:dyDescent="0.25">
      <c r="A247" s="251">
        <v>42720</v>
      </c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22"/>
      <c r="N247" s="22"/>
    </row>
    <row r="248" spans="1:14" x14ac:dyDescent="0.25">
      <c r="A248" s="251">
        <v>42723</v>
      </c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22"/>
      <c r="N248" s="22"/>
    </row>
    <row r="249" spans="1:14" x14ac:dyDescent="0.25">
      <c r="A249" s="251">
        <v>42724</v>
      </c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22"/>
      <c r="N249" s="22"/>
    </row>
    <row r="250" spans="1:14" x14ac:dyDescent="0.25">
      <c r="A250" s="251">
        <v>42725</v>
      </c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22"/>
      <c r="N250" s="22"/>
    </row>
    <row r="251" spans="1:14" x14ac:dyDescent="0.25">
      <c r="A251" s="251">
        <v>42726</v>
      </c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22"/>
      <c r="N251" s="22"/>
    </row>
    <row r="252" spans="1:14" x14ac:dyDescent="0.25">
      <c r="A252" s="251">
        <v>42727</v>
      </c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22"/>
      <c r="N252" s="22"/>
    </row>
    <row r="253" spans="1:14" x14ac:dyDescent="0.25">
      <c r="A253" s="251">
        <v>42731</v>
      </c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22"/>
      <c r="N253" s="22"/>
    </row>
    <row r="254" spans="1:14" x14ac:dyDescent="0.25">
      <c r="A254" s="251">
        <v>42732</v>
      </c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22"/>
      <c r="N254" s="22"/>
    </row>
    <row r="255" spans="1:14" x14ac:dyDescent="0.25">
      <c r="A255" s="251">
        <v>42733</v>
      </c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22"/>
      <c r="N255" s="22"/>
    </row>
    <row r="256" spans="1:14" x14ac:dyDescent="0.25">
      <c r="A256" s="251">
        <v>42734</v>
      </c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22"/>
      <c r="N256" s="22"/>
    </row>
    <row r="257" spans="1:14" x14ac:dyDescent="0.25">
      <c r="A257" s="251">
        <v>42737</v>
      </c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22"/>
      <c r="N257" s="22"/>
    </row>
    <row r="258" spans="1:14" x14ac:dyDescent="0.25">
      <c r="A258" s="251">
        <v>42738</v>
      </c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22"/>
      <c r="N258" s="22"/>
    </row>
    <row r="259" spans="1:14" x14ac:dyDescent="0.25">
      <c r="A259" s="251">
        <v>42739</v>
      </c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22"/>
      <c r="N259" s="22"/>
    </row>
    <row r="260" spans="1:14" x14ac:dyDescent="0.25">
      <c r="A260" s="251">
        <v>42740</v>
      </c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22"/>
      <c r="N260" s="22"/>
    </row>
    <row r="261" spans="1:14" x14ac:dyDescent="0.25">
      <c r="A261" s="251">
        <v>42741</v>
      </c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22"/>
      <c r="N261" s="22"/>
    </row>
    <row r="262" spans="1:14" x14ac:dyDescent="0.25">
      <c r="A262" s="251">
        <v>42744</v>
      </c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22"/>
      <c r="N262" s="22"/>
    </row>
    <row r="263" spans="1:14" x14ac:dyDescent="0.25">
      <c r="A263" s="251">
        <v>42745</v>
      </c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22"/>
      <c r="N263" s="22"/>
    </row>
    <row r="264" spans="1:14" x14ac:dyDescent="0.25">
      <c r="A264" s="251">
        <v>42746</v>
      </c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22"/>
      <c r="N264" s="22"/>
    </row>
    <row r="265" spans="1:14" x14ac:dyDescent="0.25">
      <c r="A265" s="251">
        <v>42747</v>
      </c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22"/>
      <c r="N265" s="22"/>
    </row>
    <row r="266" spans="1:14" x14ac:dyDescent="0.25">
      <c r="A266" s="251">
        <v>42748</v>
      </c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22"/>
      <c r="N266" s="22"/>
    </row>
    <row r="267" spans="1:14" x14ac:dyDescent="0.25">
      <c r="A267" s="251">
        <v>42751</v>
      </c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22"/>
      <c r="N267" s="22"/>
    </row>
    <row r="268" spans="1:14" x14ac:dyDescent="0.25">
      <c r="A268" s="251">
        <v>42752</v>
      </c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22"/>
      <c r="N268" s="22"/>
    </row>
    <row r="269" spans="1:14" x14ac:dyDescent="0.25">
      <c r="A269" s="251">
        <v>42753</v>
      </c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22"/>
      <c r="N269" s="22"/>
    </row>
    <row r="270" spans="1:14" x14ac:dyDescent="0.25">
      <c r="A270" s="251">
        <v>42754</v>
      </c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22"/>
      <c r="N270" s="22"/>
    </row>
    <row r="271" spans="1:14" x14ac:dyDescent="0.25">
      <c r="A271" s="251">
        <v>42755</v>
      </c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22"/>
      <c r="N271" s="22"/>
    </row>
    <row r="272" spans="1:14" x14ac:dyDescent="0.25">
      <c r="A272" s="251">
        <v>42758</v>
      </c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22"/>
      <c r="N272" s="22"/>
    </row>
    <row r="273" spans="1:14" x14ac:dyDescent="0.25">
      <c r="A273" s="251">
        <v>42759</v>
      </c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22"/>
      <c r="N273" s="22"/>
    </row>
    <row r="274" spans="1:14" x14ac:dyDescent="0.25">
      <c r="A274" s="251">
        <v>42760</v>
      </c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22"/>
      <c r="N274" s="22"/>
    </row>
    <row r="275" spans="1:14" x14ac:dyDescent="0.25">
      <c r="A275" s="251">
        <v>42761</v>
      </c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22"/>
      <c r="N275" s="22"/>
    </row>
    <row r="276" spans="1:14" x14ac:dyDescent="0.25">
      <c r="A276" s="251">
        <v>42762</v>
      </c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22"/>
      <c r="N276" s="22"/>
    </row>
    <row r="277" spans="1:14" x14ac:dyDescent="0.25">
      <c r="A277" s="251">
        <v>42765</v>
      </c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22"/>
      <c r="N277" s="22"/>
    </row>
    <row r="278" spans="1:14" x14ac:dyDescent="0.25">
      <c r="A278" s="251">
        <v>42766</v>
      </c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22"/>
      <c r="N278" s="22"/>
    </row>
    <row r="279" spans="1:14" x14ac:dyDescent="0.25">
      <c r="A279" s="251">
        <v>42767</v>
      </c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22"/>
      <c r="N279" s="22"/>
    </row>
    <row r="280" spans="1:14" x14ac:dyDescent="0.25">
      <c r="A280" s="251">
        <v>42768</v>
      </c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22"/>
      <c r="N280" s="22"/>
    </row>
    <row r="281" spans="1:14" x14ac:dyDescent="0.25">
      <c r="A281" s="251">
        <v>42769</v>
      </c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22"/>
      <c r="N281" s="22"/>
    </row>
    <row r="282" spans="1:14" x14ac:dyDescent="0.25">
      <c r="A282" s="251">
        <v>42772</v>
      </c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22"/>
      <c r="N282" s="22"/>
    </row>
    <row r="283" spans="1:14" x14ac:dyDescent="0.25">
      <c r="A283" s="251">
        <v>42773</v>
      </c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22"/>
      <c r="N283" s="22"/>
    </row>
    <row r="284" spans="1:14" x14ac:dyDescent="0.25">
      <c r="A284" s="251">
        <v>42774</v>
      </c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22"/>
      <c r="N284" s="22"/>
    </row>
    <row r="285" spans="1:14" x14ac:dyDescent="0.25">
      <c r="A285" s="251">
        <v>42775</v>
      </c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22"/>
      <c r="N285" s="22"/>
    </row>
    <row r="286" spans="1:14" x14ac:dyDescent="0.25">
      <c r="A286" s="251">
        <v>42776</v>
      </c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22"/>
      <c r="N286" s="22"/>
    </row>
    <row r="287" spans="1:14" x14ac:dyDescent="0.25">
      <c r="A287" s="251">
        <v>42779</v>
      </c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22"/>
      <c r="N287" s="22"/>
    </row>
    <row r="288" spans="1:14" x14ac:dyDescent="0.25">
      <c r="A288" s="251">
        <v>42780</v>
      </c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22"/>
      <c r="N288" s="22"/>
    </row>
    <row r="289" spans="1:14" x14ac:dyDescent="0.25">
      <c r="A289" s="251">
        <v>42781</v>
      </c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22"/>
      <c r="N289" s="22"/>
    </row>
    <row r="290" spans="1:14" x14ac:dyDescent="0.25">
      <c r="A290" s="251">
        <v>42782</v>
      </c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22"/>
      <c r="N290" s="22"/>
    </row>
    <row r="291" spans="1:14" x14ac:dyDescent="0.25">
      <c r="A291" s="251">
        <v>42783</v>
      </c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22"/>
      <c r="N291" s="22"/>
    </row>
    <row r="292" spans="1:14" x14ac:dyDescent="0.25">
      <c r="A292" s="251">
        <v>42786</v>
      </c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22"/>
      <c r="N292" s="22"/>
    </row>
    <row r="293" spans="1:14" x14ac:dyDescent="0.25">
      <c r="A293" s="251">
        <v>42787</v>
      </c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22"/>
      <c r="N293" s="22"/>
    </row>
    <row r="294" spans="1:14" x14ac:dyDescent="0.25">
      <c r="A294" s="251">
        <v>42788</v>
      </c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22"/>
      <c r="N294" s="22"/>
    </row>
    <row r="295" spans="1:14" x14ac:dyDescent="0.25">
      <c r="A295" s="251">
        <v>42789</v>
      </c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22"/>
      <c r="N295" s="22"/>
    </row>
    <row r="296" spans="1:14" x14ac:dyDescent="0.25">
      <c r="A296" s="251">
        <v>42790</v>
      </c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22"/>
      <c r="N296" s="22"/>
    </row>
    <row r="297" spans="1:14" x14ac:dyDescent="0.25">
      <c r="A297" s="251">
        <v>42793</v>
      </c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22"/>
      <c r="N297" s="22"/>
    </row>
    <row r="298" spans="1:14" x14ac:dyDescent="0.25">
      <c r="A298" s="251">
        <v>42794</v>
      </c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22"/>
      <c r="N298" s="22"/>
    </row>
    <row r="299" spans="1:14" x14ac:dyDescent="0.25">
      <c r="A299" s="251">
        <v>42795</v>
      </c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22"/>
      <c r="N299" s="22"/>
    </row>
    <row r="300" spans="1:14" x14ac:dyDescent="0.25">
      <c r="A300" s="251">
        <v>42796</v>
      </c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22"/>
      <c r="N300" s="22"/>
    </row>
    <row r="301" spans="1:14" x14ac:dyDescent="0.25">
      <c r="A301" s="251">
        <v>42797</v>
      </c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22"/>
      <c r="N301" s="22"/>
    </row>
    <row r="302" spans="1:14" x14ac:dyDescent="0.25">
      <c r="A302" s="251">
        <v>42800</v>
      </c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22"/>
      <c r="N302" s="22"/>
    </row>
    <row r="303" spans="1:14" x14ac:dyDescent="0.25">
      <c r="A303" s="251">
        <v>42801</v>
      </c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22"/>
      <c r="N303" s="22"/>
    </row>
    <row r="304" spans="1:14" x14ac:dyDescent="0.25">
      <c r="A304" s="251">
        <v>42802</v>
      </c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22"/>
      <c r="N304" s="22"/>
    </row>
    <row r="305" spans="1:14" x14ac:dyDescent="0.25">
      <c r="A305" s="251">
        <v>42803</v>
      </c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22"/>
      <c r="N305" s="22"/>
    </row>
    <row r="306" spans="1:14" x14ac:dyDescent="0.25">
      <c r="A306" s="251">
        <v>42804</v>
      </c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22"/>
      <c r="N306" s="22"/>
    </row>
    <row r="307" spans="1:14" x14ac:dyDescent="0.25">
      <c r="A307" s="251">
        <v>42807</v>
      </c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22"/>
      <c r="N307" s="22"/>
    </row>
    <row r="308" spans="1:14" x14ac:dyDescent="0.25">
      <c r="A308" s="251">
        <v>42808</v>
      </c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22"/>
      <c r="N308" s="22"/>
    </row>
    <row r="309" spans="1:14" x14ac:dyDescent="0.25">
      <c r="A309" s="251">
        <v>42809</v>
      </c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22"/>
      <c r="N309" s="22"/>
    </row>
    <row r="310" spans="1:14" x14ac:dyDescent="0.25">
      <c r="A310" s="251">
        <v>42810</v>
      </c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22"/>
      <c r="N310" s="22"/>
    </row>
    <row r="311" spans="1:14" x14ac:dyDescent="0.25">
      <c r="A311" s="251">
        <v>42811</v>
      </c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22"/>
      <c r="N311" s="22"/>
    </row>
    <row r="312" spans="1:14" x14ac:dyDescent="0.25">
      <c r="A312" s="251">
        <v>42814</v>
      </c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22"/>
      <c r="N312" s="22"/>
    </row>
    <row r="313" spans="1:14" x14ac:dyDescent="0.25">
      <c r="A313" s="251">
        <v>42815</v>
      </c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22"/>
      <c r="N313" s="22"/>
    </row>
    <row r="314" spans="1:14" x14ac:dyDescent="0.25">
      <c r="A314" s="251">
        <v>42816</v>
      </c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22"/>
      <c r="N314" s="22"/>
    </row>
    <row r="315" spans="1:14" x14ac:dyDescent="0.25">
      <c r="A315" s="251">
        <v>42817</v>
      </c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22"/>
      <c r="N315" s="22"/>
    </row>
    <row r="316" spans="1:14" x14ac:dyDescent="0.25">
      <c r="A316" s="251">
        <v>42818</v>
      </c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22"/>
      <c r="N316" s="22"/>
    </row>
    <row r="317" spans="1:14" x14ac:dyDescent="0.25">
      <c r="A317" s="251">
        <v>42821</v>
      </c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22"/>
      <c r="N317" s="22"/>
    </row>
    <row r="318" spans="1:14" x14ac:dyDescent="0.25">
      <c r="A318" s="251">
        <v>42822</v>
      </c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22"/>
      <c r="N318" s="22"/>
    </row>
    <row r="319" spans="1:14" x14ac:dyDescent="0.25">
      <c r="A319" s="251">
        <v>42823</v>
      </c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22"/>
      <c r="N319" s="22"/>
    </row>
    <row r="320" spans="1:14" x14ac:dyDescent="0.25">
      <c r="A320" s="251">
        <v>42824</v>
      </c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22"/>
      <c r="N320" s="22"/>
    </row>
    <row r="321" spans="1:14" x14ac:dyDescent="0.25">
      <c r="A321" s="251">
        <v>42825</v>
      </c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22"/>
      <c r="N321" s="22"/>
    </row>
    <row r="322" spans="1:14" x14ac:dyDescent="0.25">
      <c r="A322" s="251">
        <v>42828</v>
      </c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22"/>
      <c r="N322" s="22"/>
    </row>
    <row r="323" spans="1:14" x14ac:dyDescent="0.25">
      <c r="A323" s="251">
        <v>42829</v>
      </c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22"/>
      <c r="N323" s="22"/>
    </row>
    <row r="324" spans="1:14" x14ac:dyDescent="0.25">
      <c r="A324" s="251">
        <v>42830</v>
      </c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22"/>
      <c r="N324" s="22"/>
    </row>
    <row r="325" spans="1:14" x14ac:dyDescent="0.25">
      <c r="A325" s="251">
        <v>42831</v>
      </c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22"/>
      <c r="N325" s="22"/>
    </row>
    <row r="326" spans="1:14" x14ac:dyDescent="0.25">
      <c r="A326" s="251">
        <v>42832</v>
      </c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22"/>
      <c r="N326" s="22"/>
    </row>
    <row r="327" spans="1:14" x14ac:dyDescent="0.25">
      <c r="A327" s="251">
        <v>42835</v>
      </c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22"/>
      <c r="N327" s="22"/>
    </row>
    <row r="328" spans="1:14" x14ac:dyDescent="0.25">
      <c r="A328" s="251">
        <v>42836</v>
      </c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22"/>
      <c r="N328" s="22"/>
    </row>
    <row r="329" spans="1:14" x14ac:dyDescent="0.25">
      <c r="A329" s="251">
        <v>42837</v>
      </c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22"/>
      <c r="N329" s="22"/>
    </row>
    <row r="330" spans="1:14" x14ac:dyDescent="0.25">
      <c r="A330" s="251">
        <v>42838</v>
      </c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22"/>
      <c r="N330" s="22"/>
    </row>
    <row r="331" spans="1:14" x14ac:dyDescent="0.25">
      <c r="A331" s="251">
        <v>42843</v>
      </c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22"/>
      <c r="N331" s="22"/>
    </row>
    <row r="332" spans="1:14" x14ac:dyDescent="0.25">
      <c r="A332" s="251">
        <v>42844</v>
      </c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22"/>
      <c r="N332" s="22"/>
    </row>
    <row r="333" spans="1:14" x14ac:dyDescent="0.25">
      <c r="A333" s="251">
        <v>42845</v>
      </c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22"/>
      <c r="N333" s="22"/>
    </row>
    <row r="334" spans="1:14" x14ac:dyDescent="0.25">
      <c r="A334" s="251">
        <v>42846</v>
      </c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22"/>
      <c r="N334" s="22"/>
    </row>
    <row r="335" spans="1:14" x14ac:dyDescent="0.25">
      <c r="A335" s="251">
        <v>42849</v>
      </c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22"/>
      <c r="N335" s="22"/>
    </row>
    <row r="336" spans="1:14" x14ac:dyDescent="0.25">
      <c r="A336" s="251">
        <v>42850</v>
      </c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22"/>
      <c r="N336" s="22"/>
    </row>
    <row r="337" spans="1:14" x14ac:dyDescent="0.25">
      <c r="A337" s="251">
        <v>42851</v>
      </c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22"/>
      <c r="N337" s="22"/>
    </row>
    <row r="338" spans="1:14" x14ac:dyDescent="0.25">
      <c r="A338" s="251">
        <v>42852</v>
      </c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22"/>
      <c r="N338" s="22"/>
    </row>
    <row r="339" spans="1:14" x14ac:dyDescent="0.25">
      <c r="A339" s="251">
        <v>42853</v>
      </c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22"/>
      <c r="N339" s="22"/>
    </row>
    <row r="340" spans="1:14" x14ac:dyDescent="0.25">
      <c r="A340" s="251">
        <v>42857</v>
      </c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22"/>
      <c r="N340" s="22"/>
    </row>
    <row r="341" spans="1:14" x14ac:dyDescent="0.25">
      <c r="A341" s="251">
        <v>42858</v>
      </c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22"/>
      <c r="N341" s="22"/>
    </row>
    <row r="342" spans="1:14" x14ac:dyDescent="0.25">
      <c r="A342" s="251">
        <v>42859</v>
      </c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22"/>
      <c r="N342" s="22"/>
    </row>
    <row r="343" spans="1:14" x14ac:dyDescent="0.25">
      <c r="A343" s="251">
        <v>42860</v>
      </c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22"/>
      <c r="N343" s="22"/>
    </row>
    <row r="344" spans="1:14" x14ac:dyDescent="0.25">
      <c r="A344" s="251">
        <v>42863</v>
      </c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22"/>
      <c r="N344" s="22"/>
    </row>
    <row r="345" spans="1:14" x14ac:dyDescent="0.25">
      <c r="A345" s="251">
        <v>42864</v>
      </c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22"/>
      <c r="N345" s="22"/>
    </row>
    <row r="346" spans="1:14" x14ac:dyDescent="0.25">
      <c r="A346" s="251">
        <v>42865</v>
      </c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22"/>
      <c r="N346" s="22"/>
    </row>
    <row r="347" spans="1:14" x14ac:dyDescent="0.25">
      <c r="A347" s="251">
        <v>42866</v>
      </c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22"/>
      <c r="N347" s="22"/>
    </row>
    <row r="348" spans="1:14" x14ac:dyDescent="0.25">
      <c r="A348" s="251">
        <v>42867</v>
      </c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22"/>
      <c r="N348" s="22"/>
    </row>
    <row r="349" spans="1:14" x14ac:dyDescent="0.25">
      <c r="A349" s="251">
        <v>42870</v>
      </c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22"/>
      <c r="N349" s="22"/>
    </row>
    <row r="350" spans="1:14" x14ac:dyDescent="0.25">
      <c r="A350" s="251">
        <v>42871</v>
      </c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22"/>
      <c r="N350" s="22"/>
    </row>
    <row r="351" spans="1:14" x14ac:dyDescent="0.25">
      <c r="A351" s="251">
        <v>42872</v>
      </c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22"/>
      <c r="N351" s="22"/>
    </row>
    <row r="352" spans="1:14" x14ac:dyDescent="0.25">
      <c r="A352" s="251">
        <v>42873</v>
      </c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22"/>
      <c r="N352" s="22"/>
    </row>
    <row r="353" spans="1:14" x14ac:dyDescent="0.25">
      <c r="A353" s="251">
        <v>42874</v>
      </c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22"/>
      <c r="N353" s="22"/>
    </row>
    <row r="354" spans="1:14" x14ac:dyDescent="0.25">
      <c r="A354" s="251">
        <v>42877</v>
      </c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22"/>
      <c r="N354" s="22"/>
    </row>
    <row r="355" spans="1:14" x14ac:dyDescent="0.25">
      <c r="A355" s="251">
        <v>42878</v>
      </c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22"/>
      <c r="N355" s="22"/>
    </row>
    <row r="356" spans="1:14" x14ac:dyDescent="0.25">
      <c r="A356" s="251">
        <v>42879</v>
      </c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22"/>
      <c r="N356" s="22"/>
    </row>
    <row r="357" spans="1:14" x14ac:dyDescent="0.25">
      <c r="A357" s="251">
        <v>42880</v>
      </c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22"/>
      <c r="N357" s="22"/>
    </row>
    <row r="358" spans="1:14" x14ac:dyDescent="0.25">
      <c r="A358" s="251">
        <v>42881</v>
      </c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22"/>
      <c r="N358" s="22"/>
    </row>
    <row r="359" spans="1:14" x14ac:dyDescent="0.25">
      <c r="A359" s="251">
        <v>42884</v>
      </c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22"/>
      <c r="N359" s="22"/>
    </row>
    <row r="360" spans="1:14" x14ac:dyDescent="0.25">
      <c r="A360" s="251">
        <v>42885</v>
      </c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22"/>
      <c r="N360" s="22"/>
    </row>
    <row r="361" spans="1:14" x14ac:dyDescent="0.25">
      <c r="A361" s="251">
        <v>42886</v>
      </c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22"/>
      <c r="N361" s="22"/>
    </row>
    <row r="362" spans="1:14" x14ac:dyDescent="0.25">
      <c r="A362" s="251">
        <v>42887</v>
      </c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22"/>
      <c r="N362" s="22"/>
    </row>
    <row r="363" spans="1:14" x14ac:dyDescent="0.25">
      <c r="A363" s="251">
        <v>42888</v>
      </c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22"/>
      <c r="N363" s="22"/>
    </row>
    <row r="364" spans="1:14" x14ac:dyDescent="0.25">
      <c r="A364" s="251">
        <v>42891</v>
      </c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22"/>
      <c r="N364" s="22"/>
    </row>
    <row r="365" spans="1:14" x14ac:dyDescent="0.25">
      <c r="A365" s="251">
        <v>42892</v>
      </c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22"/>
      <c r="N365" s="22"/>
    </row>
    <row r="366" spans="1:14" x14ac:dyDescent="0.25">
      <c r="A366" s="251">
        <v>42893</v>
      </c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22"/>
      <c r="N366" s="22"/>
    </row>
    <row r="367" spans="1:14" x14ac:dyDescent="0.25">
      <c r="A367" s="251">
        <v>42894</v>
      </c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22"/>
      <c r="N367" s="22"/>
    </row>
    <row r="368" spans="1:14" x14ac:dyDescent="0.25">
      <c r="A368" s="251">
        <v>42895</v>
      </c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22"/>
      <c r="N368" s="22"/>
    </row>
    <row r="369" spans="1:14" x14ac:dyDescent="0.25">
      <c r="A369" s="251">
        <v>42898</v>
      </c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22"/>
      <c r="N369" s="22"/>
    </row>
    <row r="370" spans="1:14" x14ac:dyDescent="0.25">
      <c r="A370" s="251">
        <v>42899</v>
      </c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22"/>
      <c r="N370" s="22"/>
    </row>
    <row r="371" spans="1:14" x14ac:dyDescent="0.25">
      <c r="A371" s="251">
        <v>42900</v>
      </c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22"/>
      <c r="N371" s="22"/>
    </row>
    <row r="372" spans="1:14" x14ac:dyDescent="0.25">
      <c r="A372" s="251">
        <v>42901</v>
      </c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22"/>
      <c r="N372" s="22"/>
    </row>
    <row r="373" spans="1:14" x14ac:dyDescent="0.25">
      <c r="A373" s="251">
        <v>42902</v>
      </c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22"/>
      <c r="N373" s="22"/>
    </row>
    <row r="374" spans="1:14" x14ac:dyDescent="0.25">
      <c r="A374" s="251">
        <v>42905</v>
      </c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22"/>
      <c r="N374" s="22"/>
    </row>
    <row r="375" spans="1:14" x14ac:dyDescent="0.25">
      <c r="A375" s="251">
        <v>42906</v>
      </c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22"/>
      <c r="N375" s="22"/>
    </row>
    <row r="376" spans="1:14" x14ac:dyDescent="0.25">
      <c r="A376" s="251">
        <v>42907</v>
      </c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22"/>
      <c r="N376" s="22"/>
    </row>
    <row r="377" spans="1:14" x14ac:dyDescent="0.25">
      <c r="A377" s="251">
        <v>42908</v>
      </c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22"/>
      <c r="N377" s="22"/>
    </row>
    <row r="378" spans="1:14" x14ac:dyDescent="0.25">
      <c r="A378" s="251">
        <v>42909</v>
      </c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22"/>
      <c r="N378" s="22"/>
    </row>
    <row r="379" spans="1:14" x14ac:dyDescent="0.25">
      <c r="A379" s="251">
        <v>42912</v>
      </c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22"/>
      <c r="N379" s="22"/>
    </row>
    <row r="380" spans="1:14" x14ac:dyDescent="0.25">
      <c r="A380" s="251">
        <v>42913</v>
      </c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22"/>
      <c r="N380" s="22"/>
    </row>
    <row r="381" spans="1:14" x14ac:dyDescent="0.25">
      <c r="A381" s="251">
        <v>42914</v>
      </c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22"/>
      <c r="N381" s="22"/>
    </row>
    <row r="382" spans="1:14" x14ac:dyDescent="0.25">
      <c r="A382" s="251">
        <v>42915</v>
      </c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22"/>
      <c r="N382" s="22"/>
    </row>
    <row r="383" spans="1:14" x14ac:dyDescent="0.25">
      <c r="A383" s="251">
        <v>42916</v>
      </c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22"/>
      <c r="N383" s="22"/>
    </row>
    <row r="384" spans="1:14" x14ac:dyDescent="0.25">
      <c r="A384" s="251">
        <v>42919</v>
      </c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22"/>
      <c r="N384" s="22"/>
    </row>
    <row r="385" spans="1:14" x14ac:dyDescent="0.25">
      <c r="A385" s="251">
        <v>42920</v>
      </c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22"/>
      <c r="N385" s="22"/>
    </row>
    <row r="386" spans="1:14" x14ac:dyDescent="0.25">
      <c r="A386" s="251">
        <v>42921</v>
      </c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22"/>
      <c r="N386" s="22"/>
    </row>
    <row r="387" spans="1:14" x14ac:dyDescent="0.25">
      <c r="A387" s="251">
        <v>42922</v>
      </c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22"/>
      <c r="N387" s="22"/>
    </row>
    <row r="388" spans="1:14" x14ac:dyDescent="0.25">
      <c r="A388" s="251">
        <v>42923</v>
      </c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22"/>
      <c r="N388" s="22"/>
    </row>
    <row r="389" spans="1:14" x14ac:dyDescent="0.25">
      <c r="A389" s="251">
        <v>42926</v>
      </c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22"/>
      <c r="N389" s="22"/>
    </row>
    <row r="390" spans="1:14" x14ac:dyDescent="0.25">
      <c r="A390" s="251">
        <v>42927</v>
      </c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22"/>
      <c r="N390" s="22"/>
    </row>
    <row r="391" spans="1:14" x14ac:dyDescent="0.25">
      <c r="A391" s="251">
        <v>42928</v>
      </c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22"/>
      <c r="N391" s="22"/>
    </row>
    <row r="392" spans="1:14" x14ac:dyDescent="0.25">
      <c r="A392" s="251">
        <v>42929</v>
      </c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22"/>
      <c r="N392" s="22"/>
    </row>
    <row r="393" spans="1:14" x14ac:dyDescent="0.25">
      <c r="A393" s="251">
        <v>42930</v>
      </c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22"/>
      <c r="N393" s="22"/>
    </row>
    <row r="394" spans="1:14" x14ac:dyDescent="0.25">
      <c r="A394" s="251">
        <v>42933</v>
      </c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22"/>
      <c r="N394" s="22"/>
    </row>
    <row r="395" spans="1:14" x14ac:dyDescent="0.25">
      <c r="A395" s="251">
        <v>42934</v>
      </c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22"/>
      <c r="N395" s="22"/>
    </row>
    <row r="396" spans="1:14" x14ac:dyDescent="0.25">
      <c r="A396" s="251">
        <v>42935</v>
      </c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22"/>
      <c r="N396" s="22"/>
    </row>
    <row r="397" spans="1:14" x14ac:dyDescent="0.25">
      <c r="A397" s="251">
        <v>42936</v>
      </c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22"/>
      <c r="N397" s="22"/>
    </row>
    <row r="398" spans="1:14" x14ac:dyDescent="0.25">
      <c r="A398" s="251">
        <v>42937</v>
      </c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22"/>
      <c r="N398" s="22"/>
    </row>
    <row r="399" spans="1:14" x14ac:dyDescent="0.25">
      <c r="A399" s="251">
        <v>42940</v>
      </c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22"/>
      <c r="N399" s="22"/>
    </row>
    <row r="400" spans="1:14" x14ac:dyDescent="0.25">
      <c r="A400" s="251">
        <v>42941</v>
      </c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22"/>
      <c r="N400" s="22"/>
    </row>
    <row r="401" spans="1:14" x14ac:dyDescent="0.25">
      <c r="A401" s="251">
        <v>42942</v>
      </c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22"/>
      <c r="N401" s="22"/>
    </row>
    <row r="402" spans="1:14" x14ac:dyDescent="0.25">
      <c r="A402" s="251">
        <v>42943</v>
      </c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22"/>
      <c r="N402" s="22"/>
    </row>
    <row r="403" spans="1:14" x14ac:dyDescent="0.25">
      <c r="A403" s="251">
        <v>42944</v>
      </c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22"/>
      <c r="N403" s="22"/>
    </row>
    <row r="404" spans="1:14" x14ac:dyDescent="0.25">
      <c r="A404" s="251">
        <v>42947</v>
      </c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22"/>
      <c r="N404" s="22"/>
    </row>
    <row r="405" spans="1:14" x14ac:dyDescent="0.25">
      <c r="A405" s="251">
        <v>42948</v>
      </c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22"/>
      <c r="N405" s="22"/>
    </row>
    <row r="406" spans="1:14" x14ac:dyDescent="0.25">
      <c r="A406" s="251">
        <v>42949</v>
      </c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22"/>
      <c r="N406" s="22"/>
    </row>
    <row r="407" spans="1:14" x14ac:dyDescent="0.25">
      <c r="A407" s="251">
        <v>42950</v>
      </c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22"/>
      <c r="N407" s="22"/>
    </row>
    <row r="408" spans="1:14" x14ac:dyDescent="0.25">
      <c r="A408" s="251">
        <v>42951</v>
      </c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22"/>
      <c r="N408" s="22"/>
    </row>
    <row r="409" spans="1:14" x14ac:dyDescent="0.25">
      <c r="A409" s="251">
        <v>42954</v>
      </c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22"/>
      <c r="N409" s="22"/>
    </row>
    <row r="410" spans="1:14" x14ac:dyDescent="0.25">
      <c r="A410" s="251">
        <v>42955</v>
      </c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22"/>
      <c r="N410" s="22"/>
    </row>
    <row r="411" spans="1:14" x14ac:dyDescent="0.25">
      <c r="A411" s="251">
        <v>42956</v>
      </c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22"/>
      <c r="N411" s="22"/>
    </row>
    <row r="412" spans="1:14" x14ac:dyDescent="0.25">
      <c r="A412" s="251">
        <v>42957</v>
      </c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22"/>
      <c r="N412" s="22"/>
    </row>
    <row r="413" spans="1:14" x14ac:dyDescent="0.25">
      <c r="A413" s="251">
        <v>42958</v>
      </c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22"/>
      <c r="N413" s="22"/>
    </row>
    <row r="414" spans="1:14" x14ac:dyDescent="0.25">
      <c r="A414" s="251">
        <v>42961</v>
      </c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22"/>
      <c r="N414" s="22"/>
    </row>
    <row r="415" spans="1:14" x14ac:dyDescent="0.25">
      <c r="A415" s="251">
        <v>42963</v>
      </c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22"/>
      <c r="N415" s="22"/>
    </row>
    <row r="416" spans="1:14" x14ac:dyDescent="0.25">
      <c r="A416" s="251">
        <v>42964</v>
      </c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22"/>
      <c r="N416" s="22"/>
    </row>
    <row r="417" spans="1:14" x14ac:dyDescent="0.25">
      <c r="A417" s="251">
        <v>42965</v>
      </c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22"/>
      <c r="N417" s="22"/>
    </row>
    <row r="418" spans="1:14" x14ac:dyDescent="0.25">
      <c r="A418" s="251">
        <v>42968</v>
      </c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22"/>
      <c r="N418" s="22"/>
    </row>
    <row r="419" spans="1:14" x14ac:dyDescent="0.25">
      <c r="A419" s="251">
        <v>42969</v>
      </c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22"/>
      <c r="N419" s="22"/>
    </row>
    <row r="420" spans="1:14" x14ac:dyDescent="0.25">
      <c r="A420" s="251">
        <v>42970</v>
      </c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22"/>
      <c r="N420" s="22"/>
    </row>
    <row r="421" spans="1:14" x14ac:dyDescent="0.25">
      <c r="A421" s="251">
        <v>42971</v>
      </c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22"/>
      <c r="N421" s="22"/>
    </row>
    <row r="422" spans="1:14" x14ac:dyDescent="0.25">
      <c r="A422" s="251">
        <v>42972</v>
      </c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22"/>
      <c r="N422" s="22"/>
    </row>
    <row r="423" spans="1:14" x14ac:dyDescent="0.25">
      <c r="A423" s="251">
        <v>42975</v>
      </c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22"/>
      <c r="N423" s="22"/>
    </row>
    <row r="424" spans="1:14" x14ac:dyDescent="0.25">
      <c r="A424" s="251">
        <v>42976</v>
      </c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22"/>
      <c r="N424" s="22"/>
    </row>
    <row r="425" spans="1:14" x14ac:dyDescent="0.25">
      <c r="A425" s="251">
        <v>42977</v>
      </c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22"/>
      <c r="N425" s="22"/>
    </row>
    <row r="426" spans="1:14" x14ac:dyDescent="0.25">
      <c r="A426" s="251">
        <v>42978</v>
      </c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22"/>
      <c r="N426" s="22"/>
    </row>
    <row r="427" spans="1:14" x14ac:dyDescent="0.25">
      <c r="A427" s="251">
        <v>42979</v>
      </c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22"/>
      <c r="N427" s="22"/>
    </row>
    <row r="428" spans="1:14" x14ac:dyDescent="0.25">
      <c r="A428" s="251">
        <v>42982</v>
      </c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22"/>
      <c r="N428" s="22"/>
    </row>
    <row r="429" spans="1:14" x14ac:dyDescent="0.25">
      <c r="A429" s="251">
        <v>42983</v>
      </c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22"/>
      <c r="N429" s="22"/>
    </row>
    <row r="430" spans="1:14" x14ac:dyDescent="0.25">
      <c r="A430" s="251">
        <v>42984</v>
      </c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22"/>
      <c r="N430" s="22"/>
    </row>
    <row r="431" spans="1:14" x14ac:dyDescent="0.25">
      <c r="A431" s="251">
        <v>42985</v>
      </c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22"/>
      <c r="N431" s="22"/>
    </row>
    <row r="432" spans="1:14" x14ac:dyDescent="0.25">
      <c r="A432" s="251">
        <v>42986</v>
      </c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22"/>
      <c r="N432" s="22"/>
    </row>
    <row r="433" spans="1:14" x14ac:dyDescent="0.25">
      <c r="A433" s="251">
        <v>42989</v>
      </c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22"/>
      <c r="N433" s="22"/>
    </row>
    <row r="434" spans="1:14" x14ac:dyDescent="0.25">
      <c r="A434" s="251">
        <v>42990</v>
      </c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22"/>
      <c r="N434" s="22"/>
    </row>
    <row r="435" spans="1:14" x14ac:dyDescent="0.25">
      <c r="A435" s="251">
        <v>42991</v>
      </c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22"/>
      <c r="N435" s="22"/>
    </row>
    <row r="436" spans="1:14" x14ac:dyDescent="0.25">
      <c r="A436" s="251">
        <v>42992</v>
      </c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22"/>
      <c r="N436" s="22"/>
    </row>
    <row r="437" spans="1:14" x14ac:dyDescent="0.25">
      <c r="A437" s="251">
        <v>42993</v>
      </c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22"/>
      <c r="N437" s="22"/>
    </row>
    <row r="438" spans="1:14" x14ac:dyDescent="0.25">
      <c r="A438" s="251">
        <v>42996</v>
      </c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22"/>
      <c r="N438" s="22"/>
    </row>
    <row r="439" spans="1:14" x14ac:dyDescent="0.25">
      <c r="A439" s="251">
        <v>42997</v>
      </c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22"/>
      <c r="N439" s="22"/>
    </row>
    <row r="440" spans="1:14" x14ac:dyDescent="0.25">
      <c r="A440" s="251">
        <v>42998</v>
      </c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22"/>
      <c r="N440" s="22"/>
    </row>
    <row r="441" spans="1:14" x14ac:dyDescent="0.25">
      <c r="A441" s="251">
        <v>42999</v>
      </c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22"/>
      <c r="N441" s="22"/>
    </row>
    <row r="442" spans="1:14" x14ac:dyDescent="0.25">
      <c r="A442" s="251">
        <v>43000</v>
      </c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22"/>
      <c r="N442" s="22"/>
    </row>
    <row r="443" spans="1:14" x14ac:dyDescent="0.25">
      <c r="A443" s="251">
        <v>43003</v>
      </c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22"/>
      <c r="N443" s="22"/>
    </row>
    <row r="444" spans="1:14" x14ac:dyDescent="0.25">
      <c r="A444" s="251">
        <v>43004</v>
      </c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22"/>
      <c r="N444" s="22"/>
    </row>
    <row r="445" spans="1:14" x14ac:dyDescent="0.25">
      <c r="A445" s="251">
        <v>43005</v>
      </c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22"/>
      <c r="N445" s="22"/>
    </row>
    <row r="446" spans="1:14" x14ac:dyDescent="0.25">
      <c r="A446" s="251">
        <v>43006</v>
      </c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22"/>
      <c r="N446" s="22"/>
    </row>
    <row r="447" spans="1:14" x14ac:dyDescent="0.25">
      <c r="A447" s="251">
        <v>43007</v>
      </c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22"/>
      <c r="N447" s="22"/>
    </row>
    <row r="448" spans="1:14" x14ac:dyDescent="0.25">
      <c r="A448" s="251">
        <v>43010</v>
      </c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22"/>
      <c r="N448" s="22"/>
    </row>
    <row r="449" spans="1:14" x14ac:dyDescent="0.25">
      <c r="A449" s="251">
        <v>43011</v>
      </c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22"/>
      <c r="N449" s="22"/>
    </row>
    <row r="450" spans="1:14" x14ac:dyDescent="0.25">
      <c r="A450" s="251">
        <v>43012</v>
      </c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22"/>
      <c r="N450" s="22"/>
    </row>
    <row r="451" spans="1:14" x14ac:dyDescent="0.25">
      <c r="A451" s="251">
        <v>43013</v>
      </c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22"/>
      <c r="N451" s="22"/>
    </row>
    <row r="452" spans="1:14" x14ac:dyDescent="0.25">
      <c r="A452" s="251">
        <v>43014</v>
      </c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22"/>
      <c r="N452" s="22"/>
    </row>
    <row r="453" spans="1:14" x14ac:dyDescent="0.25">
      <c r="A453" s="251">
        <v>43017</v>
      </c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22"/>
      <c r="N453" s="22"/>
    </row>
    <row r="454" spans="1:14" x14ac:dyDescent="0.25">
      <c r="A454" s="251">
        <v>43018</v>
      </c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22"/>
      <c r="N454" s="22"/>
    </row>
    <row r="455" spans="1:14" x14ac:dyDescent="0.25">
      <c r="A455" s="251">
        <v>43019</v>
      </c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22"/>
      <c r="N455" s="22"/>
    </row>
    <row r="456" spans="1:14" x14ac:dyDescent="0.25">
      <c r="A456" s="251">
        <v>43020</v>
      </c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22"/>
      <c r="N456" s="22"/>
    </row>
    <row r="457" spans="1:14" x14ac:dyDescent="0.25">
      <c r="A457" s="251">
        <v>43021</v>
      </c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22"/>
      <c r="N457" s="22"/>
    </row>
    <row r="458" spans="1:14" x14ac:dyDescent="0.25">
      <c r="A458" s="251">
        <v>43024</v>
      </c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22"/>
      <c r="N458" s="22"/>
    </row>
    <row r="459" spans="1:14" x14ac:dyDescent="0.25">
      <c r="A459" s="251">
        <v>43025</v>
      </c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22"/>
      <c r="N459" s="22"/>
    </row>
    <row r="460" spans="1:14" x14ac:dyDescent="0.25">
      <c r="A460" s="251">
        <v>43026</v>
      </c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22"/>
      <c r="N460" s="22"/>
    </row>
    <row r="461" spans="1:14" x14ac:dyDescent="0.25">
      <c r="A461" s="251">
        <v>43027</v>
      </c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22"/>
      <c r="N461" s="22"/>
    </row>
    <row r="462" spans="1:14" x14ac:dyDescent="0.25">
      <c r="A462" s="251">
        <v>43028</v>
      </c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22"/>
      <c r="N462" s="22"/>
    </row>
    <row r="463" spans="1:14" x14ac:dyDescent="0.25">
      <c r="A463" s="251">
        <v>43031</v>
      </c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22"/>
      <c r="N463" s="22"/>
    </row>
    <row r="464" spans="1:14" x14ac:dyDescent="0.25">
      <c r="A464" s="251">
        <v>43032</v>
      </c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22"/>
      <c r="N464" s="22"/>
    </row>
    <row r="465" spans="1:14" x14ac:dyDescent="0.25">
      <c r="A465" s="251">
        <v>43033</v>
      </c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22"/>
      <c r="N465" s="22"/>
    </row>
    <row r="466" spans="1:14" x14ac:dyDescent="0.25">
      <c r="A466" s="251">
        <v>43034</v>
      </c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22"/>
      <c r="N466" s="22"/>
    </row>
    <row r="467" spans="1:14" x14ac:dyDescent="0.25">
      <c r="A467" s="251">
        <v>43035</v>
      </c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22"/>
      <c r="N467" s="22"/>
    </row>
    <row r="468" spans="1:14" x14ac:dyDescent="0.25">
      <c r="A468" s="251">
        <v>43038</v>
      </c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22"/>
      <c r="N468" s="22"/>
    </row>
    <row r="469" spans="1:14" x14ac:dyDescent="0.25">
      <c r="A469" s="251">
        <v>43039</v>
      </c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22"/>
      <c r="N469" s="22"/>
    </row>
    <row r="470" spans="1:14" x14ac:dyDescent="0.25">
      <c r="A470" s="251">
        <v>43040</v>
      </c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22"/>
      <c r="N470" s="22"/>
    </row>
    <row r="471" spans="1:14" x14ac:dyDescent="0.25">
      <c r="A471" s="251">
        <v>43041</v>
      </c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22"/>
      <c r="N471" s="22"/>
    </row>
    <row r="472" spans="1:14" x14ac:dyDescent="0.25">
      <c r="A472" s="251">
        <v>43042</v>
      </c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22"/>
      <c r="N472" s="22"/>
    </row>
    <row r="473" spans="1:14" x14ac:dyDescent="0.25">
      <c r="A473" s="251">
        <v>43045</v>
      </c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22"/>
      <c r="N473" s="22"/>
    </row>
    <row r="474" spans="1:14" x14ac:dyDescent="0.25">
      <c r="A474" s="251">
        <v>43046</v>
      </c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22"/>
      <c r="N474" s="22"/>
    </row>
    <row r="475" spans="1:14" x14ac:dyDescent="0.25">
      <c r="A475" s="251">
        <v>43047</v>
      </c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22"/>
      <c r="N475" s="22"/>
    </row>
    <row r="476" spans="1:14" x14ac:dyDescent="0.25">
      <c r="A476" s="251">
        <v>43048</v>
      </c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22"/>
      <c r="N476" s="22"/>
    </row>
    <row r="477" spans="1:14" x14ac:dyDescent="0.25">
      <c r="A477" s="251">
        <v>43049</v>
      </c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22"/>
      <c r="N477" s="22"/>
    </row>
    <row r="478" spans="1:14" x14ac:dyDescent="0.25">
      <c r="A478" s="251">
        <v>43052</v>
      </c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22"/>
      <c r="N478" s="22"/>
    </row>
    <row r="479" spans="1:14" x14ac:dyDescent="0.25">
      <c r="A479" s="251">
        <v>43053</v>
      </c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22"/>
      <c r="N479" s="22"/>
    </row>
    <row r="480" spans="1:14" x14ac:dyDescent="0.25">
      <c r="A480" s="251">
        <v>43054</v>
      </c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22"/>
      <c r="N480" s="22"/>
    </row>
    <row r="481" spans="1:14" x14ac:dyDescent="0.25">
      <c r="A481" s="251">
        <v>43055</v>
      </c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22"/>
      <c r="N481" s="22"/>
    </row>
    <row r="482" spans="1:14" x14ac:dyDescent="0.25">
      <c r="A482" s="251">
        <v>43056</v>
      </c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22"/>
      <c r="N482" s="22"/>
    </row>
    <row r="483" spans="1:14" x14ac:dyDescent="0.25">
      <c r="A483" s="251">
        <v>43059</v>
      </c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22"/>
      <c r="N483" s="22"/>
    </row>
    <row r="484" spans="1:14" x14ac:dyDescent="0.25">
      <c r="A484" s="251">
        <v>43060</v>
      </c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22"/>
      <c r="N484" s="22"/>
    </row>
    <row r="485" spans="1:14" x14ac:dyDescent="0.25">
      <c r="A485" s="251">
        <v>43061</v>
      </c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22"/>
      <c r="N485" s="22"/>
    </row>
    <row r="486" spans="1:14" x14ac:dyDescent="0.25">
      <c r="A486" s="251">
        <v>43062</v>
      </c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22"/>
      <c r="N486" s="22"/>
    </row>
    <row r="487" spans="1:14" x14ac:dyDescent="0.25">
      <c r="A487" s="251">
        <v>43063</v>
      </c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22"/>
      <c r="N487" s="22"/>
    </row>
    <row r="488" spans="1:14" x14ac:dyDescent="0.25">
      <c r="A488" s="251">
        <v>43066</v>
      </c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22"/>
      <c r="N488" s="22"/>
    </row>
    <row r="489" spans="1:14" x14ac:dyDescent="0.25">
      <c r="A489" s="251">
        <v>43067</v>
      </c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22"/>
      <c r="N489" s="22"/>
    </row>
    <row r="490" spans="1:14" x14ac:dyDescent="0.25">
      <c r="A490" s="251">
        <v>43068</v>
      </c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22"/>
      <c r="N490" s="22"/>
    </row>
    <row r="491" spans="1:14" x14ac:dyDescent="0.25">
      <c r="A491" s="251">
        <v>43069</v>
      </c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22"/>
      <c r="N491" s="22"/>
    </row>
    <row r="492" spans="1:14" x14ac:dyDescent="0.25">
      <c r="A492" s="251">
        <v>43070</v>
      </c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22"/>
      <c r="N492" s="22"/>
    </row>
    <row r="493" spans="1:14" x14ac:dyDescent="0.25">
      <c r="A493" s="251">
        <v>43073</v>
      </c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22"/>
      <c r="N493" s="22"/>
    </row>
    <row r="494" spans="1:14" x14ac:dyDescent="0.25">
      <c r="A494" s="251">
        <v>43074</v>
      </c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22"/>
      <c r="N494" s="22"/>
    </row>
    <row r="495" spans="1:14" x14ac:dyDescent="0.25">
      <c r="A495" s="251">
        <v>43075</v>
      </c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22"/>
      <c r="N495" s="22"/>
    </row>
    <row r="496" spans="1:14" x14ac:dyDescent="0.25">
      <c r="A496" s="251">
        <v>43076</v>
      </c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22"/>
      <c r="N496" s="22"/>
    </row>
    <row r="497" spans="1:14" x14ac:dyDescent="0.25">
      <c r="A497" s="251">
        <v>43077</v>
      </c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22"/>
      <c r="N497" s="22"/>
    </row>
    <row r="498" spans="1:14" x14ac:dyDescent="0.25">
      <c r="A498" s="251">
        <v>43080</v>
      </c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22"/>
      <c r="N498" s="22"/>
    </row>
    <row r="499" spans="1:14" x14ac:dyDescent="0.25">
      <c r="A499" s="251">
        <v>43081</v>
      </c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22"/>
      <c r="N499" s="22"/>
    </row>
    <row r="500" spans="1:14" x14ac:dyDescent="0.25">
      <c r="A500" s="251">
        <v>43082</v>
      </c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22"/>
      <c r="N500" s="22"/>
    </row>
    <row r="501" spans="1:14" x14ac:dyDescent="0.25">
      <c r="A501" s="251">
        <v>43083</v>
      </c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22"/>
      <c r="N501" s="22"/>
    </row>
    <row r="502" spans="1:14" x14ac:dyDescent="0.25">
      <c r="A502" s="251">
        <v>43084</v>
      </c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22"/>
      <c r="N502" s="22"/>
    </row>
    <row r="503" spans="1:14" x14ac:dyDescent="0.25">
      <c r="A503" s="251">
        <v>43087</v>
      </c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22"/>
      <c r="N503" s="22"/>
    </row>
    <row r="504" spans="1:14" x14ac:dyDescent="0.25">
      <c r="A504" s="251">
        <v>43088</v>
      </c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22"/>
      <c r="N504" s="22"/>
    </row>
    <row r="505" spans="1:14" x14ac:dyDescent="0.25">
      <c r="A505" s="251">
        <v>43089</v>
      </c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22"/>
      <c r="N505" s="22"/>
    </row>
    <row r="506" spans="1:14" x14ac:dyDescent="0.25">
      <c r="A506" s="251">
        <v>43090</v>
      </c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22"/>
      <c r="N506" s="22"/>
    </row>
    <row r="507" spans="1:14" x14ac:dyDescent="0.25">
      <c r="A507" s="251">
        <v>43091</v>
      </c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22"/>
      <c r="N507" s="22"/>
    </row>
    <row r="508" spans="1:14" x14ac:dyDescent="0.25">
      <c r="A508" s="251">
        <v>43096</v>
      </c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22"/>
      <c r="N508" s="22"/>
    </row>
    <row r="509" spans="1:14" x14ac:dyDescent="0.25">
      <c r="A509" s="251">
        <v>43097</v>
      </c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22"/>
      <c r="N509" s="22"/>
    </row>
    <row r="510" spans="1:14" x14ac:dyDescent="0.25">
      <c r="A510" s="251">
        <v>43098</v>
      </c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22"/>
      <c r="N510" s="22"/>
    </row>
    <row r="511" spans="1:14" x14ac:dyDescent="0.25">
      <c r="A511" s="251">
        <v>43102</v>
      </c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22"/>
      <c r="N511" s="22"/>
    </row>
    <row r="512" spans="1:14" x14ac:dyDescent="0.25">
      <c r="A512" s="251">
        <v>43103</v>
      </c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22"/>
      <c r="N512" s="22"/>
    </row>
    <row r="513" spans="1:14" x14ac:dyDescent="0.25">
      <c r="A513" s="251">
        <v>43104</v>
      </c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22"/>
      <c r="N513" s="22"/>
    </row>
    <row r="514" spans="1:14" x14ac:dyDescent="0.25">
      <c r="A514" s="251">
        <v>43105</v>
      </c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22"/>
      <c r="N514" s="22"/>
    </row>
    <row r="515" spans="1:14" x14ac:dyDescent="0.25">
      <c r="A515" s="251">
        <v>43108</v>
      </c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22"/>
      <c r="N515" s="22"/>
    </row>
    <row r="516" spans="1:14" x14ac:dyDescent="0.25">
      <c r="A516" s="251">
        <v>43109</v>
      </c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22"/>
      <c r="N516" s="22"/>
    </row>
    <row r="517" spans="1:14" x14ac:dyDescent="0.25">
      <c r="A517" s="251">
        <v>43110</v>
      </c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22"/>
      <c r="N517" s="22"/>
    </row>
    <row r="518" spans="1:14" x14ac:dyDescent="0.25">
      <c r="A518" s="251">
        <v>43111</v>
      </c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22"/>
      <c r="N518" s="22"/>
    </row>
    <row r="519" spans="1:14" x14ac:dyDescent="0.25">
      <c r="A519" s="251">
        <v>43112</v>
      </c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22"/>
      <c r="N519" s="22"/>
    </row>
    <row r="520" spans="1:14" x14ac:dyDescent="0.25">
      <c r="A520" s="251">
        <v>43115</v>
      </c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22"/>
      <c r="N520" s="22"/>
    </row>
    <row r="521" spans="1:14" x14ac:dyDescent="0.25">
      <c r="A521" s="251">
        <v>43116</v>
      </c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22"/>
      <c r="N521" s="22"/>
    </row>
    <row r="522" spans="1:14" x14ac:dyDescent="0.25">
      <c r="A522" s="251">
        <v>43117</v>
      </c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22"/>
      <c r="N522" s="22"/>
    </row>
    <row r="523" spans="1:14" x14ac:dyDescent="0.25">
      <c r="A523" s="251">
        <v>43118</v>
      </c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22"/>
      <c r="N523" s="22"/>
    </row>
    <row r="524" spans="1:14" x14ac:dyDescent="0.25">
      <c r="A524" s="251">
        <v>43119</v>
      </c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22"/>
      <c r="N524" s="22"/>
    </row>
    <row r="525" spans="1:14" x14ac:dyDescent="0.25">
      <c r="A525" s="251">
        <v>43122</v>
      </c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22"/>
      <c r="N525" s="22"/>
    </row>
    <row r="526" spans="1:14" x14ac:dyDescent="0.25">
      <c r="A526" s="251">
        <v>43123</v>
      </c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22"/>
      <c r="N526" s="22"/>
    </row>
    <row r="527" spans="1:14" x14ac:dyDescent="0.25">
      <c r="A527" s="251">
        <v>43124</v>
      </c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22"/>
      <c r="N527" s="22"/>
    </row>
    <row r="528" spans="1:14" x14ac:dyDescent="0.25">
      <c r="A528" s="251">
        <v>43125</v>
      </c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22"/>
      <c r="N528" s="22"/>
    </row>
    <row r="529" spans="1:14" x14ac:dyDescent="0.25">
      <c r="A529" s="251">
        <v>43126</v>
      </c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22"/>
      <c r="N529" s="22"/>
    </row>
    <row r="530" spans="1:14" x14ac:dyDescent="0.25">
      <c r="A530" s="251">
        <v>43129</v>
      </c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22"/>
      <c r="N530" s="22"/>
    </row>
    <row r="531" spans="1:14" x14ac:dyDescent="0.25">
      <c r="A531" s="251">
        <v>43130</v>
      </c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22"/>
      <c r="N531" s="22"/>
    </row>
    <row r="532" spans="1:14" x14ac:dyDescent="0.25">
      <c r="A532" s="251">
        <v>43131</v>
      </c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22"/>
      <c r="N532" s="22"/>
    </row>
    <row r="533" spans="1:14" x14ac:dyDescent="0.25">
      <c r="A533" s="251">
        <v>43132</v>
      </c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22"/>
      <c r="N533" s="22"/>
    </row>
    <row r="534" spans="1:14" x14ac:dyDescent="0.25">
      <c r="A534" s="251">
        <v>43133</v>
      </c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22"/>
      <c r="N534" s="22"/>
    </row>
    <row r="535" spans="1:14" x14ac:dyDescent="0.25">
      <c r="A535" s="251">
        <v>43136</v>
      </c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22"/>
      <c r="N535" s="22"/>
    </row>
    <row r="536" spans="1:14" x14ac:dyDescent="0.25">
      <c r="A536" s="251">
        <v>43137</v>
      </c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22"/>
      <c r="N536" s="22"/>
    </row>
    <row r="537" spans="1:14" x14ac:dyDescent="0.25">
      <c r="A537" s="251">
        <v>43138</v>
      </c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22"/>
      <c r="N537" s="22"/>
    </row>
    <row r="538" spans="1:14" x14ac:dyDescent="0.25">
      <c r="A538" s="251">
        <v>43139</v>
      </c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22"/>
      <c r="N538" s="22"/>
    </row>
    <row r="539" spans="1:14" x14ac:dyDescent="0.25">
      <c r="A539" s="251">
        <v>43140</v>
      </c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22"/>
      <c r="N539" s="22"/>
    </row>
    <row r="540" spans="1:14" x14ac:dyDescent="0.25">
      <c r="A540" s="251">
        <v>43143</v>
      </c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22"/>
      <c r="N540" s="22"/>
    </row>
    <row r="541" spans="1:14" x14ac:dyDescent="0.25">
      <c r="A541" s="251">
        <v>43144</v>
      </c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22"/>
      <c r="N541" s="22"/>
    </row>
    <row r="542" spans="1:14" x14ac:dyDescent="0.25">
      <c r="A542" s="251">
        <v>43145</v>
      </c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22"/>
      <c r="N542" s="22"/>
    </row>
    <row r="543" spans="1:14" x14ac:dyDescent="0.25">
      <c r="A543" s="251">
        <v>43146</v>
      </c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22"/>
      <c r="N543" s="22"/>
    </row>
    <row r="544" spans="1:14" x14ac:dyDescent="0.25">
      <c r="A544" s="251">
        <v>43147</v>
      </c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22"/>
      <c r="N544" s="22"/>
    </row>
    <row r="545" spans="1:14" x14ac:dyDescent="0.25">
      <c r="A545" s="251">
        <v>43150</v>
      </c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22"/>
      <c r="N545" s="22"/>
    </row>
    <row r="546" spans="1:14" x14ac:dyDescent="0.25">
      <c r="A546" s="251">
        <v>43151</v>
      </c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22"/>
      <c r="N546" s="22"/>
    </row>
    <row r="547" spans="1:14" x14ac:dyDescent="0.25">
      <c r="A547" s="251">
        <v>43152</v>
      </c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22"/>
      <c r="N547" s="22"/>
    </row>
    <row r="548" spans="1:14" x14ac:dyDescent="0.25">
      <c r="A548" s="251">
        <v>43153</v>
      </c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22"/>
      <c r="N548" s="22"/>
    </row>
    <row r="549" spans="1:14" x14ac:dyDescent="0.25">
      <c r="A549" s="251">
        <v>43154</v>
      </c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22"/>
      <c r="N549" s="22"/>
    </row>
    <row r="550" spans="1:14" x14ac:dyDescent="0.25">
      <c r="A550" s="251">
        <v>43157</v>
      </c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22"/>
      <c r="N550" s="22"/>
    </row>
    <row r="551" spans="1:14" x14ac:dyDescent="0.25">
      <c r="A551" s="251">
        <v>43158</v>
      </c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22"/>
      <c r="N551" s="22"/>
    </row>
    <row r="552" spans="1:14" x14ac:dyDescent="0.25">
      <c r="A552" s="251">
        <v>43159</v>
      </c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22"/>
      <c r="N552" s="22"/>
    </row>
    <row r="553" spans="1:14" x14ac:dyDescent="0.25">
      <c r="A553" s="251">
        <v>43160</v>
      </c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22"/>
      <c r="N553" s="22"/>
    </row>
    <row r="554" spans="1:14" x14ac:dyDescent="0.25">
      <c r="A554" s="251">
        <v>43161</v>
      </c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22"/>
      <c r="N554" s="22"/>
    </row>
    <row r="555" spans="1:14" x14ac:dyDescent="0.25">
      <c r="A555" s="251">
        <v>43164</v>
      </c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22"/>
      <c r="N555" s="22"/>
    </row>
    <row r="556" spans="1:14" x14ac:dyDescent="0.25">
      <c r="A556" s="251">
        <v>43165</v>
      </c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22"/>
      <c r="N556" s="22"/>
    </row>
    <row r="557" spans="1:14" x14ac:dyDescent="0.25">
      <c r="A557" s="251">
        <v>43166</v>
      </c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22"/>
      <c r="N557" s="22"/>
    </row>
    <row r="558" spans="1:14" x14ac:dyDescent="0.25">
      <c r="A558" s="251">
        <v>43167</v>
      </c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22"/>
      <c r="N558" s="22"/>
    </row>
    <row r="559" spans="1:14" x14ac:dyDescent="0.25">
      <c r="A559" s="251">
        <v>43168</v>
      </c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22"/>
      <c r="N559" s="22"/>
    </row>
    <row r="560" spans="1:14" x14ac:dyDescent="0.25">
      <c r="A560" s="251">
        <v>43171</v>
      </c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22"/>
      <c r="N560" s="22"/>
    </row>
    <row r="561" spans="1:14" x14ac:dyDescent="0.25">
      <c r="A561" s="251">
        <v>43172</v>
      </c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22"/>
      <c r="N561" s="22"/>
    </row>
    <row r="562" spans="1:14" x14ac:dyDescent="0.25">
      <c r="A562" s="251">
        <v>43173</v>
      </c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22"/>
      <c r="N562" s="22"/>
    </row>
    <row r="563" spans="1:14" x14ac:dyDescent="0.25">
      <c r="A563" s="251">
        <v>43174</v>
      </c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22"/>
      <c r="N563" s="22"/>
    </row>
    <row r="564" spans="1:14" x14ac:dyDescent="0.25">
      <c r="A564" s="251">
        <v>43175</v>
      </c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22"/>
      <c r="N564" s="22"/>
    </row>
    <row r="565" spans="1:14" x14ac:dyDescent="0.25">
      <c r="A565" s="251">
        <v>43178</v>
      </c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22"/>
      <c r="N565" s="22"/>
    </row>
    <row r="566" spans="1:14" x14ac:dyDescent="0.25">
      <c r="A566" s="251">
        <v>43179</v>
      </c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22"/>
      <c r="N566" s="22"/>
    </row>
    <row r="567" spans="1:14" x14ac:dyDescent="0.25">
      <c r="A567" s="251">
        <v>43180</v>
      </c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22"/>
      <c r="N567" s="22"/>
    </row>
    <row r="568" spans="1:14" x14ac:dyDescent="0.25">
      <c r="A568" s="251">
        <v>43181</v>
      </c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22"/>
      <c r="N568" s="22"/>
    </row>
    <row r="569" spans="1:14" x14ac:dyDescent="0.25">
      <c r="A569" s="251">
        <v>43182</v>
      </c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22"/>
      <c r="N569" s="22"/>
    </row>
    <row r="570" spans="1:14" x14ac:dyDescent="0.25">
      <c r="A570" s="251">
        <v>43185</v>
      </c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22"/>
      <c r="N570" s="22"/>
    </row>
    <row r="571" spans="1:14" x14ac:dyDescent="0.25">
      <c r="A571" s="251">
        <v>43186</v>
      </c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22"/>
      <c r="N571" s="22"/>
    </row>
    <row r="572" spans="1:14" x14ac:dyDescent="0.25">
      <c r="A572" s="251">
        <v>43187</v>
      </c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22"/>
      <c r="N572" s="22"/>
    </row>
    <row r="573" spans="1:14" x14ac:dyDescent="0.25">
      <c r="A573" s="251">
        <v>43188</v>
      </c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22"/>
      <c r="N573" s="22"/>
    </row>
    <row r="574" spans="1:14" x14ac:dyDescent="0.25">
      <c r="A574" s="251">
        <v>43193</v>
      </c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22"/>
      <c r="N574" s="22"/>
    </row>
    <row r="575" spans="1:14" x14ac:dyDescent="0.25">
      <c r="A575" s="251">
        <v>43194</v>
      </c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22"/>
      <c r="N575" s="22"/>
    </row>
    <row r="576" spans="1:14" x14ac:dyDescent="0.25">
      <c r="A576" s="251">
        <v>43195</v>
      </c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22"/>
      <c r="N576" s="22"/>
    </row>
    <row r="577" spans="1:14" x14ac:dyDescent="0.25">
      <c r="A577" s="251">
        <v>43196</v>
      </c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22"/>
      <c r="N577" s="22"/>
    </row>
    <row r="578" spans="1:14" x14ac:dyDescent="0.25">
      <c r="A578" s="251">
        <v>43199</v>
      </c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22"/>
      <c r="N578" s="22"/>
    </row>
    <row r="579" spans="1:14" x14ac:dyDescent="0.25">
      <c r="A579" s="251">
        <v>43200</v>
      </c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22"/>
      <c r="N579" s="22"/>
    </row>
    <row r="580" spans="1:14" x14ac:dyDescent="0.25">
      <c r="A580" s="251">
        <v>43201</v>
      </c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22"/>
      <c r="N580" s="22"/>
    </row>
    <row r="581" spans="1:14" x14ac:dyDescent="0.25">
      <c r="A581" s="251">
        <v>43202</v>
      </c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22"/>
      <c r="N581" s="22"/>
    </row>
    <row r="582" spans="1:14" x14ac:dyDescent="0.25">
      <c r="A582" s="251">
        <v>43203</v>
      </c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22"/>
      <c r="N582" s="22"/>
    </row>
    <row r="583" spans="1:14" x14ac:dyDescent="0.25">
      <c r="A583" s="251">
        <v>43206</v>
      </c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22"/>
      <c r="N583" s="22"/>
    </row>
    <row r="584" spans="1:14" x14ac:dyDescent="0.25">
      <c r="A584" s="251">
        <v>43207</v>
      </c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22"/>
      <c r="N584" s="22"/>
    </row>
    <row r="585" spans="1:14" x14ac:dyDescent="0.25">
      <c r="A585" s="251">
        <v>43208</v>
      </c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22"/>
      <c r="N585" s="22"/>
    </row>
    <row r="586" spans="1:14" x14ac:dyDescent="0.25">
      <c r="A586" s="251">
        <v>43209</v>
      </c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22"/>
      <c r="N586" s="22"/>
    </row>
    <row r="587" spans="1:14" x14ac:dyDescent="0.25">
      <c r="A587" s="251">
        <v>43210</v>
      </c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22"/>
      <c r="N587" s="22"/>
    </row>
    <row r="588" spans="1:14" x14ac:dyDescent="0.25">
      <c r="A588" s="251">
        <v>43213</v>
      </c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22"/>
      <c r="N588" s="22"/>
    </row>
    <row r="589" spans="1:14" x14ac:dyDescent="0.25">
      <c r="A589" s="251">
        <v>43214</v>
      </c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22"/>
      <c r="N589" s="22"/>
    </row>
    <row r="590" spans="1:14" x14ac:dyDescent="0.25">
      <c r="A590" s="251">
        <v>43215</v>
      </c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22"/>
      <c r="N590" s="22"/>
    </row>
    <row r="591" spans="1:14" x14ac:dyDescent="0.25">
      <c r="A591" s="251">
        <v>43216</v>
      </c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22"/>
      <c r="N591" s="22"/>
    </row>
    <row r="592" spans="1:14" x14ac:dyDescent="0.25">
      <c r="A592" s="251">
        <v>43217</v>
      </c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22"/>
      <c r="N592" s="22"/>
    </row>
    <row r="593" spans="1:14" x14ac:dyDescent="0.25">
      <c r="A593" s="251">
        <v>43220</v>
      </c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22"/>
      <c r="N593" s="22"/>
    </row>
    <row r="594" spans="1:14" x14ac:dyDescent="0.25">
      <c r="A594" s="251">
        <v>43222</v>
      </c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22"/>
      <c r="N594" s="22"/>
    </row>
    <row r="595" spans="1:14" x14ac:dyDescent="0.25">
      <c r="A595" s="251">
        <v>43223</v>
      </c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22"/>
      <c r="N595" s="22"/>
    </row>
    <row r="596" spans="1:14" x14ac:dyDescent="0.25">
      <c r="A596" s="251">
        <v>43224</v>
      </c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22"/>
      <c r="N596" s="22"/>
    </row>
    <row r="597" spans="1:14" x14ac:dyDescent="0.25">
      <c r="A597" s="251">
        <v>43227</v>
      </c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22"/>
      <c r="N597" s="22"/>
    </row>
    <row r="598" spans="1:14" x14ac:dyDescent="0.25">
      <c r="A598" s="251">
        <v>43228</v>
      </c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22"/>
      <c r="N598" s="22"/>
    </row>
    <row r="599" spans="1:14" x14ac:dyDescent="0.25">
      <c r="A599" s="251">
        <v>43229</v>
      </c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22"/>
      <c r="N599" s="22"/>
    </row>
    <row r="600" spans="1:14" x14ac:dyDescent="0.25">
      <c r="A600" s="251">
        <v>43230</v>
      </c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22"/>
      <c r="N600" s="22"/>
    </row>
    <row r="601" spans="1:14" x14ac:dyDescent="0.25">
      <c r="A601" s="251">
        <v>43231</v>
      </c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22"/>
      <c r="N601" s="22"/>
    </row>
    <row r="602" spans="1:14" x14ac:dyDescent="0.25">
      <c r="A602" s="251">
        <v>43234</v>
      </c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22"/>
      <c r="N602" s="22"/>
    </row>
    <row r="603" spans="1:14" x14ac:dyDescent="0.25">
      <c r="A603" s="251">
        <v>43235</v>
      </c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22"/>
      <c r="N603" s="22"/>
    </row>
    <row r="604" spans="1:14" x14ac:dyDescent="0.25">
      <c r="A604" s="251">
        <v>43236</v>
      </c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22"/>
      <c r="N604" s="22"/>
    </row>
    <row r="605" spans="1:14" x14ac:dyDescent="0.25">
      <c r="A605" s="251">
        <v>43237</v>
      </c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22"/>
      <c r="N605" s="22"/>
    </row>
    <row r="606" spans="1:14" x14ac:dyDescent="0.25">
      <c r="A606" s="251">
        <v>43238</v>
      </c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22"/>
      <c r="N606" s="22"/>
    </row>
    <row r="607" spans="1:14" x14ac:dyDescent="0.25">
      <c r="A607" s="251">
        <v>43241</v>
      </c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22"/>
      <c r="N607" s="22"/>
    </row>
    <row r="608" spans="1:14" x14ac:dyDescent="0.25">
      <c r="A608" s="251">
        <v>43242</v>
      </c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22"/>
      <c r="N608" s="22"/>
    </row>
    <row r="609" spans="1:14" x14ac:dyDescent="0.25">
      <c r="A609" s="251">
        <v>43243</v>
      </c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22"/>
      <c r="N609" s="22"/>
    </row>
    <row r="610" spans="1:14" x14ac:dyDescent="0.25">
      <c r="A610" s="251">
        <v>43244</v>
      </c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22"/>
      <c r="N610" s="22"/>
    </row>
    <row r="611" spans="1:14" x14ac:dyDescent="0.25">
      <c r="A611" s="251">
        <v>43245</v>
      </c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22"/>
      <c r="N611" s="22"/>
    </row>
    <row r="612" spans="1:14" x14ac:dyDescent="0.25">
      <c r="A612" s="251">
        <v>43248</v>
      </c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22"/>
      <c r="N612" s="22"/>
    </row>
    <row r="613" spans="1:14" x14ac:dyDescent="0.25">
      <c r="A613" s="251">
        <v>43249</v>
      </c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22"/>
      <c r="N613" s="22"/>
    </row>
    <row r="614" spans="1:14" x14ac:dyDescent="0.25">
      <c r="A614" s="251">
        <v>43250</v>
      </c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22"/>
      <c r="N614" s="22"/>
    </row>
    <row r="615" spans="1:14" x14ac:dyDescent="0.25">
      <c r="A615" s="251">
        <v>43251</v>
      </c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22"/>
      <c r="N615" s="22"/>
    </row>
    <row r="616" spans="1:14" x14ac:dyDescent="0.25">
      <c r="A616" s="251">
        <v>43252</v>
      </c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22"/>
      <c r="N616" s="22"/>
    </row>
    <row r="617" spans="1:14" x14ac:dyDescent="0.25">
      <c r="A617" s="251">
        <v>43255</v>
      </c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22"/>
      <c r="N617" s="22"/>
    </row>
    <row r="618" spans="1:14" x14ac:dyDescent="0.25">
      <c r="A618" s="251">
        <v>43256</v>
      </c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22"/>
      <c r="N618" s="22"/>
    </row>
    <row r="619" spans="1:14" x14ac:dyDescent="0.25">
      <c r="A619" s="251">
        <v>43257</v>
      </c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22"/>
      <c r="N619" s="22"/>
    </row>
    <row r="620" spans="1:14" x14ac:dyDescent="0.25">
      <c r="A620" s="251">
        <v>43258</v>
      </c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22"/>
      <c r="N620" s="22"/>
    </row>
    <row r="621" spans="1:14" x14ac:dyDescent="0.25">
      <c r="A621" s="251">
        <v>43259</v>
      </c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22"/>
      <c r="N621" s="22"/>
    </row>
    <row r="622" spans="1:14" x14ac:dyDescent="0.25">
      <c r="A622" s="251">
        <v>43262</v>
      </c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22"/>
      <c r="N622" s="22"/>
    </row>
    <row r="623" spans="1:14" x14ac:dyDescent="0.25">
      <c r="A623" s="251">
        <v>43263</v>
      </c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22"/>
      <c r="N623" s="22"/>
    </row>
    <row r="624" spans="1:14" x14ac:dyDescent="0.25">
      <c r="A624" s="251">
        <v>43264</v>
      </c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22"/>
      <c r="N624" s="22"/>
    </row>
    <row r="625" spans="1:14" x14ac:dyDescent="0.25">
      <c r="A625" s="251">
        <v>43265</v>
      </c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22"/>
      <c r="N625" s="22"/>
    </row>
    <row r="626" spans="1:14" x14ac:dyDescent="0.25">
      <c r="A626" s="251">
        <v>43266</v>
      </c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22"/>
      <c r="N626" s="22"/>
    </row>
    <row r="627" spans="1:14" x14ac:dyDescent="0.25">
      <c r="A627" s="251">
        <v>43269</v>
      </c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22"/>
      <c r="N627" s="22"/>
    </row>
    <row r="628" spans="1:14" x14ac:dyDescent="0.25">
      <c r="A628" s="251">
        <v>43270</v>
      </c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22"/>
      <c r="N628" s="22"/>
    </row>
    <row r="629" spans="1:14" x14ac:dyDescent="0.25">
      <c r="A629" s="251">
        <v>43271</v>
      </c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22"/>
      <c r="N629" s="22"/>
    </row>
    <row r="630" spans="1:14" x14ac:dyDescent="0.25">
      <c r="A630" s="251">
        <v>43272</v>
      </c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22"/>
      <c r="N630" s="22"/>
    </row>
    <row r="631" spans="1:14" x14ac:dyDescent="0.25">
      <c r="A631" s="251">
        <v>43273</v>
      </c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22"/>
      <c r="N631" s="22"/>
    </row>
    <row r="632" spans="1:14" x14ac:dyDescent="0.25">
      <c r="A632" s="251">
        <v>43276</v>
      </c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22"/>
      <c r="N632" s="22"/>
    </row>
    <row r="633" spans="1:14" x14ac:dyDescent="0.25">
      <c r="A633" s="251">
        <v>43277</v>
      </c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22"/>
      <c r="N633" s="22"/>
    </row>
    <row r="634" spans="1:14" x14ac:dyDescent="0.25">
      <c r="A634" s="251">
        <v>43278</v>
      </c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22"/>
      <c r="N634" s="22"/>
    </row>
    <row r="635" spans="1:14" x14ac:dyDescent="0.25">
      <c r="A635" s="251">
        <v>43279</v>
      </c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22"/>
      <c r="N635" s="22"/>
    </row>
    <row r="636" spans="1:14" x14ac:dyDescent="0.25">
      <c r="A636" s="251">
        <v>43280</v>
      </c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22"/>
      <c r="N636" s="22"/>
    </row>
    <row r="637" spans="1:14" x14ac:dyDescent="0.25">
      <c r="A637" s="251">
        <v>43283</v>
      </c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22"/>
      <c r="N637" s="22"/>
    </row>
    <row r="638" spans="1:14" x14ac:dyDescent="0.25">
      <c r="A638" s="251">
        <v>43284</v>
      </c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22"/>
      <c r="N638" s="22"/>
    </row>
    <row r="639" spans="1:14" x14ac:dyDescent="0.25">
      <c r="A639" s="251">
        <v>43285</v>
      </c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22"/>
      <c r="N639" s="22"/>
    </row>
    <row r="640" spans="1:14" x14ac:dyDescent="0.25">
      <c r="A640" s="251">
        <v>43286</v>
      </c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22"/>
      <c r="N640" s="22"/>
    </row>
    <row r="641" spans="1:14" x14ac:dyDescent="0.25">
      <c r="A641" s="251">
        <v>43287</v>
      </c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22"/>
      <c r="N641" s="22"/>
    </row>
    <row r="642" spans="1:14" x14ac:dyDescent="0.25">
      <c r="A642" s="251">
        <v>43290</v>
      </c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22"/>
      <c r="N642" s="22"/>
    </row>
    <row r="643" spans="1:14" x14ac:dyDescent="0.25">
      <c r="A643" s="251">
        <v>43291</v>
      </c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22"/>
      <c r="N643" s="22"/>
    </row>
    <row r="644" spans="1:14" x14ac:dyDescent="0.25">
      <c r="A644" s="251">
        <v>43292</v>
      </c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22"/>
      <c r="N644" s="22"/>
    </row>
    <row r="645" spans="1:14" x14ac:dyDescent="0.25">
      <c r="A645" s="251">
        <v>43293</v>
      </c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22"/>
      <c r="N645" s="22"/>
    </row>
    <row r="646" spans="1:14" x14ac:dyDescent="0.25">
      <c r="A646" s="251">
        <v>43294</v>
      </c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22"/>
      <c r="N646" s="22"/>
    </row>
    <row r="647" spans="1:14" x14ac:dyDescent="0.25">
      <c r="A647" s="251">
        <v>43297</v>
      </c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22"/>
      <c r="N647" s="22"/>
    </row>
    <row r="648" spans="1:14" x14ac:dyDescent="0.25">
      <c r="A648" s="251">
        <v>43298</v>
      </c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22"/>
      <c r="N648" s="22"/>
    </row>
    <row r="649" spans="1:14" x14ac:dyDescent="0.25">
      <c r="A649" s="251">
        <v>43299</v>
      </c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22"/>
      <c r="N649" s="22"/>
    </row>
    <row r="650" spans="1:14" x14ac:dyDescent="0.25">
      <c r="A650" s="251">
        <v>43300</v>
      </c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22"/>
      <c r="N650" s="22"/>
    </row>
    <row r="651" spans="1:14" x14ac:dyDescent="0.25">
      <c r="A651" s="251">
        <v>43301</v>
      </c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22"/>
      <c r="N651" s="22"/>
    </row>
    <row r="652" spans="1:14" x14ac:dyDescent="0.25">
      <c r="A652" s="251">
        <v>43304</v>
      </c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22"/>
      <c r="N652" s="22"/>
    </row>
    <row r="653" spans="1:14" x14ac:dyDescent="0.25">
      <c r="A653" s="251">
        <v>43305</v>
      </c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22"/>
      <c r="N653" s="22"/>
    </row>
    <row r="654" spans="1:14" x14ac:dyDescent="0.25">
      <c r="A654" s="251">
        <v>43306</v>
      </c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22"/>
      <c r="N654" s="22"/>
    </row>
    <row r="655" spans="1:14" x14ac:dyDescent="0.25">
      <c r="A655" s="251">
        <v>43307</v>
      </c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22"/>
      <c r="N655" s="22"/>
    </row>
    <row r="656" spans="1:14" x14ac:dyDescent="0.25">
      <c r="A656" s="251">
        <v>43308</v>
      </c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22"/>
      <c r="N656" s="22"/>
    </row>
    <row r="657" spans="1:14" x14ac:dyDescent="0.25">
      <c r="A657" s="251">
        <v>43311</v>
      </c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22"/>
      <c r="N657" s="22"/>
    </row>
    <row r="658" spans="1:14" x14ac:dyDescent="0.25">
      <c r="A658" s="251">
        <v>43312</v>
      </c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22"/>
      <c r="N658" s="22"/>
    </row>
    <row r="659" spans="1:14" x14ac:dyDescent="0.25">
      <c r="A659" s="251">
        <v>43313</v>
      </c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22"/>
      <c r="N659" s="22"/>
    </row>
    <row r="660" spans="1:14" x14ac:dyDescent="0.25">
      <c r="A660" s="251">
        <v>43314</v>
      </c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22"/>
      <c r="N660" s="22"/>
    </row>
    <row r="661" spans="1:14" x14ac:dyDescent="0.25">
      <c r="A661" s="251">
        <v>43315</v>
      </c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22"/>
      <c r="N661" s="22"/>
    </row>
    <row r="662" spans="1:14" x14ac:dyDescent="0.25">
      <c r="A662" s="251">
        <v>43318</v>
      </c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22"/>
      <c r="N662" s="22"/>
    </row>
    <row r="663" spans="1:14" x14ac:dyDescent="0.25">
      <c r="A663" s="251">
        <v>43319</v>
      </c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22"/>
      <c r="N663" s="22"/>
    </row>
    <row r="664" spans="1:14" x14ac:dyDescent="0.25">
      <c r="A664" s="251">
        <v>43320</v>
      </c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22"/>
      <c r="N664" s="22"/>
    </row>
    <row r="665" spans="1:14" x14ac:dyDescent="0.25">
      <c r="A665" s="251">
        <v>43321</v>
      </c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22"/>
      <c r="N665" s="22"/>
    </row>
    <row r="666" spans="1:14" x14ac:dyDescent="0.25">
      <c r="A666" s="251">
        <v>43322</v>
      </c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22"/>
      <c r="N666" s="22"/>
    </row>
    <row r="667" spans="1:14" x14ac:dyDescent="0.25">
      <c r="A667" s="251">
        <v>43325</v>
      </c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22"/>
      <c r="N667" s="22"/>
    </row>
    <row r="668" spans="1:14" x14ac:dyDescent="0.25">
      <c r="A668" s="251">
        <v>43326</v>
      </c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22"/>
      <c r="N668" s="22"/>
    </row>
    <row r="669" spans="1:14" x14ac:dyDescent="0.25">
      <c r="A669" s="251">
        <v>43328</v>
      </c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22"/>
      <c r="N669" s="22"/>
    </row>
    <row r="670" spans="1:14" x14ac:dyDescent="0.25">
      <c r="A670" s="251">
        <v>43329</v>
      </c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22"/>
      <c r="N670" s="22"/>
    </row>
    <row r="671" spans="1:14" x14ac:dyDescent="0.25">
      <c r="A671" s="251">
        <v>43332</v>
      </c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22"/>
      <c r="N671" s="22"/>
    </row>
    <row r="672" spans="1:14" x14ac:dyDescent="0.25">
      <c r="A672" s="251">
        <v>43333</v>
      </c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22"/>
      <c r="N672" s="22"/>
    </row>
    <row r="673" spans="1:14" x14ac:dyDescent="0.25">
      <c r="A673" s="251">
        <v>43334</v>
      </c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22"/>
      <c r="N673" s="22"/>
    </row>
    <row r="674" spans="1:14" x14ac:dyDescent="0.25">
      <c r="A674" s="251">
        <v>43335</v>
      </c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22"/>
      <c r="N674" s="22"/>
    </row>
    <row r="675" spans="1:14" x14ac:dyDescent="0.25">
      <c r="A675" s="251">
        <v>43336</v>
      </c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22"/>
      <c r="N675" s="22"/>
    </row>
    <row r="676" spans="1:14" x14ac:dyDescent="0.25">
      <c r="A676" s="251">
        <v>43339</v>
      </c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22"/>
      <c r="N676" s="22"/>
    </row>
    <row r="677" spans="1:14" x14ac:dyDescent="0.25">
      <c r="A677" s="251">
        <v>43340</v>
      </c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22"/>
      <c r="N677" s="22"/>
    </row>
    <row r="678" spans="1:14" x14ac:dyDescent="0.25">
      <c r="A678" s="251">
        <v>43341</v>
      </c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22"/>
      <c r="N678" s="22"/>
    </row>
    <row r="679" spans="1:14" x14ac:dyDescent="0.25">
      <c r="A679" s="251">
        <v>43342</v>
      </c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22"/>
      <c r="N679" s="22"/>
    </row>
    <row r="680" spans="1:14" x14ac:dyDescent="0.25">
      <c r="A680" s="251">
        <v>43343</v>
      </c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22"/>
      <c r="N680" s="22"/>
    </row>
    <row r="681" spans="1:14" x14ac:dyDescent="0.25">
      <c r="A681" s="251">
        <v>43346</v>
      </c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22"/>
      <c r="N681" s="22"/>
    </row>
    <row r="682" spans="1:14" x14ac:dyDescent="0.25">
      <c r="A682" s="251">
        <v>43347</v>
      </c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22"/>
      <c r="N682" s="22"/>
    </row>
    <row r="683" spans="1:14" x14ac:dyDescent="0.25">
      <c r="A683" s="251">
        <v>43348</v>
      </c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22"/>
      <c r="N683" s="22"/>
    </row>
    <row r="684" spans="1:14" x14ac:dyDescent="0.25">
      <c r="A684" s="251">
        <v>43349</v>
      </c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22"/>
      <c r="N684" s="22"/>
    </row>
    <row r="685" spans="1:14" x14ac:dyDescent="0.25">
      <c r="A685" s="251">
        <v>43350</v>
      </c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22"/>
      <c r="N685" s="22"/>
    </row>
    <row r="686" spans="1:14" x14ac:dyDescent="0.25">
      <c r="A686" s="251">
        <v>43353</v>
      </c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22"/>
      <c r="N686" s="22"/>
    </row>
    <row r="687" spans="1:14" x14ac:dyDescent="0.25">
      <c r="A687" s="251">
        <v>43354</v>
      </c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22"/>
      <c r="N687" s="22"/>
    </row>
    <row r="688" spans="1:14" x14ac:dyDescent="0.25">
      <c r="A688" s="251">
        <v>43355</v>
      </c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22"/>
      <c r="N688" s="22"/>
    </row>
    <row r="689" spans="1:14" x14ac:dyDescent="0.25">
      <c r="A689" s="251">
        <v>43356</v>
      </c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22"/>
      <c r="N689" s="22"/>
    </row>
    <row r="690" spans="1:14" x14ac:dyDescent="0.25">
      <c r="A690" s="251">
        <v>43357</v>
      </c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22"/>
      <c r="N690" s="22"/>
    </row>
    <row r="691" spans="1:14" x14ac:dyDescent="0.25">
      <c r="A691" s="251">
        <v>43360</v>
      </c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22"/>
      <c r="N691" s="22"/>
    </row>
    <row r="692" spans="1:14" x14ac:dyDescent="0.25">
      <c r="A692" s="251">
        <v>43361</v>
      </c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22"/>
      <c r="N692" s="22"/>
    </row>
    <row r="693" spans="1:14" x14ac:dyDescent="0.25">
      <c r="A693" s="251">
        <v>43362</v>
      </c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22"/>
      <c r="N693" s="22"/>
    </row>
    <row r="694" spans="1:14" x14ac:dyDescent="0.25">
      <c r="A694" s="251">
        <v>43363</v>
      </c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22"/>
      <c r="N694" s="22"/>
    </row>
    <row r="695" spans="1:14" x14ac:dyDescent="0.25">
      <c r="A695" s="251">
        <v>43364</v>
      </c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22"/>
      <c r="N695" s="22"/>
    </row>
    <row r="696" spans="1:14" x14ac:dyDescent="0.25">
      <c r="A696" s="251">
        <v>43367</v>
      </c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22"/>
      <c r="N696" s="22"/>
    </row>
    <row r="697" spans="1:14" x14ac:dyDescent="0.25">
      <c r="A697" s="251">
        <v>43368</v>
      </c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22"/>
      <c r="N697" s="22"/>
    </row>
    <row r="698" spans="1:14" x14ac:dyDescent="0.25">
      <c r="A698" s="251">
        <v>43369</v>
      </c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22"/>
      <c r="N698" s="22"/>
    </row>
    <row r="699" spans="1:14" x14ac:dyDescent="0.25">
      <c r="A699" s="251">
        <v>43370</v>
      </c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22"/>
      <c r="N699" s="22"/>
    </row>
    <row r="700" spans="1:14" x14ac:dyDescent="0.25">
      <c r="A700" s="251">
        <v>43371</v>
      </c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22"/>
      <c r="N700" s="22"/>
    </row>
    <row r="701" spans="1:14" x14ac:dyDescent="0.25">
      <c r="A701" s="251">
        <v>43374</v>
      </c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22"/>
      <c r="N701" s="22"/>
    </row>
    <row r="702" spans="1:14" x14ac:dyDescent="0.25">
      <c r="A702" s="251">
        <v>43375</v>
      </c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22"/>
      <c r="N702" s="22"/>
    </row>
    <row r="703" spans="1:14" x14ac:dyDescent="0.25">
      <c r="A703" s="251">
        <v>43376</v>
      </c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22"/>
      <c r="N703" s="22"/>
    </row>
    <row r="704" spans="1:14" x14ac:dyDescent="0.25">
      <c r="A704" s="251">
        <v>43377</v>
      </c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22"/>
      <c r="N704" s="22"/>
    </row>
    <row r="705" spans="1:14" x14ac:dyDescent="0.25">
      <c r="A705" s="251">
        <v>43378</v>
      </c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22"/>
      <c r="N705" s="22"/>
    </row>
    <row r="706" spans="1:14" x14ac:dyDescent="0.25">
      <c r="A706" s="251">
        <v>43381</v>
      </c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22"/>
      <c r="N706" s="22"/>
    </row>
    <row r="707" spans="1:14" x14ac:dyDescent="0.25">
      <c r="A707" s="251">
        <v>43382</v>
      </c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22"/>
      <c r="N707" s="22"/>
    </row>
    <row r="708" spans="1:14" x14ac:dyDescent="0.25">
      <c r="A708" s="251">
        <v>43383</v>
      </c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22"/>
      <c r="N708" s="22"/>
    </row>
    <row r="709" spans="1:14" x14ac:dyDescent="0.25">
      <c r="A709" s="251">
        <v>43384</v>
      </c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22"/>
      <c r="N709" s="22"/>
    </row>
    <row r="710" spans="1:14" x14ac:dyDescent="0.25">
      <c r="A710" s="251">
        <v>43385</v>
      </c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22"/>
      <c r="N710" s="22"/>
    </row>
    <row r="711" spans="1:14" x14ac:dyDescent="0.25">
      <c r="A711" s="251">
        <v>43388</v>
      </c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22"/>
      <c r="N711" s="22"/>
    </row>
    <row r="712" spans="1:14" x14ac:dyDescent="0.25">
      <c r="A712" s="251">
        <v>43389</v>
      </c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22"/>
      <c r="N712" s="22"/>
    </row>
    <row r="713" spans="1:14" x14ac:dyDescent="0.25">
      <c r="A713" s="251">
        <v>43390</v>
      </c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22"/>
      <c r="N713" s="22"/>
    </row>
    <row r="714" spans="1:14" x14ac:dyDescent="0.25">
      <c r="A714" s="251">
        <v>43391</v>
      </c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22"/>
      <c r="N714" s="22"/>
    </row>
    <row r="715" spans="1:14" x14ac:dyDescent="0.25">
      <c r="A715" s="251">
        <v>43392</v>
      </c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22"/>
      <c r="N715" s="22"/>
    </row>
    <row r="716" spans="1:14" x14ac:dyDescent="0.25">
      <c r="A716" s="251">
        <v>43395</v>
      </c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22"/>
      <c r="N716" s="22"/>
    </row>
    <row r="717" spans="1:14" x14ac:dyDescent="0.25">
      <c r="A717" s="251">
        <v>43396</v>
      </c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22"/>
      <c r="N717" s="22"/>
    </row>
    <row r="718" spans="1:14" x14ac:dyDescent="0.25">
      <c r="A718" s="251">
        <v>43397</v>
      </c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22"/>
      <c r="N718" s="22"/>
    </row>
    <row r="719" spans="1:14" x14ac:dyDescent="0.25">
      <c r="A719" s="251">
        <v>43398</v>
      </c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22"/>
      <c r="N719" s="22"/>
    </row>
    <row r="720" spans="1:14" x14ac:dyDescent="0.25">
      <c r="A720" s="251">
        <v>43399</v>
      </c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22"/>
      <c r="N720" s="22"/>
    </row>
    <row r="721" spans="1:14" x14ac:dyDescent="0.25">
      <c r="A721" s="251">
        <v>43402</v>
      </c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22"/>
      <c r="N721" s="22"/>
    </row>
    <row r="722" spans="1:14" x14ac:dyDescent="0.25">
      <c r="A722" s="251">
        <v>43403</v>
      </c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22"/>
      <c r="N722" s="22"/>
    </row>
    <row r="723" spans="1:14" x14ac:dyDescent="0.25">
      <c r="A723" s="251">
        <v>43404</v>
      </c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22"/>
      <c r="N723" s="22"/>
    </row>
    <row r="724" spans="1:14" x14ac:dyDescent="0.25">
      <c r="A724" s="251">
        <v>43405</v>
      </c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22"/>
      <c r="N724" s="22"/>
    </row>
    <row r="725" spans="1:14" x14ac:dyDescent="0.25">
      <c r="A725" s="251">
        <v>43406</v>
      </c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22"/>
      <c r="N725" s="22"/>
    </row>
    <row r="726" spans="1:14" x14ac:dyDescent="0.25">
      <c r="A726" s="251">
        <v>43409</v>
      </c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22"/>
      <c r="N726" s="22"/>
    </row>
    <row r="727" spans="1:14" x14ac:dyDescent="0.25">
      <c r="A727" s="251">
        <v>43410</v>
      </c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22"/>
      <c r="N727" s="22"/>
    </row>
    <row r="728" spans="1:14" x14ac:dyDescent="0.25">
      <c r="A728" s="251">
        <v>43411</v>
      </c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22"/>
      <c r="N728" s="22"/>
    </row>
    <row r="729" spans="1:14" x14ac:dyDescent="0.25">
      <c r="A729" s="251">
        <v>43412</v>
      </c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22"/>
      <c r="N729" s="22"/>
    </row>
    <row r="730" spans="1:14" x14ac:dyDescent="0.25">
      <c r="A730" s="251">
        <v>43413</v>
      </c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22"/>
      <c r="N730" s="22"/>
    </row>
    <row r="731" spans="1:14" x14ac:dyDescent="0.25">
      <c r="A731" s="251">
        <v>43416</v>
      </c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22"/>
      <c r="N731" s="22"/>
    </row>
    <row r="732" spans="1:14" x14ac:dyDescent="0.25">
      <c r="A732" s="251">
        <v>43417</v>
      </c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22"/>
      <c r="N732" s="22"/>
    </row>
    <row r="733" spans="1:14" x14ac:dyDescent="0.25">
      <c r="A733" s="251">
        <v>43418</v>
      </c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22"/>
      <c r="N733" s="22"/>
    </row>
    <row r="734" spans="1:14" x14ac:dyDescent="0.25">
      <c r="A734" s="251">
        <v>43419</v>
      </c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22"/>
      <c r="N734" s="22"/>
    </row>
    <row r="735" spans="1:14" x14ac:dyDescent="0.25">
      <c r="A735" s="251">
        <v>43420</v>
      </c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22"/>
      <c r="N735" s="22"/>
    </row>
    <row r="736" spans="1:14" x14ac:dyDescent="0.25">
      <c r="A736" s="251">
        <v>43423</v>
      </c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22"/>
      <c r="N736" s="22"/>
    </row>
    <row r="737" spans="1:14" x14ac:dyDescent="0.25">
      <c r="A737" s="251">
        <v>43424</v>
      </c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22"/>
      <c r="N737" s="22"/>
    </row>
    <row r="738" spans="1:14" x14ac:dyDescent="0.25">
      <c r="A738" s="251">
        <v>43425</v>
      </c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22"/>
      <c r="N738" s="22"/>
    </row>
    <row r="739" spans="1:14" x14ac:dyDescent="0.25">
      <c r="A739" s="251">
        <v>43426</v>
      </c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22"/>
      <c r="N739" s="22"/>
    </row>
    <row r="740" spans="1:14" x14ac:dyDescent="0.25">
      <c r="A740" s="251">
        <v>43427</v>
      </c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22"/>
      <c r="N740" s="22"/>
    </row>
    <row r="741" spans="1:14" x14ac:dyDescent="0.25">
      <c r="A741" s="251">
        <v>43430</v>
      </c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22"/>
      <c r="N741" s="22"/>
    </row>
    <row r="742" spans="1:14" x14ac:dyDescent="0.25">
      <c r="A742" s="251">
        <v>43431</v>
      </c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22"/>
      <c r="N742" s="22"/>
    </row>
    <row r="743" spans="1:14" x14ac:dyDescent="0.25">
      <c r="A743" s="251">
        <v>43432</v>
      </c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22"/>
      <c r="N743" s="22"/>
    </row>
    <row r="744" spans="1:14" x14ac:dyDescent="0.25">
      <c r="A744" s="251">
        <v>43433</v>
      </c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22"/>
      <c r="N744" s="22"/>
    </row>
    <row r="745" spans="1:14" x14ac:dyDescent="0.25">
      <c r="A745" s="251">
        <v>43434</v>
      </c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22"/>
      <c r="N745" s="22"/>
    </row>
    <row r="746" spans="1:14" x14ac:dyDescent="0.25">
      <c r="A746" s="251">
        <v>43437</v>
      </c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22"/>
      <c r="N746" s="22"/>
    </row>
    <row r="747" spans="1:14" x14ac:dyDescent="0.25">
      <c r="A747" s="251">
        <v>43438</v>
      </c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22"/>
      <c r="N747" s="22"/>
    </row>
    <row r="748" spans="1:14" x14ac:dyDescent="0.25">
      <c r="A748" s="251">
        <v>43439</v>
      </c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22"/>
      <c r="N748" s="22"/>
    </row>
    <row r="749" spans="1:14" x14ac:dyDescent="0.25">
      <c r="A749" s="251">
        <v>43440</v>
      </c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22"/>
      <c r="N749" s="22"/>
    </row>
    <row r="750" spans="1:14" x14ac:dyDescent="0.25">
      <c r="A750" s="251">
        <v>43441</v>
      </c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22"/>
      <c r="N750" s="22"/>
    </row>
    <row r="751" spans="1:14" x14ac:dyDescent="0.25">
      <c r="A751" s="251">
        <v>43441</v>
      </c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22"/>
      <c r="N751" s="22"/>
    </row>
    <row r="752" spans="1:14" x14ac:dyDescent="0.25"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</row>
    <row r="753" spans="2:12" x14ac:dyDescent="0.25"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</row>
    <row r="754" spans="2:12" x14ac:dyDescent="0.25"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</row>
    <row r="755" spans="2:12" x14ac:dyDescent="0.25"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</row>
    <row r="756" spans="2:12" x14ac:dyDescent="0.25"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</row>
    <row r="757" spans="2:12" x14ac:dyDescent="0.25"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</row>
    <row r="758" spans="2:12" x14ac:dyDescent="0.25"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</row>
    <row r="759" spans="2:12" x14ac:dyDescent="0.25"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</row>
    <row r="760" spans="2:12" x14ac:dyDescent="0.25"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</row>
    <row r="761" spans="2:12" x14ac:dyDescent="0.25"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</row>
    <row r="762" spans="2:12" x14ac:dyDescent="0.25"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</row>
    <row r="763" spans="2:12" x14ac:dyDescent="0.25"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</row>
    <row r="764" spans="2:12" x14ac:dyDescent="0.25"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</row>
    <row r="765" spans="2:12" x14ac:dyDescent="0.25"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</row>
    <row r="766" spans="2:12" x14ac:dyDescent="0.25"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</row>
    <row r="767" spans="2:12" x14ac:dyDescent="0.25"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</row>
    <row r="768" spans="2:12" x14ac:dyDescent="0.25"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</row>
    <row r="769" spans="2:12" x14ac:dyDescent="0.25"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</row>
    <row r="770" spans="2:12" x14ac:dyDescent="0.25"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</row>
    <row r="771" spans="2:12" x14ac:dyDescent="0.25"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</row>
    <row r="772" spans="2:12" x14ac:dyDescent="0.25"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</row>
    <row r="773" spans="2:12" x14ac:dyDescent="0.25"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</row>
    <row r="774" spans="2:12" x14ac:dyDescent="0.25"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</row>
    <row r="775" spans="2:12" x14ac:dyDescent="0.25"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</row>
    <row r="776" spans="2:12" x14ac:dyDescent="0.25"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</row>
    <row r="777" spans="2:12" x14ac:dyDescent="0.25"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</row>
    <row r="778" spans="2:12" x14ac:dyDescent="0.25"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</row>
    <row r="779" spans="2:12" x14ac:dyDescent="0.25"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</row>
    <row r="780" spans="2:12" x14ac:dyDescent="0.25"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</row>
    <row r="781" spans="2:12" x14ac:dyDescent="0.25"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</row>
    <row r="782" spans="2:12" x14ac:dyDescent="0.25"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</row>
    <row r="783" spans="2:12" x14ac:dyDescent="0.25"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</row>
    <row r="784" spans="2:12" x14ac:dyDescent="0.25"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</row>
    <row r="785" spans="2:12" x14ac:dyDescent="0.25"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</row>
    <row r="786" spans="2:12" x14ac:dyDescent="0.25"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</row>
    <row r="787" spans="2:12" x14ac:dyDescent="0.25"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</row>
    <row r="788" spans="2:12" x14ac:dyDescent="0.25"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</row>
    <row r="789" spans="2:12" x14ac:dyDescent="0.25"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</row>
    <row r="790" spans="2:12" x14ac:dyDescent="0.25"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</row>
    <row r="791" spans="2:12" x14ac:dyDescent="0.25"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</row>
    <row r="792" spans="2:12" x14ac:dyDescent="0.25"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</row>
    <row r="793" spans="2:12" x14ac:dyDescent="0.25"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</row>
    <row r="794" spans="2:12" x14ac:dyDescent="0.25"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</row>
    <row r="795" spans="2:12" x14ac:dyDescent="0.25"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</row>
    <row r="796" spans="2:12" x14ac:dyDescent="0.25"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</row>
    <row r="797" spans="2:12" x14ac:dyDescent="0.25"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</row>
    <row r="798" spans="2:12" x14ac:dyDescent="0.25"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</row>
    <row r="799" spans="2:12" x14ac:dyDescent="0.25"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</row>
    <row r="800" spans="2:12" x14ac:dyDescent="0.25"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</row>
    <row r="801" spans="2:12" x14ac:dyDescent="0.25"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</row>
    <row r="802" spans="2:12" x14ac:dyDescent="0.25"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</row>
    <row r="803" spans="2:12" x14ac:dyDescent="0.25"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</row>
    <row r="804" spans="2:12" x14ac:dyDescent="0.25"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</row>
    <row r="805" spans="2:12" x14ac:dyDescent="0.25"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</row>
    <row r="806" spans="2:12" x14ac:dyDescent="0.25"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</row>
    <row r="807" spans="2:12" x14ac:dyDescent="0.25"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</row>
    <row r="808" spans="2:12" x14ac:dyDescent="0.25"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</row>
    <row r="809" spans="2:12" x14ac:dyDescent="0.25"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</row>
    <row r="810" spans="2:12" x14ac:dyDescent="0.25"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</row>
    <row r="811" spans="2:12" x14ac:dyDescent="0.25"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</row>
    <row r="812" spans="2:12" x14ac:dyDescent="0.25"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</row>
    <row r="813" spans="2:12" x14ac:dyDescent="0.25"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</row>
    <row r="814" spans="2:12" x14ac:dyDescent="0.25"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</row>
    <row r="815" spans="2:12" x14ac:dyDescent="0.25"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</row>
    <row r="816" spans="2:12" x14ac:dyDescent="0.25"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</row>
    <row r="817" spans="2:12" x14ac:dyDescent="0.25"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</row>
    <row r="818" spans="2:12" x14ac:dyDescent="0.25"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</row>
    <row r="819" spans="2:12" x14ac:dyDescent="0.25"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</row>
    <row r="820" spans="2:12" x14ac:dyDescent="0.25"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</row>
    <row r="821" spans="2:12" x14ac:dyDescent="0.25"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</row>
    <row r="822" spans="2:12" x14ac:dyDescent="0.25"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</row>
    <row r="823" spans="2:12" x14ac:dyDescent="0.25"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</row>
    <row r="824" spans="2:12" x14ac:dyDescent="0.25"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</row>
    <row r="825" spans="2:12" x14ac:dyDescent="0.25"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</row>
    <row r="826" spans="2:12" x14ac:dyDescent="0.25"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</row>
    <row r="827" spans="2:12" x14ac:dyDescent="0.25"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</row>
    <row r="828" spans="2:12" x14ac:dyDescent="0.25"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</row>
    <row r="829" spans="2:12" x14ac:dyDescent="0.25"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</row>
    <row r="830" spans="2:12" x14ac:dyDescent="0.25"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</row>
    <row r="831" spans="2:12" x14ac:dyDescent="0.25"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</row>
    <row r="832" spans="2:12" x14ac:dyDescent="0.25"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</row>
    <row r="833" spans="2:12" x14ac:dyDescent="0.25"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</row>
    <row r="834" spans="2:12" x14ac:dyDescent="0.25"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</row>
    <row r="835" spans="2:12" x14ac:dyDescent="0.25"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</row>
    <row r="836" spans="2:12" x14ac:dyDescent="0.25"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</row>
    <row r="837" spans="2:12" x14ac:dyDescent="0.25"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</row>
    <row r="838" spans="2:12" x14ac:dyDescent="0.25"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</row>
    <row r="839" spans="2:12" x14ac:dyDescent="0.25"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</row>
    <row r="840" spans="2:12" x14ac:dyDescent="0.25"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</row>
    <row r="841" spans="2:12" x14ac:dyDescent="0.25"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</row>
    <row r="842" spans="2:12" x14ac:dyDescent="0.25"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</row>
    <row r="843" spans="2:12" x14ac:dyDescent="0.25"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</row>
    <row r="844" spans="2:12" x14ac:dyDescent="0.25"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</row>
    <row r="845" spans="2:12" x14ac:dyDescent="0.25"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</row>
    <row r="846" spans="2:12" x14ac:dyDescent="0.25"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</row>
    <row r="847" spans="2:12" x14ac:dyDescent="0.25"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</row>
    <row r="848" spans="2:12" x14ac:dyDescent="0.25"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</row>
    <row r="849" spans="2:12" x14ac:dyDescent="0.25"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</row>
    <row r="850" spans="2:12" x14ac:dyDescent="0.25"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</row>
    <row r="851" spans="2:12" x14ac:dyDescent="0.25"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</row>
    <row r="852" spans="2:12" x14ac:dyDescent="0.25"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</row>
    <row r="853" spans="2:12" x14ac:dyDescent="0.25"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</row>
    <row r="854" spans="2:12" x14ac:dyDescent="0.25"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</row>
    <row r="855" spans="2:12" x14ac:dyDescent="0.25"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</row>
    <row r="856" spans="2:12" x14ac:dyDescent="0.25"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</row>
    <row r="857" spans="2:12" x14ac:dyDescent="0.25"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</row>
    <row r="858" spans="2:12" x14ac:dyDescent="0.25"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</row>
    <row r="859" spans="2:12" x14ac:dyDescent="0.25"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</row>
    <row r="860" spans="2:12" x14ac:dyDescent="0.25"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</row>
    <row r="861" spans="2:12" x14ac:dyDescent="0.25"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</row>
    <row r="862" spans="2:12" x14ac:dyDescent="0.25"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</row>
    <row r="863" spans="2:12" x14ac:dyDescent="0.25"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</row>
    <row r="864" spans="2:12" x14ac:dyDescent="0.25"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</row>
    <row r="865" spans="2:12" x14ac:dyDescent="0.25"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</row>
    <row r="866" spans="2:12" x14ac:dyDescent="0.25"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</row>
    <row r="867" spans="2:12" x14ac:dyDescent="0.25"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</row>
    <row r="868" spans="2:12" x14ac:dyDescent="0.25"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</row>
    <row r="869" spans="2:12" x14ac:dyDescent="0.25"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</row>
    <row r="870" spans="2:12" x14ac:dyDescent="0.25"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</row>
    <row r="871" spans="2:12" x14ac:dyDescent="0.25"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</row>
    <row r="872" spans="2:12" x14ac:dyDescent="0.25"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</row>
    <row r="873" spans="2:12" x14ac:dyDescent="0.25"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</row>
    <row r="874" spans="2:12" x14ac:dyDescent="0.25"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</row>
    <row r="875" spans="2:12" x14ac:dyDescent="0.25"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</row>
    <row r="876" spans="2:12" x14ac:dyDescent="0.25"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</row>
    <row r="877" spans="2:12" x14ac:dyDescent="0.25"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</row>
    <row r="878" spans="2:12" x14ac:dyDescent="0.25"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</row>
    <row r="879" spans="2:12" x14ac:dyDescent="0.25"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</row>
    <row r="880" spans="2:12" x14ac:dyDescent="0.25"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</row>
    <row r="881" spans="2:12" x14ac:dyDescent="0.25"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</row>
    <row r="882" spans="2:12" x14ac:dyDescent="0.25"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</row>
    <row r="883" spans="2:12" x14ac:dyDescent="0.25"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</row>
    <row r="884" spans="2:12" x14ac:dyDescent="0.25"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</row>
    <row r="885" spans="2:12" x14ac:dyDescent="0.25"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</row>
    <row r="886" spans="2:12" x14ac:dyDescent="0.25"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</row>
    <row r="887" spans="2:12" x14ac:dyDescent="0.25"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</row>
    <row r="888" spans="2:12" x14ac:dyDescent="0.25"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</row>
    <row r="889" spans="2:12" x14ac:dyDescent="0.25"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</row>
    <row r="890" spans="2:12" x14ac:dyDescent="0.25"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</row>
    <row r="891" spans="2:12" x14ac:dyDescent="0.25"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</row>
    <row r="892" spans="2:12" x14ac:dyDescent="0.25"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</row>
    <row r="893" spans="2:12" x14ac:dyDescent="0.25"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</row>
    <row r="894" spans="2:12" x14ac:dyDescent="0.25"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</row>
    <row r="895" spans="2:12" x14ac:dyDescent="0.25"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</row>
    <row r="896" spans="2:12" x14ac:dyDescent="0.25"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</row>
    <row r="897" spans="2:12" x14ac:dyDescent="0.25"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</row>
    <row r="898" spans="2:12" x14ac:dyDescent="0.25"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</row>
    <row r="899" spans="2:12" x14ac:dyDescent="0.25"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</row>
    <row r="900" spans="2:12" x14ac:dyDescent="0.25"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</row>
    <row r="901" spans="2:12" x14ac:dyDescent="0.25"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</row>
    <row r="902" spans="2:12" x14ac:dyDescent="0.25"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</row>
    <row r="903" spans="2:12" x14ac:dyDescent="0.25"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</row>
    <row r="904" spans="2:12" x14ac:dyDescent="0.25"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</row>
    <row r="905" spans="2:12" x14ac:dyDescent="0.25"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</row>
    <row r="906" spans="2:12" x14ac:dyDescent="0.25"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</row>
    <row r="907" spans="2:12" x14ac:dyDescent="0.25"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</row>
    <row r="908" spans="2:12" x14ac:dyDescent="0.25"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</row>
    <row r="909" spans="2:12" x14ac:dyDescent="0.25"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</row>
    <row r="910" spans="2:12" x14ac:dyDescent="0.25"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</row>
    <row r="911" spans="2:12" x14ac:dyDescent="0.25"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</row>
    <row r="912" spans="2:12" x14ac:dyDescent="0.25"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</row>
    <row r="913" spans="2:12" x14ac:dyDescent="0.25"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</row>
    <row r="914" spans="2:12" x14ac:dyDescent="0.25"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</row>
    <row r="915" spans="2:12" x14ac:dyDescent="0.25"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</row>
    <row r="916" spans="2:12" x14ac:dyDescent="0.25"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</row>
    <row r="917" spans="2:12" x14ac:dyDescent="0.25"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</row>
    <row r="918" spans="2:12" x14ac:dyDescent="0.25"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</row>
    <row r="919" spans="2:12" x14ac:dyDescent="0.25"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</row>
    <row r="920" spans="2:12" x14ac:dyDescent="0.25"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</row>
    <row r="921" spans="2:12" x14ac:dyDescent="0.25"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</row>
    <row r="922" spans="2:12" x14ac:dyDescent="0.25"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</row>
    <row r="923" spans="2:12" x14ac:dyDescent="0.25"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</row>
    <row r="924" spans="2:12" x14ac:dyDescent="0.25"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</row>
    <row r="925" spans="2:12" x14ac:dyDescent="0.25"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</row>
    <row r="926" spans="2:12" x14ac:dyDescent="0.25"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</row>
    <row r="927" spans="2:12" x14ac:dyDescent="0.25"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</row>
    <row r="928" spans="2:12" x14ac:dyDescent="0.25"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</row>
    <row r="929" spans="2:12" x14ac:dyDescent="0.25"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</row>
    <row r="930" spans="2:12" x14ac:dyDescent="0.25"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</row>
    <row r="931" spans="2:12" x14ac:dyDescent="0.25"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</row>
    <row r="932" spans="2:12" x14ac:dyDescent="0.25"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</row>
    <row r="933" spans="2:12" x14ac:dyDescent="0.25"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</row>
    <row r="934" spans="2:12" x14ac:dyDescent="0.25"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</row>
    <row r="935" spans="2:12" x14ac:dyDescent="0.25"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</row>
    <row r="936" spans="2:12" x14ac:dyDescent="0.25"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</row>
    <row r="937" spans="2:12" x14ac:dyDescent="0.25"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</row>
    <row r="938" spans="2:12" x14ac:dyDescent="0.25"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</row>
    <row r="939" spans="2:12" x14ac:dyDescent="0.25"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</row>
    <row r="940" spans="2:12" x14ac:dyDescent="0.25"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</row>
    <row r="941" spans="2:12" x14ac:dyDescent="0.25"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</row>
    <row r="942" spans="2:12" x14ac:dyDescent="0.25"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</row>
    <row r="943" spans="2:12" x14ac:dyDescent="0.25"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</row>
    <row r="944" spans="2:12" x14ac:dyDescent="0.25"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</row>
    <row r="945" spans="2:12" x14ac:dyDescent="0.25"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</row>
    <row r="946" spans="2:12" x14ac:dyDescent="0.25"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</row>
    <row r="947" spans="2:12" x14ac:dyDescent="0.25"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</row>
    <row r="948" spans="2:12" x14ac:dyDescent="0.25"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</row>
    <row r="949" spans="2:12" x14ac:dyDescent="0.25"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</row>
    <row r="950" spans="2:12" x14ac:dyDescent="0.25"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</row>
    <row r="951" spans="2:12" x14ac:dyDescent="0.25"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</row>
    <row r="952" spans="2:12" x14ac:dyDescent="0.25"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</row>
    <row r="953" spans="2:12" x14ac:dyDescent="0.25"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</row>
    <row r="954" spans="2:12" x14ac:dyDescent="0.25"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</row>
    <row r="955" spans="2:12" x14ac:dyDescent="0.25"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</row>
    <row r="956" spans="2:12" x14ac:dyDescent="0.25"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</row>
    <row r="957" spans="2:12" x14ac:dyDescent="0.25"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</row>
    <row r="958" spans="2:12" x14ac:dyDescent="0.25"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</row>
    <row r="959" spans="2:12" x14ac:dyDescent="0.25"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</row>
    <row r="960" spans="2:12" x14ac:dyDescent="0.25"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</row>
    <row r="961" spans="2:12" x14ac:dyDescent="0.25"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</row>
    <row r="962" spans="2:12" x14ac:dyDescent="0.25"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</row>
    <row r="963" spans="2:12" x14ac:dyDescent="0.25"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</row>
    <row r="964" spans="2:12" x14ac:dyDescent="0.25"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</row>
    <row r="965" spans="2:12" x14ac:dyDescent="0.25"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</row>
    <row r="966" spans="2:12" x14ac:dyDescent="0.25"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</row>
    <row r="967" spans="2:12" x14ac:dyDescent="0.25"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</row>
    <row r="968" spans="2:12" x14ac:dyDescent="0.25"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</row>
    <row r="969" spans="2:12" x14ac:dyDescent="0.25"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</row>
    <row r="970" spans="2:12" x14ac:dyDescent="0.25"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</row>
    <row r="971" spans="2:12" x14ac:dyDescent="0.25"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</row>
    <row r="972" spans="2:12" x14ac:dyDescent="0.25"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</row>
    <row r="973" spans="2:12" x14ac:dyDescent="0.25"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</row>
    <row r="974" spans="2:12" x14ac:dyDescent="0.25"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</row>
    <row r="975" spans="2:12" x14ac:dyDescent="0.25"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</row>
    <row r="976" spans="2:12" x14ac:dyDescent="0.25"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</row>
    <row r="977" spans="2:12" x14ac:dyDescent="0.25"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</row>
    <row r="978" spans="2:12" x14ac:dyDescent="0.25"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</row>
    <row r="979" spans="2:12" x14ac:dyDescent="0.25"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</row>
    <row r="980" spans="2:12" x14ac:dyDescent="0.25"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</row>
    <row r="981" spans="2:12" x14ac:dyDescent="0.25"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</row>
    <row r="982" spans="2:12" x14ac:dyDescent="0.25"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</row>
    <row r="983" spans="2:12" x14ac:dyDescent="0.25"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</row>
    <row r="984" spans="2:12" x14ac:dyDescent="0.25"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</row>
    <row r="985" spans="2:12" x14ac:dyDescent="0.25"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</row>
    <row r="986" spans="2:12" x14ac:dyDescent="0.25"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</row>
    <row r="987" spans="2:12" x14ac:dyDescent="0.25"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</row>
    <row r="988" spans="2:12" x14ac:dyDescent="0.25"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</row>
    <row r="989" spans="2:12" x14ac:dyDescent="0.25"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</row>
    <row r="990" spans="2:12" x14ac:dyDescent="0.25"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</row>
    <row r="991" spans="2:12" x14ac:dyDescent="0.25"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</row>
    <row r="992" spans="2:12" x14ac:dyDescent="0.25"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</row>
    <row r="993" spans="2:12" x14ac:dyDescent="0.25"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</row>
    <row r="994" spans="2:12" x14ac:dyDescent="0.25"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</row>
    <row r="995" spans="2:12" x14ac:dyDescent="0.25"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</row>
    <row r="996" spans="2:12" x14ac:dyDescent="0.25"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</row>
    <row r="997" spans="2:12" x14ac:dyDescent="0.25"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</row>
    <row r="998" spans="2:12" x14ac:dyDescent="0.25"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</row>
    <row r="999" spans="2:12" x14ac:dyDescent="0.25"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</row>
    <row r="1000" spans="2:12" x14ac:dyDescent="0.25"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</row>
    <row r="1001" spans="2:12" x14ac:dyDescent="0.25"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</row>
    <row r="1002" spans="2:12" x14ac:dyDescent="0.25">
      <c r="B1002" s="11"/>
      <c r="C1002" s="11"/>
      <c r="D1002" s="11"/>
      <c r="E1002" s="11"/>
      <c r="F1002" s="11"/>
      <c r="G1002" s="11"/>
      <c r="H1002" s="11"/>
      <c r="I1002" s="11"/>
      <c r="J1002" s="11"/>
      <c r="K1002" s="11"/>
      <c r="L1002" s="11"/>
    </row>
    <row r="1003" spans="2:12" x14ac:dyDescent="0.25">
      <c r="B1003" s="11"/>
      <c r="C1003" s="11"/>
      <c r="D1003" s="11"/>
      <c r="E1003" s="11"/>
      <c r="F1003" s="11"/>
      <c r="G1003" s="11"/>
      <c r="H1003" s="11"/>
      <c r="I1003" s="11"/>
      <c r="J1003" s="11"/>
      <c r="K1003" s="11"/>
      <c r="L1003" s="11"/>
    </row>
    <row r="1004" spans="2:12" x14ac:dyDescent="0.25">
      <c r="B1004" s="11"/>
      <c r="C1004" s="11"/>
      <c r="D1004" s="11"/>
      <c r="E1004" s="11"/>
      <c r="F1004" s="11"/>
      <c r="G1004" s="11"/>
      <c r="H1004" s="11"/>
      <c r="I1004" s="11"/>
      <c r="J1004" s="11"/>
      <c r="K1004" s="11"/>
      <c r="L1004" s="11"/>
    </row>
    <row r="1005" spans="2:12" x14ac:dyDescent="0.25">
      <c r="B1005" s="11"/>
      <c r="C1005" s="11"/>
      <c r="D1005" s="11"/>
      <c r="E1005" s="11"/>
      <c r="F1005" s="11"/>
      <c r="G1005" s="11"/>
      <c r="H1005" s="11"/>
      <c r="I1005" s="11"/>
      <c r="J1005" s="11"/>
      <c r="K1005" s="11"/>
      <c r="L1005" s="11"/>
    </row>
    <row r="1006" spans="2:12" x14ac:dyDescent="0.25">
      <c r="B1006" s="11"/>
      <c r="C1006" s="11"/>
      <c r="D1006" s="11"/>
      <c r="E1006" s="11"/>
      <c r="F1006" s="11"/>
      <c r="G1006" s="11"/>
      <c r="H1006" s="11"/>
      <c r="I1006" s="11"/>
      <c r="J1006" s="11"/>
      <c r="K1006" s="11"/>
      <c r="L1006" s="11"/>
    </row>
    <row r="1007" spans="2:12" x14ac:dyDescent="0.25">
      <c r="B1007" s="11"/>
      <c r="C1007" s="11"/>
      <c r="D1007" s="11"/>
      <c r="E1007" s="11"/>
      <c r="F1007" s="11"/>
      <c r="G1007" s="11"/>
      <c r="H1007" s="11"/>
      <c r="I1007" s="11"/>
      <c r="J1007" s="11"/>
      <c r="K1007" s="11"/>
      <c r="L1007" s="11"/>
    </row>
    <row r="1008" spans="2:12" x14ac:dyDescent="0.25">
      <c r="B1008" s="11"/>
      <c r="C1008" s="11"/>
      <c r="D1008" s="11"/>
      <c r="E1008" s="11"/>
      <c r="F1008" s="11"/>
      <c r="G1008" s="11"/>
      <c r="H1008" s="11"/>
      <c r="I1008" s="11"/>
      <c r="J1008" s="11"/>
      <c r="K1008" s="11"/>
      <c r="L1008" s="11"/>
    </row>
    <row r="1009" spans="2:12" x14ac:dyDescent="0.25">
      <c r="B1009" s="11"/>
      <c r="C1009" s="11"/>
      <c r="D1009" s="11"/>
      <c r="E1009" s="11"/>
      <c r="F1009" s="11"/>
      <c r="G1009" s="11"/>
      <c r="H1009" s="11"/>
      <c r="I1009" s="11"/>
      <c r="J1009" s="11"/>
      <c r="K1009" s="11"/>
      <c r="L1009" s="11"/>
    </row>
    <row r="1010" spans="2:12" x14ac:dyDescent="0.25">
      <c r="B1010" s="11"/>
      <c r="C1010" s="11"/>
      <c r="D1010" s="11"/>
      <c r="E1010" s="11"/>
      <c r="F1010" s="11"/>
      <c r="G1010" s="11"/>
      <c r="H1010" s="11"/>
      <c r="I1010" s="11"/>
      <c r="J1010" s="11"/>
      <c r="K1010" s="11"/>
      <c r="L1010" s="11"/>
    </row>
    <row r="1011" spans="2:12" x14ac:dyDescent="0.25">
      <c r="B1011" s="11"/>
      <c r="C1011" s="11"/>
      <c r="D1011" s="11"/>
      <c r="E1011" s="11"/>
      <c r="F1011" s="11"/>
      <c r="G1011" s="11"/>
      <c r="H1011" s="11"/>
      <c r="I1011" s="11"/>
      <c r="J1011" s="11"/>
      <c r="K1011" s="11"/>
      <c r="L1011" s="11"/>
    </row>
    <row r="1012" spans="2:12" x14ac:dyDescent="0.25">
      <c r="B1012" s="11"/>
      <c r="C1012" s="11"/>
      <c r="D1012" s="11"/>
      <c r="E1012" s="11"/>
      <c r="F1012" s="11"/>
      <c r="G1012" s="11"/>
      <c r="H1012" s="11"/>
      <c r="I1012" s="11"/>
      <c r="J1012" s="11"/>
      <c r="K1012" s="11"/>
      <c r="L1012" s="11"/>
    </row>
    <row r="1013" spans="2:12" x14ac:dyDescent="0.25">
      <c r="B1013" s="11"/>
      <c r="C1013" s="11"/>
      <c r="D1013" s="11"/>
      <c r="E1013" s="11"/>
      <c r="F1013" s="11"/>
      <c r="G1013" s="11"/>
      <c r="H1013" s="11"/>
      <c r="I1013" s="11"/>
      <c r="J1013" s="11"/>
      <c r="K1013" s="11"/>
      <c r="L1013" s="11"/>
    </row>
    <row r="1014" spans="2:12" x14ac:dyDescent="0.25">
      <c r="B1014" s="11"/>
      <c r="C1014" s="11"/>
      <c r="D1014" s="11"/>
      <c r="E1014" s="11"/>
      <c r="F1014" s="11"/>
      <c r="G1014" s="11"/>
      <c r="H1014" s="11"/>
      <c r="I1014" s="11"/>
      <c r="J1014" s="11"/>
      <c r="K1014" s="11"/>
      <c r="L1014" s="11"/>
    </row>
    <row r="1015" spans="2:12" x14ac:dyDescent="0.25">
      <c r="B1015" s="11"/>
      <c r="C1015" s="11"/>
      <c r="D1015" s="11"/>
      <c r="E1015" s="11"/>
      <c r="F1015" s="11"/>
      <c r="G1015" s="11"/>
      <c r="H1015" s="11"/>
      <c r="I1015" s="11"/>
      <c r="J1015" s="11"/>
      <c r="K1015" s="11"/>
      <c r="L1015" s="11"/>
    </row>
    <row r="1016" spans="2:12" x14ac:dyDescent="0.25">
      <c r="B1016" s="11"/>
      <c r="C1016" s="11"/>
      <c r="D1016" s="11"/>
      <c r="E1016" s="11"/>
      <c r="F1016" s="11"/>
      <c r="G1016" s="11"/>
      <c r="H1016" s="11"/>
      <c r="I1016" s="11"/>
      <c r="J1016" s="11"/>
      <c r="K1016" s="11"/>
      <c r="L1016" s="11"/>
    </row>
    <row r="1017" spans="2:12" x14ac:dyDescent="0.25">
      <c r="B1017" s="11"/>
      <c r="C1017" s="11"/>
      <c r="D1017" s="11"/>
      <c r="E1017" s="11"/>
      <c r="F1017" s="11"/>
      <c r="G1017" s="11"/>
      <c r="H1017" s="11"/>
      <c r="I1017" s="11"/>
      <c r="J1017" s="11"/>
      <c r="K1017" s="11"/>
      <c r="L1017" s="11"/>
    </row>
    <row r="1018" spans="2:12" x14ac:dyDescent="0.25">
      <c r="B1018" s="11"/>
      <c r="C1018" s="11"/>
      <c r="D1018" s="11"/>
      <c r="E1018" s="11"/>
      <c r="F1018" s="11"/>
      <c r="G1018" s="11"/>
      <c r="H1018" s="11"/>
      <c r="I1018" s="11"/>
      <c r="J1018" s="11"/>
      <c r="K1018" s="11"/>
      <c r="L1018" s="11"/>
    </row>
    <row r="1019" spans="2:12" x14ac:dyDescent="0.25">
      <c r="B1019" s="11"/>
      <c r="C1019" s="11"/>
      <c r="D1019" s="11"/>
      <c r="E1019" s="11"/>
      <c r="F1019" s="11"/>
      <c r="G1019" s="11"/>
      <c r="H1019" s="11"/>
      <c r="I1019" s="11"/>
      <c r="J1019" s="11"/>
      <c r="K1019" s="11"/>
      <c r="L1019" s="11"/>
    </row>
    <row r="1020" spans="2:12" x14ac:dyDescent="0.25">
      <c r="B1020" s="11"/>
      <c r="C1020" s="11"/>
      <c r="D1020" s="11"/>
      <c r="E1020" s="11"/>
      <c r="F1020" s="11"/>
      <c r="G1020" s="11"/>
      <c r="H1020" s="11"/>
      <c r="I1020" s="11"/>
      <c r="J1020" s="11"/>
      <c r="K1020" s="11"/>
      <c r="L1020" s="11"/>
    </row>
    <row r="1021" spans="2:12" x14ac:dyDescent="0.25"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</row>
    <row r="1022" spans="2:12" x14ac:dyDescent="0.25">
      <c r="B1022" s="11"/>
      <c r="C1022" s="11"/>
      <c r="D1022" s="11"/>
      <c r="E1022" s="11"/>
      <c r="F1022" s="11"/>
      <c r="G1022" s="11"/>
      <c r="H1022" s="11"/>
      <c r="I1022" s="11"/>
      <c r="J1022" s="11"/>
      <c r="K1022" s="11"/>
      <c r="L1022" s="11"/>
    </row>
    <row r="1023" spans="2:12" x14ac:dyDescent="0.25">
      <c r="B1023" s="11"/>
      <c r="C1023" s="11"/>
      <c r="D1023" s="11"/>
      <c r="E1023" s="11"/>
      <c r="F1023" s="11"/>
      <c r="G1023" s="11"/>
      <c r="H1023" s="11"/>
      <c r="I1023" s="11"/>
      <c r="J1023" s="11"/>
      <c r="K1023" s="11"/>
      <c r="L1023" s="11"/>
    </row>
    <row r="1024" spans="2:12" x14ac:dyDescent="0.25">
      <c r="B1024" s="11"/>
      <c r="C1024" s="11"/>
      <c r="D1024" s="11"/>
      <c r="E1024" s="11"/>
      <c r="F1024" s="11"/>
      <c r="G1024" s="11"/>
      <c r="H1024" s="11"/>
      <c r="I1024" s="11"/>
      <c r="J1024" s="11"/>
      <c r="K1024" s="11"/>
      <c r="L1024" s="11"/>
    </row>
    <row r="1025" spans="2:12" x14ac:dyDescent="0.25">
      <c r="B1025" s="11"/>
      <c r="C1025" s="11"/>
      <c r="D1025" s="11"/>
      <c r="E1025" s="11"/>
      <c r="F1025" s="11"/>
      <c r="G1025" s="11"/>
      <c r="H1025" s="11"/>
      <c r="I1025" s="11"/>
      <c r="J1025" s="11"/>
      <c r="K1025" s="11"/>
      <c r="L1025" s="11"/>
    </row>
    <row r="1026" spans="2:12" x14ac:dyDescent="0.25">
      <c r="B1026" s="11"/>
      <c r="C1026" s="11"/>
      <c r="D1026" s="11"/>
      <c r="E1026" s="11"/>
      <c r="F1026" s="11"/>
      <c r="G1026" s="11"/>
      <c r="H1026" s="11"/>
      <c r="I1026" s="11"/>
      <c r="J1026" s="11"/>
      <c r="K1026" s="11"/>
      <c r="L1026" s="11"/>
    </row>
    <row r="1027" spans="2:12" x14ac:dyDescent="0.25">
      <c r="B1027" s="11"/>
      <c r="C1027" s="11"/>
      <c r="D1027" s="11"/>
      <c r="E1027" s="11"/>
      <c r="F1027" s="11"/>
      <c r="G1027" s="11"/>
      <c r="H1027" s="11"/>
      <c r="I1027" s="11"/>
      <c r="J1027" s="11"/>
      <c r="K1027" s="11"/>
      <c r="L1027" s="11"/>
    </row>
    <row r="1028" spans="2:12" x14ac:dyDescent="0.25"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1"/>
    </row>
    <row r="1029" spans="2:12" x14ac:dyDescent="0.25">
      <c r="B1029" s="11"/>
      <c r="C1029" s="11"/>
      <c r="D1029" s="11"/>
      <c r="E1029" s="11"/>
      <c r="F1029" s="11"/>
      <c r="G1029" s="11"/>
      <c r="H1029" s="11"/>
      <c r="I1029" s="11"/>
      <c r="J1029" s="11"/>
      <c r="K1029" s="11"/>
      <c r="L1029" s="11"/>
    </row>
    <row r="1030" spans="2:12" x14ac:dyDescent="0.25">
      <c r="B1030" s="11"/>
      <c r="C1030" s="11"/>
      <c r="D1030" s="11"/>
      <c r="E1030" s="11"/>
      <c r="F1030" s="11"/>
      <c r="G1030" s="11"/>
      <c r="H1030" s="11"/>
      <c r="I1030" s="11"/>
      <c r="J1030" s="11"/>
      <c r="K1030" s="11"/>
      <c r="L1030" s="11"/>
    </row>
    <row r="1031" spans="2:12" x14ac:dyDescent="0.25">
      <c r="B1031" s="11"/>
      <c r="C1031" s="11"/>
      <c r="D1031" s="11"/>
      <c r="E1031" s="11"/>
      <c r="F1031" s="11"/>
      <c r="G1031" s="11"/>
      <c r="H1031" s="11"/>
      <c r="I1031" s="11"/>
      <c r="J1031" s="11"/>
      <c r="K1031" s="11"/>
      <c r="L1031" s="11"/>
    </row>
    <row r="1032" spans="2:12" x14ac:dyDescent="0.25">
      <c r="B1032" s="11"/>
      <c r="C1032" s="11"/>
      <c r="D1032" s="11"/>
      <c r="E1032" s="11"/>
      <c r="F1032" s="11"/>
      <c r="G1032" s="11"/>
      <c r="H1032" s="11"/>
      <c r="I1032" s="11"/>
      <c r="J1032" s="11"/>
      <c r="K1032" s="11"/>
      <c r="L1032" s="11"/>
    </row>
    <row r="1033" spans="2:12" x14ac:dyDescent="0.25">
      <c r="B1033" s="11"/>
      <c r="C1033" s="11"/>
      <c r="D1033" s="11"/>
      <c r="E1033" s="11"/>
      <c r="F1033" s="11"/>
      <c r="G1033" s="11"/>
      <c r="H1033" s="11"/>
      <c r="I1033" s="11"/>
      <c r="J1033" s="11"/>
      <c r="K1033" s="11"/>
      <c r="L1033" s="11"/>
    </row>
    <row r="1034" spans="2:12" x14ac:dyDescent="0.25">
      <c r="B1034" s="11"/>
      <c r="C1034" s="11"/>
      <c r="D1034" s="11"/>
      <c r="E1034" s="11"/>
      <c r="F1034" s="11"/>
      <c r="G1034" s="11"/>
      <c r="H1034" s="11"/>
      <c r="I1034" s="11"/>
      <c r="J1034" s="11"/>
      <c r="K1034" s="11"/>
      <c r="L1034" s="11"/>
    </row>
    <row r="1035" spans="2:12" x14ac:dyDescent="0.25">
      <c r="B1035" s="11"/>
      <c r="C1035" s="11"/>
      <c r="D1035" s="11"/>
      <c r="E1035" s="11"/>
      <c r="F1035" s="11"/>
      <c r="G1035" s="11"/>
      <c r="H1035" s="11"/>
      <c r="I1035" s="11"/>
      <c r="J1035" s="11"/>
      <c r="K1035" s="11"/>
      <c r="L1035" s="11"/>
    </row>
    <row r="1036" spans="2:12" x14ac:dyDescent="0.25">
      <c r="B1036" s="11"/>
      <c r="C1036" s="11"/>
      <c r="D1036" s="11"/>
      <c r="E1036" s="11"/>
      <c r="F1036" s="11"/>
      <c r="G1036" s="11"/>
      <c r="H1036" s="11"/>
      <c r="I1036" s="11"/>
      <c r="J1036" s="11"/>
      <c r="K1036" s="11"/>
      <c r="L1036" s="11"/>
    </row>
    <row r="1037" spans="2:12" x14ac:dyDescent="0.25">
      <c r="B1037" s="11"/>
      <c r="C1037" s="11"/>
      <c r="D1037" s="11"/>
      <c r="E1037" s="11"/>
      <c r="F1037" s="11"/>
      <c r="G1037" s="11"/>
      <c r="H1037" s="11"/>
      <c r="I1037" s="11"/>
      <c r="J1037" s="11"/>
      <c r="K1037" s="11"/>
      <c r="L1037" s="11"/>
    </row>
    <row r="1038" spans="2:12" x14ac:dyDescent="0.25">
      <c r="B1038" s="11"/>
      <c r="C1038" s="11"/>
      <c r="D1038" s="11"/>
      <c r="E1038" s="11"/>
      <c r="F1038" s="11"/>
      <c r="G1038" s="11"/>
      <c r="H1038" s="11"/>
      <c r="I1038" s="11"/>
      <c r="J1038" s="11"/>
      <c r="K1038" s="11"/>
      <c r="L1038" s="11"/>
    </row>
    <row r="1039" spans="2:12" x14ac:dyDescent="0.25">
      <c r="B1039" s="11"/>
      <c r="C1039" s="11"/>
      <c r="D1039" s="11"/>
      <c r="E1039" s="11"/>
      <c r="F1039" s="11"/>
      <c r="G1039" s="11"/>
      <c r="H1039" s="11"/>
      <c r="I1039" s="11"/>
      <c r="J1039" s="11"/>
      <c r="K1039" s="11"/>
      <c r="L1039" s="11"/>
    </row>
    <row r="1040" spans="2:12" x14ac:dyDescent="0.25">
      <c r="B1040" s="11"/>
      <c r="C1040" s="11"/>
      <c r="D1040" s="11"/>
      <c r="E1040" s="11"/>
      <c r="F1040" s="11"/>
      <c r="G1040" s="11"/>
      <c r="H1040" s="11"/>
      <c r="I1040" s="11"/>
      <c r="J1040" s="11"/>
      <c r="K1040" s="11"/>
      <c r="L1040" s="11"/>
    </row>
    <row r="1041" spans="2:12" x14ac:dyDescent="0.25"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</row>
    <row r="1042" spans="2:12" x14ac:dyDescent="0.25">
      <c r="B1042" s="11"/>
      <c r="C1042" s="11"/>
      <c r="D1042" s="11"/>
      <c r="E1042" s="11"/>
      <c r="F1042" s="11"/>
      <c r="G1042" s="11"/>
      <c r="H1042" s="11"/>
      <c r="I1042" s="11"/>
      <c r="J1042" s="11"/>
      <c r="K1042" s="11"/>
      <c r="L1042" s="11"/>
    </row>
    <row r="1043" spans="2:12" x14ac:dyDescent="0.25">
      <c r="B1043" s="11"/>
      <c r="C1043" s="11"/>
      <c r="D1043" s="11"/>
      <c r="E1043" s="11"/>
      <c r="F1043" s="11"/>
      <c r="G1043" s="11"/>
      <c r="H1043" s="11"/>
      <c r="I1043" s="11"/>
      <c r="J1043" s="11"/>
      <c r="K1043" s="11"/>
      <c r="L1043" s="11"/>
    </row>
    <row r="1044" spans="2:12" x14ac:dyDescent="0.25">
      <c r="B1044" s="11"/>
      <c r="C1044" s="11"/>
      <c r="D1044" s="11"/>
      <c r="E1044" s="11"/>
      <c r="F1044" s="11"/>
      <c r="G1044" s="11"/>
      <c r="H1044" s="11"/>
      <c r="I1044" s="11"/>
      <c r="J1044" s="11"/>
      <c r="K1044" s="11"/>
      <c r="L1044" s="11"/>
    </row>
    <row r="1045" spans="2:12" x14ac:dyDescent="0.25">
      <c r="B1045" s="11"/>
      <c r="C1045" s="11"/>
      <c r="D1045" s="11"/>
      <c r="E1045" s="11"/>
      <c r="F1045" s="11"/>
      <c r="G1045" s="11"/>
      <c r="H1045" s="11"/>
      <c r="I1045" s="11"/>
      <c r="J1045" s="11"/>
      <c r="K1045" s="11"/>
      <c r="L1045" s="11"/>
    </row>
    <row r="1046" spans="2:12" x14ac:dyDescent="0.25">
      <c r="B1046" s="11"/>
      <c r="C1046" s="11"/>
      <c r="D1046" s="11"/>
      <c r="E1046" s="11"/>
      <c r="F1046" s="11"/>
      <c r="G1046" s="11"/>
      <c r="H1046" s="11"/>
      <c r="I1046" s="11"/>
      <c r="J1046" s="11"/>
      <c r="K1046" s="11"/>
      <c r="L1046" s="11"/>
    </row>
    <row r="1047" spans="2:12" x14ac:dyDescent="0.25">
      <c r="B1047" s="11"/>
      <c r="C1047" s="11"/>
      <c r="D1047" s="11"/>
      <c r="E1047" s="11"/>
      <c r="F1047" s="11"/>
      <c r="G1047" s="11"/>
      <c r="H1047" s="11"/>
      <c r="I1047" s="11"/>
      <c r="J1047" s="11"/>
      <c r="K1047" s="11"/>
      <c r="L1047" s="11"/>
    </row>
    <row r="1048" spans="2:12" x14ac:dyDescent="0.25">
      <c r="B1048" s="11"/>
      <c r="C1048" s="11"/>
      <c r="D1048" s="11"/>
      <c r="E1048" s="11"/>
      <c r="F1048" s="11"/>
      <c r="G1048" s="11"/>
      <c r="H1048" s="11"/>
      <c r="I1048" s="11"/>
      <c r="J1048" s="11"/>
      <c r="K1048" s="11"/>
      <c r="L1048" s="11"/>
    </row>
    <row r="1049" spans="2:12" x14ac:dyDescent="0.25">
      <c r="B1049" s="11"/>
      <c r="C1049" s="11"/>
      <c r="D1049" s="11"/>
      <c r="E1049" s="11"/>
      <c r="F1049" s="11"/>
      <c r="G1049" s="11"/>
      <c r="H1049" s="11"/>
      <c r="I1049" s="11"/>
      <c r="J1049" s="11"/>
      <c r="K1049" s="11"/>
      <c r="L1049" s="11"/>
    </row>
    <row r="1050" spans="2:12" x14ac:dyDescent="0.25">
      <c r="B1050" s="11"/>
      <c r="C1050" s="11"/>
      <c r="D1050" s="11"/>
      <c r="E1050" s="11"/>
      <c r="F1050" s="11"/>
      <c r="G1050" s="11"/>
      <c r="H1050" s="11"/>
      <c r="I1050" s="11"/>
      <c r="J1050" s="11"/>
      <c r="K1050" s="11"/>
      <c r="L1050" s="11"/>
    </row>
    <row r="1051" spans="2:12" x14ac:dyDescent="0.25">
      <c r="B1051" s="11"/>
      <c r="C1051" s="11"/>
      <c r="D1051" s="11"/>
      <c r="E1051" s="11"/>
      <c r="F1051" s="11"/>
      <c r="G1051" s="11"/>
      <c r="H1051" s="11"/>
      <c r="I1051" s="11"/>
      <c r="J1051" s="11"/>
      <c r="K1051" s="11"/>
      <c r="L1051" s="11"/>
    </row>
    <row r="1052" spans="2:12" x14ac:dyDescent="0.25">
      <c r="B1052" s="11"/>
      <c r="C1052" s="11"/>
      <c r="D1052" s="11"/>
      <c r="E1052" s="11"/>
      <c r="F1052" s="11"/>
      <c r="G1052" s="11"/>
      <c r="H1052" s="11"/>
      <c r="I1052" s="11"/>
      <c r="J1052" s="11"/>
      <c r="K1052" s="11"/>
      <c r="L1052" s="11"/>
    </row>
    <row r="1053" spans="2:12" x14ac:dyDescent="0.25">
      <c r="B1053" s="11"/>
      <c r="C1053" s="11"/>
      <c r="D1053" s="11"/>
      <c r="E1053" s="11"/>
      <c r="F1053" s="11"/>
      <c r="G1053" s="11"/>
      <c r="H1053" s="11"/>
      <c r="I1053" s="11"/>
      <c r="J1053" s="11"/>
      <c r="K1053" s="11"/>
      <c r="L1053" s="11"/>
    </row>
    <row r="1054" spans="2:12" x14ac:dyDescent="0.25">
      <c r="B1054" s="11"/>
      <c r="C1054" s="11"/>
      <c r="D1054" s="11"/>
      <c r="E1054" s="11"/>
      <c r="F1054" s="11"/>
      <c r="G1054" s="11"/>
      <c r="H1054" s="11"/>
      <c r="I1054" s="11"/>
      <c r="J1054" s="11"/>
      <c r="K1054" s="11"/>
      <c r="L1054" s="11"/>
    </row>
    <row r="1055" spans="2:12" x14ac:dyDescent="0.25">
      <c r="B1055" s="11"/>
      <c r="C1055" s="11"/>
      <c r="D1055" s="11"/>
      <c r="E1055" s="11"/>
      <c r="F1055" s="11"/>
      <c r="G1055" s="11"/>
      <c r="H1055" s="11"/>
      <c r="I1055" s="11"/>
      <c r="J1055" s="11"/>
      <c r="K1055" s="11"/>
      <c r="L1055" s="11"/>
    </row>
    <row r="1056" spans="2:12" x14ac:dyDescent="0.25">
      <c r="B1056" s="11"/>
      <c r="C1056" s="11"/>
      <c r="D1056" s="11"/>
      <c r="E1056" s="11"/>
      <c r="F1056" s="11"/>
      <c r="G1056" s="11"/>
      <c r="H1056" s="11"/>
      <c r="I1056" s="11"/>
      <c r="J1056" s="11"/>
      <c r="K1056" s="11"/>
      <c r="L1056" s="11"/>
    </row>
    <row r="1057" spans="2:12" x14ac:dyDescent="0.25">
      <c r="B1057" s="11"/>
      <c r="C1057" s="11"/>
      <c r="D1057" s="11"/>
      <c r="E1057" s="11"/>
      <c r="F1057" s="11"/>
      <c r="G1057" s="11"/>
      <c r="H1057" s="11"/>
      <c r="I1057" s="11"/>
      <c r="J1057" s="11"/>
      <c r="K1057" s="11"/>
      <c r="L1057" s="11"/>
    </row>
    <row r="1058" spans="2:12" x14ac:dyDescent="0.25">
      <c r="B1058" s="11"/>
      <c r="C1058" s="11"/>
      <c r="D1058" s="11"/>
      <c r="E1058" s="11"/>
      <c r="F1058" s="11"/>
      <c r="G1058" s="11"/>
      <c r="H1058" s="11"/>
      <c r="I1058" s="11"/>
      <c r="J1058" s="11"/>
      <c r="K1058" s="11"/>
      <c r="L1058" s="11"/>
    </row>
    <row r="1059" spans="2:12" x14ac:dyDescent="0.25">
      <c r="B1059" s="11"/>
      <c r="C1059" s="11"/>
      <c r="D1059" s="11"/>
      <c r="E1059" s="11"/>
      <c r="F1059" s="11"/>
      <c r="G1059" s="11"/>
      <c r="H1059" s="11"/>
      <c r="I1059" s="11"/>
      <c r="J1059" s="11"/>
      <c r="K1059" s="11"/>
      <c r="L1059" s="11"/>
    </row>
    <row r="1060" spans="2:12" x14ac:dyDescent="0.25">
      <c r="B1060" s="11"/>
      <c r="C1060" s="11"/>
      <c r="D1060" s="11"/>
      <c r="E1060" s="11"/>
      <c r="F1060" s="11"/>
      <c r="G1060" s="11"/>
      <c r="H1060" s="11"/>
      <c r="I1060" s="11"/>
      <c r="J1060" s="11"/>
      <c r="K1060" s="11"/>
      <c r="L1060" s="11"/>
    </row>
    <row r="1061" spans="2:12" x14ac:dyDescent="0.25"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</row>
    <row r="1062" spans="2:12" x14ac:dyDescent="0.25">
      <c r="B1062" s="11"/>
      <c r="C1062" s="11"/>
      <c r="D1062" s="11"/>
      <c r="E1062" s="11"/>
      <c r="F1062" s="11"/>
      <c r="G1062" s="11"/>
      <c r="H1062" s="11"/>
      <c r="I1062" s="11"/>
      <c r="J1062" s="11"/>
      <c r="K1062" s="11"/>
      <c r="L1062" s="11"/>
    </row>
    <row r="1063" spans="2:12" x14ac:dyDescent="0.25">
      <c r="B1063" s="11"/>
      <c r="C1063" s="11"/>
      <c r="D1063" s="11"/>
      <c r="E1063" s="11"/>
      <c r="F1063" s="11"/>
      <c r="G1063" s="11"/>
      <c r="H1063" s="11"/>
      <c r="I1063" s="11"/>
      <c r="J1063" s="11"/>
      <c r="K1063" s="11"/>
      <c r="L1063" s="11"/>
    </row>
    <row r="1064" spans="2:12" x14ac:dyDescent="0.25">
      <c r="B1064" s="11"/>
      <c r="C1064" s="11"/>
      <c r="D1064" s="11"/>
      <c r="E1064" s="11"/>
      <c r="F1064" s="11"/>
      <c r="G1064" s="11"/>
      <c r="H1064" s="11"/>
      <c r="I1064" s="11"/>
      <c r="J1064" s="11"/>
      <c r="K1064" s="11"/>
      <c r="L1064" s="11"/>
    </row>
    <row r="1065" spans="2:12" x14ac:dyDescent="0.25">
      <c r="B1065" s="11"/>
      <c r="C1065" s="11"/>
      <c r="D1065" s="11"/>
      <c r="E1065" s="11"/>
      <c r="F1065" s="11"/>
      <c r="G1065" s="11"/>
      <c r="H1065" s="11"/>
      <c r="I1065" s="11"/>
      <c r="J1065" s="11"/>
      <c r="K1065" s="11"/>
      <c r="L1065" s="11"/>
    </row>
    <row r="1066" spans="2:12" x14ac:dyDescent="0.25">
      <c r="B1066" s="11"/>
      <c r="C1066" s="11"/>
      <c r="D1066" s="11"/>
      <c r="E1066" s="11"/>
      <c r="F1066" s="11"/>
      <c r="G1066" s="11"/>
      <c r="H1066" s="11"/>
      <c r="I1066" s="11"/>
      <c r="J1066" s="11"/>
      <c r="K1066" s="11"/>
      <c r="L1066" s="11"/>
    </row>
    <row r="1067" spans="2:12" x14ac:dyDescent="0.25">
      <c r="B1067" s="11"/>
      <c r="C1067" s="11"/>
      <c r="D1067" s="11"/>
      <c r="E1067" s="11"/>
      <c r="F1067" s="11"/>
      <c r="G1067" s="11"/>
      <c r="H1067" s="11"/>
      <c r="I1067" s="11"/>
      <c r="J1067" s="11"/>
      <c r="K1067" s="11"/>
      <c r="L1067" s="11"/>
    </row>
    <row r="1068" spans="2:12" x14ac:dyDescent="0.25">
      <c r="B1068" s="11"/>
      <c r="C1068" s="11"/>
      <c r="D1068" s="11"/>
      <c r="E1068" s="11"/>
      <c r="F1068" s="11"/>
      <c r="G1068" s="11"/>
      <c r="H1068" s="11"/>
      <c r="I1068" s="11"/>
      <c r="J1068" s="11"/>
      <c r="K1068" s="11"/>
      <c r="L1068" s="11"/>
    </row>
    <row r="1069" spans="2:12" x14ac:dyDescent="0.25">
      <c r="B1069" s="11"/>
      <c r="C1069" s="11"/>
      <c r="D1069" s="11"/>
      <c r="E1069" s="11"/>
      <c r="F1069" s="11"/>
      <c r="G1069" s="11"/>
      <c r="H1069" s="11"/>
      <c r="I1069" s="11"/>
      <c r="J1069" s="11"/>
      <c r="K1069" s="11"/>
      <c r="L1069" s="11"/>
    </row>
    <row r="1070" spans="2:12" x14ac:dyDescent="0.25">
      <c r="B1070" s="11"/>
      <c r="C1070" s="11"/>
      <c r="D1070" s="11"/>
      <c r="E1070" s="11"/>
      <c r="F1070" s="11"/>
      <c r="G1070" s="11"/>
      <c r="H1070" s="11"/>
      <c r="I1070" s="11"/>
      <c r="J1070" s="11"/>
      <c r="K1070" s="11"/>
      <c r="L1070" s="11"/>
    </row>
    <row r="1071" spans="2:12" x14ac:dyDescent="0.25">
      <c r="B1071" s="11"/>
      <c r="C1071" s="11"/>
      <c r="D1071" s="11"/>
      <c r="E1071" s="11"/>
      <c r="F1071" s="11"/>
      <c r="G1071" s="11"/>
      <c r="H1071" s="11"/>
      <c r="I1071" s="11"/>
      <c r="J1071" s="11"/>
      <c r="K1071" s="11"/>
      <c r="L1071" s="11"/>
    </row>
    <row r="1072" spans="2:12" x14ac:dyDescent="0.25">
      <c r="B1072" s="11"/>
      <c r="C1072" s="11"/>
      <c r="D1072" s="11"/>
      <c r="E1072" s="11"/>
      <c r="F1072" s="11"/>
      <c r="G1072" s="11"/>
      <c r="H1072" s="11"/>
      <c r="I1072" s="11"/>
      <c r="J1072" s="11"/>
      <c r="K1072" s="11"/>
      <c r="L1072" s="11"/>
    </row>
    <row r="1073" spans="2:12" x14ac:dyDescent="0.25">
      <c r="B1073" s="11"/>
      <c r="C1073" s="11"/>
      <c r="D1073" s="11"/>
      <c r="E1073" s="11"/>
      <c r="F1073" s="11"/>
      <c r="G1073" s="11"/>
      <c r="H1073" s="11"/>
      <c r="I1073" s="11"/>
      <c r="J1073" s="11"/>
      <c r="K1073" s="11"/>
      <c r="L1073" s="11"/>
    </row>
    <row r="1074" spans="2:12" x14ac:dyDescent="0.25">
      <c r="B1074" s="11"/>
      <c r="C1074" s="11"/>
      <c r="D1074" s="11"/>
      <c r="E1074" s="11"/>
      <c r="F1074" s="11"/>
      <c r="G1074" s="11"/>
      <c r="H1074" s="11"/>
      <c r="I1074" s="11"/>
      <c r="J1074" s="11"/>
      <c r="K1074" s="11"/>
      <c r="L1074" s="11"/>
    </row>
    <row r="1075" spans="2:12" x14ac:dyDescent="0.25">
      <c r="B1075" s="11"/>
      <c r="C1075" s="11"/>
      <c r="D1075" s="11"/>
      <c r="E1075" s="11"/>
      <c r="F1075" s="11"/>
      <c r="G1075" s="11"/>
      <c r="H1075" s="11"/>
      <c r="I1075" s="11"/>
      <c r="J1075" s="11"/>
      <c r="K1075" s="11"/>
      <c r="L1075" s="11"/>
    </row>
    <row r="1076" spans="2:12" x14ac:dyDescent="0.25">
      <c r="B1076" s="11"/>
      <c r="C1076" s="11"/>
      <c r="D1076" s="11"/>
      <c r="E1076" s="11"/>
      <c r="F1076" s="11"/>
      <c r="G1076" s="11"/>
      <c r="H1076" s="11"/>
      <c r="I1076" s="11"/>
      <c r="J1076" s="11"/>
      <c r="K1076" s="11"/>
      <c r="L1076" s="11"/>
    </row>
    <row r="1077" spans="2:12" x14ac:dyDescent="0.25">
      <c r="B1077" s="11"/>
      <c r="C1077" s="11"/>
      <c r="D1077" s="11"/>
      <c r="E1077" s="11"/>
      <c r="F1077" s="11"/>
      <c r="G1077" s="11"/>
      <c r="H1077" s="11"/>
      <c r="I1077" s="11"/>
      <c r="J1077" s="11"/>
      <c r="K1077" s="11"/>
      <c r="L1077" s="11"/>
    </row>
    <row r="1078" spans="2:12" x14ac:dyDescent="0.25">
      <c r="B1078" s="11"/>
      <c r="C1078" s="11"/>
      <c r="D1078" s="11"/>
      <c r="E1078" s="11"/>
      <c r="F1078" s="11"/>
      <c r="G1078" s="11"/>
      <c r="H1078" s="11"/>
      <c r="I1078" s="11"/>
      <c r="J1078" s="11"/>
      <c r="K1078" s="11"/>
      <c r="L1078" s="11"/>
    </row>
    <row r="1079" spans="2:12" x14ac:dyDescent="0.25">
      <c r="B1079" s="11"/>
      <c r="C1079" s="11"/>
      <c r="D1079" s="11"/>
      <c r="E1079" s="11"/>
      <c r="F1079" s="11"/>
      <c r="G1079" s="11"/>
      <c r="H1079" s="11"/>
      <c r="I1079" s="11"/>
      <c r="J1079" s="11"/>
      <c r="K1079" s="11"/>
      <c r="L1079" s="11"/>
    </row>
    <row r="1080" spans="2:12" x14ac:dyDescent="0.25">
      <c r="B1080" s="11"/>
      <c r="C1080" s="11"/>
      <c r="D1080" s="11"/>
      <c r="E1080" s="11"/>
      <c r="F1080" s="11"/>
      <c r="G1080" s="11"/>
      <c r="H1080" s="11"/>
      <c r="I1080" s="11"/>
      <c r="J1080" s="11"/>
      <c r="K1080" s="11"/>
      <c r="L1080" s="11"/>
    </row>
    <row r="1081" spans="2:12" x14ac:dyDescent="0.25"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</row>
    <row r="1082" spans="2:12" x14ac:dyDescent="0.25">
      <c r="B1082" s="11"/>
      <c r="C1082" s="11"/>
      <c r="D1082" s="11"/>
      <c r="E1082" s="11"/>
      <c r="F1082" s="11"/>
      <c r="G1082" s="11"/>
      <c r="H1082" s="11"/>
      <c r="I1082" s="11"/>
      <c r="J1082" s="11"/>
      <c r="K1082" s="11"/>
      <c r="L1082" s="11"/>
    </row>
    <row r="1083" spans="2:12" x14ac:dyDescent="0.25">
      <c r="B1083" s="11"/>
      <c r="C1083" s="11"/>
      <c r="D1083" s="11"/>
      <c r="E1083" s="11"/>
      <c r="F1083" s="11"/>
      <c r="G1083" s="11"/>
      <c r="H1083" s="11"/>
      <c r="I1083" s="11"/>
      <c r="J1083" s="11"/>
      <c r="K1083" s="11"/>
      <c r="L1083" s="11"/>
    </row>
    <row r="1084" spans="2:12" x14ac:dyDescent="0.25">
      <c r="B1084" s="11"/>
      <c r="C1084" s="11"/>
      <c r="D1084" s="11"/>
      <c r="E1084" s="11"/>
      <c r="F1084" s="11"/>
      <c r="G1084" s="11"/>
      <c r="H1084" s="11"/>
      <c r="I1084" s="11"/>
      <c r="J1084" s="11"/>
      <c r="K1084" s="11"/>
      <c r="L1084" s="11"/>
    </row>
    <row r="1085" spans="2:12" x14ac:dyDescent="0.25">
      <c r="B1085" s="11"/>
      <c r="C1085" s="11"/>
      <c r="D1085" s="11"/>
      <c r="E1085" s="11"/>
      <c r="F1085" s="11"/>
      <c r="G1085" s="11"/>
      <c r="H1085" s="11"/>
      <c r="I1085" s="11"/>
      <c r="J1085" s="11"/>
      <c r="K1085" s="11"/>
      <c r="L1085" s="11"/>
    </row>
    <row r="1086" spans="2:12" x14ac:dyDescent="0.25">
      <c r="B1086" s="11"/>
      <c r="C1086" s="11"/>
      <c r="D1086" s="11"/>
      <c r="E1086" s="11"/>
      <c r="F1086" s="11"/>
      <c r="G1086" s="11"/>
      <c r="H1086" s="11"/>
      <c r="I1086" s="11"/>
      <c r="J1086" s="11"/>
      <c r="K1086" s="11"/>
      <c r="L1086" s="11"/>
    </row>
    <row r="1087" spans="2:12" x14ac:dyDescent="0.25">
      <c r="B1087" s="11"/>
      <c r="C1087" s="11"/>
      <c r="D1087" s="11"/>
      <c r="E1087" s="11"/>
      <c r="F1087" s="11"/>
      <c r="G1087" s="11"/>
      <c r="H1087" s="11"/>
      <c r="I1087" s="11"/>
      <c r="J1087" s="11"/>
      <c r="K1087" s="11"/>
      <c r="L1087" s="11"/>
    </row>
    <row r="1088" spans="2:12" x14ac:dyDescent="0.25"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</row>
    <row r="1089" spans="2:12" x14ac:dyDescent="0.25"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</row>
    <row r="1090" spans="2:12" x14ac:dyDescent="0.25"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</row>
    <row r="1091" spans="2:12" x14ac:dyDescent="0.25"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</row>
    <row r="1092" spans="2:12" x14ac:dyDescent="0.25"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</row>
    <row r="1093" spans="2:12" x14ac:dyDescent="0.25"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</row>
    <row r="1094" spans="2:12" x14ac:dyDescent="0.25"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</row>
    <row r="1095" spans="2:12" x14ac:dyDescent="0.25"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</row>
    <row r="1096" spans="2:12" x14ac:dyDescent="0.25"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</row>
    <row r="1097" spans="2:12" x14ac:dyDescent="0.25"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</row>
    <row r="1098" spans="2:12" x14ac:dyDescent="0.25"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</row>
    <row r="1099" spans="2:12" x14ac:dyDescent="0.25"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</row>
    <row r="1100" spans="2:12" x14ac:dyDescent="0.25"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</row>
    <row r="1101" spans="2:12" x14ac:dyDescent="0.25"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</row>
    <row r="1102" spans="2:12" x14ac:dyDescent="0.25"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</row>
    <row r="1103" spans="2:12" x14ac:dyDescent="0.25"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</row>
    <row r="1104" spans="2:12" x14ac:dyDescent="0.25"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</row>
    <row r="1105" spans="2:12" x14ac:dyDescent="0.25"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</row>
    <row r="1106" spans="2:12" x14ac:dyDescent="0.25"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</row>
    <row r="1107" spans="2:12" x14ac:dyDescent="0.25"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</row>
    <row r="1108" spans="2:12" x14ac:dyDescent="0.25"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</row>
    <row r="1109" spans="2:12" x14ac:dyDescent="0.25"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</row>
    <row r="1110" spans="2:12" x14ac:dyDescent="0.25"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</row>
    <row r="1111" spans="2:12" x14ac:dyDescent="0.25"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</row>
    <row r="1112" spans="2:12" x14ac:dyDescent="0.25"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</row>
    <row r="1113" spans="2:12" x14ac:dyDescent="0.25"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</row>
    <row r="1114" spans="2:12" x14ac:dyDescent="0.25"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</row>
    <row r="1115" spans="2:12" x14ac:dyDescent="0.25"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</row>
    <row r="1116" spans="2:12" x14ac:dyDescent="0.25"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</row>
    <row r="1117" spans="2:12" x14ac:dyDescent="0.25"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</row>
    <row r="1118" spans="2:12" x14ac:dyDescent="0.25"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</row>
    <row r="1119" spans="2:12" x14ac:dyDescent="0.25"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</row>
    <row r="1120" spans="2:12" x14ac:dyDescent="0.25"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</row>
    <row r="1121" spans="2:12" x14ac:dyDescent="0.25"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</row>
    <row r="1122" spans="2:12" x14ac:dyDescent="0.25"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</row>
    <row r="1123" spans="2:12" x14ac:dyDescent="0.25"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</row>
    <row r="1124" spans="2:12" x14ac:dyDescent="0.25"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</row>
    <row r="1125" spans="2:12" x14ac:dyDescent="0.25"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</row>
    <row r="1126" spans="2:12" x14ac:dyDescent="0.25"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</row>
    <row r="1127" spans="2:12" x14ac:dyDescent="0.25"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</row>
    <row r="1128" spans="2:12" x14ac:dyDescent="0.25"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</row>
    <row r="1129" spans="2:12" x14ac:dyDescent="0.25"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</row>
    <row r="1130" spans="2:12" x14ac:dyDescent="0.25"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</row>
    <row r="1131" spans="2:12" x14ac:dyDescent="0.25"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</row>
    <row r="1132" spans="2:12" x14ac:dyDescent="0.25"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</row>
    <row r="1133" spans="2:12" x14ac:dyDescent="0.25"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</row>
    <row r="1134" spans="2:12" x14ac:dyDescent="0.25"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</row>
    <row r="1135" spans="2:12" x14ac:dyDescent="0.25"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</row>
    <row r="1136" spans="2:12" x14ac:dyDescent="0.25"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</row>
    <row r="1137" spans="2:12" x14ac:dyDescent="0.25"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</row>
    <row r="1138" spans="2:12" x14ac:dyDescent="0.25"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</row>
    <row r="1139" spans="2:12" x14ac:dyDescent="0.25"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</row>
    <row r="1140" spans="2:12" x14ac:dyDescent="0.25"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</row>
    <row r="1141" spans="2:12" x14ac:dyDescent="0.25"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</row>
    <row r="1142" spans="2:12" x14ac:dyDescent="0.25"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</row>
    <row r="1143" spans="2:12" x14ac:dyDescent="0.25"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</row>
    <row r="1144" spans="2:12" x14ac:dyDescent="0.25"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</row>
    <row r="1145" spans="2:12" x14ac:dyDescent="0.25"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</row>
    <row r="1146" spans="2:12" x14ac:dyDescent="0.25"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</row>
    <row r="1147" spans="2:12" x14ac:dyDescent="0.25"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</row>
    <row r="1148" spans="2:12" x14ac:dyDescent="0.25"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</row>
    <row r="1149" spans="2:12" x14ac:dyDescent="0.25"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</row>
    <row r="1150" spans="2:12" x14ac:dyDescent="0.25"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</row>
    <row r="1151" spans="2:12" x14ac:dyDescent="0.25"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</row>
    <row r="1152" spans="2:12" x14ac:dyDescent="0.25"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</row>
    <row r="1153" spans="2:12" x14ac:dyDescent="0.25"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</row>
    <row r="1154" spans="2:12" x14ac:dyDescent="0.25">
      <c r="B1154" s="11"/>
      <c r="C1154" s="11"/>
      <c r="D1154" s="11"/>
      <c r="E1154" s="11"/>
      <c r="F1154" s="11"/>
      <c r="G1154" s="11"/>
      <c r="H1154" s="11"/>
      <c r="I1154" s="11"/>
      <c r="J1154" s="11"/>
      <c r="K1154" s="11"/>
      <c r="L1154" s="11"/>
    </row>
    <row r="1155" spans="2:12" x14ac:dyDescent="0.25"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</row>
    <row r="1156" spans="2:12" x14ac:dyDescent="0.25"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</row>
    <row r="1157" spans="2:12" x14ac:dyDescent="0.25"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</row>
    <row r="1158" spans="2:12" x14ac:dyDescent="0.25"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</row>
    <row r="1159" spans="2:12" x14ac:dyDescent="0.25"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</row>
    <row r="1160" spans="2:12" x14ac:dyDescent="0.25"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</row>
    <row r="1161" spans="2:12" x14ac:dyDescent="0.25"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</row>
    <row r="1162" spans="2:12" x14ac:dyDescent="0.25"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</row>
    <row r="1163" spans="2:12" x14ac:dyDescent="0.25"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</row>
    <row r="1164" spans="2:12" x14ac:dyDescent="0.25"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</row>
    <row r="1165" spans="2:12" x14ac:dyDescent="0.25"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</row>
    <row r="1166" spans="2:12" x14ac:dyDescent="0.25"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</row>
    <row r="1167" spans="2:12" x14ac:dyDescent="0.25"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</row>
    <row r="1168" spans="2:12" x14ac:dyDescent="0.25"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</row>
    <row r="1169" spans="2:12" x14ac:dyDescent="0.25"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</row>
    <row r="1170" spans="2:12" x14ac:dyDescent="0.25"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</row>
    <row r="1171" spans="2:12" x14ac:dyDescent="0.25"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</row>
    <row r="1172" spans="2:12" x14ac:dyDescent="0.25"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</row>
    <row r="1173" spans="2:12" x14ac:dyDescent="0.25"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</row>
    <row r="1174" spans="2:12" x14ac:dyDescent="0.25"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</row>
    <row r="1175" spans="2:12" x14ac:dyDescent="0.25"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</row>
    <row r="1176" spans="2:12" x14ac:dyDescent="0.25"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</row>
    <row r="1177" spans="2:12" x14ac:dyDescent="0.25"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</row>
    <row r="1178" spans="2:12" x14ac:dyDescent="0.25"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</row>
    <row r="1179" spans="2:12" x14ac:dyDescent="0.25"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</row>
    <row r="1180" spans="2:12" x14ac:dyDescent="0.25"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</row>
    <row r="1181" spans="2:12" x14ac:dyDescent="0.25"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</row>
    <row r="1182" spans="2:12" x14ac:dyDescent="0.25"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</row>
    <row r="1183" spans="2:12" x14ac:dyDescent="0.25"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</row>
    <row r="1184" spans="2:12" x14ac:dyDescent="0.25"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</row>
    <row r="1185" spans="2:12" x14ac:dyDescent="0.25"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</row>
    <row r="1186" spans="2:12" x14ac:dyDescent="0.25"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</row>
    <row r="1187" spans="2:12" x14ac:dyDescent="0.25"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</row>
    <row r="1188" spans="2:12" x14ac:dyDescent="0.25"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</row>
    <row r="1189" spans="2:12" x14ac:dyDescent="0.25"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</row>
    <row r="1190" spans="2:12" x14ac:dyDescent="0.25"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</row>
    <row r="1191" spans="2:12" x14ac:dyDescent="0.25"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</row>
    <row r="1192" spans="2:12" x14ac:dyDescent="0.25"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</row>
    <row r="1193" spans="2:12" x14ac:dyDescent="0.25"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</row>
    <row r="1194" spans="2:12" x14ac:dyDescent="0.25"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</row>
    <row r="1195" spans="2:12" x14ac:dyDescent="0.25"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</row>
    <row r="1196" spans="2:12" x14ac:dyDescent="0.25"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</row>
    <row r="1197" spans="2:12" x14ac:dyDescent="0.25"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</row>
    <row r="1198" spans="2:12" x14ac:dyDescent="0.25"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</row>
    <row r="1199" spans="2:12" x14ac:dyDescent="0.25"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</row>
    <row r="1200" spans="2:12" x14ac:dyDescent="0.25"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</row>
    <row r="1201" spans="2:12" x14ac:dyDescent="0.25"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</row>
    <row r="1202" spans="2:12" x14ac:dyDescent="0.25"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</row>
    <row r="1203" spans="2:12" x14ac:dyDescent="0.25"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</row>
    <row r="1204" spans="2:12" x14ac:dyDescent="0.25"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</row>
    <row r="1205" spans="2:12" x14ac:dyDescent="0.25"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</row>
    <row r="1206" spans="2:12" x14ac:dyDescent="0.25"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</row>
    <row r="1207" spans="2:12" x14ac:dyDescent="0.25"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</row>
    <row r="1208" spans="2:12" x14ac:dyDescent="0.25"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</row>
    <row r="1209" spans="2:12" x14ac:dyDescent="0.25"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</row>
    <row r="1210" spans="2:12" x14ac:dyDescent="0.25"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</row>
    <row r="1211" spans="2:12" x14ac:dyDescent="0.25"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</row>
    <row r="1212" spans="2:12" x14ac:dyDescent="0.25"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</row>
    <row r="1213" spans="2:12" x14ac:dyDescent="0.25"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</row>
    <row r="1214" spans="2:12" x14ac:dyDescent="0.25"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</row>
    <row r="1215" spans="2:12" x14ac:dyDescent="0.25"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</row>
    <row r="1216" spans="2:12" x14ac:dyDescent="0.25"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</row>
    <row r="1217" spans="2:12" x14ac:dyDescent="0.25"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</row>
    <row r="1218" spans="2:12" x14ac:dyDescent="0.25"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</row>
    <row r="1219" spans="2:12" x14ac:dyDescent="0.25"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</row>
    <row r="1220" spans="2:12" x14ac:dyDescent="0.25"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</row>
    <row r="1221" spans="2:12" x14ac:dyDescent="0.25"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</row>
    <row r="1222" spans="2:12" x14ac:dyDescent="0.25"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</row>
    <row r="1223" spans="2:12" x14ac:dyDescent="0.25"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</row>
    <row r="1224" spans="2:12" x14ac:dyDescent="0.25"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</row>
    <row r="1225" spans="2:12" x14ac:dyDescent="0.25"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</row>
    <row r="1226" spans="2:12" x14ac:dyDescent="0.25"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</row>
    <row r="1227" spans="2:12" x14ac:dyDescent="0.25"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</row>
    <row r="1228" spans="2:12" x14ac:dyDescent="0.25"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</row>
    <row r="1229" spans="2:12" x14ac:dyDescent="0.25"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</row>
    <row r="1230" spans="2:12" x14ac:dyDescent="0.25"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</row>
    <row r="1231" spans="2:12" x14ac:dyDescent="0.25"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</row>
    <row r="1232" spans="2:12" x14ac:dyDescent="0.25"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</row>
    <row r="1233" spans="2:12" x14ac:dyDescent="0.25"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</row>
    <row r="1234" spans="2:12" x14ac:dyDescent="0.25"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</row>
    <row r="1235" spans="2:12" x14ac:dyDescent="0.25"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</row>
    <row r="1236" spans="2:12" x14ac:dyDescent="0.25"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</row>
    <row r="1237" spans="2:12" x14ac:dyDescent="0.25"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</row>
    <row r="1238" spans="2:12" x14ac:dyDescent="0.25"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</row>
    <row r="1239" spans="2:12" x14ac:dyDescent="0.25"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</row>
    <row r="1240" spans="2:12" x14ac:dyDescent="0.25"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</row>
    <row r="1241" spans="2:12" x14ac:dyDescent="0.25"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</row>
    <row r="1242" spans="2:12" x14ac:dyDescent="0.25"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</row>
    <row r="1243" spans="2:12" x14ac:dyDescent="0.25"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</row>
    <row r="1244" spans="2:12" x14ac:dyDescent="0.25"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</row>
    <row r="1245" spans="2:12" x14ac:dyDescent="0.25"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</row>
    <row r="1246" spans="2:12" x14ac:dyDescent="0.25"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</row>
    <row r="1247" spans="2:12" x14ac:dyDescent="0.25"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</row>
    <row r="1248" spans="2:12" x14ac:dyDescent="0.25"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</row>
    <row r="1249" spans="2:12" x14ac:dyDescent="0.25"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</row>
    <row r="1250" spans="2:12" x14ac:dyDescent="0.25"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</row>
    <row r="1251" spans="2:12" x14ac:dyDescent="0.25"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</row>
    <row r="1252" spans="2:12" x14ac:dyDescent="0.25"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</row>
    <row r="1253" spans="2:12" x14ac:dyDescent="0.25"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</row>
    <row r="1254" spans="2:12" x14ac:dyDescent="0.25"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</row>
    <row r="1255" spans="2:12" x14ac:dyDescent="0.25"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</row>
    <row r="1256" spans="2:12" x14ac:dyDescent="0.25"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</row>
    <row r="1257" spans="2:12" x14ac:dyDescent="0.25"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</row>
    <row r="1258" spans="2:12" x14ac:dyDescent="0.25"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</row>
    <row r="1259" spans="2:12" x14ac:dyDescent="0.25"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</row>
    <row r="1260" spans="2:12" x14ac:dyDescent="0.25">
      <c r="B1260" s="11"/>
      <c r="C1260" s="11"/>
      <c r="D1260" s="11"/>
      <c r="E1260" s="11"/>
      <c r="F1260" s="11"/>
      <c r="G1260" s="11"/>
      <c r="H1260" s="11"/>
      <c r="I1260" s="11"/>
      <c r="J1260" s="11"/>
      <c r="K1260" s="11"/>
      <c r="L1260" s="11"/>
    </row>
    <row r="1261" spans="2:12" x14ac:dyDescent="0.25"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</row>
    <row r="1262" spans="2:12" x14ac:dyDescent="0.25"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</row>
    <row r="1263" spans="2:12" x14ac:dyDescent="0.25"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</row>
    <row r="1264" spans="2:12" x14ac:dyDescent="0.25"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</row>
    <row r="1265" spans="2:12" x14ac:dyDescent="0.25"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</row>
    <row r="1266" spans="2:12" x14ac:dyDescent="0.25"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</row>
    <row r="1267" spans="2:12" x14ac:dyDescent="0.25"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</row>
    <row r="1268" spans="2:12" x14ac:dyDescent="0.25"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</row>
    <row r="1269" spans="2:12" x14ac:dyDescent="0.25"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</row>
    <row r="1270" spans="2:12" x14ac:dyDescent="0.25"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</row>
    <row r="1271" spans="2:12" x14ac:dyDescent="0.25"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</row>
    <row r="1272" spans="2:12" x14ac:dyDescent="0.25"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</row>
    <row r="1273" spans="2:12" x14ac:dyDescent="0.25"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</row>
    <row r="1274" spans="2:12" x14ac:dyDescent="0.25"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</row>
    <row r="1275" spans="2:12" x14ac:dyDescent="0.25"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</row>
    <row r="1276" spans="2:12" x14ac:dyDescent="0.25"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</row>
    <row r="1277" spans="2:12" x14ac:dyDescent="0.25"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</row>
    <row r="1278" spans="2:12" x14ac:dyDescent="0.25"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</row>
    <row r="1279" spans="2:12" x14ac:dyDescent="0.25"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</row>
    <row r="1280" spans="2:12" x14ac:dyDescent="0.25"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GaussCurveBuild">
    <tabColor theme="0" tint="-0.499984740745262"/>
  </sheetPr>
  <dimension ref="A1:H4"/>
  <sheetViews>
    <sheetView showGridLines="0" workbookViewId="0">
      <selection activeCell="A2" sqref="A2:B2"/>
    </sheetView>
  </sheetViews>
  <sheetFormatPr defaultColWidth="11.5703125" defaultRowHeight="15" x14ac:dyDescent="0.25"/>
  <cols>
    <col min="1" max="1" width="11.28515625" customWidth="1"/>
    <col min="2" max="2" width="18" bestFit="1" customWidth="1"/>
    <col min="3" max="3" width="11.28515625" customWidth="1"/>
    <col min="6" max="6" width="2.7109375" customWidth="1"/>
    <col min="7" max="8" width="15.7109375" style="169" customWidth="1"/>
    <col min="9" max="9" width="2.7109375" customWidth="1"/>
  </cols>
  <sheetData>
    <row r="1" spans="1:5" x14ac:dyDescent="0.25">
      <c r="A1" s="17" t="s">
        <v>49</v>
      </c>
      <c r="B1" s="3" t="s">
        <v>50</v>
      </c>
      <c r="C1" s="4"/>
    </row>
    <row r="2" spans="1:5" x14ac:dyDescent="0.25">
      <c r="A2" s="22"/>
      <c r="B2" s="22"/>
    </row>
    <row r="3" spans="1:5" x14ac:dyDescent="0.25">
      <c r="A3" s="17" t="s">
        <v>51</v>
      </c>
      <c r="B3" s="179" t="s">
        <v>44</v>
      </c>
      <c r="C3" s="180" t="s">
        <v>52</v>
      </c>
    </row>
    <row r="4" spans="1:5" x14ac:dyDescent="0.25">
      <c r="A4" s="198"/>
      <c r="B4" s="23"/>
      <c r="C4" s="181"/>
      <c r="E4" s="24"/>
    </row>
  </sheetData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EquityDataValue">
    <tabColor theme="0" tint="-0.499984740745262"/>
  </sheetPr>
  <dimension ref="B2:BE1298"/>
  <sheetViews>
    <sheetView showGridLines="0" workbookViewId="0">
      <selection sqref="A1:XFD1048576"/>
    </sheetView>
  </sheetViews>
  <sheetFormatPr defaultColWidth="9.140625" defaultRowHeight="15" x14ac:dyDescent="0.25"/>
  <cols>
    <col min="1" max="1" width="2.7109375" customWidth="1"/>
    <col min="2" max="2" width="10.7109375" bestFit="1" customWidth="1"/>
    <col min="3" max="3" width="13.5703125" bestFit="1" customWidth="1"/>
    <col min="4" max="4" width="13.5703125" customWidth="1"/>
    <col min="6" max="6" width="10.7109375" bestFit="1" customWidth="1"/>
    <col min="7" max="7" width="13.5703125" bestFit="1" customWidth="1"/>
    <col min="8" max="8" width="13.5703125" customWidth="1"/>
    <col min="10" max="10" width="10.7109375" bestFit="1" customWidth="1"/>
    <col min="11" max="11" width="13.5703125" bestFit="1" customWidth="1"/>
    <col min="12" max="12" width="13.5703125" customWidth="1"/>
    <col min="14" max="14" width="10.7109375" bestFit="1" customWidth="1"/>
    <col min="15" max="15" width="13.5703125" bestFit="1" customWidth="1"/>
    <col min="16" max="16" width="13.5703125" customWidth="1"/>
    <col min="18" max="18" width="10.7109375" bestFit="1" customWidth="1"/>
    <col min="19" max="19" width="13.5703125" bestFit="1" customWidth="1"/>
    <col min="20" max="20" width="13.5703125" customWidth="1"/>
    <col min="22" max="22" width="10.7109375" bestFit="1" customWidth="1"/>
    <col min="23" max="23" width="13.5703125" bestFit="1" customWidth="1"/>
    <col min="24" max="24" width="13.5703125" customWidth="1"/>
    <col min="26" max="26" width="10.7109375" bestFit="1" customWidth="1"/>
    <col min="27" max="27" width="13.5703125" bestFit="1" customWidth="1"/>
    <col min="28" max="28" width="13.5703125" customWidth="1"/>
    <col min="30" max="30" width="10.7109375" bestFit="1" customWidth="1"/>
    <col min="31" max="31" width="13.5703125" bestFit="1" customWidth="1"/>
    <col min="32" max="32" width="13.5703125" customWidth="1"/>
    <col min="34" max="34" width="10.7109375" bestFit="1" customWidth="1"/>
    <col min="35" max="35" width="13.5703125" bestFit="1" customWidth="1"/>
    <col min="36" max="36" width="13.5703125" customWidth="1"/>
    <col min="38" max="38" width="10.7109375" bestFit="1" customWidth="1"/>
    <col min="39" max="39" width="13.5703125" bestFit="1" customWidth="1"/>
    <col min="40" max="40" width="13.5703125" customWidth="1"/>
    <col min="42" max="42" width="10.7109375" bestFit="1" customWidth="1"/>
    <col min="43" max="43" width="13.5703125" bestFit="1" customWidth="1"/>
    <col min="44" max="44" width="13.5703125" customWidth="1"/>
    <col min="46" max="46" width="10.5703125" bestFit="1" customWidth="1"/>
    <col min="47" max="47" width="15" bestFit="1" customWidth="1"/>
    <col min="50" max="50" width="10.5703125" bestFit="1" customWidth="1"/>
  </cols>
  <sheetData>
    <row r="2" spans="2:57" x14ac:dyDescent="0.25">
      <c r="C2" s="16"/>
      <c r="D2" s="16"/>
      <c r="G2" s="16"/>
      <c r="H2" s="16"/>
      <c r="K2" s="16"/>
      <c r="L2" s="16"/>
      <c r="O2" s="16"/>
      <c r="P2" s="16"/>
      <c r="S2" s="16"/>
      <c r="T2" s="16"/>
      <c r="W2" s="16"/>
      <c r="X2" s="16"/>
      <c r="AA2" s="16"/>
      <c r="AB2" s="16"/>
      <c r="AE2" s="16"/>
      <c r="AF2" s="16"/>
      <c r="AI2" s="16"/>
      <c r="AJ2" s="16"/>
      <c r="AM2" s="16"/>
      <c r="AN2" s="16"/>
      <c r="AQ2" s="16"/>
      <c r="AR2" s="16"/>
      <c r="AU2" s="16"/>
      <c r="AV2" s="16"/>
      <c r="AY2" s="16"/>
      <c r="AZ2" s="16"/>
      <c r="BC2" s="16"/>
      <c r="BD2" s="16"/>
    </row>
    <row r="3" spans="2:57" x14ac:dyDescent="0.25">
      <c r="C3" s="16"/>
      <c r="D3" s="16"/>
      <c r="G3" s="16"/>
      <c r="H3" s="16"/>
      <c r="K3" s="16"/>
      <c r="L3" s="16"/>
      <c r="O3" s="16"/>
      <c r="P3" s="16"/>
      <c r="S3" s="16"/>
      <c r="T3" s="16"/>
      <c r="W3" s="16"/>
      <c r="X3" s="16"/>
      <c r="AA3" s="16"/>
      <c r="AB3" s="16"/>
      <c r="AE3" s="16"/>
      <c r="AF3" s="16"/>
      <c r="AI3" s="16"/>
      <c r="AJ3" s="16"/>
      <c r="AM3" s="16"/>
      <c r="AN3" s="16"/>
      <c r="AQ3" s="16"/>
      <c r="AR3" s="16"/>
      <c r="AU3" s="16"/>
      <c r="AV3" s="16"/>
      <c r="AY3" s="16"/>
      <c r="AZ3" s="16"/>
      <c r="BC3" s="16"/>
      <c r="BD3" s="16"/>
    </row>
    <row r="9" spans="2:57" s="10" customFormat="1" x14ac:dyDescent="0.25"/>
    <row r="10" spans="2:57" x14ac:dyDescent="0.25">
      <c r="B10" s="16"/>
      <c r="F10" s="16"/>
      <c r="J10" s="16"/>
      <c r="N10" s="16"/>
      <c r="R10" s="16"/>
      <c r="V10" s="16"/>
      <c r="Z10" s="16"/>
      <c r="AD10" s="16"/>
      <c r="AH10" s="16"/>
      <c r="AL10" s="16"/>
      <c r="AP10" s="16"/>
      <c r="AT10" s="16"/>
      <c r="AW10" s="16"/>
      <c r="AX10" s="16"/>
      <c r="BB10" s="16"/>
      <c r="BE10" s="16"/>
    </row>
    <row r="11" spans="2:57" x14ac:dyDescent="0.25">
      <c r="B11" s="16"/>
      <c r="F11" s="16"/>
      <c r="J11" s="16"/>
      <c r="N11" s="16"/>
      <c r="R11" s="16"/>
      <c r="V11" s="16"/>
      <c r="Z11" s="16"/>
      <c r="AD11" s="16"/>
      <c r="AH11" s="16"/>
      <c r="AL11" s="16"/>
      <c r="AP11" s="16"/>
      <c r="AT11" s="16"/>
      <c r="AX11" s="16"/>
    </row>
    <row r="12" spans="2:57" x14ac:dyDescent="0.25">
      <c r="B12" s="16"/>
      <c r="F12" s="16"/>
      <c r="J12" s="16"/>
      <c r="N12" s="16"/>
      <c r="R12" s="16"/>
      <c r="V12" s="16"/>
      <c r="Z12" s="16"/>
      <c r="AD12" s="16"/>
      <c r="AH12" s="16"/>
      <c r="AL12" s="16"/>
      <c r="AP12" s="16"/>
      <c r="AT12" s="16"/>
      <c r="AX12" s="16"/>
    </row>
    <row r="13" spans="2:57" x14ac:dyDescent="0.25">
      <c r="B13" s="16"/>
      <c r="F13" s="16"/>
      <c r="J13" s="16"/>
      <c r="N13" s="16"/>
      <c r="R13" s="16"/>
      <c r="V13" s="16"/>
      <c r="Z13" s="16"/>
      <c r="AD13" s="16"/>
      <c r="AH13" s="16"/>
      <c r="AL13" s="16"/>
      <c r="AP13" s="16"/>
      <c r="AT13" s="16"/>
      <c r="AX13" s="16"/>
    </row>
    <row r="14" spans="2:57" x14ac:dyDescent="0.25">
      <c r="B14" s="16"/>
      <c r="F14" s="16"/>
      <c r="J14" s="16"/>
      <c r="N14" s="16"/>
      <c r="R14" s="16"/>
      <c r="V14" s="16"/>
      <c r="Z14" s="16"/>
      <c r="AD14" s="16"/>
      <c r="AH14" s="16"/>
      <c r="AL14" s="16"/>
      <c r="AP14" s="16"/>
      <c r="AT14" s="16"/>
      <c r="AX14" s="16"/>
    </row>
    <row r="15" spans="2:57" x14ac:dyDescent="0.25">
      <c r="B15" s="16"/>
      <c r="F15" s="16"/>
      <c r="J15" s="16"/>
      <c r="N15" s="16"/>
      <c r="R15" s="16"/>
      <c r="V15" s="16"/>
      <c r="Z15" s="16"/>
      <c r="AD15" s="16"/>
      <c r="AH15" s="16"/>
      <c r="AL15" s="16"/>
      <c r="AP15" s="16"/>
      <c r="AT15" s="16"/>
      <c r="AX15" s="16"/>
    </row>
    <row r="16" spans="2:57" x14ac:dyDescent="0.25">
      <c r="B16" s="16"/>
      <c r="F16" s="16"/>
      <c r="J16" s="16"/>
      <c r="N16" s="16"/>
      <c r="R16" s="16"/>
      <c r="V16" s="16"/>
      <c r="Z16" s="16"/>
      <c r="AD16" s="16"/>
      <c r="AH16" s="16"/>
      <c r="AL16" s="16"/>
      <c r="AP16" s="16"/>
      <c r="AT16" s="16"/>
      <c r="AX16" s="16"/>
    </row>
    <row r="17" spans="2:50" x14ac:dyDescent="0.25">
      <c r="B17" s="16"/>
      <c r="F17" s="16"/>
      <c r="J17" s="16"/>
      <c r="N17" s="16"/>
      <c r="R17" s="16"/>
      <c r="V17" s="16"/>
      <c r="Z17" s="16"/>
      <c r="AD17" s="16"/>
      <c r="AH17" s="16"/>
      <c r="AL17" s="16"/>
      <c r="AP17" s="16"/>
      <c r="AT17" s="16"/>
      <c r="AX17" s="16"/>
    </row>
    <row r="18" spans="2:50" x14ac:dyDescent="0.25">
      <c r="B18" s="16"/>
      <c r="F18" s="16"/>
      <c r="J18" s="16"/>
      <c r="N18" s="16"/>
      <c r="R18" s="16"/>
      <c r="V18" s="16"/>
      <c r="Z18" s="16"/>
      <c r="AD18" s="16"/>
      <c r="AH18" s="16"/>
      <c r="AL18" s="16"/>
      <c r="AP18" s="16"/>
      <c r="AT18" s="16"/>
      <c r="AX18" s="16"/>
    </row>
    <row r="19" spans="2:50" x14ac:dyDescent="0.25">
      <c r="B19" s="16"/>
      <c r="F19" s="16"/>
      <c r="J19" s="16"/>
      <c r="N19" s="16"/>
      <c r="R19" s="16"/>
      <c r="V19" s="16"/>
      <c r="Z19" s="16"/>
      <c r="AD19" s="16"/>
      <c r="AH19" s="16"/>
      <c r="AL19" s="16"/>
      <c r="AP19" s="16"/>
      <c r="AT19" s="16"/>
      <c r="AX19" s="16"/>
    </row>
    <row r="20" spans="2:50" x14ac:dyDescent="0.25">
      <c r="B20" s="16"/>
      <c r="F20" s="16"/>
      <c r="J20" s="16"/>
      <c r="N20" s="16"/>
      <c r="R20" s="16"/>
      <c r="V20" s="16"/>
      <c r="Z20" s="16"/>
      <c r="AD20" s="16"/>
      <c r="AH20" s="16"/>
      <c r="AL20" s="16"/>
      <c r="AP20" s="16"/>
      <c r="AT20" s="16"/>
      <c r="AX20" s="16"/>
    </row>
    <row r="21" spans="2:50" x14ac:dyDescent="0.25">
      <c r="B21" s="16"/>
      <c r="F21" s="16"/>
      <c r="J21" s="16"/>
      <c r="N21" s="16"/>
      <c r="R21" s="16"/>
      <c r="V21" s="16"/>
      <c r="Z21" s="16"/>
      <c r="AD21" s="16"/>
      <c r="AH21" s="16"/>
      <c r="AL21" s="16"/>
      <c r="AP21" s="16"/>
      <c r="AT21" s="16"/>
      <c r="AX21" s="16"/>
    </row>
    <row r="22" spans="2:50" x14ac:dyDescent="0.25">
      <c r="B22" s="16"/>
      <c r="F22" s="16"/>
      <c r="J22" s="16"/>
      <c r="N22" s="16"/>
      <c r="R22" s="16"/>
      <c r="V22" s="16"/>
      <c r="Z22" s="16"/>
      <c r="AD22" s="16"/>
      <c r="AH22" s="16"/>
      <c r="AL22" s="16"/>
      <c r="AP22" s="16"/>
      <c r="AT22" s="16"/>
      <c r="AX22" s="16"/>
    </row>
    <row r="23" spans="2:50" x14ac:dyDescent="0.25">
      <c r="B23" s="16"/>
      <c r="F23" s="16"/>
      <c r="J23" s="16"/>
      <c r="N23" s="16"/>
      <c r="R23" s="16"/>
      <c r="V23" s="16"/>
      <c r="Z23" s="16"/>
      <c r="AD23" s="16"/>
      <c r="AH23" s="16"/>
      <c r="AL23" s="16"/>
      <c r="AP23" s="16"/>
      <c r="AT23" s="16"/>
      <c r="AX23" s="16"/>
    </row>
    <row r="24" spans="2:50" x14ac:dyDescent="0.25">
      <c r="B24" s="16"/>
      <c r="F24" s="16"/>
      <c r="J24" s="16"/>
      <c r="N24" s="16"/>
      <c r="R24" s="16"/>
      <c r="V24" s="16"/>
      <c r="Z24" s="16"/>
      <c r="AD24" s="16"/>
      <c r="AH24" s="16"/>
      <c r="AL24" s="16"/>
      <c r="AP24" s="16"/>
      <c r="AT24" s="16"/>
      <c r="AX24" s="16"/>
    </row>
    <row r="25" spans="2:50" x14ac:dyDescent="0.25">
      <c r="B25" s="16"/>
      <c r="F25" s="16"/>
      <c r="J25" s="16"/>
      <c r="N25" s="16"/>
      <c r="R25" s="16"/>
      <c r="V25" s="16"/>
      <c r="Z25" s="16"/>
      <c r="AD25" s="16"/>
      <c r="AH25" s="16"/>
      <c r="AL25" s="16"/>
      <c r="AP25" s="16"/>
      <c r="AT25" s="16"/>
      <c r="AX25" s="16"/>
    </row>
    <row r="26" spans="2:50" x14ac:dyDescent="0.25">
      <c r="B26" s="16"/>
      <c r="F26" s="16"/>
      <c r="J26" s="16"/>
      <c r="N26" s="16"/>
      <c r="R26" s="16"/>
      <c r="V26" s="16"/>
      <c r="Z26" s="16"/>
      <c r="AD26" s="16"/>
      <c r="AH26" s="16"/>
      <c r="AL26" s="16"/>
      <c r="AP26" s="16"/>
      <c r="AT26" s="16"/>
      <c r="AX26" s="16"/>
    </row>
    <row r="27" spans="2:50" x14ac:dyDescent="0.25">
      <c r="B27" s="16"/>
      <c r="F27" s="16"/>
      <c r="J27" s="16"/>
      <c r="N27" s="16"/>
      <c r="R27" s="16"/>
      <c r="V27" s="16"/>
      <c r="Z27" s="16"/>
      <c r="AD27" s="16"/>
      <c r="AH27" s="16"/>
      <c r="AL27" s="16"/>
      <c r="AP27" s="16"/>
      <c r="AT27" s="16"/>
      <c r="AX27" s="16"/>
    </row>
    <row r="28" spans="2:50" x14ac:dyDescent="0.25">
      <c r="B28" s="16"/>
      <c r="F28" s="16"/>
      <c r="J28" s="16"/>
      <c r="N28" s="16"/>
      <c r="R28" s="16"/>
      <c r="V28" s="16"/>
      <c r="Z28" s="16"/>
      <c r="AD28" s="16"/>
      <c r="AH28" s="16"/>
      <c r="AL28" s="16"/>
      <c r="AP28" s="16"/>
      <c r="AT28" s="16"/>
      <c r="AX28" s="16"/>
    </row>
    <row r="29" spans="2:50" x14ac:dyDescent="0.25">
      <c r="B29" s="16"/>
      <c r="F29" s="16"/>
      <c r="J29" s="16"/>
      <c r="N29" s="16"/>
      <c r="R29" s="16"/>
      <c r="V29" s="16"/>
      <c r="Z29" s="16"/>
      <c r="AD29" s="16"/>
      <c r="AH29" s="16"/>
      <c r="AL29" s="16"/>
      <c r="AP29" s="16"/>
      <c r="AT29" s="16"/>
      <c r="AX29" s="16"/>
    </row>
    <row r="30" spans="2:50" x14ac:dyDescent="0.25">
      <c r="B30" s="16"/>
      <c r="F30" s="16"/>
      <c r="J30" s="16"/>
      <c r="N30" s="16"/>
      <c r="R30" s="16"/>
      <c r="V30" s="16"/>
      <c r="Z30" s="16"/>
      <c r="AD30" s="16"/>
      <c r="AH30" s="16"/>
      <c r="AL30" s="16"/>
      <c r="AP30" s="16"/>
      <c r="AT30" s="16"/>
      <c r="AX30" s="16"/>
    </row>
    <row r="31" spans="2:50" x14ac:dyDescent="0.25">
      <c r="B31" s="16"/>
      <c r="F31" s="16"/>
      <c r="J31" s="16"/>
      <c r="N31" s="16"/>
      <c r="R31" s="16"/>
      <c r="V31" s="16"/>
      <c r="Z31" s="16"/>
      <c r="AD31" s="16"/>
      <c r="AH31" s="16"/>
      <c r="AL31" s="16"/>
      <c r="AP31" s="16"/>
      <c r="AT31" s="16"/>
      <c r="AX31" s="16"/>
    </row>
    <row r="32" spans="2:50" x14ac:dyDescent="0.25">
      <c r="B32" s="16"/>
      <c r="F32" s="16"/>
      <c r="J32" s="16"/>
      <c r="N32" s="16"/>
      <c r="R32" s="16"/>
      <c r="V32" s="16"/>
      <c r="Z32" s="16"/>
      <c r="AD32" s="16"/>
      <c r="AH32" s="16"/>
      <c r="AL32" s="16"/>
      <c r="AP32" s="16"/>
      <c r="AT32" s="16"/>
      <c r="AX32" s="16"/>
    </row>
    <row r="33" spans="2:50" x14ac:dyDescent="0.25">
      <c r="B33" s="16"/>
      <c r="F33" s="16"/>
      <c r="J33" s="16"/>
      <c r="N33" s="16"/>
      <c r="R33" s="16"/>
      <c r="V33" s="16"/>
      <c r="Z33" s="16"/>
      <c r="AD33" s="16"/>
      <c r="AH33" s="16"/>
      <c r="AL33" s="16"/>
      <c r="AP33" s="16"/>
      <c r="AT33" s="16"/>
      <c r="AX33" s="16"/>
    </row>
    <row r="34" spans="2:50" x14ac:dyDescent="0.25">
      <c r="B34" s="16"/>
      <c r="F34" s="16"/>
      <c r="J34" s="16"/>
      <c r="N34" s="16"/>
      <c r="R34" s="16"/>
      <c r="V34" s="16"/>
      <c r="Z34" s="16"/>
      <c r="AD34" s="16"/>
      <c r="AH34" s="16"/>
      <c r="AL34" s="16"/>
      <c r="AP34" s="16"/>
      <c r="AT34" s="16"/>
      <c r="AX34" s="16"/>
    </row>
    <row r="35" spans="2:50" x14ac:dyDescent="0.25">
      <c r="B35" s="16"/>
      <c r="F35" s="16"/>
      <c r="J35" s="16"/>
      <c r="N35" s="16"/>
      <c r="R35" s="16"/>
      <c r="V35" s="16"/>
      <c r="Z35" s="16"/>
      <c r="AD35" s="16"/>
      <c r="AH35" s="16"/>
      <c r="AL35" s="16"/>
      <c r="AP35" s="16"/>
      <c r="AT35" s="16"/>
      <c r="AX35" s="16"/>
    </row>
    <row r="36" spans="2:50" x14ac:dyDescent="0.25">
      <c r="B36" s="16"/>
      <c r="F36" s="16"/>
      <c r="J36" s="16"/>
      <c r="N36" s="16"/>
      <c r="R36" s="16"/>
      <c r="V36" s="16"/>
      <c r="Z36" s="16"/>
      <c r="AD36" s="16"/>
      <c r="AH36" s="16"/>
      <c r="AL36" s="16"/>
      <c r="AP36" s="16"/>
      <c r="AT36" s="16"/>
      <c r="AX36" s="16"/>
    </row>
    <row r="37" spans="2:50" x14ac:dyDescent="0.25">
      <c r="B37" s="16"/>
      <c r="F37" s="16"/>
      <c r="J37" s="16"/>
      <c r="N37" s="16"/>
      <c r="R37" s="16"/>
      <c r="V37" s="16"/>
      <c r="Z37" s="16"/>
      <c r="AD37" s="16"/>
      <c r="AH37" s="16"/>
      <c r="AL37" s="16"/>
      <c r="AP37" s="16"/>
      <c r="AT37" s="16"/>
      <c r="AX37" s="16"/>
    </row>
    <row r="38" spans="2:50" x14ac:dyDescent="0.25">
      <c r="B38" s="16"/>
      <c r="F38" s="16"/>
      <c r="J38" s="16"/>
      <c r="N38" s="16"/>
      <c r="R38" s="16"/>
      <c r="V38" s="16"/>
      <c r="Z38" s="16"/>
      <c r="AD38" s="16"/>
      <c r="AH38" s="16"/>
      <c r="AL38" s="16"/>
      <c r="AP38" s="16"/>
      <c r="AT38" s="16"/>
      <c r="AX38" s="16"/>
    </row>
    <row r="39" spans="2:50" x14ac:dyDescent="0.25">
      <c r="B39" s="16"/>
      <c r="F39" s="16"/>
      <c r="J39" s="16"/>
      <c r="N39" s="16"/>
      <c r="R39" s="16"/>
      <c r="V39" s="16"/>
      <c r="Z39" s="16"/>
      <c r="AD39" s="16"/>
      <c r="AH39" s="16"/>
      <c r="AL39" s="16"/>
      <c r="AP39" s="16"/>
      <c r="AT39" s="16"/>
      <c r="AX39" s="16"/>
    </row>
    <row r="40" spans="2:50" x14ac:dyDescent="0.25">
      <c r="B40" s="16"/>
      <c r="F40" s="16"/>
      <c r="J40" s="16"/>
      <c r="N40" s="16"/>
      <c r="R40" s="16"/>
      <c r="V40" s="16"/>
      <c r="Z40" s="16"/>
      <c r="AD40" s="16"/>
      <c r="AH40" s="16"/>
      <c r="AL40" s="16"/>
      <c r="AP40" s="16"/>
      <c r="AT40" s="16"/>
      <c r="AX40" s="16"/>
    </row>
    <row r="41" spans="2:50" x14ac:dyDescent="0.25">
      <c r="B41" s="16"/>
      <c r="F41" s="16"/>
      <c r="J41" s="16"/>
      <c r="N41" s="16"/>
      <c r="R41" s="16"/>
      <c r="V41" s="16"/>
      <c r="Z41" s="16"/>
      <c r="AD41" s="16"/>
      <c r="AH41" s="16"/>
      <c r="AL41" s="16"/>
      <c r="AP41" s="16"/>
      <c r="AT41" s="16"/>
      <c r="AX41" s="16"/>
    </row>
    <row r="42" spans="2:50" x14ac:dyDescent="0.25">
      <c r="B42" s="16"/>
      <c r="F42" s="16"/>
      <c r="J42" s="16"/>
      <c r="N42" s="16"/>
      <c r="R42" s="16"/>
      <c r="V42" s="16"/>
      <c r="Z42" s="16"/>
      <c r="AD42" s="16"/>
      <c r="AH42" s="16"/>
      <c r="AL42" s="16"/>
      <c r="AP42" s="16"/>
      <c r="AT42" s="16"/>
      <c r="AX42" s="16"/>
    </row>
    <row r="43" spans="2:50" x14ac:dyDescent="0.25">
      <c r="B43" s="16"/>
      <c r="F43" s="16"/>
      <c r="J43" s="16"/>
      <c r="N43" s="16"/>
      <c r="R43" s="16"/>
      <c r="V43" s="16"/>
      <c r="Z43" s="16"/>
      <c r="AD43" s="16"/>
      <c r="AH43" s="16"/>
      <c r="AL43" s="16"/>
      <c r="AP43" s="16"/>
      <c r="AT43" s="16"/>
      <c r="AX43" s="16"/>
    </row>
    <row r="44" spans="2:50" x14ac:dyDescent="0.25">
      <c r="B44" s="16"/>
      <c r="F44" s="16"/>
      <c r="J44" s="16"/>
      <c r="N44" s="16"/>
      <c r="R44" s="16"/>
      <c r="V44" s="16"/>
      <c r="Z44" s="16"/>
      <c r="AD44" s="16"/>
      <c r="AH44" s="16"/>
      <c r="AL44" s="16"/>
      <c r="AP44" s="16"/>
      <c r="AT44" s="16"/>
      <c r="AX44" s="16"/>
    </row>
    <row r="45" spans="2:50" x14ac:dyDescent="0.25">
      <c r="B45" s="16"/>
      <c r="F45" s="16"/>
      <c r="J45" s="16"/>
      <c r="N45" s="16"/>
      <c r="R45" s="16"/>
      <c r="V45" s="16"/>
      <c r="Z45" s="16"/>
      <c r="AD45" s="16"/>
      <c r="AH45" s="16"/>
      <c r="AL45" s="16"/>
      <c r="AP45" s="16"/>
      <c r="AT45" s="16"/>
      <c r="AX45" s="16"/>
    </row>
    <row r="46" spans="2:50" x14ac:dyDescent="0.25">
      <c r="B46" s="16"/>
      <c r="F46" s="16"/>
      <c r="J46" s="16"/>
      <c r="N46" s="16"/>
      <c r="R46" s="16"/>
      <c r="V46" s="16"/>
      <c r="Z46" s="16"/>
      <c r="AD46" s="16"/>
      <c r="AH46" s="16"/>
      <c r="AL46" s="16"/>
      <c r="AP46" s="16"/>
      <c r="AT46" s="16"/>
      <c r="AX46" s="16"/>
    </row>
    <row r="47" spans="2:50" x14ac:dyDescent="0.25">
      <c r="B47" s="16"/>
      <c r="F47" s="16"/>
      <c r="J47" s="16"/>
      <c r="N47" s="16"/>
      <c r="R47" s="16"/>
      <c r="V47" s="16"/>
      <c r="Z47" s="16"/>
      <c r="AD47" s="16"/>
      <c r="AH47" s="16"/>
      <c r="AL47" s="16"/>
      <c r="AP47" s="16"/>
      <c r="AT47" s="16"/>
      <c r="AX47" s="16"/>
    </row>
    <row r="48" spans="2:50" x14ac:dyDescent="0.25">
      <c r="B48" s="16"/>
      <c r="F48" s="16"/>
      <c r="J48" s="16"/>
      <c r="N48" s="16"/>
      <c r="R48" s="16"/>
      <c r="V48" s="16"/>
      <c r="Z48" s="16"/>
      <c r="AD48" s="16"/>
      <c r="AH48" s="16"/>
      <c r="AL48" s="16"/>
      <c r="AP48" s="16"/>
      <c r="AT48" s="16"/>
      <c r="AX48" s="16"/>
    </row>
    <row r="49" spans="2:50" x14ac:dyDescent="0.25">
      <c r="B49" s="16"/>
      <c r="F49" s="16"/>
      <c r="J49" s="16"/>
      <c r="N49" s="16"/>
      <c r="R49" s="16"/>
      <c r="V49" s="16"/>
      <c r="Z49" s="16"/>
      <c r="AD49" s="16"/>
      <c r="AH49" s="16"/>
      <c r="AL49" s="16"/>
      <c r="AP49" s="16"/>
      <c r="AT49" s="16"/>
      <c r="AX49" s="16"/>
    </row>
    <row r="50" spans="2:50" x14ac:dyDescent="0.25">
      <c r="B50" s="16"/>
      <c r="F50" s="16"/>
      <c r="J50" s="16"/>
      <c r="N50" s="16"/>
      <c r="R50" s="16"/>
      <c r="V50" s="16"/>
      <c r="Z50" s="16"/>
      <c r="AD50" s="16"/>
      <c r="AH50" s="16"/>
      <c r="AL50" s="16"/>
      <c r="AP50" s="16"/>
      <c r="AT50" s="16"/>
      <c r="AX50" s="16"/>
    </row>
    <row r="51" spans="2:50" x14ac:dyDescent="0.25">
      <c r="B51" s="16"/>
      <c r="F51" s="16"/>
      <c r="J51" s="16"/>
      <c r="N51" s="16"/>
      <c r="R51" s="16"/>
      <c r="V51" s="16"/>
      <c r="Z51" s="16"/>
      <c r="AD51" s="16"/>
      <c r="AH51" s="16"/>
      <c r="AL51" s="16"/>
      <c r="AP51" s="16"/>
      <c r="AT51" s="16"/>
      <c r="AX51" s="16"/>
    </row>
    <row r="52" spans="2:50" x14ac:dyDescent="0.25">
      <c r="B52" s="16"/>
      <c r="F52" s="16"/>
      <c r="J52" s="16"/>
      <c r="N52" s="16"/>
      <c r="R52" s="16"/>
      <c r="V52" s="16"/>
      <c r="Z52" s="16"/>
      <c r="AD52" s="16"/>
      <c r="AH52" s="16"/>
      <c r="AL52" s="16"/>
      <c r="AP52" s="16"/>
      <c r="AT52" s="16"/>
      <c r="AX52" s="16"/>
    </row>
    <row r="53" spans="2:50" x14ac:dyDescent="0.25">
      <c r="B53" s="16"/>
      <c r="F53" s="16"/>
      <c r="J53" s="16"/>
      <c r="N53" s="16"/>
      <c r="R53" s="16"/>
      <c r="V53" s="16"/>
      <c r="Z53" s="16"/>
      <c r="AD53" s="16"/>
      <c r="AH53" s="16"/>
      <c r="AL53" s="16"/>
      <c r="AP53" s="16"/>
      <c r="AT53" s="16"/>
      <c r="AX53" s="16"/>
    </row>
    <row r="54" spans="2:50" x14ac:dyDescent="0.25">
      <c r="B54" s="16"/>
      <c r="F54" s="16"/>
      <c r="J54" s="16"/>
      <c r="N54" s="16"/>
      <c r="R54" s="16"/>
      <c r="V54" s="16"/>
      <c r="Z54" s="16"/>
      <c r="AD54" s="16"/>
      <c r="AH54" s="16"/>
      <c r="AL54" s="16"/>
      <c r="AP54" s="16"/>
      <c r="AT54" s="16"/>
      <c r="AX54" s="16"/>
    </row>
    <row r="55" spans="2:50" x14ac:dyDescent="0.25">
      <c r="B55" s="16"/>
      <c r="F55" s="16"/>
      <c r="J55" s="16"/>
      <c r="N55" s="16"/>
      <c r="R55" s="16"/>
      <c r="V55" s="16"/>
      <c r="Z55" s="16"/>
      <c r="AD55" s="16"/>
      <c r="AH55" s="16"/>
      <c r="AL55" s="16"/>
      <c r="AP55" s="16"/>
      <c r="AT55" s="16"/>
      <c r="AX55" s="16"/>
    </row>
    <row r="56" spans="2:50" x14ac:dyDescent="0.25">
      <c r="B56" s="16"/>
      <c r="F56" s="16"/>
      <c r="J56" s="16"/>
      <c r="N56" s="16"/>
      <c r="R56" s="16"/>
      <c r="V56" s="16"/>
      <c r="Z56" s="16"/>
      <c r="AD56" s="16"/>
      <c r="AH56" s="16"/>
      <c r="AL56" s="16"/>
      <c r="AP56" s="16"/>
      <c r="AT56" s="16"/>
      <c r="AX56" s="16"/>
    </row>
    <row r="57" spans="2:50" x14ac:dyDescent="0.25">
      <c r="B57" s="16"/>
      <c r="F57" s="16"/>
      <c r="J57" s="16"/>
      <c r="N57" s="16"/>
      <c r="R57" s="16"/>
      <c r="V57" s="16"/>
      <c r="Z57" s="16"/>
      <c r="AD57" s="16"/>
      <c r="AH57" s="16"/>
      <c r="AL57" s="16"/>
      <c r="AP57" s="16"/>
      <c r="AT57" s="16"/>
      <c r="AX57" s="16"/>
    </row>
    <row r="58" spans="2:50" x14ac:dyDescent="0.25">
      <c r="B58" s="16"/>
      <c r="F58" s="16"/>
      <c r="J58" s="16"/>
      <c r="N58" s="16"/>
      <c r="R58" s="16"/>
      <c r="V58" s="16"/>
      <c r="Z58" s="16"/>
      <c r="AD58" s="16"/>
      <c r="AH58" s="16"/>
      <c r="AL58" s="16"/>
      <c r="AP58" s="16"/>
      <c r="AT58" s="16"/>
      <c r="AX58" s="16"/>
    </row>
    <row r="59" spans="2:50" x14ac:dyDescent="0.25">
      <c r="B59" s="16"/>
      <c r="F59" s="16"/>
      <c r="J59" s="16"/>
      <c r="N59" s="16"/>
      <c r="R59" s="16"/>
      <c r="V59" s="16"/>
      <c r="Z59" s="16"/>
      <c r="AD59" s="16"/>
      <c r="AH59" s="16"/>
      <c r="AL59" s="16"/>
      <c r="AP59" s="16"/>
      <c r="AT59" s="16"/>
      <c r="AX59" s="16"/>
    </row>
    <row r="60" spans="2:50" x14ac:dyDescent="0.25">
      <c r="B60" s="16"/>
      <c r="F60" s="16"/>
      <c r="J60" s="16"/>
      <c r="N60" s="16"/>
      <c r="R60" s="16"/>
      <c r="V60" s="16"/>
      <c r="Z60" s="16"/>
      <c r="AD60" s="16"/>
      <c r="AH60" s="16"/>
      <c r="AL60" s="16"/>
      <c r="AP60" s="16"/>
      <c r="AT60" s="16"/>
      <c r="AX60" s="16"/>
    </row>
    <row r="61" spans="2:50" x14ac:dyDescent="0.25">
      <c r="B61" s="16"/>
      <c r="F61" s="16"/>
      <c r="J61" s="16"/>
      <c r="N61" s="16"/>
      <c r="R61" s="16"/>
      <c r="V61" s="16"/>
      <c r="Z61" s="16"/>
      <c r="AD61" s="16"/>
      <c r="AH61" s="16"/>
      <c r="AL61" s="16"/>
      <c r="AP61" s="16"/>
      <c r="AT61" s="16"/>
      <c r="AX61" s="16"/>
    </row>
    <row r="62" spans="2:50" x14ac:dyDescent="0.25">
      <c r="B62" s="16"/>
      <c r="F62" s="16"/>
      <c r="J62" s="16"/>
      <c r="N62" s="16"/>
      <c r="R62" s="16"/>
      <c r="V62" s="16"/>
      <c r="Z62" s="16"/>
      <c r="AD62" s="16"/>
      <c r="AH62" s="16"/>
      <c r="AL62" s="16"/>
      <c r="AP62" s="16"/>
      <c r="AT62" s="16"/>
      <c r="AX62" s="16"/>
    </row>
    <row r="63" spans="2:50" x14ac:dyDescent="0.25">
      <c r="B63" s="16"/>
      <c r="F63" s="16"/>
      <c r="J63" s="16"/>
      <c r="N63" s="16"/>
      <c r="R63" s="16"/>
      <c r="V63" s="16"/>
      <c r="Z63" s="16"/>
      <c r="AD63" s="16"/>
      <c r="AH63" s="16"/>
      <c r="AL63" s="16"/>
      <c r="AP63" s="16"/>
      <c r="AT63" s="16"/>
      <c r="AX63" s="16"/>
    </row>
    <row r="64" spans="2:50" x14ac:dyDescent="0.25">
      <c r="B64" s="16"/>
      <c r="F64" s="16"/>
      <c r="J64" s="16"/>
      <c r="N64" s="16"/>
      <c r="R64" s="16"/>
      <c r="V64" s="16"/>
      <c r="Z64" s="16"/>
      <c r="AD64" s="16"/>
      <c r="AH64" s="16"/>
      <c r="AL64" s="16"/>
      <c r="AP64" s="16"/>
      <c r="AT64" s="16"/>
      <c r="AX64" s="16"/>
    </row>
    <row r="65" spans="2:50" x14ac:dyDescent="0.25">
      <c r="B65" s="16"/>
      <c r="F65" s="16"/>
      <c r="J65" s="16"/>
      <c r="N65" s="16"/>
      <c r="R65" s="16"/>
      <c r="V65" s="16"/>
      <c r="Z65" s="16"/>
      <c r="AD65" s="16"/>
      <c r="AH65" s="16"/>
      <c r="AL65" s="16"/>
      <c r="AP65" s="16"/>
      <c r="AT65" s="16"/>
      <c r="AX65" s="16"/>
    </row>
    <row r="66" spans="2:50" x14ac:dyDescent="0.25">
      <c r="B66" s="16"/>
      <c r="F66" s="16"/>
      <c r="J66" s="16"/>
      <c r="N66" s="16"/>
      <c r="R66" s="16"/>
      <c r="V66" s="16"/>
      <c r="Z66" s="16"/>
      <c r="AD66" s="16"/>
      <c r="AH66" s="16"/>
      <c r="AL66" s="16"/>
      <c r="AP66" s="16"/>
      <c r="AT66" s="16"/>
      <c r="AX66" s="16"/>
    </row>
    <row r="67" spans="2:50" x14ac:dyDescent="0.25">
      <c r="B67" s="16"/>
      <c r="F67" s="16"/>
      <c r="J67" s="16"/>
      <c r="N67" s="16"/>
      <c r="R67" s="16"/>
      <c r="V67" s="16"/>
      <c r="Z67" s="16"/>
      <c r="AD67" s="16"/>
      <c r="AH67" s="16"/>
      <c r="AL67" s="16"/>
      <c r="AP67" s="16"/>
      <c r="AT67" s="16"/>
      <c r="AX67" s="16"/>
    </row>
    <row r="68" spans="2:50" x14ac:dyDescent="0.25">
      <c r="B68" s="16"/>
      <c r="F68" s="16"/>
      <c r="J68" s="16"/>
      <c r="N68" s="16"/>
      <c r="R68" s="16"/>
      <c r="V68" s="16"/>
      <c r="Z68" s="16"/>
      <c r="AD68" s="16"/>
      <c r="AH68" s="16"/>
      <c r="AL68" s="16"/>
      <c r="AP68" s="16"/>
      <c r="AT68" s="16"/>
      <c r="AX68" s="16"/>
    </row>
    <row r="69" spans="2:50" x14ac:dyDescent="0.25">
      <c r="B69" s="16"/>
      <c r="F69" s="16"/>
      <c r="J69" s="16"/>
      <c r="N69" s="16"/>
      <c r="R69" s="16"/>
      <c r="V69" s="16"/>
      <c r="Z69" s="16"/>
      <c r="AD69" s="16"/>
      <c r="AH69" s="16"/>
      <c r="AL69" s="16"/>
      <c r="AP69" s="16"/>
      <c r="AT69" s="16"/>
      <c r="AX69" s="16"/>
    </row>
    <row r="70" spans="2:50" x14ac:dyDescent="0.25">
      <c r="B70" s="16"/>
      <c r="F70" s="16"/>
      <c r="J70" s="16"/>
      <c r="N70" s="16"/>
      <c r="R70" s="16"/>
      <c r="V70" s="16"/>
      <c r="Z70" s="16"/>
      <c r="AD70" s="16"/>
      <c r="AH70" s="16"/>
      <c r="AL70" s="16"/>
      <c r="AP70" s="16"/>
      <c r="AT70" s="16"/>
      <c r="AX70" s="16"/>
    </row>
    <row r="71" spans="2:50" x14ac:dyDescent="0.25">
      <c r="B71" s="16"/>
      <c r="F71" s="16"/>
      <c r="J71" s="16"/>
      <c r="N71" s="16"/>
      <c r="R71" s="16"/>
      <c r="V71" s="16"/>
      <c r="Z71" s="16"/>
      <c r="AD71" s="16"/>
      <c r="AH71" s="16"/>
      <c r="AL71" s="16"/>
      <c r="AP71" s="16"/>
      <c r="AT71" s="16"/>
      <c r="AX71" s="16"/>
    </row>
    <row r="72" spans="2:50" x14ac:dyDescent="0.25">
      <c r="B72" s="16"/>
      <c r="F72" s="16"/>
      <c r="J72" s="16"/>
      <c r="N72" s="16"/>
      <c r="R72" s="16"/>
      <c r="V72" s="16"/>
      <c r="Z72" s="16"/>
      <c r="AD72" s="16"/>
      <c r="AH72" s="16"/>
      <c r="AL72" s="16"/>
      <c r="AP72" s="16"/>
      <c r="AT72" s="16"/>
      <c r="AX72" s="16"/>
    </row>
    <row r="73" spans="2:50" x14ac:dyDescent="0.25">
      <c r="B73" s="16"/>
      <c r="F73" s="16"/>
      <c r="J73" s="16"/>
      <c r="N73" s="16"/>
      <c r="R73" s="16"/>
      <c r="V73" s="16"/>
      <c r="Z73" s="16"/>
      <c r="AD73" s="16"/>
      <c r="AH73" s="16"/>
      <c r="AL73" s="16"/>
      <c r="AP73" s="16"/>
      <c r="AT73" s="16"/>
      <c r="AX73" s="16"/>
    </row>
    <row r="74" spans="2:50" x14ac:dyDescent="0.25">
      <c r="B74" s="16"/>
      <c r="F74" s="16"/>
      <c r="J74" s="16"/>
      <c r="N74" s="16"/>
      <c r="R74" s="16"/>
      <c r="V74" s="16"/>
      <c r="Z74" s="16"/>
      <c r="AD74" s="16"/>
      <c r="AH74" s="16"/>
      <c r="AL74" s="16"/>
      <c r="AP74" s="16"/>
      <c r="AT74" s="16"/>
      <c r="AX74" s="16"/>
    </row>
    <row r="75" spans="2:50" x14ac:dyDescent="0.25">
      <c r="B75" s="16"/>
      <c r="F75" s="16"/>
      <c r="J75" s="16"/>
      <c r="N75" s="16"/>
      <c r="R75" s="16"/>
      <c r="V75" s="16"/>
      <c r="Z75" s="16"/>
      <c r="AD75" s="16"/>
      <c r="AH75" s="16"/>
      <c r="AL75" s="16"/>
      <c r="AP75" s="16"/>
      <c r="AT75" s="16"/>
      <c r="AX75" s="16"/>
    </row>
    <row r="76" spans="2:50" x14ac:dyDescent="0.25">
      <c r="B76" s="16"/>
      <c r="F76" s="16"/>
      <c r="J76" s="16"/>
      <c r="N76" s="16"/>
      <c r="R76" s="16"/>
      <c r="V76" s="16"/>
      <c r="Z76" s="16"/>
      <c r="AD76" s="16"/>
      <c r="AH76" s="16"/>
      <c r="AL76" s="16"/>
      <c r="AP76" s="16"/>
      <c r="AT76" s="16"/>
      <c r="AX76" s="16"/>
    </row>
    <row r="77" spans="2:50" x14ac:dyDescent="0.25">
      <c r="B77" s="16"/>
      <c r="F77" s="16"/>
      <c r="J77" s="16"/>
      <c r="N77" s="16"/>
      <c r="R77" s="16"/>
      <c r="V77" s="16"/>
      <c r="Z77" s="16"/>
      <c r="AD77" s="16"/>
      <c r="AH77" s="16"/>
      <c r="AL77" s="16"/>
      <c r="AP77" s="16"/>
      <c r="AT77" s="16"/>
      <c r="AX77" s="16"/>
    </row>
    <row r="78" spans="2:50" x14ac:dyDescent="0.25">
      <c r="B78" s="16"/>
      <c r="F78" s="16"/>
      <c r="J78" s="16"/>
      <c r="N78" s="16"/>
      <c r="R78" s="16"/>
      <c r="V78" s="16"/>
      <c r="Z78" s="16"/>
      <c r="AD78" s="16"/>
      <c r="AH78" s="16"/>
      <c r="AL78" s="16"/>
      <c r="AP78" s="16"/>
      <c r="AT78" s="16"/>
      <c r="AX78" s="16"/>
    </row>
    <row r="79" spans="2:50" x14ac:dyDescent="0.25">
      <c r="B79" s="16"/>
      <c r="F79" s="16"/>
      <c r="J79" s="16"/>
      <c r="N79" s="16"/>
      <c r="R79" s="16"/>
      <c r="V79" s="16"/>
      <c r="Z79" s="16"/>
      <c r="AD79" s="16"/>
      <c r="AH79" s="16"/>
      <c r="AL79" s="16"/>
      <c r="AP79" s="16"/>
      <c r="AT79" s="16"/>
      <c r="AX79" s="16"/>
    </row>
    <row r="80" spans="2:50" x14ac:dyDescent="0.25">
      <c r="B80" s="16"/>
      <c r="F80" s="16"/>
      <c r="J80" s="16"/>
      <c r="N80" s="16"/>
      <c r="R80" s="16"/>
      <c r="V80" s="16"/>
      <c r="Z80" s="16"/>
      <c r="AD80" s="16"/>
      <c r="AH80" s="16"/>
      <c r="AL80" s="16"/>
      <c r="AP80" s="16"/>
      <c r="AT80" s="16"/>
      <c r="AX80" s="16"/>
    </row>
    <row r="81" spans="2:50" x14ac:dyDescent="0.25">
      <c r="B81" s="16"/>
      <c r="F81" s="16"/>
      <c r="J81" s="16"/>
      <c r="N81" s="16"/>
      <c r="R81" s="16"/>
      <c r="V81" s="16"/>
      <c r="Z81" s="16"/>
      <c r="AD81" s="16"/>
      <c r="AH81" s="16"/>
      <c r="AL81" s="16"/>
      <c r="AP81" s="16"/>
      <c r="AT81" s="16"/>
      <c r="AX81" s="16"/>
    </row>
    <row r="82" spans="2:50" x14ac:dyDescent="0.25">
      <c r="B82" s="16"/>
      <c r="F82" s="16"/>
      <c r="J82" s="16"/>
      <c r="N82" s="16"/>
      <c r="R82" s="16"/>
      <c r="V82" s="16"/>
      <c r="Z82" s="16"/>
      <c r="AD82" s="16"/>
      <c r="AH82" s="16"/>
      <c r="AL82" s="16"/>
      <c r="AP82" s="16"/>
      <c r="AT82" s="16"/>
      <c r="AX82" s="16"/>
    </row>
    <row r="83" spans="2:50" x14ac:dyDescent="0.25">
      <c r="B83" s="16"/>
      <c r="F83" s="16"/>
      <c r="J83" s="16"/>
      <c r="N83" s="16"/>
      <c r="R83" s="16"/>
      <c r="V83" s="16"/>
      <c r="Z83" s="16"/>
      <c r="AD83" s="16"/>
      <c r="AH83" s="16"/>
      <c r="AL83" s="16"/>
      <c r="AP83" s="16"/>
      <c r="AT83" s="16"/>
      <c r="AX83" s="16"/>
    </row>
    <row r="84" spans="2:50" x14ac:dyDescent="0.25">
      <c r="B84" s="16"/>
      <c r="F84" s="16"/>
      <c r="J84" s="16"/>
      <c r="N84" s="16"/>
      <c r="R84" s="16"/>
      <c r="V84" s="16"/>
      <c r="Z84" s="16"/>
      <c r="AD84" s="16"/>
      <c r="AH84" s="16"/>
      <c r="AL84" s="16"/>
      <c r="AP84" s="16"/>
      <c r="AT84" s="16"/>
      <c r="AX84" s="16"/>
    </row>
    <row r="85" spans="2:50" x14ac:dyDescent="0.25">
      <c r="B85" s="16"/>
      <c r="F85" s="16"/>
      <c r="J85" s="16"/>
      <c r="N85" s="16"/>
      <c r="R85" s="16"/>
      <c r="V85" s="16"/>
      <c r="Z85" s="16"/>
      <c r="AD85" s="16"/>
      <c r="AH85" s="16"/>
      <c r="AL85" s="16"/>
      <c r="AP85" s="16"/>
      <c r="AT85" s="16"/>
      <c r="AX85" s="16"/>
    </row>
    <row r="86" spans="2:50" x14ac:dyDescent="0.25">
      <c r="B86" s="16"/>
      <c r="F86" s="16"/>
      <c r="J86" s="16"/>
      <c r="N86" s="16"/>
      <c r="R86" s="16"/>
      <c r="V86" s="16"/>
      <c r="Z86" s="16"/>
      <c r="AD86" s="16"/>
      <c r="AH86" s="16"/>
      <c r="AL86" s="16"/>
      <c r="AP86" s="16"/>
      <c r="AT86" s="16"/>
      <c r="AX86" s="16"/>
    </row>
    <row r="87" spans="2:50" x14ac:dyDescent="0.25">
      <c r="B87" s="16"/>
      <c r="F87" s="16"/>
      <c r="J87" s="16"/>
      <c r="N87" s="16"/>
      <c r="R87" s="16"/>
      <c r="V87" s="16"/>
      <c r="Z87" s="16"/>
      <c r="AD87" s="16"/>
      <c r="AH87" s="16"/>
      <c r="AL87" s="16"/>
      <c r="AP87" s="16"/>
      <c r="AT87" s="16"/>
      <c r="AX87" s="16"/>
    </row>
    <row r="88" spans="2:50" x14ac:dyDescent="0.25">
      <c r="B88" s="16"/>
      <c r="F88" s="16"/>
      <c r="J88" s="16"/>
      <c r="N88" s="16"/>
      <c r="R88" s="16"/>
      <c r="V88" s="16"/>
      <c r="Z88" s="16"/>
      <c r="AD88" s="16"/>
      <c r="AH88" s="16"/>
      <c r="AL88" s="16"/>
      <c r="AP88" s="16"/>
      <c r="AT88" s="16"/>
      <c r="AX88" s="16"/>
    </row>
    <row r="89" spans="2:50" x14ac:dyDescent="0.25">
      <c r="B89" s="16"/>
      <c r="F89" s="16"/>
      <c r="J89" s="16"/>
      <c r="N89" s="16"/>
      <c r="R89" s="16"/>
      <c r="V89" s="16"/>
      <c r="Z89" s="16"/>
      <c r="AD89" s="16"/>
      <c r="AH89" s="16"/>
      <c r="AL89" s="16"/>
      <c r="AP89" s="16"/>
      <c r="AT89" s="16"/>
      <c r="AX89" s="16"/>
    </row>
    <row r="90" spans="2:50" x14ac:dyDescent="0.25">
      <c r="B90" s="16"/>
      <c r="F90" s="16"/>
      <c r="J90" s="16"/>
      <c r="N90" s="16"/>
      <c r="R90" s="16"/>
      <c r="V90" s="16"/>
      <c r="Z90" s="16"/>
      <c r="AD90" s="16"/>
      <c r="AH90" s="16"/>
      <c r="AL90" s="16"/>
      <c r="AP90" s="16"/>
      <c r="AT90" s="16"/>
      <c r="AX90" s="16"/>
    </row>
    <row r="91" spans="2:50" x14ac:dyDescent="0.25">
      <c r="B91" s="16"/>
      <c r="F91" s="16"/>
      <c r="J91" s="16"/>
      <c r="N91" s="16"/>
      <c r="R91" s="16"/>
      <c r="V91" s="16"/>
      <c r="Z91" s="16"/>
      <c r="AD91" s="16"/>
      <c r="AH91" s="16"/>
      <c r="AL91" s="16"/>
      <c r="AP91" s="16"/>
      <c r="AT91" s="16"/>
      <c r="AX91" s="16"/>
    </row>
    <row r="92" spans="2:50" x14ac:dyDescent="0.25">
      <c r="B92" s="16"/>
      <c r="F92" s="16"/>
      <c r="J92" s="16"/>
      <c r="N92" s="16"/>
      <c r="R92" s="16"/>
      <c r="V92" s="16"/>
      <c r="Z92" s="16"/>
      <c r="AD92" s="16"/>
      <c r="AH92" s="16"/>
      <c r="AL92" s="16"/>
      <c r="AP92" s="16"/>
      <c r="AT92" s="16"/>
      <c r="AX92" s="16"/>
    </row>
    <row r="93" spans="2:50" x14ac:dyDescent="0.25">
      <c r="B93" s="16"/>
      <c r="F93" s="16"/>
      <c r="J93" s="16"/>
      <c r="N93" s="16"/>
      <c r="R93" s="16"/>
      <c r="V93" s="16"/>
      <c r="Z93" s="16"/>
      <c r="AD93" s="16"/>
      <c r="AH93" s="16"/>
      <c r="AL93" s="16"/>
      <c r="AP93" s="16"/>
      <c r="AT93" s="16"/>
      <c r="AX93" s="16"/>
    </row>
    <row r="94" spans="2:50" x14ac:dyDescent="0.25">
      <c r="B94" s="16"/>
      <c r="F94" s="16"/>
      <c r="J94" s="16"/>
      <c r="N94" s="16"/>
      <c r="R94" s="16"/>
      <c r="V94" s="16"/>
      <c r="Z94" s="16"/>
      <c r="AD94" s="16"/>
      <c r="AH94" s="16"/>
      <c r="AL94" s="16"/>
      <c r="AP94" s="16"/>
      <c r="AT94" s="16"/>
      <c r="AX94" s="16"/>
    </row>
    <row r="95" spans="2:50" x14ac:dyDescent="0.25">
      <c r="B95" s="16"/>
      <c r="F95" s="16"/>
      <c r="J95" s="16"/>
      <c r="N95" s="16"/>
      <c r="R95" s="16"/>
      <c r="V95" s="16"/>
      <c r="Z95" s="16"/>
      <c r="AD95" s="16"/>
      <c r="AH95" s="16"/>
      <c r="AL95" s="16"/>
      <c r="AP95" s="16"/>
      <c r="AT95" s="16"/>
      <c r="AX95" s="16"/>
    </row>
    <row r="96" spans="2:50" x14ac:dyDescent="0.25">
      <c r="B96" s="16"/>
      <c r="F96" s="16"/>
      <c r="J96" s="16"/>
      <c r="N96" s="16"/>
      <c r="R96" s="16"/>
      <c r="V96" s="16"/>
      <c r="Z96" s="16"/>
      <c r="AD96" s="16"/>
      <c r="AH96" s="16"/>
      <c r="AL96" s="16"/>
      <c r="AP96" s="16"/>
      <c r="AT96" s="16"/>
      <c r="AX96" s="16"/>
    </row>
    <row r="97" spans="2:50" x14ac:dyDescent="0.25">
      <c r="B97" s="16"/>
      <c r="F97" s="16"/>
      <c r="J97" s="16"/>
      <c r="N97" s="16"/>
      <c r="R97" s="16"/>
      <c r="V97" s="16"/>
      <c r="Z97" s="16"/>
      <c r="AD97" s="16"/>
      <c r="AH97" s="16"/>
      <c r="AL97" s="16"/>
      <c r="AP97" s="16"/>
      <c r="AT97" s="16"/>
      <c r="AX97" s="16"/>
    </row>
    <row r="98" spans="2:50" x14ac:dyDescent="0.25">
      <c r="B98" s="16"/>
      <c r="F98" s="16"/>
      <c r="J98" s="16"/>
      <c r="N98" s="16"/>
      <c r="R98" s="16"/>
      <c r="V98" s="16"/>
      <c r="Z98" s="16"/>
      <c r="AD98" s="16"/>
      <c r="AH98" s="16"/>
      <c r="AL98" s="16"/>
      <c r="AP98" s="16"/>
      <c r="AT98" s="16"/>
      <c r="AX98" s="16"/>
    </row>
    <row r="99" spans="2:50" x14ac:dyDescent="0.25">
      <c r="B99" s="16"/>
      <c r="F99" s="16"/>
      <c r="J99" s="16"/>
      <c r="N99" s="16"/>
      <c r="R99" s="16"/>
      <c r="V99" s="16"/>
      <c r="Z99" s="16"/>
      <c r="AD99" s="16"/>
      <c r="AH99" s="16"/>
      <c r="AL99" s="16"/>
      <c r="AP99" s="16"/>
      <c r="AT99" s="16"/>
      <c r="AX99" s="16"/>
    </row>
    <row r="100" spans="2:50" x14ac:dyDescent="0.25">
      <c r="B100" s="16"/>
      <c r="F100" s="16"/>
      <c r="J100" s="16"/>
      <c r="N100" s="16"/>
      <c r="R100" s="16"/>
      <c r="V100" s="16"/>
      <c r="Z100" s="16"/>
      <c r="AD100" s="16"/>
      <c r="AH100" s="16"/>
      <c r="AL100" s="16"/>
      <c r="AP100" s="16"/>
      <c r="AT100" s="16"/>
      <c r="AX100" s="16"/>
    </row>
    <row r="101" spans="2:50" x14ac:dyDescent="0.25">
      <c r="B101" s="16"/>
      <c r="F101" s="16"/>
      <c r="J101" s="16"/>
      <c r="N101" s="16"/>
      <c r="R101" s="16"/>
      <c r="V101" s="16"/>
      <c r="Z101" s="16"/>
      <c r="AD101" s="16"/>
      <c r="AH101" s="16"/>
      <c r="AL101" s="16"/>
      <c r="AP101" s="16"/>
      <c r="AT101" s="16"/>
      <c r="AX101" s="16"/>
    </row>
    <row r="102" spans="2:50" x14ac:dyDescent="0.25">
      <c r="B102" s="16"/>
      <c r="F102" s="16"/>
      <c r="J102" s="16"/>
      <c r="N102" s="16"/>
      <c r="R102" s="16"/>
      <c r="V102" s="16"/>
      <c r="Z102" s="16"/>
      <c r="AD102" s="16"/>
      <c r="AH102" s="16"/>
      <c r="AL102" s="16"/>
      <c r="AP102" s="16"/>
      <c r="AT102" s="16"/>
      <c r="AX102" s="16"/>
    </row>
    <row r="103" spans="2:50" x14ac:dyDescent="0.25">
      <c r="B103" s="16"/>
      <c r="F103" s="16"/>
      <c r="J103" s="16"/>
      <c r="N103" s="16"/>
      <c r="R103" s="16"/>
      <c r="V103" s="16"/>
      <c r="Z103" s="16"/>
      <c r="AD103" s="16"/>
      <c r="AH103" s="16"/>
      <c r="AL103" s="16"/>
      <c r="AP103" s="16"/>
      <c r="AT103" s="16"/>
      <c r="AX103" s="16"/>
    </row>
    <row r="104" spans="2:50" x14ac:dyDescent="0.25">
      <c r="B104" s="16"/>
      <c r="F104" s="16"/>
      <c r="J104" s="16"/>
      <c r="N104" s="16"/>
      <c r="R104" s="16"/>
      <c r="V104" s="16"/>
      <c r="Z104" s="16"/>
      <c r="AD104" s="16"/>
      <c r="AH104" s="16"/>
      <c r="AL104" s="16"/>
      <c r="AP104" s="16"/>
      <c r="AT104" s="16"/>
      <c r="AX104" s="16"/>
    </row>
    <row r="105" spans="2:50" x14ac:dyDescent="0.25">
      <c r="B105" s="16"/>
      <c r="F105" s="16"/>
      <c r="J105" s="16"/>
      <c r="N105" s="16"/>
      <c r="R105" s="16"/>
      <c r="V105" s="16"/>
      <c r="Z105" s="16"/>
      <c r="AD105" s="16"/>
      <c r="AH105" s="16"/>
      <c r="AL105" s="16"/>
      <c r="AP105" s="16"/>
      <c r="AT105" s="16"/>
      <c r="AX105" s="16"/>
    </row>
    <row r="106" spans="2:50" x14ac:dyDescent="0.25">
      <c r="B106" s="16"/>
      <c r="F106" s="16"/>
      <c r="J106" s="16"/>
      <c r="N106" s="16"/>
      <c r="R106" s="16"/>
      <c r="V106" s="16"/>
      <c r="Z106" s="16"/>
      <c r="AD106" s="16"/>
      <c r="AH106" s="16"/>
      <c r="AL106" s="16"/>
      <c r="AP106" s="16"/>
      <c r="AT106" s="16"/>
      <c r="AX106" s="16"/>
    </row>
    <row r="107" spans="2:50" x14ac:dyDescent="0.25">
      <c r="B107" s="16"/>
      <c r="F107" s="16"/>
      <c r="J107" s="16"/>
      <c r="N107" s="16"/>
      <c r="R107" s="16"/>
      <c r="V107" s="16"/>
      <c r="Z107" s="16"/>
      <c r="AD107" s="16"/>
      <c r="AH107" s="16"/>
      <c r="AL107" s="16"/>
      <c r="AP107" s="16"/>
      <c r="AT107" s="16"/>
      <c r="AX107" s="16"/>
    </row>
    <row r="108" spans="2:50" x14ac:dyDescent="0.25">
      <c r="B108" s="16"/>
      <c r="F108" s="16"/>
      <c r="J108" s="16"/>
      <c r="N108" s="16"/>
      <c r="R108" s="16"/>
      <c r="V108" s="16"/>
      <c r="Z108" s="16"/>
      <c r="AD108" s="16"/>
      <c r="AH108" s="16"/>
      <c r="AL108" s="16"/>
      <c r="AP108" s="16"/>
      <c r="AT108" s="16"/>
      <c r="AX108" s="16"/>
    </row>
    <row r="109" spans="2:50" x14ac:dyDescent="0.25">
      <c r="B109" s="16"/>
      <c r="F109" s="16"/>
      <c r="J109" s="16"/>
      <c r="N109" s="16"/>
      <c r="R109" s="16"/>
      <c r="V109" s="16"/>
      <c r="Z109" s="16"/>
      <c r="AD109" s="16"/>
      <c r="AH109" s="16"/>
      <c r="AL109" s="16"/>
      <c r="AP109" s="16"/>
      <c r="AT109" s="16"/>
      <c r="AX109" s="16"/>
    </row>
    <row r="110" spans="2:50" x14ac:dyDescent="0.25">
      <c r="B110" s="16"/>
      <c r="F110" s="16"/>
      <c r="J110" s="16"/>
      <c r="N110" s="16"/>
      <c r="R110" s="16"/>
      <c r="V110" s="16"/>
      <c r="Z110" s="16"/>
      <c r="AD110" s="16"/>
      <c r="AH110" s="16"/>
      <c r="AL110" s="16"/>
      <c r="AP110" s="16"/>
      <c r="AT110" s="16"/>
      <c r="AX110" s="16"/>
    </row>
    <row r="111" spans="2:50" x14ac:dyDescent="0.25">
      <c r="B111" s="16"/>
      <c r="F111" s="16"/>
      <c r="J111" s="16"/>
      <c r="N111" s="16"/>
      <c r="R111" s="16"/>
      <c r="V111" s="16"/>
      <c r="Z111" s="16"/>
      <c r="AD111" s="16"/>
      <c r="AH111" s="16"/>
      <c r="AL111" s="16"/>
      <c r="AP111" s="16"/>
      <c r="AT111" s="16"/>
      <c r="AX111" s="16"/>
    </row>
    <row r="112" spans="2:50" x14ac:dyDescent="0.25">
      <c r="B112" s="16"/>
      <c r="F112" s="16"/>
      <c r="J112" s="16"/>
      <c r="N112" s="16"/>
      <c r="R112" s="16"/>
      <c r="V112" s="16"/>
      <c r="Z112" s="16"/>
      <c r="AD112" s="16"/>
      <c r="AH112" s="16"/>
      <c r="AL112" s="16"/>
      <c r="AP112" s="16"/>
      <c r="AT112" s="16"/>
      <c r="AX112" s="16"/>
    </row>
    <row r="113" spans="2:50" x14ac:dyDescent="0.25">
      <c r="B113" s="16"/>
      <c r="F113" s="16"/>
      <c r="J113" s="16"/>
      <c r="N113" s="16"/>
      <c r="R113" s="16"/>
      <c r="V113" s="16"/>
      <c r="Z113" s="16"/>
      <c r="AD113" s="16"/>
      <c r="AH113" s="16"/>
      <c r="AL113" s="16"/>
      <c r="AP113" s="16"/>
      <c r="AT113" s="16"/>
      <c r="AX113" s="16"/>
    </row>
    <row r="114" spans="2:50" x14ac:dyDescent="0.25">
      <c r="B114" s="16"/>
      <c r="F114" s="16"/>
      <c r="J114" s="16"/>
      <c r="N114" s="16"/>
      <c r="R114" s="16"/>
      <c r="V114" s="16"/>
      <c r="Z114" s="16"/>
      <c r="AD114" s="16"/>
      <c r="AH114" s="16"/>
      <c r="AL114" s="16"/>
      <c r="AP114" s="16"/>
      <c r="AT114" s="16"/>
      <c r="AX114" s="16"/>
    </row>
    <row r="115" spans="2:50" x14ac:dyDescent="0.25">
      <c r="B115" s="16"/>
      <c r="F115" s="16"/>
      <c r="J115" s="16"/>
      <c r="N115" s="16"/>
      <c r="R115" s="16"/>
      <c r="V115" s="16"/>
      <c r="Z115" s="16"/>
      <c r="AD115" s="16"/>
      <c r="AH115" s="16"/>
      <c r="AL115" s="16"/>
      <c r="AP115" s="16"/>
      <c r="AT115" s="16"/>
      <c r="AX115" s="16"/>
    </row>
    <row r="116" spans="2:50" x14ac:dyDescent="0.25">
      <c r="B116" s="16"/>
      <c r="F116" s="16"/>
      <c r="J116" s="16"/>
      <c r="N116" s="16"/>
      <c r="R116" s="16"/>
      <c r="V116" s="16"/>
      <c r="Z116" s="16"/>
      <c r="AD116" s="16"/>
      <c r="AH116" s="16"/>
      <c r="AL116" s="16"/>
      <c r="AP116" s="16"/>
      <c r="AT116" s="16"/>
      <c r="AX116" s="16"/>
    </row>
    <row r="117" spans="2:50" x14ac:dyDescent="0.25">
      <c r="B117" s="16"/>
      <c r="F117" s="16"/>
      <c r="J117" s="16"/>
      <c r="N117" s="16"/>
      <c r="R117" s="16"/>
      <c r="V117" s="16"/>
      <c r="Z117" s="16"/>
      <c r="AD117" s="16"/>
      <c r="AH117" s="16"/>
      <c r="AL117" s="16"/>
      <c r="AP117" s="16"/>
      <c r="AT117" s="16"/>
      <c r="AX117" s="16"/>
    </row>
    <row r="118" spans="2:50" x14ac:dyDescent="0.25">
      <c r="B118" s="16"/>
      <c r="F118" s="16"/>
      <c r="J118" s="16"/>
      <c r="N118" s="16"/>
      <c r="R118" s="16"/>
      <c r="V118" s="16"/>
      <c r="Z118" s="16"/>
      <c r="AD118" s="16"/>
      <c r="AH118" s="16"/>
      <c r="AL118" s="16"/>
      <c r="AP118" s="16"/>
      <c r="AT118" s="16"/>
      <c r="AX118" s="16"/>
    </row>
    <row r="119" spans="2:50" x14ac:dyDescent="0.25">
      <c r="B119" s="16"/>
      <c r="F119" s="16"/>
      <c r="J119" s="16"/>
      <c r="N119" s="16"/>
      <c r="R119" s="16"/>
      <c r="V119" s="16"/>
      <c r="Z119" s="16"/>
      <c r="AD119" s="16"/>
      <c r="AH119" s="16"/>
      <c r="AL119" s="16"/>
      <c r="AP119" s="16"/>
      <c r="AT119" s="16"/>
      <c r="AX119" s="16"/>
    </row>
    <row r="120" spans="2:50" x14ac:dyDescent="0.25">
      <c r="B120" s="16"/>
      <c r="F120" s="16"/>
      <c r="J120" s="16"/>
      <c r="N120" s="16"/>
      <c r="R120" s="16"/>
      <c r="V120" s="16"/>
      <c r="Z120" s="16"/>
      <c r="AD120" s="16"/>
      <c r="AH120" s="16"/>
      <c r="AL120" s="16"/>
      <c r="AP120" s="16"/>
      <c r="AT120" s="16"/>
      <c r="AX120" s="16"/>
    </row>
    <row r="121" spans="2:50" x14ac:dyDescent="0.25">
      <c r="B121" s="16"/>
      <c r="F121" s="16"/>
      <c r="J121" s="16"/>
      <c r="N121" s="16"/>
      <c r="R121" s="16"/>
      <c r="V121" s="16"/>
      <c r="Z121" s="16"/>
      <c r="AD121" s="16"/>
      <c r="AH121" s="16"/>
      <c r="AL121" s="16"/>
      <c r="AP121" s="16"/>
      <c r="AT121" s="16"/>
      <c r="AX121" s="16"/>
    </row>
    <row r="122" spans="2:50" x14ac:dyDescent="0.25">
      <c r="B122" s="16"/>
      <c r="F122" s="16"/>
      <c r="J122" s="16"/>
      <c r="N122" s="16"/>
      <c r="R122" s="16"/>
      <c r="V122" s="16"/>
      <c r="Z122" s="16"/>
      <c r="AD122" s="16"/>
      <c r="AH122" s="16"/>
      <c r="AL122" s="16"/>
      <c r="AP122" s="16"/>
      <c r="AT122" s="16"/>
      <c r="AX122" s="16"/>
    </row>
    <row r="123" spans="2:50" x14ac:dyDescent="0.25">
      <c r="B123" s="16"/>
      <c r="F123" s="16"/>
      <c r="J123" s="16"/>
      <c r="N123" s="16"/>
      <c r="R123" s="16"/>
      <c r="V123" s="16"/>
      <c r="Z123" s="16"/>
      <c r="AD123" s="16"/>
      <c r="AH123" s="16"/>
      <c r="AL123" s="16"/>
      <c r="AP123" s="16"/>
      <c r="AT123" s="16"/>
      <c r="AX123" s="16"/>
    </row>
    <row r="124" spans="2:50" x14ac:dyDescent="0.25">
      <c r="B124" s="16"/>
      <c r="F124" s="16"/>
      <c r="J124" s="16"/>
      <c r="N124" s="16"/>
      <c r="R124" s="16"/>
      <c r="V124" s="16"/>
      <c r="Z124" s="16"/>
      <c r="AD124" s="16"/>
      <c r="AH124" s="16"/>
      <c r="AL124" s="16"/>
      <c r="AP124" s="16"/>
      <c r="AT124" s="16"/>
      <c r="AX124" s="16"/>
    </row>
    <row r="125" spans="2:50" x14ac:dyDescent="0.25">
      <c r="B125" s="16"/>
      <c r="F125" s="16"/>
      <c r="J125" s="16"/>
      <c r="N125" s="16"/>
      <c r="R125" s="16"/>
      <c r="V125" s="16"/>
      <c r="Z125" s="16"/>
      <c r="AD125" s="16"/>
      <c r="AH125" s="16"/>
      <c r="AL125" s="16"/>
      <c r="AP125" s="16"/>
      <c r="AT125" s="16"/>
      <c r="AX125" s="16"/>
    </row>
    <row r="126" spans="2:50" x14ac:dyDescent="0.25">
      <c r="B126" s="16"/>
      <c r="F126" s="16"/>
      <c r="J126" s="16"/>
      <c r="N126" s="16"/>
      <c r="R126" s="16"/>
      <c r="V126" s="16"/>
      <c r="Z126" s="16"/>
      <c r="AD126" s="16"/>
      <c r="AH126" s="16"/>
      <c r="AL126" s="16"/>
      <c r="AP126" s="16"/>
      <c r="AT126" s="16"/>
      <c r="AX126" s="16"/>
    </row>
    <row r="127" spans="2:50" x14ac:dyDescent="0.25">
      <c r="B127" s="16"/>
      <c r="F127" s="16"/>
      <c r="J127" s="16"/>
      <c r="N127" s="16"/>
      <c r="R127" s="16"/>
      <c r="V127" s="16"/>
      <c r="Z127" s="16"/>
      <c r="AD127" s="16"/>
      <c r="AH127" s="16"/>
      <c r="AL127" s="16"/>
      <c r="AP127" s="16"/>
      <c r="AT127" s="16"/>
      <c r="AX127" s="16"/>
    </row>
    <row r="128" spans="2:50" x14ac:dyDescent="0.25">
      <c r="B128" s="16"/>
      <c r="F128" s="16"/>
      <c r="J128" s="16"/>
      <c r="N128" s="16"/>
      <c r="R128" s="16"/>
      <c r="V128" s="16"/>
      <c r="Z128" s="16"/>
      <c r="AD128" s="16"/>
      <c r="AH128" s="16"/>
      <c r="AL128" s="16"/>
      <c r="AP128" s="16"/>
      <c r="AT128" s="16"/>
      <c r="AX128" s="16"/>
    </row>
    <row r="129" spans="2:50" x14ac:dyDescent="0.25">
      <c r="B129" s="16"/>
      <c r="F129" s="16"/>
      <c r="J129" s="16"/>
      <c r="N129" s="16"/>
      <c r="R129" s="16"/>
      <c r="V129" s="16"/>
      <c r="Z129" s="16"/>
      <c r="AD129" s="16"/>
      <c r="AH129" s="16"/>
      <c r="AL129" s="16"/>
      <c r="AP129" s="16"/>
      <c r="AT129" s="16"/>
      <c r="AX129" s="16"/>
    </row>
    <row r="130" spans="2:50" x14ac:dyDescent="0.25">
      <c r="B130" s="16"/>
      <c r="F130" s="16"/>
      <c r="J130" s="16"/>
      <c r="N130" s="16"/>
      <c r="R130" s="16"/>
      <c r="V130" s="16"/>
      <c r="Z130" s="16"/>
      <c r="AD130" s="16"/>
      <c r="AH130" s="16"/>
      <c r="AL130" s="16"/>
      <c r="AP130" s="16"/>
      <c r="AT130" s="16"/>
      <c r="AX130" s="16"/>
    </row>
    <row r="131" spans="2:50" x14ac:dyDescent="0.25">
      <c r="B131" s="16"/>
      <c r="F131" s="16"/>
      <c r="J131" s="16"/>
      <c r="N131" s="16"/>
      <c r="R131" s="16"/>
      <c r="V131" s="16"/>
      <c r="Z131" s="16"/>
      <c r="AD131" s="16"/>
      <c r="AH131" s="16"/>
      <c r="AL131" s="16"/>
      <c r="AP131" s="16"/>
      <c r="AT131" s="16"/>
      <c r="AX131" s="16"/>
    </row>
    <row r="132" spans="2:50" x14ac:dyDescent="0.25">
      <c r="B132" s="16"/>
      <c r="F132" s="16"/>
      <c r="J132" s="16"/>
      <c r="N132" s="16"/>
      <c r="R132" s="16"/>
      <c r="V132" s="16"/>
      <c r="Z132" s="16"/>
      <c r="AD132" s="16"/>
      <c r="AH132" s="16"/>
      <c r="AL132" s="16"/>
      <c r="AP132" s="16"/>
      <c r="AT132" s="16"/>
      <c r="AX132" s="16"/>
    </row>
    <row r="133" spans="2:50" x14ac:dyDescent="0.25">
      <c r="B133" s="16"/>
      <c r="F133" s="16"/>
      <c r="J133" s="16"/>
      <c r="N133" s="16"/>
      <c r="R133" s="16"/>
      <c r="V133" s="16"/>
      <c r="Z133" s="16"/>
      <c r="AD133" s="16"/>
      <c r="AH133" s="16"/>
      <c r="AL133" s="16"/>
      <c r="AP133" s="16"/>
      <c r="AT133" s="16"/>
      <c r="AX133" s="16"/>
    </row>
    <row r="134" spans="2:50" x14ac:dyDescent="0.25">
      <c r="B134" s="16"/>
      <c r="F134" s="16"/>
      <c r="J134" s="16"/>
      <c r="N134" s="16"/>
      <c r="R134" s="16"/>
      <c r="V134" s="16"/>
      <c r="Z134" s="16"/>
      <c r="AD134" s="16"/>
      <c r="AH134" s="16"/>
      <c r="AL134" s="16"/>
      <c r="AP134" s="16"/>
      <c r="AT134" s="16"/>
      <c r="AX134" s="16"/>
    </row>
    <row r="135" spans="2:50" x14ac:dyDescent="0.25">
      <c r="B135" s="16"/>
      <c r="F135" s="16"/>
      <c r="J135" s="16"/>
      <c r="N135" s="16"/>
      <c r="R135" s="16"/>
      <c r="V135" s="16"/>
      <c r="Z135" s="16"/>
      <c r="AD135" s="16"/>
      <c r="AH135" s="16"/>
      <c r="AL135" s="16"/>
      <c r="AP135" s="16"/>
      <c r="AT135" s="16"/>
      <c r="AX135" s="16"/>
    </row>
    <row r="136" spans="2:50" x14ac:dyDescent="0.25">
      <c r="B136" s="16"/>
      <c r="F136" s="16"/>
      <c r="J136" s="16"/>
      <c r="N136" s="16"/>
      <c r="R136" s="16"/>
      <c r="V136" s="16"/>
      <c r="Z136" s="16"/>
      <c r="AD136" s="16"/>
      <c r="AH136" s="16"/>
      <c r="AL136" s="16"/>
      <c r="AP136" s="16"/>
      <c r="AT136" s="16"/>
      <c r="AX136" s="16"/>
    </row>
    <row r="137" spans="2:50" x14ac:dyDescent="0.25">
      <c r="B137" s="16"/>
      <c r="F137" s="16"/>
      <c r="J137" s="16"/>
      <c r="N137" s="16"/>
      <c r="R137" s="16"/>
      <c r="V137" s="16"/>
      <c r="Z137" s="16"/>
      <c r="AD137" s="16"/>
      <c r="AH137" s="16"/>
      <c r="AL137" s="16"/>
      <c r="AP137" s="16"/>
      <c r="AT137" s="16"/>
      <c r="AX137" s="16"/>
    </row>
    <row r="138" spans="2:50" x14ac:dyDescent="0.25">
      <c r="B138" s="16"/>
      <c r="F138" s="16"/>
      <c r="J138" s="16"/>
      <c r="N138" s="16"/>
      <c r="R138" s="16"/>
      <c r="V138" s="16"/>
      <c r="Z138" s="16"/>
      <c r="AD138" s="16"/>
      <c r="AH138" s="16"/>
      <c r="AL138" s="16"/>
      <c r="AP138" s="16"/>
      <c r="AT138" s="16"/>
      <c r="AX138" s="16"/>
    </row>
    <row r="139" spans="2:50" x14ac:dyDescent="0.25">
      <c r="B139" s="16"/>
      <c r="F139" s="16"/>
      <c r="J139" s="16"/>
      <c r="N139" s="16"/>
      <c r="R139" s="16"/>
      <c r="V139" s="16"/>
      <c r="Z139" s="16"/>
      <c r="AD139" s="16"/>
      <c r="AH139" s="16"/>
      <c r="AL139" s="16"/>
      <c r="AP139" s="16"/>
      <c r="AT139" s="16"/>
      <c r="AX139" s="16"/>
    </row>
    <row r="140" spans="2:50" x14ac:dyDescent="0.25">
      <c r="B140" s="16"/>
      <c r="F140" s="16"/>
      <c r="J140" s="16"/>
      <c r="N140" s="16"/>
      <c r="R140" s="16"/>
      <c r="V140" s="16"/>
      <c r="Z140" s="16"/>
      <c r="AD140" s="16"/>
      <c r="AH140" s="16"/>
      <c r="AL140" s="16"/>
      <c r="AP140" s="16"/>
      <c r="AT140" s="16"/>
      <c r="AX140" s="16"/>
    </row>
    <row r="141" spans="2:50" x14ac:dyDescent="0.25">
      <c r="B141" s="16"/>
      <c r="F141" s="16"/>
      <c r="J141" s="16"/>
      <c r="N141" s="16"/>
      <c r="R141" s="16"/>
      <c r="V141" s="16"/>
      <c r="Z141" s="16"/>
      <c r="AD141" s="16"/>
      <c r="AH141" s="16"/>
      <c r="AL141" s="16"/>
      <c r="AP141" s="16"/>
      <c r="AT141" s="16"/>
      <c r="AX141" s="16"/>
    </row>
    <row r="142" spans="2:50" x14ac:dyDescent="0.25">
      <c r="B142" s="16"/>
      <c r="F142" s="16"/>
      <c r="J142" s="16"/>
      <c r="N142" s="16"/>
      <c r="R142" s="16"/>
      <c r="V142" s="16"/>
      <c r="Z142" s="16"/>
      <c r="AD142" s="16"/>
      <c r="AH142" s="16"/>
      <c r="AL142" s="16"/>
      <c r="AP142" s="16"/>
      <c r="AT142" s="16"/>
      <c r="AX142" s="16"/>
    </row>
    <row r="143" spans="2:50" x14ac:dyDescent="0.25">
      <c r="B143" s="16"/>
      <c r="F143" s="16"/>
      <c r="J143" s="16"/>
      <c r="N143" s="16"/>
      <c r="R143" s="16"/>
      <c r="V143" s="16"/>
      <c r="Z143" s="16"/>
      <c r="AD143" s="16"/>
      <c r="AH143" s="16"/>
      <c r="AL143" s="16"/>
      <c r="AP143" s="16"/>
      <c r="AT143" s="16"/>
      <c r="AX143" s="16"/>
    </row>
    <row r="144" spans="2:50" x14ac:dyDescent="0.25">
      <c r="B144" s="16"/>
      <c r="F144" s="16"/>
      <c r="J144" s="16"/>
      <c r="N144" s="16"/>
      <c r="R144" s="16"/>
      <c r="V144" s="16"/>
      <c r="Z144" s="16"/>
      <c r="AD144" s="16"/>
      <c r="AH144" s="16"/>
      <c r="AL144" s="16"/>
      <c r="AP144" s="16"/>
      <c r="AT144" s="16"/>
      <c r="AX144" s="16"/>
    </row>
    <row r="145" spans="2:50" x14ac:dyDescent="0.25">
      <c r="B145" s="16"/>
      <c r="F145" s="16"/>
      <c r="J145" s="16"/>
      <c r="N145" s="16"/>
      <c r="R145" s="16"/>
      <c r="V145" s="16"/>
      <c r="Z145" s="16"/>
      <c r="AD145" s="16"/>
      <c r="AH145" s="16"/>
      <c r="AL145" s="16"/>
      <c r="AP145" s="16"/>
      <c r="AT145" s="16"/>
      <c r="AX145" s="16"/>
    </row>
    <row r="146" spans="2:50" x14ac:dyDescent="0.25">
      <c r="B146" s="16"/>
      <c r="F146" s="16"/>
      <c r="J146" s="16"/>
      <c r="N146" s="16"/>
      <c r="R146" s="16"/>
      <c r="V146" s="16"/>
      <c r="Z146" s="16"/>
      <c r="AD146" s="16"/>
      <c r="AH146" s="16"/>
      <c r="AL146" s="16"/>
      <c r="AP146" s="16"/>
      <c r="AT146" s="16"/>
      <c r="AX146" s="16"/>
    </row>
    <row r="147" spans="2:50" x14ac:dyDescent="0.25">
      <c r="B147" s="16"/>
      <c r="F147" s="16"/>
      <c r="J147" s="16"/>
      <c r="N147" s="16"/>
      <c r="R147" s="16"/>
      <c r="V147" s="16"/>
      <c r="Z147" s="16"/>
      <c r="AD147" s="16"/>
      <c r="AH147" s="16"/>
      <c r="AL147" s="16"/>
      <c r="AP147" s="16"/>
      <c r="AT147" s="16"/>
      <c r="AX147" s="16"/>
    </row>
    <row r="148" spans="2:50" x14ac:dyDescent="0.25">
      <c r="B148" s="16"/>
      <c r="F148" s="16"/>
      <c r="J148" s="16"/>
      <c r="N148" s="16"/>
      <c r="R148" s="16"/>
      <c r="V148" s="16"/>
      <c r="Z148" s="16"/>
      <c r="AD148" s="16"/>
      <c r="AH148" s="16"/>
      <c r="AL148" s="16"/>
      <c r="AP148" s="16"/>
      <c r="AT148" s="16"/>
      <c r="AX148" s="16"/>
    </row>
    <row r="149" spans="2:50" x14ac:dyDescent="0.25">
      <c r="B149" s="16"/>
      <c r="F149" s="16"/>
      <c r="J149" s="16"/>
      <c r="N149" s="16"/>
      <c r="R149" s="16"/>
      <c r="V149" s="16"/>
      <c r="Z149" s="16"/>
      <c r="AD149" s="16"/>
      <c r="AH149" s="16"/>
      <c r="AL149" s="16"/>
      <c r="AP149" s="16"/>
      <c r="AT149" s="16"/>
      <c r="AX149" s="16"/>
    </row>
    <row r="150" spans="2:50" x14ac:dyDescent="0.25">
      <c r="B150" s="16"/>
      <c r="F150" s="16"/>
      <c r="J150" s="16"/>
      <c r="N150" s="16"/>
      <c r="R150" s="16"/>
      <c r="V150" s="16"/>
      <c r="Z150" s="16"/>
      <c r="AD150" s="16"/>
      <c r="AH150" s="16"/>
      <c r="AL150" s="16"/>
      <c r="AP150" s="16"/>
      <c r="AT150" s="16"/>
      <c r="AX150" s="16"/>
    </row>
    <row r="151" spans="2:50" x14ac:dyDescent="0.25">
      <c r="B151" s="16"/>
      <c r="F151" s="16"/>
      <c r="J151" s="16"/>
      <c r="N151" s="16"/>
      <c r="R151" s="16"/>
      <c r="V151" s="16"/>
      <c r="Z151" s="16"/>
      <c r="AD151" s="16"/>
      <c r="AH151" s="16"/>
      <c r="AL151" s="16"/>
      <c r="AP151" s="16"/>
      <c r="AT151" s="16"/>
      <c r="AX151" s="16"/>
    </row>
    <row r="152" spans="2:50" x14ac:dyDescent="0.25">
      <c r="B152" s="16"/>
      <c r="F152" s="16"/>
      <c r="J152" s="16"/>
      <c r="N152" s="16"/>
      <c r="R152" s="16"/>
      <c r="V152" s="16"/>
      <c r="Z152" s="16"/>
      <c r="AD152" s="16"/>
      <c r="AH152" s="16"/>
      <c r="AL152" s="16"/>
      <c r="AP152" s="16"/>
      <c r="AT152" s="16"/>
      <c r="AX152" s="16"/>
    </row>
    <row r="153" spans="2:50" x14ac:dyDescent="0.25">
      <c r="B153" s="16"/>
      <c r="F153" s="16"/>
      <c r="J153" s="16"/>
      <c r="N153" s="16"/>
      <c r="R153" s="16"/>
      <c r="V153" s="16"/>
      <c r="Z153" s="16"/>
      <c r="AD153" s="16"/>
      <c r="AH153" s="16"/>
      <c r="AL153" s="16"/>
      <c r="AP153" s="16"/>
      <c r="AT153" s="16"/>
      <c r="AX153" s="16"/>
    </row>
    <row r="154" spans="2:50" x14ac:dyDescent="0.25">
      <c r="B154" s="16"/>
      <c r="F154" s="16"/>
      <c r="J154" s="16"/>
      <c r="N154" s="16"/>
      <c r="R154" s="16"/>
      <c r="V154" s="16"/>
      <c r="Z154" s="16"/>
      <c r="AD154" s="16"/>
      <c r="AH154" s="16"/>
      <c r="AL154" s="16"/>
      <c r="AP154" s="16"/>
      <c r="AT154" s="16"/>
      <c r="AX154" s="16"/>
    </row>
    <row r="155" spans="2:50" x14ac:dyDescent="0.25">
      <c r="B155" s="16"/>
      <c r="F155" s="16"/>
      <c r="J155" s="16"/>
      <c r="N155" s="16"/>
      <c r="R155" s="16"/>
      <c r="V155" s="16"/>
      <c r="Z155" s="16"/>
      <c r="AD155" s="16"/>
      <c r="AH155" s="16"/>
      <c r="AL155" s="16"/>
      <c r="AP155" s="16"/>
      <c r="AT155" s="16"/>
      <c r="AX155" s="16"/>
    </row>
    <row r="156" spans="2:50" x14ac:dyDescent="0.25">
      <c r="B156" s="16"/>
      <c r="F156" s="16"/>
      <c r="J156" s="16"/>
      <c r="N156" s="16"/>
      <c r="R156" s="16"/>
      <c r="V156" s="16"/>
      <c r="Z156" s="16"/>
      <c r="AD156" s="16"/>
      <c r="AH156" s="16"/>
      <c r="AL156" s="16"/>
      <c r="AP156" s="16"/>
      <c r="AT156" s="16"/>
      <c r="AX156" s="16"/>
    </row>
    <row r="157" spans="2:50" x14ac:dyDescent="0.25">
      <c r="B157" s="16"/>
      <c r="F157" s="16"/>
      <c r="J157" s="16"/>
      <c r="N157" s="16"/>
      <c r="R157" s="16"/>
      <c r="V157" s="16"/>
      <c r="Z157" s="16"/>
      <c r="AD157" s="16"/>
      <c r="AH157" s="16"/>
      <c r="AL157" s="16"/>
      <c r="AP157" s="16"/>
      <c r="AT157" s="16"/>
      <c r="AX157" s="16"/>
    </row>
    <row r="158" spans="2:50" x14ac:dyDescent="0.25">
      <c r="B158" s="16"/>
      <c r="F158" s="16"/>
      <c r="J158" s="16"/>
      <c r="N158" s="16"/>
      <c r="R158" s="16"/>
      <c r="V158" s="16"/>
      <c r="Z158" s="16"/>
      <c r="AD158" s="16"/>
      <c r="AH158" s="16"/>
      <c r="AL158" s="16"/>
      <c r="AP158" s="16"/>
      <c r="AT158" s="16"/>
      <c r="AX158" s="16"/>
    </row>
    <row r="159" spans="2:50" x14ac:dyDescent="0.25">
      <c r="B159" s="16"/>
      <c r="F159" s="16"/>
      <c r="J159" s="16"/>
      <c r="N159" s="16"/>
      <c r="R159" s="16"/>
      <c r="V159" s="16"/>
      <c r="Z159" s="16"/>
      <c r="AD159" s="16"/>
      <c r="AH159" s="16"/>
      <c r="AL159" s="16"/>
      <c r="AP159" s="16"/>
      <c r="AT159" s="16"/>
      <c r="AX159" s="16"/>
    </row>
    <row r="160" spans="2:50" x14ac:dyDescent="0.25">
      <c r="B160" s="16"/>
      <c r="F160" s="16"/>
      <c r="J160" s="16"/>
      <c r="N160" s="16"/>
      <c r="R160" s="16"/>
      <c r="V160" s="16"/>
      <c r="Z160" s="16"/>
      <c r="AD160" s="16"/>
      <c r="AH160" s="16"/>
      <c r="AL160" s="16"/>
      <c r="AP160" s="16"/>
      <c r="AT160" s="16"/>
      <c r="AX160" s="16"/>
    </row>
    <row r="161" spans="2:50" x14ac:dyDescent="0.25">
      <c r="B161" s="16"/>
      <c r="F161" s="16"/>
      <c r="J161" s="16"/>
      <c r="N161" s="16"/>
      <c r="R161" s="16"/>
      <c r="V161" s="16"/>
      <c r="Z161" s="16"/>
      <c r="AD161" s="16"/>
      <c r="AH161" s="16"/>
      <c r="AL161" s="16"/>
      <c r="AP161" s="16"/>
      <c r="AT161" s="16"/>
      <c r="AX161" s="16"/>
    </row>
    <row r="162" spans="2:50" x14ac:dyDescent="0.25">
      <c r="B162" s="16"/>
      <c r="F162" s="16"/>
      <c r="J162" s="16"/>
      <c r="N162" s="16"/>
      <c r="R162" s="16"/>
      <c r="V162" s="16"/>
      <c r="Z162" s="16"/>
      <c r="AD162" s="16"/>
      <c r="AH162" s="16"/>
      <c r="AL162" s="16"/>
      <c r="AP162" s="16"/>
      <c r="AT162" s="16"/>
      <c r="AX162" s="16"/>
    </row>
    <row r="163" spans="2:50" x14ac:dyDescent="0.25">
      <c r="B163" s="16"/>
      <c r="F163" s="16"/>
      <c r="J163" s="16"/>
      <c r="N163" s="16"/>
      <c r="R163" s="16"/>
      <c r="V163" s="16"/>
      <c r="Z163" s="16"/>
      <c r="AD163" s="16"/>
      <c r="AH163" s="16"/>
      <c r="AL163" s="16"/>
      <c r="AP163" s="16"/>
      <c r="AT163" s="16"/>
      <c r="AX163" s="16"/>
    </row>
    <row r="164" spans="2:50" x14ac:dyDescent="0.25">
      <c r="B164" s="16"/>
      <c r="F164" s="16"/>
      <c r="J164" s="16"/>
      <c r="N164" s="16"/>
      <c r="R164" s="16"/>
      <c r="V164" s="16"/>
      <c r="Z164" s="16"/>
      <c r="AD164" s="16"/>
      <c r="AH164" s="16"/>
      <c r="AL164" s="16"/>
      <c r="AP164" s="16"/>
      <c r="AT164" s="16"/>
      <c r="AX164" s="16"/>
    </row>
    <row r="165" spans="2:50" x14ac:dyDescent="0.25">
      <c r="B165" s="16"/>
      <c r="F165" s="16"/>
      <c r="J165" s="16"/>
      <c r="N165" s="16"/>
      <c r="R165" s="16"/>
      <c r="V165" s="16"/>
      <c r="Z165" s="16"/>
      <c r="AD165" s="16"/>
      <c r="AH165" s="16"/>
      <c r="AL165" s="16"/>
      <c r="AP165" s="16"/>
      <c r="AT165" s="16"/>
      <c r="AX165" s="16"/>
    </row>
    <row r="166" spans="2:50" x14ac:dyDescent="0.25">
      <c r="B166" s="16"/>
      <c r="F166" s="16"/>
      <c r="J166" s="16"/>
      <c r="N166" s="16"/>
      <c r="R166" s="16"/>
      <c r="V166" s="16"/>
      <c r="Z166" s="16"/>
      <c r="AD166" s="16"/>
      <c r="AH166" s="16"/>
      <c r="AL166" s="16"/>
      <c r="AP166" s="16"/>
      <c r="AT166" s="16"/>
      <c r="AX166" s="16"/>
    </row>
    <row r="167" spans="2:50" x14ac:dyDescent="0.25">
      <c r="B167" s="16"/>
      <c r="F167" s="16"/>
      <c r="J167" s="16"/>
      <c r="N167" s="16"/>
      <c r="R167" s="16"/>
      <c r="V167" s="16"/>
      <c r="Z167" s="16"/>
      <c r="AD167" s="16"/>
      <c r="AH167" s="16"/>
      <c r="AL167" s="16"/>
      <c r="AP167" s="16"/>
      <c r="AT167" s="16"/>
      <c r="AX167" s="16"/>
    </row>
    <row r="168" spans="2:50" x14ac:dyDescent="0.25">
      <c r="B168" s="16"/>
      <c r="F168" s="16"/>
      <c r="J168" s="16"/>
      <c r="N168" s="16"/>
      <c r="R168" s="16"/>
      <c r="V168" s="16"/>
      <c r="Z168" s="16"/>
      <c r="AD168" s="16"/>
      <c r="AH168" s="16"/>
      <c r="AL168" s="16"/>
      <c r="AP168" s="16"/>
      <c r="AT168" s="16"/>
      <c r="AX168" s="16"/>
    </row>
    <row r="169" spans="2:50" x14ac:dyDescent="0.25">
      <c r="B169" s="16"/>
      <c r="F169" s="16"/>
      <c r="J169" s="16"/>
      <c r="N169" s="16"/>
      <c r="R169" s="16"/>
      <c r="V169" s="16"/>
      <c r="Z169" s="16"/>
      <c r="AD169" s="16"/>
      <c r="AH169" s="16"/>
      <c r="AL169" s="16"/>
      <c r="AP169" s="16"/>
      <c r="AT169" s="16"/>
      <c r="AX169" s="16"/>
    </row>
    <row r="170" spans="2:50" x14ac:dyDescent="0.25">
      <c r="B170" s="16"/>
      <c r="F170" s="16"/>
      <c r="J170" s="16"/>
      <c r="N170" s="16"/>
      <c r="R170" s="16"/>
      <c r="V170" s="16"/>
      <c r="Z170" s="16"/>
      <c r="AD170" s="16"/>
      <c r="AH170" s="16"/>
      <c r="AL170" s="16"/>
      <c r="AP170" s="16"/>
      <c r="AT170" s="16"/>
      <c r="AX170" s="16"/>
    </row>
    <row r="171" spans="2:50" x14ac:dyDescent="0.25">
      <c r="B171" s="16"/>
      <c r="F171" s="16"/>
      <c r="J171" s="16"/>
      <c r="N171" s="16"/>
      <c r="R171" s="16"/>
      <c r="V171" s="16"/>
      <c r="Z171" s="16"/>
      <c r="AD171" s="16"/>
      <c r="AH171" s="16"/>
      <c r="AL171" s="16"/>
      <c r="AP171" s="16"/>
      <c r="AT171" s="16"/>
      <c r="AX171" s="16"/>
    </row>
    <row r="172" spans="2:50" x14ac:dyDescent="0.25">
      <c r="B172" s="16"/>
      <c r="F172" s="16"/>
      <c r="J172" s="16"/>
      <c r="N172" s="16"/>
      <c r="R172" s="16"/>
      <c r="V172" s="16"/>
      <c r="Z172" s="16"/>
      <c r="AD172" s="16"/>
      <c r="AH172" s="16"/>
      <c r="AL172" s="16"/>
      <c r="AP172" s="16"/>
      <c r="AT172" s="16"/>
      <c r="AX172" s="16"/>
    </row>
    <row r="173" spans="2:50" x14ac:dyDescent="0.25">
      <c r="B173" s="16"/>
      <c r="F173" s="16"/>
      <c r="J173" s="16"/>
      <c r="N173" s="16"/>
      <c r="R173" s="16"/>
      <c r="V173" s="16"/>
      <c r="Z173" s="16"/>
      <c r="AD173" s="16"/>
      <c r="AH173" s="16"/>
      <c r="AL173" s="16"/>
      <c r="AP173" s="16"/>
      <c r="AT173" s="16"/>
      <c r="AX173" s="16"/>
    </row>
    <row r="174" spans="2:50" x14ac:dyDescent="0.25">
      <c r="B174" s="16"/>
      <c r="F174" s="16"/>
      <c r="J174" s="16"/>
      <c r="N174" s="16"/>
      <c r="R174" s="16"/>
      <c r="V174" s="16"/>
      <c r="Z174" s="16"/>
      <c r="AD174" s="16"/>
      <c r="AH174" s="16"/>
      <c r="AL174" s="16"/>
      <c r="AP174" s="16"/>
      <c r="AT174" s="16"/>
      <c r="AX174" s="16"/>
    </row>
    <row r="175" spans="2:50" x14ac:dyDescent="0.25">
      <c r="B175" s="16"/>
      <c r="F175" s="16"/>
      <c r="J175" s="16"/>
      <c r="N175" s="16"/>
      <c r="R175" s="16"/>
      <c r="V175" s="16"/>
      <c r="Z175" s="16"/>
      <c r="AD175" s="16"/>
      <c r="AH175" s="16"/>
      <c r="AL175" s="16"/>
      <c r="AP175" s="16"/>
      <c r="AT175" s="16"/>
      <c r="AX175" s="16"/>
    </row>
    <row r="176" spans="2:50" x14ac:dyDescent="0.25">
      <c r="B176" s="16"/>
      <c r="F176" s="16"/>
      <c r="J176" s="16"/>
      <c r="N176" s="16"/>
      <c r="R176" s="16"/>
      <c r="V176" s="16"/>
      <c r="Z176" s="16"/>
      <c r="AD176" s="16"/>
      <c r="AH176" s="16"/>
      <c r="AL176" s="16"/>
      <c r="AP176" s="16"/>
      <c r="AT176" s="16"/>
      <c r="AX176" s="16"/>
    </row>
    <row r="177" spans="2:50" x14ac:dyDescent="0.25">
      <c r="B177" s="16"/>
      <c r="F177" s="16"/>
      <c r="J177" s="16"/>
      <c r="N177" s="16"/>
      <c r="R177" s="16"/>
      <c r="V177" s="16"/>
      <c r="Z177" s="16"/>
      <c r="AD177" s="16"/>
      <c r="AH177" s="16"/>
      <c r="AL177" s="16"/>
      <c r="AP177" s="16"/>
      <c r="AT177" s="16"/>
      <c r="AX177" s="16"/>
    </row>
    <row r="178" spans="2:50" x14ac:dyDescent="0.25">
      <c r="B178" s="16"/>
      <c r="F178" s="16"/>
      <c r="J178" s="16"/>
      <c r="N178" s="16"/>
      <c r="R178" s="16"/>
      <c r="V178" s="16"/>
      <c r="Z178" s="16"/>
      <c r="AD178" s="16"/>
      <c r="AH178" s="16"/>
      <c r="AL178" s="16"/>
      <c r="AP178" s="16"/>
      <c r="AT178" s="16"/>
      <c r="AX178" s="16"/>
    </row>
    <row r="179" spans="2:50" x14ac:dyDescent="0.25">
      <c r="B179" s="16"/>
      <c r="F179" s="16"/>
      <c r="J179" s="16"/>
      <c r="N179" s="16"/>
      <c r="R179" s="16"/>
      <c r="V179" s="16"/>
      <c r="Z179" s="16"/>
      <c r="AD179" s="16"/>
      <c r="AH179" s="16"/>
      <c r="AL179" s="16"/>
      <c r="AP179" s="16"/>
      <c r="AT179" s="16"/>
      <c r="AX179" s="16"/>
    </row>
    <row r="180" spans="2:50" x14ac:dyDescent="0.25">
      <c r="B180" s="16"/>
      <c r="F180" s="16"/>
      <c r="J180" s="16"/>
      <c r="N180" s="16"/>
      <c r="R180" s="16"/>
      <c r="V180" s="16"/>
      <c r="Z180" s="16"/>
      <c r="AD180" s="16"/>
      <c r="AH180" s="16"/>
      <c r="AL180" s="16"/>
      <c r="AP180" s="16"/>
      <c r="AT180" s="16"/>
      <c r="AX180" s="16"/>
    </row>
    <row r="181" spans="2:50" x14ac:dyDescent="0.25">
      <c r="B181" s="16"/>
      <c r="F181" s="16"/>
      <c r="J181" s="16"/>
      <c r="N181" s="16"/>
      <c r="R181" s="16"/>
      <c r="V181" s="16"/>
      <c r="Z181" s="16"/>
      <c r="AD181" s="16"/>
      <c r="AH181" s="16"/>
      <c r="AL181" s="16"/>
      <c r="AP181" s="16"/>
      <c r="AT181" s="16"/>
      <c r="AX181" s="16"/>
    </row>
    <row r="182" spans="2:50" x14ac:dyDescent="0.25">
      <c r="B182" s="16"/>
      <c r="F182" s="16"/>
      <c r="J182" s="16"/>
      <c r="N182" s="16"/>
      <c r="R182" s="16"/>
      <c r="V182" s="16"/>
      <c r="Z182" s="16"/>
      <c r="AD182" s="16"/>
      <c r="AH182" s="16"/>
      <c r="AL182" s="16"/>
      <c r="AP182" s="16"/>
      <c r="AT182" s="16"/>
      <c r="AX182" s="16"/>
    </row>
    <row r="183" spans="2:50" x14ac:dyDescent="0.25">
      <c r="B183" s="16"/>
      <c r="F183" s="16"/>
      <c r="J183" s="16"/>
      <c r="N183" s="16"/>
      <c r="R183" s="16"/>
      <c r="V183" s="16"/>
      <c r="Z183" s="16"/>
      <c r="AD183" s="16"/>
      <c r="AH183" s="16"/>
      <c r="AL183" s="16"/>
      <c r="AP183" s="16"/>
      <c r="AT183" s="16"/>
      <c r="AX183" s="16"/>
    </row>
    <row r="184" spans="2:50" x14ac:dyDescent="0.25">
      <c r="B184" s="16"/>
      <c r="F184" s="16"/>
      <c r="J184" s="16"/>
      <c r="N184" s="16"/>
      <c r="R184" s="16"/>
      <c r="V184" s="16"/>
      <c r="Z184" s="16"/>
      <c r="AD184" s="16"/>
      <c r="AH184" s="16"/>
      <c r="AL184" s="16"/>
      <c r="AP184" s="16"/>
      <c r="AT184" s="16"/>
      <c r="AX184" s="16"/>
    </row>
    <row r="185" spans="2:50" x14ac:dyDescent="0.25">
      <c r="B185" s="16"/>
      <c r="F185" s="16"/>
      <c r="J185" s="16"/>
      <c r="N185" s="16"/>
      <c r="R185" s="16"/>
      <c r="V185" s="16"/>
      <c r="Z185" s="16"/>
      <c r="AD185" s="16"/>
      <c r="AH185" s="16"/>
      <c r="AL185" s="16"/>
      <c r="AP185" s="16"/>
      <c r="AT185" s="16"/>
      <c r="AX185" s="16"/>
    </row>
    <row r="186" spans="2:50" x14ac:dyDescent="0.25">
      <c r="B186" s="16"/>
      <c r="F186" s="16"/>
      <c r="J186" s="16"/>
      <c r="N186" s="16"/>
      <c r="R186" s="16"/>
      <c r="V186" s="16"/>
      <c r="Z186" s="16"/>
      <c r="AD186" s="16"/>
      <c r="AH186" s="16"/>
      <c r="AL186" s="16"/>
      <c r="AP186" s="16"/>
      <c r="AT186" s="16"/>
      <c r="AX186" s="16"/>
    </row>
    <row r="187" spans="2:50" x14ac:dyDescent="0.25">
      <c r="B187" s="16"/>
      <c r="F187" s="16"/>
      <c r="J187" s="16"/>
      <c r="N187" s="16"/>
      <c r="R187" s="16"/>
      <c r="V187" s="16"/>
      <c r="Z187" s="16"/>
      <c r="AD187" s="16"/>
      <c r="AH187" s="16"/>
      <c r="AL187" s="16"/>
      <c r="AP187" s="16"/>
      <c r="AT187" s="16"/>
      <c r="AX187" s="16"/>
    </row>
    <row r="188" spans="2:50" x14ac:dyDescent="0.25">
      <c r="B188" s="16"/>
      <c r="F188" s="16"/>
      <c r="J188" s="16"/>
      <c r="N188" s="16"/>
      <c r="R188" s="16"/>
      <c r="V188" s="16"/>
      <c r="Z188" s="16"/>
      <c r="AD188" s="16"/>
      <c r="AH188" s="16"/>
      <c r="AL188" s="16"/>
      <c r="AP188" s="16"/>
      <c r="AT188" s="16"/>
      <c r="AX188" s="16"/>
    </row>
    <row r="189" spans="2:50" x14ac:dyDescent="0.25">
      <c r="B189" s="16"/>
      <c r="F189" s="16"/>
      <c r="J189" s="16"/>
      <c r="N189" s="16"/>
      <c r="R189" s="16"/>
      <c r="V189" s="16"/>
      <c r="Z189" s="16"/>
      <c r="AD189" s="16"/>
      <c r="AH189" s="16"/>
      <c r="AL189" s="16"/>
      <c r="AP189" s="16"/>
      <c r="AT189" s="16"/>
      <c r="AX189" s="16"/>
    </row>
    <row r="190" spans="2:50" x14ac:dyDescent="0.25">
      <c r="B190" s="16"/>
      <c r="F190" s="16"/>
      <c r="J190" s="16"/>
      <c r="N190" s="16"/>
      <c r="R190" s="16"/>
      <c r="V190" s="16"/>
      <c r="Z190" s="16"/>
      <c r="AD190" s="16"/>
      <c r="AH190" s="16"/>
      <c r="AL190" s="16"/>
      <c r="AP190" s="16"/>
      <c r="AT190" s="16"/>
      <c r="AX190" s="16"/>
    </row>
    <row r="191" spans="2:50" x14ac:dyDescent="0.25">
      <c r="B191" s="16"/>
      <c r="F191" s="16"/>
      <c r="J191" s="16"/>
      <c r="N191" s="16"/>
      <c r="R191" s="16"/>
      <c r="V191" s="16"/>
      <c r="Z191" s="16"/>
      <c r="AD191" s="16"/>
      <c r="AH191" s="16"/>
      <c r="AL191" s="16"/>
      <c r="AP191" s="16"/>
      <c r="AT191" s="16"/>
      <c r="AX191" s="16"/>
    </row>
    <row r="192" spans="2:50" x14ac:dyDescent="0.25">
      <c r="B192" s="16"/>
      <c r="F192" s="16"/>
      <c r="J192" s="16"/>
      <c r="N192" s="16"/>
      <c r="R192" s="16"/>
      <c r="V192" s="16"/>
      <c r="Z192" s="16"/>
      <c r="AD192" s="16"/>
      <c r="AH192" s="16"/>
      <c r="AL192" s="16"/>
      <c r="AP192" s="16"/>
      <c r="AT192" s="16"/>
      <c r="AX192" s="16"/>
    </row>
    <row r="193" spans="2:50" x14ac:dyDescent="0.25">
      <c r="B193" s="16"/>
      <c r="F193" s="16"/>
      <c r="J193" s="16"/>
      <c r="N193" s="16"/>
      <c r="R193" s="16"/>
      <c r="V193" s="16"/>
      <c r="Z193" s="16"/>
      <c r="AD193" s="16"/>
      <c r="AH193" s="16"/>
      <c r="AL193" s="16"/>
      <c r="AP193" s="16"/>
      <c r="AT193" s="16"/>
      <c r="AX193" s="16"/>
    </row>
    <row r="194" spans="2:50" x14ac:dyDescent="0.25">
      <c r="B194" s="16"/>
      <c r="F194" s="16"/>
      <c r="J194" s="16"/>
      <c r="N194" s="16"/>
      <c r="R194" s="16"/>
      <c r="V194" s="16"/>
      <c r="Z194" s="16"/>
      <c r="AD194" s="16"/>
      <c r="AH194" s="16"/>
      <c r="AL194" s="16"/>
      <c r="AP194" s="16"/>
      <c r="AT194" s="16"/>
      <c r="AX194" s="16"/>
    </row>
    <row r="195" spans="2:50" x14ac:dyDescent="0.25">
      <c r="B195" s="16"/>
      <c r="F195" s="16"/>
      <c r="J195" s="16"/>
      <c r="N195" s="16"/>
      <c r="R195" s="16"/>
      <c r="V195" s="16"/>
      <c r="Z195" s="16"/>
      <c r="AD195" s="16"/>
      <c r="AH195" s="16"/>
      <c r="AL195" s="16"/>
      <c r="AP195" s="16"/>
      <c r="AT195" s="16"/>
      <c r="AX195" s="16"/>
    </row>
    <row r="196" spans="2:50" x14ac:dyDescent="0.25">
      <c r="B196" s="16"/>
      <c r="F196" s="16"/>
      <c r="J196" s="16"/>
      <c r="N196" s="16"/>
      <c r="R196" s="16"/>
      <c r="V196" s="16"/>
      <c r="Z196" s="16"/>
      <c r="AD196" s="16"/>
      <c r="AH196" s="16"/>
      <c r="AL196" s="16"/>
      <c r="AP196" s="16"/>
      <c r="AT196" s="16"/>
      <c r="AX196" s="16"/>
    </row>
    <row r="197" spans="2:50" x14ac:dyDescent="0.25">
      <c r="B197" s="16"/>
      <c r="F197" s="16"/>
      <c r="J197" s="16"/>
      <c r="N197" s="16"/>
      <c r="R197" s="16"/>
      <c r="V197" s="16"/>
      <c r="Z197" s="16"/>
      <c r="AD197" s="16"/>
      <c r="AH197" s="16"/>
      <c r="AL197" s="16"/>
      <c r="AP197" s="16"/>
      <c r="AT197" s="16"/>
      <c r="AX197" s="16"/>
    </row>
    <row r="198" spans="2:50" x14ac:dyDescent="0.25">
      <c r="B198" s="16"/>
      <c r="F198" s="16"/>
      <c r="J198" s="16"/>
      <c r="N198" s="16"/>
      <c r="R198" s="16"/>
      <c r="V198" s="16"/>
      <c r="Z198" s="16"/>
      <c r="AD198" s="16"/>
      <c r="AH198" s="16"/>
      <c r="AL198" s="16"/>
      <c r="AP198" s="16"/>
      <c r="AT198" s="16"/>
      <c r="AX198" s="16"/>
    </row>
    <row r="199" spans="2:50" x14ac:dyDescent="0.25">
      <c r="B199" s="16"/>
      <c r="F199" s="16"/>
      <c r="J199" s="16"/>
      <c r="N199" s="16"/>
      <c r="R199" s="16"/>
      <c r="V199" s="16"/>
      <c r="Z199" s="16"/>
      <c r="AD199" s="16"/>
      <c r="AH199" s="16"/>
      <c r="AL199" s="16"/>
      <c r="AP199" s="16"/>
      <c r="AT199" s="16"/>
      <c r="AX199" s="16"/>
    </row>
    <row r="200" spans="2:50" x14ac:dyDescent="0.25">
      <c r="B200" s="16"/>
      <c r="F200" s="16"/>
      <c r="J200" s="16"/>
      <c r="N200" s="16"/>
      <c r="R200" s="16"/>
      <c r="V200" s="16"/>
      <c r="Z200" s="16"/>
      <c r="AD200" s="16"/>
      <c r="AH200" s="16"/>
      <c r="AL200" s="16"/>
      <c r="AP200" s="16"/>
      <c r="AT200" s="16"/>
      <c r="AX200" s="16"/>
    </row>
    <row r="201" spans="2:50" x14ac:dyDescent="0.25">
      <c r="B201" s="16"/>
      <c r="F201" s="16"/>
      <c r="J201" s="16"/>
      <c r="N201" s="16"/>
      <c r="R201" s="16"/>
      <c r="V201" s="16"/>
      <c r="Z201" s="16"/>
      <c r="AD201" s="16"/>
      <c r="AH201" s="16"/>
      <c r="AL201" s="16"/>
      <c r="AP201" s="16"/>
      <c r="AT201" s="16"/>
      <c r="AX201" s="16"/>
    </row>
    <row r="202" spans="2:50" x14ac:dyDescent="0.25">
      <c r="B202" s="16"/>
      <c r="F202" s="16"/>
      <c r="J202" s="16"/>
      <c r="N202" s="16"/>
      <c r="R202" s="16"/>
      <c r="V202" s="16"/>
      <c r="Z202" s="16"/>
      <c r="AD202" s="16"/>
      <c r="AH202" s="16"/>
      <c r="AL202" s="16"/>
      <c r="AP202" s="16"/>
      <c r="AT202" s="16"/>
      <c r="AX202" s="16"/>
    </row>
    <row r="203" spans="2:50" x14ac:dyDescent="0.25">
      <c r="B203" s="16"/>
      <c r="F203" s="16"/>
      <c r="J203" s="16"/>
      <c r="N203" s="16"/>
      <c r="R203" s="16"/>
      <c r="V203" s="16"/>
      <c r="Z203" s="16"/>
      <c r="AD203" s="16"/>
      <c r="AH203" s="16"/>
      <c r="AL203" s="16"/>
      <c r="AP203" s="16"/>
      <c r="AT203" s="16"/>
      <c r="AX203" s="16"/>
    </row>
    <row r="204" spans="2:50" x14ac:dyDescent="0.25">
      <c r="B204" s="16"/>
      <c r="F204" s="16"/>
      <c r="J204" s="16"/>
      <c r="N204" s="16"/>
      <c r="R204" s="16"/>
      <c r="V204" s="16"/>
      <c r="Z204" s="16"/>
      <c r="AD204" s="16"/>
      <c r="AH204" s="16"/>
      <c r="AL204" s="16"/>
      <c r="AP204" s="16"/>
      <c r="AT204" s="16"/>
      <c r="AX204" s="16"/>
    </row>
    <row r="205" spans="2:50" x14ac:dyDescent="0.25">
      <c r="B205" s="16"/>
      <c r="F205" s="16"/>
      <c r="J205" s="16"/>
      <c r="N205" s="16"/>
      <c r="R205" s="16"/>
      <c r="V205" s="16"/>
      <c r="Z205" s="16"/>
      <c r="AD205" s="16"/>
      <c r="AH205" s="16"/>
      <c r="AL205" s="16"/>
      <c r="AP205" s="16"/>
      <c r="AT205" s="16"/>
      <c r="AX205" s="16"/>
    </row>
    <row r="206" spans="2:50" x14ac:dyDescent="0.25">
      <c r="B206" s="16"/>
      <c r="F206" s="16"/>
      <c r="J206" s="16"/>
      <c r="N206" s="16"/>
      <c r="R206" s="16"/>
      <c r="V206" s="16"/>
      <c r="Z206" s="16"/>
      <c r="AD206" s="16"/>
      <c r="AH206" s="16"/>
      <c r="AL206" s="16"/>
      <c r="AP206" s="16"/>
      <c r="AT206" s="16"/>
      <c r="AX206" s="16"/>
    </row>
    <row r="207" spans="2:50" x14ac:dyDescent="0.25">
      <c r="B207" s="16"/>
      <c r="F207" s="16"/>
      <c r="J207" s="16"/>
      <c r="N207" s="16"/>
      <c r="R207" s="16"/>
      <c r="V207" s="16"/>
      <c r="Z207" s="16"/>
      <c r="AD207" s="16"/>
      <c r="AH207" s="16"/>
      <c r="AL207" s="16"/>
      <c r="AP207" s="16"/>
      <c r="AT207" s="16"/>
      <c r="AX207" s="16"/>
    </row>
    <row r="208" spans="2:50" x14ac:dyDescent="0.25">
      <c r="B208" s="16"/>
      <c r="F208" s="16"/>
      <c r="J208" s="16"/>
      <c r="N208" s="16"/>
      <c r="R208" s="16"/>
      <c r="V208" s="16"/>
      <c r="Z208" s="16"/>
      <c r="AD208" s="16"/>
      <c r="AH208" s="16"/>
      <c r="AL208" s="16"/>
      <c r="AP208" s="16"/>
      <c r="AT208" s="16"/>
      <c r="AX208" s="16"/>
    </row>
    <row r="209" spans="2:50" x14ac:dyDescent="0.25">
      <c r="B209" s="16"/>
      <c r="F209" s="16"/>
      <c r="J209" s="16"/>
      <c r="N209" s="16"/>
      <c r="R209" s="16"/>
      <c r="V209" s="16"/>
      <c r="Z209" s="16"/>
      <c r="AD209" s="16"/>
      <c r="AH209" s="16"/>
      <c r="AL209" s="16"/>
      <c r="AP209" s="16"/>
      <c r="AT209" s="16"/>
      <c r="AX209" s="16"/>
    </row>
    <row r="210" spans="2:50" x14ac:dyDescent="0.25">
      <c r="B210" s="16"/>
      <c r="F210" s="16"/>
      <c r="J210" s="16"/>
      <c r="N210" s="16"/>
      <c r="R210" s="16"/>
      <c r="V210" s="16"/>
      <c r="Z210" s="16"/>
      <c r="AD210" s="16"/>
      <c r="AH210" s="16"/>
      <c r="AL210" s="16"/>
      <c r="AP210" s="16"/>
      <c r="AT210" s="16"/>
      <c r="AX210" s="16"/>
    </row>
    <row r="211" spans="2:50" x14ac:dyDescent="0.25">
      <c r="B211" s="16"/>
      <c r="F211" s="16"/>
      <c r="J211" s="16"/>
      <c r="N211" s="16"/>
      <c r="R211" s="16"/>
      <c r="V211" s="16"/>
      <c r="Z211" s="16"/>
      <c r="AD211" s="16"/>
      <c r="AH211" s="16"/>
      <c r="AL211" s="16"/>
      <c r="AP211" s="16"/>
      <c r="AT211" s="16"/>
      <c r="AX211" s="16"/>
    </row>
    <row r="212" spans="2:50" x14ac:dyDescent="0.25">
      <c r="B212" s="16"/>
      <c r="F212" s="16"/>
      <c r="J212" s="16"/>
      <c r="N212" s="16"/>
      <c r="R212" s="16"/>
      <c r="V212" s="16"/>
      <c r="Z212" s="16"/>
      <c r="AD212" s="16"/>
      <c r="AH212" s="16"/>
      <c r="AL212" s="16"/>
      <c r="AP212" s="16"/>
      <c r="AT212" s="16"/>
      <c r="AX212" s="16"/>
    </row>
    <row r="213" spans="2:50" x14ac:dyDescent="0.25">
      <c r="B213" s="16"/>
      <c r="F213" s="16"/>
      <c r="J213" s="16"/>
      <c r="N213" s="16"/>
      <c r="R213" s="16"/>
      <c r="V213" s="16"/>
      <c r="Z213" s="16"/>
      <c r="AD213" s="16"/>
      <c r="AH213" s="16"/>
      <c r="AL213" s="16"/>
      <c r="AP213" s="16"/>
      <c r="AT213" s="16"/>
      <c r="AX213" s="16"/>
    </row>
    <row r="214" spans="2:50" x14ac:dyDescent="0.25">
      <c r="B214" s="16"/>
      <c r="F214" s="16"/>
      <c r="J214" s="16"/>
      <c r="N214" s="16"/>
      <c r="R214" s="16"/>
      <c r="V214" s="16"/>
      <c r="Z214" s="16"/>
      <c r="AD214" s="16"/>
      <c r="AH214" s="16"/>
      <c r="AL214" s="16"/>
      <c r="AP214" s="16"/>
      <c r="AT214" s="16"/>
      <c r="AX214" s="16"/>
    </row>
    <row r="215" spans="2:50" x14ac:dyDescent="0.25">
      <c r="B215" s="16"/>
      <c r="F215" s="16"/>
      <c r="J215" s="16"/>
      <c r="N215" s="16"/>
      <c r="R215" s="16"/>
      <c r="V215" s="16"/>
      <c r="Z215" s="16"/>
      <c r="AD215" s="16"/>
      <c r="AH215" s="16"/>
      <c r="AL215" s="16"/>
      <c r="AP215" s="16"/>
      <c r="AT215" s="16"/>
      <c r="AX215" s="16"/>
    </row>
    <row r="216" spans="2:50" x14ac:dyDescent="0.25">
      <c r="B216" s="16"/>
      <c r="F216" s="16"/>
      <c r="J216" s="16"/>
      <c r="N216" s="16"/>
      <c r="R216" s="16"/>
      <c r="V216" s="16"/>
      <c r="Z216" s="16"/>
      <c r="AD216" s="16"/>
      <c r="AH216" s="16"/>
      <c r="AL216" s="16"/>
      <c r="AP216" s="16"/>
      <c r="AT216" s="16"/>
      <c r="AX216" s="16"/>
    </row>
    <row r="217" spans="2:50" x14ac:dyDescent="0.25">
      <c r="B217" s="16"/>
      <c r="F217" s="16"/>
      <c r="J217" s="16"/>
      <c r="N217" s="16"/>
      <c r="R217" s="16"/>
      <c r="V217" s="16"/>
      <c r="Z217" s="16"/>
      <c r="AD217" s="16"/>
      <c r="AH217" s="16"/>
      <c r="AL217" s="16"/>
      <c r="AP217" s="16"/>
      <c r="AT217" s="16"/>
      <c r="AX217" s="16"/>
    </row>
    <row r="218" spans="2:50" x14ac:dyDescent="0.25">
      <c r="B218" s="16"/>
      <c r="F218" s="16"/>
      <c r="J218" s="16"/>
      <c r="N218" s="16"/>
      <c r="R218" s="16"/>
      <c r="V218" s="16"/>
      <c r="Z218" s="16"/>
      <c r="AD218" s="16"/>
      <c r="AH218" s="16"/>
      <c r="AL218" s="16"/>
      <c r="AP218" s="16"/>
      <c r="AT218" s="16"/>
      <c r="AX218" s="16"/>
    </row>
    <row r="219" spans="2:50" x14ac:dyDescent="0.25">
      <c r="B219" s="16"/>
      <c r="F219" s="16"/>
      <c r="J219" s="16"/>
      <c r="N219" s="16"/>
      <c r="R219" s="16"/>
      <c r="V219" s="16"/>
      <c r="Z219" s="16"/>
      <c r="AD219" s="16"/>
      <c r="AH219" s="16"/>
      <c r="AL219" s="16"/>
      <c r="AP219" s="16"/>
      <c r="AT219" s="16"/>
      <c r="AX219" s="16"/>
    </row>
    <row r="220" spans="2:50" x14ac:dyDescent="0.25">
      <c r="B220" s="16"/>
      <c r="F220" s="16"/>
      <c r="J220" s="16"/>
      <c r="N220" s="16"/>
      <c r="R220" s="16"/>
      <c r="V220" s="16"/>
      <c r="Z220" s="16"/>
      <c r="AD220" s="16"/>
      <c r="AH220" s="16"/>
      <c r="AL220" s="16"/>
      <c r="AP220" s="16"/>
      <c r="AT220" s="16"/>
      <c r="AX220" s="16"/>
    </row>
    <row r="221" spans="2:50" x14ac:dyDescent="0.25">
      <c r="B221" s="16"/>
      <c r="F221" s="16"/>
      <c r="J221" s="16"/>
      <c r="N221" s="16"/>
      <c r="R221" s="16"/>
      <c r="V221" s="16"/>
      <c r="Z221" s="16"/>
      <c r="AD221" s="16"/>
      <c r="AH221" s="16"/>
      <c r="AL221" s="16"/>
      <c r="AP221" s="16"/>
      <c r="AT221" s="16"/>
      <c r="AX221" s="16"/>
    </row>
    <row r="222" spans="2:50" x14ac:dyDescent="0.25">
      <c r="B222" s="16"/>
      <c r="F222" s="16"/>
      <c r="J222" s="16"/>
      <c r="N222" s="16"/>
      <c r="R222" s="16"/>
      <c r="V222" s="16"/>
      <c r="Z222" s="16"/>
      <c r="AD222" s="16"/>
      <c r="AH222" s="16"/>
      <c r="AL222" s="16"/>
      <c r="AP222" s="16"/>
      <c r="AT222" s="16"/>
      <c r="AX222" s="16"/>
    </row>
    <row r="223" spans="2:50" x14ac:dyDescent="0.25">
      <c r="B223" s="16"/>
      <c r="F223" s="16"/>
      <c r="J223" s="16"/>
      <c r="N223" s="16"/>
      <c r="R223" s="16"/>
      <c r="V223" s="16"/>
      <c r="Z223" s="16"/>
      <c r="AD223" s="16"/>
      <c r="AH223" s="16"/>
      <c r="AL223" s="16"/>
      <c r="AP223" s="16"/>
      <c r="AT223" s="16"/>
      <c r="AX223" s="16"/>
    </row>
    <row r="224" spans="2:50" x14ac:dyDescent="0.25">
      <c r="B224" s="16"/>
      <c r="F224" s="16"/>
      <c r="J224" s="16"/>
      <c r="N224" s="16"/>
      <c r="R224" s="16"/>
      <c r="V224" s="16"/>
      <c r="Z224" s="16"/>
      <c r="AD224" s="16"/>
      <c r="AH224" s="16"/>
      <c r="AL224" s="16"/>
      <c r="AP224" s="16"/>
      <c r="AT224" s="16"/>
      <c r="AX224" s="16"/>
    </row>
    <row r="225" spans="2:50" x14ac:dyDescent="0.25">
      <c r="B225" s="16"/>
      <c r="F225" s="16"/>
      <c r="J225" s="16"/>
      <c r="N225" s="16"/>
      <c r="R225" s="16"/>
      <c r="V225" s="16"/>
      <c r="Z225" s="16"/>
      <c r="AD225" s="16"/>
      <c r="AH225" s="16"/>
      <c r="AL225" s="16"/>
      <c r="AP225" s="16"/>
      <c r="AT225" s="16"/>
      <c r="AX225" s="16"/>
    </row>
    <row r="226" spans="2:50" x14ac:dyDescent="0.25">
      <c r="B226" s="16"/>
      <c r="F226" s="16"/>
      <c r="J226" s="16"/>
      <c r="N226" s="16"/>
      <c r="R226" s="16"/>
      <c r="V226" s="16"/>
      <c r="Z226" s="16"/>
      <c r="AD226" s="16"/>
      <c r="AH226" s="16"/>
      <c r="AL226" s="16"/>
      <c r="AP226" s="16"/>
      <c r="AT226" s="16"/>
      <c r="AX226" s="16"/>
    </row>
    <row r="227" spans="2:50" x14ac:dyDescent="0.25">
      <c r="B227" s="16"/>
      <c r="F227" s="16"/>
      <c r="J227" s="16"/>
      <c r="N227" s="16"/>
      <c r="R227" s="16"/>
      <c r="V227" s="16"/>
      <c r="Z227" s="16"/>
      <c r="AD227" s="16"/>
      <c r="AH227" s="16"/>
      <c r="AL227" s="16"/>
      <c r="AP227" s="16"/>
      <c r="AT227" s="16"/>
      <c r="AX227" s="16"/>
    </row>
    <row r="228" spans="2:50" x14ac:dyDescent="0.25">
      <c r="B228" s="16"/>
      <c r="F228" s="16"/>
      <c r="J228" s="16"/>
      <c r="N228" s="16"/>
      <c r="R228" s="16"/>
      <c r="V228" s="16"/>
      <c r="Z228" s="16"/>
      <c r="AD228" s="16"/>
      <c r="AH228" s="16"/>
      <c r="AL228" s="16"/>
      <c r="AP228" s="16"/>
      <c r="AT228" s="16"/>
      <c r="AX228" s="16"/>
    </row>
    <row r="229" spans="2:50" x14ac:dyDescent="0.25">
      <c r="B229" s="16"/>
      <c r="F229" s="16"/>
      <c r="J229" s="16"/>
      <c r="N229" s="16"/>
      <c r="R229" s="16"/>
      <c r="V229" s="16"/>
      <c r="Z229" s="16"/>
      <c r="AD229" s="16"/>
      <c r="AH229" s="16"/>
      <c r="AL229" s="16"/>
      <c r="AP229" s="16"/>
      <c r="AT229" s="16"/>
      <c r="AX229" s="16"/>
    </row>
    <row r="230" spans="2:50" x14ac:dyDescent="0.25">
      <c r="B230" s="16"/>
      <c r="F230" s="16"/>
      <c r="J230" s="16"/>
      <c r="N230" s="16"/>
      <c r="R230" s="16"/>
      <c r="V230" s="16"/>
      <c r="Z230" s="16"/>
      <c r="AD230" s="16"/>
      <c r="AH230" s="16"/>
      <c r="AL230" s="16"/>
      <c r="AP230" s="16"/>
      <c r="AT230" s="16"/>
      <c r="AX230" s="16"/>
    </row>
    <row r="231" spans="2:50" x14ac:dyDescent="0.25">
      <c r="B231" s="16"/>
      <c r="F231" s="16"/>
      <c r="J231" s="16"/>
      <c r="N231" s="16"/>
      <c r="R231" s="16"/>
      <c r="V231" s="16"/>
      <c r="Z231" s="16"/>
      <c r="AD231" s="16"/>
      <c r="AH231" s="16"/>
      <c r="AL231" s="16"/>
      <c r="AP231" s="16"/>
      <c r="AT231" s="16"/>
      <c r="AX231" s="16"/>
    </row>
    <row r="232" spans="2:50" x14ac:dyDescent="0.25">
      <c r="B232" s="16"/>
      <c r="F232" s="16"/>
      <c r="J232" s="16"/>
      <c r="N232" s="16"/>
      <c r="R232" s="16"/>
      <c r="V232" s="16"/>
      <c r="Z232" s="16"/>
      <c r="AD232" s="16"/>
      <c r="AH232" s="16"/>
      <c r="AL232" s="16"/>
      <c r="AP232" s="16"/>
      <c r="AT232" s="16"/>
      <c r="AX232" s="16"/>
    </row>
    <row r="233" spans="2:50" x14ac:dyDescent="0.25">
      <c r="B233" s="16"/>
      <c r="F233" s="16"/>
      <c r="J233" s="16"/>
      <c r="N233" s="16"/>
      <c r="R233" s="16"/>
      <c r="V233" s="16"/>
      <c r="Z233" s="16"/>
      <c r="AD233" s="16"/>
      <c r="AH233" s="16"/>
      <c r="AL233" s="16"/>
      <c r="AP233" s="16"/>
      <c r="AT233" s="16"/>
      <c r="AX233" s="16"/>
    </row>
    <row r="234" spans="2:50" x14ac:dyDescent="0.25">
      <c r="B234" s="16"/>
      <c r="F234" s="16"/>
      <c r="J234" s="16"/>
      <c r="N234" s="16"/>
      <c r="R234" s="16"/>
      <c r="V234" s="16"/>
      <c r="Z234" s="16"/>
      <c r="AD234" s="16"/>
      <c r="AH234" s="16"/>
      <c r="AL234" s="16"/>
      <c r="AP234" s="16"/>
      <c r="AT234" s="16"/>
      <c r="AX234" s="16"/>
    </row>
    <row r="235" spans="2:50" x14ac:dyDescent="0.25">
      <c r="B235" s="16"/>
      <c r="F235" s="16"/>
      <c r="J235" s="16"/>
      <c r="N235" s="16"/>
      <c r="R235" s="16"/>
      <c r="V235" s="16"/>
      <c r="Z235" s="16"/>
      <c r="AD235" s="16"/>
      <c r="AH235" s="16"/>
      <c r="AL235" s="16"/>
      <c r="AP235" s="16"/>
      <c r="AT235" s="16"/>
      <c r="AX235" s="16"/>
    </row>
    <row r="236" spans="2:50" x14ac:dyDescent="0.25">
      <c r="B236" s="16"/>
      <c r="F236" s="16"/>
      <c r="J236" s="16"/>
      <c r="N236" s="16"/>
      <c r="R236" s="16"/>
      <c r="V236" s="16"/>
      <c r="Z236" s="16"/>
      <c r="AD236" s="16"/>
      <c r="AH236" s="16"/>
      <c r="AL236" s="16"/>
      <c r="AP236" s="16"/>
      <c r="AT236" s="16"/>
      <c r="AX236" s="16"/>
    </row>
    <row r="237" spans="2:50" x14ac:dyDescent="0.25">
      <c r="B237" s="16"/>
      <c r="F237" s="16"/>
      <c r="J237" s="16"/>
      <c r="N237" s="16"/>
      <c r="R237" s="16"/>
      <c r="V237" s="16"/>
      <c r="Z237" s="16"/>
      <c r="AD237" s="16"/>
      <c r="AH237" s="16"/>
      <c r="AL237" s="16"/>
      <c r="AP237" s="16"/>
      <c r="AT237" s="16"/>
      <c r="AX237" s="16"/>
    </row>
    <row r="238" spans="2:50" x14ac:dyDescent="0.25">
      <c r="B238" s="16"/>
      <c r="F238" s="16"/>
      <c r="J238" s="16"/>
      <c r="N238" s="16"/>
      <c r="R238" s="16"/>
      <c r="V238" s="16"/>
      <c r="Z238" s="16"/>
      <c r="AD238" s="16"/>
      <c r="AH238" s="16"/>
      <c r="AL238" s="16"/>
      <c r="AP238" s="16"/>
      <c r="AT238" s="16"/>
      <c r="AX238" s="16"/>
    </row>
    <row r="239" spans="2:50" x14ac:dyDescent="0.25">
      <c r="B239" s="16"/>
      <c r="F239" s="16"/>
      <c r="J239" s="16"/>
      <c r="N239" s="16"/>
      <c r="R239" s="16"/>
      <c r="V239" s="16"/>
      <c r="Z239" s="16"/>
      <c r="AD239" s="16"/>
      <c r="AH239" s="16"/>
      <c r="AL239" s="16"/>
      <c r="AP239" s="16"/>
      <c r="AT239" s="16"/>
      <c r="AX239" s="16"/>
    </row>
    <row r="240" spans="2:50" x14ac:dyDescent="0.25">
      <c r="B240" s="16"/>
      <c r="F240" s="16"/>
      <c r="J240" s="16"/>
      <c r="N240" s="16"/>
      <c r="R240" s="16"/>
      <c r="V240" s="16"/>
      <c r="Z240" s="16"/>
      <c r="AD240" s="16"/>
      <c r="AH240" s="16"/>
      <c r="AL240" s="16"/>
      <c r="AP240" s="16"/>
      <c r="AT240" s="16"/>
      <c r="AX240" s="16"/>
    </row>
    <row r="241" spans="2:50" x14ac:dyDescent="0.25">
      <c r="B241" s="16"/>
      <c r="F241" s="16"/>
      <c r="J241" s="16"/>
      <c r="N241" s="16"/>
      <c r="R241" s="16"/>
      <c r="V241" s="16"/>
      <c r="Z241" s="16"/>
      <c r="AD241" s="16"/>
      <c r="AH241" s="16"/>
      <c r="AL241" s="16"/>
      <c r="AP241" s="16"/>
      <c r="AT241" s="16"/>
      <c r="AX241" s="16"/>
    </row>
    <row r="242" spans="2:50" x14ac:dyDescent="0.25">
      <c r="B242" s="16"/>
      <c r="F242" s="16"/>
      <c r="J242" s="16"/>
      <c r="N242" s="16"/>
      <c r="R242" s="16"/>
      <c r="V242" s="16"/>
      <c r="Z242" s="16"/>
      <c r="AD242" s="16"/>
      <c r="AH242" s="16"/>
      <c r="AL242" s="16"/>
      <c r="AP242" s="16"/>
      <c r="AT242" s="16"/>
      <c r="AX242" s="16"/>
    </row>
    <row r="243" spans="2:50" x14ac:dyDescent="0.25">
      <c r="B243" s="16"/>
      <c r="F243" s="16"/>
      <c r="J243" s="16"/>
      <c r="N243" s="16"/>
      <c r="R243" s="16"/>
      <c r="V243" s="16"/>
      <c r="Z243" s="16"/>
      <c r="AD243" s="16"/>
      <c r="AH243" s="16"/>
      <c r="AL243" s="16"/>
      <c r="AP243" s="16"/>
      <c r="AT243" s="16"/>
      <c r="AX243" s="16"/>
    </row>
    <row r="244" spans="2:50" x14ac:dyDescent="0.25">
      <c r="B244" s="16"/>
      <c r="F244" s="16"/>
      <c r="J244" s="16"/>
      <c r="N244" s="16"/>
      <c r="R244" s="16"/>
      <c r="V244" s="16"/>
      <c r="Z244" s="16"/>
      <c r="AD244" s="16"/>
      <c r="AH244" s="16"/>
      <c r="AL244" s="16"/>
      <c r="AP244" s="16"/>
      <c r="AT244" s="16"/>
      <c r="AX244" s="16"/>
    </row>
    <row r="245" spans="2:50" x14ac:dyDescent="0.25">
      <c r="B245" s="16"/>
      <c r="F245" s="16"/>
      <c r="J245" s="16"/>
      <c r="N245" s="16"/>
      <c r="R245" s="16"/>
      <c r="V245" s="16"/>
      <c r="Z245" s="16"/>
      <c r="AD245" s="16"/>
      <c r="AH245" s="16"/>
      <c r="AL245" s="16"/>
      <c r="AP245" s="16"/>
      <c r="AT245" s="16"/>
      <c r="AX245" s="16"/>
    </row>
    <row r="246" spans="2:50" x14ac:dyDescent="0.25">
      <c r="B246" s="16"/>
      <c r="F246" s="16"/>
      <c r="J246" s="16"/>
      <c r="N246" s="16"/>
      <c r="R246" s="16"/>
      <c r="V246" s="16"/>
      <c r="Z246" s="16"/>
      <c r="AD246" s="16"/>
      <c r="AH246" s="16"/>
      <c r="AL246" s="16"/>
      <c r="AP246" s="16"/>
      <c r="AT246" s="16"/>
      <c r="AX246" s="16"/>
    </row>
    <row r="247" spans="2:50" x14ac:dyDescent="0.25">
      <c r="B247" s="16"/>
      <c r="F247" s="16"/>
      <c r="J247" s="16"/>
      <c r="N247" s="16"/>
      <c r="R247" s="16"/>
      <c r="V247" s="16"/>
      <c r="Z247" s="16"/>
      <c r="AD247" s="16"/>
      <c r="AH247" s="16"/>
      <c r="AL247" s="16"/>
      <c r="AP247" s="16"/>
      <c r="AT247" s="16"/>
      <c r="AX247" s="16"/>
    </row>
    <row r="248" spans="2:50" x14ac:dyDescent="0.25">
      <c r="B248" s="16"/>
      <c r="F248" s="16"/>
      <c r="J248" s="16"/>
      <c r="N248" s="16"/>
      <c r="R248" s="16"/>
      <c r="V248" s="16"/>
      <c r="Z248" s="16"/>
      <c r="AD248" s="16"/>
      <c r="AH248" s="16"/>
      <c r="AL248" s="16"/>
      <c r="AP248" s="16"/>
      <c r="AT248" s="16"/>
      <c r="AX248" s="16"/>
    </row>
    <row r="249" spans="2:50" x14ac:dyDescent="0.25">
      <c r="B249" s="16"/>
      <c r="F249" s="16"/>
      <c r="J249" s="16"/>
      <c r="N249" s="16"/>
      <c r="R249" s="16"/>
      <c r="V249" s="16"/>
      <c r="Z249" s="16"/>
      <c r="AD249" s="16"/>
      <c r="AH249" s="16"/>
      <c r="AL249" s="16"/>
      <c r="AP249" s="16"/>
      <c r="AT249" s="16"/>
      <c r="AX249" s="16"/>
    </row>
    <row r="250" spans="2:50" x14ac:dyDescent="0.25">
      <c r="B250" s="16"/>
      <c r="F250" s="16"/>
      <c r="J250" s="16"/>
      <c r="N250" s="16"/>
      <c r="R250" s="16"/>
      <c r="V250" s="16"/>
      <c r="Z250" s="16"/>
      <c r="AD250" s="16"/>
      <c r="AH250" s="16"/>
      <c r="AL250" s="16"/>
      <c r="AP250" s="16"/>
      <c r="AT250" s="16"/>
      <c r="AX250" s="16"/>
    </row>
    <row r="251" spans="2:50" x14ac:dyDescent="0.25">
      <c r="B251" s="16"/>
      <c r="F251" s="16"/>
      <c r="J251" s="16"/>
      <c r="N251" s="16"/>
      <c r="R251" s="16"/>
      <c r="V251" s="16"/>
      <c r="Z251" s="16"/>
      <c r="AD251" s="16"/>
      <c r="AH251" s="16"/>
      <c r="AL251" s="16"/>
      <c r="AP251" s="16"/>
      <c r="AT251" s="16"/>
      <c r="AX251" s="16"/>
    </row>
    <row r="252" spans="2:50" x14ac:dyDescent="0.25">
      <c r="B252" s="16"/>
      <c r="F252" s="16"/>
      <c r="J252" s="16"/>
      <c r="N252" s="16"/>
      <c r="R252" s="16"/>
      <c r="V252" s="16"/>
      <c r="Z252" s="16"/>
      <c r="AD252" s="16"/>
      <c r="AH252" s="16"/>
      <c r="AL252" s="16"/>
      <c r="AP252" s="16"/>
      <c r="AT252" s="16"/>
      <c r="AX252" s="16"/>
    </row>
    <row r="253" spans="2:50" x14ac:dyDescent="0.25">
      <c r="B253" s="16"/>
      <c r="F253" s="16"/>
      <c r="J253" s="16"/>
      <c r="N253" s="16"/>
      <c r="R253" s="16"/>
      <c r="V253" s="16"/>
      <c r="Z253" s="16"/>
      <c r="AD253" s="16"/>
      <c r="AH253" s="16"/>
      <c r="AL253" s="16"/>
      <c r="AP253" s="16"/>
      <c r="AT253" s="16"/>
      <c r="AX253" s="16"/>
    </row>
    <row r="254" spans="2:50" x14ac:dyDescent="0.25">
      <c r="B254" s="16"/>
      <c r="F254" s="16"/>
      <c r="J254" s="16"/>
      <c r="N254" s="16"/>
      <c r="R254" s="16"/>
      <c r="V254" s="16"/>
      <c r="Z254" s="16"/>
      <c r="AD254" s="16"/>
      <c r="AH254" s="16"/>
      <c r="AL254" s="16"/>
      <c r="AP254" s="16"/>
      <c r="AT254" s="16"/>
      <c r="AX254" s="16"/>
    </row>
    <row r="255" spans="2:50" x14ac:dyDescent="0.25">
      <c r="B255" s="16"/>
      <c r="F255" s="16"/>
      <c r="J255" s="16"/>
      <c r="N255" s="16"/>
      <c r="R255" s="16"/>
      <c r="V255" s="16"/>
      <c r="Z255" s="16"/>
      <c r="AD255" s="16"/>
      <c r="AH255" s="16"/>
      <c r="AL255" s="16"/>
      <c r="AP255" s="16"/>
      <c r="AT255" s="16"/>
      <c r="AX255" s="16"/>
    </row>
    <row r="256" spans="2:50" x14ac:dyDescent="0.25">
      <c r="B256" s="16"/>
      <c r="F256" s="16"/>
      <c r="J256" s="16"/>
      <c r="N256" s="16"/>
      <c r="R256" s="16"/>
      <c r="V256" s="16"/>
      <c r="Z256" s="16"/>
      <c r="AD256" s="16"/>
      <c r="AH256" s="16"/>
      <c r="AL256" s="16"/>
      <c r="AP256" s="16"/>
      <c r="AT256" s="16"/>
      <c r="AX256" s="16"/>
    </row>
    <row r="257" spans="2:50" x14ac:dyDescent="0.25">
      <c r="B257" s="16"/>
      <c r="F257" s="16"/>
      <c r="J257" s="16"/>
      <c r="N257" s="16"/>
      <c r="R257" s="16"/>
      <c r="V257" s="16"/>
      <c r="Z257" s="16"/>
      <c r="AD257" s="16"/>
      <c r="AH257" s="16"/>
      <c r="AL257" s="16"/>
      <c r="AP257" s="16"/>
      <c r="AT257" s="16"/>
      <c r="AX257" s="16"/>
    </row>
    <row r="258" spans="2:50" x14ac:dyDescent="0.25">
      <c r="B258" s="16"/>
      <c r="F258" s="16"/>
      <c r="J258" s="16"/>
      <c r="N258" s="16"/>
      <c r="R258" s="16"/>
      <c r="V258" s="16"/>
      <c r="Z258" s="16"/>
      <c r="AD258" s="16"/>
      <c r="AH258" s="16"/>
      <c r="AL258" s="16"/>
      <c r="AP258" s="16"/>
      <c r="AT258" s="16"/>
      <c r="AX258" s="16"/>
    </row>
    <row r="259" spans="2:50" x14ac:dyDescent="0.25">
      <c r="B259" s="16"/>
      <c r="F259" s="16"/>
      <c r="J259" s="16"/>
      <c r="N259" s="16"/>
      <c r="R259" s="16"/>
      <c r="V259" s="16"/>
      <c r="Z259" s="16"/>
      <c r="AD259" s="16"/>
      <c r="AH259" s="16"/>
      <c r="AL259" s="16"/>
      <c r="AP259" s="16"/>
      <c r="AT259" s="16"/>
      <c r="AX259" s="16"/>
    </row>
    <row r="260" spans="2:50" x14ac:dyDescent="0.25">
      <c r="B260" s="16"/>
      <c r="F260" s="16"/>
      <c r="J260" s="16"/>
      <c r="N260" s="16"/>
      <c r="R260" s="16"/>
      <c r="V260" s="16"/>
      <c r="Z260" s="16"/>
      <c r="AD260" s="16"/>
      <c r="AH260" s="16"/>
      <c r="AL260" s="16"/>
      <c r="AP260" s="16"/>
      <c r="AT260" s="16"/>
      <c r="AX260" s="16"/>
    </row>
    <row r="261" spans="2:50" x14ac:dyDescent="0.25">
      <c r="B261" s="16"/>
      <c r="F261" s="16"/>
      <c r="J261" s="16"/>
      <c r="N261" s="16"/>
      <c r="R261" s="16"/>
      <c r="V261" s="16"/>
      <c r="Z261" s="16"/>
      <c r="AD261" s="16"/>
      <c r="AH261" s="16"/>
      <c r="AL261" s="16"/>
      <c r="AP261" s="16"/>
      <c r="AT261" s="16"/>
      <c r="AX261" s="16"/>
    </row>
    <row r="262" spans="2:50" x14ac:dyDescent="0.25">
      <c r="B262" s="16"/>
      <c r="F262" s="16"/>
      <c r="J262" s="16"/>
      <c r="N262" s="16"/>
      <c r="R262" s="16"/>
      <c r="V262" s="16"/>
      <c r="Z262" s="16"/>
      <c r="AD262" s="16"/>
      <c r="AH262" s="16"/>
      <c r="AL262" s="16"/>
      <c r="AP262" s="16"/>
      <c r="AT262" s="16"/>
      <c r="AX262" s="16"/>
    </row>
    <row r="263" spans="2:50" x14ac:dyDescent="0.25">
      <c r="B263" s="16"/>
      <c r="F263" s="16"/>
      <c r="J263" s="16"/>
      <c r="N263" s="16"/>
      <c r="R263" s="16"/>
      <c r="V263" s="16"/>
      <c r="Z263" s="16"/>
      <c r="AD263" s="16"/>
      <c r="AH263" s="16"/>
      <c r="AL263" s="16"/>
      <c r="AP263" s="16"/>
      <c r="AT263" s="16"/>
      <c r="AX263" s="16"/>
    </row>
    <row r="264" spans="2:50" x14ac:dyDescent="0.25">
      <c r="B264" s="16"/>
      <c r="F264" s="16"/>
      <c r="J264" s="16"/>
      <c r="N264" s="16"/>
      <c r="R264" s="16"/>
      <c r="V264" s="16"/>
      <c r="Z264" s="16"/>
      <c r="AD264" s="16"/>
      <c r="AH264" s="16"/>
      <c r="AL264" s="16"/>
      <c r="AP264" s="16"/>
      <c r="AT264" s="16"/>
      <c r="AX264" s="16"/>
    </row>
    <row r="265" spans="2:50" x14ac:dyDescent="0.25">
      <c r="B265" s="16"/>
      <c r="F265" s="16"/>
      <c r="J265" s="16"/>
      <c r="N265" s="16"/>
      <c r="R265" s="16"/>
      <c r="V265" s="16"/>
      <c r="Z265" s="16"/>
      <c r="AD265" s="16"/>
      <c r="AH265" s="16"/>
      <c r="AL265" s="16"/>
      <c r="AP265" s="16"/>
      <c r="AT265" s="16"/>
      <c r="AX265" s="16"/>
    </row>
    <row r="266" spans="2:50" x14ac:dyDescent="0.25">
      <c r="B266" s="16"/>
      <c r="F266" s="16"/>
      <c r="J266" s="16"/>
      <c r="N266" s="16"/>
      <c r="R266" s="16"/>
      <c r="V266" s="16"/>
      <c r="Z266" s="16"/>
      <c r="AD266" s="16"/>
      <c r="AH266" s="16"/>
      <c r="AL266" s="16"/>
      <c r="AP266" s="16"/>
      <c r="AT266" s="16"/>
      <c r="AX266" s="16"/>
    </row>
    <row r="267" spans="2:50" x14ac:dyDescent="0.25">
      <c r="B267" s="16"/>
      <c r="F267" s="16"/>
      <c r="J267" s="16"/>
      <c r="N267" s="16"/>
      <c r="R267" s="16"/>
      <c r="V267" s="16"/>
      <c r="Z267" s="16"/>
      <c r="AD267" s="16"/>
      <c r="AH267" s="16"/>
      <c r="AL267" s="16"/>
      <c r="AP267" s="16"/>
      <c r="AT267" s="16"/>
      <c r="AX267" s="16"/>
    </row>
    <row r="268" spans="2:50" x14ac:dyDescent="0.25">
      <c r="B268" s="16"/>
      <c r="F268" s="16"/>
      <c r="J268" s="16"/>
      <c r="N268" s="16"/>
      <c r="R268" s="16"/>
      <c r="V268" s="16"/>
      <c r="Z268" s="16"/>
      <c r="AD268" s="16"/>
      <c r="AH268" s="16"/>
      <c r="AL268" s="16"/>
      <c r="AP268" s="16"/>
      <c r="AT268" s="16"/>
      <c r="AX268" s="16"/>
    </row>
    <row r="269" spans="2:50" x14ac:dyDescent="0.25">
      <c r="B269" s="16"/>
      <c r="F269" s="16"/>
      <c r="J269" s="16"/>
      <c r="N269" s="16"/>
      <c r="R269" s="16"/>
      <c r="V269" s="16"/>
      <c r="Z269" s="16"/>
      <c r="AD269" s="16"/>
      <c r="AH269" s="16"/>
      <c r="AL269" s="16"/>
      <c r="AP269" s="16"/>
      <c r="AT269" s="16"/>
      <c r="AX269" s="16"/>
    </row>
    <row r="270" spans="2:50" x14ac:dyDescent="0.25">
      <c r="B270" s="16"/>
      <c r="F270" s="16"/>
      <c r="J270" s="16"/>
      <c r="N270" s="16"/>
      <c r="R270" s="16"/>
      <c r="V270" s="16"/>
      <c r="Z270" s="16"/>
      <c r="AD270" s="16"/>
      <c r="AH270" s="16"/>
      <c r="AL270" s="16"/>
      <c r="AP270" s="16"/>
      <c r="AT270" s="16"/>
      <c r="AX270" s="16"/>
    </row>
    <row r="271" spans="2:50" x14ac:dyDescent="0.25">
      <c r="B271" s="16"/>
      <c r="F271" s="16"/>
      <c r="J271" s="16"/>
      <c r="N271" s="16"/>
      <c r="R271" s="16"/>
      <c r="V271" s="16"/>
      <c r="Z271" s="16"/>
      <c r="AD271" s="16"/>
      <c r="AH271" s="16"/>
      <c r="AL271" s="16"/>
      <c r="AP271" s="16"/>
      <c r="AT271" s="16"/>
      <c r="AX271" s="16"/>
    </row>
    <row r="272" spans="2:50" x14ac:dyDescent="0.25">
      <c r="B272" s="16"/>
      <c r="F272" s="16"/>
      <c r="J272" s="16"/>
      <c r="N272" s="16"/>
      <c r="R272" s="16"/>
      <c r="V272" s="16"/>
      <c r="Z272" s="16"/>
      <c r="AD272" s="16"/>
      <c r="AH272" s="16"/>
      <c r="AL272" s="16"/>
      <c r="AP272" s="16"/>
      <c r="AT272" s="16"/>
      <c r="AX272" s="16"/>
    </row>
    <row r="273" spans="2:50" x14ac:dyDescent="0.25">
      <c r="B273" s="16"/>
      <c r="F273" s="16"/>
      <c r="J273" s="16"/>
      <c r="N273" s="16"/>
      <c r="R273" s="16"/>
      <c r="V273" s="16"/>
      <c r="Z273" s="16"/>
      <c r="AD273" s="16"/>
      <c r="AH273" s="16"/>
      <c r="AL273" s="16"/>
      <c r="AP273" s="16"/>
      <c r="AT273" s="16"/>
      <c r="AX273" s="16"/>
    </row>
    <row r="274" spans="2:50" x14ac:dyDescent="0.25">
      <c r="B274" s="16"/>
      <c r="F274" s="16"/>
      <c r="J274" s="16"/>
      <c r="N274" s="16"/>
      <c r="R274" s="16"/>
      <c r="V274" s="16"/>
      <c r="Z274" s="16"/>
      <c r="AD274" s="16"/>
      <c r="AH274" s="16"/>
      <c r="AL274" s="16"/>
      <c r="AP274" s="16"/>
      <c r="AT274" s="16"/>
      <c r="AX274" s="16"/>
    </row>
    <row r="275" spans="2:50" x14ac:dyDescent="0.25">
      <c r="B275" s="16"/>
      <c r="F275" s="16"/>
      <c r="J275" s="16"/>
      <c r="N275" s="16"/>
      <c r="R275" s="16"/>
      <c r="V275" s="16"/>
      <c r="Z275" s="16"/>
      <c r="AD275" s="16"/>
      <c r="AH275" s="16"/>
      <c r="AL275" s="16"/>
      <c r="AP275" s="16"/>
      <c r="AT275" s="16"/>
      <c r="AX275" s="16"/>
    </row>
    <row r="276" spans="2:50" x14ac:dyDescent="0.25">
      <c r="B276" s="16"/>
      <c r="F276" s="16"/>
      <c r="J276" s="16"/>
      <c r="N276" s="16"/>
      <c r="R276" s="16"/>
      <c r="V276" s="16"/>
      <c r="Z276" s="16"/>
      <c r="AD276" s="16"/>
      <c r="AH276" s="16"/>
      <c r="AL276" s="16"/>
      <c r="AP276" s="16"/>
      <c r="AT276" s="16"/>
      <c r="AX276" s="16"/>
    </row>
    <row r="277" spans="2:50" x14ac:dyDescent="0.25">
      <c r="B277" s="16"/>
      <c r="F277" s="16"/>
      <c r="J277" s="16"/>
      <c r="N277" s="16"/>
      <c r="R277" s="16"/>
      <c r="V277" s="16"/>
      <c r="Z277" s="16"/>
      <c r="AD277" s="16"/>
      <c r="AH277" s="16"/>
      <c r="AL277" s="16"/>
      <c r="AP277" s="16"/>
      <c r="AT277" s="16"/>
      <c r="AX277" s="16"/>
    </row>
    <row r="278" spans="2:50" x14ac:dyDescent="0.25">
      <c r="B278" s="16"/>
      <c r="F278" s="16"/>
      <c r="J278" s="16"/>
      <c r="N278" s="16"/>
      <c r="R278" s="16"/>
      <c r="V278" s="16"/>
      <c r="Z278" s="16"/>
      <c r="AD278" s="16"/>
      <c r="AH278" s="16"/>
      <c r="AL278" s="16"/>
      <c r="AP278" s="16"/>
      <c r="AT278" s="16"/>
      <c r="AX278" s="16"/>
    </row>
    <row r="279" spans="2:50" x14ac:dyDescent="0.25">
      <c r="B279" s="16"/>
      <c r="F279" s="16"/>
      <c r="J279" s="16"/>
      <c r="N279" s="16"/>
      <c r="R279" s="16"/>
      <c r="V279" s="16"/>
      <c r="Z279" s="16"/>
      <c r="AD279" s="16"/>
      <c r="AH279" s="16"/>
      <c r="AL279" s="16"/>
      <c r="AP279" s="16"/>
      <c r="AT279" s="16"/>
      <c r="AX279" s="16"/>
    </row>
    <row r="280" spans="2:50" x14ac:dyDescent="0.25">
      <c r="B280" s="16"/>
      <c r="F280" s="16"/>
      <c r="J280" s="16"/>
      <c r="N280" s="16"/>
      <c r="R280" s="16"/>
      <c r="V280" s="16"/>
      <c r="Z280" s="16"/>
      <c r="AD280" s="16"/>
      <c r="AH280" s="16"/>
      <c r="AL280" s="16"/>
      <c r="AP280" s="16"/>
      <c r="AT280" s="16"/>
      <c r="AX280" s="16"/>
    </row>
    <row r="281" spans="2:50" x14ac:dyDescent="0.25">
      <c r="B281" s="16"/>
      <c r="F281" s="16"/>
      <c r="J281" s="16"/>
      <c r="N281" s="16"/>
      <c r="R281" s="16"/>
      <c r="V281" s="16"/>
      <c r="Z281" s="16"/>
      <c r="AD281" s="16"/>
      <c r="AH281" s="16"/>
      <c r="AL281" s="16"/>
      <c r="AP281" s="16"/>
      <c r="AT281" s="16"/>
      <c r="AX281" s="16"/>
    </row>
    <row r="282" spans="2:50" x14ac:dyDescent="0.25">
      <c r="B282" s="16"/>
      <c r="F282" s="16"/>
      <c r="J282" s="16"/>
      <c r="N282" s="16"/>
      <c r="R282" s="16"/>
      <c r="V282" s="16"/>
      <c r="Z282" s="16"/>
      <c r="AD282" s="16"/>
      <c r="AH282" s="16"/>
      <c r="AL282" s="16"/>
      <c r="AP282" s="16"/>
      <c r="AT282" s="16"/>
      <c r="AX282" s="16"/>
    </row>
    <row r="283" spans="2:50" x14ac:dyDescent="0.25">
      <c r="B283" s="16"/>
      <c r="F283" s="16"/>
      <c r="J283" s="16"/>
      <c r="N283" s="16"/>
      <c r="R283" s="16"/>
      <c r="V283" s="16"/>
      <c r="Z283" s="16"/>
      <c r="AD283" s="16"/>
      <c r="AH283" s="16"/>
      <c r="AL283" s="16"/>
      <c r="AP283" s="16"/>
      <c r="AT283" s="16"/>
      <c r="AX283" s="16"/>
    </row>
    <row r="284" spans="2:50" x14ac:dyDescent="0.25">
      <c r="B284" s="16"/>
      <c r="F284" s="16"/>
      <c r="J284" s="16"/>
      <c r="N284" s="16"/>
      <c r="R284" s="16"/>
      <c r="V284" s="16"/>
      <c r="Z284" s="16"/>
      <c r="AD284" s="16"/>
      <c r="AH284" s="16"/>
      <c r="AL284" s="16"/>
      <c r="AP284" s="16"/>
      <c r="AT284" s="16"/>
      <c r="AX284" s="16"/>
    </row>
    <row r="285" spans="2:50" x14ac:dyDescent="0.25">
      <c r="B285" s="16"/>
      <c r="F285" s="16"/>
      <c r="J285" s="16"/>
      <c r="N285" s="16"/>
      <c r="R285" s="16"/>
      <c r="V285" s="16"/>
      <c r="Z285" s="16"/>
      <c r="AD285" s="16"/>
      <c r="AH285" s="16"/>
      <c r="AL285" s="16"/>
      <c r="AP285" s="16"/>
      <c r="AT285" s="16"/>
      <c r="AX285" s="16"/>
    </row>
    <row r="286" spans="2:50" x14ac:dyDescent="0.25">
      <c r="B286" s="16"/>
      <c r="F286" s="16"/>
      <c r="J286" s="16"/>
      <c r="N286" s="16"/>
      <c r="R286" s="16"/>
      <c r="V286" s="16"/>
      <c r="Z286" s="16"/>
      <c r="AD286" s="16"/>
      <c r="AH286" s="16"/>
      <c r="AL286" s="16"/>
      <c r="AP286" s="16"/>
      <c r="AT286" s="16"/>
      <c r="AX286" s="16"/>
    </row>
    <row r="287" spans="2:50" x14ac:dyDescent="0.25">
      <c r="B287" s="16"/>
      <c r="F287" s="16"/>
      <c r="J287" s="16"/>
      <c r="N287" s="16"/>
      <c r="R287" s="16"/>
      <c r="V287" s="16"/>
      <c r="Z287" s="16"/>
      <c r="AD287" s="16"/>
      <c r="AH287" s="16"/>
      <c r="AL287" s="16"/>
      <c r="AP287" s="16"/>
      <c r="AT287" s="16"/>
      <c r="AX287" s="16"/>
    </row>
    <row r="288" spans="2:50" x14ac:dyDescent="0.25">
      <c r="B288" s="16"/>
      <c r="F288" s="16"/>
      <c r="J288" s="16"/>
      <c r="N288" s="16"/>
      <c r="R288" s="16"/>
      <c r="V288" s="16"/>
      <c r="Z288" s="16"/>
      <c r="AD288" s="16"/>
      <c r="AH288" s="16"/>
      <c r="AL288" s="16"/>
      <c r="AP288" s="16"/>
      <c r="AT288" s="16"/>
      <c r="AX288" s="16"/>
    </row>
    <row r="289" spans="2:50" x14ac:dyDescent="0.25">
      <c r="B289" s="16"/>
      <c r="F289" s="16"/>
      <c r="J289" s="16"/>
      <c r="N289" s="16"/>
      <c r="R289" s="16"/>
      <c r="V289" s="16"/>
      <c r="Z289" s="16"/>
      <c r="AD289" s="16"/>
      <c r="AH289" s="16"/>
      <c r="AL289" s="16"/>
      <c r="AP289" s="16"/>
      <c r="AT289" s="16"/>
      <c r="AX289" s="16"/>
    </row>
    <row r="290" spans="2:50" x14ac:dyDescent="0.25">
      <c r="B290" s="16"/>
      <c r="F290" s="16"/>
      <c r="J290" s="16"/>
      <c r="N290" s="16"/>
      <c r="R290" s="16"/>
      <c r="V290" s="16"/>
      <c r="Z290" s="16"/>
      <c r="AD290" s="16"/>
      <c r="AH290" s="16"/>
      <c r="AL290" s="16"/>
      <c r="AP290" s="16"/>
      <c r="AT290" s="16"/>
      <c r="AX290" s="16"/>
    </row>
    <row r="291" spans="2:50" x14ac:dyDescent="0.25">
      <c r="B291" s="16"/>
      <c r="F291" s="16"/>
      <c r="J291" s="16"/>
      <c r="N291" s="16"/>
      <c r="R291" s="16"/>
      <c r="V291" s="16"/>
      <c r="Z291" s="16"/>
      <c r="AD291" s="16"/>
      <c r="AH291" s="16"/>
      <c r="AL291" s="16"/>
      <c r="AP291" s="16"/>
      <c r="AT291" s="16"/>
      <c r="AX291" s="16"/>
    </row>
    <row r="292" spans="2:50" x14ac:dyDescent="0.25">
      <c r="B292" s="16"/>
      <c r="F292" s="16"/>
      <c r="J292" s="16"/>
      <c r="N292" s="16"/>
      <c r="R292" s="16"/>
      <c r="V292" s="16"/>
      <c r="Z292" s="16"/>
      <c r="AD292" s="16"/>
      <c r="AH292" s="16"/>
      <c r="AL292" s="16"/>
      <c r="AP292" s="16"/>
      <c r="AT292" s="16"/>
      <c r="AX292" s="16"/>
    </row>
    <row r="293" spans="2:50" x14ac:dyDescent="0.25">
      <c r="B293" s="16"/>
      <c r="F293" s="16"/>
      <c r="J293" s="16"/>
      <c r="N293" s="16"/>
      <c r="R293" s="16"/>
      <c r="V293" s="16"/>
      <c r="Z293" s="16"/>
      <c r="AD293" s="16"/>
      <c r="AH293" s="16"/>
      <c r="AL293" s="16"/>
      <c r="AP293" s="16"/>
      <c r="AT293" s="16"/>
      <c r="AX293" s="16"/>
    </row>
    <row r="294" spans="2:50" x14ac:dyDescent="0.25">
      <c r="B294" s="16"/>
      <c r="F294" s="16"/>
      <c r="J294" s="16"/>
      <c r="N294" s="16"/>
      <c r="R294" s="16"/>
      <c r="V294" s="16"/>
      <c r="Z294" s="16"/>
      <c r="AD294" s="16"/>
      <c r="AH294" s="16"/>
      <c r="AL294" s="16"/>
      <c r="AP294" s="16"/>
      <c r="AT294" s="16"/>
      <c r="AX294" s="16"/>
    </row>
    <row r="295" spans="2:50" x14ac:dyDescent="0.25">
      <c r="B295" s="16"/>
      <c r="F295" s="16"/>
      <c r="J295" s="16"/>
      <c r="N295" s="16"/>
      <c r="R295" s="16"/>
      <c r="V295" s="16"/>
      <c r="Z295" s="16"/>
      <c r="AD295" s="16"/>
      <c r="AH295" s="16"/>
      <c r="AL295" s="16"/>
      <c r="AP295" s="16"/>
      <c r="AT295" s="16"/>
      <c r="AX295" s="16"/>
    </row>
    <row r="296" spans="2:50" x14ac:dyDescent="0.25">
      <c r="B296" s="16"/>
      <c r="F296" s="16"/>
      <c r="J296" s="16"/>
      <c r="N296" s="16"/>
      <c r="R296" s="16"/>
      <c r="V296" s="16"/>
      <c r="Z296" s="16"/>
      <c r="AD296" s="16"/>
      <c r="AH296" s="16"/>
      <c r="AL296" s="16"/>
      <c r="AP296" s="16"/>
      <c r="AT296" s="16"/>
      <c r="AX296" s="16"/>
    </row>
    <row r="297" spans="2:50" x14ac:dyDescent="0.25">
      <c r="B297" s="16"/>
      <c r="F297" s="16"/>
      <c r="J297" s="16"/>
      <c r="N297" s="16"/>
      <c r="R297" s="16"/>
      <c r="V297" s="16"/>
      <c r="Z297" s="16"/>
      <c r="AD297" s="16"/>
      <c r="AH297" s="16"/>
      <c r="AL297" s="16"/>
      <c r="AP297" s="16"/>
      <c r="AT297" s="16"/>
      <c r="AX297" s="16"/>
    </row>
    <row r="298" spans="2:50" x14ac:dyDescent="0.25">
      <c r="B298" s="16"/>
      <c r="F298" s="16"/>
      <c r="J298" s="16"/>
      <c r="N298" s="16"/>
      <c r="R298" s="16"/>
      <c r="V298" s="16"/>
      <c r="Z298" s="16"/>
      <c r="AD298" s="16"/>
      <c r="AH298" s="16"/>
      <c r="AL298" s="16"/>
      <c r="AP298" s="16"/>
      <c r="AT298" s="16"/>
      <c r="AX298" s="16"/>
    </row>
    <row r="299" spans="2:50" x14ac:dyDescent="0.25">
      <c r="B299" s="16"/>
      <c r="F299" s="16"/>
      <c r="J299" s="16"/>
      <c r="N299" s="16"/>
      <c r="R299" s="16"/>
      <c r="V299" s="16"/>
      <c r="Z299" s="16"/>
      <c r="AD299" s="16"/>
      <c r="AH299" s="16"/>
      <c r="AL299" s="16"/>
      <c r="AP299" s="16"/>
      <c r="AT299" s="16"/>
      <c r="AX299" s="16"/>
    </row>
    <row r="300" spans="2:50" x14ac:dyDescent="0.25">
      <c r="B300" s="16"/>
      <c r="F300" s="16"/>
      <c r="J300" s="16"/>
      <c r="N300" s="16"/>
      <c r="R300" s="16"/>
      <c r="V300" s="16"/>
      <c r="Z300" s="16"/>
      <c r="AD300" s="16"/>
      <c r="AH300" s="16"/>
      <c r="AL300" s="16"/>
      <c r="AP300" s="16"/>
      <c r="AT300" s="16"/>
      <c r="AX300" s="16"/>
    </row>
    <row r="301" spans="2:50" x14ac:dyDescent="0.25">
      <c r="B301" s="16"/>
      <c r="F301" s="16"/>
      <c r="J301" s="16"/>
      <c r="N301" s="16"/>
      <c r="R301" s="16"/>
      <c r="V301" s="16"/>
      <c r="Z301" s="16"/>
      <c r="AD301" s="16"/>
      <c r="AH301" s="16"/>
      <c r="AL301" s="16"/>
      <c r="AP301" s="16"/>
      <c r="AT301" s="16"/>
      <c r="AX301" s="16"/>
    </row>
    <row r="302" spans="2:50" x14ac:dyDescent="0.25">
      <c r="B302" s="16"/>
      <c r="F302" s="16"/>
      <c r="J302" s="16"/>
      <c r="N302" s="16"/>
      <c r="R302" s="16"/>
      <c r="V302" s="16"/>
      <c r="Z302" s="16"/>
      <c r="AD302" s="16"/>
      <c r="AH302" s="16"/>
      <c r="AL302" s="16"/>
      <c r="AP302" s="16"/>
      <c r="AT302" s="16"/>
      <c r="AX302" s="16"/>
    </row>
    <row r="303" spans="2:50" x14ac:dyDescent="0.25">
      <c r="B303" s="16"/>
      <c r="F303" s="16"/>
      <c r="J303" s="16"/>
      <c r="N303" s="16"/>
      <c r="R303" s="16"/>
      <c r="V303" s="16"/>
      <c r="Z303" s="16"/>
      <c r="AD303" s="16"/>
      <c r="AH303" s="16"/>
      <c r="AL303" s="16"/>
      <c r="AP303" s="16"/>
      <c r="AT303" s="16"/>
      <c r="AX303" s="16"/>
    </row>
    <row r="304" spans="2:50" x14ac:dyDescent="0.25">
      <c r="B304" s="16"/>
      <c r="F304" s="16"/>
      <c r="J304" s="16"/>
      <c r="N304" s="16"/>
      <c r="R304" s="16"/>
      <c r="V304" s="16"/>
      <c r="Z304" s="16"/>
      <c r="AD304" s="16"/>
      <c r="AH304" s="16"/>
      <c r="AL304" s="16"/>
      <c r="AP304" s="16"/>
      <c r="AT304" s="16"/>
      <c r="AX304" s="16"/>
    </row>
    <row r="305" spans="2:50" x14ac:dyDescent="0.25">
      <c r="B305" s="16"/>
      <c r="F305" s="16"/>
      <c r="J305" s="16"/>
      <c r="N305" s="16"/>
      <c r="R305" s="16"/>
      <c r="V305" s="16"/>
      <c r="Z305" s="16"/>
      <c r="AD305" s="16"/>
      <c r="AH305" s="16"/>
      <c r="AL305" s="16"/>
      <c r="AP305" s="16"/>
      <c r="AT305" s="16"/>
      <c r="AX305" s="16"/>
    </row>
    <row r="306" spans="2:50" x14ac:dyDescent="0.25">
      <c r="B306" s="16"/>
      <c r="F306" s="16"/>
      <c r="J306" s="16"/>
      <c r="N306" s="16"/>
      <c r="R306" s="16"/>
      <c r="V306" s="16"/>
      <c r="Z306" s="16"/>
      <c r="AD306" s="16"/>
      <c r="AH306" s="16"/>
      <c r="AL306" s="16"/>
      <c r="AP306" s="16"/>
      <c r="AT306" s="16"/>
      <c r="AX306" s="16"/>
    </row>
    <row r="307" spans="2:50" x14ac:dyDescent="0.25">
      <c r="B307" s="16"/>
      <c r="F307" s="16"/>
      <c r="J307" s="16"/>
      <c r="N307" s="16"/>
      <c r="R307" s="16"/>
      <c r="V307" s="16"/>
      <c r="Z307" s="16"/>
      <c r="AD307" s="16"/>
      <c r="AH307" s="16"/>
      <c r="AL307" s="16"/>
      <c r="AP307" s="16"/>
      <c r="AT307" s="16"/>
      <c r="AX307" s="16"/>
    </row>
    <row r="308" spans="2:50" x14ac:dyDescent="0.25">
      <c r="B308" s="16"/>
      <c r="F308" s="16"/>
      <c r="J308" s="16"/>
      <c r="N308" s="16"/>
      <c r="R308" s="16"/>
      <c r="V308" s="16"/>
      <c r="Z308" s="16"/>
      <c r="AD308" s="16"/>
      <c r="AH308" s="16"/>
      <c r="AL308" s="16"/>
      <c r="AP308" s="16"/>
      <c r="AT308" s="16"/>
      <c r="AX308" s="16"/>
    </row>
    <row r="309" spans="2:50" x14ac:dyDescent="0.25">
      <c r="B309" s="16"/>
      <c r="F309" s="16"/>
      <c r="J309" s="16"/>
      <c r="N309" s="16"/>
      <c r="R309" s="16"/>
      <c r="V309" s="16"/>
      <c r="Z309" s="16"/>
      <c r="AD309" s="16"/>
      <c r="AH309" s="16"/>
      <c r="AL309" s="16"/>
      <c r="AP309" s="16"/>
      <c r="AT309" s="16"/>
      <c r="AX309" s="16"/>
    </row>
    <row r="310" spans="2:50" x14ac:dyDescent="0.25">
      <c r="B310" s="16"/>
      <c r="F310" s="16"/>
      <c r="J310" s="16"/>
      <c r="N310" s="16"/>
      <c r="R310" s="16"/>
      <c r="V310" s="16"/>
      <c r="Z310" s="16"/>
      <c r="AD310" s="16"/>
      <c r="AH310" s="16"/>
      <c r="AL310" s="16"/>
      <c r="AP310" s="16"/>
      <c r="AT310" s="16"/>
      <c r="AX310" s="16"/>
    </row>
    <row r="311" spans="2:50" x14ac:dyDescent="0.25">
      <c r="B311" s="16"/>
      <c r="F311" s="16"/>
      <c r="J311" s="16"/>
      <c r="N311" s="16"/>
      <c r="R311" s="16"/>
      <c r="V311" s="16"/>
      <c r="Z311" s="16"/>
      <c r="AD311" s="16"/>
      <c r="AH311" s="16"/>
      <c r="AL311" s="16"/>
      <c r="AP311" s="16"/>
      <c r="AT311" s="16"/>
      <c r="AX311" s="16"/>
    </row>
    <row r="312" spans="2:50" x14ac:dyDescent="0.25">
      <c r="B312" s="16"/>
      <c r="F312" s="16"/>
      <c r="J312" s="16"/>
      <c r="N312" s="16"/>
      <c r="R312" s="16"/>
      <c r="V312" s="16"/>
      <c r="Z312" s="16"/>
      <c r="AD312" s="16"/>
      <c r="AH312" s="16"/>
      <c r="AL312" s="16"/>
      <c r="AP312" s="16"/>
      <c r="AT312" s="16"/>
      <c r="AX312" s="16"/>
    </row>
    <row r="313" spans="2:50" x14ac:dyDescent="0.25">
      <c r="B313" s="16"/>
      <c r="F313" s="16"/>
      <c r="J313" s="16"/>
      <c r="N313" s="16"/>
      <c r="R313" s="16"/>
      <c r="V313" s="16"/>
      <c r="Z313" s="16"/>
      <c r="AD313" s="16"/>
      <c r="AH313" s="16"/>
      <c r="AL313" s="16"/>
      <c r="AP313" s="16"/>
      <c r="AT313" s="16"/>
      <c r="AX313" s="16"/>
    </row>
    <row r="314" spans="2:50" x14ac:dyDescent="0.25">
      <c r="B314" s="16"/>
      <c r="F314" s="16"/>
      <c r="J314" s="16"/>
      <c r="N314" s="16"/>
      <c r="R314" s="16"/>
      <c r="V314" s="16"/>
      <c r="Z314" s="16"/>
      <c r="AD314" s="16"/>
      <c r="AH314" s="16"/>
      <c r="AL314" s="16"/>
      <c r="AP314" s="16"/>
      <c r="AT314" s="16"/>
      <c r="AX314" s="16"/>
    </row>
    <row r="315" spans="2:50" x14ac:dyDescent="0.25">
      <c r="B315" s="16"/>
      <c r="F315" s="16"/>
      <c r="J315" s="16"/>
      <c r="N315" s="16"/>
      <c r="R315" s="16"/>
      <c r="V315" s="16"/>
      <c r="Z315" s="16"/>
      <c r="AD315" s="16"/>
      <c r="AH315" s="16"/>
      <c r="AL315" s="16"/>
      <c r="AP315" s="16"/>
      <c r="AT315" s="16"/>
      <c r="AX315" s="16"/>
    </row>
    <row r="316" spans="2:50" x14ac:dyDescent="0.25">
      <c r="B316" s="16"/>
      <c r="F316" s="16"/>
      <c r="J316" s="16"/>
      <c r="N316" s="16"/>
      <c r="R316" s="16"/>
      <c r="V316" s="16"/>
      <c r="Z316" s="16"/>
      <c r="AD316" s="16"/>
      <c r="AH316" s="16"/>
      <c r="AL316" s="16"/>
      <c r="AP316" s="16"/>
      <c r="AT316" s="16"/>
      <c r="AX316" s="16"/>
    </row>
    <row r="317" spans="2:50" x14ac:dyDescent="0.25">
      <c r="B317" s="16"/>
      <c r="F317" s="16"/>
      <c r="J317" s="16"/>
      <c r="N317" s="16"/>
      <c r="R317" s="16"/>
      <c r="V317" s="16"/>
      <c r="Z317" s="16"/>
      <c r="AD317" s="16"/>
      <c r="AH317" s="16"/>
      <c r="AL317" s="16"/>
      <c r="AP317" s="16"/>
      <c r="AT317" s="16"/>
      <c r="AX317" s="16"/>
    </row>
    <row r="318" spans="2:50" x14ac:dyDescent="0.25">
      <c r="B318" s="16"/>
      <c r="F318" s="16"/>
      <c r="J318" s="16"/>
      <c r="N318" s="16"/>
      <c r="R318" s="16"/>
      <c r="V318" s="16"/>
      <c r="Z318" s="16"/>
      <c r="AD318" s="16"/>
      <c r="AH318" s="16"/>
      <c r="AL318" s="16"/>
      <c r="AP318" s="16"/>
      <c r="AT318" s="16"/>
      <c r="AX318" s="16"/>
    </row>
    <row r="319" spans="2:50" x14ac:dyDescent="0.25">
      <c r="B319" s="16"/>
      <c r="F319" s="16"/>
      <c r="J319" s="16"/>
      <c r="N319" s="16"/>
      <c r="R319" s="16"/>
      <c r="V319" s="16"/>
      <c r="Z319" s="16"/>
      <c r="AD319" s="16"/>
      <c r="AH319" s="16"/>
      <c r="AL319" s="16"/>
      <c r="AP319" s="16"/>
      <c r="AT319" s="16"/>
      <c r="AX319" s="16"/>
    </row>
    <row r="320" spans="2:50" x14ac:dyDescent="0.25">
      <c r="B320" s="16"/>
      <c r="F320" s="16"/>
      <c r="J320" s="16"/>
      <c r="N320" s="16"/>
      <c r="R320" s="16"/>
      <c r="V320" s="16"/>
      <c r="Z320" s="16"/>
      <c r="AD320" s="16"/>
      <c r="AH320" s="16"/>
      <c r="AL320" s="16"/>
      <c r="AP320" s="16"/>
      <c r="AT320" s="16"/>
      <c r="AX320" s="16"/>
    </row>
    <row r="321" spans="2:50" x14ac:dyDescent="0.25">
      <c r="B321" s="16"/>
      <c r="F321" s="16"/>
      <c r="J321" s="16"/>
      <c r="N321" s="16"/>
      <c r="R321" s="16"/>
      <c r="V321" s="16"/>
      <c r="Z321" s="16"/>
      <c r="AD321" s="16"/>
      <c r="AH321" s="16"/>
      <c r="AL321" s="16"/>
      <c r="AP321" s="16"/>
      <c r="AT321" s="16"/>
      <c r="AX321" s="16"/>
    </row>
    <row r="322" spans="2:50" x14ac:dyDescent="0.25">
      <c r="B322" s="16"/>
      <c r="F322" s="16"/>
      <c r="J322" s="16"/>
      <c r="N322" s="16"/>
      <c r="R322" s="16"/>
      <c r="V322" s="16"/>
      <c r="Z322" s="16"/>
      <c r="AD322" s="16"/>
      <c r="AH322" s="16"/>
      <c r="AL322" s="16"/>
      <c r="AP322" s="16"/>
      <c r="AT322" s="16"/>
      <c r="AX322" s="16"/>
    </row>
    <row r="323" spans="2:50" x14ac:dyDescent="0.25">
      <c r="B323" s="16"/>
      <c r="F323" s="16"/>
      <c r="J323" s="16"/>
      <c r="N323" s="16"/>
      <c r="R323" s="16"/>
      <c r="V323" s="16"/>
      <c r="Z323" s="16"/>
      <c r="AD323" s="16"/>
      <c r="AH323" s="16"/>
      <c r="AL323" s="16"/>
      <c r="AP323" s="16"/>
      <c r="AT323" s="16"/>
      <c r="AX323" s="16"/>
    </row>
    <row r="324" spans="2:50" x14ac:dyDescent="0.25">
      <c r="B324" s="16"/>
      <c r="F324" s="16"/>
      <c r="J324" s="16"/>
      <c r="N324" s="16"/>
      <c r="R324" s="16"/>
      <c r="V324" s="16"/>
      <c r="Z324" s="16"/>
      <c r="AD324" s="16"/>
      <c r="AH324" s="16"/>
      <c r="AL324" s="16"/>
      <c r="AP324" s="16"/>
      <c r="AT324" s="16"/>
      <c r="AX324" s="16"/>
    </row>
    <row r="325" spans="2:50" x14ac:dyDescent="0.25">
      <c r="B325" s="16"/>
      <c r="F325" s="16"/>
      <c r="J325" s="16"/>
      <c r="N325" s="16"/>
      <c r="R325" s="16"/>
      <c r="V325" s="16"/>
      <c r="Z325" s="16"/>
      <c r="AD325" s="16"/>
      <c r="AH325" s="16"/>
      <c r="AL325" s="16"/>
      <c r="AP325" s="16"/>
      <c r="AT325" s="16"/>
      <c r="AX325" s="16"/>
    </row>
    <row r="326" spans="2:50" x14ac:dyDescent="0.25">
      <c r="B326" s="16"/>
      <c r="F326" s="16"/>
      <c r="J326" s="16"/>
      <c r="N326" s="16"/>
      <c r="R326" s="16"/>
      <c r="V326" s="16"/>
      <c r="Z326" s="16"/>
      <c r="AD326" s="16"/>
      <c r="AH326" s="16"/>
      <c r="AL326" s="16"/>
      <c r="AP326" s="16"/>
      <c r="AT326" s="16"/>
      <c r="AX326" s="16"/>
    </row>
    <row r="327" spans="2:50" x14ac:dyDescent="0.25">
      <c r="B327" s="16"/>
      <c r="F327" s="16"/>
      <c r="J327" s="16"/>
      <c r="N327" s="16"/>
      <c r="R327" s="16"/>
      <c r="V327" s="16"/>
      <c r="Z327" s="16"/>
      <c r="AD327" s="16"/>
      <c r="AH327" s="16"/>
      <c r="AL327" s="16"/>
      <c r="AP327" s="16"/>
      <c r="AT327" s="16"/>
      <c r="AX327" s="16"/>
    </row>
    <row r="328" spans="2:50" x14ac:dyDescent="0.25">
      <c r="B328" s="16"/>
      <c r="F328" s="16"/>
      <c r="J328" s="16"/>
      <c r="N328" s="16"/>
      <c r="R328" s="16"/>
      <c r="V328" s="16"/>
      <c r="Z328" s="16"/>
      <c r="AD328" s="16"/>
      <c r="AH328" s="16"/>
      <c r="AL328" s="16"/>
      <c r="AP328" s="16"/>
      <c r="AT328" s="16"/>
      <c r="AX328" s="16"/>
    </row>
    <row r="329" spans="2:50" x14ac:dyDescent="0.25">
      <c r="B329" s="16"/>
      <c r="F329" s="16"/>
      <c r="J329" s="16"/>
      <c r="N329" s="16"/>
      <c r="R329" s="16"/>
      <c r="V329" s="16"/>
      <c r="Z329" s="16"/>
      <c r="AD329" s="16"/>
      <c r="AH329" s="16"/>
      <c r="AL329" s="16"/>
      <c r="AP329" s="16"/>
      <c r="AT329" s="16"/>
      <c r="AX329" s="16"/>
    </row>
    <row r="330" spans="2:50" x14ac:dyDescent="0.25">
      <c r="B330" s="16"/>
      <c r="F330" s="16"/>
      <c r="J330" s="16"/>
      <c r="N330" s="16"/>
      <c r="R330" s="16"/>
      <c r="V330" s="16"/>
      <c r="Z330" s="16"/>
      <c r="AD330" s="16"/>
      <c r="AH330" s="16"/>
      <c r="AL330" s="16"/>
      <c r="AP330" s="16"/>
      <c r="AT330" s="16"/>
      <c r="AX330" s="16"/>
    </row>
    <row r="331" spans="2:50" x14ac:dyDescent="0.25">
      <c r="B331" s="16"/>
      <c r="F331" s="16"/>
      <c r="J331" s="16"/>
      <c r="N331" s="16"/>
      <c r="R331" s="16"/>
      <c r="V331" s="16"/>
      <c r="Z331" s="16"/>
      <c r="AD331" s="16"/>
      <c r="AH331" s="16"/>
      <c r="AL331" s="16"/>
      <c r="AP331" s="16"/>
      <c r="AT331" s="16"/>
      <c r="AX331" s="16"/>
    </row>
    <row r="332" spans="2:50" x14ac:dyDescent="0.25">
      <c r="B332" s="16"/>
      <c r="F332" s="16"/>
      <c r="J332" s="16"/>
      <c r="N332" s="16"/>
      <c r="R332" s="16"/>
      <c r="V332" s="16"/>
      <c r="Z332" s="16"/>
      <c r="AD332" s="16"/>
      <c r="AH332" s="16"/>
      <c r="AL332" s="16"/>
      <c r="AP332" s="16"/>
      <c r="AT332" s="16"/>
      <c r="AX332" s="16"/>
    </row>
    <row r="333" spans="2:50" x14ac:dyDescent="0.25">
      <c r="B333" s="16"/>
      <c r="F333" s="16"/>
      <c r="J333" s="16"/>
      <c r="N333" s="16"/>
      <c r="R333" s="16"/>
      <c r="V333" s="16"/>
      <c r="Z333" s="16"/>
      <c r="AD333" s="16"/>
      <c r="AH333" s="16"/>
      <c r="AL333" s="16"/>
      <c r="AP333" s="16"/>
      <c r="AT333" s="16"/>
      <c r="AX333" s="16"/>
    </row>
    <row r="334" spans="2:50" x14ac:dyDescent="0.25">
      <c r="B334" s="16"/>
      <c r="F334" s="16"/>
      <c r="J334" s="16"/>
      <c r="N334" s="16"/>
      <c r="R334" s="16"/>
      <c r="V334" s="16"/>
      <c r="Z334" s="16"/>
      <c r="AD334" s="16"/>
      <c r="AH334" s="16"/>
      <c r="AL334" s="16"/>
      <c r="AP334" s="16"/>
      <c r="AT334" s="16"/>
      <c r="AX334" s="16"/>
    </row>
    <row r="335" spans="2:50" x14ac:dyDescent="0.25">
      <c r="B335" s="16"/>
      <c r="F335" s="16"/>
      <c r="J335" s="16"/>
      <c r="N335" s="16"/>
      <c r="R335" s="16"/>
      <c r="V335" s="16"/>
      <c r="Z335" s="16"/>
      <c r="AD335" s="16"/>
      <c r="AH335" s="16"/>
      <c r="AL335" s="16"/>
      <c r="AP335" s="16"/>
      <c r="AT335" s="16"/>
      <c r="AX335" s="16"/>
    </row>
    <row r="336" spans="2:50" x14ac:dyDescent="0.25">
      <c r="B336" s="16"/>
      <c r="F336" s="16"/>
      <c r="J336" s="16"/>
      <c r="N336" s="16"/>
      <c r="R336" s="16"/>
      <c r="V336" s="16"/>
      <c r="Z336" s="16"/>
      <c r="AD336" s="16"/>
      <c r="AH336" s="16"/>
      <c r="AL336" s="16"/>
      <c r="AP336" s="16"/>
      <c r="AT336" s="16"/>
      <c r="AX336" s="16"/>
    </row>
    <row r="337" spans="2:50" x14ac:dyDescent="0.25">
      <c r="B337" s="16"/>
      <c r="F337" s="16"/>
      <c r="J337" s="16"/>
      <c r="N337" s="16"/>
      <c r="R337" s="16"/>
      <c r="V337" s="16"/>
      <c r="Z337" s="16"/>
      <c r="AD337" s="16"/>
      <c r="AH337" s="16"/>
      <c r="AL337" s="16"/>
      <c r="AP337" s="16"/>
      <c r="AT337" s="16"/>
      <c r="AX337" s="16"/>
    </row>
    <row r="338" spans="2:50" x14ac:dyDescent="0.25">
      <c r="B338" s="16"/>
      <c r="F338" s="16"/>
      <c r="J338" s="16"/>
      <c r="N338" s="16"/>
      <c r="R338" s="16"/>
      <c r="V338" s="16"/>
      <c r="Z338" s="16"/>
      <c r="AD338" s="16"/>
      <c r="AH338" s="16"/>
      <c r="AL338" s="16"/>
      <c r="AP338" s="16"/>
      <c r="AT338" s="16"/>
      <c r="AX338" s="16"/>
    </row>
    <row r="339" spans="2:50" x14ac:dyDescent="0.25">
      <c r="B339" s="16"/>
      <c r="F339" s="16"/>
      <c r="J339" s="16"/>
      <c r="N339" s="16"/>
      <c r="R339" s="16"/>
      <c r="V339" s="16"/>
      <c r="Z339" s="16"/>
      <c r="AD339" s="16"/>
      <c r="AH339" s="16"/>
      <c r="AL339" s="16"/>
      <c r="AP339" s="16"/>
      <c r="AT339" s="16"/>
      <c r="AX339" s="16"/>
    </row>
    <row r="340" spans="2:50" x14ac:dyDescent="0.25">
      <c r="B340" s="16"/>
      <c r="F340" s="16"/>
      <c r="J340" s="16"/>
      <c r="N340" s="16"/>
      <c r="R340" s="16"/>
      <c r="V340" s="16"/>
      <c r="Z340" s="16"/>
      <c r="AD340" s="16"/>
      <c r="AH340" s="16"/>
      <c r="AL340" s="16"/>
      <c r="AP340" s="16"/>
      <c r="AT340" s="16"/>
      <c r="AX340" s="16"/>
    </row>
    <row r="341" spans="2:50" x14ac:dyDescent="0.25">
      <c r="B341" s="16"/>
      <c r="F341" s="16"/>
      <c r="J341" s="16"/>
      <c r="N341" s="16"/>
      <c r="R341" s="16"/>
      <c r="V341" s="16"/>
      <c r="Z341" s="16"/>
      <c r="AD341" s="16"/>
      <c r="AH341" s="16"/>
      <c r="AL341" s="16"/>
      <c r="AP341" s="16"/>
      <c r="AT341" s="16"/>
      <c r="AX341" s="16"/>
    </row>
    <row r="342" spans="2:50" x14ac:dyDescent="0.25">
      <c r="B342" s="16"/>
      <c r="F342" s="16"/>
      <c r="J342" s="16"/>
      <c r="N342" s="16"/>
      <c r="R342" s="16"/>
      <c r="V342" s="16"/>
      <c r="Z342" s="16"/>
      <c r="AD342" s="16"/>
      <c r="AH342" s="16"/>
      <c r="AL342" s="16"/>
      <c r="AP342" s="16"/>
      <c r="AT342" s="16"/>
      <c r="AX342" s="16"/>
    </row>
    <row r="343" spans="2:50" x14ac:dyDescent="0.25">
      <c r="B343" s="16"/>
      <c r="F343" s="16"/>
      <c r="J343" s="16"/>
      <c r="N343" s="16"/>
      <c r="R343" s="16"/>
      <c r="V343" s="16"/>
      <c r="Z343" s="16"/>
      <c r="AD343" s="16"/>
      <c r="AH343" s="16"/>
      <c r="AL343" s="16"/>
      <c r="AP343" s="16"/>
      <c r="AT343" s="16"/>
      <c r="AX343" s="16"/>
    </row>
    <row r="344" spans="2:50" x14ac:dyDescent="0.25">
      <c r="B344" s="16"/>
      <c r="F344" s="16"/>
      <c r="J344" s="16"/>
      <c r="N344" s="16"/>
      <c r="R344" s="16"/>
      <c r="V344" s="16"/>
      <c r="Z344" s="16"/>
      <c r="AD344" s="16"/>
      <c r="AH344" s="16"/>
      <c r="AL344" s="16"/>
      <c r="AP344" s="16"/>
      <c r="AT344" s="16"/>
      <c r="AX344" s="16"/>
    </row>
    <row r="345" spans="2:50" x14ac:dyDescent="0.25">
      <c r="B345" s="16"/>
      <c r="F345" s="16"/>
      <c r="J345" s="16"/>
      <c r="N345" s="16"/>
      <c r="R345" s="16"/>
      <c r="V345" s="16"/>
      <c r="Z345" s="16"/>
      <c r="AD345" s="16"/>
      <c r="AH345" s="16"/>
      <c r="AL345" s="16"/>
      <c r="AP345" s="16"/>
      <c r="AT345" s="16"/>
      <c r="AX345" s="16"/>
    </row>
    <row r="346" spans="2:50" x14ac:dyDescent="0.25">
      <c r="B346" s="16"/>
      <c r="F346" s="16"/>
      <c r="J346" s="16"/>
      <c r="N346" s="16"/>
      <c r="R346" s="16"/>
      <c r="V346" s="16"/>
      <c r="Z346" s="16"/>
      <c r="AD346" s="16"/>
      <c r="AH346" s="16"/>
      <c r="AL346" s="16"/>
      <c r="AP346" s="16"/>
      <c r="AT346" s="16"/>
      <c r="AX346" s="16"/>
    </row>
    <row r="347" spans="2:50" x14ac:dyDescent="0.25">
      <c r="B347" s="16"/>
      <c r="F347" s="16"/>
      <c r="J347" s="16"/>
      <c r="N347" s="16"/>
      <c r="R347" s="16"/>
      <c r="V347" s="16"/>
      <c r="Z347" s="16"/>
      <c r="AD347" s="16"/>
      <c r="AH347" s="16"/>
      <c r="AL347" s="16"/>
      <c r="AP347" s="16"/>
      <c r="AT347" s="16"/>
      <c r="AX347" s="16"/>
    </row>
    <row r="348" spans="2:50" x14ac:dyDescent="0.25">
      <c r="B348" s="16"/>
      <c r="F348" s="16"/>
      <c r="J348" s="16"/>
      <c r="N348" s="16"/>
      <c r="R348" s="16"/>
      <c r="V348" s="16"/>
      <c r="Z348" s="16"/>
      <c r="AD348" s="16"/>
      <c r="AH348" s="16"/>
      <c r="AL348" s="16"/>
      <c r="AP348" s="16"/>
      <c r="AT348" s="16"/>
      <c r="AX348" s="16"/>
    </row>
    <row r="349" spans="2:50" x14ac:dyDescent="0.25">
      <c r="B349" s="16"/>
      <c r="F349" s="16"/>
      <c r="J349" s="16"/>
      <c r="N349" s="16"/>
      <c r="R349" s="16"/>
      <c r="V349" s="16"/>
      <c r="Z349" s="16"/>
      <c r="AD349" s="16"/>
      <c r="AH349" s="16"/>
      <c r="AL349" s="16"/>
      <c r="AP349" s="16"/>
      <c r="AT349" s="16"/>
      <c r="AX349" s="16"/>
    </row>
    <row r="350" spans="2:50" x14ac:dyDescent="0.25">
      <c r="B350" s="16"/>
      <c r="F350" s="16"/>
      <c r="J350" s="16"/>
      <c r="N350" s="16"/>
      <c r="R350" s="16"/>
      <c r="V350" s="16"/>
      <c r="Z350" s="16"/>
      <c r="AD350" s="16"/>
      <c r="AH350" s="16"/>
      <c r="AL350" s="16"/>
      <c r="AP350" s="16"/>
      <c r="AT350" s="16"/>
      <c r="AX350" s="16"/>
    </row>
    <row r="351" spans="2:50" x14ac:dyDescent="0.25">
      <c r="B351" s="16"/>
      <c r="F351" s="16"/>
      <c r="J351" s="16"/>
      <c r="N351" s="16"/>
      <c r="R351" s="16"/>
      <c r="V351" s="16"/>
      <c r="Z351" s="16"/>
      <c r="AD351" s="16"/>
      <c r="AH351" s="16"/>
      <c r="AL351" s="16"/>
      <c r="AP351" s="16"/>
      <c r="AT351" s="16"/>
      <c r="AX351" s="16"/>
    </row>
    <row r="352" spans="2:50" x14ac:dyDescent="0.25">
      <c r="B352" s="16"/>
      <c r="F352" s="16"/>
      <c r="J352" s="16"/>
      <c r="N352" s="16"/>
      <c r="R352" s="16"/>
      <c r="V352" s="16"/>
      <c r="Z352" s="16"/>
      <c r="AD352" s="16"/>
      <c r="AH352" s="16"/>
      <c r="AL352" s="16"/>
      <c r="AP352" s="16"/>
      <c r="AT352" s="16"/>
      <c r="AX352" s="16"/>
    </row>
    <row r="353" spans="2:50" x14ac:dyDescent="0.25">
      <c r="B353" s="16"/>
      <c r="F353" s="16"/>
      <c r="J353" s="16"/>
      <c r="N353" s="16"/>
      <c r="R353" s="16"/>
      <c r="V353" s="16"/>
      <c r="Z353" s="16"/>
      <c r="AD353" s="16"/>
      <c r="AH353" s="16"/>
      <c r="AL353" s="16"/>
      <c r="AP353" s="16"/>
      <c r="AT353" s="16"/>
      <c r="AX353" s="16"/>
    </row>
    <row r="354" spans="2:50" x14ac:dyDescent="0.25">
      <c r="B354" s="16"/>
      <c r="F354" s="16"/>
      <c r="J354" s="16"/>
      <c r="N354" s="16"/>
      <c r="R354" s="16"/>
      <c r="V354" s="16"/>
      <c r="Z354" s="16"/>
      <c r="AD354" s="16"/>
      <c r="AH354" s="16"/>
      <c r="AL354" s="16"/>
      <c r="AP354" s="16"/>
      <c r="AT354" s="16"/>
      <c r="AX354" s="16"/>
    </row>
    <row r="355" spans="2:50" x14ac:dyDescent="0.25">
      <c r="B355" s="16"/>
      <c r="F355" s="16"/>
      <c r="J355" s="16"/>
      <c r="N355" s="16"/>
      <c r="R355" s="16"/>
      <c r="V355" s="16"/>
      <c r="Z355" s="16"/>
      <c r="AD355" s="16"/>
      <c r="AH355" s="16"/>
      <c r="AL355" s="16"/>
      <c r="AP355" s="16"/>
      <c r="AT355" s="16"/>
      <c r="AX355" s="16"/>
    </row>
    <row r="356" spans="2:50" x14ac:dyDescent="0.25">
      <c r="B356" s="16"/>
      <c r="F356" s="16"/>
      <c r="J356" s="16"/>
      <c r="N356" s="16"/>
      <c r="R356" s="16"/>
      <c r="V356" s="16"/>
      <c r="Z356" s="16"/>
      <c r="AD356" s="16"/>
      <c r="AH356" s="16"/>
      <c r="AL356" s="16"/>
      <c r="AP356" s="16"/>
      <c r="AT356" s="16"/>
      <c r="AX356" s="16"/>
    </row>
    <row r="357" spans="2:50" x14ac:dyDescent="0.25">
      <c r="B357" s="16"/>
      <c r="F357" s="16"/>
      <c r="J357" s="16"/>
      <c r="N357" s="16"/>
      <c r="R357" s="16"/>
      <c r="V357" s="16"/>
      <c r="Z357" s="16"/>
      <c r="AD357" s="16"/>
      <c r="AH357" s="16"/>
      <c r="AL357" s="16"/>
      <c r="AP357" s="16"/>
      <c r="AT357" s="16"/>
      <c r="AX357" s="16"/>
    </row>
    <row r="358" spans="2:50" x14ac:dyDescent="0.25">
      <c r="B358" s="16"/>
      <c r="F358" s="16"/>
      <c r="J358" s="16"/>
      <c r="N358" s="16"/>
      <c r="R358" s="16"/>
      <c r="V358" s="16"/>
      <c r="Z358" s="16"/>
      <c r="AD358" s="16"/>
      <c r="AH358" s="16"/>
      <c r="AL358" s="16"/>
      <c r="AP358" s="16"/>
      <c r="AT358" s="16"/>
      <c r="AX358" s="16"/>
    </row>
    <row r="359" spans="2:50" x14ac:dyDescent="0.25">
      <c r="B359" s="16"/>
      <c r="F359" s="16"/>
      <c r="J359" s="16"/>
      <c r="N359" s="16"/>
      <c r="R359" s="16"/>
      <c r="V359" s="16"/>
      <c r="Z359" s="16"/>
      <c r="AD359" s="16"/>
      <c r="AH359" s="16"/>
      <c r="AL359" s="16"/>
      <c r="AP359" s="16"/>
      <c r="AT359" s="16"/>
      <c r="AX359" s="16"/>
    </row>
    <row r="360" spans="2:50" x14ac:dyDescent="0.25">
      <c r="B360" s="16"/>
      <c r="F360" s="16"/>
      <c r="J360" s="16"/>
      <c r="N360" s="16"/>
      <c r="R360" s="16"/>
      <c r="V360" s="16"/>
      <c r="Z360" s="16"/>
      <c r="AD360" s="16"/>
      <c r="AH360" s="16"/>
      <c r="AL360" s="16"/>
      <c r="AP360" s="16"/>
      <c r="AT360" s="16"/>
      <c r="AX360" s="16"/>
    </row>
    <row r="361" spans="2:50" x14ac:dyDescent="0.25">
      <c r="B361" s="16"/>
      <c r="F361" s="16"/>
      <c r="J361" s="16"/>
      <c r="N361" s="16"/>
      <c r="R361" s="16"/>
      <c r="V361" s="16"/>
      <c r="Z361" s="16"/>
      <c r="AD361" s="16"/>
      <c r="AH361" s="16"/>
      <c r="AL361" s="16"/>
      <c r="AP361" s="16"/>
      <c r="AT361" s="16"/>
      <c r="AX361" s="16"/>
    </row>
    <row r="362" spans="2:50" x14ac:dyDescent="0.25">
      <c r="B362" s="16"/>
      <c r="F362" s="16"/>
      <c r="J362" s="16"/>
      <c r="N362" s="16"/>
      <c r="R362" s="16"/>
      <c r="V362" s="16"/>
      <c r="Z362" s="16"/>
      <c r="AD362" s="16"/>
      <c r="AH362" s="16"/>
      <c r="AL362" s="16"/>
      <c r="AP362" s="16"/>
      <c r="AT362" s="16"/>
      <c r="AX362" s="16"/>
    </row>
    <row r="363" spans="2:50" x14ac:dyDescent="0.25">
      <c r="B363" s="16"/>
      <c r="F363" s="16"/>
      <c r="J363" s="16"/>
      <c r="N363" s="16"/>
      <c r="R363" s="16"/>
      <c r="V363" s="16"/>
      <c r="Z363" s="16"/>
      <c r="AD363" s="16"/>
      <c r="AH363" s="16"/>
      <c r="AL363" s="16"/>
      <c r="AP363" s="16"/>
      <c r="AT363" s="16"/>
      <c r="AX363" s="16"/>
    </row>
    <row r="364" spans="2:50" x14ac:dyDescent="0.25">
      <c r="B364" s="16"/>
      <c r="F364" s="16"/>
      <c r="J364" s="16"/>
      <c r="N364" s="16"/>
      <c r="R364" s="16"/>
      <c r="V364" s="16"/>
      <c r="Z364" s="16"/>
      <c r="AD364" s="16"/>
      <c r="AH364" s="16"/>
      <c r="AL364" s="16"/>
      <c r="AP364" s="16"/>
      <c r="AT364" s="16"/>
      <c r="AX364" s="16"/>
    </row>
    <row r="365" spans="2:50" x14ac:dyDescent="0.25">
      <c r="B365" s="16"/>
      <c r="F365" s="16"/>
      <c r="J365" s="16"/>
      <c r="N365" s="16"/>
      <c r="R365" s="16"/>
      <c r="V365" s="16"/>
      <c r="Z365" s="16"/>
      <c r="AD365" s="16"/>
      <c r="AH365" s="16"/>
      <c r="AL365" s="16"/>
      <c r="AP365" s="16"/>
      <c r="AT365" s="16"/>
      <c r="AX365" s="16"/>
    </row>
    <row r="366" spans="2:50" x14ac:dyDescent="0.25">
      <c r="B366" s="16"/>
      <c r="F366" s="16"/>
      <c r="J366" s="16"/>
      <c r="N366" s="16"/>
      <c r="R366" s="16"/>
      <c r="V366" s="16"/>
      <c r="Z366" s="16"/>
      <c r="AD366" s="16"/>
      <c r="AH366" s="16"/>
      <c r="AL366" s="16"/>
      <c r="AP366" s="16"/>
      <c r="AT366" s="16"/>
      <c r="AX366" s="16"/>
    </row>
    <row r="367" spans="2:50" x14ac:dyDescent="0.25">
      <c r="B367" s="16"/>
      <c r="F367" s="16"/>
      <c r="J367" s="16"/>
      <c r="N367" s="16"/>
      <c r="R367" s="16"/>
      <c r="V367" s="16"/>
      <c r="Z367" s="16"/>
      <c r="AD367" s="16"/>
      <c r="AH367" s="16"/>
      <c r="AL367" s="16"/>
      <c r="AP367" s="16"/>
      <c r="AT367" s="16"/>
      <c r="AX367" s="16"/>
    </row>
    <row r="368" spans="2:50" x14ac:dyDescent="0.25">
      <c r="B368" s="16"/>
      <c r="F368" s="16"/>
      <c r="J368" s="16"/>
      <c r="N368" s="16"/>
      <c r="R368" s="16"/>
      <c r="V368" s="16"/>
      <c r="Z368" s="16"/>
      <c r="AD368" s="16"/>
      <c r="AH368" s="16"/>
      <c r="AL368" s="16"/>
      <c r="AP368" s="16"/>
      <c r="AT368" s="16"/>
      <c r="AX368" s="16"/>
    </row>
    <row r="369" spans="2:50" x14ac:dyDescent="0.25">
      <c r="B369" s="16"/>
      <c r="F369" s="16"/>
      <c r="J369" s="16"/>
      <c r="N369" s="16"/>
      <c r="R369" s="16"/>
      <c r="V369" s="16"/>
      <c r="Z369" s="16"/>
      <c r="AD369" s="16"/>
      <c r="AH369" s="16"/>
      <c r="AL369" s="16"/>
      <c r="AP369" s="16"/>
      <c r="AT369" s="16"/>
      <c r="AX369" s="16"/>
    </row>
    <row r="370" spans="2:50" x14ac:dyDescent="0.25">
      <c r="B370" s="16"/>
      <c r="F370" s="16"/>
      <c r="J370" s="16"/>
      <c r="N370" s="16"/>
      <c r="R370" s="16"/>
      <c r="V370" s="16"/>
      <c r="Z370" s="16"/>
      <c r="AD370" s="16"/>
      <c r="AH370" s="16"/>
      <c r="AL370" s="16"/>
      <c r="AP370" s="16"/>
      <c r="AT370" s="16"/>
      <c r="AX370" s="16"/>
    </row>
    <row r="371" spans="2:50" x14ac:dyDescent="0.25">
      <c r="B371" s="16"/>
      <c r="F371" s="16"/>
      <c r="J371" s="16"/>
      <c r="N371" s="16"/>
      <c r="R371" s="16"/>
      <c r="V371" s="16"/>
      <c r="Z371" s="16"/>
      <c r="AD371" s="16"/>
      <c r="AH371" s="16"/>
      <c r="AL371" s="16"/>
      <c r="AP371" s="16"/>
      <c r="AT371" s="16"/>
      <c r="AX371" s="16"/>
    </row>
    <row r="372" spans="2:50" x14ac:dyDescent="0.25">
      <c r="B372" s="16"/>
      <c r="F372" s="16"/>
      <c r="J372" s="16"/>
      <c r="N372" s="16"/>
      <c r="R372" s="16"/>
      <c r="V372" s="16"/>
      <c r="Z372" s="16"/>
      <c r="AD372" s="16"/>
      <c r="AH372" s="16"/>
      <c r="AL372" s="16"/>
      <c r="AP372" s="16"/>
      <c r="AT372" s="16"/>
      <c r="AX372" s="16"/>
    </row>
    <row r="373" spans="2:50" x14ac:dyDescent="0.25">
      <c r="B373" s="16"/>
      <c r="F373" s="16"/>
      <c r="J373" s="16"/>
      <c r="N373" s="16"/>
      <c r="R373" s="16"/>
      <c r="V373" s="16"/>
      <c r="Z373" s="16"/>
      <c r="AD373" s="16"/>
      <c r="AH373" s="16"/>
      <c r="AL373" s="16"/>
      <c r="AP373" s="16"/>
      <c r="AT373" s="16"/>
      <c r="AX373" s="16"/>
    </row>
    <row r="374" spans="2:50" x14ac:dyDescent="0.25">
      <c r="B374" s="16"/>
      <c r="F374" s="16"/>
      <c r="J374" s="16"/>
      <c r="N374" s="16"/>
      <c r="R374" s="16"/>
      <c r="V374" s="16"/>
      <c r="Z374" s="16"/>
      <c r="AD374" s="16"/>
      <c r="AH374" s="16"/>
      <c r="AL374" s="16"/>
      <c r="AP374" s="16"/>
      <c r="AT374" s="16"/>
      <c r="AX374" s="16"/>
    </row>
    <row r="375" spans="2:50" x14ac:dyDescent="0.25">
      <c r="B375" s="16"/>
      <c r="F375" s="16"/>
      <c r="J375" s="16"/>
      <c r="N375" s="16"/>
      <c r="R375" s="16"/>
      <c r="V375" s="16"/>
      <c r="Z375" s="16"/>
      <c r="AD375" s="16"/>
      <c r="AH375" s="16"/>
      <c r="AL375" s="16"/>
      <c r="AP375" s="16"/>
      <c r="AT375" s="16"/>
      <c r="AX375" s="16"/>
    </row>
    <row r="376" spans="2:50" x14ac:dyDescent="0.25">
      <c r="B376" s="16"/>
      <c r="F376" s="16"/>
      <c r="J376" s="16"/>
      <c r="N376" s="16"/>
      <c r="R376" s="16"/>
      <c r="V376" s="16"/>
      <c r="Z376" s="16"/>
      <c r="AD376" s="16"/>
      <c r="AH376" s="16"/>
      <c r="AL376" s="16"/>
      <c r="AP376" s="16"/>
      <c r="AT376" s="16"/>
      <c r="AX376" s="16"/>
    </row>
    <row r="377" spans="2:50" x14ac:dyDescent="0.25">
      <c r="B377" s="16"/>
      <c r="F377" s="16"/>
      <c r="J377" s="16"/>
      <c r="N377" s="16"/>
      <c r="R377" s="16"/>
      <c r="V377" s="16"/>
      <c r="Z377" s="16"/>
      <c r="AD377" s="16"/>
      <c r="AH377" s="16"/>
      <c r="AL377" s="16"/>
      <c r="AP377" s="16"/>
      <c r="AT377" s="16"/>
      <c r="AX377" s="16"/>
    </row>
    <row r="378" spans="2:50" x14ac:dyDescent="0.25">
      <c r="B378" s="16"/>
      <c r="F378" s="16"/>
      <c r="J378" s="16"/>
      <c r="N378" s="16"/>
      <c r="R378" s="16"/>
      <c r="V378" s="16"/>
      <c r="Z378" s="16"/>
      <c r="AD378" s="16"/>
      <c r="AH378" s="16"/>
      <c r="AL378" s="16"/>
      <c r="AP378" s="16"/>
      <c r="AT378" s="16"/>
      <c r="AX378" s="16"/>
    </row>
    <row r="379" spans="2:50" x14ac:dyDescent="0.25">
      <c r="B379" s="16"/>
      <c r="F379" s="16"/>
      <c r="J379" s="16"/>
      <c r="N379" s="16"/>
      <c r="R379" s="16"/>
      <c r="V379" s="16"/>
      <c r="Z379" s="16"/>
      <c r="AD379" s="16"/>
      <c r="AH379" s="16"/>
      <c r="AL379" s="16"/>
      <c r="AP379" s="16"/>
      <c r="AT379" s="16"/>
      <c r="AX379" s="16"/>
    </row>
    <row r="380" spans="2:50" x14ac:dyDescent="0.25">
      <c r="B380" s="16"/>
      <c r="F380" s="16"/>
      <c r="J380" s="16"/>
      <c r="N380" s="16"/>
      <c r="R380" s="16"/>
      <c r="V380" s="16"/>
      <c r="Z380" s="16"/>
      <c r="AD380" s="16"/>
      <c r="AH380" s="16"/>
      <c r="AL380" s="16"/>
      <c r="AP380" s="16"/>
      <c r="AT380" s="16"/>
      <c r="AX380" s="16"/>
    </row>
    <row r="381" spans="2:50" x14ac:dyDescent="0.25">
      <c r="B381" s="16"/>
      <c r="F381" s="16"/>
      <c r="J381" s="16"/>
      <c r="N381" s="16"/>
      <c r="R381" s="16"/>
      <c r="V381" s="16"/>
      <c r="Z381" s="16"/>
      <c r="AD381" s="16"/>
      <c r="AH381" s="16"/>
      <c r="AL381" s="16"/>
      <c r="AP381" s="16"/>
      <c r="AT381" s="16"/>
      <c r="AX381" s="16"/>
    </row>
    <row r="382" spans="2:50" x14ac:dyDescent="0.25">
      <c r="B382" s="16"/>
      <c r="F382" s="16"/>
      <c r="J382" s="16"/>
      <c r="N382" s="16"/>
      <c r="R382" s="16"/>
      <c r="V382" s="16"/>
      <c r="Z382" s="16"/>
      <c r="AD382" s="16"/>
      <c r="AH382" s="16"/>
      <c r="AL382" s="16"/>
      <c r="AP382" s="16"/>
      <c r="AT382" s="16"/>
      <c r="AX382" s="16"/>
    </row>
    <row r="383" spans="2:50" x14ac:dyDescent="0.25">
      <c r="B383" s="16"/>
      <c r="F383" s="16"/>
      <c r="J383" s="16"/>
      <c r="N383" s="16"/>
      <c r="R383" s="16"/>
      <c r="V383" s="16"/>
      <c r="Z383" s="16"/>
      <c r="AD383" s="16"/>
      <c r="AH383" s="16"/>
      <c r="AL383" s="16"/>
      <c r="AP383" s="16"/>
      <c r="AT383" s="16"/>
      <c r="AX383" s="16"/>
    </row>
    <row r="384" spans="2:50" x14ac:dyDescent="0.25">
      <c r="B384" s="16"/>
      <c r="F384" s="16"/>
      <c r="J384" s="16"/>
      <c r="N384" s="16"/>
      <c r="R384" s="16"/>
      <c r="V384" s="16"/>
      <c r="Z384" s="16"/>
      <c r="AD384" s="16"/>
      <c r="AH384" s="16"/>
      <c r="AL384" s="16"/>
      <c r="AP384" s="16"/>
      <c r="AT384" s="16"/>
      <c r="AX384" s="16"/>
    </row>
    <row r="385" spans="2:50" x14ac:dyDescent="0.25">
      <c r="B385" s="16"/>
      <c r="F385" s="16"/>
      <c r="J385" s="16"/>
      <c r="N385" s="16"/>
      <c r="R385" s="16"/>
      <c r="V385" s="16"/>
      <c r="Z385" s="16"/>
      <c r="AD385" s="16"/>
      <c r="AH385" s="16"/>
      <c r="AL385" s="16"/>
      <c r="AP385" s="16"/>
      <c r="AT385" s="16"/>
      <c r="AX385" s="16"/>
    </row>
    <row r="386" spans="2:50" x14ac:dyDescent="0.25">
      <c r="B386" s="16"/>
      <c r="F386" s="16"/>
      <c r="J386" s="16"/>
      <c r="N386" s="16"/>
      <c r="R386" s="16"/>
      <c r="V386" s="16"/>
      <c r="Z386" s="16"/>
      <c r="AD386" s="16"/>
      <c r="AH386" s="16"/>
      <c r="AL386" s="16"/>
      <c r="AP386" s="16"/>
      <c r="AT386" s="16"/>
      <c r="AX386" s="16"/>
    </row>
    <row r="387" spans="2:50" x14ac:dyDescent="0.25">
      <c r="B387" s="16"/>
      <c r="F387" s="16"/>
      <c r="J387" s="16"/>
      <c r="N387" s="16"/>
      <c r="R387" s="16"/>
      <c r="V387" s="16"/>
      <c r="Z387" s="16"/>
      <c r="AD387" s="16"/>
      <c r="AH387" s="16"/>
      <c r="AL387" s="16"/>
      <c r="AP387" s="16"/>
      <c r="AT387" s="16"/>
      <c r="AX387" s="16"/>
    </row>
    <row r="388" spans="2:50" x14ac:dyDescent="0.25">
      <c r="B388" s="16"/>
      <c r="F388" s="16"/>
      <c r="J388" s="16"/>
      <c r="N388" s="16"/>
      <c r="R388" s="16"/>
      <c r="V388" s="16"/>
      <c r="Z388" s="16"/>
      <c r="AD388" s="16"/>
      <c r="AH388" s="16"/>
      <c r="AL388" s="16"/>
      <c r="AP388" s="16"/>
      <c r="AT388" s="16"/>
      <c r="AX388" s="16"/>
    </row>
    <row r="389" spans="2:50" x14ac:dyDescent="0.25">
      <c r="B389" s="16"/>
      <c r="F389" s="16"/>
      <c r="J389" s="16"/>
      <c r="N389" s="16"/>
      <c r="R389" s="16"/>
      <c r="V389" s="16"/>
      <c r="Z389" s="16"/>
      <c r="AD389" s="16"/>
      <c r="AH389" s="16"/>
      <c r="AL389" s="16"/>
      <c r="AP389" s="16"/>
      <c r="AT389" s="16"/>
      <c r="AX389" s="16"/>
    </row>
    <row r="390" spans="2:50" x14ac:dyDescent="0.25">
      <c r="B390" s="16"/>
      <c r="F390" s="16"/>
      <c r="J390" s="16"/>
      <c r="N390" s="16"/>
      <c r="R390" s="16"/>
      <c r="V390" s="16"/>
      <c r="Z390" s="16"/>
      <c r="AD390" s="16"/>
      <c r="AH390" s="16"/>
      <c r="AL390" s="16"/>
      <c r="AP390" s="16"/>
      <c r="AT390" s="16"/>
      <c r="AX390" s="16"/>
    </row>
    <row r="391" spans="2:50" x14ac:dyDescent="0.25">
      <c r="B391" s="16"/>
      <c r="F391" s="16"/>
      <c r="J391" s="16"/>
      <c r="N391" s="16"/>
      <c r="R391" s="16"/>
      <c r="V391" s="16"/>
      <c r="Z391" s="16"/>
      <c r="AD391" s="16"/>
      <c r="AH391" s="16"/>
      <c r="AL391" s="16"/>
      <c r="AP391" s="16"/>
      <c r="AT391" s="16"/>
      <c r="AX391" s="16"/>
    </row>
    <row r="392" spans="2:50" x14ac:dyDescent="0.25">
      <c r="B392" s="16"/>
      <c r="F392" s="16"/>
      <c r="J392" s="16"/>
      <c r="N392" s="16"/>
      <c r="R392" s="16"/>
      <c r="V392" s="16"/>
      <c r="Z392" s="16"/>
      <c r="AD392" s="16"/>
      <c r="AH392" s="16"/>
      <c r="AL392" s="16"/>
      <c r="AP392" s="16"/>
      <c r="AT392" s="16"/>
      <c r="AX392" s="16"/>
    </row>
    <row r="393" spans="2:50" x14ac:dyDescent="0.25">
      <c r="B393" s="16"/>
      <c r="F393" s="16"/>
      <c r="J393" s="16"/>
      <c r="N393" s="16"/>
      <c r="R393" s="16"/>
      <c r="V393" s="16"/>
      <c r="Z393" s="16"/>
      <c r="AD393" s="16"/>
      <c r="AH393" s="16"/>
      <c r="AL393" s="16"/>
      <c r="AP393" s="16"/>
      <c r="AT393" s="16"/>
      <c r="AX393" s="16"/>
    </row>
    <row r="394" spans="2:50" x14ac:dyDescent="0.25">
      <c r="B394" s="16"/>
      <c r="F394" s="16"/>
      <c r="J394" s="16"/>
      <c r="N394" s="16"/>
      <c r="R394" s="16"/>
      <c r="V394" s="16"/>
      <c r="Z394" s="16"/>
      <c r="AD394" s="16"/>
      <c r="AH394" s="16"/>
      <c r="AL394" s="16"/>
      <c r="AP394" s="16"/>
      <c r="AT394" s="16"/>
      <c r="AX394" s="16"/>
    </row>
    <row r="395" spans="2:50" x14ac:dyDescent="0.25">
      <c r="B395" s="16"/>
      <c r="F395" s="16"/>
      <c r="J395" s="16"/>
      <c r="N395" s="16"/>
      <c r="R395" s="16"/>
      <c r="V395" s="16"/>
      <c r="Z395" s="16"/>
      <c r="AD395" s="16"/>
      <c r="AH395" s="16"/>
      <c r="AL395" s="16"/>
      <c r="AP395" s="16"/>
      <c r="AT395" s="16"/>
      <c r="AX395" s="16"/>
    </row>
    <row r="396" spans="2:50" x14ac:dyDescent="0.25">
      <c r="B396" s="16"/>
      <c r="F396" s="16"/>
      <c r="J396" s="16"/>
      <c r="N396" s="16"/>
      <c r="R396" s="16"/>
      <c r="V396" s="16"/>
      <c r="Z396" s="16"/>
      <c r="AD396" s="16"/>
      <c r="AH396" s="16"/>
      <c r="AL396" s="16"/>
      <c r="AP396" s="16"/>
      <c r="AT396" s="16"/>
      <c r="AX396" s="16"/>
    </row>
    <row r="397" spans="2:50" x14ac:dyDescent="0.25">
      <c r="B397" s="16"/>
      <c r="F397" s="16"/>
      <c r="J397" s="16"/>
      <c r="N397" s="16"/>
      <c r="R397" s="16"/>
      <c r="V397" s="16"/>
      <c r="Z397" s="16"/>
      <c r="AD397" s="16"/>
      <c r="AH397" s="16"/>
      <c r="AL397" s="16"/>
      <c r="AP397" s="16"/>
      <c r="AT397" s="16"/>
      <c r="AX397" s="16"/>
    </row>
    <row r="398" spans="2:50" x14ac:dyDescent="0.25">
      <c r="B398" s="16"/>
      <c r="F398" s="16"/>
      <c r="J398" s="16"/>
      <c r="N398" s="16"/>
      <c r="R398" s="16"/>
      <c r="V398" s="16"/>
      <c r="Z398" s="16"/>
      <c r="AD398" s="16"/>
      <c r="AH398" s="16"/>
      <c r="AL398" s="16"/>
      <c r="AP398" s="16"/>
      <c r="AT398" s="16"/>
      <c r="AX398" s="16"/>
    </row>
    <row r="399" spans="2:50" x14ac:dyDescent="0.25">
      <c r="B399" s="16"/>
      <c r="F399" s="16"/>
      <c r="J399" s="16"/>
      <c r="N399" s="16"/>
      <c r="R399" s="16"/>
      <c r="V399" s="16"/>
      <c r="Z399" s="16"/>
      <c r="AD399" s="16"/>
      <c r="AH399" s="16"/>
      <c r="AL399" s="16"/>
      <c r="AP399" s="16"/>
      <c r="AT399" s="16"/>
      <c r="AX399" s="16"/>
    </row>
    <row r="400" spans="2:50" x14ac:dyDescent="0.25">
      <c r="B400" s="16"/>
      <c r="F400" s="16"/>
      <c r="J400" s="16"/>
      <c r="N400" s="16"/>
      <c r="R400" s="16"/>
      <c r="V400" s="16"/>
      <c r="Z400" s="16"/>
      <c r="AD400" s="16"/>
      <c r="AH400" s="16"/>
      <c r="AL400" s="16"/>
      <c r="AP400" s="16"/>
      <c r="AT400" s="16"/>
      <c r="AX400" s="16"/>
    </row>
    <row r="401" spans="2:50" x14ac:dyDescent="0.25">
      <c r="B401" s="16"/>
      <c r="F401" s="16"/>
      <c r="J401" s="16"/>
      <c r="N401" s="16"/>
      <c r="R401" s="16"/>
      <c r="V401" s="16"/>
      <c r="Z401" s="16"/>
      <c r="AD401" s="16"/>
      <c r="AH401" s="16"/>
      <c r="AL401" s="16"/>
      <c r="AP401" s="16"/>
      <c r="AT401" s="16"/>
      <c r="AX401" s="16"/>
    </row>
    <row r="402" spans="2:50" x14ac:dyDescent="0.25">
      <c r="B402" s="16"/>
      <c r="F402" s="16"/>
      <c r="J402" s="16"/>
      <c r="N402" s="16"/>
      <c r="R402" s="16"/>
      <c r="V402" s="16"/>
      <c r="Z402" s="16"/>
      <c r="AD402" s="16"/>
      <c r="AH402" s="16"/>
      <c r="AL402" s="16"/>
      <c r="AP402" s="16"/>
      <c r="AT402" s="16"/>
      <c r="AX402" s="16"/>
    </row>
    <row r="403" spans="2:50" x14ac:dyDescent="0.25">
      <c r="B403" s="16"/>
      <c r="F403" s="16"/>
      <c r="J403" s="16"/>
      <c r="N403" s="16"/>
      <c r="R403" s="16"/>
      <c r="V403" s="16"/>
      <c r="Z403" s="16"/>
      <c r="AD403" s="16"/>
      <c r="AH403" s="16"/>
      <c r="AL403" s="16"/>
      <c r="AP403" s="16"/>
      <c r="AT403" s="16"/>
      <c r="AX403" s="16"/>
    </row>
    <row r="404" spans="2:50" x14ac:dyDescent="0.25">
      <c r="B404" s="16"/>
      <c r="F404" s="16"/>
      <c r="J404" s="16"/>
      <c r="N404" s="16"/>
      <c r="R404" s="16"/>
      <c r="V404" s="16"/>
      <c r="Z404" s="16"/>
      <c r="AD404" s="16"/>
      <c r="AH404" s="16"/>
      <c r="AL404" s="16"/>
      <c r="AP404" s="16"/>
      <c r="AT404" s="16"/>
      <c r="AX404" s="16"/>
    </row>
    <row r="405" spans="2:50" x14ac:dyDescent="0.25">
      <c r="B405" s="16"/>
      <c r="F405" s="16"/>
      <c r="J405" s="16"/>
      <c r="N405" s="16"/>
      <c r="R405" s="16"/>
      <c r="V405" s="16"/>
      <c r="Z405" s="16"/>
      <c r="AD405" s="16"/>
      <c r="AH405" s="16"/>
      <c r="AL405" s="16"/>
      <c r="AP405" s="16"/>
      <c r="AT405" s="16"/>
      <c r="AX405" s="16"/>
    </row>
    <row r="406" spans="2:50" x14ac:dyDescent="0.25">
      <c r="B406" s="16"/>
      <c r="F406" s="16"/>
      <c r="J406" s="16"/>
      <c r="N406" s="16"/>
      <c r="R406" s="16"/>
      <c r="V406" s="16"/>
      <c r="Z406" s="16"/>
      <c r="AD406" s="16"/>
      <c r="AH406" s="16"/>
      <c r="AL406" s="16"/>
      <c r="AP406" s="16"/>
      <c r="AT406" s="16"/>
      <c r="AX406" s="16"/>
    </row>
    <row r="407" spans="2:50" x14ac:dyDescent="0.25">
      <c r="B407" s="16"/>
      <c r="F407" s="16"/>
      <c r="J407" s="16"/>
      <c r="N407" s="16"/>
      <c r="R407" s="16"/>
      <c r="V407" s="16"/>
      <c r="Z407" s="16"/>
      <c r="AD407" s="16"/>
      <c r="AH407" s="16"/>
      <c r="AL407" s="16"/>
      <c r="AP407" s="16"/>
      <c r="AT407" s="16"/>
      <c r="AX407" s="16"/>
    </row>
    <row r="408" spans="2:50" x14ac:dyDescent="0.25">
      <c r="B408" s="16"/>
      <c r="F408" s="16"/>
      <c r="J408" s="16"/>
      <c r="N408" s="16"/>
      <c r="R408" s="16"/>
      <c r="V408" s="16"/>
      <c r="Z408" s="16"/>
      <c r="AD408" s="16"/>
      <c r="AH408" s="16"/>
      <c r="AL408" s="16"/>
      <c r="AP408" s="16"/>
      <c r="AT408" s="16"/>
      <c r="AX408" s="16"/>
    </row>
    <row r="409" spans="2:50" x14ac:dyDescent="0.25">
      <c r="B409" s="16"/>
      <c r="F409" s="16"/>
      <c r="J409" s="16"/>
      <c r="N409" s="16"/>
      <c r="R409" s="16"/>
      <c r="V409" s="16"/>
      <c r="Z409" s="16"/>
      <c r="AD409" s="16"/>
      <c r="AH409" s="16"/>
      <c r="AL409" s="16"/>
      <c r="AP409" s="16"/>
      <c r="AT409" s="16"/>
      <c r="AX409" s="16"/>
    </row>
    <row r="410" spans="2:50" x14ac:dyDescent="0.25">
      <c r="B410" s="16"/>
      <c r="F410" s="16"/>
      <c r="J410" s="16"/>
      <c r="N410" s="16"/>
      <c r="R410" s="16"/>
      <c r="V410" s="16"/>
      <c r="Z410" s="16"/>
      <c r="AD410" s="16"/>
      <c r="AH410" s="16"/>
      <c r="AL410" s="16"/>
      <c r="AP410" s="16"/>
      <c r="AT410" s="16"/>
      <c r="AX410" s="16"/>
    </row>
    <row r="411" spans="2:50" x14ac:dyDescent="0.25">
      <c r="B411" s="16"/>
      <c r="F411" s="16"/>
      <c r="J411" s="16"/>
      <c r="N411" s="16"/>
      <c r="R411" s="16"/>
      <c r="V411" s="16"/>
      <c r="Z411" s="16"/>
      <c r="AD411" s="16"/>
      <c r="AH411" s="16"/>
      <c r="AL411" s="16"/>
      <c r="AP411" s="16"/>
      <c r="AT411" s="16"/>
      <c r="AX411" s="16"/>
    </row>
    <row r="412" spans="2:50" x14ac:dyDescent="0.25">
      <c r="B412" s="16"/>
      <c r="F412" s="16"/>
      <c r="J412" s="16"/>
      <c r="N412" s="16"/>
      <c r="R412" s="16"/>
      <c r="V412" s="16"/>
      <c r="Z412" s="16"/>
      <c r="AD412" s="16"/>
      <c r="AH412" s="16"/>
      <c r="AL412" s="16"/>
      <c r="AP412" s="16"/>
      <c r="AT412" s="16"/>
      <c r="AX412" s="16"/>
    </row>
    <row r="413" spans="2:50" x14ac:dyDescent="0.25">
      <c r="B413" s="16"/>
      <c r="F413" s="16"/>
      <c r="J413" s="16"/>
      <c r="N413" s="16"/>
      <c r="R413" s="16"/>
      <c r="V413" s="16"/>
      <c r="Z413" s="16"/>
      <c r="AD413" s="16"/>
      <c r="AH413" s="16"/>
      <c r="AL413" s="16"/>
      <c r="AP413" s="16"/>
      <c r="AT413" s="16"/>
      <c r="AX413" s="16"/>
    </row>
    <row r="414" spans="2:50" x14ac:dyDescent="0.25">
      <c r="B414" s="16"/>
      <c r="F414" s="16"/>
      <c r="J414" s="16"/>
      <c r="N414" s="16"/>
      <c r="R414" s="16"/>
      <c r="V414" s="16"/>
      <c r="Z414" s="16"/>
      <c r="AD414" s="16"/>
      <c r="AH414" s="16"/>
      <c r="AL414" s="16"/>
      <c r="AP414" s="16"/>
      <c r="AT414" s="16"/>
      <c r="AX414" s="16"/>
    </row>
    <row r="415" spans="2:50" x14ac:dyDescent="0.25">
      <c r="B415" s="16"/>
      <c r="F415" s="16"/>
      <c r="J415" s="16"/>
      <c r="N415" s="16"/>
      <c r="R415" s="16"/>
      <c r="V415" s="16"/>
      <c r="Z415" s="16"/>
      <c r="AD415" s="16"/>
      <c r="AH415" s="16"/>
      <c r="AL415" s="16"/>
      <c r="AP415" s="16"/>
      <c r="AT415" s="16"/>
      <c r="AX415" s="16"/>
    </row>
    <row r="416" spans="2:50" x14ac:dyDescent="0.25">
      <c r="B416" s="16"/>
      <c r="F416" s="16"/>
      <c r="J416" s="16"/>
      <c r="N416" s="16"/>
      <c r="R416" s="16"/>
      <c r="V416" s="16"/>
      <c r="Z416" s="16"/>
      <c r="AD416" s="16"/>
      <c r="AH416" s="16"/>
      <c r="AL416" s="16"/>
      <c r="AP416" s="16"/>
      <c r="AT416" s="16"/>
      <c r="AX416" s="16"/>
    </row>
    <row r="417" spans="2:50" x14ac:dyDescent="0.25">
      <c r="B417" s="16"/>
      <c r="F417" s="16"/>
      <c r="J417" s="16"/>
      <c r="N417" s="16"/>
      <c r="R417" s="16"/>
      <c r="V417" s="16"/>
      <c r="Z417" s="16"/>
      <c r="AD417" s="16"/>
      <c r="AH417" s="16"/>
      <c r="AL417" s="16"/>
      <c r="AP417" s="16"/>
      <c r="AT417" s="16"/>
      <c r="AX417" s="16"/>
    </row>
    <row r="418" spans="2:50" x14ac:dyDescent="0.25">
      <c r="B418" s="16"/>
      <c r="F418" s="16"/>
      <c r="J418" s="16"/>
      <c r="N418" s="16"/>
      <c r="R418" s="16"/>
      <c r="V418" s="16"/>
      <c r="Z418" s="16"/>
      <c r="AD418" s="16"/>
      <c r="AH418" s="16"/>
      <c r="AL418" s="16"/>
      <c r="AP418" s="16"/>
      <c r="AT418" s="16"/>
      <c r="AX418" s="16"/>
    </row>
    <row r="419" spans="2:50" x14ac:dyDescent="0.25">
      <c r="B419" s="16"/>
      <c r="F419" s="16"/>
      <c r="J419" s="16"/>
      <c r="N419" s="16"/>
      <c r="R419" s="16"/>
      <c r="V419" s="16"/>
      <c r="Z419" s="16"/>
      <c r="AD419" s="16"/>
      <c r="AH419" s="16"/>
      <c r="AL419" s="16"/>
      <c r="AP419" s="16"/>
      <c r="AT419" s="16"/>
      <c r="AX419" s="16"/>
    </row>
    <row r="420" spans="2:50" x14ac:dyDescent="0.25">
      <c r="B420" s="16"/>
      <c r="F420" s="16"/>
      <c r="J420" s="16"/>
      <c r="N420" s="16"/>
      <c r="R420" s="16"/>
      <c r="V420" s="16"/>
      <c r="Z420" s="16"/>
      <c r="AD420" s="16"/>
      <c r="AH420" s="16"/>
      <c r="AL420" s="16"/>
      <c r="AP420" s="16"/>
      <c r="AT420" s="16"/>
      <c r="AX420" s="16"/>
    </row>
    <row r="421" spans="2:50" x14ac:dyDescent="0.25">
      <c r="B421" s="16"/>
      <c r="F421" s="16"/>
      <c r="J421" s="16"/>
      <c r="N421" s="16"/>
      <c r="R421" s="16"/>
      <c r="V421" s="16"/>
      <c r="Z421" s="16"/>
      <c r="AD421" s="16"/>
      <c r="AH421" s="16"/>
      <c r="AL421" s="16"/>
      <c r="AP421" s="16"/>
      <c r="AT421" s="16"/>
      <c r="AX421" s="16"/>
    </row>
    <row r="422" spans="2:50" x14ac:dyDescent="0.25">
      <c r="B422" s="16"/>
      <c r="F422" s="16"/>
      <c r="J422" s="16"/>
      <c r="N422" s="16"/>
      <c r="R422" s="16"/>
      <c r="V422" s="16"/>
      <c r="Z422" s="16"/>
      <c r="AD422" s="16"/>
      <c r="AH422" s="16"/>
      <c r="AL422" s="16"/>
      <c r="AP422" s="16"/>
      <c r="AT422" s="16"/>
      <c r="AX422" s="16"/>
    </row>
    <row r="423" spans="2:50" x14ac:dyDescent="0.25">
      <c r="B423" s="16"/>
      <c r="F423" s="16"/>
      <c r="J423" s="16"/>
      <c r="N423" s="16"/>
      <c r="R423" s="16"/>
      <c r="V423" s="16"/>
      <c r="Z423" s="16"/>
      <c r="AD423" s="16"/>
      <c r="AH423" s="16"/>
      <c r="AL423" s="16"/>
      <c r="AP423" s="16"/>
      <c r="AT423" s="16"/>
      <c r="AX423" s="16"/>
    </row>
    <row r="424" spans="2:50" x14ac:dyDescent="0.25">
      <c r="B424" s="16"/>
      <c r="F424" s="16"/>
      <c r="J424" s="16"/>
      <c r="N424" s="16"/>
      <c r="R424" s="16"/>
      <c r="V424" s="16"/>
      <c r="Z424" s="16"/>
      <c r="AD424" s="16"/>
      <c r="AH424" s="16"/>
      <c r="AL424" s="16"/>
      <c r="AP424" s="16"/>
      <c r="AT424" s="16"/>
      <c r="AX424" s="16"/>
    </row>
    <row r="425" spans="2:50" x14ac:dyDescent="0.25">
      <c r="B425" s="16"/>
      <c r="F425" s="16"/>
      <c r="J425" s="16"/>
      <c r="N425" s="16"/>
      <c r="R425" s="16"/>
      <c r="V425" s="16"/>
      <c r="Z425" s="16"/>
      <c r="AD425" s="16"/>
      <c r="AH425" s="16"/>
      <c r="AL425" s="16"/>
      <c r="AP425" s="16"/>
      <c r="AT425" s="16"/>
      <c r="AX425" s="16"/>
    </row>
    <row r="426" spans="2:50" x14ac:dyDescent="0.25">
      <c r="B426" s="16"/>
      <c r="F426" s="16"/>
      <c r="J426" s="16"/>
      <c r="N426" s="16"/>
      <c r="R426" s="16"/>
      <c r="V426" s="16"/>
      <c r="Z426" s="16"/>
      <c r="AD426" s="16"/>
      <c r="AH426" s="16"/>
      <c r="AL426" s="16"/>
      <c r="AP426" s="16"/>
      <c r="AT426" s="16"/>
      <c r="AX426" s="16"/>
    </row>
    <row r="427" spans="2:50" x14ac:dyDescent="0.25">
      <c r="B427" s="16"/>
      <c r="F427" s="16"/>
      <c r="J427" s="16"/>
      <c r="N427" s="16"/>
      <c r="R427" s="16"/>
      <c r="V427" s="16"/>
      <c r="Z427" s="16"/>
      <c r="AD427" s="16"/>
      <c r="AH427" s="16"/>
      <c r="AL427" s="16"/>
      <c r="AP427" s="16"/>
      <c r="AT427" s="16"/>
      <c r="AX427" s="16"/>
    </row>
    <row r="428" spans="2:50" x14ac:dyDescent="0.25">
      <c r="B428" s="16"/>
      <c r="F428" s="16"/>
      <c r="J428" s="16"/>
      <c r="N428" s="16"/>
      <c r="R428" s="16"/>
      <c r="V428" s="16"/>
      <c r="Z428" s="16"/>
      <c r="AD428" s="16"/>
      <c r="AH428" s="16"/>
      <c r="AL428" s="16"/>
      <c r="AP428" s="16"/>
      <c r="AT428" s="16"/>
      <c r="AX428" s="16"/>
    </row>
    <row r="429" spans="2:50" x14ac:dyDescent="0.25">
      <c r="B429" s="16"/>
      <c r="F429" s="16"/>
      <c r="J429" s="16"/>
      <c r="N429" s="16"/>
      <c r="R429" s="16"/>
      <c r="V429" s="16"/>
      <c r="Z429" s="16"/>
      <c r="AD429" s="16"/>
      <c r="AH429" s="16"/>
      <c r="AL429" s="16"/>
      <c r="AP429" s="16"/>
      <c r="AT429" s="16"/>
      <c r="AX429" s="16"/>
    </row>
    <row r="430" spans="2:50" x14ac:dyDescent="0.25">
      <c r="B430" s="16"/>
      <c r="F430" s="16"/>
      <c r="J430" s="16"/>
      <c r="N430" s="16"/>
      <c r="R430" s="16"/>
      <c r="V430" s="16"/>
      <c r="Z430" s="16"/>
      <c r="AD430" s="16"/>
      <c r="AH430" s="16"/>
      <c r="AL430" s="16"/>
      <c r="AP430" s="16"/>
      <c r="AT430" s="16"/>
      <c r="AX430" s="16"/>
    </row>
    <row r="431" spans="2:50" x14ac:dyDescent="0.25">
      <c r="B431" s="16"/>
      <c r="F431" s="16"/>
      <c r="J431" s="16"/>
      <c r="N431" s="16"/>
      <c r="R431" s="16"/>
      <c r="V431" s="16"/>
      <c r="Z431" s="16"/>
      <c r="AD431" s="16"/>
      <c r="AH431" s="16"/>
      <c r="AL431" s="16"/>
      <c r="AP431" s="16"/>
      <c r="AT431" s="16"/>
      <c r="AX431" s="16"/>
    </row>
    <row r="432" spans="2:50" x14ac:dyDescent="0.25">
      <c r="B432" s="16"/>
      <c r="F432" s="16"/>
      <c r="J432" s="16"/>
      <c r="N432" s="16"/>
      <c r="R432" s="16"/>
      <c r="V432" s="16"/>
      <c r="Z432" s="16"/>
      <c r="AD432" s="16"/>
      <c r="AH432" s="16"/>
      <c r="AL432" s="16"/>
      <c r="AP432" s="16"/>
      <c r="AT432" s="16"/>
      <c r="AX432" s="16"/>
    </row>
    <row r="433" spans="2:50" x14ac:dyDescent="0.25">
      <c r="B433" s="16"/>
      <c r="F433" s="16"/>
      <c r="J433" s="16"/>
      <c r="N433" s="16"/>
      <c r="R433" s="16"/>
      <c r="V433" s="16"/>
      <c r="Z433" s="16"/>
      <c r="AD433" s="16"/>
      <c r="AH433" s="16"/>
      <c r="AL433" s="16"/>
      <c r="AP433" s="16"/>
      <c r="AT433" s="16"/>
      <c r="AX433" s="16"/>
    </row>
    <row r="434" spans="2:50" x14ac:dyDescent="0.25">
      <c r="B434" s="16"/>
      <c r="F434" s="16"/>
      <c r="J434" s="16"/>
      <c r="N434" s="16"/>
      <c r="R434" s="16"/>
      <c r="V434" s="16"/>
      <c r="Z434" s="16"/>
      <c r="AD434" s="16"/>
      <c r="AH434" s="16"/>
      <c r="AL434" s="16"/>
      <c r="AP434" s="16"/>
      <c r="AT434" s="16"/>
      <c r="AX434" s="16"/>
    </row>
    <row r="435" spans="2:50" x14ac:dyDescent="0.25">
      <c r="B435" s="16"/>
      <c r="F435" s="16"/>
      <c r="J435" s="16"/>
      <c r="N435" s="16"/>
      <c r="R435" s="16"/>
      <c r="V435" s="16"/>
      <c r="Z435" s="16"/>
      <c r="AD435" s="16"/>
      <c r="AH435" s="16"/>
      <c r="AL435" s="16"/>
      <c r="AP435" s="16"/>
      <c r="AT435" s="16"/>
      <c r="AX435" s="16"/>
    </row>
    <row r="436" spans="2:50" x14ac:dyDescent="0.25">
      <c r="B436" s="16"/>
      <c r="F436" s="16"/>
      <c r="J436" s="16"/>
      <c r="N436" s="16"/>
      <c r="R436" s="16"/>
      <c r="V436" s="16"/>
      <c r="Z436" s="16"/>
      <c r="AD436" s="16"/>
      <c r="AH436" s="16"/>
      <c r="AL436" s="16"/>
      <c r="AP436" s="16"/>
      <c r="AT436" s="16"/>
      <c r="AX436" s="16"/>
    </row>
    <row r="437" spans="2:50" x14ac:dyDescent="0.25">
      <c r="B437" s="16"/>
      <c r="F437" s="16"/>
      <c r="J437" s="16"/>
      <c r="N437" s="16"/>
      <c r="R437" s="16"/>
      <c r="V437" s="16"/>
      <c r="Z437" s="16"/>
      <c r="AD437" s="16"/>
      <c r="AH437" s="16"/>
      <c r="AL437" s="16"/>
      <c r="AP437" s="16"/>
      <c r="AT437" s="16"/>
      <c r="AX437" s="16"/>
    </row>
    <row r="438" spans="2:50" x14ac:dyDescent="0.25">
      <c r="B438" s="16"/>
      <c r="F438" s="16"/>
      <c r="J438" s="16"/>
      <c r="N438" s="16"/>
      <c r="R438" s="16"/>
      <c r="V438" s="16"/>
      <c r="Z438" s="16"/>
      <c r="AD438" s="16"/>
      <c r="AH438" s="16"/>
      <c r="AL438" s="16"/>
      <c r="AP438" s="16"/>
      <c r="AT438" s="16"/>
      <c r="AX438" s="16"/>
    </row>
    <row r="439" spans="2:50" x14ac:dyDescent="0.25">
      <c r="B439" s="16"/>
      <c r="F439" s="16"/>
      <c r="J439" s="16"/>
      <c r="N439" s="16"/>
      <c r="R439" s="16"/>
      <c r="V439" s="16"/>
      <c r="Z439" s="16"/>
      <c r="AD439" s="16"/>
      <c r="AH439" s="16"/>
      <c r="AL439" s="16"/>
      <c r="AP439" s="16"/>
      <c r="AT439" s="16"/>
      <c r="AX439" s="16"/>
    </row>
    <row r="440" spans="2:50" x14ac:dyDescent="0.25">
      <c r="B440" s="16"/>
      <c r="F440" s="16"/>
      <c r="J440" s="16"/>
      <c r="N440" s="16"/>
      <c r="R440" s="16"/>
      <c r="V440" s="16"/>
      <c r="Z440" s="16"/>
      <c r="AD440" s="16"/>
      <c r="AH440" s="16"/>
      <c r="AL440" s="16"/>
      <c r="AP440" s="16"/>
      <c r="AT440" s="16"/>
      <c r="AX440" s="16"/>
    </row>
    <row r="441" spans="2:50" x14ac:dyDescent="0.25">
      <c r="B441" s="16"/>
      <c r="F441" s="16"/>
      <c r="J441" s="16"/>
      <c r="N441" s="16"/>
      <c r="R441" s="16"/>
      <c r="V441" s="16"/>
      <c r="Z441" s="16"/>
      <c r="AD441" s="16"/>
      <c r="AH441" s="16"/>
      <c r="AL441" s="16"/>
      <c r="AP441" s="16"/>
      <c r="AT441" s="16"/>
      <c r="AX441" s="16"/>
    </row>
    <row r="442" spans="2:50" x14ac:dyDescent="0.25">
      <c r="B442" s="16"/>
      <c r="F442" s="16"/>
      <c r="J442" s="16"/>
      <c r="N442" s="16"/>
      <c r="R442" s="16"/>
      <c r="V442" s="16"/>
      <c r="Z442" s="16"/>
      <c r="AD442" s="16"/>
      <c r="AH442" s="16"/>
      <c r="AL442" s="16"/>
      <c r="AP442" s="16"/>
      <c r="AT442" s="16"/>
      <c r="AX442" s="16"/>
    </row>
    <row r="443" spans="2:50" x14ac:dyDescent="0.25">
      <c r="B443" s="16"/>
      <c r="F443" s="16"/>
      <c r="J443" s="16"/>
      <c r="N443" s="16"/>
      <c r="R443" s="16"/>
      <c r="V443" s="16"/>
      <c r="Z443" s="16"/>
      <c r="AD443" s="16"/>
      <c r="AH443" s="16"/>
      <c r="AL443" s="16"/>
      <c r="AP443" s="16"/>
      <c r="AT443" s="16"/>
      <c r="AX443" s="16"/>
    </row>
    <row r="444" spans="2:50" x14ac:dyDescent="0.25">
      <c r="B444" s="16"/>
      <c r="F444" s="16"/>
      <c r="J444" s="16"/>
      <c r="N444" s="16"/>
      <c r="R444" s="16"/>
      <c r="V444" s="16"/>
      <c r="Z444" s="16"/>
      <c r="AD444" s="16"/>
      <c r="AH444" s="16"/>
      <c r="AL444" s="16"/>
      <c r="AP444" s="16"/>
      <c r="AT444" s="16"/>
      <c r="AX444" s="16"/>
    </row>
    <row r="445" spans="2:50" x14ac:dyDescent="0.25">
      <c r="B445" s="16"/>
      <c r="F445" s="16"/>
      <c r="J445" s="16"/>
      <c r="N445" s="16"/>
      <c r="R445" s="16"/>
      <c r="V445" s="16"/>
      <c r="Z445" s="16"/>
      <c r="AD445" s="16"/>
      <c r="AH445" s="16"/>
      <c r="AL445" s="16"/>
      <c r="AP445" s="16"/>
      <c r="AT445" s="16"/>
      <c r="AX445" s="16"/>
    </row>
    <row r="446" spans="2:50" x14ac:dyDescent="0.25">
      <c r="B446" s="16"/>
      <c r="F446" s="16"/>
      <c r="J446" s="16"/>
      <c r="N446" s="16"/>
      <c r="R446" s="16"/>
      <c r="V446" s="16"/>
      <c r="Z446" s="16"/>
      <c r="AD446" s="16"/>
      <c r="AH446" s="16"/>
      <c r="AL446" s="16"/>
      <c r="AP446" s="16"/>
      <c r="AT446" s="16"/>
      <c r="AX446" s="16"/>
    </row>
    <row r="447" spans="2:50" x14ac:dyDescent="0.25">
      <c r="B447" s="16"/>
      <c r="F447" s="16"/>
      <c r="J447" s="16"/>
      <c r="N447" s="16"/>
      <c r="R447" s="16"/>
      <c r="V447" s="16"/>
      <c r="Z447" s="16"/>
      <c r="AD447" s="16"/>
      <c r="AH447" s="16"/>
      <c r="AL447" s="16"/>
      <c r="AP447" s="16"/>
      <c r="AT447" s="16"/>
      <c r="AX447" s="16"/>
    </row>
    <row r="448" spans="2:50" x14ac:dyDescent="0.25">
      <c r="B448" s="16"/>
      <c r="F448" s="16"/>
      <c r="J448" s="16"/>
      <c r="N448" s="16"/>
      <c r="R448" s="16"/>
      <c r="V448" s="16"/>
      <c r="Z448" s="16"/>
      <c r="AD448" s="16"/>
      <c r="AH448" s="16"/>
      <c r="AL448" s="16"/>
      <c r="AP448" s="16"/>
      <c r="AT448" s="16"/>
      <c r="AX448" s="16"/>
    </row>
    <row r="449" spans="2:50" x14ac:dyDescent="0.25">
      <c r="B449" s="16"/>
      <c r="F449" s="16"/>
      <c r="J449" s="16"/>
      <c r="N449" s="16"/>
      <c r="R449" s="16"/>
      <c r="V449" s="16"/>
      <c r="Z449" s="16"/>
      <c r="AD449" s="16"/>
      <c r="AH449" s="16"/>
      <c r="AL449" s="16"/>
      <c r="AP449" s="16"/>
      <c r="AT449" s="16"/>
      <c r="AX449" s="16"/>
    </row>
    <row r="450" spans="2:50" x14ac:dyDescent="0.25">
      <c r="B450" s="16"/>
      <c r="F450" s="16"/>
      <c r="J450" s="16"/>
      <c r="N450" s="16"/>
      <c r="R450" s="16"/>
      <c r="V450" s="16"/>
      <c r="Z450" s="16"/>
      <c r="AD450" s="16"/>
      <c r="AH450" s="16"/>
      <c r="AL450" s="16"/>
      <c r="AP450" s="16"/>
      <c r="AT450" s="16"/>
      <c r="AX450" s="16"/>
    </row>
    <row r="451" spans="2:50" x14ac:dyDescent="0.25">
      <c r="B451" s="16"/>
      <c r="F451" s="16"/>
      <c r="J451" s="16"/>
      <c r="N451" s="16"/>
      <c r="R451" s="16"/>
      <c r="V451" s="16"/>
      <c r="Z451" s="16"/>
      <c r="AD451" s="16"/>
      <c r="AH451" s="16"/>
      <c r="AL451" s="16"/>
      <c r="AP451" s="16"/>
      <c r="AT451" s="16"/>
      <c r="AX451" s="16"/>
    </row>
    <row r="452" spans="2:50" x14ac:dyDescent="0.25">
      <c r="B452" s="16"/>
      <c r="F452" s="16"/>
      <c r="J452" s="16"/>
      <c r="N452" s="16"/>
      <c r="R452" s="16"/>
      <c r="V452" s="16"/>
      <c r="Z452" s="16"/>
      <c r="AD452" s="16"/>
      <c r="AH452" s="16"/>
      <c r="AL452" s="16"/>
      <c r="AP452" s="16"/>
      <c r="AT452" s="16"/>
      <c r="AX452" s="16"/>
    </row>
    <row r="453" spans="2:50" x14ac:dyDescent="0.25">
      <c r="B453" s="16"/>
      <c r="F453" s="16"/>
      <c r="J453" s="16"/>
      <c r="N453" s="16"/>
      <c r="R453" s="16"/>
      <c r="V453" s="16"/>
      <c r="Z453" s="16"/>
      <c r="AD453" s="16"/>
      <c r="AH453" s="16"/>
      <c r="AL453" s="16"/>
      <c r="AP453" s="16"/>
      <c r="AT453" s="16"/>
      <c r="AX453" s="16"/>
    </row>
    <row r="454" spans="2:50" x14ac:dyDescent="0.25">
      <c r="B454" s="16"/>
      <c r="F454" s="16"/>
      <c r="J454" s="16"/>
      <c r="N454" s="16"/>
      <c r="R454" s="16"/>
      <c r="V454" s="16"/>
      <c r="Z454" s="16"/>
      <c r="AD454" s="16"/>
      <c r="AH454" s="16"/>
      <c r="AL454" s="16"/>
      <c r="AP454" s="16"/>
      <c r="AT454" s="16"/>
      <c r="AX454" s="16"/>
    </row>
    <row r="455" spans="2:50" x14ac:dyDescent="0.25">
      <c r="B455" s="16"/>
      <c r="F455" s="16"/>
      <c r="J455" s="16"/>
      <c r="N455" s="16"/>
      <c r="R455" s="16"/>
      <c r="V455" s="16"/>
      <c r="Z455" s="16"/>
      <c r="AD455" s="16"/>
      <c r="AH455" s="16"/>
      <c r="AL455" s="16"/>
      <c r="AP455" s="16"/>
      <c r="AT455" s="16"/>
      <c r="AX455" s="16"/>
    </row>
    <row r="456" spans="2:50" x14ac:dyDescent="0.25">
      <c r="B456" s="16"/>
      <c r="F456" s="16"/>
      <c r="J456" s="16"/>
      <c r="N456" s="16"/>
      <c r="R456" s="16"/>
      <c r="V456" s="16"/>
      <c r="Z456" s="16"/>
      <c r="AD456" s="16"/>
      <c r="AH456" s="16"/>
      <c r="AL456" s="16"/>
      <c r="AP456" s="16"/>
      <c r="AT456" s="16"/>
      <c r="AX456" s="16"/>
    </row>
    <row r="457" spans="2:50" x14ac:dyDescent="0.25">
      <c r="B457" s="16"/>
      <c r="F457" s="16"/>
      <c r="J457" s="16"/>
      <c r="N457" s="16"/>
      <c r="R457" s="16"/>
      <c r="V457" s="16"/>
      <c r="Z457" s="16"/>
      <c r="AD457" s="16"/>
      <c r="AH457" s="16"/>
      <c r="AL457" s="16"/>
      <c r="AP457" s="16"/>
      <c r="AT457" s="16"/>
      <c r="AX457" s="16"/>
    </row>
    <row r="458" spans="2:50" x14ac:dyDescent="0.25">
      <c r="B458" s="16"/>
      <c r="F458" s="16"/>
      <c r="J458" s="16"/>
      <c r="N458" s="16"/>
      <c r="R458" s="16"/>
      <c r="V458" s="16"/>
      <c r="Z458" s="16"/>
      <c r="AD458" s="16"/>
      <c r="AH458" s="16"/>
      <c r="AL458" s="16"/>
      <c r="AP458" s="16"/>
      <c r="AT458" s="16"/>
      <c r="AX458" s="16"/>
    </row>
    <row r="459" spans="2:50" x14ac:dyDescent="0.25">
      <c r="B459" s="16"/>
      <c r="F459" s="16"/>
      <c r="J459" s="16"/>
      <c r="N459" s="16"/>
      <c r="R459" s="16"/>
      <c r="V459" s="16"/>
      <c r="Z459" s="16"/>
      <c r="AD459" s="16"/>
      <c r="AH459" s="16"/>
      <c r="AL459" s="16"/>
      <c r="AP459" s="16"/>
      <c r="AT459" s="16"/>
      <c r="AX459" s="16"/>
    </row>
    <row r="460" spans="2:50" x14ac:dyDescent="0.25">
      <c r="B460" s="16"/>
      <c r="F460" s="16"/>
      <c r="J460" s="16"/>
      <c r="N460" s="16"/>
      <c r="R460" s="16"/>
      <c r="V460" s="16"/>
      <c r="Z460" s="16"/>
      <c r="AD460" s="16"/>
      <c r="AH460" s="16"/>
      <c r="AL460" s="16"/>
      <c r="AP460" s="16"/>
      <c r="AT460" s="16"/>
      <c r="AX460" s="16"/>
    </row>
    <row r="461" spans="2:50" x14ac:dyDescent="0.25">
      <c r="B461" s="16"/>
      <c r="F461" s="16"/>
      <c r="J461" s="16"/>
      <c r="N461" s="16"/>
      <c r="R461" s="16"/>
      <c r="V461" s="16"/>
      <c r="Z461" s="16"/>
      <c r="AD461" s="16"/>
      <c r="AH461" s="16"/>
      <c r="AL461" s="16"/>
      <c r="AP461" s="16"/>
      <c r="AT461" s="16"/>
      <c r="AX461" s="16"/>
    </row>
    <row r="462" spans="2:50" x14ac:dyDescent="0.25">
      <c r="B462" s="16"/>
      <c r="F462" s="16"/>
      <c r="J462" s="16"/>
      <c r="N462" s="16"/>
      <c r="R462" s="16"/>
      <c r="V462" s="16"/>
      <c r="Z462" s="16"/>
      <c r="AD462" s="16"/>
      <c r="AH462" s="16"/>
      <c r="AL462" s="16"/>
      <c r="AP462" s="16"/>
      <c r="AT462" s="16"/>
      <c r="AX462" s="16"/>
    </row>
    <row r="463" spans="2:50" x14ac:dyDescent="0.25">
      <c r="B463" s="16"/>
      <c r="F463" s="16"/>
      <c r="J463" s="16"/>
      <c r="N463" s="16"/>
      <c r="R463" s="16"/>
      <c r="V463" s="16"/>
      <c r="Z463" s="16"/>
      <c r="AD463" s="16"/>
      <c r="AH463" s="16"/>
      <c r="AL463" s="16"/>
      <c r="AP463" s="16"/>
      <c r="AT463" s="16"/>
      <c r="AX463" s="16"/>
    </row>
    <row r="464" spans="2:50" x14ac:dyDescent="0.25">
      <c r="B464" s="16"/>
      <c r="F464" s="16"/>
      <c r="J464" s="16"/>
      <c r="N464" s="16"/>
      <c r="R464" s="16"/>
      <c r="V464" s="16"/>
      <c r="Z464" s="16"/>
      <c r="AD464" s="16"/>
      <c r="AH464" s="16"/>
      <c r="AL464" s="16"/>
      <c r="AP464" s="16"/>
      <c r="AT464" s="16"/>
      <c r="AX464" s="16"/>
    </row>
    <row r="465" spans="2:50" x14ac:dyDescent="0.25">
      <c r="B465" s="16"/>
      <c r="F465" s="16"/>
      <c r="J465" s="16"/>
      <c r="N465" s="16"/>
      <c r="R465" s="16"/>
      <c r="V465" s="16"/>
      <c r="Z465" s="16"/>
      <c r="AD465" s="16"/>
      <c r="AH465" s="16"/>
      <c r="AL465" s="16"/>
      <c r="AP465" s="16"/>
      <c r="AT465" s="16"/>
      <c r="AX465" s="16"/>
    </row>
    <row r="466" spans="2:50" x14ac:dyDescent="0.25">
      <c r="B466" s="16"/>
      <c r="F466" s="16"/>
      <c r="J466" s="16"/>
      <c r="N466" s="16"/>
      <c r="R466" s="16"/>
      <c r="V466" s="16"/>
      <c r="Z466" s="16"/>
      <c r="AD466" s="16"/>
      <c r="AH466" s="16"/>
      <c r="AL466" s="16"/>
      <c r="AP466" s="16"/>
      <c r="AT466" s="16"/>
      <c r="AX466" s="16"/>
    </row>
    <row r="467" spans="2:50" x14ac:dyDescent="0.25">
      <c r="B467" s="16"/>
      <c r="F467" s="16"/>
      <c r="J467" s="16"/>
      <c r="N467" s="16"/>
      <c r="R467" s="16"/>
      <c r="V467" s="16"/>
      <c r="Z467" s="16"/>
      <c r="AD467" s="16"/>
      <c r="AH467" s="16"/>
      <c r="AL467" s="16"/>
      <c r="AP467" s="16"/>
      <c r="AT467" s="16"/>
      <c r="AX467" s="16"/>
    </row>
    <row r="468" spans="2:50" x14ac:dyDescent="0.25">
      <c r="B468" s="16"/>
      <c r="F468" s="16"/>
      <c r="J468" s="16"/>
      <c r="N468" s="16"/>
      <c r="R468" s="16"/>
      <c r="V468" s="16"/>
      <c r="Z468" s="16"/>
      <c r="AD468" s="16"/>
      <c r="AH468" s="16"/>
      <c r="AL468" s="16"/>
      <c r="AP468" s="16"/>
      <c r="AT468" s="16"/>
      <c r="AX468" s="16"/>
    </row>
    <row r="469" spans="2:50" x14ac:dyDescent="0.25">
      <c r="B469" s="16"/>
      <c r="F469" s="16"/>
      <c r="J469" s="16"/>
      <c r="N469" s="16"/>
      <c r="R469" s="16"/>
      <c r="V469" s="16"/>
      <c r="Z469" s="16"/>
      <c r="AD469" s="16"/>
      <c r="AH469" s="16"/>
      <c r="AL469" s="16"/>
      <c r="AP469" s="16"/>
      <c r="AT469" s="16"/>
      <c r="AX469" s="16"/>
    </row>
    <row r="470" spans="2:50" x14ac:dyDescent="0.25">
      <c r="B470" s="16"/>
      <c r="F470" s="16"/>
      <c r="J470" s="16"/>
      <c r="N470" s="16"/>
      <c r="R470" s="16"/>
      <c r="V470" s="16"/>
      <c r="Z470" s="16"/>
      <c r="AD470" s="16"/>
      <c r="AH470" s="16"/>
      <c r="AL470" s="16"/>
      <c r="AP470" s="16"/>
      <c r="AT470" s="16"/>
      <c r="AX470" s="16"/>
    </row>
    <row r="471" spans="2:50" x14ac:dyDescent="0.25">
      <c r="B471" s="16"/>
      <c r="F471" s="16"/>
      <c r="J471" s="16"/>
      <c r="N471" s="16"/>
      <c r="R471" s="16"/>
      <c r="V471" s="16"/>
      <c r="Z471" s="16"/>
      <c r="AD471" s="16"/>
      <c r="AH471" s="16"/>
      <c r="AL471" s="16"/>
      <c r="AP471" s="16"/>
      <c r="AT471" s="16"/>
      <c r="AX471" s="16"/>
    </row>
    <row r="472" spans="2:50" x14ac:dyDescent="0.25">
      <c r="B472" s="16"/>
      <c r="F472" s="16"/>
      <c r="J472" s="16"/>
      <c r="N472" s="16"/>
      <c r="R472" s="16"/>
      <c r="V472" s="16"/>
      <c r="Z472" s="16"/>
      <c r="AD472" s="16"/>
      <c r="AH472" s="16"/>
      <c r="AL472" s="16"/>
      <c r="AP472" s="16"/>
      <c r="AT472" s="16"/>
      <c r="AX472" s="16"/>
    </row>
    <row r="473" spans="2:50" x14ac:dyDescent="0.25">
      <c r="B473" s="16"/>
      <c r="F473" s="16"/>
      <c r="J473" s="16"/>
      <c r="N473" s="16"/>
      <c r="R473" s="16"/>
      <c r="V473" s="16"/>
      <c r="Z473" s="16"/>
      <c r="AD473" s="16"/>
      <c r="AH473" s="16"/>
      <c r="AL473" s="16"/>
      <c r="AP473" s="16"/>
      <c r="AT473" s="16"/>
      <c r="AX473" s="16"/>
    </row>
    <row r="474" spans="2:50" x14ac:dyDescent="0.25">
      <c r="B474" s="16"/>
      <c r="F474" s="16"/>
      <c r="J474" s="16"/>
      <c r="N474" s="16"/>
      <c r="R474" s="16"/>
      <c r="V474" s="16"/>
      <c r="Z474" s="16"/>
      <c r="AD474" s="16"/>
      <c r="AH474" s="16"/>
      <c r="AL474" s="16"/>
      <c r="AP474" s="16"/>
      <c r="AT474" s="16"/>
      <c r="AX474" s="16"/>
    </row>
    <row r="475" spans="2:50" x14ac:dyDescent="0.25">
      <c r="B475" s="16"/>
      <c r="F475" s="16"/>
      <c r="J475" s="16"/>
      <c r="N475" s="16"/>
      <c r="R475" s="16"/>
      <c r="V475" s="16"/>
      <c r="Z475" s="16"/>
      <c r="AD475" s="16"/>
      <c r="AH475" s="16"/>
      <c r="AL475" s="16"/>
      <c r="AP475" s="16"/>
      <c r="AT475" s="16"/>
      <c r="AX475" s="16"/>
    </row>
    <row r="476" spans="2:50" x14ac:dyDescent="0.25">
      <c r="B476" s="16"/>
      <c r="F476" s="16"/>
      <c r="J476" s="16"/>
      <c r="N476" s="16"/>
      <c r="R476" s="16"/>
      <c r="V476" s="16"/>
      <c r="Z476" s="16"/>
      <c r="AD476" s="16"/>
      <c r="AH476" s="16"/>
      <c r="AL476" s="16"/>
      <c r="AP476" s="16"/>
      <c r="AT476" s="16"/>
      <c r="AX476" s="16"/>
    </row>
    <row r="477" spans="2:50" x14ac:dyDescent="0.25">
      <c r="B477" s="16"/>
      <c r="F477" s="16"/>
      <c r="J477" s="16"/>
      <c r="N477" s="16"/>
      <c r="R477" s="16"/>
      <c r="V477" s="16"/>
      <c r="Z477" s="16"/>
      <c r="AD477" s="16"/>
      <c r="AH477" s="16"/>
      <c r="AL477" s="16"/>
      <c r="AP477" s="16"/>
      <c r="AT477" s="16"/>
      <c r="AX477" s="16"/>
    </row>
    <row r="478" spans="2:50" x14ac:dyDescent="0.25">
      <c r="B478" s="16"/>
      <c r="F478" s="16"/>
      <c r="J478" s="16"/>
      <c r="N478" s="16"/>
      <c r="R478" s="16"/>
      <c r="V478" s="16"/>
      <c r="Z478" s="16"/>
      <c r="AD478" s="16"/>
      <c r="AH478" s="16"/>
      <c r="AL478" s="16"/>
      <c r="AP478" s="16"/>
      <c r="AT478" s="16"/>
      <c r="AX478" s="16"/>
    </row>
    <row r="479" spans="2:50" x14ac:dyDescent="0.25">
      <c r="B479" s="16"/>
      <c r="F479" s="16"/>
      <c r="J479" s="16"/>
      <c r="N479" s="16"/>
      <c r="R479" s="16"/>
      <c r="V479" s="16"/>
      <c r="Z479" s="16"/>
      <c r="AD479" s="16"/>
      <c r="AH479" s="16"/>
      <c r="AL479" s="16"/>
      <c r="AP479" s="16"/>
      <c r="AT479" s="16"/>
      <c r="AX479" s="16"/>
    </row>
    <row r="480" spans="2:50" x14ac:dyDescent="0.25">
      <c r="B480" s="16"/>
      <c r="F480" s="16"/>
      <c r="J480" s="16"/>
      <c r="N480" s="16"/>
      <c r="R480" s="16"/>
      <c r="V480" s="16"/>
      <c r="Z480" s="16"/>
      <c r="AD480" s="16"/>
      <c r="AH480" s="16"/>
      <c r="AL480" s="16"/>
      <c r="AP480" s="16"/>
      <c r="AT480" s="16"/>
      <c r="AX480" s="16"/>
    </row>
    <row r="481" spans="2:50" x14ac:dyDescent="0.25">
      <c r="B481" s="16"/>
      <c r="F481" s="16"/>
      <c r="J481" s="16"/>
      <c r="N481" s="16"/>
      <c r="R481" s="16"/>
      <c r="V481" s="16"/>
      <c r="Z481" s="16"/>
      <c r="AD481" s="16"/>
      <c r="AH481" s="16"/>
      <c r="AL481" s="16"/>
      <c r="AP481" s="16"/>
      <c r="AT481" s="16"/>
      <c r="AX481" s="16"/>
    </row>
    <row r="482" spans="2:50" x14ac:dyDescent="0.25">
      <c r="B482" s="16"/>
      <c r="F482" s="16"/>
      <c r="J482" s="16"/>
      <c r="N482" s="16"/>
      <c r="R482" s="16"/>
      <c r="V482" s="16"/>
      <c r="Z482" s="16"/>
      <c r="AD482" s="16"/>
      <c r="AH482" s="16"/>
      <c r="AL482" s="16"/>
      <c r="AP482" s="16"/>
      <c r="AT482" s="16"/>
      <c r="AX482" s="16"/>
    </row>
    <row r="483" spans="2:50" x14ac:dyDescent="0.25">
      <c r="B483" s="16"/>
      <c r="F483" s="16"/>
      <c r="J483" s="16"/>
      <c r="N483" s="16"/>
      <c r="R483" s="16"/>
      <c r="V483" s="16"/>
      <c r="Z483" s="16"/>
      <c r="AD483" s="16"/>
      <c r="AH483" s="16"/>
      <c r="AL483" s="16"/>
      <c r="AP483" s="16"/>
      <c r="AT483" s="16"/>
      <c r="AX483" s="16"/>
    </row>
    <row r="484" spans="2:50" x14ac:dyDescent="0.25">
      <c r="B484" s="16"/>
      <c r="F484" s="16"/>
      <c r="J484" s="16"/>
      <c r="N484" s="16"/>
      <c r="R484" s="16"/>
      <c r="V484" s="16"/>
      <c r="Z484" s="16"/>
      <c r="AD484" s="16"/>
      <c r="AH484" s="16"/>
      <c r="AL484" s="16"/>
      <c r="AP484" s="16"/>
      <c r="AT484" s="16"/>
      <c r="AX484" s="16"/>
    </row>
    <row r="485" spans="2:50" x14ac:dyDescent="0.25">
      <c r="B485" s="16"/>
      <c r="F485" s="16"/>
      <c r="J485" s="16"/>
      <c r="N485" s="16"/>
      <c r="R485" s="16"/>
      <c r="V485" s="16"/>
      <c r="Z485" s="16"/>
      <c r="AD485" s="16"/>
      <c r="AH485" s="16"/>
      <c r="AL485" s="16"/>
      <c r="AP485" s="16"/>
      <c r="AT485" s="16"/>
      <c r="AX485" s="16"/>
    </row>
    <row r="486" spans="2:50" x14ac:dyDescent="0.25">
      <c r="B486" s="16"/>
      <c r="F486" s="16"/>
      <c r="J486" s="16"/>
      <c r="N486" s="16"/>
      <c r="R486" s="16"/>
      <c r="V486" s="16"/>
      <c r="Z486" s="16"/>
      <c r="AD486" s="16"/>
      <c r="AH486" s="16"/>
      <c r="AL486" s="16"/>
      <c r="AP486" s="16"/>
      <c r="AT486" s="16"/>
      <c r="AX486" s="16"/>
    </row>
    <row r="487" spans="2:50" x14ac:dyDescent="0.25">
      <c r="B487" s="16"/>
      <c r="F487" s="16"/>
      <c r="J487" s="16"/>
      <c r="N487" s="16"/>
      <c r="R487" s="16"/>
      <c r="V487" s="16"/>
      <c r="Z487" s="16"/>
      <c r="AD487" s="16"/>
      <c r="AH487" s="16"/>
      <c r="AL487" s="16"/>
      <c r="AP487" s="16"/>
      <c r="AT487" s="16"/>
      <c r="AX487" s="16"/>
    </row>
    <row r="488" spans="2:50" x14ac:dyDescent="0.25">
      <c r="B488" s="16"/>
      <c r="F488" s="16"/>
      <c r="J488" s="16"/>
      <c r="N488" s="16"/>
      <c r="R488" s="16"/>
      <c r="V488" s="16"/>
      <c r="Z488" s="16"/>
      <c r="AD488" s="16"/>
      <c r="AH488" s="16"/>
      <c r="AL488" s="16"/>
      <c r="AP488" s="16"/>
      <c r="AT488" s="16"/>
      <c r="AX488" s="16"/>
    </row>
    <row r="489" spans="2:50" x14ac:dyDescent="0.25">
      <c r="B489" s="16"/>
      <c r="F489" s="16"/>
      <c r="J489" s="16"/>
      <c r="N489" s="16"/>
      <c r="R489" s="16"/>
      <c r="V489" s="16"/>
      <c r="Z489" s="16"/>
      <c r="AD489" s="16"/>
      <c r="AH489" s="16"/>
      <c r="AL489" s="16"/>
      <c r="AP489" s="16"/>
      <c r="AT489" s="16"/>
      <c r="AX489" s="16"/>
    </row>
    <row r="490" spans="2:50" x14ac:dyDescent="0.25">
      <c r="B490" s="16"/>
      <c r="F490" s="16"/>
      <c r="J490" s="16"/>
      <c r="N490" s="16"/>
      <c r="R490" s="16"/>
      <c r="V490" s="16"/>
      <c r="Z490" s="16"/>
      <c r="AD490" s="16"/>
      <c r="AH490" s="16"/>
      <c r="AL490" s="16"/>
      <c r="AP490" s="16"/>
      <c r="AT490" s="16"/>
      <c r="AX490" s="16"/>
    </row>
    <row r="491" spans="2:50" x14ac:dyDescent="0.25">
      <c r="B491" s="16"/>
      <c r="F491" s="16"/>
      <c r="J491" s="16"/>
      <c r="N491" s="16"/>
      <c r="R491" s="16"/>
      <c r="V491" s="16"/>
      <c r="Z491" s="16"/>
      <c r="AD491" s="16"/>
      <c r="AH491" s="16"/>
      <c r="AL491" s="16"/>
      <c r="AP491" s="16"/>
      <c r="AT491" s="16"/>
      <c r="AX491" s="16"/>
    </row>
    <row r="492" spans="2:50" x14ac:dyDescent="0.25">
      <c r="B492" s="16"/>
      <c r="F492" s="16"/>
      <c r="J492" s="16"/>
      <c r="N492" s="16"/>
      <c r="R492" s="16"/>
      <c r="V492" s="16"/>
      <c r="Z492" s="16"/>
      <c r="AD492" s="16"/>
      <c r="AH492" s="16"/>
      <c r="AL492" s="16"/>
      <c r="AP492" s="16"/>
      <c r="AT492" s="16"/>
      <c r="AX492" s="16"/>
    </row>
    <row r="493" spans="2:50" x14ac:dyDescent="0.25">
      <c r="B493" s="16"/>
      <c r="F493" s="16"/>
      <c r="J493" s="16"/>
      <c r="N493" s="16"/>
      <c r="R493" s="16"/>
      <c r="V493" s="16"/>
      <c r="Z493" s="16"/>
      <c r="AD493" s="16"/>
      <c r="AH493" s="16"/>
      <c r="AL493" s="16"/>
      <c r="AP493" s="16"/>
      <c r="AT493" s="16"/>
      <c r="AX493" s="16"/>
    </row>
    <row r="494" spans="2:50" x14ac:dyDescent="0.25">
      <c r="B494" s="16"/>
      <c r="F494" s="16"/>
      <c r="J494" s="16"/>
      <c r="N494" s="16"/>
      <c r="R494" s="16"/>
      <c r="V494" s="16"/>
      <c r="Z494" s="16"/>
      <c r="AD494" s="16"/>
      <c r="AH494" s="16"/>
      <c r="AL494" s="16"/>
      <c r="AP494" s="16"/>
      <c r="AT494" s="16"/>
      <c r="AX494" s="16"/>
    </row>
    <row r="495" spans="2:50" x14ac:dyDescent="0.25">
      <c r="B495" s="16"/>
      <c r="F495" s="16"/>
      <c r="J495" s="16"/>
      <c r="N495" s="16"/>
      <c r="R495" s="16"/>
      <c r="V495" s="16"/>
      <c r="Z495" s="16"/>
      <c r="AD495" s="16"/>
      <c r="AH495" s="16"/>
      <c r="AL495" s="16"/>
      <c r="AP495" s="16"/>
      <c r="AT495" s="16"/>
      <c r="AX495" s="16"/>
    </row>
    <row r="496" spans="2:50" x14ac:dyDescent="0.25">
      <c r="B496" s="16"/>
      <c r="F496" s="16"/>
      <c r="J496" s="16"/>
      <c r="N496" s="16"/>
      <c r="R496" s="16"/>
      <c r="V496" s="16"/>
      <c r="Z496" s="16"/>
      <c r="AD496" s="16"/>
      <c r="AH496" s="16"/>
      <c r="AL496" s="16"/>
      <c r="AP496" s="16"/>
      <c r="AT496" s="16"/>
      <c r="AX496" s="16"/>
    </row>
    <row r="497" spans="2:50" x14ac:dyDescent="0.25">
      <c r="B497" s="16"/>
      <c r="F497" s="16"/>
      <c r="J497" s="16"/>
      <c r="N497" s="16"/>
      <c r="R497" s="16"/>
      <c r="V497" s="16"/>
      <c r="Z497" s="16"/>
      <c r="AD497" s="16"/>
      <c r="AH497" s="16"/>
      <c r="AL497" s="16"/>
      <c r="AP497" s="16"/>
      <c r="AT497" s="16"/>
      <c r="AX497" s="16"/>
    </row>
    <row r="498" spans="2:50" x14ac:dyDescent="0.25">
      <c r="B498" s="16"/>
      <c r="F498" s="16"/>
      <c r="J498" s="16"/>
      <c r="N498" s="16"/>
      <c r="R498" s="16"/>
      <c r="V498" s="16"/>
      <c r="Z498" s="16"/>
      <c r="AD498" s="16"/>
      <c r="AH498" s="16"/>
      <c r="AL498" s="16"/>
      <c r="AP498" s="16"/>
      <c r="AT498" s="16"/>
      <c r="AX498" s="16"/>
    </row>
    <row r="499" spans="2:50" x14ac:dyDescent="0.25">
      <c r="B499" s="16"/>
      <c r="F499" s="16"/>
      <c r="J499" s="16"/>
      <c r="N499" s="16"/>
      <c r="R499" s="16"/>
      <c r="V499" s="16"/>
      <c r="Z499" s="16"/>
      <c r="AD499" s="16"/>
      <c r="AH499" s="16"/>
      <c r="AL499" s="16"/>
      <c r="AP499" s="16"/>
      <c r="AT499" s="16"/>
      <c r="AX499" s="16"/>
    </row>
    <row r="500" spans="2:50" x14ac:dyDescent="0.25">
      <c r="B500" s="16"/>
      <c r="F500" s="16"/>
      <c r="J500" s="16"/>
      <c r="N500" s="16"/>
      <c r="R500" s="16"/>
      <c r="V500" s="16"/>
      <c r="Z500" s="16"/>
      <c r="AD500" s="16"/>
      <c r="AH500" s="16"/>
      <c r="AL500" s="16"/>
      <c r="AP500" s="16"/>
      <c r="AT500" s="16"/>
      <c r="AX500" s="16"/>
    </row>
    <row r="501" spans="2:50" x14ac:dyDescent="0.25">
      <c r="B501" s="16"/>
      <c r="F501" s="16"/>
      <c r="J501" s="16"/>
      <c r="N501" s="16"/>
      <c r="R501" s="16"/>
      <c r="V501" s="16"/>
      <c r="Z501" s="16"/>
      <c r="AD501" s="16"/>
      <c r="AH501" s="16"/>
      <c r="AL501" s="16"/>
      <c r="AP501" s="16"/>
      <c r="AT501" s="16"/>
      <c r="AX501" s="16"/>
    </row>
    <row r="502" spans="2:50" x14ac:dyDescent="0.25">
      <c r="B502" s="16"/>
      <c r="F502" s="16"/>
      <c r="J502" s="16"/>
      <c r="N502" s="16"/>
      <c r="R502" s="16"/>
      <c r="V502" s="16"/>
      <c r="Z502" s="16"/>
      <c r="AD502" s="16"/>
      <c r="AH502" s="16"/>
      <c r="AL502" s="16"/>
      <c r="AP502" s="16"/>
      <c r="AT502" s="16"/>
      <c r="AX502" s="16"/>
    </row>
    <row r="503" spans="2:50" x14ac:dyDescent="0.25">
      <c r="B503" s="16"/>
      <c r="F503" s="16"/>
      <c r="J503" s="16"/>
      <c r="N503" s="16"/>
      <c r="R503" s="16"/>
      <c r="V503" s="16"/>
      <c r="Z503" s="16"/>
      <c r="AD503" s="16"/>
      <c r="AH503" s="16"/>
      <c r="AL503" s="16"/>
      <c r="AP503" s="16"/>
      <c r="AT503" s="16"/>
      <c r="AX503" s="16"/>
    </row>
    <row r="504" spans="2:50" x14ac:dyDescent="0.25">
      <c r="B504" s="16"/>
      <c r="F504" s="16"/>
      <c r="J504" s="16"/>
      <c r="N504" s="16"/>
      <c r="R504" s="16"/>
      <c r="V504" s="16"/>
      <c r="Z504" s="16"/>
      <c r="AD504" s="16"/>
      <c r="AH504" s="16"/>
      <c r="AL504" s="16"/>
      <c r="AP504" s="16"/>
      <c r="AT504" s="16"/>
      <c r="AX504" s="16"/>
    </row>
    <row r="505" spans="2:50" x14ac:dyDescent="0.25">
      <c r="B505" s="16"/>
      <c r="F505" s="16"/>
      <c r="J505" s="16"/>
      <c r="N505" s="16"/>
      <c r="R505" s="16"/>
      <c r="V505" s="16"/>
      <c r="Z505" s="16"/>
      <c r="AD505" s="16"/>
      <c r="AH505" s="16"/>
      <c r="AL505" s="16"/>
      <c r="AP505" s="16"/>
      <c r="AT505" s="16"/>
      <c r="AX505" s="16"/>
    </row>
    <row r="506" spans="2:50" x14ac:dyDescent="0.25">
      <c r="B506" s="16"/>
      <c r="F506" s="16"/>
      <c r="J506" s="16"/>
      <c r="N506" s="16"/>
      <c r="R506" s="16"/>
      <c r="V506" s="16"/>
      <c r="Z506" s="16"/>
      <c r="AD506" s="16"/>
      <c r="AH506" s="16"/>
      <c r="AL506" s="16"/>
      <c r="AP506" s="16"/>
      <c r="AT506" s="16"/>
      <c r="AX506" s="16"/>
    </row>
    <row r="507" spans="2:50" x14ac:dyDescent="0.25">
      <c r="B507" s="16"/>
      <c r="F507" s="16"/>
      <c r="J507" s="16"/>
      <c r="N507" s="16"/>
      <c r="R507" s="16"/>
      <c r="V507" s="16"/>
      <c r="Z507" s="16"/>
      <c r="AD507" s="16"/>
      <c r="AH507" s="16"/>
      <c r="AL507" s="16"/>
      <c r="AP507" s="16"/>
      <c r="AT507" s="16"/>
      <c r="AX507" s="16"/>
    </row>
    <row r="508" spans="2:50" x14ac:dyDescent="0.25">
      <c r="B508" s="16"/>
      <c r="F508" s="16"/>
      <c r="J508" s="16"/>
      <c r="N508" s="16"/>
      <c r="R508" s="16"/>
      <c r="V508" s="16"/>
      <c r="Z508" s="16"/>
      <c r="AD508" s="16"/>
      <c r="AH508" s="16"/>
      <c r="AL508" s="16"/>
      <c r="AP508" s="16"/>
      <c r="AT508" s="16"/>
      <c r="AX508" s="16"/>
    </row>
    <row r="509" spans="2:50" x14ac:dyDescent="0.25">
      <c r="B509" s="16"/>
      <c r="F509" s="16"/>
      <c r="J509" s="16"/>
      <c r="N509" s="16"/>
      <c r="R509" s="16"/>
      <c r="V509" s="16"/>
      <c r="Z509" s="16"/>
      <c r="AD509" s="16"/>
      <c r="AH509" s="16"/>
      <c r="AL509" s="16"/>
      <c r="AP509" s="16"/>
      <c r="AT509" s="16"/>
      <c r="AX509" s="16"/>
    </row>
    <row r="510" spans="2:50" x14ac:dyDescent="0.25">
      <c r="B510" s="16"/>
      <c r="F510" s="16"/>
      <c r="J510" s="16"/>
      <c r="N510" s="16"/>
      <c r="R510" s="16"/>
      <c r="V510" s="16"/>
      <c r="Z510" s="16"/>
      <c r="AD510" s="16"/>
      <c r="AH510" s="16"/>
      <c r="AL510" s="16"/>
      <c r="AP510" s="16"/>
      <c r="AT510" s="16"/>
      <c r="AX510" s="16"/>
    </row>
    <row r="511" spans="2:50" x14ac:dyDescent="0.25">
      <c r="B511" s="16"/>
      <c r="F511" s="16"/>
      <c r="J511" s="16"/>
      <c r="N511" s="16"/>
      <c r="R511" s="16"/>
      <c r="V511" s="16"/>
      <c r="Z511" s="16"/>
      <c r="AD511" s="16"/>
      <c r="AH511" s="16"/>
      <c r="AL511" s="16"/>
      <c r="AP511" s="16"/>
      <c r="AT511" s="16"/>
      <c r="AX511" s="16"/>
    </row>
    <row r="512" spans="2:50" x14ac:dyDescent="0.25">
      <c r="B512" s="16"/>
      <c r="F512" s="16"/>
      <c r="J512" s="16"/>
      <c r="N512" s="16"/>
      <c r="R512" s="16"/>
      <c r="V512" s="16"/>
      <c r="Z512" s="16"/>
      <c r="AD512" s="16"/>
      <c r="AH512" s="16"/>
      <c r="AL512" s="16"/>
      <c r="AP512" s="16"/>
      <c r="AT512" s="16"/>
      <c r="AX512" s="16"/>
    </row>
    <row r="513" spans="2:50" x14ac:dyDescent="0.25">
      <c r="B513" s="16"/>
      <c r="F513" s="16"/>
      <c r="J513" s="16"/>
      <c r="N513" s="16"/>
      <c r="R513" s="16"/>
      <c r="V513" s="16"/>
      <c r="Z513" s="16"/>
      <c r="AD513" s="16"/>
      <c r="AH513" s="16"/>
      <c r="AL513" s="16"/>
      <c r="AP513" s="16"/>
      <c r="AT513" s="16"/>
      <c r="AX513" s="16"/>
    </row>
    <row r="514" spans="2:50" x14ac:dyDescent="0.25">
      <c r="B514" s="16"/>
      <c r="F514" s="16"/>
      <c r="J514" s="16"/>
      <c r="N514" s="16"/>
      <c r="R514" s="16"/>
      <c r="V514" s="16"/>
      <c r="Z514" s="16"/>
      <c r="AD514" s="16"/>
      <c r="AH514" s="16"/>
      <c r="AL514" s="16"/>
      <c r="AP514" s="16"/>
      <c r="AT514" s="16"/>
      <c r="AX514" s="16"/>
    </row>
    <row r="515" spans="2:50" x14ac:dyDescent="0.25">
      <c r="B515" s="16"/>
      <c r="F515" s="16"/>
      <c r="J515" s="16"/>
      <c r="N515" s="16"/>
      <c r="R515" s="16"/>
      <c r="V515" s="16"/>
      <c r="Z515" s="16"/>
      <c r="AD515" s="16"/>
      <c r="AH515" s="16"/>
      <c r="AL515" s="16"/>
      <c r="AP515" s="16"/>
      <c r="AT515" s="16"/>
      <c r="AX515" s="16"/>
    </row>
    <row r="516" spans="2:50" x14ac:dyDescent="0.25">
      <c r="B516" s="16"/>
      <c r="F516" s="16"/>
      <c r="J516" s="16"/>
      <c r="N516" s="16"/>
      <c r="R516" s="16"/>
      <c r="V516" s="16"/>
      <c r="Z516" s="16"/>
      <c r="AD516" s="16"/>
      <c r="AH516" s="16"/>
      <c r="AL516" s="16"/>
      <c r="AP516" s="16"/>
      <c r="AT516" s="16"/>
      <c r="AX516" s="16"/>
    </row>
    <row r="517" spans="2:50" x14ac:dyDescent="0.25">
      <c r="B517" s="16"/>
      <c r="F517" s="16"/>
      <c r="J517" s="16"/>
      <c r="N517" s="16"/>
      <c r="R517" s="16"/>
      <c r="V517" s="16"/>
      <c r="Z517" s="16"/>
      <c r="AD517" s="16"/>
      <c r="AH517" s="16"/>
      <c r="AL517" s="16"/>
      <c r="AP517" s="16"/>
      <c r="AT517" s="16"/>
      <c r="AX517" s="16"/>
    </row>
    <row r="518" spans="2:50" x14ac:dyDescent="0.25">
      <c r="B518" s="16"/>
      <c r="F518" s="16"/>
      <c r="J518" s="16"/>
      <c r="N518" s="16"/>
      <c r="R518" s="16"/>
      <c r="V518" s="16"/>
      <c r="Z518" s="16"/>
      <c r="AD518" s="16"/>
      <c r="AH518" s="16"/>
      <c r="AL518" s="16"/>
      <c r="AP518" s="16"/>
      <c r="AT518" s="16"/>
      <c r="AX518" s="16"/>
    </row>
    <row r="519" spans="2:50" x14ac:dyDescent="0.25">
      <c r="B519" s="16"/>
      <c r="F519" s="16"/>
      <c r="J519" s="16"/>
      <c r="N519" s="16"/>
      <c r="R519" s="16"/>
      <c r="V519" s="16"/>
      <c r="Z519" s="16"/>
      <c r="AD519" s="16"/>
      <c r="AH519" s="16"/>
      <c r="AL519" s="16"/>
      <c r="AP519" s="16"/>
      <c r="AT519" s="16"/>
      <c r="AX519" s="16"/>
    </row>
    <row r="520" spans="2:50" x14ac:dyDescent="0.25">
      <c r="B520" s="16"/>
      <c r="F520" s="16"/>
      <c r="J520" s="16"/>
      <c r="N520" s="16"/>
      <c r="R520" s="16"/>
      <c r="V520" s="16"/>
      <c r="Z520" s="16"/>
      <c r="AD520" s="16"/>
      <c r="AH520" s="16"/>
      <c r="AL520" s="16"/>
      <c r="AP520" s="16"/>
      <c r="AT520" s="16"/>
      <c r="AX520" s="16"/>
    </row>
    <row r="521" spans="2:50" x14ac:dyDescent="0.25">
      <c r="B521" s="16"/>
      <c r="F521" s="16"/>
      <c r="J521" s="16"/>
      <c r="N521" s="16"/>
      <c r="R521" s="16"/>
      <c r="V521" s="16"/>
      <c r="Z521" s="16"/>
      <c r="AD521" s="16"/>
      <c r="AH521" s="16"/>
      <c r="AL521" s="16"/>
      <c r="AP521" s="16"/>
      <c r="AT521" s="16"/>
      <c r="AX521" s="16"/>
    </row>
    <row r="522" spans="2:50" x14ac:dyDescent="0.25">
      <c r="B522" s="16"/>
      <c r="F522" s="16"/>
      <c r="J522" s="16"/>
      <c r="N522" s="16"/>
      <c r="R522" s="16"/>
      <c r="V522" s="16"/>
      <c r="Z522" s="16"/>
      <c r="AD522" s="16"/>
      <c r="AH522" s="16"/>
      <c r="AL522" s="16"/>
      <c r="AP522" s="16"/>
      <c r="AT522" s="16"/>
      <c r="AX522" s="16"/>
    </row>
    <row r="523" spans="2:50" x14ac:dyDescent="0.25">
      <c r="B523" s="16"/>
      <c r="F523" s="16"/>
      <c r="J523" s="16"/>
      <c r="N523" s="16"/>
      <c r="R523" s="16"/>
      <c r="V523" s="16"/>
      <c r="Z523" s="16"/>
      <c r="AD523" s="16"/>
      <c r="AH523" s="16"/>
      <c r="AL523" s="16"/>
      <c r="AP523" s="16"/>
      <c r="AT523" s="16"/>
      <c r="AX523" s="16"/>
    </row>
    <row r="524" spans="2:50" x14ac:dyDescent="0.25">
      <c r="B524" s="16"/>
      <c r="F524" s="16"/>
      <c r="J524" s="16"/>
      <c r="N524" s="16"/>
      <c r="R524" s="16"/>
      <c r="V524" s="16"/>
      <c r="Z524" s="16"/>
      <c r="AD524" s="16"/>
      <c r="AH524" s="16"/>
      <c r="AL524" s="16"/>
      <c r="AP524" s="16"/>
      <c r="AT524" s="16"/>
      <c r="AX524" s="16"/>
    </row>
    <row r="525" spans="2:50" x14ac:dyDescent="0.25">
      <c r="B525" s="16"/>
      <c r="F525" s="16"/>
      <c r="J525" s="16"/>
      <c r="N525" s="16"/>
      <c r="R525" s="16"/>
      <c r="V525" s="16"/>
      <c r="Z525" s="16"/>
      <c r="AD525" s="16"/>
      <c r="AH525" s="16"/>
      <c r="AL525" s="16"/>
      <c r="AP525" s="16"/>
      <c r="AT525" s="16"/>
      <c r="AX525" s="16"/>
    </row>
    <row r="526" spans="2:50" x14ac:dyDescent="0.25">
      <c r="B526" s="16"/>
      <c r="F526" s="16"/>
      <c r="J526" s="16"/>
      <c r="N526" s="16"/>
      <c r="R526" s="16"/>
      <c r="V526" s="16"/>
      <c r="Z526" s="16"/>
      <c r="AD526" s="16"/>
      <c r="AH526" s="16"/>
      <c r="AL526" s="16"/>
      <c r="AP526" s="16"/>
      <c r="AT526" s="16"/>
      <c r="AX526" s="16"/>
    </row>
    <row r="527" spans="2:50" x14ac:dyDescent="0.25">
      <c r="B527" s="16"/>
      <c r="F527" s="16"/>
      <c r="J527" s="16"/>
      <c r="N527" s="16"/>
      <c r="R527" s="16"/>
      <c r="V527" s="16"/>
      <c r="Z527" s="16"/>
      <c r="AD527" s="16"/>
      <c r="AH527" s="16"/>
      <c r="AL527" s="16"/>
      <c r="AP527" s="16"/>
      <c r="AT527" s="16"/>
      <c r="AX527" s="16"/>
    </row>
    <row r="528" spans="2:50" x14ac:dyDescent="0.25">
      <c r="B528" s="16"/>
      <c r="F528" s="16"/>
      <c r="J528" s="16"/>
      <c r="N528" s="16"/>
      <c r="R528" s="16"/>
      <c r="V528" s="16"/>
      <c r="Z528" s="16"/>
      <c r="AD528" s="16"/>
      <c r="AH528" s="16"/>
      <c r="AL528" s="16"/>
      <c r="AP528" s="16"/>
      <c r="AT528" s="16"/>
      <c r="AX528" s="16"/>
    </row>
    <row r="529" spans="2:50" x14ac:dyDescent="0.25">
      <c r="B529" s="16"/>
      <c r="F529" s="16"/>
      <c r="J529" s="16"/>
      <c r="N529" s="16"/>
      <c r="R529" s="16"/>
      <c r="V529" s="16"/>
      <c r="Z529" s="16"/>
      <c r="AD529" s="16"/>
      <c r="AH529" s="16"/>
      <c r="AL529" s="16"/>
      <c r="AP529" s="16"/>
      <c r="AT529" s="16"/>
      <c r="AX529" s="16"/>
    </row>
    <row r="530" spans="2:50" x14ac:dyDescent="0.25">
      <c r="B530" s="16"/>
      <c r="F530" s="16"/>
      <c r="J530" s="16"/>
      <c r="N530" s="16"/>
      <c r="R530" s="16"/>
      <c r="V530" s="16"/>
      <c r="Z530" s="16"/>
      <c r="AD530" s="16"/>
      <c r="AH530" s="16"/>
      <c r="AL530" s="16"/>
      <c r="AP530" s="16"/>
      <c r="AT530" s="16"/>
      <c r="AX530" s="16"/>
    </row>
    <row r="531" spans="2:50" x14ac:dyDescent="0.25">
      <c r="B531" s="16"/>
      <c r="F531" s="16"/>
      <c r="J531" s="16"/>
      <c r="N531" s="16"/>
      <c r="R531" s="16"/>
      <c r="V531" s="16"/>
      <c r="Z531" s="16"/>
      <c r="AD531" s="16"/>
      <c r="AH531" s="16"/>
      <c r="AL531" s="16"/>
      <c r="AP531" s="16"/>
      <c r="AT531" s="16"/>
      <c r="AX531" s="16"/>
    </row>
    <row r="532" spans="2:50" x14ac:dyDescent="0.25">
      <c r="B532" s="16"/>
      <c r="F532" s="16"/>
      <c r="J532" s="16"/>
      <c r="N532" s="16"/>
      <c r="R532" s="16"/>
      <c r="V532" s="16"/>
      <c r="Z532" s="16"/>
      <c r="AD532" s="16"/>
      <c r="AH532" s="16"/>
      <c r="AL532" s="16"/>
      <c r="AP532" s="16"/>
      <c r="AT532" s="16"/>
      <c r="AX532" s="16"/>
    </row>
    <row r="533" spans="2:50" x14ac:dyDescent="0.25">
      <c r="B533" s="16"/>
      <c r="F533" s="16"/>
      <c r="J533" s="16"/>
      <c r="N533" s="16"/>
      <c r="R533" s="16"/>
      <c r="V533" s="16"/>
      <c r="Z533" s="16"/>
      <c r="AD533" s="16"/>
      <c r="AH533" s="16"/>
      <c r="AL533" s="16"/>
      <c r="AP533" s="16"/>
      <c r="AT533" s="16"/>
      <c r="AX533" s="16"/>
    </row>
    <row r="534" spans="2:50" x14ac:dyDescent="0.25">
      <c r="B534" s="16"/>
      <c r="F534" s="16"/>
      <c r="J534" s="16"/>
      <c r="N534" s="16"/>
      <c r="R534" s="16"/>
      <c r="V534" s="16"/>
      <c r="Z534" s="16"/>
      <c r="AD534" s="16"/>
      <c r="AH534" s="16"/>
      <c r="AL534" s="16"/>
      <c r="AP534" s="16"/>
      <c r="AT534" s="16"/>
      <c r="AX534" s="16"/>
    </row>
    <row r="535" spans="2:50" x14ac:dyDescent="0.25">
      <c r="B535" s="16"/>
      <c r="F535" s="16"/>
      <c r="J535" s="16"/>
      <c r="N535" s="16"/>
      <c r="R535" s="16"/>
      <c r="V535" s="16"/>
      <c r="Z535" s="16"/>
      <c r="AD535" s="16"/>
      <c r="AH535" s="16"/>
      <c r="AL535" s="16"/>
      <c r="AP535" s="16"/>
      <c r="AT535" s="16"/>
      <c r="AX535" s="16"/>
    </row>
    <row r="536" spans="2:50" x14ac:dyDescent="0.25">
      <c r="B536" s="16"/>
      <c r="F536" s="16"/>
      <c r="J536" s="16"/>
      <c r="N536" s="16"/>
      <c r="R536" s="16"/>
      <c r="V536" s="16"/>
      <c r="Z536" s="16"/>
      <c r="AD536" s="16"/>
      <c r="AH536" s="16"/>
      <c r="AL536" s="16"/>
      <c r="AP536" s="16"/>
      <c r="AT536" s="16"/>
      <c r="AX536" s="16"/>
    </row>
    <row r="537" spans="2:50" x14ac:dyDescent="0.25">
      <c r="B537" s="16"/>
      <c r="F537" s="16"/>
      <c r="J537" s="16"/>
      <c r="N537" s="16"/>
      <c r="R537" s="16"/>
      <c r="V537" s="16"/>
      <c r="Z537" s="16"/>
      <c r="AD537" s="16"/>
      <c r="AH537" s="16"/>
      <c r="AL537" s="16"/>
      <c r="AP537" s="16"/>
      <c r="AT537" s="16"/>
      <c r="AX537" s="16"/>
    </row>
    <row r="538" spans="2:50" x14ac:dyDescent="0.25">
      <c r="B538" s="16"/>
      <c r="F538" s="16"/>
      <c r="J538" s="16"/>
      <c r="N538" s="16"/>
      <c r="R538" s="16"/>
      <c r="V538" s="16"/>
      <c r="Z538" s="16"/>
      <c r="AD538" s="16"/>
      <c r="AH538" s="16"/>
      <c r="AL538" s="16"/>
      <c r="AP538" s="16"/>
      <c r="AT538" s="16"/>
      <c r="AX538" s="16"/>
    </row>
    <row r="539" spans="2:50" x14ac:dyDescent="0.25">
      <c r="B539" s="16"/>
      <c r="F539" s="16"/>
      <c r="J539" s="16"/>
      <c r="N539" s="16"/>
      <c r="R539" s="16"/>
      <c r="V539" s="16"/>
      <c r="Z539" s="16"/>
      <c r="AD539" s="16"/>
      <c r="AH539" s="16"/>
      <c r="AL539" s="16"/>
      <c r="AP539" s="16"/>
      <c r="AT539" s="16"/>
      <c r="AX539" s="16"/>
    </row>
    <row r="540" spans="2:50" x14ac:dyDescent="0.25">
      <c r="B540" s="16"/>
      <c r="F540" s="16"/>
      <c r="J540" s="16"/>
      <c r="N540" s="16"/>
      <c r="R540" s="16"/>
      <c r="V540" s="16"/>
      <c r="Z540" s="16"/>
      <c r="AD540" s="16"/>
      <c r="AH540" s="16"/>
      <c r="AL540" s="16"/>
      <c r="AP540" s="16"/>
      <c r="AT540" s="16"/>
      <c r="AX540" s="16"/>
    </row>
    <row r="541" spans="2:50" x14ac:dyDescent="0.25">
      <c r="B541" s="16"/>
      <c r="F541" s="16"/>
      <c r="J541" s="16"/>
      <c r="N541" s="16"/>
      <c r="R541" s="16"/>
      <c r="V541" s="16"/>
      <c r="Z541" s="16"/>
      <c r="AD541" s="16"/>
      <c r="AH541" s="16"/>
      <c r="AL541" s="16"/>
      <c r="AP541" s="16"/>
      <c r="AT541" s="16"/>
      <c r="AX541" s="16"/>
    </row>
    <row r="542" spans="2:50" x14ac:dyDescent="0.25">
      <c r="B542" s="16"/>
      <c r="F542" s="16"/>
      <c r="J542" s="16"/>
      <c r="N542" s="16"/>
      <c r="R542" s="16"/>
      <c r="V542" s="16"/>
      <c r="Z542" s="16"/>
      <c r="AD542" s="16"/>
      <c r="AH542" s="16"/>
      <c r="AL542" s="16"/>
      <c r="AP542" s="16"/>
      <c r="AT542" s="16"/>
      <c r="AX542" s="16"/>
    </row>
    <row r="543" spans="2:50" x14ac:dyDescent="0.25">
      <c r="B543" s="16"/>
      <c r="F543" s="16"/>
      <c r="J543" s="16"/>
      <c r="N543" s="16"/>
      <c r="R543" s="16"/>
      <c r="V543" s="16"/>
      <c r="Z543" s="16"/>
      <c r="AD543" s="16"/>
      <c r="AH543" s="16"/>
      <c r="AL543" s="16"/>
      <c r="AP543" s="16"/>
      <c r="AT543" s="16"/>
      <c r="AX543" s="16"/>
    </row>
    <row r="544" spans="2:50" x14ac:dyDescent="0.25">
      <c r="B544" s="16"/>
      <c r="F544" s="16"/>
      <c r="J544" s="16"/>
      <c r="N544" s="16"/>
      <c r="R544" s="16"/>
      <c r="V544" s="16"/>
      <c r="Z544" s="16"/>
      <c r="AD544" s="16"/>
      <c r="AH544" s="16"/>
      <c r="AL544" s="16"/>
      <c r="AP544" s="16"/>
      <c r="AT544" s="16"/>
      <c r="AX544" s="16"/>
    </row>
    <row r="545" spans="2:50" x14ac:dyDescent="0.25">
      <c r="B545" s="16"/>
      <c r="F545" s="16"/>
      <c r="J545" s="16"/>
      <c r="N545" s="16"/>
      <c r="R545" s="16"/>
      <c r="V545" s="16"/>
      <c r="Z545" s="16"/>
      <c r="AD545" s="16"/>
      <c r="AH545" s="16"/>
      <c r="AL545" s="16"/>
      <c r="AP545" s="16"/>
      <c r="AT545" s="16"/>
      <c r="AX545" s="16"/>
    </row>
    <row r="546" spans="2:50" x14ac:dyDescent="0.25">
      <c r="B546" s="16"/>
      <c r="F546" s="16"/>
      <c r="J546" s="16"/>
      <c r="N546" s="16"/>
      <c r="R546" s="16"/>
      <c r="V546" s="16"/>
      <c r="Z546" s="16"/>
      <c r="AD546" s="16"/>
      <c r="AH546" s="16"/>
      <c r="AL546" s="16"/>
      <c r="AP546" s="16"/>
      <c r="AT546" s="16"/>
      <c r="AX546" s="16"/>
    </row>
    <row r="547" spans="2:50" x14ac:dyDescent="0.25">
      <c r="B547" s="16"/>
      <c r="F547" s="16"/>
      <c r="J547" s="16"/>
      <c r="N547" s="16"/>
      <c r="R547" s="16"/>
      <c r="V547" s="16"/>
      <c r="Z547" s="16"/>
      <c r="AD547" s="16"/>
      <c r="AH547" s="16"/>
      <c r="AL547" s="16"/>
      <c r="AP547" s="16"/>
      <c r="AT547" s="16"/>
      <c r="AX547" s="16"/>
    </row>
    <row r="548" spans="2:50" x14ac:dyDescent="0.25">
      <c r="B548" s="16"/>
      <c r="F548" s="16"/>
      <c r="J548" s="16"/>
      <c r="N548" s="16"/>
      <c r="R548" s="16"/>
      <c r="V548" s="16"/>
      <c r="Z548" s="16"/>
      <c r="AD548" s="16"/>
      <c r="AH548" s="16"/>
      <c r="AL548" s="16"/>
      <c r="AP548" s="16"/>
      <c r="AT548" s="16"/>
      <c r="AX548" s="16"/>
    </row>
    <row r="549" spans="2:50" x14ac:dyDescent="0.25">
      <c r="B549" s="16"/>
      <c r="F549" s="16"/>
      <c r="J549" s="16"/>
      <c r="N549" s="16"/>
      <c r="R549" s="16"/>
      <c r="V549" s="16"/>
      <c r="Z549" s="16"/>
      <c r="AD549" s="16"/>
      <c r="AH549" s="16"/>
      <c r="AL549" s="16"/>
      <c r="AP549" s="16"/>
      <c r="AT549" s="16"/>
      <c r="AX549" s="16"/>
    </row>
    <row r="550" spans="2:50" x14ac:dyDescent="0.25">
      <c r="B550" s="16"/>
      <c r="F550" s="16"/>
      <c r="J550" s="16"/>
      <c r="N550" s="16"/>
      <c r="R550" s="16"/>
      <c r="V550" s="16"/>
      <c r="Z550" s="16"/>
      <c r="AD550" s="16"/>
      <c r="AH550" s="16"/>
      <c r="AL550" s="16"/>
      <c r="AP550" s="16"/>
      <c r="AT550" s="16"/>
      <c r="AX550" s="16"/>
    </row>
    <row r="551" spans="2:50" x14ac:dyDescent="0.25">
      <c r="B551" s="16"/>
      <c r="F551" s="16"/>
      <c r="J551" s="16"/>
      <c r="N551" s="16"/>
      <c r="R551" s="16"/>
      <c r="V551" s="16"/>
      <c r="Z551" s="16"/>
      <c r="AD551" s="16"/>
      <c r="AH551" s="16"/>
      <c r="AL551" s="16"/>
      <c r="AP551" s="16"/>
      <c r="AT551" s="16"/>
      <c r="AX551" s="16"/>
    </row>
    <row r="552" spans="2:50" x14ac:dyDescent="0.25">
      <c r="B552" s="16"/>
      <c r="F552" s="16"/>
      <c r="J552" s="16"/>
      <c r="N552" s="16"/>
      <c r="R552" s="16"/>
      <c r="V552" s="16"/>
      <c r="Z552" s="16"/>
      <c r="AD552" s="16"/>
      <c r="AH552" s="16"/>
      <c r="AL552" s="16"/>
      <c r="AP552" s="16"/>
      <c r="AT552" s="16"/>
      <c r="AX552" s="16"/>
    </row>
    <row r="553" spans="2:50" x14ac:dyDescent="0.25">
      <c r="B553" s="16"/>
      <c r="F553" s="16"/>
      <c r="J553" s="16"/>
      <c r="N553" s="16"/>
      <c r="R553" s="16"/>
      <c r="V553" s="16"/>
      <c r="Z553" s="16"/>
      <c r="AD553" s="16"/>
      <c r="AH553" s="16"/>
      <c r="AL553" s="16"/>
      <c r="AP553" s="16"/>
      <c r="AT553" s="16"/>
      <c r="AX553" s="16"/>
    </row>
    <row r="554" spans="2:50" x14ac:dyDescent="0.25">
      <c r="B554" s="16"/>
      <c r="F554" s="16"/>
      <c r="J554" s="16"/>
      <c r="N554" s="16"/>
      <c r="R554" s="16"/>
      <c r="V554" s="16"/>
      <c r="Z554" s="16"/>
      <c r="AD554" s="16"/>
      <c r="AH554" s="16"/>
      <c r="AL554" s="16"/>
      <c r="AP554" s="16"/>
      <c r="AT554" s="16"/>
      <c r="AX554" s="16"/>
    </row>
    <row r="555" spans="2:50" x14ac:dyDescent="0.25">
      <c r="B555" s="16"/>
      <c r="F555" s="16"/>
      <c r="J555" s="16"/>
      <c r="N555" s="16"/>
      <c r="R555" s="16"/>
      <c r="V555" s="16"/>
      <c r="Z555" s="16"/>
      <c r="AD555" s="16"/>
      <c r="AH555" s="16"/>
      <c r="AL555" s="16"/>
      <c r="AP555" s="16"/>
      <c r="AT555" s="16"/>
      <c r="AX555" s="16"/>
    </row>
    <row r="556" spans="2:50" x14ac:dyDescent="0.25">
      <c r="B556" s="16"/>
      <c r="F556" s="16"/>
      <c r="J556" s="16"/>
      <c r="N556" s="16"/>
      <c r="R556" s="16"/>
      <c r="V556" s="16"/>
      <c r="Z556" s="16"/>
      <c r="AD556" s="16"/>
      <c r="AH556" s="16"/>
      <c r="AL556" s="16"/>
      <c r="AP556" s="16"/>
      <c r="AT556" s="16"/>
      <c r="AX556" s="16"/>
    </row>
    <row r="557" spans="2:50" x14ac:dyDescent="0.25">
      <c r="B557" s="16"/>
      <c r="F557" s="16"/>
      <c r="J557" s="16"/>
      <c r="N557" s="16"/>
      <c r="R557" s="16"/>
      <c r="V557" s="16"/>
      <c r="Z557" s="16"/>
      <c r="AD557" s="16"/>
      <c r="AH557" s="16"/>
      <c r="AL557" s="16"/>
      <c r="AP557" s="16"/>
      <c r="AT557" s="16"/>
      <c r="AX557" s="16"/>
    </row>
    <row r="558" spans="2:50" x14ac:dyDescent="0.25">
      <c r="B558" s="16"/>
      <c r="F558" s="16"/>
      <c r="J558" s="16"/>
      <c r="N558" s="16"/>
      <c r="R558" s="16"/>
      <c r="V558" s="16"/>
      <c r="Z558" s="16"/>
      <c r="AD558" s="16"/>
      <c r="AH558" s="16"/>
      <c r="AL558" s="16"/>
      <c r="AP558" s="16"/>
      <c r="AT558" s="16"/>
      <c r="AX558" s="16"/>
    </row>
    <row r="559" spans="2:50" x14ac:dyDescent="0.25">
      <c r="B559" s="16"/>
      <c r="F559" s="16"/>
      <c r="J559" s="16"/>
      <c r="N559" s="16"/>
      <c r="R559" s="16"/>
      <c r="V559" s="16"/>
      <c r="Z559" s="16"/>
      <c r="AD559" s="16"/>
      <c r="AH559" s="16"/>
      <c r="AL559" s="16"/>
      <c r="AP559" s="16"/>
      <c r="AT559" s="16"/>
      <c r="AX559" s="16"/>
    </row>
    <row r="560" spans="2:50" x14ac:dyDescent="0.25">
      <c r="B560" s="16"/>
      <c r="F560" s="16"/>
      <c r="J560" s="16"/>
      <c r="N560" s="16"/>
      <c r="R560" s="16"/>
      <c r="V560" s="16"/>
      <c r="Z560" s="16"/>
      <c r="AD560" s="16"/>
      <c r="AH560" s="16"/>
      <c r="AL560" s="16"/>
      <c r="AP560" s="16"/>
      <c r="AT560" s="16"/>
      <c r="AX560" s="16"/>
    </row>
    <row r="561" spans="2:50" x14ac:dyDescent="0.25">
      <c r="B561" s="16"/>
      <c r="F561" s="16"/>
      <c r="J561" s="16"/>
      <c r="N561" s="16"/>
      <c r="R561" s="16"/>
      <c r="V561" s="16"/>
      <c r="Z561" s="16"/>
      <c r="AD561" s="16"/>
      <c r="AH561" s="16"/>
      <c r="AL561" s="16"/>
      <c r="AP561" s="16"/>
      <c r="AT561" s="16"/>
      <c r="AX561" s="16"/>
    </row>
    <row r="562" spans="2:50" x14ac:dyDescent="0.25">
      <c r="B562" s="16"/>
      <c r="F562" s="16"/>
      <c r="J562" s="16"/>
      <c r="N562" s="16"/>
      <c r="R562" s="16"/>
      <c r="V562" s="16"/>
      <c r="Z562" s="16"/>
      <c r="AD562" s="16"/>
      <c r="AH562" s="16"/>
      <c r="AL562" s="16"/>
      <c r="AP562" s="16"/>
      <c r="AT562" s="16"/>
      <c r="AX562" s="16"/>
    </row>
    <row r="563" spans="2:50" x14ac:dyDescent="0.25">
      <c r="B563" s="16"/>
      <c r="F563" s="16"/>
      <c r="J563" s="16"/>
      <c r="N563" s="16"/>
      <c r="R563" s="16"/>
      <c r="V563" s="16"/>
      <c r="Z563" s="16"/>
      <c r="AD563" s="16"/>
      <c r="AH563" s="16"/>
      <c r="AL563" s="16"/>
      <c r="AP563" s="16"/>
      <c r="AT563" s="16"/>
      <c r="AX563" s="16"/>
    </row>
    <row r="564" spans="2:50" x14ac:dyDescent="0.25">
      <c r="B564" s="16"/>
      <c r="F564" s="16"/>
      <c r="J564" s="16"/>
      <c r="N564" s="16"/>
      <c r="R564" s="16"/>
      <c r="V564" s="16"/>
      <c r="Z564" s="16"/>
      <c r="AD564" s="16"/>
      <c r="AH564" s="16"/>
      <c r="AL564" s="16"/>
      <c r="AP564" s="16"/>
      <c r="AT564" s="16"/>
      <c r="AX564" s="16"/>
    </row>
    <row r="565" spans="2:50" x14ac:dyDescent="0.25">
      <c r="B565" s="16"/>
      <c r="F565" s="16"/>
      <c r="J565" s="16"/>
      <c r="N565" s="16"/>
      <c r="R565" s="16"/>
      <c r="V565" s="16"/>
      <c r="Z565" s="16"/>
      <c r="AD565" s="16"/>
      <c r="AH565" s="16"/>
      <c r="AL565" s="16"/>
      <c r="AP565" s="16"/>
      <c r="AT565" s="16"/>
      <c r="AX565" s="16"/>
    </row>
    <row r="566" spans="2:50" x14ac:dyDescent="0.25">
      <c r="B566" s="16"/>
      <c r="F566" s="16"/>
      <c r="J566" s="16"/>
      <c r="N566" s="16"/>
      <c r="R566" s="16"/>
      <c r="V566" s="16"/>
      <c r="Z566" s="16"/>
      <c r="AD566" s="16"/>
      <c r="AH566" s="16"/>
      <c r="AL566" s="16"/>
      <c r="AP566" s="16"/>
      <c r="AT566" s="16"/>
      <c r="AX566" s="16"/>
    </row>
    <row r="567" spans="2:50" x14ac:dyDescent="0.25">
      <c r="B567" s="16"/>
      <c r="F567" s="16"/>
      <c r="J567" s="16"/>
      <c r="N567" s="16"/>
      <c r="R567" s="16"/>
      <c r="V567" s="16"/>
      <c r="Z567" s="16"/>
      <c r="AD567" s="16"/>
      <c r="AH567" s="16"/>
      <c r="AL567" s="16"/>
      <c r="AP567" s="16"/>
      <c r="AT567" s="16"/>
      <c r="AX567" s="16"/>
    </row>
    <row r="568" spans="2:50" x14ac:dyDescent="0.25">
      <c r="B568" s="16"/>
      <c r="F568" s="16"/>
      <c r="J568" s="16"/>
      <c r="N568" s="16"/>
      <c r="R568" s="16"/>
      <c r="V568" s="16"/>
      <c r="Z568" s="16"/>
      <c r="AD568" s="16"/>
      <c r="AH568" s="16"/>
      <c r="AL568" s="16"/>
      <c r="AP568" s="16"/>
      <c r="AT568" s="16"/>
      <c r="AX568" s="16"/>
    </row>
    <row r="569" spans="2:50" x14ac:dyDescent="0.25">
      <c r="B569" s="16"/>
      <c r="F569" s="16"/>
      <c r="J569" s="16"/>
      <c r="N569" s="16"/>
      <c r="R569" s="16"/>
      <c r="V569" s="16"/>
      <c r="Z569" s="16"/>
      <c r="AD569" s="16"/>
      <c r="AH569" s="16"/>
      <c r="AL569" s="16"/>
      <c r="AP569" s="16"/>
      <c r="AT569" s="16"/>
      <c r="AX569" s="16"/>
    </row>
    <row r="570" spans="2:50" x14ac:dyDescent="0.25">
      <c r="B570" s="16"/>
      <c r="F570" s="16"/>
      <c r="J570" s="16"/>
      <c r="N570" s="16"/>
      <c r="R570" s="16"/>
      <c r="V570" s="16"/>
      <c r="Z570" s="16"/>
      <c r="AD570" s="16"/>
      <c r="AH570" s="16"/>
      <c r="AL570" s="16"/>
      <c r="AP570" s="16"/>
      <c r="AT570" s="16"/>
      <c r="AX570" s="16"/>
    </row>
    <row r="571" spans="2:50" x14ac:dyDescent="0.25">
      <c r="B571" s="16"/>
      <c r="F571" s="16"/>
      <c r="J571" s="16"/>
      <c r="N571" s="16"/>
      <c r="R571" s="16"/>
      <c r="V571" s="16"/>
      <c r="Z571" s="16"/>
      <c r="AD571" s="16"/>
      <c r="AH571" s="16"/>
      <c r="AL571" s="16"/>
      <c r="AP571" s="16"/>
      <c r="AT571" s="16"/>
      <c r="AX571" s="16"/>
    </row>
    <row r="572" spans="2:50" x14ac:dyDescent="0.25">
      <c r="B572" s="16"/>
      <c r="F572" s="16"/>
      <c r="J572" s="16"/>
      <c r="N572" s="16"/>
      <c r="R572" s="16"/>
      <c r="V572" s="16"/>
      <c r="Z572" s="16"/>
      <c r="AD572" s="16"/>
      <c r="AH572" s="16"/>
      <c r="AL572" s="16"/>
      <c r="AP572" s="16"/>
      <c r="AT572" s="16"/>
      <c r="AX572" s="16"/>
    </row>
    <row r="573" spans="2:50" x14ac:dyDescent="0.25">
      <c r="B573" s="16"/>
      <c r="F573" s="16"/>
      <c r="J573" s="16"/>
      <c r="N573" s="16"/>
      <c r="R573" s="16"/>
      <c r="V573" s="16"/>
      <c r="Z573" s="16"/>
      <c r="AD573" s="16"/>
      <c r="AH573" s="16"/>
      <c r="AL573" s="16"/>
      <c r="AP573" s="16"/>
      <c r="AT573" s="16"/>
      <c r="AX573" s="16"/>
    </row>
    <row r="574" spans="2:50" x14ac:dyDescent="0.25">
      <c r="B574" s="16"/>
      <c r="F574" s="16"/>
      <c r="J574" s="16"/>
      <c r="N574" s="16"/>
      <c r="R574" s="16"/>
      <c r="V574" s="16"/>
      <c r="Z574" s="16"/>
      <c r="AD574" s="16"/>
      <c r="AH574" s="16"/>
      <c r="AL574" s="16"/>
      <c r="AP574" s="16"/>
      <c r="AT574" s="16"/>
      <c r="AX574" s="16"/>
    </row>
    <row r="575" spans="2:50" x14ac:dyDescent="0.25">
      <c r="B575" s="16"/>
      <c r="F575" s="16"/>
      <c r="J575" s="16"/>
      <c r="N575" s="16"/>
      <c r="R575" s="16"/>
      <c r="V575" s="16"/>
      <c r="Z575" s="16"/>
      <c r="AD575" s="16"/>
      <c r="AH575" s="16"/>
      <c r="AL575" s="16"/>
      <c r="AP575" s="16"/>
      <c r="AT575" s="16"/>
      <c r="AX575" s="16"/>
    </row>
    <row r="576" spans="2:50" x14ac:dyDescent="0.25">
      <c r="B576" s="16"/>
      <c r="F576" s="16"/>
      <c r="J576" s="16"/>
      <c r="N576" s="16"/>
      <c r="R576" s="16"/>
      <c r="V576" s="16"/>
      <c r="Z576" s="16"/>
      <c r="AD576" s="16"/>
      <c r="AH576" s="16"/>
      <c r="AL576" s="16"/>
      <c r="AP576" s="16"/>
      <c r="AT576" s="16"/>
      <c r="AX576" s="16"/>
    </row>
    <row r="577" spans="2:50" x14ac:dyDescent="0.25">
      <c r="B577" s="16"/>
      <c r="F577" s="16"/>
      <c r="J577" s="16"/>
      <c r="N577" s="16"/>
      <c r="R577" s="16"/>
      <c r="V577" s="16"/>
      <c r="Z577" s="16"/>
      <c r="AD577" s="16"/>
      <c r="AH577" s="16"/>
      <c r="AL577" s="16"/>
      <c r="AP577" s="16"/>
      <c r="AT577" s="16"/>
      <c r="AX577" s="16"/>
    </row>
    <row r="578" spans="2:50" x14ac:dyDescent="0.25">
      <c r="B578" s="16"/>
      <c r="F578" s="16"/>
      <c r="J578" s="16"/>
      <c r="N578" s="16"/>
      <c r="R578" s="16"/>
      <c r="V578" s="16"/>
      <c r="Z578" s="16"/>
      <c r="AD578" s="16"/>
      <c r="AH578" s="16"/>
      <c r="AL578" s="16"/>
      <c r="AP578" s="16"/>
      <c r="AT578" s="16"/>
      <c r="AX578" s="16"/>
    </row>
    <row r="579" spans="2:50" x14ac:dyDescent="0.25">
      <c r="B579" s="16"/>
      <c r="F579" s="16"/>
      <c r="J579" s="16"/>
      <c r="N579" s="16"/>
      <c r="R579" s="16"/>
      <c r="V579" s="16"/>
      <c r="Z579" s="16"/>
      <c r="AD579" s="16"/>
      <c r="AH579" s="16"/>
      <c r="AL579" s="16"/>
      <c r="AP579" s="16"/>
      <c r="AT579" s="16"/>
      <c r="AX579" s="16"/>
    </row>
    <row r="580" spans="2:50" x14ac:dyDescent="0.25">
      <c r="B580" s="16"/>
      <c r="F580" s="16"/>
      <c r="J580" s="16"/>
      <c r="N580" s="16"/>
      <c r="R580" s="16"/>
      <c r="V580" s="16"/>
      <c r="Z580" s="16"/>
      <c r="AD580" s="16"/>
      <c r="AH580" s="16"/>
      <c r="AL580" s="16"/>
      <c r="AP580" s="16"/>
      <c r="AT580" s="16"/>
      <c r="AX580" s="16"/>
    </row>
    <row r="581" spans="2:50" x14ac:dyDescent="0.25">
      <c r="B581" s="16"/>
      <c r="F581" s="16"/>
      <c r="J581" s="16"/>
      <c r="N581" s="16"/>
      <c r="R581" s="16"/>
      <c r="V581" s="16"/>
      <c r="Z581" s="16"/>
      <c r="AD581" s="16"/>
      <c r="AH581" s="16"/>
      <c r="AL581" s="16"/>
      <c r="AP581" s="16"/>
      <c r="AT581" s="16"/>
      <c r="AX581" s="16"/>
    </row>
    <row r="582" spans="2:50" x14ac:dyDescent="0.25">
      <c r="B582" s="16"/>
      <c r="F582" s="16"/>
      <c r="J582" s="16"/>
      <c r="N582" s="16"/>
      <c r="R582" s="16"/>
      <c r="V582" s="16"/>
      <c r="Z582" s="16"/>
      <c r="AD582" s="16"/>
      <c r="AH582" s="16"/>
      <c r="AL582" s="16"/>
      <c r="AP582" s="16"/>
      <c r="AT582" s="16"/>
      <c r="AX582" s="16"/>
    </row>
    <row r="583" spans="2:50" x14ac:dyDescent="0.25">
      <c r="B583" s="16"/>
      <c r="F583" s="16"/>
      <c r="J583" s="16"/>
      <c r="N583" s="16"/>
      <c r="R583" s="16"/>
      <c r="V583" s="16"/>
      <c r="Z583" s="16"/>
      <c r="AD583" s="16"/>
      <c r="AH583" s="16"/>
      <c r="AL583" s="16"/>
      <c r="AP583" s="16"/>
      <c r="AT583" s="16"/>
      <c r="AX583" s="16"/>
    </row>
    <row r="584" spans="2:50" x14ac:dyDescent="0.25">
      <c r="B584" s="16"/>
      <c r="F584" s="16"/>
      <c r="J584" s="16"/>
      <c r="N584" s="16"/>
      <c r="R584" s="16"/>
      <c r="V584" s="16"/>
      <c r="Z584" s="16"/>
      <c r="AD584" s="16"/>
      <c r="AH584" s="16"/>
      <c r="AL584" s="16"/>
      <c r="AP584" s="16"/>
      <c r="AT584" s="16"/>
      <c r="AX584" s="16"/>
    </row>
    <row r="585" spans="2:50" x14ac:dyDescent="0.25">
      <c r="B585" s="16"/>
      <c r="F585" s="16"/>
      <c r="J585" s="16"/>
      <c r="N585" s="16"/>
      <c r="R585" s="16"/>
      <c r="V585" s="16"/>
      <c r="Z585" s="16"/>
      <c r="AD585" s="16"/>
      <c r="AH585" s="16"/>
      <c r="AL585" s="16"/>
      <c r="AP585" s="16"/>
      <c r="AT585" s="16"/>
      <c r="AX585" s="16"/>
    </row>
    <row r="586" spans="2:50" x14ac:dyDescent="0.25">
      <c r="B586" s="16"/>
      <c r="F586" s="16"/>
      <c r="J586" s="16"/>
      <c r="N586" s="16"/>
      <c r="R586" s="16"/>
      <c r="V586" s="16"/>
      <c r="Z586" s="16"/>
      <c r="AD586" s="16"/>
      <c r="AH586" s="16"/>
      <c r="AL586" s="16"/>
      <c r="AP586" s="16"/>
      <c r="AT586" s="16"/>
      <c r="AX586" s="16"/>
    </row>
    <row r="587" spans="2:50" x14ac:dyDescent="0.25">
      <c r="B587" s="16"/>
      <c r="F587" s="16"/>
      <c r="J587" s="16"/>
      <c r="N587" s="16"/>
      <c r="R587" s="16"/>
      <c r="V587" s="16"/>
      <c r="Z587" s="16"/>
      <c r="AD587" s="16"/>
      <c r="AH587" s="16"/>
      <c r="AL587" s="16"/>
      <c r="AP587" s="16"/>
      <c r="AT587" s="16"/>
      <c r="AX587" s="16"/>
    </row>
    <row r="588" spans="2:50" x14ac:dyDescent="0.25">
      <c r="B588" s="16"/>
      <c r="F588" s="16"/>
      <c r="J588" s="16"/>
      <c r="N588" s="16"/>
      <c r="R588" s="16"/>
      <c r="V588" s="16"/>
      <c r="Z588" s="16"/>
      <c r="AD588" s="16"/>
      <c r="AH588" s="16"/>
      <c r="AL588" s="16"/>
      <c r="AP588" s="16"/>
      <c r="AT588" s="16"/>
      <c r="AX588" s="16"/>
    </row>
    <row r="589" spans="2:50" x14ac:dyDescent="0.25">
      <c r="B589" s="16"/>
      <c r="F589" s="16"/>
      <c r="J589" s="16"/>
      <c r="N589" s="16"/>
      <c r="R589" s="16"/>
      <c r="V589" s="16"/>
      <c r="Z589" s="16"/>
      <c r="AD589" s="16"/>
      <c r="AH589" s="16"/>
      <c r="AL589" s="16"/>
      <c r="AP589" s="16"/>
      <c r="AT589" s="16"/>
      <c r="AX589" s="16"/>
    </row>
    <row r="590" spans="2:50" x14ac:dyDescent="0.25">
      <c r="B590" s="16"/>
      <c r="F590" s="16"/>
      <c r="J590" s="16"/>
      <c r="N590" s="16"/>
      <c r="R590" s="16"/>
      <c r="V590" s="16"/>
      <c r="Z590" s="16"/>
      <c r="AD590" s="16"/>
      <c r="AH590" s="16"/>
      <c r="AL590" s="16"/>
      <c r="AP590" s="16"/>
      <c r="AT590" s="16"/>
      <c r="AX590" s="16"/>
    </row>
    <row r="591" spans="2:50" x14ac:dyDescent="0.25">
      <c r="B591" s="16"/>
      <c r="F591" s="16"/>
      <c r="J591" s="16"/>
      <c r="N591" s="16"/>
      <c r="R591" s="16"/>
      <c r="V591" s="16"/>
      <c r="Z591" s="16"/>
      <c r="AD591" s="16"/>
      <c r="AH591" s="16"/>
      <c r="AL591" s="16"/>
      <c r="AP591" s="16"/>
      <c r="AT591" s="16"/>
      <c r="AX591" s="16"/>
    </row>
    <row r="592" spans="2:50" x14ac:dyDescent="0.25">
      <c r="B592" s="16"/>
      <c r="F592" s="16"/>
      <c r="J592" s="16"/>
      <c r="N592" s="16"/>
      <c r="R592" s="16"/>
      <c r="V592" s="16"/>
      <c r="Z592" s="16"/>
      <c r="AD592" s="16"/>
      <c r="AH592" s="16"/>
      <c r="AL592" s="16"/>
      <c r="AP592" s="16"/>
      <c r="AT592" s="16"/>
      <c r="AX592" s="16"/>
    </row>
    <row r="593" spans="2:50" x14ac:dyDescent="0.25">
      <c r="B593" s="16"/>
      <c r="F593" s="16"/>
      <c r="J593" s="16"/>
      <c r="N593" s="16"/>
      <c r="R593" s="16"/>
      <c r="V593" s="16"/>
      <c r="Z593" s="16"/>
      <c r="AD593" s="16"/>
      <c r="AH593" s="16"/>
      <c r="AL593" s="16"/>
      <c r="AP593" s="16"/>
      <c r="AT593" s="16"/>
      <c r="AX593" s="16"/>
    </row>
    <row r="594" spans="2:50" x14ac:dyDescent="0.25">
      <c r="B594" s="16"/>
      <c r="F594" s="16"/>
      <c r="J594" s="16"/>
      <c r="N594" s="16"/>
      <c r="R594" s="16"/>
      <c r="V594" s="16"/>
      <c r="Z594" s="16"/>
      <c r="AD594" s="16"/>
      <c r="AH594" s="16"/>
      <c r="AL594" s="16"/>
      <c r="AP594" s="16"/>
      <c r="AT594" s="16"/>
      <c r="AX594" s="16"/>
    </row>
    <row r="595" spans="2:50" x14ac:dyDescent="0.25">
      <c r="B595" s="16"/>
      <c r="F595" s="16"/>
      <c r="J595" s="16"/>
      <c r="N595" s="16"/>
      <c r="R595" s="16"/>
      <c r="V595" s="16"/>
      <c r="Z595" s="16"/>
      <c r="AD595" s="16"/>
      <c r="AH595" s="16"/>
      <c r="AL595" s="16"/>
      <c r="AP595" s="16"/>
      <c r="AT595" s="16"/>
      <c r="AX595" s="16"/>
    </row>
    <row r="596" spans="2:50" x14ac:dyDescent="0.25">
      <c r="B596" s="16"/>
      <c r="F596" s="16"/>
      <c r="J596" s="16"/>
      <c r="N596" s="16"/>
      <c r="R596" s="16"/>
      <c r="V596" s="16"/>
      <c r="Z596" s="16"/>
      <c r="AD596" s="16"/>
      <c r="AH596" s="16"/>
      <c r="AL596" s="16"/>
      <c r="AP596" s="16"/>
      <c r="AT596" s="16"/>
      <c r="AX596" s="16"/>
    </row>
    <row r="597" spans="2:50" x14ac:dyDescent="0.25">
      <c r="B597" s="16"/>
      <c r="F597" s="16"/>
      <c r="J597" s="16"/>
      <c r="N597" s="16"/>
      <c r="R597" s="16"/>
      <c r="V597" s="16"/>
      <c r="Z597" s="16"/>
      <c r="AD597" s="16"/>
      <c r="AH597" s="16"/>
      <c r="AL597" s="16"/>
      <c r="AP597" s="16"/>
      <c r="AT597" s="16"/>
      <c r="AX597" s="16"/>
    </row>
    <row r="598" spans="2:50" x14ac:dyDescent="0.25">
      <c r="B598" s="16"/>
      <c r="F598" s="16"/>
      <c r="J598" s="16"/>
      <c r="N598" s="16"/>
      <c r="R598" s="16"/>
      <c r="V598" s="16"/>
      <c r="Z598" s="16"/>
      <c r="AD598" s="16"/>
      <c r="AH598" s="16"/>
      <c r="AL598" s="16"/>
      <c r="AP598" s="16"/>
      <c r="AT598" s="16"/>
      <c r="AX598" s="16"/>
    </row>
    <row r="599" spans="2:50" x14ac:dyDescent="0.25">
      <c r="B599" s="16"/>
      <c r="F599" s="16"/>
      <c r="J599" s="16"/>
      <c r="N599" s="16"/>
      <c r="R599" s="16"/>
      <c r="V599" s="16"/>
      <c r="Z599" s="16"/>
      <c r="AD599" s="16"/>
      <c r="AH599" s="16"/>
      <c r="AL599" s="16"/>
      <c r="AP599" s="16"/>
      <c r="AT599" s="16"/>
      <c r="AX599" s="16"/>
    </row>
    <row r="600" spans="2:50" x14ac:dyDescent="0.25">
      <c r="B600" s="16"/>
      <c r="F600" s="16"/>
      <c r="J600" s="16"/>
      <c r="N600" s="16"/>
      <c r="R600" s="16"/>
      <c r="V600" s="16"/>
      <c r="Z600" s="16"/>
      <c r="AD600" s="16"/>
      <c r="AH600" s="16"/>
      <c r="AL600" s="16"/>
      <c r="AP600" s="16"/>
      <c r="AT600" s="16"/>
      <c r="AX600" s="16"/>
    </row>
    <row r="601" spans="2:50" x14ac:dyDescent="0.25">
      <c r="B601" s="16"/>
      <c r="F601" s="16"/>
      <c r="J601" s="16"/>
      <c r="N601" s="16"/>
      <c r="R601" s="16"/>
      <c r="V601" s="16"/>
      <c r="Z601" s="16"/>
      <c r="AD601" s="16"/>
      <c r="AH601" s="16"/>
      <c r="AL601" s="16"/>
      <c r="AP601" s="16"/>
      <c r="AT601" s="16"/>
      <c r="AX601" s="16"/>
    </row>
    <row r="602" spans="2:50" x14ac:dyDescent="0.25">
      <c r="B602" s="16"/>
      <c r="F602" s="16"/>
      <c r="J602" s="16"/>
      <c r="N602" s="16"/>
      <c r="R602" s="16"/>
      <c r="V602" s="16"/>
      <c r="Z602" s="16"/>
      <c r="AD602" s="16"/>
      <c r="AH602" s="16"/>
      <c r="AL602" s="16"/>
      <c r="AP602" s="16"/>
      <c r="AT602" s="16"/>
      <c r="AX602" s="16"/>
    </row>
    <row r="603" spans="2:50" x14ac:dyDescent="0.25">
      <c r="B603" s="16"/>
      <c r="F603" s="16"/>
      <c r="J603" s="16"/>
      <c r="N603" s="16"/>
      <c r="R603" s="16"/>
      <c r="V603" s="16"/>
      <c r="Z603" s="16"/>
      <c r="AD603" s="16"/>
      <c r="AH603" s="16"/>
      <c r="AL603" s="16"/>
      <c r="AP603" s="16"/>
      <c r="AT603" s="16"/>
      <c r="AX603" s="16"/>
    </row>
    <row r="604" spans="2:50" x14ac:dyDescent="0.25">
      <c r="B604" s="16"/>
      <c r="F604" s="16"/>
      <c r="J604" s="16"/>
      <c r="N604" s="16"/>
      <c r="R604" s="16"/>
      <c r="V604" s="16"/>
      <c r="Z604" s="16"/>
      <c r="AD604" s="16"/>
      <c r="AH604" s="16"/>
      <c r="AL604" s="16"/>
      <c r="AP604" s="16"/>
      <c r="AT604" s="16"/>
      <c r="AX604" s="16"/>
    </row>
    <row r="605" spans="2:50" x14ac:dyDescent="0.25">
      <c r="B605" s="16"/>
      <c r="F605" s="16"/>
      <c r="J605" s="16"/>
      <c r="N605" s="16"/>
      <c r="R605" s="16"/>
      <c r="V605" s="16"/>
      <c r="Z605" s="16"/>
      <c r="AD605" s="16"/>
      <c r="AH605" s="16"/>
      <c r="AL605" s="16"/>
      <c r="AP605" s="16"/>
      <c r="AT605" s="16"/>
      <c r="AX605" s="16"/>
    </row>
    <row r="606" spans="2:50" x14ac:dyDescent="0.25">
      <c r="B606" s="16"/>
      <c r="F606" s="16"/>
      <c r="J606" s="16"/>
      <c r="N606" s="16"/>
      <c r="R606" s="16"/>
      <c r="V606" s="16"/>
      <c r="Z606" s="16"/>
      <c r="AD606" s="16"/>
      <c r="AH606" s="16"/>
      <c r="AL606" s="16"/>
      <c r="AP606" s="16"/>
      <c r="AT606" s="16"/>
      <c r="AX606" s="16"/>
    </row>
    <row r="607" spans="2:50" x14ac:dyDescent="0.25">
      <c r="B607" s="16"/>
      <c r="F607" s="16"/>
      <c r="J607" s="16"/>
      <c r="N607" s="16"/>
      <c r="R607" s="16"/>
      <c r="V607" s="16"/>
      <c r="Z607" s="16"/>
      <c r="AD607" s="16"/>
      <c r="AH607" s="16"/>
      <c r="AL607" s="16"/>
      <c r="AP607" s="16"/>
      <c r="AT607" s="16"/>
      <c r="AX607" s="16"/>
    </row>
    <row r="608" spans="2:50" x14ac:dyDescent="0.25">
      <c r="B608" s="16"/>
      <c r="F608" s="16"/>
      <c r="J608" s="16"/>
      <c r="N608" s="16"/>
      <c r="R608" s="16"/>
      <c r="V608" s="16"/>
      <c r="Z608" s="16"/>
      <c r="AD608" s="16"/>
      <c r="AH608" s="16"/>
      <c r="AL608" s="16"/>
      <c r="AP608" s="16"/>
      <c r="AT608" s="16"/>
      <c r="AX608" s="16"/>
    </row>
    <row r="609" spans="2:50" x14ac:dyDescent="0.25">
      <c r="B609" s="16"/>
      <c r="F609" s="16"/>
      <c r="J609" s="16"/>
      <c r="N609" s="16"/>
      <c r="R609" s="16"/>
      <c r="V609" s="16"/>
      <c r="Z609" s="16"/>
      <c r="AD609" s="16"/>
      <c r="AH609" s="16"/>
      <c r="AL609" s="16"/>
      <c r="AP609" s="16"/>
      <c r="AT609" s="16"/>
      <c r="AX609" s="16"/>
    </row>
    <row r="610" spans="2:50" x14ac:dyDescent="0.25">
      <c r="B610" s="16"/>
      <c r="F610" s="16"/>
      <c r="J610" s="16"/>
      <c r="N610" s="16"/>
      <c r="R610" s="16"/>
      <c r="V610" s="16"/>
      <c r="Z610" s="16"/>
      <c r="AD610" s="16"/>
      <c r="AH610" s="16"/>
      <c r="AL610" s="16"/>
      <c r="AP610" s="16"/>
      <c r="AT610" s="16"/>
      <c r="AX610" s="16"/>
    </row>
    <row r="611" spans="2:50" x14ac:dyDescent="0.25">
      <c r="B611" s="16"/>
      <c r="F611" s="16"/>
      <c r="J611" s="16"/>
      <c r="N611" s="16"/>
      <c r="R611" s="16"/>
      <c r="V611" s="16"/>
      <c r="Z611" s="16"/>
      <c r="AD611" s="16"/>
      <c r="AH611" s="16"/>
      <c r="AL611" s="16"/>
      <c r="AP611" s="16"/>
      <c r="AT611" s="16"/>
      <c r="AX611" s="16"/>
    </row>
    <row r="612" spans="2:50" x14ac:dyDescent="0.25">
      <c r="B612" s="16"/>
      <c r="F612" s="16"/>
      <c r="J612" s="16"/>
      <c r="N612" s="16"/>
      <c r="R612" s="16"/>
      <c r="V612" s="16"/>
      <c r="Z612" s="16"/>
      <c r="AD612" s="16"/>
      <c r="AH612" s="16"/>
      <c r="AL612" s="16"/>
      <c r="AP612" s="16"/>
      <c r="AT612" s="16"/>
      <c r="AX612" s="16"/>
    </row>
    <row r="613" spans="2:50" x14ac:dyDescent="0.25">
      <c r="B613" s="16"/>
      <c r="F613" s="16"/>
      <c r="J613" s="16"/>
      <c r="N613" s="16"/>
      <c r="R613" s="16"/>
      <c r="V613" s="16"/>
      <c r="Z613" s="16"/>
      <c r="AD613" s="16"/>
      <c r="AH613" s="16"/>
      <c r="AL613" s="16"/>
      <c r="AP613" s="16"/>
      <c r="AT613" s="16"/>
      <c r="AX613" s="16"/>
    </row>
    <row r="614" spans="2:50" x14ac:dyDescent="0.25">
      <c r="B614" s="16"/>
      <c r="F614" s="16"/>
      <c r="J614" s="16"/>
      <c r="N614" s="16"/>
      <c r="R614" s="16"/>
      <c r="V614" s="16"/>
      <c r="Z614" s="16"/>
      <c r="AD614" s="16"/>
      <c r="AH614" s="16"/>
      <c r="AL614" s="16"/>
      <c r="AP614" s="16"/>
      <c r="AT614" s="16"/>
      <c r="AX614" s="16"/>
    </row>
    <row r="615" spans="2:50" x14ac:dyDescent="0.25">
      <c r="B615" s="16"/>
      <c r="F615" s="16"/>
      <c r="J615" s="16"/>
      <c r="N615" s="16"/>
      <c r="R615" s="16"/>
      <c r="V615" s="16"/>
      <c r="Z615" s="16"/>
      <c r="AD615" s="16"/>
      <c r="AH615" s="16"/>
      <c r="AL615" s="16"/>
      <c r="AP615" s="16"/>
      <c r="AT615" s="16"/>
      <c r="AX615" s="16"/>
    </row>
    <row r="616" spans="2:50" x14ac:dyDescent="0.25">
      <c r="B616" s="16"/>
      <c r="F616" s="16"/>
      <c r="J616" s="16"/>
      <c r="N616" s="16"/>
      <c r="R616" s="16"/>
      <c r="V616" s="16"/>
      <c r="Z616" s="16"/>
      <c r="AD616" s="16"/>
      <c r="AH616" s="16"/>
      <c r="AL616" s="16"/>
      <c r="AP616" s="16"/>
      <c r="AT616" s="16"/>
      <c r="AX616" s="16"/>
    </row>
    <row r="617" spans="2:50" x14ac:dyDescent="0.25">
      <c r="B617" s="16"/>
      <c r="F617" s="16"/>
      <c r="J617" s="16"/>
      <c r="N617" s="16"/>
      <c r="R617" s="16"/>
      <c r="V617" s="16"/>
      <c r="Z617" s="16"/>
      <c r="AD617" s="16"/>
      <c r="AH617" s="16"/>
      <c r="AL617" s="16"/>
      <c r="AP617" s="16"/>
      <c r="AT617" s="16"/>
      <c r="AX617" s="16"/>
    </row>
    <row r="618" spans="2:50" x14ac:dyDescent="0.25">
      <c r="B618" s="16"/>
      <c r="F618" s="16"/>
      <c r="J618" s="16"/>
      <c r="N618" s="16"/>
      <c r="R618" s="16"/>
      <c r="V618" s="16"/>
      <c r="Z618" s="16"/>
      <c r="AD618" s="16"/>
      <c r="AH618" s="16"/>
      <c r="AL618" s="16"/>
      <c r="AP618" s="16"/>
      <c r="AT618" s="16"/>
      <c r="AX618" s="16"/>
    </row>
    <row r="619" spans="2:50" x14ac:dyDescent="0.25">
      <c r="B619" s="16"/>
      <c r="F619" s="16"/>
      <c r="J619" s="16"/>
      <c r="N619" s="16"/>
      <c r="R619" s="16"/>
      <c r="V619" s="16"/>
      <c r="Z619" s="16"/>
      <c r="AD619" s="16"/>
      <c r="AH619" s="16"/>
      <c r="AL619" s="16"/>
      <c r="AP619" s="16"/>
      <c r="AT619" s="16"/>
      <c r="AX619" s="16"/>
    </row>
    <row r="620" spans="2:50" x14ac:dyDescent="0.25">
      <c r="B620" s="16"/>
      <c r="F620" s="16"/>
      <c r="J620" s="16"/>
      <c r="N620" s="16"/>
      <c r="R620" s="16"/>
      <c r="V620" s="16"/>
      <c r="Z620" s="16"/>
      <c r="AD620" s="16"/>
      <c r="AH620" s="16"/>
      <c r="AL620" s="16"/>
      <c r="AP620" s="16"/>
      <c r="AT620" s="16"/>
      <c r="AX620" s="16"/>
    </row>
    <row r="621" spans="2:50" x14ac:dyDescent="0.25">
      <c r="B621" s="16"/>
      <c r="F621" s="16"/>
      <c r="J621" s="16"/>
      <c r="N621" s="16"/>
      <c r="R621" s="16"/>
      <c r="V621" s="16"/>
      <c r="Z621" s="16"/>
      <c r="AD621" s="16"/>
      <c r="AH621" s="16"/>
      <c r="AL621" s="16"/>
      <c r="AP621" s="16"/>
      <c r="AT621" s="16"/>
      <c r="AX621" s="16"/>
    </row>
    <row r="622" spans="2:50" x14ac:dyDescent="0.25">
      <c r="B622" s="16"/>
      <c r="F622" s="16"/>
      <c r="J622" s="16"/>
      <c r="N622" s="16"/>
      <c r="R622" s="16"/>
      <c r="V622" s="16"/>
      <c r="Z622" s="16"/>
      <c r="AD622" s="16"/>
      <c r="AH622" s="16"/>
      <c r="AL622" s="16"/>
      <c r="AP622" s="16"/>
      <c r="AT622" s="16"/>
      <c r="AX622" s="16"/>
    </row>
    <row r="623" spans="2:50" x14ac:dyDescent="0.25">
      <c r="B623" s="16"/>
      <c r="F623" s="16"/>
      <c r="J623" s="16"/>
      <c r="N623" s="16"/>
      <c r="R623" s="16"/>
      <c r="V623" s="16"/>
      <c r="Z623" s="16"/>
      <c r="AD623" s="16"/>
      <c r="AH623" s="16"/>
      <c r="AL623" s="16"/>
      <c r="AP623" s="16"/>
      <c r="AT623" s="16"/>
      <c r="AX623" s="16"/>
    </row>
    <row r="624" spans="2:50" x14ac:dyDescent="0.25">
      <c r="B624" s="16"/>
      <c r="F624" s="16"/>
      <c r="J624" s="16"/>
      <c r="N624" s="16"/>
      <c r="R624" s="16"/>
      <c r="V624" s="16"/>
      <c r="Z624" s="16"/>
      <c r="AD624" s="16"/>
      <c r="AH624" s="16"/>
      <c r="AL624" s="16"/>
      <c r="AP624" s="16"/>
      <c r="AT624" s="16"/>
      <c r="AX624" s="16"/>
    </row>
    <row r="625" spans="2:50" x14ac:dyDescent="0.25">
      <c r="B625" s="16"/>
      <c r="F625" s="16"/>
      <c r="J625" s="16"/>
      <c r="N625" s="16"/>
      <c r="R625" s="16"/>
      <c r="V625" s="16"/>
      <c r="Z625" s="16"/>
      <c r="AD625" s="16"/>
      <c r="AH625" s="16"/>
      <c r="AL625" s="16"/>
      <c r="AP625" s="16"/>
      <c r="AT625" s="16"/>
      <c r="AX625" s="16"/>
    </row>
    <row r="626" spans="2:50" x14ac:dyDescent="0.25">
      <c r="B626" s="16"/>
      <c r="F626" s="16"/>
      <c r="J626" s="16"/>
      <c r="N626" s="16"/>
      <c r="R626" s="16"/>
      <c r="V626" s="16"/>
      <c r="Z626" s="16"/>
      <c r="AD626" s="16"/>
      <c r="AH626" s="16"/>
      <c r="AL626" s="16"/>
      <c r="AP626" s="16"/>
      <c r="AT626" s="16"/>
      <c r="AX626" s="16"/>
    </row>
    <row r="627" spans="2:50" x14ac:dyDescent="0.25">
      <c r="B627" s="16"/>
      <c r="F627" s="16"/>
      <c r="J627" s="16"/>
      <c r="N627" s="16"/>
      <c r="R627" s="16"/>
      <c r="V627" s="16"/>
      <c r="Z627" s="16"/>
      <c r="AD627" s="16"/>
      <c r="AH627" s="16"/>
      <c r="AL627" s="16"/>
      <c r="AP627" s="16"/>
      <c r="AT627" s="16"/>
      <c r="AX627" s="16"/>
    </row>
    <row r="628" spans="2:50" x14ac:dyDescent="0.25">
      <c r="B628" s="16"/>
      <c r="F628" s="16"/>
      <c r="J628" s="16"/>
      <c r="N628" s="16"/>
      <c r="R628" s="16"/>
      <c r="V628" s="16"/>
      <c r="Z628" s="16"/>
      <c r="AD628" s="16"/>
      <c r="AH628" s="16"/>
      <c r="AL628" s="16"/>
      <c r="AP628" s="16"/>
      <c r="AT628" s="16"/>
      <c r="AX628" s="16"/>
    </row>
    <row r="629" spans="2:50" x14ac:dyDescent="0.25">
      <c r="B629" s="16"/>
      <c r="F629" s="16"/>
      <c r="J629" s="16"/>
      <c r="N629" s="16"/>
      <c r="R629" s="16"/>
      <c r="V629" s="16"/>
      <c r="Z629" s="16"/>
      <c r="AD629" s="16"/>
      <c r="AH629" s="16"/>
      <c r="AL629" s="16"/>
      <c r="AP629" s="16"/>
      <c r="AT629" s="16"/>
      <c r="AX629" s="16"/>
    </row>
    <row r="630" spans="2:50" x14ac:dyDescent="0.25">
      <c r="B630" s="16"/>
      <c r="F630" s="16"/>
      <c r="J630" s="16"/>
      <c r="N630" s="16"/>
      <c r="R630" s="16"/>
      <c r="V630" s="16"/>
      <c r="Z630" s="16"/>
      <c r="AD630" s="16"/>
      <c r="AH630" s="16"/>
      <c r="AL630" s="16"/>
      <c r="AP630" s="16"/>
      <c r="AT630" s="16"/>
      <c r="AX630" s="16"/>
    </row>
    <row r="631" spans="2:50" x14ac:dyDescent="0.25">
      <c r="B631" s="16"/>
      <c r="F631" s="16"/>
      <c r="J631" s="16"/>
      <c r="N631" s="16"/>
      <c r="R631" s="16"/>
      <c r="V631" s="16"/>
      <c r="Z631" s="16"/>
      <c r="AD631" s="16"/>
      <c r="AH631" s="16"/>
      <c r="AL631" s="16"/>
      <c r="AP631" s="16"/>
      <c r="AT631" s="16"/>
      <c r="AX631" s="16"/>
    </row>
    <row r="632" spans="2:50" x14ac:dyDescent="0.25">
      <c r="B632" s="16"/>
      <c r="F632" s="16"/>
      <c r="J632" s="16"/>
      <c r="N632" s="16"/>
      <c r="R632" s="16"/>
      <c r="V632" s="16"/>
      <c r="Z632" s="16"/>
      <c r="AD632" s="16"/>
      <c r="AH632" s="16"/>
      <c r="AL632" s="16"/>
      <c r="AP632" s="16"/>
      <c r="AT632" s="16"/>
      <c r="AX632" s="16"/>
    </row>
    <row r="633" spans="2:50" x14ac:dyDescent="0.25">
      <c r="B633" s="16"/>
      <c r="F633" s="16"/>
      <c r="J633" s="16"/>
      <c r="N633" s="16"/>
      <c r="R633" s="16"/>
      <c r="V633" s="16"/>
      <c r="Z633" s="16"/>
      <c r="AD633" s="16"/>
      <c r="AH633" s="16"/>
      <c r="AL633" s="16"/>
      <c r="AP633" s="16"/>
      <c r="AT633" s="16"/>
      <c r="AX633" s="16"/>
    </row>
    <row r="634" spans="2:50" x14ac:dyDescent="0.25">
      <c r="B634" s="16"/>
      <c r="F634" s="16"/>
      <c r="J634" s="16"/>
      <c r="N634" s="16"/>
      <c r="R634" s="16"/>
      <c r="V634" s="16"/>
      <c r="Z634" s="16"/>
      <c r="AD634" s="16"/>
      <c r="AH634" s="16"/>
      <c r="AL634" s="16"/>
      <c r="AP634" s="16"/>
      <c r="AT634" s="16"/>
      <c r="AX634" s="16"/>
    </row>
    <row r="635" spans="2:50" x14ac:dyDescent="0.25">
      <c r="B635" s="16"/>
      <c r="F635" s="16"/>
      <c r="J635" s="16"/>
      <c r="N635" s="16"/>
      <c r="R635" s="16"/>
      <c r="V635" s="16"/>
      <c r="Z635" s="16"/>
      <c r="AD635" s="16"/>
      <c r="AH635" s="16"/>
      <c r="AL635" s="16"/>
      <c r="AP635" s="16"/>
      <c r="AT635" s="16"/>
      <c r="AX635" s="16"/>
    </row>
    <row r="636" spans="2:50" x14ac:dyDescent="0.25">
      <c r="B636" s="16"/>
      <c r="F636" s="16"/>
      <c r="J636" s="16"/>
      <c r="N636" s="16"/>
      <c r="R636" s="16"/>
      <c r="V636" s="16"/>
      <c r="Z636" s="16"/>
      <c r="AD636" s="16"/>
      <c r="AH636" s="16"/>
      <c r="AL636" s="16"/>
      <c r="AP636" s="16"/>
      <c r="AT636" s="16"/>
      <c r="AX636" s="16"/>
    </row>
    <row r="637" spans="2:50" x14ac:dyDescent="0.25">
      <c r="B637" s="16"/>
      <c r="F637" s="16"/>
      <c r="J637" s="16"/>
      <c r="N637" s="16"/>
      <c r="R637" s="16"/>
      <c r="V637" s="16"/>
      <c r="Z637" s="16"/>
      <c r="AD637" s="16"/>
      <c r="AH637" s="16"/>
      <c r="AL637" s="16"/>
      <c r="AP637" s="16"/>
      <c r="AT637" s="16"/>
      <c r="AX637" s="16"/>
    </row>
    <row r="638" spans="2:50" x14ac:dyDescent="0.25">
      <c r="B638" s="16"/>
      <c r="F638" s="16"/>
      <c r="J638" s="16"/>
      <c r="N638" s="16"/>
      <c r="R638" s="16"/>
      <c r="V638" s="16"/>
      <c r="Z638" s="16"/>
      <c r="AD638" s="16"/>
      <c r="AH638" s="16"/>
      <c r="AL638" s="16"/>
      <c r="AP638" s="16"/>
      <c r="AT638" s="16"/>
      <c r="AX638" s="16"/>
    </row>
    <row r="639" spans="2:50" x14ac:dyDescent="0.25">
      <c r="B639" s="16"/>
      <c r="F639" s="16"/>
      <c r="J639" s="16"/>
      <c r="N639" s="16"/>
      <c r="R639" s="16"/>
      <c r="V639" s="16"/>
      <c r="Z639" s="16"/>
      <c r="AD639" s="16"/>
      <c r="AH639" s="16"/>
      <c r="AL639" s="16"/>
      <c r="AP639" s="16"/>
      <c r="AT639" s="16"/>
      <c r="AX639" s="16"/>
    </row>
    <row r="640" spans="2:50" x14ac:dyDescent="0.25">
      <c r="B640" s="16"/>
      <c r="F640" s="16"/>
      <c r="J640" s="16"/>
      <c r="N640" s="16"/>
      <c r="R640" s="16"/>
      <c r="V640" s="16"/>
      <c r="Z640" s="16"/>
      <c r="AD640" s="16"/>
      <c r="AH640" s="16"/>
      <c r="AL640" s="16"/>
      <c r="AP640" s="16"/>
      <c r="AT640" s="16"/>
      <c r="AX640" s="16"/>
    </row>
    <row r="641" spans="2:50" x14ac:dyDescent="0.25">
      <c r="B641" s="16"/>
      <c r="F641" s="16"/>
      <c r="J641" s="16"/>
      <c r="N641" s="16"/>
      <c r="R641" s="16"/>
      <c r="V641" s="16"/>
      <c r="Z641" s="16"/>
      <c r="AD641" s="16"/>
      <c r="AH641" s="16"/>
      <c r="AL641" s="16"/>
      <c r="AP641" s="16"/>
      <c r="AT641" s="16"/>
      <c r="AX641" s="16"/>
    </row>
    <row r="642" spans="2:50" x14ac:dyDescent="0.25">
      <c r="B642" s="16"/>
      <c r="F642" s="16"/>
      <c r="J642" s="16"/>
      <c r="N642" s="16"/>
      <c r="R642" s="16"/>
      <c r="V642" s="16"/>
      <c r="Z642" s="16"/>
      <c r="AD642" s="16"/>
      <c r="AH642" s="16"/>
      <c r="AL642" s="16"/>
      <c r="AP642" s="16"/>
      <c r="AT642" s="16"/>
      <c r="AX642" s="16"/>
    </row>
    <row r="643" spans="2:50" x14ac:dyDescent="0.25">
      <c r="B643" s="16"/>
      <c r="F643" s="16"/>
      <c r="J643" s="16"/>
      <c r="N643" s="16"/>
      <c r="R643" s="16"/>
      <c r="V643" s="16"/>
      <c r="Z643" s="16"/>
      <c r="AD643" s="16"/>
      <c r="AH643" s="16"/>
      <c r="AL643" s="16"/>
      <c r="AP643" s="16"/>
      <c r="AT643" s="16"/>
      <c r="AX643" s="16"/>
    </row>
    <row r="644" spans="2:50" x14ac:dyDescent="0.25">
      <c r="B644" s="16"/>
      <c r="F644" s="16"/>
      <c r="J644" s="16"/>
      <c r="N644" s="16"/>
      <c r="R644" s="16"/>
      <c r="V644" s="16"/>
      <c r="Z644" s="16"/>
      <c r="AD644" s="16"/>
      <c r="AH644" s="16"/>
      <c r="AL644" s="16"/>
      <c r="AP644" s="16"/>
      <c r="AT644" s="16"/>
      <c r="AX644" s="16"/>
    </row>
    <row r="645" spans="2:50" x14ac:dyDescent="0.25">
      <c r="B645" s="16"/>
      <c r="F645" s="16"/>
      <c r="J645" s="16"/>
      <c r="N645" s="16"/>
      <c r="R645" s="16"/>
      <c r="V645" s="16"/>
      <c r="Z645" s="16"/>
      <c r="AD645" s="16"/>
      <c r="AH645" s="16"/>
      <c r="AL645" s="16"/>
      <c r="AP645" s="16"/>
      <c r="AT645" s="16"/>
      <c r="AX645" s="16"/>
    </row>
    <row r="646" spans="2:50" x14ac:dyDescent="0.25">
      <c r="B646" s="16"/>
      <c r="F646" s="16"/>
      <c r="J646" s="16"/>
      <c r="N646" s="16"/>
      <c r="R646" s="16"/>
      <c r="V646" s="16"/>
      <c r="Z646" s="16"/>
      <c r="AD646" s="16"/>
      <c r="AH646" s="16"/>
      <c r="AL646" s="16"/>
      <c r="AP646" s="16"/>
      <c r="AT646" s="16"/>
      <c r="AX646" s="16"/>
    </row>
    <row r="647" spans="2:50" x14ac:dyDescent="0.25">
      <c r="B647" s="16"/>
      <c r="F647" s="16"/>
      <c r="J647" s="16"/>
      <c r="N647" s="16"/>
      <c r="R647" s="16"/>
      <c r="V647" s="16"/>
      <c r="Z647" s="16"/>
      <c r="AD647" s="16"/>
      <c r="AH647" s="16"/>
      <c r="AL647" s="16"/>
      <c r="AP647" s="16"/>
      <c r="AT647" s="16"/>
      <c r="AX647" s="16"/>
    </row>
    <row r="648" spans="2:50" x14ac:dyDescent="0.25">
      <c r="B648" s="16"/>
      <c r="F648" s="16"/>
      <c r="J648" s="16"/>
      <c r="N648" s="16"/>
      <c r="R648" s="16"/>
      <c r="V648" s="16"/>
      <c r="Z648" s="16"/>
      <c r="AD648" s="16"/>
      <c r="AH648" s="16"/>
      <c r="AL648" s="16"/>
      <c r="AP648" s="16"/>
      <c r="AT648" s="16"/>
      <c r="AX648" s="16"/>
    </row>
    <row r="649" spans="2:50" x14ac:dyDescent="0.25">
      <c r="B649" s="16"/>
      <c r="F649" s="16"/>
      <c r="J649" s="16"/>
      <c r="N649" s="16"/>
      <c r="R649" s="16"/>
      <c r="V649" s="16"/>
      <c r="Z649" s="16"/>
      <c r="AD649" s="16"/>
      <c r="AH649" s="16"/>
      <c r="AL649" s="16"/>
      <c r="AP649" s="16"/>
      <c r="AT649" s="16"/>
      <c r="AX649" s="16"/>
    </row>
    <row r="650" spans="2:50" x14ac:dyDescent="0.25">
      <c r="B650" s="16"/>
      <c r="F650" s="16"/>
      <c r="J650" s="16"/>
      <c r="N650" s="16"/>
      <c r="R650" s="16"/>
      <c r="V650" s="16"/>
      <c r="Z650" s="16"/>
      <c r="AD650" s="16"/>
      <c r="AH650" s="16"/>
      <c r="AL650" s="16"/>
      <c r="AP650" s="16"/>
      <c r="AT650" s="16"/>
      <c r="AX650" s="16"/>
    </row>
    <row r="651" spans="2:50" x14ac:dyDescent="0.25">
      <c r="B651" s="16"/>
      <c r="F651" s="16"/>
      <c r="J651" s="16"/>
      <c r="N651" s="16"/>
      <c r="R651" s="16"/>
      <c r="V651" s="16"/>
      <c r="Z651" s="16"/>
      <c r="AD651" s="16"/>
      <c r="AH651" s="16"/>
      <c r="AL651" s="16"/>
      <c r="AP651" s="16"/>
      <c r="AT651" s="16"/>
      <c r="AX651" s="16"/>
    </row>
    <row r="652" spans="2:50" x14ac:dyDescent="0.25">
      <c r="B652" s="16"/>
      <c r="F652" s="16"/>
      <c r="J652" s="16"/>
      <c r="N652" s="16"/>
      <c r="R652" s="16"/>
      <c r="V652" s="16"/>
      <c r="Z652" s="16"/>
      <c r="AD652" s="16"/>
      <c r="AH652" s="16"/>
      <c r="AL652" s="16"/>
      <c r="AP652" s="16"/>
      <c r="AT652" s="16"/>
      <c r="AX652" s="16"/>
    </row>
    <row r="653" spans="2:50" x14ac:dyDescent="0.25">
      <c r="B653" s="16"/>
      <c r="F653" s="16"/>
      <c r="J653" s="16"/>
      <c r="N653" s="16"/>
      <c r="R653" s="16"/>
      <c r="V653" s="16"/>
      <c r="Z653" s="16"/>
      <c r="AD653" s="16"/>
      <c r="AH653" s="16"/>
      <c r="AL653" s="16"/>
      <c r="AP653" s="16"/>
      <c r="AT653" s="16"/>
      <c r="AX653" s="16"/>
    </row>
    <row r="654" spans="2:50" x14ac:dyDescent="0.25">
      <c r="B654" s="16"/>
      <c r="F654" s="16"/>
      <c r="J654" s="16"/>
      <c r="N654" s="16"/>
      <c r="R654" s="16"/>
      <c r="V654" s="16"/>
      <c r="Z654" s="16"/>
      <c r="AD654" s="16"/>
      <c r="AH654" s="16"/>
      <c r="AL654" s="16"/>
      <c r="AP654" s="16"/>
      <c r="AT654" s="16"/>
      <c r="AX654" s="16"/>
    </row>
    <row r="655" spans="2:50" x14ac:dyDescent="0.25">
      <c r="B655" s="16"/>
      <c r="F655" s="16"/>
      <c r="J655" s="16"/>
      <c r="N655" s="16"/>
      <c r="R655" s="16"/>
      <c r="V655" s="16"/>
      <c r="Z655" s="16"/>
      <c r="AD655" s="16"/>
      <c r="AH655" s="16"/>
      <c r="AL655" s="16"/>
      <c r="AP655" s="16"/>
      <c r="AT655" s="16"/>
      <c r="AX655" s="16"/>
    </row>
    <row r="656" spans="2:50" x14ac:dyDescent="0.25">
      <c r="B656" s="16"/>
      <c r="F656" s="16"/>
      <c r="J656" s="16"/>
      <c r="N656" s="16"/>
      <c r="R656" s="16"/>
      <c r="V656" s="16"/>
      <c r="Z656" s="16"/>
      <c r="AD656" s="16"/>
      <c r="AH656" s="16"/>
      <c r="AL656" s="16"/>
      <c r="AP656" s="16"/>
      <c r="AT656" s="16"/>
      <c r="AX656" s="16"/>
    </row>
    <row r="657" spans="2:50" x14ac:dyDescent="0.25">
      <c r="B657" s="16"/>
      <c r="F657" s="16"/>
      <c r="J657" s="16"/>
      <c r="N657" s="16"/>
      <c r="R657" s="16"/>
      <c r="V657" s="16"/>
      <c r="Z657" s="16"/>
      <c r="AD657" s="16"/>
      <c r="AH657" s="16"/>
      <c r="AL657" s="16"/>
      <c r="AP657" s="16"/>
      <c r="AT657" s="16"/>
      <c r="AX657" s="16"/>
    </row>
    <row r="658" spans="2:50" x14ac:dyDescent="0.25">
      <c r="B658" s="16"/>
      <c r="F658" s="16"/>
      <c r="J658" s="16"/>
      <c r="N658" s="16"/>
      <c r="R658" s="16"/>
      <c r="V658" s="16"/>
      <c r="Z658" s="16"/>
      <c r="AD658" s="16"/>
      <c r="AH658" s="16"/>
      <c r="AL658" s="16"/>
      <c r="AP658" s="16"/>
      <c r="AT658" s="16"/>
      <c r="AX658" s="16"/>
    </row>
    <row r="659" spans="2:50" x14ac:dyDescent="0.25">
      <c r="B659" s="16"/>
      <c r="F659" s="16"/>
      <c r="J659" s="16"/>
      <c r="N659" s="16"/>
      <c r="R659" s="16"/>
      <c r="V659" s="16"/>
      <c r="Z659" s="16"/>
      <c r="AD659" s="16"/>
      <c r="AH659" s="16"/>
      <c r="AL659" s="16"/>
      <c r="AP659" s="16"/>
      <c r="AT659" s="16"/>
      <c r="AX659" s="16"/>
    </row>
    <row r="660" spans="2:50" x14ac:dyDescent="0.25">
      <c r="B660" s="16"/>
      <c r="F660" s="16"/>
      <c r="J660" s="16"/>
      <c r="N660" s="16"/>
      <c r="R660" s="16"/>
      <c r="V660" s="16"/>
      <c r="Z660" s="16"/>
      <c r="AD660" s="16"/>
      <c r="AH660" s="16"/>
      <c r="AL660" s="16"/>
      <c r="AP660" s="16"/>
      <c r="AT660" s="16"/>
      <c r="AX660" s="16"/>
    </row>
    <row r="661" spans="2:50" x14ac:dyDescent="0.25">
      <c r="B661" s="16"/>
      <c r="F661" s="16"/>
      <c r="J661" s="16"/>
      <c r="N661" s="16"/>
      <c r="R661" s="16"/>
      <c r="V661" s="16"/>
      <c r="Z661" s="16"/>
      <c r="AD661" s="16"/>
      <c r="AH661" s="16"/>
      <c r="AL661" s="16"/>
      <c r="AP661" s="16"/>
      <c r="AT661" s="16"/>
      <c r="AX661" s="16"/>
    </row>
    <row r="662" spans="2:50" x14ac:dyDescent="0.25">
      <c r="B662" s="16"/>
      <c r="F662" s="16"/>
      <c r="J662" s="16"/>
      <c r="N662" s="16"/>
      <c r="R662" s="16"/>
      <c r="V662" s="16"/>
      <c r="Z662" s="16"/>
      <c r="AD662" s="16"/>
      <c r="AH662" s="16"/>
      <c r="AL662" s="16"/>
      <c r="AP662" s="16"/>
      <c r="AT662" s="16"/>
      <c r="AX662" s="16"/>
    </row>
    <row r="663" spans="2:50" x14ac:dyDescent="0.25">
      <c r="B663" s="16"/>
      <c r="F663" s="16"/>
      <c r="J663" s="16"/>
      <c r="N663" s="16"/>
      <c r="R663" s="16"/>
      <c r="V663" s="16"/>
      <c r="Z663" s="16"/>
      <c r="AD663" s="16"/>
      <c r="AH663" s="16"/>
      <c r="AL663" s="16"/>
      <c r="AP663" s="16"/>
      <c r="AT663" s="16"/>
      <c r="AX663" s="16"/>
    </row>
    <row r="664" spans="2:50" x14ac:dyDescent="0.25">
      <c r="B664" s="16"/>
      <c r="F664" s="16"/>
      <c r="J664" s="16"/>
      <c r="N664" s="16"/>
      <c r="R664" s="16"/>
      <c r="V664" s="16"/>
      <c r="Z664" s="16"/>
      <c r="AD664" s="16"/>
      <c r="AH664" s="16"/>
      <c r="AL664" s="16"/>
      <c r="AP664" s="16"/>
      <c r="AT664" s="16"/>
      <c r="AX664" s="16"/>
    </row>
    <row r="665" spans="2:50" x14ac:dyDescent="0.25">
      <c r="B665" s="16"/>
      <c r="F665" s="16"/>
      <c r="J665" s="16"/>
      <c r="N665" s="16"/>
      <c r="R665" s="16"/>
      <c r="V665" s="16"/>
      <c r="Z665" s="16"/>
      <c r="AD665" s="16"/>
      <c r="AH665" s="16"/>
      <c r="AL665" s="16"/>
      <c r="AP665" s="16"/>
      <c r="AT665" s="16"/>
      <c r="AX665" s="16"/>
    </row>
    <row r="666" spans="2:50" x14ac:dyDescent="0.25">
      <c r="B666" s="16"/>
      <c r="F666" s="16"/>
      <c r="J666" s="16"/>
      <c r="N666" s="16"/>
      <c r="R666" s="16"/>
      <c r="V666" s="16"/>
      <c r="Z666" s="16"/>
      <c r="AD666" s="16"/>
      <c r="AH666" s="16"/>
      <c r="AL666" s="16"/>
      <c r="AP666" s="16"/>
      <c r="AT666" s="16"/>
      <c r="AX666" s="16"/>
    </row>
    <row r="667" spans="2:50" x14ac:dyDescent="0.25">
      <c r="B667" s="16"/>
      <c r="F667" s="16"/>
      <c r="J667" s="16"/>
      <c r="N667" s="16"/>
      <c r="R667" s="16"/>
      <c r="V667" s="16"/>
      <c r="Z667" s="16"/>
      <c r="AD667" s="16"/>
      <c r="AH667" s="16"/>
      <c r="AL667" s="16"/>
      <c r="AP667" s="16"/>
      <c r="AT667" s="16"/>
      <c r="AX667" s="16"/>
    </row>
    <row r="668" spans="2:50" x14ac:dyDescent="0.25">
      <c r="B668" s="16"/>
      <c r="F668" s="16"/>
      <c r="J668" s="16"/>
      <c r="N668" s="16"/>
      <c r="R668" s="16"/>
      <c r="V668" s="16"/>
      <c r="Z668" s="16"/>
      <c r="AD668" s="16"/>
      <c r="AH668" s="16"/>
      <c r="AL668" s="16"/>
      <c r="AP668" s="16"/>
      <c r="AT668" s="16"/>
      <c r="AX668" s="16"/>
    </row>
    <row r="669" spans="2:50" x14ac:dyDescent="0.25">
      <c r="B669" s="16"/>
      <c r="F669" s="16"/>
      <c r="J669" s="16"/>
      <c r="N669" s="16"/>
      <c r="R669" s="16"/>
      <c r="V669" s="16"/>
      <c r="Z669" s="16"/>
      <c r="AD669" s="16"/>
      <c r="AH669" s="16"/>
      <c r="AL669" s="16"/>
      <c r="AP669" s="16"/>
      <c r="AT669" s="16"/>
      <c r="AX669" s="16"/>
    </row>
    <row r="670" spans="2:50" x14ac:dyDescent="0.25">
      <c r="B670" s="16"/>
      <c r="F670" s="16"/>
      <c r="J670" s="16"/>
      <c r="N670" s="16"/>
      <c r="R670" s="16"/>
      <c r="V670" s="16"/>
      <c r="Z670" s="16"/>
      <c r="AD670" s="16"/>
      <c r="AH670" s="16"/>
      <c r="AL670" s="16"/>
      <c r="AP670" s="16"/>
      <c r="AT670" s="16"/>
      <c r="AX670" s="16"/>
    </row>
    <row r="671" spans="2:50" x14ac:dyDescent="0.25">
      <c r="B671" s="16"/>
      <c r="F671" s="16"/>
      <c r="J671" s="16"/>
      <c r="N671" s="16"/>
      <c r="R671" s="16"/>
      <c r="V671" s="16"/>
      <c r="Z671" s="16"/>
      <c r="AD671" s="16"/>
      <c r="AH671" s="16"/>
      <c r="AL671" s="16"/>
      <c r="AP671" s="16"/>
      <c r="AT671" s="16"/>
      <c r="AX671" s="16"/>
    </row>
    <row r="672" spans="2:50" x14ac:dyDescent="0.25">
      <c r="B672" s="16"/>
      <c r="F672" s="16"/>
      <c r="J672" s="16"/>
      <c r="N672" s="16"/>
      <c r="R672" s="16"/>
      <c r="V672" s="16"/>
      <c r="Z672" s="16"/>
      <c r="AD672" s="16"/>
      <c r="AH672" s="16"/>
      <c r="AL672" s="16"/>
      <c r="AP672" s="16"/>
      <c r="AT672" s="16"/>
      <c r="AX672" s="16"/>
    </row>
    <row r="673" spans="2:50" x14ac:dyDescent="0.25">
      <c r="B673" s="16"/>
      <c r="F673" s="16"/>
      <c r="J673" s="16"/>
      <c r="N673" s="16"/>
      <c r="R673" s="16"/>
      <c r="V673" s="16"/>
      <c r="Z673" s="16"/>
      <c r="AD673" s="16"/>
      <c r="AH673" s="16"/>
      <c r="AL673" s="16"/>
      <c r="AP673" s="16"/>
      <c r="AT673" s="16"/>
      <c r="AX673" s="16"/>
    </row>
    <row r="674" spans="2:50" x14ac:dyDescent="0.25">
      <c r="B674" s="16"/>
      <c r="F674" s="16"/>
      <c r="J674" s="16"/>
      <c r="N674" s="16"/>
      <c r="R674" s="16"/>
      <c r="V674" s="16"/>
      <c r="Z674" s="16"/>
      <c r="AD674" s="16"/>
      <c r="AH674" s="16"/>
      <c r="AL674" s="16"/>
      <c r="AP674" s="16"/>
      <c r="AT674" s="16"/>
      <c r="AX674" s="16"/>
    </row>
    <row r="675" spans="2:50" x14ac:dyDescent="0.25">
      <c r="B675" s="16"/>
      <c r="F675" s="16"/>
      <c r="J675" s="16"/>
      <c r="N675" s="16"/>
      <c r="R675" s="16"/>
      <c r="V675" s="16"/>
      <c r="Z675" s="16"/>
      <c r="AD675" s="16"/>
      <c r="AH675" s="16"/>
      <c r="AL675" s="16"/>
      <c r="AP675" s="16"/>
      <c r="AT675" s="16"/>
      <c r="AX675" s="16"/>
    </row>
    <row r="676" spans="2:50" x14ac:dyDescent="0.25">
      <c r="B676" s="16"/>
      <c r="F676" s="16"/>
      <c r="J676" s="16"/>
      <c r="N676" s="16"/>
      <c r="R676" s="16"/>
      <c r="V676" s="16"/>
      <c r="Z676" s="16"/>
      <c r="AD676" s="16"/>
      <c r="AH676" s="16"/>
      <c r="AL676" s="16"/>
      <c r="AP676" s="16"/>
      <c r="AT676" s="16"/>
      <c r="AX676" s="16"/>
    </row>
    <row r="677" spans="2:50" x14ac:dyDescent="0.25">
      <c r="B677" s="16"/>
      <c r="F677" s="16"/>
      <c r="J677" s="16"/>
      <c r="N677" s="16"/>
      <c r="R677" s="16"/>
      <c r="V677" s="16"/>
      <c r="Z677" s="16"/>
      <c r="AD677" s="16"/>
      <c r="AH677" s="16"/>
      <c r="AL677" s="16"/>
      <c r="AP677" s="16"/>
      <c r="AT677" s="16"/>
      <c r="AX677" s="16"/>
    </row>
    <row r="678" spans="2:50" x14ac:dyDescent="0.25">
      <c r="B678" s="16"/>
      <c r="F678" s="16"/>
      <c r="J678" s="16"/>
      <c r="N678" s="16"/>
      <c r="R678" s="16"/>
      <c r="V678" s="16"/>
      <c r="Z678" s="16"/>
      <c r="AD678" s="16"/>
      <c r="AH678" s="16"/>
      <c r="AL678" s="16"/>
      <c r="AP678" s="16"/>
      <c r="AT678" s="16"/>
      <c r="AX678" s="16"/>
    </row>
    <row r="679" spans="2:50" x14ac:dyDescent="0.25">
      <c r="B679" s="16"/>
      <c r="F679" s="16"/>
      <c r="J679" s="16"/>
      <c r="N679" s="16"/>
      <c r="R679" s="16"/>
      <c r="V679" s="16"/>
      <c r="Z679" s="16"/>
      <c r="AD679" s="16"/>
      <c r="AH679" s="16"/>
      <c r="AL679" s="16"/>
      <c r="AP679" s="16"/>
      <c r="AT679" s="16"/>
      <c r="AX679" s="16"/>
    </row>
    <row r="680" spans="2:50" x14ac:dyDescent="0.25">
      <c r="B680" s="16"/>
      <c r="F680" s="16"/>
      <c r="J680" s="16"/>
      <c r="N680" s="16"/>
      <c r="R680" s="16"/>
      <c r="V680" s="16"/>
      <c r="Z680" s="16"/>
      <c r="AD680" s="16"/>
      <c r="AH680" s="16"/>
      <c r="AL680" s="16"/>
      <c r="AP680" s="16"/>
      <c r="AT680" s="16"/>
      <c r="AX680" s="16"/>
    </row>
    <row r="681" spans="2:50" x14ac:dyDescent="0.25">
      <c r="B681" s="16"/>
      <c r="F681" s="16"/>
      <c r="J681" s="16"/>
      <c r="N681" s="16"/>
      <c r="R681" s="16"/>
      <c r="V681" s="16"/>
      <c r="Z681" s="16"/>
      <c r="AD681" s="16"/>
      <c r="AH681" s="16"/>
      <c r="AL681" s="16"/>
      <c r="AP681" s="16"/>
      <c r="AT681" s="16"/>
      <c r="AX681" s="16"/>
    </row>
    <row r="682" spans="2:50" x14ac:dyDescent="0.25">
      <c r="B682" s="16"/>
      <c r="F682" s="16"/>
      <c r="J682" s="16"/>
      <c r="N682" s="16"/>
      <c r="R682" s="16"/>
      <c r="V682" s="16"/>
      <c r="Z682" s="16"/>
      <c r="AD682" s="16"/>
      <c r="AH682" s="16"/>
      <c r="AL682" s="16"/>
      <c r="AP682" s="16"/>
      <c r="AT682" s="16"/>
      <c r="AX682" s="16"/>
    </row>
    <row r="683" spans="2:50" x14ac:dyDescent="0.25">
      <c r="B683" s="16"/>
      <c r="F683" s="16"/>
      <c r="J683" s="16"/>
      <c r="N683" s="16"/>
      <c r="R683" s="16"/>
      <c r="V683" s="16"/>
      <c r="Z683" s="16"/>
      <c r="AD683" s="16"/>
      <c r="AH683" s="16"/>
      <c r="AL683" s="16"/>
      <c r="AP683" s="16"/>
      <c r="AT683" s="16"/>
      <c r="AX683" s="16"/>
    </row>
    <row r="684" spans="2:50" x14ac:dyDescent="0.25">
      <c r="B684" s="16"/>
      <c r="F684" s="16"/>
      <c r="J684" s="16"/>
      <c r="N684" s="16"/>
      <c r="R684" s="16"/>
      <c r="V684" s="16"/>
      <c r="Z684" s="16"/>
      <c r="AD684" s="16"/>
      <c r="AH684" s="16"/>
      <c r="AL684" s="16"/>
      <c r="AP684" s="16"/>
      <c r="AT684" s="16"/>
      <c r="AX684" s="16"/>
    </row>
    <row r="685" spans="2:50" x14ac:dyDescent="0.25">
      <c r="B685" s="16"/>
      <c r="F685" s="16"/>
      <c r="J685" s="16"/>
      <c r="N685" s="16"/>
      <c r="R685" s="16"/>
      <c r="V685" s="16"/>
      <c r="Z685" s="16"/>
      <c r="AD685" s="16"/>
      <c r="AH685" s="16"/>
      <c r="AL685" s="16"/>
      <c r="AP685" s="16"/>
      <c r="AT685" s="16"/>
      <c r="AX685" s="16"/>
    </row>
    <row r="686" spans="2:50" x14ac:dyDescent="0.25">
      <c r="B686" s="16"/>
      <c r="F686" s="16"/>
      <c r="J686" s="16"/>
      <c r="N686" s="16"/>
      <c r="R686" s="16"/>
      <c r="V686" s="16"/>
      <c r="Z686" s="16"/>
      <c r="AD686" s="16"/>
      <c r="AH686" s="16"/>
      <c r="AL686" s="16"/>
      <c r="AP686" s="16"/>
      <c r="AT686" s="16"/>
      <c r="AX686" s="16"/>
    </row>
    <row r="687" spans="2:50" x14ac:dyDescent="0.25">
      <c r="B687" s="16"/>
      <c r="F687" s="16"/>
      <c r="J687" s="16"/>
      <c r="N687" s="16"/>
      <c r="R687" s="16"/>
      <c r="V687" s="16"/>
      <c r="Z687" s="16"/>
      <c r="AD687" s="16"/>
      <c r="AH687" s="16"/>
      <c r="AL687" s="16"/>
      <c r="AP687" s="16"/>
      <c r="AT687" s="16"/>
      <c r="AX687" s="16"/>
    </row>
    <row r="688" spans="2:50" x14ac:dyDescent="0.25">
      <c r="B688" s="16"/>
      <c r="F688" s="16"/>
      <c r="J688" s="16"/>
      <c r="N688" s="16"/>
      <c r="R688" s="16"/>
      <c r="V688" s="16"/>
      <c r="Z688" s="16"/>
      <c r="AD688" s="16"/>
      <c r="AH688" s="16"/>
      <c r="AL688" s="16"/>
      <c r="AP688" s="16"/>
      <c r="AT688" s="16"/>
      <c r="AX688" s="16"/>
    </row>
    <row r="689" spans="2:50" x14ac:dyDescent="0.25">
      <c r="B689" s="16"/>
      <c r="F689" s="16"/>
      <c r="J689" s="16"/>
      <c r="N689" s="16"/>
      <c r="R689" s="16"/>
      <c r="V689" s="16"/>
      <c r="Z689" s="16"/>
      <c r="AD689" s="16"/>
      <c r="AH689" s="16"/>
      <c r="AL689" s="16"/>
      <c r="AP689" s="16"/>
      <c r="AT689" s="16"/>
      <c r="AX689" s="16"/>
    </row>
    <row r="690" spans="2:50" x14ac:dyDescent="0.25">
      <c r="B690" s="16"/>
      <c r="F690" s="16"/>
      <c r="J690" s="16"/>
      <c r="N690" s="16"/>
      <c r="R690" s="16"/>
      <c r="V690" s="16"/>
      <c r="Z690" s="16"/>
      <c r="AD690" s="16"/>
      <c r="AH690" s="16"/>
      <c r="AL690" s="16"/>
      <c r="AP690" s="16"/>
      <c r="AT690" s="16"/>
      <c r="AX690" s="16"/>
    </row>
    <row r="691" spans="2:50" x14ac:dyDescent="0.25">
      <c r="B691" s="16"/>
      <c r="F691" s="16"/>
      <c r="J691" s="16"/>
      <c r="N691" s="16"/>
      <c r="R691" s="16"/>
      <c r="V691" s="16"/>
      <c r="Z691" s="16"/>
      <c r="AD691" s="16"/>
      <c r="AH691" s="16"/>
      <c r="AL691" s="16"/>
      <c r="AP691" s="16"/>
      <c r="AT691" s="16"/>
      <c r="AX691" s="16"/>
    </row>
    <row r="692" spans="2:50" x14ac:dyDescent="0.25">
      <c r="B692" s="16"/>
      <c r="F692" s="16"/>
      <c r="J692" s="16"/>
      <c r="N692" s="16"/>
      <c r="R692" s="16"/>
      <c r="V692" s="16"/>
      <c r="Z692" s="16"/>
      <c r="AD692" s="16"/>
      <c r="AH692" s="16"/>
      <c r="AL692" s="16"/>
      <c r="AP692" s="16"/>
      <c r="AT692" s="16"/>
      <c r="AX692" s="16"/>
    </row>
    <row r="693" spans="2:50" x14ac:dyDescent="0.25">
      <c r="B693" s="16"/>
      <c r="F693" s="16"/>
      <c r="J693" s="16"/>
      <c r="N693" s="16"/>
      <c r="R693" s="16"/>
      <c r="V693" s="16"/>
      <c r="Z693" s="16"/>
      <c r="AD693" s="16"/>
      <c r="AH693" s="16"/>
      <c r="AL693" s="16"/>
      <c r="AP693" s="16"/>
      <c r="AT693" s="16"/>
      <c r="AX693" s="16"/>
    </row>
    <row r="694" spans="2:50" x14ac:dyDescent="0.25">
      <c r="B694" s="16"/>
      <c r="F694" s="16"/>
      <c r="J694" s="16"/>
      <c r="N694" s="16"/>
      <c r="R694" s="16"/>
      <c r="V694" s="16"/>
      <c r="Z694" s="16"/>
      <c r="AD694" s="16"/>
      <c r="AH694" s="16"/>
      <c r="AL694" s="16"/>
      <c r="AP694" s="16"/>
      <c r="AT694" s="16"/>
      <c r="AX694" s="16"/>
    </row>
    <row r="695" spans="2:50" x14ac:dyDescent="0.25">
      <c r="B695" s="16"/>
      <c r="F695" s="16"/>
      <c r="J695" s="16"/>
      <c r="N695" s="16"/>
      <c r="R695" s="16"/>
      <c r="V695" s="16"/>
      <c r="Z695" s="16"/>
      <c r="AD695" s="16"/>
      <c r="AH695" s="16"/>
      <c r="AL695" s="16"/>
      <c r="AP695" s="16"/>
      <c r="AT695" s="16"/>
      <c r="AX695" s="16"/>
    </row>
    <row r="696" spans="2:50" x14ac:dyDescent="0.25">
      <c r="B696" s="16"/>
      <c r="F696" s="16"/>
      <c r="J696" s="16"/>
      <c r="N696" s="16"/>
      <c r="R696" s="16"/>
      <c r="V696" s="16"/>
      <c r="Z696" s="16"/>
      <c r="AD696" s="16"/>
      <c r="AH696" s="16"/>
      <c r="AL696" s="16"/>
      <c r="AP696" s="16"/>
      <c r="AT696" s="16"/>
      <c r="AX696" s="16"/>
    </row>
    <row r="697" spans="2:50" x14ac:dyDescent="0.25">
      <c r="B697" s="16"/>
      <c r="F697" s="16"/>
      <c r="J697" s="16"/>
      <c r="N697" s="16"/>
      <c r="R697" s="16"/>
      <c r="V697" s="16"/>
      <c r="Z697" s="16"/>
      <c r="AD697" s="16"/>
      <c r="AH697" s="16"/>
      <c r="AL697" s="16"/>
      <c r="AP697" s="16"/>
      <c r="AT697" s="16"/>
      <c r="AX697" s="16"/>
    </row>
    <row r="698" spans="2:50" x14ac:dyDescent="0.25">
      <c r="B698" s="16"/>
      <c r="F698" s="16"/>
      <c r="J698" s="16"/>
      <c r="N698" s="16"/>
      <c r="R698" s="16"/>
      <c r="V698" s="16"/>
      <c r="Z698" s="16"/>
      <c r="AD698" s="16"/>
      <c r="AH698" s="16"/>
      <c r="AL698" s="16"/>
      <c r="AP698" s="16"/>
      <c r="AT698" s="16"/>
      <c r="AX698" s="16"/>
    </row>
    <row r="699" spans="2:50" x14ac:dyDescent="0.25">
      <c r="B699" s="16"/>
      <c r="F699" s="16"/>
      <c r="J699" s="16"/>
      <c r="N699" s="16"/>
      <c r="R699" s="16"/>
      <c r="V699" s="16"/>
      <c r="Z699" s="16"/>
      <c r="AD699" s="16"/>
      <c r="AH699" s="16"/>
      <c r="AL699" s="16"/>
      <c r="AP699" s="16"/>
      <c r="AT699" s="16"/>
      <c r="AX699" s="16"/>
    </row>
    <row r="700" spans="2:50" x14ac:dyDescent="0.25">
      <c r="B700" s="16"/>
      <c r="F700" s="16"/>
      <c r="J700" s="16"/>
      <c r="N700" s="16"/>
      <c r="R700" s="16"/>
      <c r="V700" s="16"/>
      <c r="Z700" s="16"/>
      <c r="AD700" s="16"/>
      <c r="AH700" s="16"/>
      <c r="AL700" s="16"/>
      <c r="AP700" s="16"/>
      <c r="AT700" s="16"/>
      <c r="AX700" s="16"/>
    </row>
    <row r="701" spans="2:50" x14ac:dyDescent="0.25">
      <c r="B701" s="16"/>
      <c r="F701" s="16"/>
      <c r="J701" s="16"/>
      <c r="N701" s="16"/>
      <c r="R701" s="16"/>
      <c r="V701" s="16"/>
      <c r="Z701" s="16"/>
      <c r="AD701" s="16"/>
      <c r="AH701" s="16"/>
      <c r="AL701" s="16"/>
      <c r="AP701" s="16"/>
      <c r="AT701" s="16"/>
      <c r="AX701" s="16"/>
    </row>
    <row r="702" spans="2:50" x14ac:dyDescent="0.25">
      <c r="B702" s="16"/>
      <c r="F702" s="16"/>
      <c r="J702" s="16"/>
      <c r="N702" s="16"/>
      <c r="R702" s="16"/>
      <c r="V702" s="16"/>
      <c r="Z702" s="16"/>
      <c r="AD702" s="16"/>
      <c r="AH702" s="16"/>
      <c r="AL702" s="16"/>
      <c r="AP702" s="16"/>
      <c r="AT702" s="16"/>
      <c r="AX702" s="16"/>
    </row>
    <row r="703" spans="2:50" x14ac:dyDescent="0.25">
      <c r="B703" s="16"/>
      <c r="F703" s="16"/>
      <c r="J703" s="16"/>
      <c r="N703" s="16"/>
      <c r="R703" s="16"/>
      <c r="V703" s="16"/>
      <c r="Z703" s="16"/>
      <c r="AD703" s="16"/>
      <c r="AH703" s="16"/>
      <c r="AL703" s="16"/>
      <c r="AP703" s="16"/>
      <c r="AT703" s="16"/>
      <c r="AX703" s="16"/>
    </row>
    <row r="704" spans="2:50" x14ac:dyDescent="0.25">
      <c r="B704" s="16"/>
      <c r="F704" s="16"/>
      <c r="J704" s="16"/>
      <c r="N704" s="16"/>
      <c r="R704" s="16"/>
      <c r="V704" s="16"/>
      <c r="Z704" s="16"/>
      <c r="AD704" s="16"/>
      <c r="AH704" s="16"/>
      <c r="AL704" s="16"/>
      <c r="AP704" s="16"/>
      <c r="AT704" s="16"/>
      <c r="AX704" s="16"/>
    </row>
    <row r="705" spans="2:50" x14ac:dyDescent="0.25">
      <c r="B705" s="16"/>
      <c r="F705" s="16"/>
      <c r="J705" s="16"/>
      <c r="N705" s="16"/>
      <c r="R705" s="16"/>
      <c r="V705" s="16"/>
      <c r="Z705" s="16"/>
      <c r="AD705" s="16"/>
      <c r="AH705" s="16"/>
      <c r="AL705" s="16"/>
      <c r="AP705" s="16"/>
      <c r="AT705" s="16"/>
      <c r="AX705" s="16"/>
    </row>
    <row r="706" spans="2:50" x14ac:dyDescent="0.25">
      <c r="B706" s="16"/>
      <c r="F706" s="16"/>
      <c r="J706" s="16"/>
      <c r="N706" s="16"/>
      <c r="R706" s="16"/>
      <c r="V706" s="16"/>
      <c r="Z706" s="16"/>
      <c r="AD706" s="16"/>
      <c r="AH706" s="16"/>
      <c r="AL706" s="16"/>
      <c r="AP706" s="16"/>
      <c r="AT706" s="16"/>
      <c r="AX706" s="16"/>
    </row>
    <row r="707" spans="2:50" x14ac:dyDescent="0.25">
      <c r="B707" s="16"/>
      <c r="F707" s="16"/>
      <c r="J707" s="16"/>
      <c r="N707" s="16"/>
      <c r="R707" s="16"/>
      <c r="V707" s="16"/>
      <c r="Z707" s="16"/>
      <c r="AD707" s="16"/>
      <c r="AH707" s="16"/>
      <c r="AL707" s="16"/>
      <c r="AP707" s="16"/>
      <c r="AT707" s="16"/>
      <c r="AX707" s="16"/>
    </row>
    <row r="708" spans="2:50" x14ac:dyDescent="0.25">
      <c r="B708" s="16"/>
      <c r="F708" s="16"/>
      <c r="J708" s="16"/>
      <c r="N708" s="16"/>
      <c r="R708" s="16"/>
      <c r="V708" s="16"/>
      <c r="Z708" s="16"/>
      <c r="AD708" s="16"/>
      <c r="AH708" s="16"/>
      <c r="AL708" s="16"/>
      <c r="AP708" s="16"/>
      <c r="AT708" s="16"/>
      <c r="AX708" s="16"/>
    </row>
    <row r="709" spans="2:50" x14ac:dyDescent="0.25">
      <c r="B709" s="16"/>
      <c r="F709" s="16"/>
      <c r="J709" s="16"/>
      <c r="N709" s="16"/>
      <c r="R709" s="16"/>
      <c r="V709" s="16"/>
      <c r="Z709" s="16"/>
      <c r="AD709" s="16"/>
      <c r="AH709" s="16"/>
      <c r="AL709" s="16"/>
      <c r="AP709" s="16"/>
      <c r="AT709" s="16"/>
      <c r="AX709" s="16"/>
    </row>
    <row r="710" spans="2:50" x14ac:dyDescent="0.25">
      <c r="B710" s="16"/>
      <c r="F710" s="16"/>
      <c r="J710" s="16"/>
      <c r="N710" s="16"/>
      <c r="R710" s="16"/>
      <c r="V710" s="16"/>
      <c r="Z710" s="16"/>
      <c r="AD710" s="16"/>
      <c r="AH710" s="16"/>
      <c r="AL710" s="16"/>
      <c r="AP710" s="16"/>
      <c r="AT710" s="16"/>
      <c r="AX710" s="16"/>
    </row>
    <row r="711" spans="2:50" x14ac:dyDescent="0.25">
      <c r="B711" s="16"/>
      <c r="F711" s="16"/>
      <c r="J711" s="16"/>
      <c r="N711" s="16"/>
      <c r="R711" s="16"/>
      <c r="V711" s="16"/>
      <c r="Z711" s="16"/>
      <c r="AD711" s="16"/>
      <c r="AH711" s="16"/>
      <c r="AL711" s="16"/>
      <c r="AP711" s="16"/>
      <c r="AT711" s="16"/>
      <c r="AX711" s="16"/>
    </row>
    <row r="712" spans="2:50" x14ac:dyDescent="0.25">
      <c r="B712" s="16"/>
      <c r="F712" s="16"/>
      <c r="J712" s="16"/>
      <c r="N712" s="16"/>
      <c r="R712" s="16"/>
      <c r="V712" s="16"/>
      <c r="Z712" s="16"/>
      <c r="AD712" s="16"/>
      <c r="AH712" s="16"/>
      <c r="AL712" s="16"/>
      <c r="AP712" s="16"/>
      <c r="AT712" s="16"/>
      <c r="AX712" s="16"/>
    </row>
    <row r="713" spans="2:50" x14ac:dyDescent="0.25">
      <c r="B713" s="16"/>
      <c r="F713" s="16"/>
      <c r="J713" s="16"/>
      <c r="N713" s="16"/>
      <c r="R713" s="16"/>
      <c r="V713" s="16"/>
      <c r="Z713" s="16"/>
      <c r="AD713" s="16"/>
      <c r="AH713" s="16"/>
      <c r="AL713" s="16"/>
      <c r="AP713" s="16"/>
      <c r="AT713" s="16"/>
      <c r="AX713" s="16"/>
    </row>
    <row r="714" spans="2:50" x14ac:dyDescent="0.25">
      <c r="B714" s="16"/>
      <c r="F714" s="16"/>
      <c r="J714" s="16"/>
      <c r="N714" s="16"/>
      <c r="R714" s="16"/>
      <c r="V714" s="16"/>
      <c r="Z714" s="16"/>
      <c r="AD714" s="16"/>
      <c r="AH714" s="16"/>
      <c r="AL714" s="16"/>
      <c r="AP714" s="16"/>
      <c r="AT714" s="16"/>
      <c r="AX714" s="16"/>
    </row>
    <row r="715" spans="2:50" x14ac:dyDescent="0.25">
      <c r="B715" s="16"/>
      <c r="F715" s="16"/>
      <c r="J715" s="16"/>
      <c r="N715" s="16"/>
      <c r="R715" s="16"/>
      <c r="V715" s="16"/>
      <c r="Z715" s="16"/>
      <c r="AD715" s="16"/>
      <c r="AH715" s="16"/>
      <c r="AL715" s="16"/>
      <c r="AP715" s="16"/>
      <c r="AT715" s="16"/>
      <c r="AX715" s="16"/>
    </row>
    <row r="716" spans="2:50" x14ac:dyDescent="0.25">
      <c r="B716" s="16"/>
      <c r="F716" s="16"/>
      <c r="J716" s="16"/>
      <c r="N716" s="16"/>
      <c r="R716" s="16"/>
      <c r="V716" s="16"/>
      <c r="Z716" s="16"/>
      <c r="AD716" s="16"/>
      <c r="AH716" s="16"/>
      <c r="AL716" s="16"/>
      <c r="AP716" s="16"/>
      <c r="AT716" s="16"/>
      <c r="AX716" s="16"/>
    </row>
    <row r="717" spans="2:50" x14ac:dyDescent="0.25">
      <c r="B717" s="16"/>
      <c r="F717" s="16"/>
      <c r="J717" s="16"/>
      <c r="N717" s="16"/>
      <c r="R717" s="16"/>
      <c r="V717" s="16"/>
      <c r="Z717" s="16"/>
      <c r="AD717" s="16"/>
      <c r="AH717" s="16"/>
      <c r="AL717" s="16"/>
      <c r="AP717" s="16"/>
      <c r="AT717" s="16"/>
      <c r="AX717" s="16"/>
    </row>
    <row r="718" spans="2:50" x14ac:dyDescent="0.25">
      <c r="B718" s="16"/>
      <c r="F718" s="16"/>
      <c r="J718" s="16"/>
      <c r="N718" s="16"/>
      <c r="R718" s="16"/>
      <c r="V718" s="16"/>
      <c r="Z718" s="16"/>
      <c r="AD718" s="16"/>
      <c r="AH718" s="16"/>
      <c r="AL718" s="16"/>
      <c r="AP718" s="16"/>
      <c r="AT718" s="16"/>
      <c r="AX718" s="16"/>
    </row>
    <row r="719" spans="2:50" x14ac:dyDescent="0.25">
      <c r="B719" s="16"/>
      <c r="F719" s="16"/>
      <c r="J719" s="16"/>
      <c r="N719" s="16"/>
      <c r="R719" s="16"/>
      <c r="V719" s="16"/>
      <c r="Z719" s="16"/>
      <c r="AD719" s="16"/>
      <c r="AH719" s="16"/>
      <c r="AL719" s="16"/>
      <c r="AP719" s="16"/>
      <c r="AT719" s="16"/>
      <c r="AX719" s="16"/>
    </row>
    <row r="720" spans="2:50" x14ac:dyDescent="0.25">
      <c r="B720" s="16"/>
      <c r="F720" s="16"/>
      <c r="J720" s="16"/>
      <c r="N720" s="16"/>
      <c r="R720" s="16"/>
      <c r="V720" s="16"/>
      <c r="Z720" s="16"/>
      <c r="AD720" s="16"/>
      <c r="AH720" s="16"/>
      <c r="AL720" s="16"/>
      <c r="AP720" s="16"/>
      <c r="AT720" s="16"/>
      <c r="AX720" s="16"/>
    </row>
    <row r="721" spans="2:50" x14ac:dyDescent="0.25">
      <c r="B721" s="16"/>
      <c r="F721" s="16"/>
      <c r="J721" s="16"/>
      <c r="N721" s="16"/>
      <c r="R721" s="16"/>
      <c r="V721" s="16"/>
      <c r="Z721" s="16"/>
      <c r="AD721" s="16"/>
      <c r="AH721" s="16"/>
      <c r="AL721" s="16"/>
      <c r="AP721" s="16"/>
      <c r="AT721" s="16"/>
      <c r="AX721" s="16"/>
    </row>
    <row r="722" spans="2:50" x14ac:dyDescent="0.25">
      <c r="B722" s="16"/>
      <c r="F722" s="16"/>
      <c r="J722" s="16"/>
      <c r="N722" s="16"/>
      <c r="R722" s="16"/>
      <c r="V722" s="16"/>
      <c r="Z722" s="16"/>
      <c r="AD722" s="16"/>
      <c r="AH722" s="16"/>
      <c r="AL722" s="16"/>
      <c r="AP722" s="16"/>
      <c r="AT722" s="16"/>
      <c r="AX722" s="16"/>
    </row>
    <row r="723" spans="2:50" x14ac:dyDescent="0.25">
      <c r="B723" s="16"/>
      <c r="F723" s="16"/>
      <c r="J723" s="16"/>
      <c r="N723" s="16"/>
      <c r="R723" s="16"/>
      <c r="V723" s="16"/>
      <c r="Z723" s="16"/>
      <c r="AD723" s="16"/>
      <c r="AH723" s="16"/>
      <c r="AL723" s="16"/>
      <c r="AP723" s="16"/>
      <c r="AT723" s="16"/>
      <c r="AX723" s="16"/>
    </row>
    <row r="724" spans="2:50" x14ac:dyDescent="0.25">
      <c r="B724" s="16"/>
      <c r="F724" s="16"/>
      <c r="J724" s="16"/>
      <c r="N724" s="16"/>
      <c r="R724" s="16"/>
      <c r="V724" s="16"/>
      <c r="Z724" s="16"/>
      <c r="AD724" s="16"/>
      <c r="AH724" s="16"/>
      <c r="AL724" s="16"/>
      <c r="AP724" s="16"/>
      <c r="AT724" s="16"/>
      <c r="AX724" s="16"/>
    </row>
    <row r="725" spans="2:50" x14ac:dyDescent="0.25">
      <c r="B725" s="16"/>
      <c r="F725" s="16"/>
      <c r="J725" s="16"/>
      <c r="N725" s="16"/>
      <c r="R725" s="16"/>
      <c r="V725" s="16"/>
      <c r="Z725" s="16"/>
      <c r="AD725" s="16"/>
      <c r="AH725" s="16"/>
      <c r="AL725" s="16"/>
      <c r="AP725" s="16"/>
      <c r="AT725" s="16"/>
      <c r="AX725" s="16"/>
    </row>
    <row r="726" spans="2:50" x14ac:dyDescent="0.25">
      <c r="B726" s="16"/>
      <c r="F726" s="16"/>
      <c r="J726" s="16"/>
      <c r="N726" s="16"/>
      <c r="R726" s="16"/>
      <c r="V726" s="16"/>
      <c r="Z726" s="16"/>
      <c r="AD726" s="16"/>
      <c r="AH726" s="16"/>
      <c r="AL726" s="16"/>
      <c r="AP726" s="16"/>
      <c r="AT726" s="16"/>
      <c r="AX726" s="16"/>
    </row>
    <row r="727" spans="2:50" x14ac:dyDescent="0.25">
      <c r="B727" s="16"/>
      <c r="F727" s="16"/>
      <c r="J727" s="16"/>
      <c r="N727" s="16"/>
      <c r="R727" s="16"/>
      <c r="V727" s="16"/>
      <c r="Z727" s="16"/>
      <c r="AD727" s="16"/>
      <c r="AH727" s="16"/>
      <c r="AL727" s="16"/>
      <c r="AP727" s="16"/>
      <c r="AT727" s="16"/>
      <c r="AX727" s="16"/>
    </row>
    <row r="728" spans="2:50" x14ac:dyDescent="0.25">
      <c r="B728" s="16"/>
      <c r="F728" s="16"/>
      <c r="J728" s="16"/>
      <c r="N728" s="16"/>
      <c r="R728" s="16"/>
      <c r="V728" s="16"/>
      <c r="Z728" s="16"/>
      <c r="AD728" s="16"/>
      <c r="AH728" s="16"/>
      <c r="AL728" s="16"/>
      <c r="AP728" s="16"/>
      <c r="AT728" s="16"/>
      <c r="AX728" s="16"/>
    </row>
    <row r="729" spans="2:50" x14ac:dyDescent="0.25">
      <c r="B729" s="16"/>
      <c r="F729" s="16"/>
      <c r="J729" s="16"/>
      <c r="N729" s="16"/>
      <c r="R729" s="16"/>
      <c r="V729" s="16"/>
      <c r="Z729" s="16"/>
      <c r="AD729" s="16"/>
      <c r="AH729" s="16"/>
      <c r="AL729" s="16"/>
      <c r="AP729" s="16"/>
      <c r="AT729" s="16"/>
      <c r="AX729" s="16"/>
    </row>
    <row r="730" spans="2:50" x14ac:dyDescent="0.25">
      <c r="B730" s="16"/>
      <c r="F730" s="16"/>
      <c r="J730" s="16"/>
      <c r="N730" s="16"/>
      <c r="R730" s="16"/>
      <c r="V730" s="16"/>
      <c r="Z730" s="16"/>
      <c r="AD730" s="16"/>
      <c r="AH730" s="16"/>
      <c r="AL730" s="16"/>
      <c r="AP730" s="16"/>
      <c r="AT730" s="16"/>
      <c r="AX730" s="16"/>
    </row>
    <row r="731" spans="2:50" x14ac:dyDescent="0.25">
      <c r="B731" s="16"/>
      <c r="F731" s="16"/>
      <c r="J731" s="16"/>
      <c r="N731" s="16"/>
      <c r="R731" s="16"/>
      <c r="V731" s="16"/>
      <c r="Z731" s="16"/>
      <c r="AD731" s="16"/>
      <c r="AH731" s="16"/>
      <c r="AL731" s="16"/>
      <c r="AP731" s="16"/>
      <c r="AT731" s="16"/>
      <c r="AX731" s="16"/>
    </row>
    <row r="732" spans="2:50" x14ac:dyDescent="0.25">
      <c r="B732" s="16"/>
      <c r="F732" s="16"/>
      <c r="J732" s="16"/>
      <c r="N732" s="16"/>
      <c r="R732" s="16"/>
      <c r="V732" s="16"/>
      <c r="Z732" s="16"/>
      <c r="AD732" s="16"/>
      <c r="AH732" s="16"/>
      <c r="AL732" s="16"/>
      <c r="AP732" s="16"/>
      <c r="AT732" s="16"/>
      <c r="AX732" s="16"/>
    </row>
    <row r="733" spans="2:50" x14ac:dyDescent="0.25">
      <c r="B733" s="16"/>
      <c r="F733" s="16"/>
      <c r="J733" s="16"/>
      <c r="N733" s="16"/>
      <c r="R733" s="16"/>
      <c r="V733" s="16"/>
      <c r="Z733" s="16"/>
      <c r="AD733" s="16"/>
      <c r="AH733" s="16"/>
      <c r="AL733" s="16"/>
      <c r="AP733" s="16"/>
      <c r="AT733" s="16"/>
      <c r="AX733" s="16"/>
    </row>
    <row r="734" spans="2:50" x14ac:dyDescent="0.25">
      <c r="B734" s="16"/>
      <c r="F734" s="16"/>
      <c r="J734" s="16"/>
      <c r="N734" s="16"/>
      <c r="R734" s="16"/>
      <c r="V734" s="16"/>
      <c r="Z734" s="16"/>
      <c r="AD734" s="16"/>
      <c r="AH734" s="16"/>
      <c r="AL734" s="16"/>
      <c r="AP734" s="16"/>
      <c r="AT734" s="16"/>
      <c r="AX734" s="16"/>
    </row>
    <row r="735" spans="2:50" x14ac:dyDescent="0.25">
      <c r="B735" s="16"/>
      <c r="F735" s="16"/>
      <c r="J735" s="16"/>
      <c r="N735" s="16"/>
      <c r="R735" s="16"/>
      <c r="V735" s="16"/>
      <c r="Z735" s="16"/>
      <c r="AD735" s="16"/>
      <c r="AH735" s="16"/>
      <c r="AL735" s="16"/>
      <c r="AP735" s="16"/>
      <c r="AT735" s="16"/>
      <c r="AX735" s="16"/>
    </row>
    <row r="736" spans="2:50" x14ac:dyDescent="0.25">
      <c r="B736" s="16"/>
      <c r="F736" s="16"/>
      <c r="J736" s="16"/>
      <c r="N736" s="16"/>
      <c r="R736" s="16"/>
      <c r="V736" s="16"/>
      <c r="Z736" s="16"/>
      <c r="AD736" s="16"/>
      <c r="AH736" s="16"/>
      <c r="AL736" s="16"/>
      <c r="AP736" s="16"/>
      <c r="AT736" s="16"/>
      <c r="AX736" s="16"/>
    </row>
    <row r="737" spans="2:50" x14ac:dyDescent="0.25">
      <c r="B737" s="16"/>
      <c r="F737" s="16"/>
      <c r="J737" s="16"/>
      <c r="N737" s="16"/>
      <c r="R737" s="16"/>
      <c r="V737" s="16"/>
      <c r="Z737" s="16"/>
      <c r="AD737" s="16"/>
      <c r="AH737" s="16"/>
      <c r="AL737" s="16"/>
      <c r="AP737" s="16"/>
      <c r="AT737" s="16"/>
      <c r="AX737" s="16"/>
    </row>
    <row r="738" spans="2:50" x14ac:dyDescent="0.25">
      <c r="B738" s="16"/>
      <c r="F738" s="16"/>
      <c r="J738" s="16"/>
      <c r="N738" s="16"/>
      <c r="R738" s="16"/>
      <c r="V738" s="16"/>
      <c r="Z738" s="16"/>
      <c r="AD738" s="16"/>
      <c r="AH738" s="16"/>
      <c r="AL738" s="16"/>
      <c r="AP738" s="16"/>
      <c r="AT738" s="16"/>
      <c r="AX738" s="16"/>
    </row>
    <row r="739" spans="2:50" x14ac:dyDescent="0.25">
      <c r="B739" s="16"/>
      <c r="F739" s="16"/>
      <c r="J739" s="16"/>
      <c r="N739" s="16"/>
      <c r="R739" s="16"/>
      <c r="V739" s="16"/>
      <c r="Z739" s="16"/>
      <c r="AD739" s="16"/>
      <c r="AH739" s="16"/>
      <c r="AL739" s="16"/>
      <c r="AP739" s="16"/>
      <c r="AT739" s="16"/>
      <c r="AX739" s="16"/>
    </row>
    <row r="740" spans="2:50" x14ac:dyDescent="0.25">
      <c r="B740" s="16"/>
      <c r="F740" s="16"/>
      <c r="J740" s="16"/>
      <c r="N740" s="16"/>
      <c r="R740" s="16"/>
      <c r="V740" s="16"/>
      <c r="Z740" s="16"/>
      <c r="AD740" s="16"/>
      <c r="AH740" s="16"/>
      <c r="AL740" s="16"/>
      <c r="AP740" s="16"/>
      <c r="AT740" s="16"/>
      <c r="AX740" s="16"/>
    </row>
    <row r="741" spans="2:50" x14ac:dyDescent="0.25">
      <c r="B741" s="16"/>
      <c r="F741" s="16"/>
      <c r="J741" s="16"/>
      <c r="N741" s="16"/>
      <c r="R741" s="16"/>
      <c r="V741" s="16"/>
      <c r="Z741" s="16"/>
      <c r="AD741" s="16"/>
      <c r="AH741" s="16"/>
      <c r="AL741" s="16"/>
      <c r="AP741" s="16"/>
      <c r="AT741" s="16"/>
      <c r="AX741" s="16"/>
    </row>
    <row r="742" spans="2:50" x14ac:dyDescent="0.25">
      <c r="B742" s="16"/>
      <c r="F742" s="16"/>
      <c r="J742" s="16"/>
      <c r="N742" s="16"/>
      <c r="R742" s="16"/>
      <c r="V742" s="16"/>
      <c r="Z742" s="16"/>
      <c r="AD742" s="16"/>
      <c r="AH742" s="16"/>
      <c r="AL742" s="16"/>
      <c r="AP742" s="16"/>
      <c r="AT742" s="16"/>
      <c r="AX742" s="16"/>
    </row>
    <row r="743" spans="2:50" x14ac:dyDescent="0.25">
      <c r="B743" s="16"/>
      <c r="F743" s="16"/>
      <c r="J743" s="16"/>
      <c r="N743" s="16"/>
      <c r="R743" s="16"/>
      <c r="V743" s="16"/>
      <c r="Z743" s="16"/>
      <c r="AD743" s="16"/>
      <c r="AH743" s="16"/>
      <c r="AL743" s="16"/>
      <c r="AP743" s="16"/>
      <c r="AT743" s="16"/>
      <c r="AX743" s="16"/>
    </row>
    <row r="744" spans="2:50" x14ac:dyDescent="0.25">
      <c r="B744" s="16"/>
      <c r="F744" s="16"/>
      <c r="J744" s="16"/>
      <c r="N744" s="16"/>
      <c r="R744" s="16"/>
      <c r="V744" s="16"/>
      <c r="Z744" s="16"/>
      <c r="AD744" s="16"/>
      <c r="AH744" s="16"/>
      <c r="AL744" s="16"/>
      <c r="AP744" s="16"/>
      <c r="AT744" s="16"/>
      <c r="AX744" s="16"/>
    </row>
    <row r="745" spans="2:50" x14ac:dyDescent="0.25">
      <c r="B745" s="16"/>
      <c r="F745" s="16"/>
      <c r="J745" s="16"/>
      <c r="N745" s="16"/>
      <c r="R745" s="16"/>
      <c r="V745" s="16"/>
      <c r="Z745" s="16"/>
      <c r="AD745" s="16"/>
      <c r="AH745" s="16"/>
      <c r="AL745" s="16"/>
      <c r="AP745" s="16"/>
      <c r="AT745" s="16"/>
      <c r="AX745" s="16"/>
    </row>
    <row r="746" spans="2:50" x14ac:dyDescent="0.25">
      <c r="B746" s="16"/>
      <c r="F746" s="16"/>
      <c r="J746" s="16"/>
      <c r="N746" s="16"/>
      <c r="R746" s="16"/>
      <c r="V746" s="16"/>
      <c r="Z746" s="16"/>
      <c r="AD746" s="16"/>
      <c r="AH746" s="16"/>
      <c r="AL746" s="16"/>
      <c r="AP746" s="16"/>
      <c r="AT746" s="16"/>
      <c r="AX746" s="16"/>
    </row>
    <row r="747" spans="2:50" x14ac:dyDescent="0.25">
      <c r="B747" s="16"/>
      <c r="F747" s="16"/>
      <c r="J747" s="16"/>
      <c r="N747" s="16"/>
      <c r="R747" s="16"/>
      <c r="V747" s="16"/>
      <c r="Z747" s="16"/>
      <c r="AD747" s="16"/>
      <c r="AH747" s="16"/>
      <c r="AL747" s="16"/>
      <c r="AP747" s="16"/>
      <c r="AT747" s="16"/>
      <c r="AX747" s="16"/>
    </row>
    <row r="748" spans="2:50" x14ac:dyDescent="0.25">
      <c r="B748" s="16"/>
      <c r="F748" s="16"/>
      <c r="J748" s="16"/>
      <c r="N748" s="16"/>
      <c r="R748" s="16"/>
      <c r="V748" s="16"/>
      <c r="Z748" s="16"/>
      <c r="AD748" s="16"/>
      <c r="AH748" s="16"/>
      <c r="AL748" s="16"/>
      <c r="AP748" s="16"/>
      <c r="AT748" s="16"/>
      <c r="AX748" s="16"/>
    </row>
    <row r="749" spans="2:50" x14ac:dyDescent="0.25">
      <c r="B749" s="16"/>
      <c r="F749" s="16"/>
      <c r="J749" s="16"/>
      <c r="N749" s="16"/>
      <c r="R749" s="16"/>
      <c r="V749" s="16"/>
      <c r="Z749" s="16"/>
      <c r="AD749" s="16"/>
      <c r="AH749" s="16"/>
      <c r="AL749" s="16"/>
      <c r="AP749" s="16"/>
      <c r="AT749" s="16"/>
      <c r="AX749" s="16"/>
    </row>
    <row r="750" spans="2:50" x14ac:dyDescent="0.25">
      <c r="B750" s="16"/>
      <c r="F750" s="16"/>
      <c r="J750" s="16"/>
      <c r="N750" s="16"/>
      <c r="R750" s="16"/>
      <c r="V750" s="16"/>
      <c r="Z750" s="16"/>
      <c r="AD750" s="16"/>
      <c r="AH750" s="16"/>
      <c r="AL750" s="16"/>
      <c r="AP750" s="16"/>
      <c r="AT750" s="16"/>
      <c r="AX750" s="16"/>
    </row>
    <row r="751" spans="2:50" x14ac:dyDescent="0.25">
      <c r="B751" s="16"/>
      <c r="F751" s="16"/>
      <c r="J751" s="16"/>
      <c r="N751" s="16"/>
      <c r="R751" s="16"/>
      <c r="V751" s="16"/>
      <c r="Z751" s="16"/>
      <c r="AD751" s="16"/>
      <c r="AH751" s="16"/>
      <c r="AL751" s="16"/>
      <c r="AP751" s="16"/>
      <c r="AT751" s="16"/>
      <c r="AX751" s="16"/>
    </row>
    <row r="752" spans="2:50" x14ac:dyDescent="0.25">
      <c r="B752" s="16"/>
      <c r="F752" s="16"/>
      <c r="J752" s="16"/>
      <c r="N752" s="16"/>
      <c r="R752" s="16"/>
      <c r="V752" s="16"/>
      <c r="Z752" s="16"/>
      <c r="AD752" s="16"/>
      <c r="AH752" s="16"/>
      <c r="AL752" s="16"/>
      <c r="AP752" s="16"/>
      <c r="AT752" s="16"/>
      <c r="AX752" s="16"/>
    </row>
    <row r="753" spans="2:50" x14ac:dyDescent="0.25">
      <c r="B753" s="16"/>
      <c r="F753" s="16"/>
      <c r="J753" s="16"/>
      <c r="N753" s="16"/>
      <c r="R753" s="16"/>
      <c r="V753" s="16"/>
      <c r="Z753" s="16"/>
      <c r="AD753" s="16"/>
      <c r="AH753" s="16"/>
      <c r="AL753" s="16"/>
      <c r="AP753" s="16"/>
      <c r="AT753" s="16"/>
      <c r="AX753" s="16"/>
    </row>
    <row r="754" spans="2:50" x14ac:dyDescent="0.25">
      <c r="B754" s="16"/>
      <c r="F754" s="16"/>
      <c r="J754" s="16"/>
      <c r="N754" s="16"/>
      <c r="R754" s="16"/>
      <c r="V754" s="16"/>
      <c r="Z754" s="16"/>
      <c r="AD754" s="16"/>
      <c r="AH754" s="16"/>
      <c r="AL754" s="16"/>
      <c r="AP754" s="16"/>
      <c r="AT754" s="16"/>
      <c r="AX754" s="16"/>
    </row>
    <row r="755" spans="2:50" x14ac:dyDescent="0.25">
      <c r="B755" s="16"/>
      <c r="F755" s="16"/>
      <c r="J755" s="16"/>
      <c r="N755" s="16"/>
      <c r="R755" s="16"/>
      <c r="V755" s="16"/>
      <c r="Z755" s="16"/>
      <c r="AD755" s="16"/>
      <c r="AH755" s="16"/>
      <c r="AL755" s="16"/>
      <c r="AP755" s="16"/>
      <c r="AT755" s="16"/>
      <c r="AX755" s="16"/>
    </row>
    <row r="756" spans="2:50" x14ac:dyDescent="0.25">
      <c r="B756" s="16"/>
      <c r="F756" s="16"/>
      <c r="J756" s="16"/>
      <c r="N756" s="16"/>
      <c r="R756" s="16"/>
      <c r="V756" s="16"/>
      <c r="Z756" s="16"/>
      <c r="AD756" s="16"/>
      <c r="AH756" s="16"/>
      <c r="AL756" s="16"/>
      <c r="AP756" s="16"/>
      <c r="AT756" s="16"/>
      <c r="AX756" s="16"/>
    </row>
    <row r="757" spans="2:50" x14ac:dyDescent="0.25">
      <c r="B757" s="16"/>
      <c r="F757" s="16"/>
      <c r="J757" s="16"/>
      <c r="N757" s="16"/>
      <c r="R757" s="16"/>
      <c r="V757" s="16"/>
      <c r="Z757" s="16"/>
      <c r="AD757" s="16"/>
      <c r="AH757" s="16"/>
      <c r="AL757" s="16"/>
      <c r="AP757" s="16"/>
      <c r="AT757" s="16"/>
      <c r="AX757" s="16"/>
    </row>
    <row r="758" spans="2:50" x14ac:dyDescent="0.25">
      <c r="B758" s="16"/>
      <c r="F758" s="16"/>
      <c r="J758" s="16"/>
      <c r="N758" s="16"/>
      <c r="R758" s="16"/>
      <c r="V758" s="16"/>
      <c r="Z758" s="16"/>
      <c r="AD758" s="16"/>
      <c r="AH758" s="16"/>
      <c r="AL758" s="16"/>
      <c r="AP758" s="16"/>
      <c r="AT758" s="16"/>
      <c r="AX758" s="16"/>
    </row>
    <row r="759" spans="2:50" x14ac:dyDescent="0.25">
      <c r="B759" s="16"/>
      <c r="F759" s="16"/>
      <c r="J759" s="16"/>
      <c r="N759" s="16"/>
      <c r="R759" s="16"/>
      <c r="V759" s="16"/>
      <c r="Z759" s="16"/>
      <c r="AD759" s="16"/>
      <c r="AH759" s="16"/>
      <c r="AL759" s="16"/>
      <c r="AP759" s="16"/>
      <c r="AT759" s="16"/>
      <c r="AX759" s="16"/>
    </row>
    <row r="760" spans="2:50" x14ac:dyDescent="0.25">
      <c r="B760" s="16"/>
      <c r="F760" s="16"/>
      <c r="J760" s="16"/>
      <c r="N760" s="16"/>
      <c r="R760" s="16"/>
      <c r="V760" s="16"/>
      <c r="Z760" s="16"/>
      <c r="AD760" s="16"/>
      <c r="AH760" s="16"/>
      <c r="AL760" s="16"/>
      <c r="AP760" s="16"/>
      <c r="AT760" s="16"/>
      <c r="AX760" s="16"/>
    </row>
    <row r="761" spans="2:50" x14ac:dyDescent="0.25">
      <c r="B761" s="16"/>
      <c r="F761" s="16"/>
      <c r="J761" s="16"/>
      <c r="N761" s="16"/>
      <c r="R761" s="16"/>
      <c r="V761" s="16"/>
      <c r="Z761" s="16"/>
      <c r="AD761" s="16"/>
      <c r="AH761" s="16"/>
      <c r="AL761" s="16"/>
      <c r="AP761" s="16"/>
      <c r="AT761" s="16"/>
      <c r="AX761" s="16"/>
    </row>
    <row r="762" spans="2:50" x14ac:dyDescent="0.25">
      <c r="B762" s="16"/>
      <c r="F762" s="16"/>
      <c r="J762" s="16"/>
      <c r="N762" s="16"/>
      <c r="R762" s="16"/>
      <c r="V762" s="16"/>
      <c r="Z762" s="16"/>
      <c r="AD762" s="16"/>
      <c r="AH762" s="16"/>
      <c r="AL762" s="16"/>
      <c r="AP762" s="16"/>
      <c r="AT762" s="16"/>
      <c r="AX762" s="16"/>
    </row>
    <row r="763" spans="2:50" x14ac:dyDescent="0.25">
      <c r="B763" s="16"/>
      <c r="F763" s="16"/>
      <c r="J763" s="16"/>
      <c r="N763" s="16"/>
      <c r="R763" s="16"/>
      <c r="V763" s="16"/>
      <c r="Z763" s="16"/>
      <c r="AD763" s="16"/>
      <c r="AH763" s="16"/>
      <c r="AL763" s="16"/>
      <c r="AP763" s="16"/>
      <c r="AT763" s="16"/>
      <c r="AX763" s="16"/>
    </row>
    <row r="764" spans="2:50" x14ac:dyDescent="0.25">
      <c r="B764" s="16"/>
      <c r="F764" s="16"/>
      <c r="J764" s="16"/>
      <c r="N764" s="16"/>
      <c r="R764" s="16"/>
      <c r="V764" s="16"/>
      <c r="Z764" s="16"/>
      <c r="AD764" s="16"/>
      <c r="AH764" s="16"/>
      <c r="AL764" s="16"/>
      <c r="AP764" s="16"/>
      <c r="AT764" s="16"/>
      <c r="AX764" s="16"/>
    </row>
    <row r="765" spans="2:50" x14ac:dyDescent="0.25">
      <c r="B765" s="16"/>
      <c r="F765" s="16"/>
      <c r="J765" s="16"/>
      <c r="N765" s="16"/>
      <c r="R765" s="16"/>
      <c r="V765" s="16"/>
      <c r="Z765" s="16"/>
      <c r="AD765" s="16"/>
      <c r="AH765" s="16"/>
      <c r="AL765" s="16"/>
      <c r="AP765" s="16"/>
      <c r="AT765" s="16"/>
      <c r="AX765" s="16"/>
    </row>
    <row r="766" spans="2:50" x14ac:dyDescent="0.25">
      <c r="B766" s="16"/>
      <c r="F766" s="16"/>
      <c r="J766" s="16"/>
      <c r="N766" s="16"/>
      <c r="R766" s="16"/>
      <c r="V766" s="16"/>
      <c r="Z766" s="16"/>
      <c r="AD766" s="16"/>
      <c r="AH766" s="16"/>
      <c r="AL766" s="16"/>
      <c r="AP766" s="16"/>
      <c r="AT766" s="16"/>
      <c r="AX766" s="16"/>
    </row>
    <row r="767" spans="2:50" x14ac:dyDescent="0.25">
      <c r="B767" s="16"/>
      <c r="F767" s="16"/>
      <c r="J767" s="16"/>
      <c r="N767" s="16"/>
      <c r="R767" s="16"/>
      <c r="V767" s="16"/>
      <c r="Z767" s="16"/>
      <c r="AD767" s="16"/>
      <c r="AH767" s="16"/>
      <c r="AL767" s="16"/>
      <c r="AP767" s="16"/>
      <c r="AT767" s="16"/>
      <c r="AX767" s="16"/>
    </row>
    <row r="768" spans="2:50" x14ac:dyDescent="0.25">
      <c r="B768" s="16"/>
      <c r="F768" s="16"/>
      <c r="J768" s="16"/>
      <c r="N768" s="16"/>
      <c r="R768" s="16"/>
      <c r="V768" s="16"/>
      <c r="Z768" s="16"/>
      <c r="AD768" s="16"/>
      <c r="AH768" s="16"/>
      <c r="AL768" s="16"/>
      <c r="AP768" s="16"/>
      <c r="AT768" s="16"/>
      <c r="AX768" s="16"/>
    </row>
    <row r="769" spans="2:50" x14ac:dyDescent="0.25">
      <c r="B769" s="16"/>
      <c r="F769" s="16"/>
      <c r="J769" s="16"/>
      <c r="N769" s="16"/>
      <c r="R769" s="16"/>
      <c r="V769" s="16"/>
      <c r="Z769" s="16"/>
      <c r="AD769" s="16"/>
      <c r="AH769" s="16"/>
      <c r="AL769" s="16"/>
      <c r="AP769" s="16"/>
      <c r="AT769" s="16"/>
      <c r="AX769" s="16"/>
    </row>
    <row r="770" spans="2:50" x14ac:dyDescent="0.25">
      <c r="B770" s="16"/>
      <c r="F770" s="16"/>
      <c r="J770" s="16"/>
      <c r="N770" s="16"/>
      <c r="R770" s="16"/>
      <c r="V770" s="16"/>
      <c r="Z770" s="16"/>
      <c r="AD770" s="16"/>
      <c r="AH770" s="16"/>
      <c r="AL770" s="16"/>
      <c r="AP770" s="16"/>
      <c r="AT770" s="16"/>
      <c r="AX770" s="16"/>
    </row>
    <row r="771" spans="2:50" x14ac:dyDescent="0.25">
      <c r="B771" s="16"/>
      <c r="F771" s="16"/>
      <c r="J771" s="16"/>
      <c r="N771" s="16"/>
      <c r="R771" s="16"/>
      <c r="V771" s="16"/>
      <c r="Z771" s="16"/>
      <c r="AD771" s="16"/>
      <c r="AH771" s="16"/>
      <c r="AL771" s="16"/>
      <c r="AP771" s="16"/>
      <c r="AT771" s="16"/>
      <c r="AX771" s="16"/>
    </row>
    <row r="772" spans="2:50" x14ac:dyDescent="0.25">
      <c r="B772" s="16"/>
      <c r="F772" s="16"/>
      <c r="J772" s="16"/>
      <c r="N772" s="16"/>
      <c r="R772" s="16"/>
      <c r="V772" s="16"/>
      <c r="Z772" s="16"/>
      <c r="AD772" s="16"/>
      <c r="AH772" s="16"/>
      <c r="AL772" s="16"/>
      <c r="AP772" s="16"/>
      <c r="AT772" s="16"/>
      <c r="AX772" s="16"/>
    </row>
    <row r="773" spans="2:50" x14ac:dyDescent="0.25">
      <c r="B773" s="16"/>
      <c r="F773" s="16"/>
      <c r="J773" s="16"/>
      <c r="N773" s="16"/>
      <c r="R773" s="16"/>
      <c r="V773" s="16"/>
      <c r="Z773" s="16"/>
      <c r="AD773" s="16"/>
      <c r="AH773" s="16"/>
      <c r="AL773" s="16"/>
      <c r="AP773" s="16"/>
      <c r="AT773" s="16"/>
      <c r="AX773" s="16"/>
    </row>
    <row r="774" spans="2:50" x14ac:dyDescent="0.25">
      <c r="B774" s="16"/>
      <c r="F774" s="16"/>
      <c r="J774" s="16"/>
      <c r="N774" s="16"/>
      <c r="R774" s="16"/>
      <c r="V774" s="16"/>
      <c r="Z774" s="16"/>
      <c r="AD774" s="16"/>
      <c r="AH774" s="16"/>
      <c r="AL774" s="16"/>
      <c r="AP774" s="16"/>
      <c r="AT774" s="16"/>
      <c r="AX774" s="16"/>
    </row>
    <row r="775" spans="2:50" x14ac:dyDescent="0.25">
      <c r="B775" s="16"/>
      <c r="F775" s="16"/>
      <c r="J775" s="16"/>
      <c r="N775" s="16"/>
      <c r="R775" s="16"/>
      <c r="V775" s="16"/>
      <c r="Z775" s="16"/>
      <c r="AD775" s="16"/>
      <c r="AH775" s="16"/>
      <c r="AL775" s="16"/>
      <c r="AP775" s="16"/>
      <c r="AT775" s="16"/>
      <c r="AX775" s="16"/>
    </row>
    <row r="776" spans="2:50" x14ac:dyDescent="0.25">
      <c r="B776" s="16"/>
      <c r="F776" s="16"/>
      <c r="J776" s="16"/>
      <c r="N776" s="16"/>
      <c r="R776" s="16"/>
      <c r="V776" s="16"/>
      <c r="Z776" s="16"/>
      <c r="AD776" s="16"/>
      <c r="AH776" s="16"/>
      <c r="AL776" s="16"/>
      <c r="AP776" s="16"/>
      <c r="AT776" s="16"/>
      <c r="AX776" s="16"/>
    </row>
    <row r="777" spans="2:50" x14ac:dyDescent="0.25">
      <c r="B777" s="16"/>
      <c r="F777" s="16"/>
      <c r="J777" s="16"/>
      <c r="N777" s="16"/>
      <c r="R777" s="16"/>
      <c r="V777" s="16"/>
      <c r="Z777" s="16"/>
      <c r="AD777" s="16"/>
      <c r="AH777" s="16"/>
      <c r="AL777" s="16"/>
      <c r="AP777" s="16"/>
      <c r="AT777" s="16"/>
      <c r="AX777" s="16"/>
    </row>
    <row r="778" spans="2:50" x14ac:dyDescent="0.25">
      <c r="B778" s="16"/>
      <c r="F778" s="16"/>
      <c r="J778" s="16"/>
      <c r="N778" s="16"/>
      <c r="R778" s="16"/>
      <c r="V778" s="16"/>
      <c r="Z778" s="16"/>
      <c r="AD778" s="16"/>
      <c r="AH778" s="16"/>
      <c r="AL778" s="16"/>
      <c r="AP778" s="16"/>
      <c r="AT778" s="16"/>
      <c r="AX778" s="16"/>
    </row>
    <row r="779" spans="2:50" x14ac:dyDescent="0.25">
      <c r="B779" s="16"/>
      <c r="F779" s="16"/>
      <c r="J779" s="16"/>
      <c r="N779" s="16"/>
      <c r="R779" s="16"/>
      <c r="V779" s="16"/>
      <c r="Z779" s="16"/>
      <c r="AD779" s="16"/>
      <c r="AH779" s="16"/>
      <c r="AL779" s="16"/>
      <c r="AP779" s="16"/>
      <c r="AT779" s="16"/>
      <c r="AX779" s="16"/>
    </row>
    <row r="780" spans="2:50" x14ac:dyDescent="0.25">
      <c r="B780" s="16"/>
      <c r="F780" s="16"/>
      <c r="J780" s="16"/>
      <c r="N780" s="16"/>
      <c r="R780" s="16"/>
      <c r="V780" s="16"/>
      <c r="Z780" s="16"/>
      <c r="AD780" s="16"/>
      <c r="AH780" s="16"/>
      <c r="AL780" s="16"/>
      <c r="AP780" s="16"/>
      <c r="AT780" s="16"/>
      <c r="AX780" s="16"/>
    </row>
    <row r="781" spans="2:50" x14ac:dyDescent="0.25">
      <c r="B781" s="16"/>
      <c r="F781" s="16"/>
      <c r="J781" s="16"/>
      <c r="N781" s="16"/>
      <c r="R781" s="16"/>
      <c r="V781" s="16"/>
      <c r="Z781" s="16"/>
      <c r="AD781" s="16"/>
      <c r="AH781" s="16"/>
      <c r="AL781" s="16"/>
      <c r="AP781" s="16"/>
      <c r="AT781" s="16"/>
      <c r="AX781" s="16"/>
    </row>
    <row r="782" spans="2:50" x14ac:dyDescent="0.25">
      <c r="B782" s="16"/>
      <c r="F782" s="16"/>
      <c r="J782" s="16"/>
      <c r="N782" s="16"/>
      <c r="R782" s="16"/>
      <c r="V782" s="16"/>
      <c r="Z782" s="16"/>
      <c r="AD782" s="16"/>
      <c r="AH782" s="16"/>
      <c r="AL782" s="16"/>
      <c r="AP782" s="16"/>
      <c r="AT782" s="16"/>
      <c r="AX782" s="16"/>
    </row>
    <row r="783" spans="2:50" x14ac:dyDescent="0.25">
      <c r="B783" s="16"/>
      <c r="F783" s="16"/>
      <c r="J783" s="16"/>
      <c r="N783" s="16"/>
      <c r="R783" s="16"/>
      <c r="V783" s="16"/>
      <c r="Z783" s="16"/>
      <c r="AD783" s="16"/>
      <c r="AH783" s="16"/>
      <c r="AL783" s="16"/>
      <c r="AP783" s="16"/>
      <c r="AT783" s="16"/>
      <c r="AX783" s="16"/>
    </row>
    <row r="784" spans="2:50" x14ac:dyDescent="0.25">
      <c r="B784" s="16"/>
      <c r="F784" s="16"/>
      <c r="J784" s="16"/>
      <c r="N784" s="16"/>
      <c r="R784" s="16"/>
      <c r="V784" s="16"/>
      <c r="Z784" s="16"/>
      <c r="AD784" s="16"/>
      <c r="AH784" s="16"/>
      <c r="AL784" s="16"/>
      <c r="AP784" s="16"/>
      <c r="AT784" s="16"/>
      <c r="AX784" s="16"/>
    </row>
    <row r="785" spans="2:50" x14ac:dyDescent="0.25">
      <c r="B785" s="16"/>
      <c r="F785" s="16"/>
      <c r="J785" s="16"/>
      <c r="N785" s="16"/>
      <c r="R785" s="16"/>
      <c r="V785" s="16"/>
      <c r="Z785" s="16"/>
      <c r="AD785" s="16"/>
      <c r="AH785" s="16"/>
      <c r="AL785" s="16"/>
      <c r="AP785" s="16"/>
      <c r="AT785" s="16"/>
      <c r="AX785" s="16"/>
    </row>
    <row r="786" spans="2:50" x14ac:dyDescent="0.25">
      <c r="B786" s="16"/>
      <c r="F786" s="16"/>
      <c r="J786" s="16"/>
      <c r="N786" s="16"/>
      <c r="R786" s="16"/>
      <c r="V786" s="16"/>
      <c r="Z786" s="16"/>
      <c r="AD786" s="16"/>
      <c r="AH786" s="16"/>
      <c r="AL786" s="16"/>
      <c r="AP786" s="16"/>
      <c r="AT786" s="16"/>
      <c r="AX786" s="16"/>
    </row>
    <row r="787" spans="2:50" x14ac:dyDescent="0.25">
      <c r="B787" s="16"/>
      <c r="F787" s="16"/>
      <c r="J787" s="16"/>
      <c r="N787" s="16"/>
      <c r="R787" s="16"/>
      <c r="V787" s="16"/>
      <c r="Z787" s="16"/>
      <c r="AD787" s="16"/>
      <c r="AH787" s="16"/>
      <c r="AL787" s="16"/>
      <c r="AP787" s="16"/>
      <c r="AT787" s="16"/>
      <c r="AX787" s="16"/>
    </row>
    <row r="788" spans="2:50" x14ac:dyDescent="0.25">
      <c r="B788" s="16"/>
      <c r="F788" s="16"/>
      <c r="J788" s="16"/>
      <c r="N788" s="16"/>
      <c r="R788" s="16"/>
      <c r="V788" s="16"/>
      <c r="Z788" s="16"/>
      <c r="AD788" s="16"/>
      <c r="AH788" s="16"/>
      <c r="AL788" s="16"/>
      <c r="AP788" s="16"/>
      <c r="AT788" s="16"/>
      <c r="AX788" s="16"/>
    </row>
    <row r="789" spans="2:50" x14ac:dyDescent="0.25">
      <c r="B789" s="16"/>
      <c r="F789" s="16"/>
      <c r="J789" s="16"/>
      <c r="N789" s="16"/>
      <c r="R789" s="16"/>
      <c r="V789" s="16"/>
      <c r="Z789" s="16"/>
      <c r="AD789" s="16"/>
      <c r="AH789" s="16"/>
      <c r="AL789" s="16"/>
      <c r="AP789" s="16"/>
      <c r="AT789" s="16"/>
      <c r="AX789" s="16"/>
    </row>
    <row r="790" spans="2:50" x14ac:dyDescent="0.25">
      <c r="B790" s="16"/>
      <c r="F790" s="16"/>
      <c r="J790" s="16"/>
      <c r="N790" s="16"/>
      <c r="R790" s="16"/>
      <c r="V790" s="16"/>
      <c r="Z790" s="16"/>
      <c r="AD790" s="16"/>
      <c r="AH790" s="16"/>
      <c r="AL790" s="16"/>
      <c r="AP790" s="16"/>
      <c r="AT790" s="16"/>
      <c r="AX790" s="16"/>
    </row>
    <row r="791" spans="2:50" x14ac:dyDescent="0.25">
      <c r="B791" s="16"/>
      <c r="F791" s="16"/>
      <c r="J791" s="16"/>
      <c r="N791" s="16"/>
      <c r="R791" s="16"/>
      <c r="V791" s="16"/>
      <c r="Z791" s="16"/>
      <c r="AD791" s="16"/>
      <c r="AH791" s="16"/>
      <c r="AL791" s="16"/>
      <c r="AP791" s="16"/>
      <c r="AT791" s="16"/>
      <c r="AX791" s="16"/>
    </row>
    <row r="792" spans="2:50" x14ac:dyDescent="0.25">
      <c r="B792" s="16"/>
      <c r="F792" s="16"/>
      <c r="J792" s="16"/>
      <c r="N792" s="16"/>
      <c r="R792" s="16"/>
      <c r="V792" s="16"/>
      <c r="Z792" s="16"/>
      <c r="AD792" s="16"/>
      <c r="AH792" s="16"/>
      <c r="AL792" s="16"/>
      <c r="AP792" s="16"/>
      <c r="AT792" s="16"/>
      <c r="AX792" s="16"/>
    </row>
    <row r="793" spans="2:50" x14ac:dyDescent="0.25">
      <c r="B793" s="16"/>
      <c r="F793" s="16"/>
      <c r="J793" s="16"/>
      <c r="N793" s="16"/>
      <c r="R793" s="16"/>
      <c r="V793" s="16"/>
      <c r="Z793" s="16"/>
      <c r="AD793" s="16"/>
      <c r="AH793" s="16"/>
      <c r="AL793" s="16"/>
      <c r="AP793" s="16"/>
      <c r="AT793" s="16"/>
      <c r="AX793" s="16"/>
    </row>
    <row r="794" spans="2:50" x14ac:dyDescent="0.25">
      <c r="B794" s="16"/>
      <c r="F794" s="16"/>
      <c r="J794" s="16"/>
      <c r="N794" s="16"/>
      <c r="R794" s="16"/>
      <c r="V794" s="16"/>
      <c r="Z794" s="16"/>
      <c r="AD794" s="16"/>
      <c r="AH794" s="16"/>
      <c r="AL794" s="16"/>
      <c r="AP794" s="16"/>
      <c r="AT794" s="16"/>
      <c r="AX794" s="16"/>
    </row>
    <row r="795" spans="2:50" x14ac:dyDescent="0.25">
      <c r="B795" s="16"/>
      <c r="F795" s="16"/>
      <c r="J795" s="16"/>
      <c r="N795" s="16"/>
      <c r="R795" s="16"/>
      <c r="V795" s="16"/>
      <c r="Z795" s="16"/>
      <c r="AD795" s="16"/>
      <c r="AH795" s="16"/>
      <c r="AL795" s="16"/>
      <c r="AP795" s="16"/>
      <c r="AT795" s="16"/>
      <c r="AX795" s="16"/>
    </row>
    <row r="796" spans="2:50" x14ac:dyDescent="0.25">
      <c r="B796" s="16"/>
      <c r="F796" s="16"/>
      <c r="J796" s="16"/>
      <c r="N796" s="16"/>
      <c r="R796" s="16"/>
      <c r="V796" s="16"/>
      <c r="Z796" s="16"/>
      <c r="AD796" s="16"/>
      <c r="AH796" s="16"/>
      <c r="AL796" s="16"/>
      <c r="AP796" s="16"/>
      <c r="AT796" s="16"/>
      <c r="AX796" s="16"/>
    </row>
    <row r="797" spans="2:50" x14ac:dyDescent="0.25">
      <c r="B797" s="16"/>
      <c r="F797" s="16"/>
      <c r="J797" s="16"/>
      <c r="N797" s="16"/>
      <c r="R797" s="16"/>
      <c r="V797" s="16"/>
      <c r="Z797" s="16"/>
      <c r="AD797" s="16"/>
      <c r="AH797" s="16"/>
      <c r="AL797" s="16"/>
      <c r="AP797" s="16"/>
      <c r="AT797" s="16"/>
      <c r="AX797" s="16"/>
    </row>
    <row r="798" spans="2:50" x14ac:dyDescent="0.25">
      <c r="B798" s="16"/>
      <c r="F798" s="16"/>
      <c r="J798" s="16"/>
      <c r="N798" s="16"/>
      <c r="R798" s="16"/>
      <c r="V798" s="16"/>
      <c r="Z798" s="16"/>
      <c r="AD798" s="16"/>
      <c r="AH798" s="16"/>
      <c r="AL798" s="16"/>
      <c r="AP798" s="16"/>
      <c r="AT798" s="16"/>
      <c r="AX798" s="16"/>
    </row>
    <row r="799" spans="2:50" x14ac:dyDescent="0.25">
      <c r="B799" s="16"/>
      <c r="F799" s="16"/>
      <c r="J799" s="16"/>
      <c r="N799" s="16"/>
      <c r="R799" s="16"/>
      <c r="V799" s="16"/>
      <c r="Z799" s="16"/>
      <c r="AD799" s="16"/>
      <c r="AH799" s="16"/>
      <c r="AL799" s="16"/>
      <c r="AP799" s="16"/>
      <c r="AT799" s="16"/>
      <c r="AX799" s="16"/>
    </row>
    <row r="800" spans="2:50" x14ac:dyDescent="0.25">
      <c r="B800" s="16"/>
      <c r="F800" s="16"/>
      <c r="J800" s="16"/>
      <c r="N800" s="16"/>
      <c r="R800" s="16"/>
      <c r="V800" s="16"/>
      <c r="Z800" s="16"/>
      <c r="AD800" s="16"/>
      <c r="AH800" s="16"/>
      <c r="AL800" s="16"/>
      <c r="AP800" s="16"/>
      <c r="AT800" s="16"/>
      <c r="AX800" s="16"/>
    </row>
    <row r="801" spans="2:50" x14ac:dyDescent="0.25">
      <c r="B801" s="16"/>
      <c r="F801" s="16"/>
      <c r="J801" s="16"/>
      <c r="N801" s="16"/>
      <c r="R801" s="16"/>
      <c r="V801" s="16"/>
      <c r="Z801" s="16"/>
      <c r="AD801" s="16"/>
      <c r="AH801" s="16"/>
      <c r="AL801" s="16"/>
      <c r="AP801" s="16"/>
      <c r="AT801" s="16"/>
      <c r="AX801" s="16"/>
    </row>
    <row r="802" spans="2:50" x14ac:dyDescent="0.25">
      <c r="B802" s="16"/>
      <c r="F802" s="16"/>
      <c r="J802" s="16"/>
      <c r="N802" s="16"/>
      <c r="R802" s="16"/>
      <c r="V802" s="16"/>
      <c r="Z802" s="16"/>
      <c r="AD802" s="16"/>
      <c r="AH802" s="16"/>
      <c r="AL802" s="16"/>
      <c r="AP802" s="16"/>
      <c r="AT802" s="16"/>
      <c r="AX802" s="16"/>
    </row>
    <row r="803" spans="2:50" x14ac:dyDescent="0.25">
      <c r="B803" s="16"/>
      <c r="F803" s="16"/>
      <c r="J803" s="16"/>
      <c r="N803" s="16"/>
      <c r="R803" s="16"/>
      <c r="V803" s="16"/>
      <c r="Z803" s="16"/>
      <c r="AD803" s="16"/>
      <c r="AH803" s="16"/>
      <c r="AL803" s="16"/>
      <c r="AP803" s="16"/>
      <c r="AT803" s="16"/>
      <c r="AX803" s="16"/>
    </row>
    <row r="804" spans="2:50" x14ac:dyDescent="0.25">
      <c r="B804" s="16"/>
      <c r="F804" s="16"/>
      <c r="J804" s="16"/>
      <c r="N804" s="16"/>
      <c r="R804" s="16"/>
      <c r="V804" s="16"/>
      <c r="Z804" s="16"/>
      <c r="AD804" s="16"/>
      <c r="AH804" s="16"/>
      <c r="AL804" s="16"/>
      <c r="AP804" s="16"/>
      <c r="AT804" s="16"/>
      <c r="AX804" s="16"/>
    </row>
    <row r="805" spans="2:50" x14ac:dyDescent="0.25">
      <c r="B805" s="16"/>
      <c r="F805" s="16"/>
      <c r="J805" s="16"/>
      <c r="N805" s="16"/>
      <c r="R805" s="16"/>
      <c r="V805" s="16"/>
      <c r="Z805" s="16"/>
      <c r="AD805" s="16"/>
      <c r="AH805" s="16"/>
      <c r="AL805" s="16"/>
      <c r="AP805" s="16"/>
      <c r="AT805" s="16"/>
      <c r="AX805" s="16"/>
    </row>
    <row r="806" spans="2:50" x14ac:dyDescent="0.25">
      <c r="B806" s="16"/>
      <c r="F806" s="16"/>
      <c r="J806" s="16"/>
      <c r="N806" s="16"/>
      <c r="R806" s="16"/>
      <c r="V806" s="16"/>
      <c r="Z806" s="16"/>
      <c r="AD806" s="16"/>
      <c r="AH806" s="16"/>
      <c r="AL806" s="16"/>
      <c r="AP806" s="16"/>
      <c r="AT806" s="16"/>
      <c r="AX806" s="16"/>
    </row>
    <row r="807" spans="2:50" x14ac:dyDescent="0.25">
      <c r="B807" s="16"/>
      <c r="F807" s="16"/>
      <c r="J807" s="16"/>
      <c r="N807" s="16"/>
      <c r="R807" s="16"/>
      <c r="V807" s="16"/>
      <c r="Z807" s="16"/>
      <c r="AD807" s="16"/>
      <c r="AH807" s="16"/>
      <c r="AL807" s="16"/>
      <c r="AP807" s="16"/>
      <c r="AT807" s="16"/>
      <c r="AX807" s="16"/>
    </row>
    <row r="808" spans="2:50" x14ac:dyDescent="0.25">
      <c r="B808" s="16"/>
      <c r="F808" s="16"/>
      <c r="J808" s="16"/>
      <c r="N808" s="16"/>
      <c r="R808" s="16"/>
      <c r="V808" s="16"/>
      <c r="Z808" s="16"/>
      <c r="AD808" s="16"/>
      <c r="AH808" s="16"/>
      <c r="AL808" s="16"/>
      <c r="AP808" s="16"/>
      <c r="AT808" s="16"/>
      <c r="AX808" s="16"/>
    </row>
    <row r="809" spans="2:50" x14ac:dyDescent="0.25">
      <c r="B809" s="16"/>
      <c r="F809" s="16"/>
      <c r="J809" s="16"/>
      <c r="N809" s="16"/>
      <c r="R809" s="16"/>
      <c r="V809" s="16"/>
      <c r="Z809" s="16"/>
      <c r="AD809" s="16"/>
      <c r="AH809" s="16"/>
      <c r="AL809" s="16"/>
      <c r="AP809" s="16"/>
      <c r="AT809" s="16"/>
      <c r="AX809" s="16"/>
    </row>
    <row r="810" spans="2:50" x14ac:dyDescent="0.25">
      <c r="B810" s="16"/>
      <c r="F810" s="16"/>
      <c r="J810" s="16"/>
      <c r="N810" s="16"/>
      <c r="R810" s="16"/>
      <c r="V810" s="16"/>
      <c r="Z810" s="16"/>
      <c r="AD810" s="16"/>
      <c r="AH810" s="16"/>
      <c r="AL810" s="16"/>
      <c r="AP810" s="16"/>
      <c r="AT810" s="16"/>
      <c r="AX810" s="16"/>
    </row>
    <row r="811" spans="2:50" x14ac:dyDescent="0.25">
      <c r="B811" s="16"/>
      <c r="F811" s="16"/>
      <c r="J811" s="16"/>
      <c r="N811" s="16"/>
      <c r="R811" s="16"/>
      <c r="V811" s="16"/>
      <c r="Z811" s="16"/>
      <c r="AD811" s="16"/>
      <c r="AH811" s="16"/>
      <c r="AL811" s="16"/>
      <c r="AP811" s="16"/>
      <c r="AT811" s="16"/>
      <c r="AX811" s="16"/>
    </row>
    <row r="812" spans="2:50" x14ac:dyDescent="0.25">
      <c r="B812" s="16"/>
      <c r="F812" s="16"/>
      <c r="J812" s="16"/>
      <c r="N812" s="16"/>
      <c r="R812" s="16"/>
      <c r="V812" s="16"/>
      <c r="Z812" s="16"/>
      <c r="AD812" s="16"/>
      <c r="AH812" s="16"/>
      <c r="AL812" s="16"/>
      <c r="AP812" s="16"/>
      <c r="AT812" s="16"/>
      <c r="AX812" s="16"/>
    </row>
    <row r="813" spans="2:50" x14ac:dyDescent="0.25">
      <c r="B813" s="16"/>
      <c r="F813" s="16"/>
      <c r="J813" s="16"/>
      <c r="N813" s="16"/>
      <c r="R813" s="16"/>
      <c r="V813" s="16"/>
      <c r="Z813" s="16"/>
      <c r="AD813" s="16"/>
      <c r="AH813" s="16"/>
      <c r="AL813" s="16"/>
      <c r="AP813" s="16"/>
      <c r="AT813" s="16"/>
      <c r="AX813" s="16"/>
    </row>
    <row r="814" spans="2:50" x14ac:dyDescent="0.25">
      <c r="B814" s="16"/>
      <c r="F814" s="16"/>
      <c r="J814" s="16"/>
      <c r="N814" s="16"/>
      <c r="R814" s="16"/>
      <c r="V814" s="16"/>
      <c r="Z814" s="16"/>
      <c r="AD814" s="16"/>
      <c r="AH814" s="16"/>
      <c r="AL814" s="16"/>
      <c r="AP814" s="16"/>
      <c r="AT814" s="16"/>
      <c r="AX814" s="16"/>
    </row>
    <row r="815" spans="2:50" x14ac:dyDescent="0.25">
      <c r="B815" s="16"/>
      <c r="F815" s="16"/>
      <c r="J815" s="16"/>
      <c r="N815" s="16"/>
      <c r="R815" s="16"/>
      <c r="V815" s="16"/>
      <c r="Z815" s="16"/>
      <c r="AD815" s="16"/>
      <c r="AH815" s="16"/>
      <c r="AL815" s="16"/>
      <c r="AP815" s="16"/>
      <c r="AT815" s="16"/>
      <c r="AX815" s="16"/>
    </row>
    <row r="816" spans="2:50" x14ac:dyDescent="0.25">
      <c r="B816" s="16"/>
      <c r="F816" s="16"/>
      <c r="J816" s="16"/>
      <c r="N816" s="16"/>
      <c r="R816" s="16"/>
      <c r="V816" s="16"/>
      <c r="Z816" s="16"/>
      <c r="AD816" s="16"/>
      <c r="AH816" s="16"/>
      <c r="AL816" s="16"/>
      <c r="AP816" s="16"/>
      <c r="AT816" s="16"/>
      <c r="AX816" s="16"/>
    </row>
    <row r="817" spans="2:50" x14ac:dyDescent="0.25">
      <c r="B817" s="16"/>
      <c r="F817" s="16"/>
      <c r="J817" s="16"/>
      <c r="N817" s="16"/>
      <c r="R817" s="16"/>
      <c r="V817" s="16"/>
      <c r="Z817" s="16"/>
      <c r="AD817" s="16"/>
      <c r="AH817" s="16"/>
      <c r="AL817" s="16"/>
      <c r="AP817" s="16"/>
      <c r="AT817" s="16"/>
      <c r="AX817" s="16"/>
    </row>
    <row r="818" spans="2:50" x14ac:dyDescent="0.25">
      <c r="B818" s="16"/>
      <c r="F818" s="16"/>
      <c r="J818" s="16"/>
      <c r="N818" s="16"/>
      <c r="R818" s="16"/>
      <c r="V818" s="16"/>
      <c r="Z818" s="16"/>
      <c r="AD818" s="16"/>
      <c r="AH818" s="16"/>
      <c r="AL818" s="16"/>
      <c r="AP818" s="16"/>
      <c r="AT818" s="16"/>
      <c r="AX818" s="16"/>
    </row>
    <row r="819" spans="2:50" x14ac:dyDescent="0.25">
      <c r="B819" s="16"/>
      <c r="F819" s="16"/>
      <c r="J819" s="16"/>
      <c r="N819" s="16"/>
      <c r="R819" s="16"/>
      <c r="V819" s="16"/>
      <c r="Z819" s="16"/>
      <c r="AD819" s="16"/>
      <c r="AH819" s="16"/>
      <c r="AL819" s="16"/>
      <c r="AP819" s="16"/>
      <c r="AT819" s="16"/>
      <c r="AX819" s="16"/>
    </row>
    <row r="820" spans="2:50" x14ac:dyDescent="0.25">
      <c r="B820" s="16"/>
      <c r="F820" s="16"/>
      <c r="J820" s="16"/>
      <c r="N820" s="16"/>
      <c r="R820" s="16"/>
      <c r="V820" s="16"/>
      <c r="Z820" s="16"/>
      <c r="AD820" s="16"/>
      <c r="AH820" s="16"/>
      <c r="AL820" s="16"/>
      <c r="AP820" s="16"/>
      <c r="AT820" s="16"/>
      <c r="AX820" s="16"/>
    </row>
    <row r="821" spans="2:50" x14ac:dyDescent="0.25">
      <c r="B821" s="16"/>
      <c r="F821" s="16"/>
      <c r="J821" s="16"/>
      <c r="N821" s="16"/>
      <c r="R821" s="16"/>
      <c r="V821" s="16"/>
      <c r="Z821" s="16"/>
      <c r="AD821" s="16"/>
      <c r="AH821" s="16"/>
      <c r="AL821" s="16"/>
      <c r="AP821" s="16"/>
      <c r="AT821" s="16"/>
      <c r="AX821" s="16"/>
    </row>
    <row r="822" spans="2:50" x14ac:dyDescent="0.25">
      <c r="B822" s="16"/>
      <c r="F822" s="16"/>
      <c r="J822" s="16"/>
      <c r="N822" s="16"/>
      <c r="R822" s="16"/>
      <c r="V822" s="16"/>
      <c r="Z822" s="16"/>
      <c r="AD822" s="16"/>
      <c r="AH822" s="16"/>
      <c r="AL822" s="16"/>
      <c r="AP822" s="16"/>
      <c r="AT822" s="16"/>
      <c r="AX822" s="16"/>
    </row>
    <row r="823" spans="2:50" x14ac:dyDescent="0.25">
      <c r="B823" s="16"/>
      <c r="F823" s="16"/>
      <c r="J823" s="16"/>
      <c r="N823" s="16"/>
      <c r="R823" s="16"/>
      <c r="V823" s="16"/>
      <c r="Z823" s="16"/>
      <c r="AD823" s="16"/>
      <c r="AH823" s="16"/>
      <c r="AL823" s="16"/>
      <c r="AP823" s="16"/>
      <c r="AT823" s="16"/>
      <c r="AX823" s="16"/>
    </row>
    <row r="824" spans="2:50" x14ac:dyDescent="0.25">
      <c r="B824" s="16"/>
      <c r="F824" s="16"/>
      <c r="J824" s="16"/>
      <c r="N824" s="16"/>
      <c r="R824" s="16"/>
      <c r="V824" s="16"/>
      <c r="Z824" s="16"/>
      <c r="AD824" s="16"/>
      <c r="AH824" s="16"/>
      <c r="AL824" s="16"/>
      <c r="AP824" s="16"/>
      <c r="AT824" s="16"/>
      <c r="AX824" s="16"/>
    </row>
    <row r="825" spans="2:50" x14ac:dyDescent="0.25">
      <c r="B825" s="16"/>
      <c r="F825" s="16"/>
      <c r="J825" s="16"/>
      <c r="N825" s="16"/>
      <c r="R825" s="16"/>
      <c r="V825" s="16"/>
      <c r="Z825" s="16"/>
      <c r="AD825" s="16"/>
      <c r="AH825" s="16"/>
      <c r="AL825" s="16"/>
      <c r="AP825" s="16"/>
      <c r="AT825" s="16"/>
      <c r="AX825" s="16"/>
    </row>
    <row r="826" spans="2:50" x14ac:dyDescent="0.25">
      <c r="B826" s="16"/>
      <c r="F826" s="16"/>
      <c r="J826" s="16"/>
      <c r="N826" s="16"/>
      <c r="R826" s="16"/>
      <c r="V826" s="16"/>
      <c r="Z826" s="16"/>
      <c r="AD826" s="16"/>
      <c r="AH826" s="16"/>
      <c r="AL826" s="16"/>
      <c r="AP826" s="16"/>
      <c r="AT826" s="16"/>
      <c r="AX826" s="16"/>
    </row>
    <row r="827" spans="2:50" x14ac:dyDescent="0.25">
      <c r="B827" s="16"/>
      <c r="F827" s="16"/>
      <c r="J827" s="16"/>
      <c r="N827" s="16"/>
      <c r="R827" s="16"/>
      <c r="V827" s="16"/>
      <c r="Z827" s="16"/>
      <c r="AD827" s="16"/>
      <c r="AH827" s="16"/>
      <c r="AL827" s="16"/>
      <c r="AP827" s="16"/>
      <c r="AT827" s="16"/>
      <c r="AX827" s="16"/>
    </row>
    <row r="828" spans="2:50" x14ac:dyDescent="0.25">
      <c r="B828" s="16"/>
      <c r="F828" s="16"/>
      <c r="J828" s="16"/>
      <c r="N828" s="16"/>
      <c r="R828" s="16"/>
      <c r="V828" s="16"/>
      <c r="Z828" s="16"/>
      <c r="AD828" s="16"/>
      <c r="AH828" s="16"/>
      <c r="AL828" s="16"/>
      <c r="AP828" s="16"/>
      <c r="AT828" s="16"/>
      <c r="AX828" s="16"/>
    </row>
    <row r="829" spans="2:50" x14ac:dyDescent="0.25">
      <c r="B829" s="16"/>
      <c r="F829" s="16"/>
      <c r="J829" s="16"/>
      <c r="N829" s="16"/>
      <c r="R829" s="16"/>
      <c r="V829" s="16"/>
      <c r="Z829" s="16"/>
      <c r="AD829" s="16"/>
      <c r="AH829" s="16"/>
      <c r="AL829" s="16"/>
      <c r="AP829" s="16"/>
      <c r="AT829" s="16"/>
      <c r="AX829" s="16"/>
    </row>
    <row r="830" spans="2:50" x14ac:dyDescent="0.25">
      <c r="B830" s="16"/>
      <c r="F830" s="16"/>
      <c r="J830" s="16"/>
      <c r="N830" s="16"/>
      <c r="R830" s="16"/>
      <c r="V830" s="16"/>
      <c r="Z830" s="16"/>
      <c r="AD830" s="16"/>
      <c r="AH830" s="16"/>
      <c r="AL830" s="16"/>
      <c r="AP830" s="16"/>
      <c r="AT830" s="16"/>
      <c r="AX830" s="16"/>
    </row>
    <row r="831" spans="2:50" x14ac:dyDescent="0.25">
      <c r="B831" s="16"/>
      <c r="F831" s="16"/>
      <c r="J831" s="16"/>
      <c r="N831" s="16"/>
      <c r="R831" s="16"/>
      <c r="V831" s="16"/>
      <c r="Z831" s="16"/>
      <c r="AD831" s="16"/>
      <c r="AH831" s="16"/>
      <c r="AL831" s="16"/>
      <c r="AP831" s="16"/>
      <c r="AT831" s="16"/>
      <c r="AX831" s="16"/>
    </row>
    <row r="832" spans="2:50" x14ac:dyDescent="0.25">
      <c r="B832" s="16"/>
      <c r="F832" s="16"/>
      <c r="J832" s="16"/>
      <c r="N832" s="16"/>
      <c r="R832" s="16"/>
      <c r="V832" s="16"/>
      <c r="Z832" s="16"/>
      <c r="AD832" s="16"/>
      <c r="AH832" s="16"/>
      <c r="AL832" s="16"/>
      <c r="AP832" s="16"/>
      <c r="AT832" s="16"/>
      <c r="AX832" s="16"/>
    </row>
    <row r="833" spans="2:50" x14ac:dyDescent="0.25">
      <c r="B833" s="16"/>
      <c r="F833" s="16"/>
      <c r="J833" s="16"/>
      <c r="N833" s="16"/>
      <c r="R833" s="16"/>
      <c r="V833" s="16"/>
      <c r="Z833" s="16"/>
      <c r="AD833" s="16"/>
      <c r="AH833" s="16"/>
      <c r="AL833" s="16"/>
      <c r="AP833" s="16"/>
      <c r="AT833" s="16"/>
      <c r="AX833" s="16"/>
    </row>
    <row r="834" spans="2:50" x14ac:dyDescent="0.25">
      <c r="B834" s="16"/>
      <c r="F834" s="16"/>
      <c r="J834" s="16"/>
      <c r="N834" s="16"/>
      <c r="R834" s="16"/>
      <c r="V834" s="16"/>
      <c r="Z834" s="16"/>
      <c r="AD834" s="16"/>
      <c r="AH834" s="16"/>
      <c r="AL834" s="16"/>
      <c r="AP834" s="16"/>
      <c r="AT834" s="16"/>
      <c r="AX834" s="16"/>
    </row>
    <row r="835" spans="2:50" x14ac:dyDescent="0.25">
      <c r="B835" s="16"/>
      <c r="F835" s="16"/>
      <c r="J835" s="16"/>
      <c r="N835" s="16"/>
      <c r="R835" s="16"/>
      <c r="V835" s="16"/>
      <c r="Z835" s="16"/>
      <c r="AD835" s="16"/>
      <c r="AH835" s="16"/>
      <c r="AL835" s="16"/>
      <c r="AP835" s="16"/>
      <c r="AT835" s="16"/>
      <c r="AX835" s="16"/>
    </row>
    <row r="836" spans="2:50" x14ac:dyDescent="0.25">
      <c r="B836" s="16"/>
      <c r="F836" s="16"/>
      <c r="J836" s="16"/>
      <c r="N836" s="16"/>
      <c r="R836" s="16"/>
      <c r="V836" s="16"/>
      <c r="Z836" s="16"/>
      <c r="AD836" s="16"/>
      <c r="AH836" s="16"/>
      <c r="AL836" s="16"/>
      <c r="AP836" s="16"/>
      <c r="AT836" s="16"/>
      <c r="AX836" s="16"/>
    </row>
    <row r="837" spans="2:50" x14ac:dyDescent="0.25">
      <c r="B837" s="16"/>
      <c r="F837" s="16"/>
      <c r="J837" s="16"/>
      <c r="N837" s="16"/>
      <c r="R837" s="16"/>
      <c r="V837" s="16"/>
      <c r="Z837" s="16"/>
      <c r="AD837" s="16"/>
      <c r="AH837" s="16"/>
      <c r="AL837" s="16"/>
      <c r="AP837" s="16"/>
      <c r="AT837" s="16"/>
      <c r="AX837" s="16"/>
    </row>
    <row r="838" spans="2:50" x14ac:dyDescent="0.25">
      <c r="B838" s="16"/>
      <c r="F838" s="16"/>
      <c r="J838" s="16"/>
      <c r="N838" s="16"/>
      <c r="R838" s="16"/>
      <c r="V838" s="16"/>
      <c r="Z838" s="16"/>
      <c r="AD838" s="16"/>
      <c r="AH838" s="16"/>
      <c r="AL838" s="16"/>
      <c r="AP838" s="16"/>
      <c r="AT838" s="16"/>
      <c r="AX838" s="16"/>
    </row>
    <row r="839" spans="2:50" x14ac:dyDescent="0.25">
      <c r="B839" s="16"/>
      <c r="F839" s="16"/>
      <c r="J839" s="16"/>
      <c r="N839" s="16"/>
      <c r="R839" s="16"/>
      <c r="V839" s="16"/>
      <c r="Z839" s="16"/>
      <c r="AD839" s="16"/>
      <c r="AH839" s="16"/>
      <c r="AL839" s="16"/>
      <c r="AP839" s="16"/>
      <c r="AT839" s="16"/>
      <c r="AX839" s="16"/>
    </row>
    <row r="840" spans="2:50" x14ac:dyDescent="0.25">
      <c r="B840" s="16"/>
      <c r="F840" s="16"/>
      <c r="J840" s="16"/>
      <c r="N840" s="16"/>
      <c r="R840" s="16"/>
      <c r="V840" s="16"/>
      <c r="Z840" s="16"/>
      <c r="AD840" s="16"/>
      <c r="AH840" s="16"/>
      <c r="AL840" s="16"/>
      <c r="AP840" s="16"/>
      <c r="AT840" s="16"/>
      <c r="AX840" s="16"/>
    </row>
    <row r="841" spans="2:50" x14ac:dyDescent="0.25">
      <c r="B841" s="16"/>
      <c r="F841" s="16"/>
      <c r="J841" s="16"/>
      <c r="N841" s="16"/>
      <c r="R841" s="16"/>
      <c r="V841" s="16"/>
      <c r="Z841" s="16"/>
      <c r="AD841" s="16"/>
      <c r="AH841" s="16"/>
      <c r="AL841" s="16"/>
      <c r="AP841" s="16"/>
      <c r="AT841" s="16"/>
      <c r="AX841" s="16"/>
    </row>
    <row r="842" spans="2:50" x14ac:dyDescent="0.25">
      <c r="B842" s="16"/>
      <c r="F842" s="16"/>
      <c r="J842" s="16"/>
      <c r="N842" s="16"/>
      <c r="R842" s="16"/>
      <c r="V842" s="16"/>
      <c r="Z842" s="16"/>
      <c r="AD842" s="16"/>
      <c r="AH842" s="16"/>
      <c r="AL842" s="16"/>
      <c r="AP842" s="16"/>
      <c r="AT842" s="16"/>
      <c r="AX842" s="16"/>
    </row>
    <row r="843" spans="2:50" x14ac:dyDescent="0.25">
      <c r="B843" s="16"/>
      <c r="F843" s="16"/>
      <c r="J843" s="16"/>
      <c r="N843" s="16"/>
      <c r="R843" s="16"/>
      <c r="V843" s="16"/>
      <c r="Z843" s="16"/>
      <c r="AD843" s="16"/>
      <c r="AH843" s="16"/>
      <c r="AL843" s="16"/>
      <c r="AP843" s="16"/>
      <c r="AT843" s="16"/>
      <c r="AX843" s="16"/>
    </row>
    <row r="844" spans="2:50" x14ac:dyDescent="0.25">
      <c r="B844" s="16"/>
      <c r="F844" s="16"/>
      <c r="J844" s="16"/>
      <c r="N844" s="16"/>
      <c r="R844" s="16"/>
      <c r="V844" s="16"/>
      <c r="Z844" s="16"/>
      <c r="AD844" s="16"/>
      <c r="AH844" s="16"/>
      <c r="AL844" s="16"/>
      <c r="AP844" s="16"/>
      <c r="AT844" s="16"/>
      <c r="AX844" s="16"/>
    </row>
    <row r="845" spans="2:50" x14ac:dyDescent="0.25">
      <c r="B845" s="16"/>
      <c r="F845" s="16"/>
      <c r="J845" s="16"/>
      <c r="N845" s="16"/>
      <c r="R845" s="16"/>
      <c r="V845" s="16"/>
      <c r="Z845" s="16"/>
      <c r="AD845" s="16"/>
      <c r="AH845" s="16"/>
      <c r="AL845" s="16"/>
      <c r="AP845" s="16"/>
      <c r="AT845" s="16"/>
      <c r="AX845" s="16"/>
    </row>
    <row r="846" spans="2:50" x14ac:dyDescent="0.25">
      <c r="B846" s="16"/>
      <c r="F846" s="16"/>
      <c r="J846" s="16"/>
      <c r="N846" s="16"/>
      <c r="R846" s="16"/>
      <c r="V846" s="16"/>
      <c r="Z846" s="16"/>
      <c r="AD846" s="16"/>
      <c r="AH846" s="16"/>
      <c r="AL846" s="16"/>
      <c r="AP846" s="16"/>
      <c r="AT846" s="16"/>
      <c r="AX846" s="16"/>
    </row>
    <row r="847" spans="2:50" x14ac:dyDescent="0.25">
      <c r="B847" s="16"/>
      <c r="F847" s="16"/>
      <c r="J847" s="16"/>
      <c r="N847" s="16"/>
      <c r="R847" s="16"/>
      <c r="V847" s="16"/>
      <c r="Z847" s="16"/>
      <c r="AD847" s="16"/>
      <c r="AH847" s="16"/>
      <c r="AL847" s="16"/>
      <c r="AP847" s="16"/>
      <c r="AT847" s="16"/>
      <c r="AX847" s="16"/>
    </row>
    <row r="848" spans="2:50" x14ac:dyDescent="0.25">
      <c r="B848" s="16"/>
      <c r="F848" s="16"/>
      <c r="J848" s="16"/>
      <c r="N848" s="16"/>
      <c r="R848" s="16"/>
      <c r="V848" s="16"/>
      <c r="Z848" s="16"/>
      <c r="AD848" s="16"/>
      <c r="AH848" s="16"/>
      <c r="AL848" s="16"/>
      <c r="AP848" s="16"/>
      <c r="AT848" s="16"/>
      <c r="AX848" s="16"/>
    </row>
    <row r="849" spans="2:50" x14ac:dyDescent="0.25">
      <c r="B849" s="16"/>
      <c r="F849" s="16"/>
      <c r="J849" s="16"/>
      <c r="N849" s="16"/>
      <c r="R849" s="16"/>
      <c r="V849" s="16"/>
      <c r="Z849" s="16"/>
      <c r="AD849" s="16"/>
      <c r="AH849" s="16"/>
      <c r="AL849" s="16"/>
      <c r="AP849" s="16"/>
      <c r="AT849" s="16"/>
      <c r="AX849" s="16"/>
    </row>
    <row r="850" spans="2:50" x14ac:dyDescent="0.25">
      <c r="B850" s="16"/>
      <c r="F850" s="16"/>
      <c r="J850" s="16"/>
      <c r="N850" s="16"/>
      <c r="R850" s="16"/>
      <c r="V850" s="16"/>
      <c r="Z850" s="16"/>
      <c r="AD850" s="16"/>
      <c r="AH850" s="16"/>
      <c r="AL850" s="16"/>
      <c r="AP850" s="16"/>
      <c r="AT850" s="16"/>
      <c r="AX850" s="16"/>
    </row>
    <row r="851" spans="2:50" x14ac:dyDescent="0.25">
      <c r="B851" s="16"/>
      <c r="F851" s="16"/>
      <c r="J851" s="16"/>
      <c r="N851" s="16"/>
      <c r="R851" s="16"/>
      <c r="V851" s="16"/>
      <c r="Z851" s="16"/>
      <c r="AD851" s="16"/>
      <c r="AH851" s="16"/>
      <c r="AL851" s="16"/>
      <c r="AP851" s="16"/>
      <c r="AT851" s="16"/>
      <c r="AX851" s="16"/>
    </row>
    <row r="852" spans="2:50" x14ac:dyDescent="0.25">
      <c r="B852" s="16"/>
      <c r="F852" s="16"/>
      <c r="J852" s="16"/>
      <c r="N852" s="16"/>
      <c r="R852" s="16"/>
      <c r="V852" s="16"/>
      <c r="Z852" s="16"/>
      <c r="AD852" s="16"/>
      <c r="AH852" s="16"/>
      <c r="AL852" s="16"/>
      <c r="AP852" s="16"/>
      <c r="AT852" s="16"/>
      <c r="AX852" s="16"/>
    </row>
    <row r="853" spans="2:50" x14ac:dyDescent="0.25">
      <c r="B853" s="16"/>
      <c r="F853" s="16"/>
      <c r="J853" s="16"/>
      <c r="N853" s="16"/>
      <c r="R853" s="16"/>
      <c r="V853" s="16"/>
      <c r="Z853" s="16"/>
      <c r="AD853" s="16"/>
      <c r="AH853" s="16"/>
      <c r="AL853" s="16"/>
      <c r="AP853" s="16"/>
      <c r="AT853" s="16"/>
      <c r="AX853" s="16"/>
    </row>
    <row r="854" spans="2:50" x14ac:dyDescent="0.25">
      <c r="B854" s="16"/>
      <c r="F854" s="16"/>
      <c r="J854" s="16"/>
      <c r="N854" s="16"/>
      <c r="R854" s="16"/>
      <c r="V854" s="16"/>
      <c r="Z854" s="16"/>
      <c r="AD854" s="16"/>
      <c r="AH854" s="16"/>
      <c r="AL854" s="16"/>
      <c r="AP854" s="16"/>
      <c r="AT854" s="16"/>
      <c r="AX854" s="16"/>
    </row>
    <row r="855" spans="2:50" x14ac:dyDescent="0.25">
      <c r="B855" s="16"/>
      <c r="F855" s="16"/>
      <c r="J855" s="16"/>
      <c r="N855" s="16"/>
      <c r="R855" s="16"/>
      <c r="V855" s="16"/>
      <c r="Z855" s="16"/>
      <c r="AD855" s="16"/>
      <c r="AH855" s="16"/>
      <c r="AL855" s="16"/>
      <c r="AP855" s="16"/>
      <c r="AT855" s="16"/>
      <c r="AX855" s="16"/>
    </row>
    <row r="856" spans="2:50" x14ac:dyDescent="0.25">
      <c r="B856" s="16"/>
      <c r="F856" s="16"/>
      <c r="J856" s="16"/>
      <c r="N856" s="16"/>
      <c r="R856" s="16"/>
      <c r="V856" s="16"/>
      <c r="Z856" s="16"/>
      <c r="AD856" s="16"/>
      <c r="AH856" s="16"/>
      <c r="AL856" s="16"/>
      <c r="AP856" s="16"/>
      <c r="AT856" s="16"/>
      <c r="AX856" s="16"/>
    </row>
    <row r="857" spans="2:50" x14ac:dyDescent="0.25">
      <c r="B857" s="16"/>
      <c r="F857" s="16"/>
      <c r="J857" s="16"/>
      <c r="N857" s="16"/>
      <c r="R857" s="16"/>
      <c r="V857" s="16"/>
      <c r="Z857" s="16"/>
      <c r="AD857" s="16"/>
      <c r="AH857" s="16"/>
      <c r="AL857" s="16"/>
      <c r="AP857" s="16"/>
      <c r="AT857" s="16"/>
      <c r="AX857" s="16"/>
    </row>
    <row r="858" spans="2:50" x14ac:dyDescent="0.25">
      <c r="B858" s="16"/>
      <c r="F858" s="16"/>
      <c r="J858" s="16"/>
      <c r="N858" s="16"/>
      <c r="R858" s="16"/>
      <c r="V858" s="16"/>
      <c r="Z858" s="16"/>
      <c r="AD858" s="16"/>
      <c r="AH858" s="16"/>
      <c r="AL858" s="16"/>
      <c r="AP858" s="16"/>
      <c r="AT858" s="16"/>
      <c r="AX858" s="16"/>
    </row>
    <row r="859" spans="2:50" x14ac:dyDescent="0.25">
      <c r="B859" s="16"/>
      <c r="F859" s="16"/>
      <c r="J859" s="16"/>
      <c r="N859" s="16"/>
      <c r="R859" s="16"/>
      <c r="V859" s="16"/>
      <c r="Z859" s="16"/>
      <c r="AD859" s="16"/>
      <c r="AH859" s="16"/>
      <c r="AL859" s="16"/>
      <c r="AP859" s="16"/>
      <c r="AT859" s="16"/>
      <c r="AX859" s="16"/>
    </row>
    <row r="860" spans="2:50" x14ac:dyDescent="0.25">
      <c r="B860" s="16"/>
      <c r="F860" s="16"/>
      <c r="J860" s="16"/>
      <c r="N860" s="16"/>
      <c r="R860" s="16"/>
      <c r="V860" s="16"/>
      <c r="Z860" s="16"/>
      <c r="AD860" s="16"/>
      <c r="AH860" s="16"/>
      <c r="AL860" s="16"/>
      <c r="AP860" s="16"/>
      <c r="AT860" s="16"/>
      <c r="AX860" s="16"/>
    </row>
    <row r="861" spans="2:50" x14ac:dyDescent="0.25">
      <c r="B861" s="16"/>
      <c r="F861" s="16"/>
      <c r="J861" s="16"/>
      <c r="N861" s="16"/>
      <c r="R861" s="16"/>
      <c r="V861" s="16"/>
      <c r="Z861" s="16"/>
      <c r="AD861" s="16"/>
      <c r="AH861" s="16"/>
      <c r="AL861" s="16"/>
      <c r="AP861" s="16"/>
      <c r="AT861" s="16"/>
      <c r="AX861" s="16"/>
    </row>
    <row r="862" spans="2:50" x14ac:dyDescent="0.25">
      <c r="B862" s="16"/>
      <c r="F862" s="16"/>
      <c r="J862" s="16"/>
      <c r="N862" s="16"/>
      <c r="R862" s="16"/>
      <c r="V862" s="16"/>
      <c r="Z862" s="16"/>
      <c r="AD862" s="16"/>
      <c r="AH862" s="16"/>
      <c r="AL862" s="16"/>
      <c r="AP862" s="16"/>
      <c r="AT862" s="16"/>
      <c r="AX862" s="16"/>
    </row>
    <row r="863" spans="2:50" x14ac:dyDescent="0.25">
      <c r="B863" s="16"/>
      <c r="F863" s="16"/>
      <c r="J863" s="16"/>
      <c r="N863" s="16"/>
      <c r="R863" s="16"/>
      <c r="V863" s="16"/>
      <c r="Z863" s="16"/>
      <c r="AD863" s="16"/>
      <c r="AH863" s="16"/>
      <c r="AL863" s="16"/>
      <c r="AP863" s="16"/>
      <c r="AT863" s="16"/>
      <c r="AX863" s="16"/>
    </row>
    <row r="864" spans="2:50" x14ac:dyDescent="0.25">
      <c r="B864" s="16"/>
      <c r="F864" s="16"/>
      <c r="J864" s="16"/>
      <c r="N864" s="16"/>
      <c r="R864" s="16"/>
      <c r="V864" s="16"/>
      <c r="Z864" s="16"/>
      <c r="AD864" s="16"/>
      <c r="AH864" s="16"/>
      <c r="AL864" s="16"/>
      <c r="AP864" s="16"/>
      <c r="AT864" s="16"/>
      <c r="AX864" s="16"/>
    </row>
    <row r="865" spans="2:50" x14ac:dyDescent="0.25">
      <c r="B865" s="16"/>
      <c r="F865" s="16"/>
      <c r="J865" s="16"/>
      <c r="N865" s="16"/>
      <c r="R865" s="16"/>
      <c r="V865" s="16"/>
      <c r="Z865" s="16"/>
      <c r="AD865" s="16"/>
      <c r="AH865" s="16"/>
      <c r="AL865" s="16"/>
      <c r="AP865" s="16"/>
      <c r="AT865" s="16"/>
      <c r="AX865" s="16"/>
    </row>
    <row r="866" spans="2:50" x14ac:dyDescent="0.25">
      <c r="B866" s="16"/>
      <c r="F866" s="16"/>
      <c r="J866" s="16"/>
      <c r="N866" s="16"/>
      <c r="R866" s="16"/>
      <c r="V866" s="16"/>
      <c r="Z866" s="16"/>
      <c r="AD866" s="16"/>
      <c r="AH866" s="16"/>
      <c r="AL866" s="16"/>
      <c r="AP866" s="16"/>
      <c r="AT866" s="16"/>
      <c r="AX866" s="16"/>
    </row>
    <row r="867" spans="2:50" x14ac:dyDescent="0.25">
      <c r="B867" s="16"/>
      <c r="F867" s="16"/>
      <c r="J867" s="16"/>
      <c r="N867" s="16"/>
      <c r="R867" s="16"/>
      <c r="V867" s="16"/>
      <c r="Z867" s="16"/>
      <c r="AD867" s="16"/>
      <c r="AH867" s="16"/>
      <c r="AL867" s="16"/>
      <c r="AP867" s="16"/>
      <c r="AT867" s="16"/>
      <c r="AX867" s="16"/>
    </row>
    <row r="868" spans="2:50" x14ac:dyDescent="0.25">
      <c r="B868" s="16"/>
      <c r="F868" s="16"/>
      <c r="J868" s="16"/>
      <c r="N868" s="16"/>
      <c r="R868" s="16"/>
      <c r="V868" s="16"/>
      <c r="Z868" s="16"/>
      <c r="AD868" s="16"/>
      <c r="AH868" s="16"/>
      <c r="AL868" s="16"/>
      <c r="AP868" s="16"/>
      <c r="AT868" s="16"/>
      <c r="AX868" s="16"/>
    </row>
    <row r="869" spans="2:50" x14ac:dyDescent="0.25">
      <c r="B869" s="16"/>
      <c r="F869" s="16"/>
      <c r="J869" s="16"/>
      <c r="N869" s="16"/>
      <c r="R869" s="16"/>
      <c r="V869" s="16"/>
      <c r="Z869" s="16"/>
      <c r="AD869" s="16"/>
      <c r="AH869" s="16"/>
      <c r="AL869" s="16"/>
      <c r="AP869" s="16"/>
      <c r="AT869" s="16"/>
      <c r="AX869" s="16"/>
    </row>
    <row r="870" spans="2:50" x14ac:dyDescent="0.25">
      <c r="B870" s="16"/>
      <c r="F870" s="16"/>
      <c r="J870" s="16"/>
      <c r="N870" s="16"/>
      <c r="R870" s="16"/>
      <c r="V870" s="16"/>
      <c r="Z870" s="16"/>
      <c r="AD870" s="16"/>
      <c r="AH870" s="16"/>
      <c r="AL870" s="16"/>
      <c r="AP870" s="16"/>
      <c r="AT870" s="16"/>
      <c r="AX870" s="16"/>
    </row>
    <row r="871" spans="2:50" x14ac:dyDescent="0.25">
      <c r="B871" s="16"/>
      <c r="F871" s="16"/>
      <c r="J871" s="16"/>
      <c r="N871" s="16"/>
      <c r="R871" s="16"/>
      <c r="V871" s="16"/>
      <c r="Z871" s="16"/>
      <c r="AD871" s="16"/>
      <c r="AH871" s="16"/>
      <c r="AL871" s="16"/>
      <c r="AP871" s="16"/>
      <c r="AT871" s="16"/>
      <c r="AX871" s="16"/>
    </row>
    <row r="872" spans="2:50" x14ac:dyDescent="0.25">
      <c r="B872" s="16"/>
      <c r="F872" s="16"/>
      <c r="J872" s="16"/>
      <c r="N872" s="16"/>
      <c r="R872" s="16"/>
      <c r="V872" s="16"/>
      <c r="Z872" s="16"/>
      <c r="AD872" s="16"/>
      <c r="AH872" s="16"/>
      <c r="AL872" s="16"/>
      <c r="AP872" s="16"/>
      <c r="AT872" s="16"/>
      <c r="AX872" s="16"/>
    </row>
    <row r="873" spans="2:50" x14ac:dyDescent="0.25">
      <c r="B873" s="16"/>
      <c r="F873" s="16"/>
      <c r="J873" s="16"/>
      <c r="N873" s="16"/>
      <c r="R873" s="16"/>
      <c r="V873" s="16"/>
      <c r="Z873" s="16"/>
      <c r="AD873" s="16"/>
      <c r="AH873" s="16"/>
      <c r="AL873" s="16"/>
      <c r="AP873" s="16"/>
      <c r="AT873" s="16"/>
      <c r="AX873" s="16"/>
    </row>
    <row r="874" spans="2:50" x14ac:dyDescent="0.25">
      <c r="B874" s="16"/>
      <c r="F874" s="16"/>
      <c r="J874" s="16"/>
      <c r="N874" s="16"/>
      <c r="R874" s="16"/>
      <c r="V874" s="16"/>
      <c r="Z874" s="16"/>
      <c r="AD874" s="16"/>
      <c r="AH874" s="16"/>
      <c r="AL874" s="16"/>
      <c r="AP874" s="16"/>
      <c r="AT874" s="16"/>
      <c r="AX874" s="16"/>
    </row>
    <row r="875" spans="2:50" x14ac:dyDescent="0.25">
      <c r="B875" s="16"/>
      <c r="F875" s="16"/>
      <c r="J875" s="16"/>
      <c r="N875" s="16"/>
      <c r="R875" s="16"/>
      <c r="V875" s="16"/>
      <c r="Z875" s="16"/>
      <c r="AD875" s="16"/>
      <c r="AH875" s="16"/>
      <c r="AL875" s="16"/>
      <c r="AP875" s="16"/>
      <c r="AT875" s="16"/>
      <c r="AX875" s="16"/>
    </row>
    <row r="876" spans="2:50" x14ac:dyDescent="0.25">
      <c r="B876" s="16"/>
      <c r="F876" s="16"/>
      <c r="J876" s="16"/>
      <c r="N876" s="16"/>
      <c r="R876" s="16"/>
      <c r="V876" s="16"/>
      <c r="Z876" s="16"/>
      <c r="AD876" s="16"/>
      <c r="AH876" s="16"/>
      <c r="AL876" s="16"/>
      <c r="AP876" s="16"/>
      <c r="AT876" s="16"/>
      <c r="AX876" s="16"/>
    </row>
    <row r="877" spans="2:50" x14ac:dyDescent="0.25">
      <c r="B877" s="16"/>
      <c r="F877" s="16"/>
      <c r="J877" s="16"/>
      <c r="N877" s="16"/>
      <c r="R877" s="16"/>
      <c r="V877" s="16"/>
      <c r="Z877" s="16"/>
      <c r="AD877" s="16"/>
      <c r="AH877" s="16"/>
      <c r="AL877" s="16"/>
      <c r="AP877" s="16"/>
      <c r="AT877" s="16"/>
      <c r="AX877" s="16"/>
    </row>
    <row r="878" spans="2:50" x14ac:dyDescent="0.25">
      <c r="B878" s="16"/>
      <c r="F878" s="16"/>
      <c r="J878" s="16"/>
      <c r="N878" s="16"/>
      <c r="R878" s="16"/>
      <c r="V878" s="16"/>
      <c r="Z878" s="16"/>
      <c r="AD878" s="16"/>
      <c r="AH878" s="16"/>
      <c r="AL878" s="16"/>
      <c r="AP878" s="16"/>
      <c r="AT878" s="16"/>
      <c r="AX878" s="16"/>
    </row>
    <row r="879" spans="2:50" x14ac:dyDescent="0.25">
      <c r="B879" s="16"/>
      <c r="F879" s="16"/>
      <c r="J879" s="16"/>
      <c r="N879" s="16"/>
      <c r="R879" s="16"/>
      <c r="V879" s="16"/>
      <c r="Z879" s="16"/>
      <c r="AD879" s="16"/>
      <c r="AH879" s="16"/>
      <c r="AL879" s="16"/>
      <c r="AP879" s="16"/>
      <c r="AT879" s="16"/>
      <c r="AX879" s="16"/>
    </row>
    <row r="880" spans="2:50" x14ac:dyDescent="0.25">
      <c r="B880" s="16"/>
      <c r="F880" s="16"/>
      <c r="J880" s="16"/>
      <c r="N880" s="16"/>
      <c r="R880" s="16"/>
      <c r="V880" s="16"/>
      <c r="Z880" s="16"/>
      <c r="AD880" s="16"/>
      <c r="AH880" s="16"/>
      <c r="AL880" s="16"/>
      <c r="AP880" s="16"/>
      <c r="AT880" s="16"/>
      <c r="AX880" s="16"/>
    </row>
    <row r="881" spans="2:50" x14ac:dyDescent="0.25">
      <c r="B881" s="16"/>
      <c r="F881" s="16"/>
      <c r="J881" s="16"/>
      <c r="N881" s="16"/>
      <c r="R881" s="16"/>
      <c r="V881" s="16"/>
      <c r="Z881" s="16"/>
      <c r="AD881" s="16"/>
      <c r="AH881" s="16"/>
      <c r="AL881" s="16"/>
      <c r="AP881" s="16"/>
      <c r="AT881" s="16"/>
      <c r="AX881" s="16"/>
    </row>
    <row r="882" spans="2:50" x14ac:dyDescent="0.25">
      <c r="B882" s="16"/>
      <c r="F882" s="16"/>
      <c r="J882" s="16"/>
      <c r="N882" s="16"/>
      <c r="R882" s="16"/>
      <c r="V882" s="16"/>
      <c r="Z882" s="16"/>
      <c r="AD882" s="16"/>
      <c r="AH882" s="16"/>
      <c r="AL882" s="16"/>
      <c r="AP882" s="16"/>
      <c r="AT882" s="16"/>
      <c r="AX882" s="16"/>
    </row>
    <row r="883" spans="2:50" x14ac:dyDescent="0.25">
      <c r="B883" s="16"/>
      <c r="F883" s="16"/>
      <c r="J883" s="16"/>
      <c r="N883" s="16"/>
      <c r="R883" s="16"/>
      <c r="V883" s="16"/>
      <c r="Z883" s="16"/>
      <c r="AD883" s="16"/>
      <c r="AH883" s="16"/>
      <c r="AL883" s="16"/>
      <c r="AP883" s="16"/>
      <c r="AT883" s="16"/>
      <c r="AX883" s="16"/>
    </row>
    <row r="884" spans="2:50" x14ac:dyDescent="0.25">
      <c r="B884" s="16"/>
      <c r="F884" s="16"/>
      <c r="J884" s="16"/>
      <c r="N884" s="16"/>
      <c r="R884" s="16"/>
      <c r="V884" s="16"/>
      <c r="Z884" s="16"/>
      <c r="AD884" s="16"/>
      <c r="AH884" s="16"/>
      <c r="AL884" s="16"/>
      <c r="AP884" s="16"/>
      <c r="AT884" s="16"/>
      <c r="AX884" s="16"/>
    </row>
    <row r="885" spans="2:50" x14ac:dyDescent="0.25">
      <c r="B885" s="16"/>
      <c r="F885" s="16"/>
      <c r="J885" s="16"/>
      <c r="N885" s="16"/>
      <c r="R885" s="16"/>
      <c r="V885" s="16"/>
      <c r="Z885" s="16"/>
      <c r="AD885" s="16"/>
      <c r="AH885" s="16"/>
      <c r="AL885" s="16"/>
      <c r="AP885" s="16"/>
      <c r="AT885" s="16"/>
      <c r="AX885" s="16"/>
    </row>
    <row r="886" spans="2:50" x14ac:dyDescent="0.25">
      <c r="B886" s="16"/>
      <c r="F886" s="16"/>
      <c r="J886" s="16"/>
      <c r="N886" s="16"/>
      <c r="R886" s="16"/>
      <c r="V886" s="16"/>
      <c r="Z886" s="16"/>
      <c r="AD886" s="16"/>
      <c r="AH886" s="16"/>
      <c r="AL886" s="16"/>
      <c r="AP886" s="16"/>
      <c r="AT886" s="16"/>
      <c r="AX886" s="16"/>
    </row>
    <row r="887" spans="2:50" x14ac:dyDescent="0.25">
      <c r="B887" s="16"/>
      <c r="F887" s="16"/>
      <c r="J887" s="16"/>
      <c r="N887" s="16"/>
      <c r="R887" s="16"/>
      <c r="V887" s="16"/>
      <c r="Z887" s="16"/>
      <c r="AD887" s="16"/>
      <c r="AH887" s="16"/>
      <c r="AL887" s="16"/>
      <c r="AP887" s="16"/>
      <c r="AT887" s="16"/>
      <c r="AX887" s="16"/>
    </row>
    <row r="888" spans="2:50" x14ac:dyDescent="0.25">
      <c r="B888" s="16"/>
      <c r="F888" s="16"/>
      <c r="J888" s="16"/>
      <c r="N888" s="16"/>
      <c r="R888" s="16"/>
      <c r="V888" s="16"/>
      <c r="Z888" s="16"/>
      <c r="AD888" s="16"/>
      <c r="AH888" s="16"/>
      <c r="AL888" s="16"/>
      <c r="AP888" s="16"/>
      <c r="AT888" s="16"/>
      <c r="AX888" s="16"/>
    </row>
    <row r="889" spans="2:50" x14ac:dyDescent="0.25">
      <c r="B889" s="16"/>
      <c r="F889" s="16"/>
      <c r="J889" s="16"/>
      <c r="N889" s="16"/>
      <c r="R889" s="16"/>
      <c r="V889" s="16"/>
      <c r="Z889" s="16"/>
      <c r="AD889" s="16"/>
      <c r="AH889" s="16"/>
      <c r="AL889" s="16"/>
      <c r="AP889" s="16"/>
      <c r="AT889" s="16"/>
      <c r="AX889" s="16"/>
    </row>
    <row r="890" spans="2:50" x14ac:dyDescent="0.25">
      <c r="B890" s="16"/>
      <c r="F890" s="16"/>
      <c r="J890" s="16"/>
      <c r="N890" s="16"/>
      <c r="R890" s="16"/>
      <c r="V890" s="16"/>
      <c r="Z890" s="16"/>
      <c r="AD890" s="16"/>
      <c r="AH890" s="16"/>
      <c r="AL890" s="16"/>
      <c r="AP890" s="16"/>
      <c r="AT890" s="16"/>
      <c r="AX890" s="16"/>
    </row>
    <row r="891" spans="2:50" x14ac:dyDescent="0.25">
      <c r="B891" s="16"/>
      <c r="F891" s="16"/>
      <c r="J891" s="16"/>
      <c r="N891" s="16"/>
      <c r="R891" s="16"/>
      <c r="V891" s="16"/>
      <c r="Z891" s="16"/>
      <c r="AD891" s="16"/>
      <c r="AH891" s="16"/>
      <c r="AL891" s="16"/>
      <c r="AP891" s="16"/>
      <c r="AT891" s="16"/>
      <c r="AX891" s="16"/>
    </row>
    <row r="892" spans="2:50" x14ac:dyDescent="0.25">
      <c r="B892" s="16"/>
      <c r="F892" s="16"/>
      <c r="J892" s="16"/>
      <c r="N892" s="16"/>
      <c r="R892" s="16"/>
      <c r="V892" s="16"/>
      <c r="Z892" s="16"/>
      <c r="AD892" s="16"/>
      <c r="AH892" s="16"/>
      <c r="AL892" s="16"/>
      <c r="AP892" s="16"/>
      <c r="AT892" s="16"/>
      <c r="AX892" s="16"/>
    </row>
    <row r="893" spans="2:50" x14ac:dyDescent="0.25">
      <c r="B893" s="16"/>
      <c r="F893" s="16"/>
      <c r="J893" s="16"/>
      <c r="N893" s="16"/>
      <c r="R893" s="16"/>
      <c r="V893" s="16"/>
      <c r="Z893" s="16"/>
      <c r="AD893" s="16"/>
      <c r="AH893" s="16"/>
      <c r="AL893" s="16"/>
      <c r="AP893" s="16"/>
      <c r="AT893" s="16"/>
      <c r="AX893" s="16"/>
    </row>
    <row r="894" spans="2:50" x14ac:dyDescent="0.25">
      <c r="B894" s="16"/>
      <c r="F894" s="16"/>
      <c r="J894" s="16"/>
      <c r="N894" s="16"/>
      <c r="R894" s="16"/>
      <c r="V894" s="16"/>
      <c r="Z894" s="16"/>
      <c r="AD894" s="16"/>
      <c r="AH894" s="16"/>
      <c r="AL894" s="16"/>
      <c r="AP894" s="16"/>
      <c r="AT894" s="16"/>
      <c r="AX894" s="16"/>
    </row>
    <row r="895" spans="2:50" x14ac:dyDescent="0.25">
      <c r="B895" s="16"/>
      <c r="F895" s="16"/>
      <c r="J895" s="16"/>
      <c r="N895" s="16"/>
      <c r="R895" s="16"/>
      <c r="V895" s="16"/>
      <c r="Z895" s="16"/>
      <c r="AD895" s="16"/>
      <c r="AH895" s="16"/>
      <c r="AL895" s="16"/>
      <c r="AP895" s="16"/>
      <c r="AT895" s="16"/>
      <c r="AX895" s="16"/>
    </row>
    <row r="896" spans="2:50" x14ac:dyDescent="0.25">
      <c r="B896" s="16"/>
      <c r="F896" s="16"/>
      <c r="J896" s="16"/>
      <c r="N896" s="16"/>
      <c r="R896" s="16"/>
      <c r="V896" s="16"/>
      <c r="Z896" s="16"/>
      <c r="AD896" s="16"/>
      <c r="AH896" s="16"/>
      <c r="AL896" s="16"/>
      <c r="AP896" s="16"/>
      <c r="AT896" s="16"/>
      <c r="AX896" s="16"/>
    </row>
    <row r="897" spans="2:50" x14ac:dyDescent="0.25">
      <c r="B897" s="16"/>
      <c r="F897" s="16"/>
      <c r="J897" s="16"/>
      <c r="N897" s="16"/>
      <c r="R897" s="16"/>
      <c r="V897" s="16"/>
      <c r="Z897" s="16"/>
      <c r="AD897" s="16"/>
      <c r="AH897" s="16"/>
      <c r="AL897" s="16"/>
      <c r="AP897" s="16"/>
      <c r="AT897" s="16"/>
      <c r="AX897" s="16"/>
    </row>
    <row r="898" spans="2:50" x14ac:dyDescent="0.25">
      <c r="B898" s="16"/>
      <c r="F898" s="16"/>
      <c r="J898" s="16"/>
      <c r="N898" s="16"/>
      <c r="R898" s="16"/>
      <c r="V898" s="16"/>
      <c r="Z898" s="16"/>
      <c r="AD898" s="16"/>
      <c r="AH898" s="16"/>
      <c r="AL898" s="16"/>
      <c r="AP898" s="16"/>
      <c r="AT898" s="16"/>
      <c r="AX898" s="16"/>
    </row>
    <row r="899" spans="2:50" x14ac:dyDescent="0.25">
      <c r="B899" s="16"/>
      <c r="F899" s="16"/>
      <c r="J899" s="16"/>
      <c r="N899" s="16"/>
      <c r="R899" s="16"/>
      <c r="V899" s="16"/>
      <c r="Z899" s="16"/>
      <c r="AD899" s="16"/>
      <c r="AH899" s="16"/>
      <c r="AL899" s="16"/>
      <c r="AP899" s="16"/>
      <c r="AT899" s="16"/>
      <c r="AX899" s="16"/>
    </row>
    <row r="900" spans="2:50" x14ac:dyDescent="0.25">
      <c r="B900" s="16"/>
      <c r="F900" s="16"/>
      <c r="J900" s="16"/>
      <c r="N900" s="16"/>
      <c r="R900" s="16"/>
      <c r="V900" s="16"/>
      <c r="Z900" s="16"/>
      <c r="AD900" s="16"/>
      <c r="AH900" s="16"/>
      <c r="AL900" s="16"/>
      <c r="AP900" s="16"/>
      <c r="AT900" s="16"/>
      <c r="AX900" s="16"/>
    </row>
    <row r="901" spans="2:50" x14ac:dyDescent="0.25">
      <c r="B901" s="16"/>
      <c r="F901" s="16"/>
      <c r="J901" s="16"/>
      <c r="N901" s="16"/>
      <c r="R901" s="16"/>
      <c r="V901" s="16"/>
      <c r="Z901" s="16"/>
      <c r="AD901" s="16"/>
      <c r="AH901" s="16"/>
      <c r="AL901" s="16"/>
      <c r="AP901" s="16"/>
      <c r="AT901" s="16"/>
      <c r="AX901" s="16"/>
    </row>
    <row r="902" spans="2:50" x14ac:dyDescent="0.25">
      <c r="B902" s="16"/>
      <c r="F902" s="16"/>
      <c r="J902" s="16"/>
      <c r="N902" s="16"/>
      <c r="R902" s="16"/>
      <c r="V902" s="16"/>
      <c r="Z902" s="16"/>
      <c r="AD902" s="16"/>
      <c r="AH902" s="16"/>
      <c r="AL902" s="16"/>
      <c r="AP902" s="16"/>
      <c r="AT902" s="16"/>
      <c r="AX902" s="16"/>
    </row>
    <row r="903" spans="2:50" x14ac:dyDescent="0.25">
      <c r="B903" s="16"/>
      <c r="F903" s="16"/>
      <c r="J903" s="16"/>
      <c r="N903" s="16"/>
      <c r="R903" s="16"/>
      <c r="V903" s="16"/>
      <c r="Z903" s="16"/>
      <c r="AD903" s="16"/>
      <c r="AH903" s="16"/>
      <c r="AL903" s="16"/>
      <c r="AP903" s="16"/>
      <c r="AT903" s="16"/>
      <c r="AX903" s="16"/>
    </row>
    <row r="904" spans="2:50" x14ac:dyDescent="0.25">
      <c r="B904" s="16"/>
      <c r="F904" s="16"/>
      <c r="J904" s="16"/>
      <c r="N904" s="16"/>
      <c r="R904" s="16"/>
      <c r="V904" s="16"/>
      <c r="Z904" s="16"/>
      <c r="AD904" s="16"/>
      <c r="AH904" s="16"/>
      <c r="AL904" s="16"/>
      <c r="AP904" s="16"/>
      <c r="AT904" s="16"/>
      <c r="AX904" s="16"/>
    </row>
    <row r="905" spans="2:50" x14ac:dyDescent="0.25">
      <c r="B905" s="16"/>
      <c r="F905" s="16"/>
      <c r="J905" s="16"/>
      <c r="N905" s="16"/>
      <c r="R905" s="16"/>
      <c r="V905" s="16"/>
      <c r="Z905" s="16"/>
      <c r="AD905" s="16"/>
      <c r="AH905" s="16"/>
      <c r="AL905" s="16"/>
      <c r="AP905" s="16"/>
      <c r="AT905" s="16"/>
      <c r="AX905" s="16"/>
    </row>
    <row r="906" spans="2:50" x14ac:dyDescent="0.25">
      <c r="B906" s="16"/>
      <c r="F906" s="16"/>
      <c r="J906" s="16"/>
      <c r="N906" s="16"/>
      <c r="R906" s="16"/>
      <c r="V906" s="16"/>
      <c r="Z906" s="16"/>
      <c r="AD906" s="16"/>
      <c r="AH906" s="16"/>
      <c r="AL906" s="16"/>
      <c r="AP906" s="16"/>
      <c r="AT906" s="16"/>
      <c r="AX906" s="16"/>
    </row>
    <row r="907" spans="2:50" x14ac:dyDescent="0.25">
      <c r="B907" s="16"/>
      <c r="F907" s="16"/>
      <c r="J907" s="16"/>
      <c r="N907" s="16"/>
      <c r="R907" s="16"/>
      <c r="V907" s="16"/>
      <c r="Z907" s="16"/>
      <c r="AD907" s="16"/>
      <c r="AH907" s="16"/>
      <c r="AL907" s="16"/>
      <c r="AP907" s="16"/>
      <c r="AT907" s="16"/>
      <c r="AX907" s="16"/>
    </row>
    <row r="908" spans="2:50" x14ac:dyDescent="0.25">
      <c r="B908" s="16"/>
      <c r="F908" s="16"/>
      <c r="J908" s="16"/>
      <c r="N908" s="16"/>
      <c r="R908" s="16"/>
      <c r="V908" s="16"/>
      <c r="Z908" s="16"/>
      <c r="AD908" s="16"/>
      <c r="AH908" s="16"/>
      <c r="AL908" s="16"/>
      <c r="AP908" s="16"/>
      <c r="AT908" s="16"/>
      <c r="AX908" s="16"/>
    </row>
    <row r="909" spans="2:50" x14ac:dyDescent="0.25">
      <c r="B909" s="16"/>
      <c r="F909" s="16"/>
      <c r="J909" s="16"/>
      <c r="N909" s="16"/>
      <c r="R909" s="16"/>
      <c r="V909" s="16"/>
      <c r="Z909" s="16"/>
      <c r="AD909" s="16"/>
      <c r="AH909" s="16"/>
      <c r="AL909" s="16"/>
      <c r="AP909" s="16"/>
      <c r="AT909" s="16"/>
      <c r="AX909" s="16"/>
    </row>
    <row r="910" spans="2:50" x14ac:dyDescent="0.25">
      <c r="B910" s="16"/>
      <c r="F910" s="16"/>
      <c r="J910" s="16"/>
      <c r="N910" s="16"/>
      <c r="R910" s="16"/>
      <c r="V910" s="16"/>
      <c r="Z910" s="16"/>
      <c r="AD910" s="16"/>
      <c r="AH910" s="16"/>
      <c r="AL910" s="16"/>
      <c r="AP910" s="16"/>
      <c r="AT910" s="16"/>
      <c r="AX910" s="16"/>
    </row>
    <row r="911" spans="2:50" x14ac:dyDescent="0.25">
      <c r="B911" s="16"/>
      <c r="F911" s="16"/>
      <c r="J911" s="16"/>
      <c r="N911" s="16"/>
      <c r="R911" s="16"/>
      <c r="V911" s="16"/>
      <c r="Z911" s="16"/>
      <c r="AD911" s="16"/>
      <c r="AH911" s="16"/>
      <c r="AL911" s="16"/>
      <c r="AP911" s="16"/>
      <c r="AT911" s="16"/>
      <c r="AX911" s="16"/>
    </row>
    <row r="912" spans="2:50" x14ac:dyDescent="0.25">
      <c r="B912" s="16"/>
      <c r="F912" s="16"/>
      <c r="J912" s="16"/>
      <c r="N912" s="16"/>
      <c r="R912" s="16"/>
      <c r="V912" s="16"/>
      <c r="Z912" s="16"/>
      <c r="AD912" s="16"/>
      <c r="AH912" s="16"/>
      <c r="AL912" s="16"/>
      <c r="AP912" s="16"/>
      <c r="AT912" s="16"/>
      <c r="AX912" s="16"/>
    </row>
    <row r="913" spans="2:50" x14ac:dyDescent="0.25">
      <c r="B913" s="16"/>
      <c r="F913" s="16"/>
      <c r="J913" s="16"/>
      <c r="N913" s="16"/>
      <c r="R913" s="16"/>
      <c r="V913" s="16"/>
      <c r="Z913" s="16"/>
      <c r="AD913" s="16"/>
      <c r="AH913" s="16"/>
      <c r="AL913" s="16"/>
      <c r="AP913" s="16"/>
      <c r="AT913" s="16"/>
      <c r="AX913" s="16"/>
    </row>
    <row r="914" spans="2:50" x14ac:dyDescent="0.25">
      <c r="B914" s="16"/>
      <c r="F914" s="16"/>
      <c r="J914" s="16"/>
      <c r="N914" s="16"/>
      <c r="R914" s="16"/>
      <c r="V914" s="16"/>
      <c r="Z914" s="16"/>
      <c r="AD914" s="16"/>
      <c r="AH914" s="16"/>
      <c r="AL914" s="16"/>
      <c r="AP914" s="16"/>
      <c r="AT914" s="16"/>
      <c r="AX914" s="16"/>
    </row>
    <row r="915" spans="2:50" x14ac:dyDescent="0.25">
      <c r="B915" s="16"/>
      <c r="F915" s="16"/>
      <c r="J915" s="16"/>
      <c r="N915" s="16"/>
      <c r="R915" s="16"/>
      <c r="V915" s="16"/>
      <c r="Z915" s="16"/>
      <c r="AD915" s="16"/>
      <c r="AH915" s="16"/>
      <c r="AL915" s="16"/>
      <c r="AP915" s="16"/>
      <c r="AT915" s="16"/>
      <c r="AX915" s="16"/>
    </row>
    <row r="916" spans="2:50" x14ac:dyDescent="0.25">
      <c r="B916" s="16"/>
      <c r="F916" s="16"/>
      <c r="J916" s="16"/>
      <c r="N916" s="16"/>
      <c r="R916" s="16"/>
      <c r="V916" s="16"/>
      <c r="Z916" s="16"/>
      <c r="AD916" s="16"/>
      <c r="AH916" s="16"/>
      <c r="AL916" s="16"/>
      <c r="AP916" s="16"/>
      <c r="AT916" s="16"/>
      <c r="AX916" s="16"/>
    </row>
    <row r="917" spans="2:50" x14ac:dyDescent="0.25">
      <c r="B917" s="16"/>
      <c r="F917" s="16"/>
      <c r="J917" s="16"/>
      <c r="N917" s="16"/>
      <c r="R917" s="16"/>
      <c r="V917" s="16"/>
      <c r="Z917" s="16"/>
      <c r="AD917" s="16"/>
      <c r="AH917" s="16"/>
      <c r="AL917" s="16"/>
      <c r="AP917" s="16"/>
      <c r="AT917" s="16"/>
      <c r="AX917" s="16"/>
    </row>
    <row r="918" spans="2:50" x14ac:dyDescent="0.25">
      <c r="B918" s="16"/>
      <c r="F918" s="16"/>
      <c r="J918" s="16"/>
      <c r="N918" s="16"/>
      <c r="R918" s="16"/>
      <c r="V918" s="16"/>
      <c r="Z918" s="16"/>
      <c r="AD918" s="16"/>
      <c r="AH918" s="16"/>
      <c r="AL918" s="16"/>
      <c r="AP918" s="16"/>
      <c r="AT918" s="16"/>
      <c r="AX918" s="16"/>
    </row>
    <row r="919" spans="2:50" x14ac:dyDescent="0.25">
      <c r="B919" s="16"/>
      <c r="F919" s="16"/>
      <c r="J919" s="16"/>
      <c r="N919" s="16"/>
      <c r="R919" s="16"/>
      <c r="V919" s="16"/>
      <c r="Z919" s="16"/>
      <c r="AD919" s="16"/>
      <c r="AH919" s="16"/>
      <c r="AL919" s="16"/>
      <c r="AP919" s="16"/>
      <c r="AT919" s="16"/>
      <c r="AX919" s="16"/>
    </row>
    <row r="920" spans="2:50" x14ac:dyDescent="0.25">
      <c r="B920" s="16"/>
      <c r="F920" s="16"/>
      <c r="J920" s="16"/>
      <c r="N920" s="16"/>
      <c r="R920" s="16"/>
      <c r="V920" s="16"/>
      <c r="Z920" s="16"/>
      <c r="AD920" s="16"/>
      <c r="AH920" s="16"/>
      <c r="AL920" s="16"/>
      <c r="AP920" s="16"/>
      <c r="AT920" s="16"/>
      <c r="AX920" s="16"/>
    </row>
    <row r="921" spans="2:50" x14ac:dyDescent="0.25">
      <c r="B921" s="16"/>
      <c r="F921" s="16"/>
      <c r="J921" s="16"/>
      <c r="N921" s="16"/>
      <c r="R921" s="16"/>
      <c r="V921" s="16"/>
      <c r="Z921" s="16"/>
      <c r="AD921" s="16"/>
      <c r="AH921" s="16"/>
      <c r="AL921" s="16"/>
      <c r="AP921" s="16"/>
      <c r="AT921" s="16"/>
      <c r="AX921" s="16"/>
    </row>
    <row r="922" spans="2:50" x14ac:dyDescent="0.25">
      <c r="B922" s="16"/>
      <c r="F922" s="16"/>
      <c r="J922" s="16"/>
      <c r="N922" s="16"/>
      <c r="R922" s="16"/>
      <c r="V922" s="16"/>
      <c r="Z922" s="16"/>
      <c r="AD922" s="16"/>
      <c r="AH922" s="16"/>
      <c r="AL922" s="16"/>
      <c r="AP922" s="16"/>
      <c r="AT922" s="16"/>
      <c r="AX922" s="16"/>
    </row>
    <row r="923" spans="2:50" x14ac:dyDescent="0.25">
      <c r="B923" s="16"/>
      <c r="F923" s="16"/>
      <c r="J923" s="16"/>
      <c r="N923" s="16"/>
      <c r="R923" s="16"/>
      <c r="V923" s="16"/>
      <c r="Z923" s="16"/>
      <c r="AD923" s="16"/>
      <c r="AH923" s="16"/>
      <c r="AL923" s="16"/>
      <c r="AP923" s="16"/>
      <c r="AT923" s="16"/>
      <c r="AX923" s="16"/>
    </row>
    <row r="924" spans="2:50" x14ac:dyDescent="0.25">
      <c r="B924" s="16"/>
      <c r="F924" s="16"/>
      <c r="J924" s="16"/>
      <c r="N924" s="16"/>
      <c r="R924" s="16"/>
      <c r="V924" s="16"/>
      <c r="Z924" s="16"/>
      <c r="AD924" s="16"/>
      <c r="AH924" s="16"/>
      <c r="AL924" s="16"/>
      <c r="AP924" s="16"/>
      <c r="AT924" s="16"/>
      <c r="AX924" s="16"/>
    </row>
    <row r="925" spans="2:50" x14ac:dyDescent="0.25">
      <c r="B925" s="16"/>
      <c r="F925" s="16"/>
      <c r="J925" s="16"/>
      <c r="N925" s="16"/>
      <c r="R925" s="16"/>
      <c r="V925" s="16"/>
      <c r="Z925" s="16"/>
      <c r="AD925" s="16"/>
      <c r="AH925" s="16"/>
      <c r="AL925" s="16"/>
      <c r="AP925" s="16"/>
      <c r="AT925" s="16"/>
      <c r="AX925" s="16"/>
    </row>
    <row r="926" spans="2:50" x14ac:dyDescent="0.25">
      <c r="B926" s="16"/>
      <c r="F926" s="16"/>
      <c r="J926" s="16"/>
      <c r="N926" s="16"/>
      <c r="R926" s="16"/>
      <c r="V926" s="16"/>
      <c r="Z926" s="16"/>
      <c r="AD926" s="16"/>
      <c r="AH926" s="16"/>
      <c r="AL926" s="16"/>
      <c r="AP926" s="16"/>
      <c r="AT926" s="16"/>
      <c r="AX926" s="16"/>
    </row>
    <row r="927" spans="2:50" x14ac:dyDescent="0.25">
      <c r="B927" s="16"/>
      <c r="F927" s="16"/>
      <c r="J927" s="16"/>
      <c r="N927" s="16"/>
      <c r="R927" s="16"/>
      <c r="V927" s="16"/>
      <c r="Z927" s="16"/>
      <c r="AD927" s="16"/>
      <c r="AH927" s="16"/>
      <c r="AL927" s="16"/>
      <c r="AP927" s="16"/>
      <c r="AT927" s="16"/>
      <c r="AX927" s="16"/>
    </row>
    <row r="928" spans="2:50" x14ac:dyDescent="0.25">
      <c r="B928" s="16"/>
      <c r="F928" s="16"/>
      <c r="J928" s="16"/>
      <c r="N928" s="16"/>
      <c r="R928" s="16"/>
      <c r="V928" s="16"/>
      <c r="Z928" s="16"/>
      <c r="AD928" s="16"/>
      <c r="AH928" s="16"/>
      <c r="AL928" s="16"/>
      <c r="AP928" s="16"/>
      <c r="AT928" s="16"/>
      <c r="AX928" s="16"/>
    </row>
    <row r="929" spans="2:50" x14ac:dyDescent="0.25">
      <c r="B929" s="16"/>
      <c r="F929" s="16"/>
      <c r="J929" s="16"/>
      <c r="N929" s="16"/>
      <c r="R929" s="16"/>
      <c r="V929" s="16"/>
      <c r="Z929" s="16"/>
      <c r="AD929" s="16"/>
      <c r="AH929" s="16"/>
      <c r="AL929" s="16"/>
      <c r="AP929" s="16"/>
      <c r="AT929" s="16"/>
      <c r="AX929" s="16"/>
    </row>
    <row r="930" spans="2:50" x14ac:dyDescent="0.25">
      <c r="B930" s="16"/>
      <c r="F930" s="16"/>
      <c r="J930" s="16"/>
      <c r="N930" s="16"/>
      <c r="R930" s="16"/>
      <c r="V930" s="16"/>
      <c r="Z930" s="16"/>
      <c r="AD930" s="16"/>
      <c r="AH930" s="16"/>
      <c r="AL930" s="16"/>
      <c r="AP930" s="16"/>
      <c r="AT930" s="16"/>
      <c r="AX930" s="16"/>
    </row>
    <row r="931" spans="2:50" x14ac:dyDescent="0.25">
      <c r="B931" s="16"/>
      <c r="F931" s="16"/>
      <c r="J931" s="16"/>
      <c r="N931" s="16"/>
      <c r="R931" s="16"/>
      <c r="V931" s="16"/>
      <c r="Z931" s="16"/>
      <c r="AD931" s="16"/>
      <c r="AH931" s="16"/>
      <c r="AL931" s="16"/>
      <c r="AP931" s="16"/>
      <c r="AT931" s="16"/>
      <c r="AX931" s="16"/>
    </row>
    <row r="932" spans="2:50" x14ac:dyDescent="0.25">
      <c r="B932" s="16"/>
      <c r="F932" s="16"/>
      <c r="J932" s="16"/>
      <c r="N932" s="16"/>
      <c r="R932" s="16"/>
      <c r="V932" s="16"/>
      <c r="Z932" s="16"/>
      <c r="AD932" s="16"/>
      <c r="AH932" s="16"/>
      <c r="AL932" s="16"/>
      <c r="AP932" s="16"/>
      <c r="AT932" s="16"/>
      <c r="AX932" s="16"/>
    </row>
    <row r="933" spans="2:50" x14ac:dyDescent="0.25">
      <c r="B933" s="16"/>
      <c r="F933" s="16"/>
      <c r="J933" s="16"/>
      <c r="N933" s="16"/>
      <c r="R933" s="16"/>
      <c r="V933" s="16"/>
      <c r="Z933" s="16"/>
      <c r="AD933" s="16"/>
      <c r="AH933" s="16"/>
      <c r="AL933" s="16"/>
      <c r="AP933" s="16"/>
      <c r="AT933" s="16"/>
      <c r="AX933" s="16"/>
    </row>
    <row r="934" spans="2:50" x14ac:dyDescent="0.25">
      <c r="B934" s="16"/>
      <c r="F934" s="16"/>
      <c r="J934" s="16"/>
      <c r="N934" s="16"/>
      <c r="R934" s="16"/>
      <c r="V934" s="16"/>
      <c r="Z934" s="16"/>
      <c r="AD934" s="16"/>
      <c r="AH934" s="16"/>
      <c r="AL934" s="16"/>
      <c r="AP934" s="16"/>
      <c r="AT934" s="16"/>
      <c r="AX934" s="16"/>
    </row>
    <row r="935" spans="2:50" x14ac:dyDescent="0.25">
      <c r="B935" s="16"/>
      <c r="F935" s="16"/>
      <c r="J935" s="16"/>
      <c r="N935" s="16"/>
      <c r="R935" s="16"/>
      <c r="V935" s="16"/>
      <c r="Z935" s="16"/>
      <c r="AD935" s="16"/>
      <c r="AH935" s="16"/>
      <c r="AL935" s="16"/>
      <c r="AP935" s="16"/>
      <c r="AT935" s="16"/>
      <c r="AX935" s="16"/>
    </row>
    <row r="936" spans="2:50" x14ac:dyDescent="0.25">
      <c r="B936" s="16"/>
      <c r="F936" s="16"/>
      <c r="J936" s="16"/>
      <c r="N936" s="16"/>
      <c r="R936" s="16"/>
      <c r="V936" s="16"/>
      <c r="Z936" s="16"/>
      <c r="AD936" s="16"/>
      <c r="AH936" s="16"/>
      <c r="AL936" s="16"/>
      <c r="AP936" s="16"/>
      <c r="AT936" s="16"/>
      <c r="AX936" s="16"/>
    </row>
    <row r="937" spans="2:50" x14ac:dyDescent="0.25">
      <c r="B937" s="16"/>
      <c r="F937" s="16"/>
      <c r="J937" s="16"/>
      <c r="N937" s="16"/>
      <c r="R937" s="16"/>
      <c r="V937" s="16"/>
      <c r="Z937" s="16"/>
      <c r="AD937" s="16"/>
      <c r="AH937" s="16"/>
      <c r="AL937" s="16"/>
      <c r="AP937" s="16"/>
      <c r="AT937" s="16"/>
      <c r="AX937" s="16"/>
    </row>
    <row r="938" spans="2:50" x14ac:dyDescent="0.25">
      <c r="B938" s="16"/>
      <c r="F938" s="16"/>
      <c r="J938" s="16"/>
      <c r="N938" s="16"/>
      <c r="R938" s="16"/>
      <c r="V938" s="16"/>
      <c r="Z938" s="16"/>
      <c r="AD938" s="16"/>
      <c r="AH938" s="16"/>
      <c r="AL938" s="16"/>
      <c r="AP938" s="16"/>
      <c r="AT938" s="16"/>
      <c r="AX938" s="16"/>
    </row>
    <row r="939" spans="2:50" x14ac:dyDescent="0.25">
      <c r="B939" s="16"/>
      <c r="F939" s="16"/>
      <c r="J939" s="16"/>
      <c r="N939" s="16"/>
      <c r="R939" s="16"/>
      <c r="V939" s="16"/>
      <c r="Z939" s="16"/>
      <c r="AD939" s="16"/>
      <c r="AH939" s="16"/>
      <c r="AL939" s="16"/>
      <c r="AP939" s="16"/>
      <c r="AT939" s="16"/>
      <c r="AX939" s="16"/>
    </row>
    <row r="940" spans="2:50" x14ac:dyDescent="0.25">
      <c r="B940" s="16"/>
      <c r="F940" s="16"/>
      <c r="J940" s="16"/>
      <c r="N940" s="16"/>
      <c r="R940" s="16"/>
      <c r="V940" s="16"/>
      <c r="Z940" s="16"/>
      <c r="AD940" s="16"/>
      <c r="AH940" s="16"/>
      <c r="AL940" s="16"/>
      <c r="AP940" s="16"/>
      <c r="AT940" s="16"/>
      <c r="AX940" s="16"/>
    </row>
    <row r="941" spans="2:50" x14ac:dyDescent="0.25">
      <c r="B941" s="16"/>
      <c r="F941" s="16"/>
      <c r="J941" s="16"/>
      <c r="N941" s="16"/>
      <c r="R941" s="16"/>
      <c r="V941" s="16"/>
      <c r="Z941" s="16"/>
      <c r="AD941" s="16"/>
      <c r="AH941" s="16"/>
      <c r="AL941" s="16"/>
      <c r="AP941" s="16"/>
      <c r="AT941" s="16"/>
      <c r="AX941" s="16"/>
    </row>
    <row r="942" spans="2:50" x14ac:dyDescent="0.25">
      <c r="B942" s="16"/>
      <c r="F942" s="16"/>
      <c r="J942" s="16"/>
      <c r="N942" s="16"/>
      <c r="R942" s="16"/>
      <c r="V942" s="16"/>
      <c r="Z942" s="16"/>
      <c r="AD942" s="16"/>
      <c r="AH942" s="16"/>
      <c r="AL942" s="16"/>
      <c r="AP942" s="16"/>
      <c r="AT942" s="16"/>
      <c r="AX942" s="16"/>
    </row>
    <row r="943" spans="2:50" x14ac:dyDescent="0.25">
      <c r="B943" s="16"/>
      <c r="F943" s="16"/>
      <c r="J943" s="16"/>
      <c r="N943" s="16"/>
      <c r="R943" s="16"/>
      <c r="V943" s="16"/>
      <c r="Z943" s="16"/>
      <c r="AD943" s="16"/>
      <c r="AH943" s="16"/>
      <c r="AL943" s="16"/>
      <c r="AP943" s="16"/>
      <c r="AT943" s="16"/>
      <c r="AX943" s="16"/>
    </row>
    <row r="944" spans="2:50" x14ac:dyDescent="0.25">
      <c r="B944" s="16"/>
      <c r="F944" s="16"/>
      <c r="J944" s="16"/>
      <c r="N944" s="16"/>
      <c r="R944" s="16"/>
      <c r="V944" s="16"/>
      <c r="Z944" s="16"/>
      <c r="AD944" s="16"/>
      <c r="AH944" s="16"/>
      <c r="AL944" s="16"/>
      <c r="AP944" s="16"/>
      <c r="AT944" s="16"/>
      <c r="AX944" s="16"/>
    </row>
    <row r="945" spans="2:50" x14ac:dyDescent="0.25">
      <c r="B945" s="16"/>
      <c r="F945" s="16"/>
      <c r="J945" s="16"/>
      <c r="N945" s="16"/>
      <c r="R945" s="16"/>
      <c r="V945" s="16"/>
      <c r="Z945" s="16"/>
      <c r="AD945" s="16"/>
      <c r="AH945" s="16"/>
      <c r="AL945" s="16"/>
      <c r="AP945" s="16"/>
      <c r="AT945" s="16"/>
      <c r="AX945" s="16"/>
    </row>
    <row r="946" spans="2:50" x14ac:dyDescent="0.25">
      <c r="B946" s="16"/>
      <c r="F946" s="16"/>
      <c r="J946" s="16"/>
      <c r="N946" s="16"/>
      <c r="R946" s="16"/>
      <c r="V946" s="16"/>
      <c r="Z946" s="16"/>
      <c r="AD946" s="16"/>
      <c r="AH946" s="16"/>
      <c r="AL946" s="16"/>
      <c r="AP946" s="16"/>
      <c r="AT946" s="16"/>
      <c r="AX946" s="16"/>
    </row>
    <row r="947" spans="2:50" x14ac:dyDescent="0.25">
      <c r="B947" s="16"/>
      <c r="F947" s="16"/>
      <c r="J947" s="16"/>
      <c r="N947" s="16"/>
      <c r="R947" s="16"/>
      <c r="V947" s="16"/>
      <c r="Z947" s="16"/>
      <c r="AD947" s="16"/>
      <c r="AH947" s="16"/>
      <c r="AL947" s="16"/>
      <c r="AP947" s="16"/>
      <c r="AT947" s="16"/>
      <c r="AX947" s="16"/>
    </row>
    <row r="948" spans="2:50" x14ac:dyDescent="0.25">
      <c r="B948" s="16"/>
      <c r="F948" s="16"/>
      <c r="J948" s="16"/>
      <c r="N948" s="16"/>
      <c r="R948" s="16"/>
      <c r="V948" s="16"/>
      <c r="Z948" s="16"/>
      <c r="AD948" s="16"/>
      <c r="AH948" s="16"/>
      <c r="AL948" s="16"/>
      <c r="AP948" s="16"/>
      <c r="AT948" s="16"/>
      <c r="AX948" s="16"/>
    </row>
    <row r="949" spans="2:50" x14ac:dyDescent="0.25">
      <c r="B949" s="16"/>
      <c r="F949" s="16"/>
      <c r="J949" s="16"/>
      <c r="N949" s="16"/>
      <c r="R949" s="16"/>
      <c r="V949" s="16"/>
      <c r="Z949" s="16"/>
      <c r="AD949" s="16"/>
      <c r="AH949" s="16"/>
      <c r="AL949" s="16"/>
      <c r="AP949" s="16"/>
      <c r="AT949" s="16"/>
      <c r="AX949" s="16"/>
    </row>
    <row r="950" spans="2:50" x14ac:dyDescent="0.25">
      <c r="B950" s="16"/>
      <c r="F950" s="16"/>
      <c r="J950" s="16"/>
      <c r="N950" s="16"/>
      <c r="R950" s="16"/>
      <c r="V950" s="16"/>
      <c r="Z950" s="16"/>
      <c r="AD950" s="16"/>
      <c r="AH950" s="16"/>
      <c r="AL950" s="16"/>
      <c r="AP950" s="16"/>
      <c r="AT950" s="16"/>
      <c r="AX950" s="16"/>
    </row>
    <row r="951" spans="2:50" x14ac:dyDescent="0.25">
      <c r="B951" s="16"/>
      <c r="F951" s="16"/>
      <c r="J951" s="16"/>
      <c r="N951" s="16"/>
      <c r="R951" s="16"/>
      <c r="V951" s="16"/>
      <c r="Z951" s="16"/>
      <c r="AD951" s="16"/>
      <c r="AH951" s="16"/>
      <c r="AL951" s="16"/>
      <c r="AP951" s="16"/>
      <c r="AT951" s="16"/>
      <c r="AX951" s="16"/>
    </row>
    <row r="952" spans="2:50" x14ac:dyDescent="0.25">
      <c r="B952" s="16"/>
      <c r="F952" s="16"/>
      <c r="J952" s="16"/>
      <c r="N952" s="16"/>
      <c r="R952" s="16"/>
      <c r="V952" s="16"/>
      <c r="Z952" s="16"/>
      <c r="AD952" s="16"/>
      <c r="AH952" s="16"/>
      <c r="AL952" s="16"/>
      <c r="AP952" s="16"/>
      <c r="AT952" s="16"/>
      <c r="AX952" s="16"/>
    </row>
    <row r="953" spans="2:50" x14ac:dyDescent="0.25">
      <c r="B953" s="16"/>
      <c r="F953" s="16"/>
      <c r="J953" s="16"/>
      <c r="N953" s="16"/>
      <c r="R953" s="16"/>
      <c r="V953" s="16"/>
      <c r="Z953" s="16"/>
      <c r="AD953" s="16"/>
      <c r="AH953" s="16"/>
      <c r="AL953" s="16"/>
      <c r="AP953" s="16"/>
      <c r="AT953" s="16"/>
      <c r="AX953" s="16"/>
    </row>
    <row r="954" spans="2:50" x14ac:dyDescent="0.25">
      <c r="B954" s="16"/>
      <c r="F954" s="16"/>
      <c r="J954" s="16"/>
      <c r="N954" s="16"/>
      <c r="R954" s="16"/>
      <c r="V954" s="16"/>
      <c r="Z954" s="16"/>
      <c r="AD954" s="16"/>
      <c r="AH954" s="16"/>
      <c r="AL954" s="16"/>
      <c r="AP954" s="16"/>
      <c r="AT954" s="16"/>
      <c r="AX954" s="16"/>
    </row>
    <row r="955" spans="2:50" x14ac:dyDescent="0.25">
      <c r="B955" s="16"/>
      <c r="F955" s="16"/>
      <c r="J955" s="16"/>
      <c r="N955" s="16"/>
      <c r="R955" s="16"/>
      <c r="V955" s="16"/>
      <c r="Z955" s="16"/>
      <c r="AD955" s="16"/>
      <c r="AH955" s="16"/>
      <c r="AL955" s="16"/>
      <c r="AP955" s="16"/>
      <c r="AT955" s="16"/>
      <c r="AX955" s="16"/>
    </row>
    <row r="956" spans="2:50" x14ac:dyDescent="0.25">
      <c r="B956" s="16"/>
      <c r="F956" s="16"/>
      <c r="J956" s="16"/>
      <c r="N956" s="16"/>
      <c r="R956" s="16"/>
      <c r="V956" s="16"/>
      <c r="Z956" s="16"/>
      <c r="AD956" s="16"/>
      <c r="AH956" s="16"/>
      <c r="AL956" s="16"/>
      <c r="AP956" s="16"/>
      <c r="AT956" s="16"/>
      <c r="AX956" s="16"/>
    </row>
    <row r="957" spans="2:50" x14ac:dyDescent="0.25">
      <c r="B957" s="16"/>
      <c r="F957" s="16"/>
      <c r="J957" s="16"/>
      <c r="N957" s="16"/>
      <c r="R957" s="16"/>
      <c r="V957" s="16"/>
      <c r="Z957" s="16"/>
      <c r="AD957" s="16"/>
      <c r="AH957" s="16"/>
      <c r="AL957" s="16"/>
      <c r="AP957" s="16"/>
      <c r="AT957" s="16"/>
      <c r="AX957" s="16"/>
    </row>
    <row r="958" spans="2:50" x14ac:dyDescent="0.25">
      <c r="B958" s="16"/>
      <c r="F958" s="16"/>
      <c r="J958" s="16"/>
      <c r="N958" s="16"/>
      <c r="R958" s="16"/>
      <c r="V958" s="16"/>
      <c r="Z958" s="16"/>
      <c r="AD958" s="16"/>
      <c r="AH958" s="16"/>
      <c r="AL958" s="16"/>
      <c r="AP958" s="16"/>
      <c r="AT958" s="16"/>
      <c r="AX958" s="16"/>
    </row>
    <row r="959" spans="2:50" x14ac:dyDescent="0.25">
      <c r="B959" s="16"/>
      <c r="F959" s="16"/>
      <c r="J959" s="16"/>
      <c r="N959" s="16"/>
      <c r="R959" s="16"/>
      <c r="V959" s="16"/>
      <c r="Z959" s="16"/>
      <c r="AD959" s="16"/>
      <c r="AH959" s="16"/>
      <c r="AL959" s="16"/>
      <c r="AP959" s="16"/>
      <c r="AT959" s="16"/>
      <c r="AX959" s="16"/>
    </row>
    <row r="960" spans="2:50" x14ac:dyDescent="0.25">
      <c r="B960" s="16"/>
      <c r="F960" s="16"/>
      <c r="J960" s="16"/>
      <c r="N960" s="16"/>
      <c r="R960" s="16"/>
      <c r="V960" s="16"/>
      <c r="Z960" s="16"/>
      <c r="AD960" s="16"/>
      <c r="AH960" s="16"/>
      <c r="AL960" s="16"/>
      <c r="AP960" s="16"/>
      <c r="AT960" s="16"/>
      <c r="AX960" s="16"/>
    </row>
    <row r="961" spans="2:50" x14ac:dyDescent="0.25">
      <c r="B961" s="16"/>
      <c r="F961" s="16"/>
      <c r="J961" s="16"/>
      <c r="N961" s="16"/>
      <c r="R961" s="16"/>
      <c r="V961" s="16"/>
      <c r="Z961" s="16"/>
      <c r="AD961" s="16"/>
      <c r="AH961" s="16"/>
      <c r="AL961" s="16"/>
      <c r="AP961" s="16"/>
      <c r="AT961" s="16"/>
      <c r="AX961" s="16"/>
    </row>
    <row r="962" spans="2:50" x14ac:dyDescent="0.25">
      <c r="B962" s="16"/>
      <c r="F962" s="16"/>
      <c r="J962" s="16"/>
      <c r="N962" s="16"/>
      <c r="R962" s="16"/>
      <c r="V962" s="16"/>
      <c r="Z962" s="16"/>
      <c r="AD962" s="16"/>
      <c r="AH962" s="16"/>
      <c r="AL962" s="16"/>
      <c r="AP962" s="16"/>
      <c r="AT962" s="16"/>
      <c r="AX962" s="16"/>
    </row>
    <row r="963" spans="2:50" x14ac:dyDescent="0.25">
      <c r="B963" s="16"/>
      <c r="F963" s="16"/>
      <c r="J963" s="16"/>
      <c r="N963" s="16"/>
      <c r="R963" s="16"/>
      <c r="V963" s="16"/>
      <c r="Z963" s="16"/>
      <c r="AD963" s="16"/>
      <c r="AH963" s="16"/>
      <c r="AL963" s="16"/>
      <c r="AP963" s="16"/>
      <c r="AT963" s="16"/>
      <c r="AX963" s="16"/>
    </row>
    <row r="964" spans="2:50" x14ac:dyDescent="0.25">
      <c r="B964" s="16"/>
      <c r="F964" s="16"/>
      <c r="J964" s="16"/>
      <c r="N964" s="16"/>
      <c r="R964" s="16"/>
      <c r="V964" s="16"/>
      <c r="Z964" s="16"/>
      <c r="AD964" s="16"/>
      <c r="AH964" s="16"/>
      <c r="AL964" s="16"/>
      <c r="AP964" s="16"/>
      <c r="AT964" s="16"/>
      <c r="AX964" s="16"/>
    </row>
    <row r="965" spans="2:50" x14ac:dyDescent="0.25">
      <c r="B965" s="16"/>
      <c r="F965" s="16"/>
      <c r="J965" s="16"/>
      <c r="N965" s="16"/>
      <c r="R965" s="16"/>
      <c r="V965" s="16"/>
      <c r="Z965" s="16"/>
      <c r="AD965" s="16"/>
      <c r="AH965" s="16"/>
      <c r="AL965" s="16"/>
      <c r="AP965" s="16"/>
      <c r="AT965" s="16"/>
      <c r="AX965" s="16"/>
    </row>
    <row r="966" spans="2:50" x14ac:dyDescent="0.25">
      <c r="B966" s="16"/>
      <c r="F966" s="16"/>
      <c r="J966" s="16"/>
      <c r="N966" s="16"/>
      <c r="R966" s="16"/>
      <c r="V966" s="16"/>
      <c r="Z966" s="16"/>
      <c r="AD966" s="16"/>
      <c r="AH966" s="16"/>
      <c r="AL966" s="16"/>
      <c r="AP966" s="16"/>
      <c r="AT966" s="16"/>
      <c r="AX966" s="16"/>
    </row>
    <row r="967" spans="2:50" x14ac:dyDescent="0.25">
      <c r="B967" s="16"/>
      <c r="F967" s="16"/>
      <c r="J967" s="16"/>
      <c r="N967" s="16"/>
      <c r="R967" s="16"/>
      <c r="V967" s="16"/>
      <c r="Z967" s="16"/>
      <c r="AD967" s="16"/>
      <c r="AH967" s="16"/>
      <c r="AL967" s="16"/>
      <c r="AP967" s="16"/>
      <c r="AT967" s="16"/>
      <c r="AX967" s="16"/>
    </row>
    <row r="968" spans="2:50" x14ac:dyDescent="0.25">
      <c r="B968" s="16"/>
      <c r="F968" s="16"/>
      <c r="J968" s="16"/>
      <c r="N968" s="16"/>
      <c r="R968" s="16"/>
      <c r="V968" s="16"/>
      <c r="Z968" s="16"/>
      <c r="AD968" s="16"/>
      <c r="AH968" s="16"/>
      <c r="AL968" s="16"/>
      <c r="AP968" s="16"/>
      <c r="AT968" s="16"/>
      <c r="AX968" s="16"/>
    </row>
    <row r="969" spans="2:50" x14ac:dyDescent="0.25">
      <c r="B969" s="16"/>
      <c r="F969" s="16"/>
      <c r="J969" s="16"/>
      <c r="N969" s="16"/>
      <c r="R969" s="16"/>
      <c r="V969" s="16"/>
      <c r="Z969" s="16"/>
      <c r="AD969" s="16"/>
      <c r="AH969" s="16"/>
      <c r="AL969" s="16"/>
      <c r="AP969" s="16"/>
      <c r="AT969" s="16"/>
      <c r="AX969" s="16"/>
    </row>
    <row r="970" spans="2:50" x14ac:dyDescent="0.25">
      <c r="B970" s="16"/>
      <c r="F970" s="16"/>
      <c r="J970" s="16"/>
      <c r="N970" s="16"/>
      <c r="R970" s="16"/>
      <c r="V970" s="16"/>
      <c r="Z970" s="16"/>
      <c r="AD970" s="16"/>
      <c r="AH970" s="16"/>
      <c r="AL970" s="16"/>
      <c r="AP970" s="16"/>
      <c r="AT970" s="16"/>
      <c r="AX970" s="16"/>
    </row>
    <row r="971" spans="2:50" x14ac:dyDescent="0.25">
      <c r="B971" s="16"/>
      <c r="F971" s="16"/>
      <c r="J971" s="16"/>
      <c r="N971" s="16"/>
      <c r="R971" s="16"/>
      <c r="V971" s="16"/>
      <c r="Z971" s="16"/>
      <c r="AD971" s="16"/>
      <c r="AH971" s="16"/>
      <c r="AL971" s="16"/>
      <c r="AP971" s="16"/>
      <c r="AT971" s="16"/>
      <c r="AX971" s="16"/>
    </row>
    <row r="972" spans="2:50" x14ac:dyDescent="0.25">
      <c r="B972" s="16"/>
      <c r="F972" s="16"/>
      <c r="J972" s="16"/>
      <c r="N972" s="16"/>
      <c r="R972" s="16"/>
      <c r="V972" s="16"/>
      <c r="Z972" s="16"/>
      <c r="AD972" s="16"/>
      <c r="AH972" s="16"/>
      <c r="AL972" s="16"/>
      <c r="AP972" s="16"/>
      <c r="AT972" s="16"/>
      <c r="AX972" s="16"/>
    </row>
    <row r="973" spans="2:50" x14ac:dyDescent="0.25">
      <c r="B973" s="16"/>
      <c r="F973" s="16"/>
      <c r="J973" s="16"/>
      <c r="N973" s="16"/>
      <c r="R973" s="16"/>
      <c r="V973" s="16"/>
      <c r="Z973" s="16"/>
      <c r="AD973" s="16"/>
      <c r="AH973" s="16"/>
      <c r="AL973" s="16"/>
      <c r="AP973" s="16"/>
      <c r="AT973" s="16"/>
      <c r="AX973" s="16"/>
    </row>
    <row r="974" spans="2:50" x14ac:dyDescent="0.25">
      <c r="B974" s="16"/>
      <c r="F974" s="16"/>
      <c r="J974" s="16"/>
      <c r="N974" s="16"/>
      <c r="R974" s="16"/>
      <c r="V974" s="16"/>
      <c r="Z974" s="16"/>
      <c r="AD974" s="16"/>
      <c r="AH974" s="16"/>
      <c r="AL974" s="16"/>
      <c r="AP974" s="16"/>
      <c r="AT974" s="16"/>
      <c r="AX974" s="16"/>
    </row>
    <row r="975" spans="2:50" x14ac:dyDescent="0.25">
      <c r="B975" s="16"/>
      <c r="F975" s="16"/>
      <c r="J975" s="16"/>
      <c r="N975" s="16"/>
      <c r="R975" s="16"/>
      <c r="V975" s="16"/>
      <c r="Z975" s="16"/>
      <c r="AD975" s="16"/>
      <c r="AH975" s="16"/>
      <c r="AL975" s="16"/>
      <c r="AP975" s="16"/>
      <c r="AT975" s="16"/>
      <c r="AX975" s="16"/>
    </row>
    <row r="976" spans="2:50" x14ac:dyDescent="0.25">
      <c r="B976" s="16"/>
      <c r="F976" s="16"/>
      <c r="J976" s="16"/>
      <c r="N976" s="16"/>
      <c r="R976" s="16"/>
      <c r="V976" s="16"/>
      <c r="Z976" s="16"/>
      <c r="AD976" s="16"/>
      <c r="AH976" s="16"/>
      <c r="AL976" s="16"/>
      <c r="AP976" s="16"/>
      <c r="AT976" s="16"/>
      <c r="AX976" s="16"/>
    </row>
    <row r="977" spans="2:50" x14ac:dyDescent="0.25">
      <c r="B977" s="16"/>
      <c r="F977" s="16"/>
      <c r="J977" s="16"/>
      <c r="N977" s="16"/>
      <c r="R977" s="16"/>
      <c r="V977" s="16"/>
      <c r="Z977" s="16"/>
      <c r="AD977" s="16"/>
      <c r="AH977" s="16"/>
      <c r="AL977" s="16"/>
      <c r="AP977" s="16"/>
      <c r="AT977" s="16"/>
      <c r="AX977" s="16"/>
    </row>
    <row r="978" spans="2:50" x14ac:dyDescent="0.25">
      <c r="B978" s="16"/>
      <c r="F978" s="16"/>
      <c r="J978" s="16"/>
      <c r="N978" s="16"/>
      <c r="R978" s="16"/>
      <c r="V978" s="16"/>
      <c r="Z978" s="16"/>
      <c r="AD978" s="16"/>
      <c r="AH978" s="16"/>
      <c r="AL978" s="16"/>
      <c r="AP978" s="16"/>
      <c r="AT978" s="16"/>
      <c r="AX978" s="16"/>
    </row>
    <row r="979" spans="2:50" x14ac:dyDescent="0.25">
      <c r="B979" s="16"/>
      <c r="F979" s="16"/>
      <c r="J979" s="16"/>
      <c r="N979" s="16"/>
      <c r="R979" s="16"/>
      <c r="V979" s="16"/>
      <c r="Z979" s="16"/>
      <c r="AD979" s="16"/>
      <c r="AH979" s="16"/>
      <c r="AL979" s="16"/>
      <c r="AP979" s="16"/>
      <c r="AT979" s="16"/>
      <c r="AX979" s="16"/>
    </row>
    <row r="980" spans="2:50" x14ac:dyDescent="0.25">
      <c r="B980" s="16"/>
      <c r="F980" s="16"/>
      <c r="J980" s="16"/>
      <c r="N980" s="16"/>
      <c r="R980" s="16"/>
      <c r="V980" s="16"/>
      <c r="Z980" s="16"/>
      <c r="AD980" s="16"/>
      <c r="AH980" s="16"/>
      <c r="AL980" s="16"/>
      <c r="AP980" s="16"/>
      <c r="AT980" s="16"/>
      <c r="AX980" s="16"/>
    </row>
    <row r="981" spans="2:50" x14ac:dyDescent="0.25">
      <c r="B981" s="16"/>
      <c r="F981" s="16"/>
      <c r="J981" s="16"/>
      <c r="N981" s="16"/>
      <c r="R981" s="16"/>
      <c r="V981" s="16"/>
      <c r="Z981" s="16"/>
      <c r="AD981" s="16"/>
      <c r="AH981" s="16"/>
      <c r="AL981" s="16"/>
      <c r="AP981" s="16"/>
      <c r="AT981" s="16"/>
      <c r="AX981" s="16"/>
    </row>
    <row r="982" spans="2:50" x14ac:dyDescent="0.25">
      <c r="B982" s="16"/>
      <c r="F982" s="16"/>
      <c r="J982" s="16"/>
      <c r="N982" s="16"/>
      <c r="R982" s="16"/>
      <c r="V982" s="16"/>
      <c r="Z982" s="16"/>
      <c r="AD982" s="16"/>
      <c r="AH982" s="16"/>
      <c r="AL982" s="16"/>
      <c r="AP982" s="16"/>
      <c r="AT982" s="16"/>
      <c r="AX982" s="16"/>
    </row>
    <row r="983" spans="2:50" x14ac:dyDescent="0.25">
      <c r="B983" s="16"/>
      <c r="F983" s="16"/>
      <c r="J983" s="16"/>
      <c r="N983" s="16"/>
      <c r="R983" s="16"/>
      <c r="V983" s="16"/>
      <c r="Z983" s="16"/>
      <c r="AD983" s="16"/>
      <c r="AH983" s="16"/>
      <c r="AL983" s="16"/>
      <c r="AP983" s="16"/>
      <c r="AT983" s="16"/>
      <c r="AX983" s="16"/>
    </row>
    <row r="984" spans="2:50" x14ac:dyDescent="0.25">
      <c r="B984" s="16"/>
      <c r="F984" s="16"/>
      <c r="J984" s="16"/>
      <c r="N984" s="16"/>
      <c r="R984" s="16"/>
      <c r="V984" s="16"/>
      <c r="Z984" s="16"/>
      <c r="AD984" s="16"/>
      <c r="AH984" s="16"/>
      <c r="AL984" s="16"/>
      <c r="AP984" s="16"/>
      <c r="AT984" s="16"/>
      <c r="AX984" s="16"/>
    </row>
    <row r="985" spans="2:50" x14ac:dyDescent="0.25">
      <c r="B985" s="16"/>
      <c r="F985" s="16"/>
      <c r="J985" s="16"/>
      <c r="N985" s="16"/>
      <c r="R985" s="16"/>
      <c r="V985" s="16"/>
      <c r="Z985" s="16"/>
      <c r="AD985" s="16"/>
      <c r="AH985" s="16"/>
      <c r="AL985" s="16"/>
      <c r="AP985" s="16"/>
      <c r="AT985" s="16"/>
      <c r="AX985" s="16"/>
    </row>
    <row r="986" spans="2:50" x14ac:dyDescent="0.25">
      <c r="B986" s="16"/>
      <c r="F986" s="16"/>
      <c r="J986" s="16"/>
      <c r="N986" s="16"/>
      <c r="R986" s="16"/>
      <c r="V986" s="16"/>
      <c r="Z986" s="16"/>
      <c r="AD986" s="16"/>
      <c r="AH986" s="16"/>
      <c r="AL986" s="16"/>
      <c r="AP986" s="16"/>
      <c r="AT986" s="16"/>
      <c r="AX986" s="16"/>
    </row>
    <row r="987" spans="2:50" x14ac:dyDescent="0.25">
      <c r="B987" s="16"/>
      <c r="F987" s="16"/>
      <c r="J987" s="16"/>
      <c r="N987" s="16"/>
      <c r="R987" s="16"/>
      <c r="V987" s="16"/>
      <c r="Z987" s="16"/>
      <c r="AD987" s="16"/>
      <c r="AH987" s="16"/>
      <c r="AL987" s="16"/>
      <c r="AP987" s="16"/>
      <c r="AT987" s="16"/>
      <c r="AX987" s="16"/>
    </row>
    <row r="988" spans="2:50" x14ac:dyDescent="0.25">
      <c r="B988" s="16"/>
      <c r="F988" s="16"/>
      <c r="J988" s="16"/>
      <c r="N988" s="16"/>
      <c r="R988" s="16"/>
      <c r="V988" s="16"/>
      <c r="Z988" s="16"/>
      <c r="AD988" s="16"/>
      <c r="AH988" s="16"/>
      <c r="AL988" s="16"/>
      <c r="AP988" s="16"/>
      <c r="AT988" s="16"/>
      <c r="AX988" s="16"/>
    </row>
    <row r="989" spans="2:50" x14ac:dyDescent="0.25">
      <c r="B989" s="16"/>
      <c r="F989" s="16"/>
      <c r="J989" s="16"/>
      <c r="N989" s="16"/>
      <c r="R989" s="16"/>
      <c r="V989" s="16"/>
      <c r="Z989" s="16"/>
      <c r="AD989" s="16"/>
      <c r="AH989" s="16"/>
      <c r="AL989" s="16"/>
      <c r="AP989" s="16"/>
      <c r="AT989" s="16"/>
      <c r="AX989" s="16"/>
    </row>
    <row r="990" spans="2:50" x14ac:dyDescent="0.25">
      <c r="B990" s="16"/>
      <c r="F990" s="16"/>
      <c r="J990" s="16"/>
      <c r="N990" s="16"/>
      <c r="R990" s="16"/>
      <c r="V990" s="16"/>
      <c r="Z990" s="16"/>
      <c r="AD990" s="16"/>
      <c r="AH990" s="16"/>
      <c r="AL990" s="16"/>
      <c r="AP990" s="16"/>
      <c r="AT990" s="16"/>
      <c r="AX990" s="16"/>
    </row>
    <row r="991" spans="2:50" x14ac:dyDescent="0.25">
      <c r="B991" s="16"/>
      <c r="F991" s="16"/>
      <c r="J991" s="16"/>
      <c r="N991" s="16"/>
      <c r="R991" s="16"/>
      <c r="V991" s="16"/>
      <c r="Z991" s="16"/>
      <c r="AD991" s="16"/>
      <c r="AH991" s="16"/>
      <c r="AL991" s="16"/>
      <c r="AP991" s="16"/>
      <c r="AT991" s="16"/>
      <c r="AX991" s="16"/>
    </row>
    <row r="992" spans="2:50" x14ac:dyDescent="0.25">
      <c r="B992" s="16"/>
      <c r="F992" s="16"/>
      <c r="J992" s="16"/>
      <c r="N992" s="16"/>
      <c r="R992" s="16"/>
      <c r="V992" s="16"/>
      <c r="Z992" s="16"/>
      <c r="AD992" s="16"/>
      <c r="AH992" s="16"/>
      <c r="AL992" s="16"/>
      <c r="AP992" s="16"/>
      <c r="AT992" s="16"/>
      <c r="AX992" s="16"/>
    </row>
    <row r="993" spans="2:50" x14ac:dyDescent="0.25">
      <c r="B993" s="16"/>
      <c r="F993" s="16"/>
      <c r="J993" s="16"/>
      <c r="N993" s="16"/>
      <c r="R993" s="16"/>
      <c r="V993" s="16"/>
      <c r="Z993" s="16"/>
      <c r="AD993" s="16"/>
      <c r="AH993" s="16"/>
      <c r="AL993" s="16"/>
      <c r="AP993" s="16"/>
      <c r="AT993" s="16"/>
      <c r="AX993" s="16"/>
    </row>
    <row r="994" spans="2:50" x14ac:dyDescent="0.25">
      <c r="B994" s="16"/>
      <c r="F994" s="16"/>
      <c r="J994" s="16"/>
      <c r="N994" s="16"/>
      <c r="R994" s="16"/>
      <c r="V994" s="16"/>
      <c r="Z994" s="16"/>
      <c r="AD994" s="16"/>
      <c r="AH994" s="16"/>
      <c r="AL994" s="16"/>
      <c r="AP994" s="16"/>
      <c r="AT994" s="16"/>
      <c r="AX994" s="16"/>
    </row>
    <row r="995" spans="2:50" x14ac:dyDescent="0.25">
      <c r="B995" s="16"/>
      <c r="F995" s="16"/>
      <c r="J995" s="16"/>
      <c r="N995" s="16"/>
      <c r="R995" s="16"/>
      <c r="V995" s="16"/>
      <c r="Z995" s="16"/>
      <c r="AD995" s="16"/>
      <c r="AH995" s="16"/>
      <c r="AL995" s="16"/>
      <c r="AP995" s="16"/>
      <c r="AT995" s="16"/>
      <c r="AX995" s="16"/>
    </row>
    <row r="996" spans="2:50" x14ac:dyDescent="0.25">
      <c r="B996" s="16"/>
      <c r="F996" s="16"/>
      <c r="J996" s="16"/>
      <c r="N996" s="16"/>
      <c r="R996" s="16"/>
      <c r="V996" s="16"/>
      <c r="Z996" s="16"/>
      <c r="AD996" s="16"/>
      <c r="AH996" s="16"/>
      <c r="AL996" s="16"/>
      <c r="AP996" s="16"/>
      <c r="AT996" s="16"/>
      <c r="AX996" s="16"/>
    </row>
    <row r="997" spans="2:50" x14ac:dyDescent="0.25">
      <c r="B997" s="16"/>
      <c r="F997" s="16"/>
      <c r="J997" s="16"/>
      <c r="N997" s="16"/>
      <c r="R997" s="16"/>
      <c r="V997" s="16"/>
      <c r="Z997" s="16"/>
      <c r="AD997" s="16"/>
      <c r="AH997" s="16"/>
      <c r="AL997" s="16"/>
      <c r="AP997" s="16"/>
      <c r="AT997" s="16"/>
      <c r="AX997" s="16"/>
    </row>
    <row r="998" spans="2:50" x14ac:dyDescent="0.25">
      <c r="B998" s="16"/>
      <c r="F998" s="16"/>
      <c r="J998" s="16"/>
      <c r="N998" s="16"/>
      <c r="R998" s="16"/>
      <c r="V998" s="16"/>
      <c r="Z998" s="16"/>
      <c r="AD998" s="16"/>
      <c r="AH998" s="16"/>
      <c r="AL998" s="16"/>
      <c r="AP998" s="16"/>
      <c r="AT998" s="16"/>
      <c r="AX998" s="16"/>
    </row>
    <row r="999" spans="2:50" x14ac:dyDescent="0.25">
      <c r="B999" s="16"/>
      <c r="F999" s="16"/>
      <c r="J999" s="16"/>
      <c r="N999" s="16"/>
      <c r="R999" s="16"/>
      <c r="V999" s="16"/>
      <c r="Z999" s="16"/>
      <c r="AD999" s="16"/>
      <c r="AH999" s="16"/>
      <c r="AL999" s="16"/>
      <c r="AP999" s="16"/>
      <c r="AT999" s="16"/>
      <c r="AX999" s="16"/>
    </row>
    <row r="1000" spans="2:50" x14ac:dyDescent="0.25">
      <c r="B1000" s="16"/>
      <c r="F1000" s="16"/>
      <c r="J1000" s="16"/>
      <c r="N1000" s="16"/>
      <c r="R1000" s="16"/>
      <c r="V1000" s="16"/>
      <c r="Z1000" s="16"/>
      <c r="AD1000" s="16"/>
      <c r="AH1000" s="16"/>
      <c r="AL1000" s="16"/>
      <c r="AP1000" s="16"/>
      <c r="AT1000" s="16"/>
      <c r="AX1000" s="16"/>
    </row>
    <row r="1001" spans="2:50" x14ac:dyDescent="0.25">
      <c r="B1001" s="16"/>
      <c r="F1001" s="16"/>
      <c r="J1001" s="16"/>
      <c r="N1001" s="16"/>
      <c r="R1001" s="16"/>
      <c r="V1001" s="16"/>
      <c r="Z1001" s="16"/>
      <c r="AD1001" s="16"/>
      <c r="AH1001" s="16"/>
      <c r="AL1001" s="16"/>
      <c r="AP1001" s="16"/>
      <c r="AT1001" s="16"/>
      <c r="AX1001" s="16"/>
    </row>
    <row r="1002" spans="2:50" x14ac:dyDescent="0.25">
      <c r="B1002" s="16"/>
      <c r="F1002" s="16"/>
      <c r="J1002" s="16"/>
      <c r="N1002" s="16"/>
      <c r="R1002" s="16"/>
      <c r="V1002" s="16"/>
      <c r="Z1002" s="16"/>
      <c r="AD1002" s="16"/>
      <c r="AH1002" s="16"/>
      <c r="AL1002" s="16"/>
      <c r="AP1002" s="16"/>
      <c r="AT1002" s="16"/>
      <c r="AX1002" s="16"/>
    </row>
    <row r="1003" spans="2:50" x14ac:dyDescent="0.25">
      <c r="B1003" s="16"/>
      <c r="F1003" s="16"/>
      <c r="J1003" s="16"/>
      <c r="N1003" s="16"/>
      <c r="R1003" s="16"/>
      <c r="V1003" s="16"/>
      <c r="Z1003" s="16"/>
      <c r="AD1003" s="16"/>
      <c r="AH1003" s="16"/>
      <c r="AL1003" s="16"/>
      <c r="AP1003" s="16"/>
      <c r="AT1003" s="16"/>
      <c r="AX1003" s="16"/>
    </row>
    <row r="1004" spans="2:50" x14ac:dyDescent="0.25">
      <c r="B1004" s="16"/>
      <c r="F1004" s="16"/>
      <c r="J1004" s="16"/>
      <c r="N1004" s="16"/>
      <c r="R1004" s="16"/>
      <c r="V1004" s="16"/>
      <c r="Z1004" s="16"/>
      <c r="AD1004" s="16"/>
      <c r="AH1004" s="16"/>
      <c r="AL1004" s="16"/>
      <c r="AP1004" s="16"/>
      <c r="AT1004" s="16"/>
      <c r="AX1004" s="16"/>
    </row>
    <row r="1005" spans="2:50" x14ac:dyDescent="0.25">
      <c r="B1005" s="16"/>
      <c r="F1005" s="16"/>
      <c r="J1005" s="16"/>
      <c r="N1005" s="16"/>
      <c r="R1005" s="16"/>
      <c r="V1005" s="16"/>
      <c r="Z1005" s="16"/>
      <c r="AD1005" s="16"/>
      <c r="AH1005" s="16"/>
      <c r="AL1005" s="16"/>
      <c r="AP1005" s="16"/>
      <c r="AT1005" s="16"/>
      <c r="AX1005" s="16"/>
    </row>
    <row r="1006" spans="2:50" x14ac:dyDescent="0.25">
      <c r="B1006" s="16"/>
      <c r="F1006" s="16"/>
      <c r="J1006" s="16"/>
      <c r="N1006" s="16"/>
      <c r="R1006" s="16"/>
      <c r="V1006" s="16"/>
      <c r="Z1006" s="16"/>
      <c r="AD1006" s="16"/>
      <c r="AH1006" s="16"/>
      <c r="AL1006" s="16"/>
      <c r="AP1006" s="16"/>
      <c r="AT1006" s="16"/>
      <c r="AX1006" s="16"/>
    </row>
    <row r="1007" spans="2:50" x14ac:dyDescent="0.25">
      <c r="B1007" s="16"/>
      <c r="F1007" s="16"/>
      <c r="J1007" s="16"/>
      <c r="N1007" s="16"/>
      <c r="R1007" s="16"/>
      <c r="V1007" s="16"/>
      <c r="Z1007" s="16"/>
      <c r="AD1007" s="16"/>
      <c r="AH1007" s="16"/>
      <c r="AL1007" s="16"/>
      <c r="AP1007" s="16"/>
      <c r="AT1007" s="16"/>
      <c r="AX1007" s="16"/>
    </row>
    <row r="1008" spans="2:50" x14ac:dyDescent="0.25">
      <c r="B1008" s="16"/>
      <c r="F1008" s="16"/>
      <c r="J1008" s="16"/>
      <c r="N1008" s="16"/>
      <c r="R1008" s="16"/>
      <c r="V1008" s="16"/>
      <c r="Z1008" s="16"/>
      <c r="AD1008" s="16"/>
      <c r="AH1008" s="16"/>
      <c r="AL1008" s="16"/>
      <c r="AP1008" s="16"/>
      <c r="AT1008" s="16"/>
      <c r="AX1008" s="16"/>
    </row>
    <row r="1009" spans="2:50" x14ac:dyDescent="0.25">
      <c r="B1009" s="16"/>
      <c r="F1009" s="16"/>
      <c r="J1009" s="16"/>
      <c r="N1009" s="16"/>
      <c r="R1009" s="16"/>
      <c r="V1009" s="16"/>
      <c r="Z1009" s="16"/>
      <c r="AD1009" s="16"/>
      <c r="AH1009" s="16"/>
      <c r="AL1009" s="16"/>
      <c r="AP1009" s="16"/>
      <c r="AT1009" s="16"/>
      <c r="AX1009" s="16"/>
    </row>
    <row r="1010" spans="2:50" x14ac:dyDescent="0.25">
      <c r="B1010" s="16"/>
      <c r="F1010" s="16"/>
      <c r="J1010" s="16"/>
      <c r="N1010" s="16"/>
      <c r="R1010" s="16"/>
      <c r="V1010" s="16"/>
      <c r="Z1010" s="16"/>
      <c r="AD1010" s="16"/>
      <c r="AH1010" s="16"/>
      <c r="AL1010" s="16"/>
      <c r="AP1010" s="16"/>
      <c r="AT1010" s="16"/>
      <c r="AX1010" s="16"/>
    </row>
    <row r="1011" spans="2:50" x14ac:dyDescent="0.25">
      <c r="B1011" s="16"/>
      <c r="F1011" s="16"/>
      <c r="J1011" s="16"/>
      <c r="N1011" s="16"/>
      <c r="R1011" s="16"/>
      <c r="V1011" s="16"/>
      <c r="Z1011" s="16"/>
      <c r="AD1011" s="16"/>
      <c r="AH1011" s="16"/>
      <c r="AL1011" s="16"/>
      <c r="AP1011" s="16"/>
      <c r="AT1011" s="16"/>
      <c r="AX1011" s="16"/>
    </row>
    <row r="1012" spans="2:50" x14ac:dyDescent="0.25">
      <c r="B1012" s="16"/>
      <c r="F1012" s="16"/>
      <c r="J1012" s="16"/>
      <c r="N1012" s="16"/>
      <c r="R1012" s="16"/>
      <c r="V1012" s="16"/>
      <c r="Z1012" s="16"/>
      <c r="AD1012" s="16"/>
      <c r="AH1012" s="16"/>
      <c r="AL1012" s="16"/>
      <c r="AP1012" s="16"/>
      <c r="AT1012" s="16"/>
      <c r="AX1012" s="16"/>
    </row>
    <row r="1013" spans="2:50" x14ac:dyDescent="0.25">
      <c r="B1013" s="16"/>
      <c r="F1013" s="16"/>
      <c r="J1013" s="16"/>
      <c r="N1013" s="16"/>
      <c r="R1013" s="16"/>
      <c r="V1013" s="16"/>
      <c r="Z1013" s="16"/>
      <c r="AD1013" s="16"/>
      <c r="AH1013" s="16"/>
      <c r="AL1013" s="16"/>
      <c r="AP1013" s="16"/>
      <c r="AT1013" s="16"/>
      <c r="AX1013" s="16"/>
    </row>
    <row r="1014" spans="2:50" x14ac:dyDescent="0.25">
      <c r="B1014" s="16"/>
      <c r="F1014" s="16"/>
      <c r="J1014" s="16"/>
      <c r="N1014" s="16"/>
      <c r="R1014" s="16"/>
      <c r="V1014" s="16"/>
      <c r="Z1014" s="16"/>
      <c r="AD1014" s="16"/>
      <c r="AH1014" s="16"/>
      <c r="AL1014" s="16"/>
      <c r="AP1014" s="16"/>
      <c r="AT1014" s="16"/>
      <c r="AX1014" s="16"/>
    </row>
    <row r="1015" spans="2:50" x14ac:dyDescent="0.25">
      <c r="B1015" s="16"/>
      <c r="F1015" s="16"/>
      <c r="J1015" s="16"/>
      <c r="N1015" s="16"/>
      <c r="R1015" s="16"/>
      <c r="V1015" s="16"/>
      <c r="Z1015" s="16"/>
      <c r="AD1015" s="16"/>
      <c r="AH1015" s="16"/>
      <c r="AL1015" s="16"/>
      <c r="AP1015" s="16"/>
      <c r="AT1015" s="16"/>
      <c r="AX1015" s="16"/>
    </row>
    <row r="1016" spans="2:50" x14ac:dyDescent="0.25">
      <c r="B1016" s="16"/>
      <c r="F1016" s="16"/>
      <c r="J1016" s="16"/>
      <c r="N1016" s="16"/>
      <c r="R1016" s="16"/>
      <c r="V1016" s="16"/>
      <c r="Z1016" s="16"/>
      <c r="AD1016" s="16"/>
      <c r="AH1016" s="16"/>
      <c r="AL1016" s="16"/>
      <c r="AP1016" s="16"/>
      <c r="AT1016" s="16"/>
      <c r="AX1016" s="16"/>
    </row>
    <row r="1017" spans="2:50" x14ac:dyDescent="0.25">
      <c r="B1017" s="16"/>
      <c r="F1017" s="16"/>
      <c r="J1017" s="16"/>
      <c r="N1017" s="16"/>
      <c r="R1017" s="16"/>
      <c r="V1017" s="16"/>
      <c r="Z1017" s="16"/>
      <c r="AD1017" s="16"/>
      <c r="AH1017" s="16"/>
      <c r="AL1017" s="16"/>
      <c r="AP1017" s="16"/>
      <c r="AT1017" s="16"/>
      <c r="AX1017" s="16"/>
    </row>
    <row r="1018" spans="2:50" x14ac:dyDescent="0.25">
      <c r="B1018" s="16"/>
      <c r="F1018" s="16"/>
      <c r="J1018" s="16"/>
      <c r="N1018" s="16"/>
      <c r="R1018" s="16"/>
      <c r="V1018" s="16"/>
      <c r="Z1018" s="16"/>
      <c r="AD1018" s="16"/>
      <c r="AH1018" s="16"/>
      <c r="AL1018" s="16"/>
      <c r="AP1018" s="16"/>
      <c r="AT1018" s="16"/>
      <c r="AX1018" s="16"/>
    </row>
    <row r="1019" spans="2:50" x14ac:dyDescent="0.25">
      <c r="B1019" s="16"/>
      <c r="F1019" s="16"/>
      <c r="J1019" s="16"/>
      <c r="N1019" s="16"/>
      <c r="R1019" s="16"/>
      <c r="V1019" s="16"/>
      <c r="Z1019" s="16"/>
      <c r="AD1019" s="16"/>
      <c r="AH1019" s="16"/>
      <c r="AL1019" s="16"/>
      <c r="AP1019" s="16"/>
      <c r="AT1019" s="16"/>
      <c r="AX1019" s="16"/>
    </row>
    <row r="1020" spans="2:50" x14ac:dyDescent="0.25">
      <c r="B1020" s="16"/>
      <c r="F1020" s="16"/>
      <c r="J1020" s="16"/>
      <c r="N1020" s="16"/>
      <c r="R1020" s="16"/>
      <c r="V1020" s="16"/>
      <c r="Z1020" s="16"/>
      <c r="AD1020" s="16"/>
      <c r="AH1020" s="16"/>
      <c r="AL1020" s="16"/>
      <c r="AP1020" s="16"/>
      <c r="AT1020" s="16"/>
      <c r="AX1020" s="16"/>
    </row>
    <row r="1021" spans="2:50" x14ac:dyDescent="0.25">
      <c r="B1021" s="16"/>
      <c r="F1021" s="16"/>
      <c r="J1021" s="16"/>
      <c r="N1021" s="16"/>
      <c r="R1021" s="16"/>
      <c r="V1021" s="16"/>
      <c r="Z1021" s="16"/>
      <c r="AD1021" s="16"/>
      <c r="AH1021" s="16"/>
      <c r="AL1021" s="16"/>
      <c r="AP1021" s="16"/>
      <c r="AT1021" s="16"/>
      <c r="AX1021" s="16"/>
    </row>
    <row r="1022" spans="2:50" x14ac:dyDescent="0.25">
      <c r="B1022" s="16"/>
      <c r="F1022" s="16"/>
      <c r="J1022" s="16"/>
      <c r="N1022" s="16"/>
      <c r="R1022" s="16"/>
      <c r="V1022" s="16"/>
      <c r="Z1022" s="16"/>
      <c r="AD1022" s="16"/>
      <c r="AH1022" s="16"/>
      <c r="AL1022" s="16"/>
      <c r="AP1022" s="16"/>
      <c r="AT1022" s="16"/>
      <c r="AX1022" s="16"/>
    </row>
    <row r="1023" spans="2:50" x14ac:dyDescent="0.25">
      <c r="B1023" s="16"/>
      <c r="F1023" s="16"/>
      <c r="J1023" s="16"/>
      <c r="N1023" s="16"/>
      <c r="R1023" s="16"/>
      <c r="V1023" s="16"/>
      <c r="Z1023" s="16"/>
      <c r="AD1023" s="16"/>
      <c r="AH1023" s="16"/>
      <c r="AL1023" s="16"/>
      <c r="AP1023" s="16"/>
      <c r="AT1023" s="16"/>
      <c r="AX1023" s="16"/>
    </row>
    <row r="1024" spans="2:50" x14ac:dyDescent="0.25">
      <c r="B1024" s="16"/>
      <c r="F1024" s="16"/>
      <c r="J1024" s="16"/>
      <c r="N1024" s="16"/>
      <c r="R1024" s="16"/>
      <c r="V1024" s="16"/>
      <c r="Z1024" s="16"/>
      <c r="AD1024" s="16"/>
      <c r="AH1024" s="16"/>
      <c r="AL1024" s="16"/>
      <c r="AP1024" s="16"/>
      <c r="AT1024" s="16"/>
      <c r="AX1024" s="16"/>
    </row>
    <row r="1025" spans="2:50" x14ac:dyDescent="0.25">
      <c r="B1025" s="16"/>
      <c r="F1025" s="16"/>
      <c r="J1025" s="16"/>
      <c r="N1025" s="16"/>
      <c r="R1025" s="16"/>
      <c r="V1025" s="16"/>
      <c r="Z1025" s="16"/>
      <c r="AD1025" s="16"/>
      <c r="AH1025" s="16"/>
      <c r="AL1025" s="16"/>
      <c r="AP1025" s="16"/>
      <c r="AT1025" s="16"/>
      <c r="AX1025" s="16"/>
    </row>
    <row r="1026" spans="2:50" x14ac:dyDescent="0.25">
      <c r="B1026" s="16"/>
      <c r="F1026" s="16"/>
      <c r="J1026" s="16"/>
      <c r="N1026" s="16"/>
      <c r="R1026" s="16"/>
      <c r="V1026" s="16"/>
      <c r="Z1026" s="16"/>
      <c r="AD1026" s="16"/>
      <c r="AH1026" s="16"/>
      <c r="AL1026" s="16"/>
      <c r="AP1026" s="16"/>
      <c r="AT1026" s="16"/>
      <c r="AX1026" s="16"/>
    </row>
    <row r="1027" spans="2:50" x14ac:dyDescent="0.25">
      <c r="B1027" s="16"/>
      <c r="F1027" s="16"/>
      <c r="J1027" s="16"/>
      <c r="N1027" s="16"/>
      <c r="R1027" s="16"/>
      <c r="V1027" s="16"/>
      <c r="Z1027" s="16"/>
      <c r="AD1027" s="16"/>
      <c r="AH1027" s="16"/>
      <c r="AL1027" s="16"/>
      <c r="AP1027" s="16"/>
      <c r="AT1027" s="16"/>
      <c r="AX1027" s="16"/>
    </row>
    <row r="1028" spans="2:50" x14ac:dyDescent="0.25">
      <c r="B1028" s="16"/>
      <c r="F1028" s="16"/>
      <c r="J1028" s="16"/>
      <c r="N1028" s="16"/>
      <c r="R1028" s="16"/>
      <c r="V1028" s="16"/>
      <c r="Z1028" s="16"/>
      <c r="AD1028" s="16"/>
      <c r="AH1028" s="16"/>
      <c r="AL1028" s="16"/>
      <c r="AP1028" s="16"/>
      <c r="AT1028" s="16"/>
      <c r="AX1028" s="16"/>
    </row>
    <row r="1029" spans="2:50" x14ac:dyDescent="0.25">
      <c r="B1029" s="16"/>
      <c r="F1029" s="16"/>
      <c r="J1029" s="16"/>
      <c r="N1029" s="16"/>
      <c r="R1029" s="16"/>
      <c r="V1029" s="16"/>
      <c r="Z1029" s="16"/>
      <c r="AD1029" s="16"/>
      <c r="AH1029" s="16"/>
      <c r="AL1029" s="16"/>
      <c r="AP1029" s="16"/>
      <c r="AT1029" s="16"/>
      <c r="AX1029" s="16"/>
    </row>
    <row r="1030" spans="2:50" x14ac:dyDescent="0.25">
      <c r="B1030" s="16"/>
      <c r="F1030" s="16"/>
      <c r="J1030" s="16"/>
      <c r="N1030" s="16"/>
      <c r="R1030" s="16"/>
      <c r="V1030" s="16"/>
      <c r="Z1030" s="16"/>
      <c r="AD1030" s="16"/>
      <c r="AH1030" s="16"/>
      <c r="AL1030" s="16"/>
      <c r="AP1030" s="16"/>
      <c r="AT1030" s="16"/>
      <c r="AX1030" s="16"/>
    </row>
    <row r="1031" spans="2:50" x14ac:dyDescent="0.25">
      <c r="B1031" s="16"/>
      <c r="F1031" s="16"/>
      <c r="J1031" s="16"/>
      <c r="N1031" s="16"/>
      <c r="R1031" s="16"/>
      <c r="V1031" s="16"/>
      <c r="Z1031" s="16"/>
      <c r="AD1031" s="16"/>
      <c r="AH1031" s="16"/>
      <c r="AL1031" s="16"/>
      <c r="AP1031" s="16"/>
      <c r="AT1031" s="16"/>
      <c r="AX1031" s="16"/>
    </row>
    <row r="1032" spans="2:50" x14ac:dyDescent="0.25">
      <c r="B1032" s="16"/>
      <c r="F1032" s="16"/>
      <c r="J1032" s="16"/>
      <c r="N1032" s="16"/>
      <c r="R1032" s="16"/>
      <c r="V1032" s="16"/>
      <c r="Z1032" s="16"/>
      <c r="AD1032" s="16"/>
      <c r="AH1032" s="16"/>
      <c r="AL1032" s="16"/>
      <c r="AP1032" s="16"/>
      <c r="AT1032" s="16"/>
      <c r="AX1032" s="16"/>
    </row>
    <row r="1033" spans="2:50" x14ac:dyDescent="0.25">
      <c r="B1033" s="16"/>
      <c r="F1033" s="16"/>
      <c r="J1033" s="16"/>
      <c r="N1033" s="16"/>
      <c r="R1033" s="16"/>
      <c r="V1033" s="16"/>
      <c r="Z1033" s="16"/>
      <c r="AD1033" s="16"/>
      <c r="AH1033" s="16"/>
      <c r="AL1033" s="16"/>
      <c r="AP1033" s="16"/>
      <c r="AT1033" s="16"/>
      <c r="AX1033" s="16"/>
    </row>
    <row r="1034" spans="2:50" x14ac:dyDescent="0.25">
      <c r="B1034" s="16"/>
      <c r="F1034" s="16"/>
      <c r="J1034" s="16"/>
      <c r="N1034" s="16"/>
      <c r="R1034" s="16"/>
      <c r="V1034" s="16"/>
      <c r="Z1034" s="16"/>
      <c r="AD1034" s="16"/>
      <c r="AH1034" s="16"/>
      <c r="AL1034" s="16"/>
      <c r="AP1034" s="16"/>
      <c r="AT1034" s="16"/>
      <c r="AX1034" s="16"/>
    </row>
    <row r="1035" spans="2:50" x14ac:dyDescent="0.25">
      <c r="B1035" s="16"/>
      <c r="F1035" s="16"/>
      <c r="J1035" s="16"/>
      <c r="N1035" s="16"/>
      <c r="R1035" s="16"/>
      <c r="V1035" s="16"/>
      <c r="Z1035" s="16"/>
      <c r="AD1035" s="16"/>
      <c r="AH1035" s="16"/>
      <c r="AL1035" s="16"/>
      <c r="AP1035" s="16"/>
      <c r="AT1035" s="16"/>
      <c r="AX1035" s="16"/>
    </row>
    <row r="1036" spans="2:50" x14ac:dyDescent="0.25">
      <c r="B1036" s="16"/>
      <c r="F1036" s="16"/>
      <c r="J1036" s="16"/>
      <c r="N1036" s="16"/>
      <c r="R1036" s="16"/>
      <c r="V1036" s="16"/>
      <c r="Z1036" s="16"/>
      <c r="AD1036" s="16"/>
      <c r="AH1036" s="16"/>
      <c r="AL1036" s="16"/>
      <c r="AP1036" s="16"/>
      <c r="AT1036" s="16"/>
      <c r="AX1036" s="16"/>
    </row>
    <row r="1037" spans="2:50" x14ac:dyDescent="0.25">
      <c r="B1037" s="16"/>
      <c r="F1037" s="16"/>
      <c r="J1037" s="16"/>
      <c r="N1037" s="16"/>
      <c r="R1037" s="16"/>
      <c r="V1037" s="16"/>
      <c r="Z1037" s="16"/>
      <c r="AD1037" s="16"/>
      <c r="AH1037" s="16"/>
      <c r="AL1037" s="16"/>
      <c r="AP1037" s="16"/>
      <c r="AT1037" s="16"/>
      <c r="AX1037" s="16"/>
    </row>
    <row r="1038" spans="2:50" x14ac:dyDescent="0.25">
      <c r="B1038" s="16"/>
      <c r="F1038" s="16"/>
      <c r="J1038" s="16"/>
      <c r="N1038" s="16"/>
      <c r="R1038" s="16"/>
      <c r="V1038" s="16"/>
      <c r="Z1038" s="16"/>
      <c r="AD1038" s="16"/>
      <c r="AH1038" s="16"/>
      <c r="AL1038" s="16"/>
      <c r="AP1038" s="16"/>
      <c r="AT1038" s="16"/>
      <c r="AX1038" s="16"/>
    </row>
    <row r="1039" spans="2:50" x14ac:dyDescent="0.25">
      <c r="B1039" s="16"/>
      <c r="F1039" s="16"/>
      <c r="J1039" s="16"/>
      <c r="N1039" s="16"/>
      <c r="R1039" s="16"/>
      <c r="V1039" s="16"/>
      <c r="Z1039" s="16"/>
      <c r="AD1039" s="16"/>
      <c r="AH1039" s="16"/>
      <c r="AL1039" s="16"/>
      <c r="AP1039" s="16"/>
      <c r="AT1039" s="16"/>
      <c r="AX1039" s="16"/>
    </row>
    <row r="1040" spans="2:50" x14ac:dyDescent="0.25">
      <c r="B1040" s="16"/>
      <c r="F1040" s="16"/>
      <c r="J1040" s="16"/>
      <c r="N1040" s="16"/>
      <c r="R1040" s="16"/>
      <c r="V1040" s="16"/>
      <c r="Z1040" s="16"/>
      <c r="AD1040" s="16"/>
      <c r="AH1040" s="16"/>
      <c r="AL1040" s="16"/>
      <c r="AP1040" s="16"/>
      <c r="AT1040" s="16"/>
      <c r="AX1040" s="16"/>
    </row>
    <row r="1041" spans="2:50" x14ac:dyDescent="0.25">
      <c r="B1041" s="16"/>
      <c r="F1041" s="16"/>
      <c r="J1041" s="16"/>
      <c r="N1041" s="16"/>
      <c r="R1041" s="16"/>
      <c r="V1041" s="16"/>
      <c r="Z1041" s="16"/>
      <c r="AD1041" s="16"/>
      <c r="AH1041" s="16"/>
      <c r="AL1041" s="16"/>
      <c r="AP1041" s="16"/>
      <c r="AT1041" s="16"/>
      <c r="AX1041" s="16"/>
    </row>
    <row r="1042" spans="2:50" x14ac:dyDescent="0.25">
      <c r="B1042" s="16"/>
      <c r="F1042" s="16"/>
      <c r="J1042" s="16"/>
      <c r="N1042" s="16"/>
      <c r="R1042" s="16"/>
      <c r="V1042" s="16"/>
      <c r="Z1042" s="16"/>
      <c r="AD1042" s="16"/>
      <c r="AH1042" s="16"/>
      <c r="AL1042" s="16"/>
      <c r="AP1042" s="16"/>
      <c r="AT1042" s="16"/>
      <c r="AX1042" s="16"/>
    </row>
    <row r="1043" spans="2:50" x14ac:dyDescent="0.25">
      <c r="B1043" s="16"/>
      <c r="F1043" s="16"/>
      <c r="J1043" s="16"/>
      <c r="N1043" s="16"/>
      <c r="R1043" s="16"/>
      <c r="V1043" s="16"/>
      <c r="Z1043" s="16"/>
      <c r="AD1043" s="16"/>
      <c r="AH1043" s="16"/>
      <c r="AL1043" s="16"/>
      <c r="AP1043" s="16"/>
      <c r="AT1043" s="16"/>
      <c r="AX1043" s="16"/>
    </row>
    <row r="1044" spans="2:50" x14ac:dyDescent="0.25">
      <c r="B1044" s="16"/>
      <c r="F1044" s="16"/>
      <c r="J1044" s="16"/>
      <c r="N1044" s="16"/>
      <c r="R1044" s="16"/>
      <c r="V1044" s="16"/>
      <c r="Z1044" s="16"/>
      <c r="AD1044" s="16"/>
      <c r="AH1044" s="16"/>
      <c r="AL1044" s="16"/>
      <c r="AP1044" s="16"/>
      <c r="AT1044" s="16"/>
      <c r="AX1044" s="16"/>
    </row>
    <row r="1045" spans="2:50" x14ac:dyDescent="0.25">
      <c r="B1045" s="16"/>
      <c r="F1045" s="16"/>
      <c r="J1045" s="16"/>
      <c r="N1045" s="16"/>
      <c r="R1045" s="16"/>
      <c r="V1045" s="16"/>
      <c r="Z1045" s="16"/>
      <c r="AD1045" s="16"/>
      <c r="AH1045" s="16"/>
      <c r="AL1045" s="16"/>
      <c r="AP1045" s="16"/>
      <c r="AT1045" s="16"/>
      <c r="AX1045" s="16"/>
    </row>
    <row r="1046" spans="2:50" x14ac:dyDescent="0.25">
      <c r="B1046" s="16"/>
      <c r="F1046" s="16"/>
      <c r="J1046" s="16"/>
      <c r="N1046" s="16"/>
      <c r="R1046" s="16"/>
      <c r="V1046" s="16"/>
      <c r="Z1046" s="16"/>
      <c r="AD1046" s="16"/>
      <c r="AH1046" s="16"/>
      <c r="AL1046" s="16"/>
      <c r="AP1046" s="16"/>
      <c r="AT1046" s="16"/>
      <c r="AX1046" s="16"/>
    </row>
    <row r="1047" spans="2:50" x14ac:dyDescent="0.25">
      <c r="B1047" s="16"/>
      <c r="F1047" s="16"/>
      <c r="J1047" s="16"/>
      <c r="N1047" s="16"/>
      <c r="R1047" s="16"/>
      <c r="V1047" s="16"/>
      <c r="Z1047" s="16"/>
      <c r="AD1047" s="16"/>
      <c r="AH1047" s="16"/>
      <c r="AL1047" s="16"/>
      <c r="AP1047" s="16"/>
      <c r="AT1047" s="16"/>
      <c r="AX1047" s="16"/>
    </row>
    <row r="1048" spans="2:50" x14ac:dyDescent="0.25">
      <c r="B1048" s="16"/>
      <c r="F1048" s="16"/>
      <c r="J1048" s="16"/>
      <c r="N1048" s="16"/>
      <c r="R1048" s="16"/>
      <c r="V1048" s="16"/>
      <c r="Z1048" s="16"/>
      <c r="AD1048" s="16"/>
      <c r="AH1048" s="16"/>
      <c r="AL1048" s="16"/>
      <c r="AP1048" s="16"/>
      <c r="AT1048" s="16"/>
      <c r="AX1048" s="16"/>
    </row>
    <row r="1049" spans="2:50" x14ac:dyDescent="0.25">
      <c r="B1049" s="16"/>
      <c r="F1049" s="16"/>
      <c r="J1049" s="16"/>
      <c r="N1049" s="16"/>
      <c r="R1049" s="16"/>
      <c r="V1049" s="16"/>
      <c r="Z1049" s="16"/>
      <c r="AD1049" s="16"/>
      <c r="AH1049" s="16"/>
      <c r="AL1049" s="16"/>
      <c r="AP1049" s="16"/>
      <c r="AT1049" s="16"/>
      <c r="AX1049" s="16"/>
    </row>
    <row r="1050" spans="2:50" x14ac:dyDescent="0.25">
      <c r="B1050" s="16"/>
      <c r="F1050" s="16"/>
      <c r="J1050" s="16"/>
      <c r="N1050" s="16"/>
      <c r="R1050" s="16"/>
      <c r="V1050" s="16"/>
      <c r="Z1050" s="16"/>
      <c r="AD1050" s="16"/>
      <c r="AH1050" s="16"/>
      <c r="AL1050" s="16"/>
      <c r="AP1050" s="16"/>
      <c r="AT1050" s="16"/>
      <c r="AX1050" s="16"/>
    </row>
    <row r="1051" spans="2:50" x14ac:dyDescent="0.25">
      <c r="B1051" s="16"/>
      <c r="F1051" s="16"/>
      <c r="J1051" s="16"/>
      <c r="N1051" s="16"/>
      <c r="R1051" s="16"/>
      <c r="V1051" s="16"/>
      <c r="Z1051" s="16"/>
      <c r="AD1051" s="16"/>
      <c r="AH1051" s="16"/>
      <c r="AL1051" s="16"/>
      <c r="AP1051" s="16"/>
      <c r="AT1051" s="16"/>
      <c r="AX1051" s="16"/>
    </row>
    <row r="1052" spans="2:50" x14ac:dyDescent="0.25">
      <c r="B1052" s="16"/>
      <c r="F1052" s="16"/>
      <c r="J1052" s="16"/>
      <c r="N1052" s="16"/>
      <c r="R1052" s="16"/>
      <c r="V1052" s="16"/>
      <c r="Z1052" s="16"/>
      <c r="AD1052" s="16"/>
      <c r="AH1052" s="16"/>
      <c r="AL1052" s="16"/>
      <c r="AP1052" s="16"/>
      <c r="AT1052" s="16"/>
      <c r="AX1052" s="16"/>
    </row>
    <row r="1053" spans="2:50" x14ac:dyDescent="0.25">
      <c r="B1053" s="16"/>
      <c r="F1053" s="16"/>
      <c r="J1053" s="16"/>
      <c r="N1053" s="16"/>
      <c r="R1053" s="16"/>
      <c r="V1053" s="16"/>
      <c r="Z1053" s="16"/>
      <c r="AD1053" s="16"/>
      <c r="AH1053" s="16"/>
      <c r="AL1053" s="16"/>
      <c r="AP1053" s="16"/>
      <c r="AT1053" s="16"/>
      <c r="AX1053" s="16"/>
    </row>
    <row r="1054" spans="2:50" x14ac:dyDescent="0.25">
      <c r="B1054" s="16"/>
      <c r="F1054" s="16"/>
      <c r="J1054" s="16"/>
      <c r="N1054" s="16"/>
      <c r="R1054" s="16"/>
      <c r="V1054" s="16"/>
      <c r="Z1054" s="16"/>
      <c r="AD1054" s="16"/>
      <c r="AH1054" s="16"/>
      <c r="AL1054" s="16"/>
      <c r="AP1054" s="16"/>
      <c r="AT1054" s="16"/>
      <c r="AX1054" s="16"/>
    </row>
    <row r="1055" spans="2:50" x14ac:dyDescent="0.25">
      <c r="B1055" s="16"/>
      <c r="F1055" s="16"/>
      <c r="J1055" s="16"/>
      <c r="N1055" s="16"/>
      <c r="R1055" s="16"/>
      <c r="V1055" s="16"/>
      <c r="Z1055" s="16"/>
      <c r="AD1055" s="16"/>
      <c r="AH1055" s="16"/>
      <c r="AL1055" s="16"/>
      <c r="AP1055" s="16"/>
      <c r="AT1055" s="16"/>
      <c r="AX1055" s="16"/>
    </row>
    <row r="1056" spans="2:50" x14ac:dyDescent="0.25">
      <c r="B1056" s="16"/>
      <c r="F1056" s="16"/>
      <c r="J1056" s="16"/>
      <c r="N1056" s="16"/>
      <c r="R1056" s="16"/>
      <c r="V1056" s="16"/>
      <c r="Z1056" s="16"/>
      <c r="AD1056" s="16"/>
      <c r="AH1056" s="16"/>
      <c r="AL1056" s="16"/>
      <c r="AP1056" s="16"/>
      <c r="AT1056" s="16"/>
      <c r="AX1056" s="16"/>
    </row>
    <row r="1057" spans="2:50" x14ac:dyDescent="0.25">
      <c r="B1057" s="16"/>
      <c r="F1057" s="16"/>
      <c r="J1057" s="16"/>
      <c r="N1057" s="16"/>
      <c r="R1057" s="16"/>
      <c r="V1057" s="16"/>
      <c r="Z1057" s="16"/>
      <c r="AD1057" s="16"/>
      <c r="AH1057" s="16"/>
      <c r="AL1057" s="16"/>
      <c r="AP1057" s="16"/>
      <c r="AT1057" s="16"/>
      <c r="AX1057" s="16"/>
    </row>
    <row r="1058" spans="2:50" x14ac:dyDescent="0.25">
      <c r="B1058" s="16"/>
      <c r="F1058" s="16"/>
      <c r="J1058" s="16"/>
      <c r="N1058" s="16"/>
      <c r="R1058" s="16"/>
      <c r="V1058" s="16"/>
      <c r="Z1058" s="16"/>
      <c r="AD1058" s="16"/>
      <c r="AH1058" s="16"/>
      <c r="AL1058" s="16"/>
      <c r="AP1058" s="16"/>
      <c r="AT1058" s="16"/>
      <c r="AX1058" s="16"/>
    </row>
    <row r="1059" spans="2:50" x14ac:dyDescent="0.25">
      <c r="B1059" s="16"/>
      <c r="F1059" s="16"/>
      <c r="J1059" s="16"/>
      <c r="N1059" s="16"/>
      <c r="R1059" s="16"/>
      <c r="V1059" s="16"/>
      <c r="Z1059" s="16"/>
      <c r="AD1059" s="16"/>
      <c r="AH1059" s="16"/>
      <c r="AL1059" s="16"/>
      <c r="AP1059" s="16"/>
      <c r="AT1059" s="16"/>
      <c r="AX1059" s="16"/>
    </row>
    <row r="1060" spans="2:50" x14ac:dyDescent="0.25">
      <c r="B1060" s="16"/>
      <c r="F1060" s="16"/>
      <c r="J1060" s="16"/>
      <c r="N1060" s="16"/>
      <c r="R1060" s="16"/>
      <c r="V1060" s="16"/>
      <c r="Z1060" s="16"/>
      <c r="AD1060" s="16"/>
      <c r="AH1060" s="16"/>
      <c r="AL1060" s="16"/>
      <c r="AP1060" s="16"/>
      <c r="AT1060" s="16"/>
      <c r="AX1060" s="16"/>
    </row>
    <row r="1061" spans="2:50" x14ac:dyDescent="0.25">
      <c r="B1061" s="16"/>
      <c r="F1061" s="16"/>
      <c r="J1061" s="16"/>
      <c r="N1061" s="16"/>
      <c r="R1061" s="16"/>
      <c r="V1061" s="16"/>
      <c r="Z1061" s="16"/>
      <c r="AD1061" s="16"/>
      <c r="AH1061" s="16"/>
      <c r="AL1061" s="16"/>
      <c r="AP1061" s="16"/>
      <c r="AT1061" s="16"/>
      <c r="AX1061" s="16"/>
    </row>
    <row r="1062" spans="2:50" x14ac:dyDescent="0.25">
      <c r="B1062" s="16"/>
      <c r="F1062" s="16"/>
      <c r="J1062" s="16"/>
      <c r="N1062" s="16"/>
      <c r="R1062" s="16"/>
      <c r="V1062" s="16"/>
      <c r="Z1062" s="16"/>
      <c r="AD1062" s="16"/>
      <c r="AH1062" s="16"/>
      <c r="AL1062" s="16"/>
      <c r="AP1062" s="16"/>
      <c r="AT1062" s="16"/>
      <c r="AX1062" s="16"/>
    </row>
    <row r="1063" spans="2:50" x14ac:dyDescent="0.25">
      <c r="B1063" s="16"/>
      <c r="F1063" s="16"/>
      <c r="J1063" s="16"/>
      <c r="N1063" s="16"/>
      <c r="R1063" s="16"/>
      <c r="V1063" s="16"/>
      <c r="Z1063" s="16"/>
      <c r="AD1063" s="16"/>
      <c r="AH1063" s="16"/>
      <c r="AL1063" s="16"/>
      <c r="AP1063" s="16"/>
      <c r="AT1063" s="16"/>
      <c r="AX1063" s="16"/>
    </row>
    <row r="1064" spans="2:50" x14ac:dyDescent="0.25">
      <c r="B1064" s="16"/>
      <c r="F1064" s="16"/>
      <c r="J1064" s="16"/>
      <c r="N1064" s="16"/>
      <c r="R1064" s="16"/>
      <c r="V1064" s="16"/>
      <c r="Z1064" s="16"/>
      <c r="AD1064" s="16"/>
      <c r="AH1064" s="16"/>
      <c r="AL1064" s="16"/>
      <c r="AP1064" s="16"/>
      <c r="AT1064" s="16"/>
      <c r="AX1064" s="16"/>
    </row>
    <row r="1065" spans="2:50" x14ac:dyDescent="0.25">
      <c r="B1065" s="16"/>
      <c r="F1065" s="16"/>
      <c r="J1065" s="16"/>
      <c r="N1065" s="16"/>
      <c r="R1065" s="16"/>
      <c r="V1065" s="16"/>
      <c r="Z1065" s="16"/>
      <c r="AD1065" s="16"/>
      <c r="AH1065" s="16"/>
      <c r="AL1065" s="16"/>
      <c r="AP1065" s="16"/>
      <c r="AT1065" s="16"/>
      <c r="AX1065" s="16"/>
    </row>
    <row r="1066" spans="2:50" x14ac:dyDescent="0.25">
      <c r="B1066" s="16"/>
      <c r="F1066" s="16"/>
      <c r="J1066" s="16"/>
      <c r="N1066" s="16"/>
      <c r="R1066" s="16"/>
      <c r="V1066" s="16"/>
      <c r="Z1066" s="16"/>
      <c r="AD1066" s="16"/>
      <c r="AH1066" s="16"/>
      <c r="AL1066" s="16"/>
      <c r="AP1066" s="16"/>
      <c r="AT1066" s="16"/>
      <c r="AX1066" s="16"/>
    </row>
    <row r="1067" spans="2:50" x14ac:dyDescent="0.25">
      <c r="B1067" s="16"/>
      <c r="F1067" s="16"/>
      <c r="J1067" s="16"/>
      <c r="N1067" s="16"/>
      <c r="R1067" s="16"/>
      <c r="V1067" s="16"/>
      <c r="Z1067" s="16"/>
      <c r="AD1067" s="16"/>
      <c r="AH1067" s="16"/>
      <c r="AL1067" s="16"/>
      <c r="AP1067" s="16"/>
      <c r="AT1067" s="16"/>
      <c r="AX1067" s="16"/>
    </row>
    <row r="1068" spans="2:50" x14ac:dyDescent="0.25">
      <c r="B1068" s="16"/>
      <c r="F1068" s="16"/>
      <c r="J1068" s="16"/>
      <c r="N1068" s="16"/>
      <c r="R1068" s="16"/>
      <c r="V1068" s="16"/>
      <c r="Z1068" s="16"/>
      <c r="AD1068" s="16"/>
      <c r="AH1068" s="16"/>
      <c r="AL1068" s="16"/>
      <c r="AP1068" s="16"/>
      <c r="AT1068" s="16"/>
      <c r="AX1068" s="16"/>
    </row>
    <row r="1069" spans="2:50" x14ac:dyDescent="0.25">
      <c r="B1069" s="16"/>
      <c r="F1069" s="16"/>
      <c r="J1069" s="16"/>
      <c r="N1069" s="16"/>
      <c r="R1069" s="16"/>
      <c r="V1069" s="16"/>
      <c r="Z1069" s="16"/>
      <c r="AD1069" s="16"/>
      <c r="AH1069" s="16"/>
      <c r="AL1069" s="16"/>
      <c r="AP1069" s="16"/>
      <c r="AT1069" s="16"/>
      <c r="AX1069" s="16"/>
    </row>
    <row r="1070" spans="2:50" x14ac:dyDescent="0.25">
      <c r="B1070" s="16"/>
      <c r="F1070" s="16"/>
      <c r="J1070" s="16"/>
      <c r="N1070" s="16"/>
      <c r="R1070" s="16"/>
      <c r="V1070" s="16"/>
      <c r="Z1070" s="16"/>
      <c r="AD1070" s="16"/>
      <c r="AH1070" s="16"/>
      <c r="AL1070" s="16"/>
      <c r="AP1070" s="16"/>
      <c r="AT1070" s="16"/>
      <c r="AX1070" s="16"/>
    </row>
    <row r="1071" spans="2:50" x14ac:dyDescent="0.25">
      <c r="B1071" s="16"/>
      <c r="F1071" s="16"/>
      <c r="J1071" s="16"/>
      <c r="N1071" s="16"/>
      <c r="R1071" s="16"/>
      <c r="V1071" s="16"/>
      <c r="Z1071" s="16"/>
      <c r="AD1071" s="16"/>
      <c r="AH1071" s="16"/>
      <c r="AL1071" s="16"/>
      <c r="AP1071" s="16"/>
      <c r="AT1071" s="16"/>
      <c r="AX1071" s="16"/>
    </row>
    <row r="1072" spans="2:50" x14ac:dyDescent="0.25">
      <c r="B1072" s="16"/>
      <c r="F1072" s="16"/>
      <c r="J1072" s="16"/>
      <c r="N1072" s="16"/>
      <c r="R1072" s="16"/>
      <c r="V1072" s="16"/>
      <c r="Z1072" s="16"/>
      <c r="AD1072" s="16"/>
      <c r="AH1072" s="16"/>
      <c r="AL1072" s="16"/>
      <c r="AP1072" s="16"/>
      <c r="AT1072" s="16"/>
      <c r="AX1072" s="16"/>
    </row>
    <row r="1073" spans="2:50" x14ac:dyDescent="0.25">
      <c r="B1073" s="16"/>
      <c r="F1073" s="16"/>
      <c r="J1073" s="16"/>
      <c r="N1073" s="16"/>
      <c r="R1073" s="16"/>
      <c r="V1073" s="16"/>
      <c r="Z1073" s="16"/>
      <c r="AD1073" s="16"/>
      <c r="AH1073" s="16"/>
      <c r="AL1073" s="16"/>
      <c r="AP1073" s="16"/>
      <c r="AT1073" s="16"/>
      <c r="AX1073" s="16"/>
    </row>
    <row r="1074" spans="2:50" x14ac:dyDescent="0.25">
      <c r="B1074" s="16"/>
      <c r="F1074" s="16"/>
      <c r="J1074" s="16"/>
      <c r="N1074" s="16"/>
      <c r="R1074" s="16"/>
      <c r="V1074" s="16"/>
      <c r="Z1074" s="16"/>
      <c r="AD1074" s="16"/>
      <c r="AH1074" s="16"/>
      <c r="AL1074" s="16"/>
      <c r="AP1074" s="16"/>
      <c r="AT1074" s="16"/>
      <c r="AX1074" s="16"/>
    </row>
    <row r="1075" spans="2:50" x14ac:dyDescent="0.25">
      <c r="B1075" s="16"/>
      <c r="F1075" s="16"/>
      <c r="J1075" s="16"/>
      <c r="N1075" s="16"/>
      <c r="R1075" s="16"/>
      <c r="V1075" s="16"/>
      <c r="Z1075" s="16"/>
      <c r="AD1075" s="16"/>
      <c r="AH1075" s="16"/>
      <c r="AL1075" s="16"/>
      <c r="AP1075" s="16"/>
      <c r="AT1075" s="16"/>
      <c r="AX1075" s="16"/>
    </row>
    <row r="1076" spans="2:50" x14ac:dyDescent="0.25">
      <c r="B1076" s="16"/>
      <c r="F1076" s="16"/>
      <c r="J1076" s="16"/>
      <c r="N1076" s="16"/>
      <c r="R1076" s="16"/>
      <c r="V1076" s="16"/>
      <c r="Z1076" s="16"/>
      <c r="AD1076" s="16"/>
      <c r="AH1076" s="16"/>
      <c r="AL1076" s="16"/>
      <c r="AP1076" s="16"/>
      <c r="AT1076" s="16"/>
      <c r="AX1076" s="16"/>
    </row>
    <row r="1077" spans="2:50" x14ac:dyDescent="0.25">
      <c r="B1077" s="16"/>
      <c r="F1077" s="16"/>
      <c r="J1077" s="16"/>
      <c r="N1077" s="16"/>
      <c r="R1077" s="16"/>
      <c r="V1077" s="16"/>
      <c r="Z1077" s="16"/>
      <c r="AD1077" s="16"/>
      <c r="AH1077" s="16"/>
      <c r="AL1077" s="16"/>
      <c r="AP1077" s="16"/>
      <c r="AT1077" s="16"/>
      <c r="AX1077" s="16"/>
    </row>
    <row r="1078" spans="2:50" x14ac:dyDescent="0.25">
      <c r="B1078" s="16"/>
      <c r="F1078" s="16"/>
      <c r="J1078" s="16"/>
      <c r="N1078" s="16"/>
      <c r="R1078" s="16"/>
      <c r="V1078" s="16"/>
      <c r="Z1078" s="16"/>
      <c r="AD1078" s="16"/>
      <c r="AH1078" s="16"/>
      <c r="AL1078" s="16"/>
      <c r="AP1078" s="16"/>
      <c r="AT1078" s="16"/>
      <c r="AX1078" s="16"/>
    </row>
    <row r="1079" spans="2:50" x14ac:dyDescent="0.25">
      <c r="B1079" s="16"/>
      <c r="F1079" s="16"/>
      <c r="J1079" s="16"/>
      <c r="N1079" s="16"/>
      <c r="R1079" s="16"/>
      <c r="V1079" s="16"/>
      <c r="Z1079" s="16"/>
      <c r="AD1079" s="16"/>
      <c r="AH1079" s="16"/>
      <c r="AL1079" s="16"/>
      <c r="AP1079" s="16"/>
      <c r="AT1079" s="16"/>
      <c r="AX1079" s="16"/>
    </row>
    <row r="1080" spans="2:50" x14ac:dyDescent="0.25">
      <c r="B1080" s="16"/>
      <c r="F1080" s="16"/>
      <c r="J1080" s="16"/>
      <c r="N1080" s="16"/>
      <c r="R1080" s="16"/>
      <c r="V1080" s="16"/>
      <c r="Z1080" s="16"/>
      <c r="AD1080" s="16"/>
      <c r="AH1080" s="16"/>
      <c r="AL1080" s="16"/>
      <c r="AP1080" s="16"/>
      <c r="AT1080" s="16"/>
      <c r="AX1080" s="16"/>
    </row>
    <row r="1081" spans="2:50" x14ac:dyDescent="0.25">
      <c r="B1081" s="16"/>
      <c r="F1081" s="16"/>
      <c r="J1081" s="16"/>
      <c r="N1081" s="16"/>
      <c r="R1081" s="16"/>
      <c r="V1081" s="16"/>
      <c r="Z1081" s="16"/>
      <c r="AD1081" s="16"/>
      <c r="AH1081" s="16"/>
      <c r="AL1081" s="16"/>
      <c r="AP1081" s="16"/>
      <c r="AT1081" s="16"/>
      <c r="AX1081" s="16"/>
    </row>
    <row r="1082" spans="2:50" x14ac:dyDescent="0.25">
      <c r="B1082" s="16"/>
      <c r="F1082" s="16"/>
      <c r="J1082" s="16"/>
      <c r="N1082" s="16"/>
      <c r="R1082" s="16"/>
      <c r="V1082" s="16"/>
      <c r="Z1082" s="16"/>
      <c r="AD1082" s="16"/>
      <c r="AH1082" s="16"/>
      <c r="AL1082" s="16"/>
      <c r="AP1082" s="16"/>
      <c r="AT1082" s="16"/>
      <c r="AX1082" s="16"/>
    </row>
    <row r="1083" spans="2:50" x14ac:dyDescent="0.25">
      <c r="B1083" s="16"/>
      <c r="F1083" s="16"/>
      <c r="J1083" s="16"/>
      <c r="N1083" s="16"/>
      <c r="R1083" s="16"/>
      <c r="V1083" s="16"/>
      <c r="Z1083" s="16"/>
      <c r="AD1083" s="16"/>
      <c r="AH1083" s="16"/>
      <c r="AL1083" s="16"/>
      <c r="AP1083" s="16"/>
      <c r="AT1083" s="16"/>
      <c r="AX1083" s="16"/>
    </row>
    <row r="1084" spans="2:50" x14ac:dyDescent="0.25">
      <c r="B1084" s="16"/>
      <c r="F1084" s="16"/>
      <c r="J1084" s="16"/>
      <c r="N1084" s="16"/>
      <c r="R1084" s="16"/>
      <c r="V1084" s="16"/>
      <c r="Z1084" s="16"/>
      <c r="AD1084" s="16"/>
      <c r="AH1084" s="16"/>
      <c r="AL1084" s="16"/>
      <c r="AP1084" s="16"/>
      <c r="AT1084" s="16"/>
      <c r="AX1084" s="16"/>
    </row>
    <row r="1085" spans="2:50" x14ac:dyDescent="0.25">
      <c r="B1085" s="16"/>
      <c r="F1085" s="16"/>
      <c r="J1085" s="16"/>
      <c r="N1085" s="16"/>
      <c r="R1085" s="16"/>
      <c r="V1085" s="16"/>
      <c r="Z1085" s="16"/>
      <c r="AD1085" s="16"/>
      <c r="AH1085" s="16"/>
      <c r="AL1085" s="16"/>
      <c r="AP1085" s="16"/>
      <c r="AT1085" s="16"/>
      <c r="AX1085" s="16"/>
    </row>
    <row r="1086" spans="2:50" x14ac:dyDescent="0.25">
      <c r="B1086" s="16"/>
      <c r="F1086" s="16"/>
      <c r="J1086" s="16"/>
      <c r="N1086" s="16"/>
      <c r="R1086" s="16"/>
      <c r="V1086" s="16"/>
      <c r="Z1086" s="16"/>
      <c r="AD1086" s="16"/>
      <c r="AH1086" s="16"/>
      <c r="AL1086" s="16"/>
      <c r="AP1086" s="16"/>
      <c r="AT1086" s="16"/>
      <c r="AX1086" s="16"/>
    </row>
    <row r="1087" spans="2:50" x14ac:dyDescent="0.25">
      <c r="B1087" s="16"/>
      <c r="F1087" s="16"/>
      <c r="J1087" s="16"/>
      <c r="N1087" s="16"/>
      <c r="R1087" s="16"/>
      <c r="V1087" s="16"/>
      <c r="Z1087" s="16"/>
      <c r="AD1087" s="16"/>
      <c r="AH1087" s="16"/>
      <c r="AL1087" s="16"/>
      <c r="AP1087" s="16"/>
      <c r="AT1087" s="16"/>
      <c r="AX1087" s="16"/>
    </row>
    <row r="1088" spans="2:50" x14ac:dyDescent="0.25">
      <c r="B1088" s="16"/>
      <c r="F1088" s="16"/>
      <c r="J1088" s="16"/>
      <c r="N1088" s="16"/>
      <c r="R1088" s="16"/>
      <c r="V1088" s="16"/>
      <c r="Z1088" s="16"/>
      <c r="AD1088" s="16"/>
      <c r="AH1088" s="16"/>
      <c r="AL1088" s="16"/>
      <c r="AP1088" s="16"/>
      <c r="AT1088" s="16"/>
      <c r="AX1088" s="16"/>
    </row>
    <row r="1089" spans="2:50" x14ac:dyDescent="0.25">
      <c r="B1089" s="16"/>
      <c r="F1089" s="16"/>
      <c r="J1089" s="16"/>
      <c r="N1089" s="16"/>
      <c r="R1089" s="16"/>
      <c r="V1089" s="16"/>
      <c r="Z1089" s="16"/>
      <c r="AD1089" s="16"/>
      <c r="AH1089" s="16"/>
      <c r="AL1089" s="16"/>
      <c r="AP1089" s="16"/>
      <c r="AT1089" s="16"/>
      <c r="AX1089" s="16"/>
    </row>
    <row r="1090" spans="2:50" x14ac:dyDescent="0.25">
      <c r="B1090" s="16"/>
      <c r="F1090" s="16"/>
      <c r="J1090" s="16"/>
      <c r="N1090" s="16"/>
      <c r="R1090" s="16"/>
      <c r="V1090" s="16"/>
      <c r="Z1090" s="16"/>
      <c r="AD1090" s="16"/>
      <c r="AH1090" s="16"/>
      <c r="AL1090" s="16"/>
      <c r="AP1090" s="16"/>
      <c r="AT1090" s="16"/>
      <c r="AX1090" s="16"/>
    </row>
    <row r="1091" spans="2:50" x14ac:dyDescent="0.25">
      <c r="B1091" s="16"/>
      <c r="F1091" s="16"/>
      <c r="J1091" s="16"/>
      <c r="N1091" s="16"/>
      <c r="R1091" s="16"/>
      <c r="V1091" s="16"/>
      <c r="Z1091" s="16"/>
      <c r="AD1091" s="16"/>
      <c r="AH1091" s="16"/>
      <c r="AL1091" s="16"/>
      <c r="AP1091" s="16"/>
      <c r="AT1091" s="16"/>
      <c r="AX1091" s="16"/>
    </row>
    <row r="1092" spans="2:50" x14ac:dyDescent="0.25">
      <c r="B1092" s="16"/>
      <c r="F1092" s="16"/>
      <c r="J1092" s="16"/>
      <c r="N1092" s="16"/>
      <c r="R1092" s="16"/>
      <c r="V1092" s="16"/>
      <c r="Z1092" s="16"/>
      <c r="AD1092" s="16"/>
      <c r="AH1092" s="16"/>
      <c r="AL1092" s="16"/>
      <c r="AP1092" s="16"/>
      <c r="AT1092" s="16"/>
      <c r="AX1092" s="16"/>
    </row>
    <row r="1093" spans="2:50" x14ac:dyDescent="0.25">
      <c r="B1093" s="16"/>
      <c r="F1093" s="16"/>
      <c r="J1093" s="16"/>
      <c r="N1093" s="16"/>
      <c r="R1093" s="16"/>
      <c r="V1093" s="16"/>
      <c r="Z1093" s="16"/>
      <c r="AD1093" s="16"/>
      <c r="AH1093" s="16"/>
      <c r="AL1093" s="16"/>
      <c r="AP1093" s="16"/>
      <c r="AT1093" s="16"/>
      <c r="AX1093" s="16"/>
    </row>
    <row r="1094" spans="2:50" x14ac:dyDescent="0.25">
      <c r="B1094" s="16"/>
      <c r="F1094" s="16"/>
      <c r="J1094" s="16"/>
      <c r="N1094" s="16"/>
      <c r="R1094" s="16"/>
      <c r="V1094" s="16"/>
      <c r="Z1094" s="16"/>
      <c r="AD1094" s="16"/>
      <c r="AH1094" s="16"/>
      <c r="AL1094" s="16"/>
      <c r="AP1094" s="16"/>
      <c r="AT1094" s="16"/>
      <c r="AX1094" s="16"/>
    </row>
    <row r="1095" spans="2:50" x14ac:dyDescent="0.25">
      <c r="B1095" s="16"/>
      <c r="F1095" s="16"/>
      <c r="J1095" s="16"/>
      <c r="N1095" s="16"/>
      <c r="R1095" s="16"/>
      <c r="V1095" s="16"/>
      <c r="Z1095" s="16"/>
      <c r="AD1095" s="16"/>
      <c r="AH1095" s="16"/>
      <c r="AL1095" s="16"/>
      <c r="AP1095" s="16"/>
      <c r="AT1095" s="16"/>
      <c r="AX1095" s="16"/>
    </row>
    <row r="1096" spans="2:50" x14ac:dyDescent="0.25">
      <c r="B1096" s="16"/>
      <c r="F1096" s="16"/>
      <c r="J1096" s="16"/>
      <c r="N1096" s="16"/>
      <c r="R1096" s="16"/>
      <c r="V1096" s="16"/>
      <c r="Z1096" s="16"/>
      <c r="AD1096" s="16"/>
      <c r="AH1096" s="16"/>
      <c r="AL1096" s="16"/>
      <c r="AP1096" s="16"/>
      <c r="AT1096" s="16"/>
      <c r="AX1096" s="16"/>
    </row>
    <row r="1097" spans="2:50" x14ac:dyDescent="0.25">
      <c r="B1097" s="16"/>
      <c r="F1097" s="16"/>
      <c r="J1097" s="16"/>
      <c r="N1097" s="16"/>
      <c r="R1097" s="16"/>
      <c r="V1097" s="16"/>
      <c r="Z1097" s="16"/>
      <c r="AD1097" s="16"/>
      <c r="AH1097" s="16"/>
      <c r="AL1097" s="16"/>
      <c r="AP1097" s="16"/>
      <c r="AT1097" s="16"/>
      <c r="AX1097" s="16"/>
    </row>
    <row r="1098" spans="2:50" x14ac:dyDescent="0.25">
      <c r="B1098" s="16"/>
      <c r="F1098" s="16"/>
      <c r="J1098" s="16"/>
      <c r="N1098" s="16"/>
      <c r="R1098" s="16"/>
      <c r="V1098" s="16"/>
      <c r="Z1098" s="16"/>
      <c r="AD1098" s="16"/>
      <c r="AH1098" s="16"/>
      <c r="AL1098" s="16"/>
      <c r="AP1098" s="16"/>
      <c r="AT1098" s="16"/>
      <c r="AX1098" s="16"/>
    </row>
    <row r="1099" spans="2:50" x14ac:dyDescent="0.25">
      <c r="B1099" s="16"/>
      <c r="F1099" s="16"/>
      <c r="J1099" s="16"/>
      <c r="N1099" s="16"/>
      <c r="R1099" s="16"/>
      <c r="V1099" s="16"/>
      <c r="Z1099" s="16"/>
      <c r="AD1099" s="16"/>
      <c r="AH1099" s="16"/>
      <c r="AL1099" s="16"/>
      <c r="AP1099" s="16"/>
      <c r="AT1099" s="16"/>
      <c r="AX1099" s="16"/>
    </row>
    <row r="1100" spans="2:50" x14ac:dyDescent="0.25">
      <c r="B1100" s="16"/>
      <c r="F1100" s="16"/>
      <c r="J1100" s="16"/>
      <c r="N1100" s="16"/>
      <c r="R1100" s="16"/>
      <c r="V1100" s="16"/>
      <c r="Z1100" s="16"/>
      <c r="AD1100" s="16"/>
      <c r="AH1100" s="16"/>
      <c r="AL1100" s="16"/>
      <c r="AP1100" s="16"/>
      <c r="AT1100" s="16"/>
      <c r="AX1100" s="16"/>
    </row>
    <row r="1101" spans="2:50" x14ac:dyDescent="0.25">
      <c r="B1101" s="16"/>
      <c r="F1101" s="16"/>
      <c r="J1101" s="16"/>
      <c r="N1101" s="16"/>
      <c r="R1101" s="16"/>
      <c r="V1101" s="16"/>
      <c r="Z1101" s="16"/>
      <c r="AD1101" s="16"/>
      <c r="AH1101" s="16"/>
      <c r="AL1101" s="16"/>
      <c r="AP1101" s="16"/>
      <c r="AT1101" s="16"/>
      <c r="AX1101" s="16"/>
    </row>
    <row r="1102" spans="2:50" x14ac:dyDescent="0.25">
      <c r="B1102" s="16"/>
      <c r="F1102" s="16"/>
      <c r="J1102" s="16"/>
      <c r="N1102" s="16"/>
      <c r="R1102" s="16"/>
      <c r="V1102" s="16"/>
      <c r="Z1102" s="16"/>
      <c r="AD1102" s="16"/>
      <c r="AH1102" s="16"/>
      <c r="AL1102" s="16"/>
      <c r="AP1102" s="16"/>
      <c r="AT1102" s="16"/>
      <c r="AX1102" s="16"/>
    </row>
    <row r="1103" spans="2:50" x14ac:dyDescent="0.25">
      <c r="B1103" s="16"/>
      <c r="F1103" s="16"/>
      <c r="J1103" s="16"/>
      <c r="N1103" s="16"/>
      <c r="R1103" s="16"/>
      <c r="V1103" s="16"/>
      <c r="Z1103" s="16"/>
      <c r="AD1103" s="16"/>
      <c r="AH1103" s="16"/>
      <c r="AL1103" s="16"/>
      <c r="AP1103" s="16"/>
      <c r="AT1103" s="16"/>
      <c r="AX1103" s="16"/>
    </row>
    <row r="1104" spans="2:50" x14ac:dyDescent="0.25">
      <c r="B1104" s="16"/>
      <c r="F1104" s="16"/>
      <c r="J1104" s="16"/>
      <c r="N1104" s="16"/>
      <c r="R1104" s="16"/>
      <c r="V1104" s="16"/>
      <c r="Z1104" s="16"/>
      <c r="AD1104" s="16"/>
      <c r="AH1104" s="16"/>
      <c r="AL1104" s="16"/>
      <c r="AP1104" s="16"/>
      <c r="AT1104" s="16"/>
      <c r="AX1104" s="16"/>
    </row>
    <row r="1105" spans="2:50" x14ac:dyDescent="0.25">
      <c r="B1105" s="16"/>
      <c r="F1105" s="16"/>
      <c r="J1105" s="16"/>
      <c r="N1105" s="16"/>
      <c r="R1105" s="16"/>
      <c r="V1105" s="16"/>
      <c r="Z1105" s="16"/>
      <c r="AD1105" s="16"/>
      <c r="AH1105" s="16"/>
      <c r="AL1105" s="16"/>
      <c r="AP1105" s="16"/>
      <c r="AT1105" s="16"/>
      <c r="AX1105" s="16"/>
    </row>
    <row r="1106" spans="2:50" x14ac:dyDescent="0.25">
      <c r="B1106" s="16"/>
      <c r="F1106" s="16"/>
      <c r="J1106" s="16"/>
      <c r="N1106" s="16"/>
      <c r="R1106" s="16"/>
      <c r="V1106" s="16"/>
      <c r="Z1106" s="16"/>
      <c r="AD1106" s="16"/>
      <c r="AH1106" s="16"/>
      <c r="AL1106" s="16"/>
      <c r="AP1106" s="16"/>
      <c r="AT1106" s="16"/>
      <c r="AX1106" s="16"/>
    </row>
    <row r="1107" spans="2:50" x14ac:dyDescent="0.25">
      <c r="B1107" s="16"/>
      <c r="F1107" s="16"/>
      <c r="J1107" s="16"/>
      <c r="N1107" s="16"/>
      <c r="R1107" s="16"/>
      <c r="V1107" s="16"/>
      <c r="Z1107" s="16"/>
      <c r="AD1107" s="16"/>
      <c r="AH1107" s="16"/>
      <c r="AL1107" s="16"/>
      <c r="AP1107" s="16"/>
      <c r="AT1107" s="16"/>
      <c r="AX1107" s="16"/>
    </row>
    <row r="1108" spans="2:50" x14ac:dyDescent="0.25">
      <c r="B1108" s="16"/>
      <c r="F1108" s="16"/>
      <c r="J1108" s="16"/>
      <c r="N1108" s="16"/>
      <c r="R1108" s="16"/>
      <c r="V1108" s="16"/>
      <c r="Z1108" s="16"/>
      <c r="AD1108" s="16"/>
      <c r="AH1108" s="16"/>
      <c r="AL1108" s="16"/>
      <c r="AP1108" s="16"/>
      <c r="AT1108" s="16"/>
      <c r="AX1108" s="16"/>
    </row>
    <row r="1109" spans="2:50" x14ac:dyDescent="0.25">
      <c r="B1109" s="16"/>
      <c r="F1109" s="16"/>
      <c r="J1109" s="16"/>
      <c r="N1109" s="16"/>
      <c r="R1109" s="16"/>
      <c r="V1109" s="16"/>
      <c r="Z1109" s="16"/>
      <c r="AD1109" s="16"/>
      <c r="AH1109" s="16"/>
      <c r="AL1109" s="16"/>
      <c r="AP1109" s="16"/>
      <c r="AT1109" s="16"/>
      <c r="AX1109" s="16"/>
    </row>
    <row r="1110" spans="2:50" x14ac:dyDescent="0.25">
      <c r="B1110" s="16"/>
      <c r="F1110" s="16"/>
      <c r="J1110" s="16"/>
      <c r="N1110" s="16"/>
      <c r="R1110" s="16"/>
      <c r="V1110" s="16"/>
      <c r="Z1110" s="16"/>
      <c r="AD1110" s="16"/>
      <c r="AH1110" s="16"/>
      <c r="AL1110" s="16"/>
      <c r="AP1110" s="16"/>
      <c r="AT1110" s="16"/>
      <c r="AX1110" s="16"/>
    </row>
    <row r="1111" spans="2:50" x14ac:dyDescent="0.25">
      <c r="B1111" s="16"/>
      <c r="F1111" s="16"/>
      <c r="J1111" s="16"/>
      <c r="N1111" s="16"/>
      <c r="R1111" s="16"/>
      <c r="V1111" s="16"/>
      <c r="Z1111" s="16"/>
      <c r="AD1111" s="16"/>
      <c r="AH1111" s="16"/>
      <c r="AL1111" s="16"/>
      <c r="AP1111" s="16"/>
      <c r="AT1111" s="16"/>
      <c r="AX1111" s="16"/>
    </row>
    <row r="1112" spans="2:50" x14ac:dyDescent="0.25">
      <c r="B1112" s="16"/>
      <c r="F1112" s="16"/>
      <c r="J1112" s="16"/>
      <c r="N1112" s="16"/>
      <c r="R1112" s="16"/>
      <c r="V1112" s="16"/>
      <c r="Z1112" s="16"/>
      <c r="AD1112" s="16"/>
      <c r="AH1112" s="16"/>
      <c r="AL1112" s="16"/>
      <c r="AP1112" s="16"/>
      <c r="AT1112" s="16"/>
      <c r="AX1112" s="16"/>
    </row>
    <row r="1113" spans="2:50" x14ac:dyDescent="0.25">
      <c r="B1113" s="16"/>
      <c r="F1113" s="16"/>
      <c r="J1113" s="16"/>
      <c r="N1113" s="16"/>
      <c r="R1113" s="16"/>
      <c r="V1113" s="16"/>
      <c r="Z1113" s="16"/>
      <c r="AD1113" s="16"/>
      <c r="AH1113" s="16"/>
      <c r="AL1113" s="16"/>
      <c r="AP1113" s="16"/>
      <c r="AT1113" s="16"/>
      <c r="AX1113" s="16"/>
    </row>
    <row r="1114" spans="2:50" x14ac:dyDescent="0.25">
      <c r="B1114" s="16"/>
      <c r="F1114" s="16"/>
      <c r="J1114" s="16"/>
      <c r="N1114" s="16"/>
      <c r="R1114" s="16"/>
      <c r="V1114" s="16"/>
      <c r="Z1114" s="16"/>
      <c r="AD1114" s="16"/>
      <c r="AH1114" s="16"/>
      <c r="AL1114" s="16"/>
      <c r="AP1114" s="16"/>
      <c r="AT1114" s="16"/>
      <c r="AX1114" s="16"/>
    </row>
    <row r="1115" spans="2:50" x14ac:dyDescent="0.25">
      <c r="B1115" s="16"/>
      <c r="F1115" s="16"/>
      <c r="J1115" s="16"/>
      <c r="N1115" s="16"/>
      <c r="R1115" s="16"/>
      <c r="V1115" s="16"/>
      <c r="Z1115" s="16"/>
      <c r="AD1115" s="16"/>
      <c r="AH1115" s="16"/>
      <c r="AL1115" s="16"/>
      <c r="AP1115" s="16"/>
      <c r="AT1115" s="16"/>
      <c r="AX1115" s="16"/>
    </row>
    <row r="1116" spans="2:50" x14ac:dyDescent="0.25">
      <c r="B1116" s="16"/>
      <c r="F1116" s="16"/>
      <c r="J1116" s="16"/>
      <c r="N1116" s="16"/>
      <c r="R1116" s="16"/>
      <c r="V1116" s="16"/>
      <c r="Z1116" s="16"/>
      <c r="AD1116" s="16"/>
      <c r="AH1116" s="16"/>
      <c r="AL1116" s="16"/>
      <c r="AP1116" s="16"/>
      <c r="AT1116" s="16"/>
      <c r="AX1116" s="16"/>
    </row>
    <row r="1117" spans="2:50" x14ac:dyDescent="0.25">
      <c r="B1117" s="16"/>
      <c r="F1117" s="16"/>
      <c r="J1117" s="16"/>
      <c r="N1117" s="16"/>
      <c r="R1117" s="16"/>
      <c r="V1117" s="16"/>
      <c r="Z1117" s="16"/>
      <c r="AD1117" s="16"/>
      <c r="AH1117" s="16"/>
      <c r="AL1117" s="16"/>
      <c r="AP1117" s="16"/>
      <c r="AT1117" s="16"/>
      <c r="AX1117" s="16"/>
    </row>
    <row r="1118" spans="2:50" x14ac:dyDescent="0.25">
      <c r="B1118" s="16"/>
      <c r="F1118" s="16"/>
      <c r="J1118" s="16"/>
      <c r="N1118" s="16"/>
      <c r="R1118" s="16"/>
      <c r="V1118" s="16"/>
      <c r="Z1118" s="16"/>
      <c r="AD1118" s="16"/>
      <c r="AH1118" s="16"/>
      <c r="AL1118" s="16"/>
      <c r="AP1118" s="16"/>
      <c r="AT1118" s="16"/>
      <c r="AX1118" s="16"/>
    </row>
    <row r="1119" spans="2:50" x14ac:dyDescent="0.25">
      <c r="B1119" s="16"/>
      <c r="F1119" s="16"/>
      <c r="J1119" s="16"/>
      <c r="N1119" s="16"/>
      <c r="R1119" s="16"/>
      <c r="V1119" s="16"/>
      <c r="Z1119" s="16"/>
      <c r="AD1119" s="16"/>
      <c r="AH1119" s="16"/>
      <c r="AL1119" s="16"/>
      <c r="AP1119" s="16"/>
      <c r="AT1119" s="16"/>
      <c r="AX1119" s="16"/>
    </row>
    <row r="1120" spans="2:50" x14ac:dyDescent="0.25">
      <c r="B1120" s="16"/>
      <c r="F1120" s="16"/>
      <c r="J1120" s="16"/>
      <c r="N1120" s="16"/>
      <c r="R1120" s="16"/>
      <c r="V1120" s="16"/>
      <c r="Z1120" s="16"/>
      <c r="AD1120" s="16"/>
      <c r="AH1120" s="16"/>
      <c r="AL1120" s="16"/>
      <c r="AP1120" s="16"/>
      <c r="AT1120" s="16"/>
      <c r="AX1120" s="16"/>
    </row>
    <row r="1121" spans="2:50" x14ac:dyDescent="0.25">
      <c r="B1121" s="16"/>
      <c r="F1121" s="16"/>
      <c r="J1121" s="16"/>
      <c r="N1121" s="16"/>
      <c r="R1121" s="16"/>
      <c r="V1121" s="16"/>
      <c r="Z1121" s="16"/>
      <c r="AD1121" s="16"/>
      <c r="AH1121" s="16"/>
      <c r="AL1121" s="16"/>
      <c r="AP1121" s="16"/>
      <c r="AT1121" s="16"/>
      <c r="AX1121" s="16"/>
    </row>
    <row r="1122" spans="2:50" x14ac:dyDescent="0.25">
      <c r="B1122" s="16"/>
      <c r="F1122" s="16"/>
      <c r="J1122" s="16"/>
      <c r="N1122" s="16"/>
      <c r="R1122" s="16"/>
      <c r="V1122" s="16"/>
      <c r="Z1122" s="16"/>
      <c r="AD1122" s="16"/>
      <c r="AH1122" s="16"/>
      <c r="AL1122" s="16"/>
      <c r="AP1122" s="16"/>
      <c r="AT1122" s="16"/>
      <c r="AX1122" s="16"/>
    </row>
    <row r="1123" spans="2:50" x14ac:dyDescent="0.25">
      <c r="B1123" s="16"/>
      <c r="F1123" s="16"/>
      <c r="J1123" s="16"/>
      <c r="N1123" s="16"/>
      <c r="R1123" s="16"/>
      <c r="V1123" s="16"/>
      <c r="Z1123" s="16"/>
      <c r="AD1123" s="16"/>
      <c r="AH1123" s="16"/>
      <c r="AL1123" s="16"/>
      <c r="AP1123" s="16"/>
      <c r="AT1123" s="16"/>
      <c r="AX1123" s="16"/>
    </row>
    <row r="1124" spans="2:50" x14ac:dyDescent="0.25">
      <c r="B1124" s="16"/>
      <c r="F1124" s="16"/>
      <c r="J1124" s="16"/>
      <c r="N1124" s="16"/>
      <c r="R1124" s="16"/>
      <c r="V1124" s="16"/>
      <c r="Z1124" s="16"/>
      <c r="AD1124" s="16"/>
      <c r="AH1124" s="16"/>
      <c r="AL1124" s="16"/>
      <c r="AP1124" s="16"/>
      <c r="AT1124" s="16"/>
      <c r="AX1124" s="16"/>
    </row>
    <row r="1125" spans="2:50" x14ac:dyDescent="0.25">
      <c r="B1125" s="16"/>
      <c r="F1125" s="16"/>
      <c r="J1125" s="16"/>
      <c r="N1125" s="16"/>
      <c r="R1125" s="16"/>
      <c r="V1125" s="16"/>
      <c r="Z1125" s="16"/>
      <c r="AD1125" s="16"/>
      <c r="AH1125" s="16"/>
      <c r="AL1125" s="16"/>
      <c r="AP1125" s="16"/>
      <c r="AT1125" s="16"/>
      <c r="AX1125" s="16"/>
    </row>
    <row r="1126" spans="2:50" x14ac:dyDescent="0.25">
      <c r="B1126" s="16"/>
      <c r="F1126" s="16"/>
      <c r="J1126" s="16"/>
      <c r="N1126" s="16"/>
      <c r="R1126" s="16"/>
      <c r="V1126" s="16"/>
      <c r="Z1126" s="16"/>
      <c r="AD1126" s="16"/>
      <c r="AH1126" s="16"/>
      <c r="AL1126" s="16"/>
      <c r="AP1126" s="16"/>
      <c r="AT1126" s="16"/>
      <c r="AX1126" s="16"/>
    </row>
    <row r="1127" spans="2:50" x14ac:dyDescent="0.25">
      <c r="B1127" s="16"/>
      <c r="F1127" s="16"/>
      <c r="J1127" s="16"/>
      <c r="N1127" s="16"/>
      <c r="R1127" s="16"/>
      <c r="V1127" s="16"/>
      <c r="Z1127" s="16"/>
      <c r="AD1127" s="16"/>
      <c r="AH1127" s="16"/>
      <c r="AL1127" s="16"/>
      <c r="AP1127" s="16"/>
      <c r="AT1127" s="16"/>
      <c r="AX1127" s="16"/>
    </row>
    <row r="1128" spans="2:50" x14ac:dyDescent="0.25">
      <c r="B1128" s="16"/>
      <c r="F1128" s="16"/>
      <c r="J1128" s="16"/>
      <c r="N1128" s="16"/>
      <c r="R1128" s="16"/>
      <c r="V1128" s="16"/>
      <c r="Z1128" s="16"/>
      <c r="AD1128" s="16"/>
      <c r="AH1128" s="16"/>
      <c r="AL1128" s="16"/>
      <c r="AP1128" s="16"/>
      <c r="AT1128" s="16"/>
      <c r="AX1128" s="16"/>
    </row>
    <row r="1129" spans="2:50" x14ac:dyDescent="0.25">
      <c r="B1129" s="16"/>
      <c r="F1129" s="16"/>
      <c r="J1129" s="16"/>
      <c r="N1129" s="16"/>
      <c r="R1129" s="16"/>
      <c r="V1129" s="16"/>
      <c r="Z1129" s="16"/>
      <c r="AD1129" s="16"/>
      <c r="AH1129" s="16"/>
      <c r="AL1129" s="16"/>
      <c r="AP1129" s="16"/>
      <c r="AT1129" s="16"/>
      <c r="AX1129" s="16"/>
    </row>
    <row r="1130" spans="2:50" x14ac:dyDescent="0.25">
      <c r="B1130" s="16"/>
      <c r="F1130" s="16"/>
      <c r="J1130" s="16"/>
      <c r="N1130" s="16"/>
      <c r="R1130" s="16"/>
      <c r="V1130" s="16"/>
      <c r="Z1130" s="16"/>
      <c r="AD1130" s="16"/>
      <c r="AH1130" s="16"/>
      <c r="AL1130" s="16"/>
      <c r="AP1130" s="16"/>
      <c r="AT1130" s="16"/>
      <c r="AX1130" s="16"/>
    </row>
    <row r="1131" spans="2:50" x14ac:dyDescent="0.25">
      <c r="B1131" s="16"/>
      <c r="F1131" s="16"/>
      <c r="J1131" s="16"/>
      <c r="N1131" s="16"/>
      <c r="R1131" s="16"/>
      <c r="V1131" s="16"/>
      <c r="Z1131" s="16"/>
      <c r="AD1131" s="16"/>
      <c r="AH1131" s="16"/>
      <c r="AL1131" s="16"/>
      <c r="AP1131" s="16"/>
      <c r="AT1131" s="16"/>
      <c r="AX1131" s="16"/>
    </row>
    <row r="1132" spans="2:50" x14ac:dyDescent="0.25">
      <c r="B1132" s="16"/>
      <c r="F1132" s="16"/>
      <c r="J1132" s="16"/>
      <c r="N1132" s="16"/>
      <c r="R1132" s="16"/>
      <c r="V1132" s="16"/>
      <c r="Z1132" s="16"/>
      <c r="AD1132" s="16"/>
      <c r="AH1132" s="16"/>
      <c r="AL1132" s="16"/>
      <c r="AP1132" s="16"/>
      <c r="AT1132" s="16"/>
      <c r="AX1132" s="16"/>
    </row>
    <row r="1133" spans="2:50" x14ac:dyDescent="0.25">
      <c r="B1133" s="16"/>
      <c r="F1133" s="16"/>
      <c r="J1133" s="16"/>
      <c r="N1133" s="16"/>
      <c r="R1133" s="16"/>
      <c r="V1133" s="16"/>
      <c r="Z1133" s="16"/>
      <c r="AD1133" s="16"/>
      <c r="AH1133" s="16"/>
      <c r="AL1133" s="16"/>
      <c r="AP1133" s="16"/>
      <c r="AT1133" s="16"/>
      <c r="AX1133" s="16"/>
    </row>
    <row r="1134" spans="2:50" x14ac:dyDescent="0.25">
      <c r="B1134" s="16"/>
      <c r="F1134" s="16"/>
      <c r="J1134" s="16"/>
      <c r="N1134" s="16"/>
      <c r="R1134" s="16"/>
      <c r="V1134" s="16"/>
      <c r="Z1134" s="16"/>
      <c r="AD1134" s="16"/>
      <c r="AH1134" s="16"/>
      <c r="AL1134" s="16"/>
      <c r="AP1134" s="16"/>
      <c r="AT1134" s="16"/>
      <c r="AX1134" s="16"/>
    </row>
    <row r="1135" spans="2:50" x14ac:dyDescent="0.25">
      <c r="B1135" s="16"/>
      <c r="F1135" s="16"/>
      <c r="J1135" s="16"/>
      <c r="N1135" s="16"/>
      <c r="R1135" s="16"/>
      <c r="V1135" s="16"/>
      <c r="Z1135" s="16"/>
      <c r="AD1135" s="16"/>
      <c r="AH1135" s="16"/>
      <c r="AL1135" s="16"/>
      <c r="AP1135" s="16"/>
      <c r="AT1135" s="16"/>
      <c r="AX1135" s="16"/>
    </row>
    <row r="1136" spans="2:50" x14ac:dyDescent="0.25">
      <c r="B1136" s="16"/>
      <c r="F1136" s="16"/>
      <c r="J1136" s="16"/>
      <c r="N1136" s="16"/>
      <c r="R1136" s="16"/>
      <c r="V1136" s="16"/>
      <c r="Z1136" s="16"/>
      <c r="AD1136" s="16"/>
      <c r="AH1136" s="16"/>
      <c r="AL1136" s="16"/>
      <c r="AP1136" s="16"/>
      <c r="AT1136" s="16"/>
      <c r="AX1136" s="16"/>
    </row>
    <row r="1137" spans="2:50" x14ac:dyDescent="0.25">
      <c r="B1137" s="16"/>
      <c r="F1137" s="16"/>
      <c r="J1137" s="16"/>
      <c r="N1137" s="16"/>
      <c r="R1137" s="16"/>
      <c r="V1137" s="16"/>
      <c r="Z1137" s="16"/>
      <c r="AD1137" s="16"/>
      <c r="AH1137" s="16"/>
      <c r="AL1137" s="16"/>
      <c r="AP1137" s="16"/>
      <c r="AT1137" s="16"/>
      <c r="AX1137" s="16"/>
    </row>
    <row r="1138" spans="2:50" x14ac:dyDescent="0.25">
      <c r="B1138" s="16"/>
      <c r="F1138" s="16"/>
      <c r="J1138" s="16"/>
      <c r="N1138" s="16"/>
      <c r="R1138" s="16"/>
      <c r="V1138" s="16"/>
      <c r="Z1138" s="16"/>
      <c r="AD1138" s="16"/>
      <c r="AH1138" s="16"/>
      <c r="AL1138" s="16"/>
      <c r="AP1138" s="16"/>
      <c r="AT1138" s="16"/>
      <c r="AX1138" s="16"/>
    </row>
    <row r="1139" spans="2:50" x14ac:dyDescent="0.25">
      <c r="B1139" s="16"/>
      <c r="F1139" s="16"/>
      <c r="J1139" s="16"/>
      <c r="N1139" s="16"/>
      <c r="R1139" s="16"/>
      <c r="V1139" s="16"/>
      <c r="Z1139" s="16"/>
      <c r="AD1139" s="16"/>
      <c r="AH1139" s="16"/>
      <c r="AL1139" s="16"/>
      <c r="AP1139" s="16"/>
      <c r="AT1139" s="16"/>
      <c r="AX1139" s="16"/>
    </row>
    <row r="1140" spans="2:50" x14ac:dyDescent="0.25">
      <c r="B1140" s="16"/>
      <c r="F1140" s="16"/>
      <c r="J1140" s="16"/>
      <c r="N1140" s="16"/>
      <c r="R1140" s="16"/>
      <c r="V1140" s="16"/>
      <c r="Z1140" s="16"/>
      <c r="AD1140" s="16"/>
      <c r="AH1140" s="16"/>
      <c r="AL1140" s="16"/>
      <c r="AP1140" s="16"/>
      <c r="AT1140" s="16"/>
      <c r="AX1140" s="16"/>
    </row>
    <row r="1141" spans="2:50" x14ac:dyDescent="0.25">
      <c r="B1141" s="16"/>
      <c r="F1141" s="16"/>
      <c r="J1141" s="16"/>
      <c r="N1141" s="16"/>
      <c r="R1141" s="16"/>
      <c r="V1141" s="16"/>
      <c r="Z1141" s="16"/>
      <c r="AD1141" s="16"/>
      <c r="AH1141" s="16"/>
      <c r="AL1141" s="16"/>
      <c r="AP1141" s="16"/>
      <c r="AT1141" s="16"/>
      <c r="AX1141" s="16"/>
    </row>
    <row r="1142" spans="2:50" x14ac:dyDescent="0.25">
      <c r="B1142" s="16"/>
      <c r="F1142" s="16"/>
      <c r="J1142" s="16"/>
      <c r="N1142" s="16"/>
      <c r="R1142" s="16"/>
      <c r="V1142" s="16"/>
      <c r="Z1142" s="16"/>
      <c r="AD1142" s="16"/>
      <c r="AH1142" s="16"/>
      <c r="AL1142" s="16"/>
      <c r="AP1142" s="16"/>
      <c r="AT1142" s="16"/>
      <c r="AX1142" s="16"/>
    </row>
    <row r="1143" spans="2:50" x14ac:dyDescent="0.25">
      <c r="B1143" s="16"/>
      <c r="F1143" s="16"/>
      <c r="J1143" s="16"/>
      <c r="N1143" s="16"/>
      <c r="R1143" s="16"/>
      <c r="V1143" s="16"/>
      <c r="Z1143" s="16"/>
      <c r="AD1143" s="16"/>
      <c r="AH1143" s="16"/>
      <c r="AL1143" s="16"/>
      <c r="AP1143" s="16"/>
      <c r="AT1143" s="16"/>
      <c r="AX1143" s="16"/>
    </row>
    <row r="1144" spans="2:50" x14ac:dyDescent="0.25">
      <c r="B1144" s="16"/>
      <c r="F1144" s="16"/>
      <c r="J1144" s="16"/>
      <c r="N1144" s="16"/>
      <c r="R1144" s="16"/>
      <c r="V1144" s="16"/>
      <c r="Z1144" s="16"/>
      <c r="AD1144" s="16"/>
      <c r="AH1144" s="16"/>
      <c r="AL1144" s="16"/>
      <c r="AP1144" s="16"/>
      <c r="AT1144" s="16"/>
      <c r="AX1144" s="16"/>
    </row>
    <row r="1145" spans="2:50" x14ac:dyDescent="0.25">
      <c r="B1145" s="16"/>
      <c r="F1145" s="16"/>
      <c r="J1145" s="16"/>
      <c r="N1145" s="16"/>
      <c r="R1145" s="16"/>
      <c r="V1145" s="16"/>
      <c r="Z1145" s="16"/>
      <c r="AD1145" s="16"/>
      <c r="AH1145" s="16"/>
      <c r="AL1145" s="16"/>
      <c r="AP1145" s="16"/>
      <c r="AT1145" s="16"/>
      <c r="AX1145" s="16"/>
    </row>
    <row r="1146" spans="2:50" x14ac:dyDescent="0.25">
      <c r="B1146" s="16"/>
      <c r="F1146" s="16"/>
      <c r="J1146" s="16"/>
      <c r="N1146" s="16"/>
      <c r="R1146" s="16"/>
      <c r="V1146" s="16"/>
      <c r="Z1146" s="16"/>
      <c r="AD1146" s="16"/>
      <c r="AH1146" s="16"/>
      <c r="AL1146" s="16"/>
      <c r="AP1146" s="16"/>
      <c r="AT1146" s="16"/>
      <c r="AX1146" s="16"/>
    </row>
    <row r="1147" spans="2:50" x14ac:dyDescent="0.25">
      <c r="B1147" s="16"/>
      <c r="F1147" s="16"/>
      <c r="J1147" s="16"/>
      <c r="N1147" s="16"/>
      <c r="R1147" s="16"/>
      <c r="V1147" s="16"/>
      <c r="Z1147" s="16"/>
      <c r="AD1147" s="16"/>
      <c r="AH1147" s="16"/>
      <c r="AL1147" s="16"/>
      <c r="AP1147" s="16"/>
      <c r="AT1147" s="16"/>
      <c r="AX1147" s="16"/>
    </row>
    <row r="1148" spans="2:50" x14ac:dyDescent="0.25">
      <c r="B1148" s="16"/>
      <c r="F1148" s="16"/>
      <c r="J1148" s="16"/>
      <c r="N1148" s="16"/>
      <c r="R1148" s="16"/>
      <c r="V1148" s="16"/>
      <c r="Z1148" s="16"/>
      <c r="AD1148" s="16"/>
      <c r="AH1148" s="16"/>
      <c r="AL1148" s="16"/>
      <c r="AP1148" s="16"/>
      <c r="AT1148" s="16"/>
      <c r="AX1148" s="16"/>
    </row>
    <row r="1149" spans="2:50" x14ac:dyDescent="0.25">
      <c r="B1149" s="16"/>
      <c r="F1149" s="16"/>
      <c r="J1149" s="16"/>
      <c r="N1149" s="16"/>
      <c r="R1149" s="16"/>
      <c r="V1149" s="16"/>
      <c r="Z1149" s="16"/>
      <c r="AD1149" s="16"/>
      <c r="AH1149" s="16"/>
      <c r="AL1149" s="16"/>
      <c r="AP1149" s="16"/>
      <c r="AT1149" s="16"/>
      <c r="AX1149" s="16"/>
    </row>
    <row r="1150" spans="2:50" x14ac:dyDescent="0.25">
      <c r="B1150" s="16"/>
      <c r="F1150" s="16"/>
      <c r="J1150" s="16"/>
      <c r="N1150" s="16"/>
      <c r="R1150" s="16"/>
      <c r="V1150" s="16"/>
      <c r="Z1150" s="16"/>
      <c r="AD1150" s="16"/>
      <c r="AH1150" s="16"/>
      <c r="AL1150" s="16"/>
      <c r="AP1150" s="16"/>
      <c r="AT1150" s="16"/>
      <c r="AX1150" s="16"/>
    </row>
    <row r="1151" spans="2:50" x14ac:dyDescent="0.25">
      <c r="B1151" s="16"/>
      <c r="F1151" s="16"/>
      <c r="J1151" s="16"/>
      <c r="N1151" s="16"/>
      <c r="R1151" s="16"/>
      <c r="V1151" s="16"/>
      <c r="Z1151" s="16"/>
      <c r="AD1151" s="16"/>
      <c r="AH1151" s="16"/>
      <c r="AL1151" s="16"/>
      <c r="AP1151" s="16"/>
      <c r="AT1151" s="16"/>
      <c r="AX1151" s="16"/>
    </row>
    <row r="1152" spans="2:50" x14ac:dyDescent="0.25">
      <c r="B1152" s="16"/>
      <c r="F1152" s="16"/>
      <c r="J1152" s="16"/>
      <c r="N1152" s="16"/>
      <c r="R1152" s="16"/>
      <c r="V1152" s="16"/>
      <c r="Z1152" s="16"/>
      <c r="AD1152" s="16"/>
      <c r="AH1152" s="16"/>
      <c r="AL1152" s="16"/>
      <c r="AP1152" s="16"/>
      <c r="AT1152" s="16"/>
      <c r="AX1152" s="16"/>
    </row>
    <row r="1153" spans="2:50" x14ac:dyDescent="0.25">
      <c r="B1153" s="16"/>
      <c r="F1153" s="16"/>
      <c r="J1153" s="16"/>
      <c r="N1153" s="16"/>
      <c r="R1153" s="16"/>
      <c r="V1153" s="16"/>
      <c r="Z1153" s="16"/>
      <c r="AD1153" s="16"/>
      <c r="AH1153" s="16"/>
      <c r="AL1153" s="16"/>
      <c r="AP1153" s="16"/>
      <c r="AT1153" s="16"/>
      <c r="AX1153" s="16"/>
    </row>
    <row r="1154" spans="2:50" x14ac:dyDescent="0.25">
      <c r="B1154" s="16"/>
      <c r="F1154" s="16"/>
      <c r="J1154" s="16"/>
      <c r="N1154" s="16"/>
      <c r="R1154" s="16"/>
      <c r="V1154" s="16"/>
      <c r="Z1154" s="16"/>
      <c r="AD1154" s="16"/>
      <c r="AH1154" s="16"/>
      <c r="AL1154" s="16"/>
      <c r="AP1154" s="16"/>
      <c r="AT1154" s="16"/>
      <c r="AX1154" s="16"/>
    </row>
    <row r="1155" spans="2:50" x14ac:dyDescent="0.25">
      <c r="B1155" s="16"/>
      <c r="F1155" s="16"/>
      <c r="J1155" s="16"/>
      <c r="N1155" s="16"/>
      <c r="R1155" s="16"/>
      <c r="V1155" s="16"/>
      <c r="Z1155" s="16"/>
      <c r="AD1155" s="16"/>
      <c r="AH1155" s="16"/>
      <c r="AL1155" s="16"/>
      <c r="AP1155" s="16"/>
      <c r="AT1155" s="16"/>
      <c r="AX1155" s="16"/>
    </row>
    <row r="1156" spans="2:50" x14ac:dyDescent="0.25">
      <c r="B1156" s="16"/>
      <c r="F1156" s="16"/>
      <c r="J1156" s="16"/>
      <c r="N1156" s="16"/>
      <c r="R1156" s="16"/>
      <c r="V1156" s="16"/>
      <c r="Z1156" s="16"/>
      <c r="AD1156" s="16"/>
      <c r="AH1156" s="16"/>
      <c r="AL1156" s="16"/>
      <c r="AP1156" s="16"/>
      <c r="AT1156" s="16"/>
      <c r="AX1156" s="16"/>
    </row>
    <row r="1157" spans="2:50" x14ac:dyDescent="0.25">
      <c r="B1157" s="16"/>
      <c r="F1157" s="16"/>
      <c r="J1157" s="16"/>
      <c r="N1157" s="16"/>
      <c r="R1157" s="16"/>
      <c r="V1157" s="16"/>
      <c r="Z1157" s="16"/>
      <c r="AD1157" s="16"/>
      <c r="AH1157" s="16"/>
      <c r="AL1157" s="16"/>
      <c r="AP1157" s="16"/>
      <c r="AT1157" s="16"/>
      <c r="AX1157" s="16"/>
    </row>
    <row r="1158" spans="2:50" x14ac:dyDescent="0.25">
      <c r="B1158" s="16"/>
      <c r="F1158" s="16"/>
      <c r="J1158" s="16"/>
      <c r="N1158" s="16"/>
      <c r="R1158" s="16"/>
      <c r="V1158" s="16"/>
      <c r="Z1158" s="16"/>
      <c r="AD1158" s="16"/>
      <c r="AH1158" s="16"/>
      <c r="AL1158" s="16"/>
      <c r="AP1158" s="16"/>
      <c r="AT1158" s="16"/>
      <c r="AX1158" s="16"/>
    </row>
    <row r="1159" spans="2:50" x14ac:dyDescent="0.25">
      <c r="B1159" s="16"/>
      <c r="F1159" s="16"/>
      <c r="J1159" s="16"/>
      <c r="N1159" s="16"/>
      <c r="R1159" s="16"/>
      <c r="V1159" s="16"/>
      <c r="Z1159" s="16"/>
      <c r="AD1159" s="16"/>
      <c r="AH1159" s="16"/>
      <c r="AL1159" s="16"/>
      <c r="AP1159" s="16"/>
      <c r="AT1159" s="16"/>
      <c r="AX1159" s="16"/>
    </row>
    <row r="1160" spans="2:50" x14ac:dyDescent="0.25">
      <c r="B1160" s="16"/>
      <c r="F1160" s="16"/>
      <c r="J1160" s="16"/>
      <c r="N1160" s="16"/>
      <c r="R1160" s="16"/>
      <c r="V1160" s="16"/>
      <c r="Z1160" s="16"/>
      <c r="AD1160" s="16"/>
      <c r="AH1160" s="16"/>
      <c r="AL1160" s="16"/>
      <c r="AP1160" s="16"/>
      <c r="AT1160" s="16"/>
      <c r="AX1160" s="16"/>
    </row>
    <row r="1161" spans="2:50" x14ac:dyDescent="0.25">
      <c r="B1161" s="16"/>
      <c r="F1161" s="16"/>
      <c r="J1161" s="16"/>
      <c r="N1161" s="16"/>
      <c r="R1161" s="16"/>
      <c r="V1161" s="16"/>
      <c r="Z1161" s="16"/>
      <c r="AD1161" s="16"/>
      <c r="AH1161" s="16"/>
      <c r="AL1161" s="16"/>
      <c r="AP1161" s="16"/>
      <c r="AT1161" s="16"/>
      <c r="AX1161" s="16"/>
    </row>
    <row r="1162" spans="2:50" x14ac:dyDescent="0.25">
      <c r="B1162" s="16"/>
      <c r="F1162" s="16"/>
      <c r="J1162" s="16"/>
      <c r="N1162" s="16"/>
      <c r="R1162" s="16"/>
      <c r="V1162" s="16"/>
      <c r="Z1162" s="16"/>
      <c r="AD1162" s="16"/>
      <c r="AH1162" s="16"/>
      <c r="AL1162" s="16"/>
      <c r="AP1162" s="16"/>
      <c r="AT1162" s="16"/>
      <c r="AX1162" s="16"/>
    </row>
    <row r="1163" spans="2:50" x14ac:dyDescent="0.25">
      <c r="B1163" s="16"/>
      <c r="F1163" s="16"/>
      <c r="J1163" s="16"/>
      <c r="N1163" s="16"/>
      <c r="R1163" s="16"/>
      <c r="V1163" s="16"/>
      <c r="Z1163" s="16"/>
      <c r="AD1163" s="16"/>
      <c r="AH1163" s="16"/>
      <c r="AL1163" s="16"/>
      <c r="AP1163" s="16"/>
      <c r="AT1163" s="16"/>
      <c r="AX1163" s="16"/>
    </row>
    <row r="1164" spans="2:50" x14ac:dyDescent="0.25">
      <c r="B1164" s="16"/>
      <c r="F1164" s="16"/>
      <c r="J1164" s="16"/>
      <c r="N1164" s="16"/>
      <c r="R1164" s="16"/>
      <c r="V1164" s="16"/>
      <c r="Z1164" s="16"/>
      <c r="AD1164" s="16"/>
      <c r="AH1164" s="16"/>
      <c r="AL1164" s="16"/>
      <c r="AP1164" s="16"/>
      <c r="AT1164" s="16"/>
      <c r="AX1164" s="16"/>
    </row>
    <row r="1165" spans="2:50" x14ac:dyDescent="0.25">
      <c r="B1165" s="16"/>
      <c r="F1165" s="16"/>
      <c r="J1165" s="16"/>
      <c r="N1165" s="16"/>
      <c r="R1165" s="16"/>
      <c r="V1165" s="16"/>
      <c r="Z1165" s="16"/>
      <c r="AD1165" s="16"/>
      <c r="AH1165" s="16"/>
      <c r="AL1165" s="16"/>
      <c r="AP1165" s="16"/>
      <c r="AT1165" s="16"/>
      <c r="AX1165" s="16"/>
    </row>
    <row r="1166" spans="2:50" x14ac:dyDescent="0.25">
      <c r="B1166" s="16"/>
      <c r="F1166" s="16"/>
      <c r="J1166" s="16"/>
      <c r="N1166" s="16"/>
      <c r="R1166" s="16"/>
      <c r="V1166" s="16"/>
      <c r="Z1166" s="16"/>
      <c r="AD1166" s="16"/>
      <c r="AH1166" s="16"/>
      <c r="AL1166" s="16"/>
      <c r="AP1166" s="16"/>
      <c r="AT1166" s="16"/>
      <c r="AX1166" s="16"/>
    </row>
    <row r="1167" spans="2:50" x14ac:dyDescent="0.25">
      <c r="B1167" s="16"/>
      <c r="F1167" s="16"/>
      <c r="J1167" s="16"/>
      <c r="N1167" s="16"/>
      <c r="R1167" s="16"/>
      <c r="V1167" s="16"/>
      <c r="Z1167" s="16"/>
      <c r="AD1167" s="16"/>
      <c r="AH1167" s="16"/>
      <c r="AL1167" s="16"/>
      <c r="AP1167" s="16"/>
      <c r="AT1167" s="16"/>
      <c r="AX1167" s="16"/>
    </row>
    <row r="1168" spans="2:50" x14ac:dyDescent="0.25">
      <c r="B1168" s="16"/>
      <c r="F1168" s="16"/>
      <c r="J1168" s="16"/>
      <c r="N1168" s="16"/>
      <c r="R1168" s="16"/>
      <c r="V1168" s="16"/>
      <c r="Z1168" s="16"/>
      <c r="AD1168" s="16"/>
      <c r="AH1168" s="16"/>
      <c r="AL1168" s="16"/>
      <c r="AP1168" s="16"/>
      <c r="AT1168" s="16"/>
      <c r="AX1168" s="16"/>
    </row>
    <row r="1169" spans="2:50" x14ac:dyDescent="0.25">
      <c r="B1169" s="16"/>
      <c r="F1169" s="16"/>
      <c r="J1169" s="16"/>
      <c r="N1169" s="16"/>
      <c r="R1169" s="16"/>
      <c r="V1169" s="16"/>
      <c r="Z1169" s="16"/>
      <c r="AD1169" s="16"/>
      <c r="AH1169" s="16"/>
      <c r="AL1169" s="16"/>
      <c r="AP1169" s="16"/>
      <c r="AT1169" s="16"/>
      <c r="AX1169" s="16"/>
    </row>
    <row r="1170" spans="2:50" x14ac:dyDescent="0.25">
      <c r="B1170" s="16"/>
      <c r="F1170" s="16"/>
      <c r="J1170" s="16"/>
      <c r="N1170" s="16"/>
      <c r="R1170" s="16"/>
      <c r="V1170" s="16"/>
      <c r="Z1170" s="16"/>
      <c r="AD1170" s="16"/>
      <c r="AH1170" s="16"/>
      <c r="AL1170" s="16"/>
      <c r="AP1170" s="16"/>
      <c r="AT1170" s="16"/>
      <c r="AX1170" s="16"/>
    </row>
    <row r="1171" spans="2:50" x14ac:dyDescent="0.25">
      <c r="B1171" s="16"/>
      <c r="F1171" s="16"/>
      <c r="J1171" s="16"/>
      <c r="N1171" s="16"/>
      <c r="R1171" s="16"/>
      <c r="V1171" s="16"/>
      <c r="Z1171" s="16"/>
      <c r="AD1171" s="16"/>
      <c r="AH1171" s="16"/>
      <c r="AL1171" s="16"/>
      <c r="AP1171" s="16"/>
      <c r="AT1171" s="16"/>
      <c r="AX1171" s="16"/>
    </row>
    <row r="1172" spans="2:50" x14ac:dyDescent="0.25">
      <c r="B1172" s="16"/>
      <c r="F1172" s="16"/>
      <c r="J1172" s="16"/>
      <c r="N1172" s="16"/>
      <c r="R1172" s="16"/>
      <c r="V1172" s="16"/>
      <c r="Z1172" s="16"/>
      <c r="AD1172" s="16"/>
      <c r="AH1172" s="16"/>
      <c r="AL1172" s="16"/>
      <c r="AP1172" s="16"/>
      <c r="AT1172" s="16"/>
      <c r="AX1172" s="16"/>
    </row>
    <row r="1173" spans="2:50" x14ac:dyDescent="0.25">
      <c r="B1173" s="16"/>
      <c r="F1173" s="16"/>
      <c r="J1173" s="16"/>
      <c r="N1173" s="16"/>
      <c r="R1173" s="16"/>
      <c r="V1173" s="16"/>
      <c r="Z1173" s="16"/>
      <c r="AD1173" s="16"/>
      <c r="AH1173" s="16"/>
      <c r="AL1173" s="16"/>
      <c r="AP1173" s="16"/>
      <c r="AT1173" s="16"/>
      <c r="AX1173" s="16"/>
    </row>
    <row r="1174" spans="2:50" x14ac:dyDescent="0.25">
      <c r="B1174" s="16"/>
      <c r="F1174" s="16"/>
      <c r="J1174" s="16"/>
      <c r="N1174" s="16"/>
      <c r="R1174" s="16"/>
      <c r="V1174" s="16"/>
      <c r="Z1174" s="16"/>
      <c r="AD1174" s="16"/>
      <c r="AH1174" s="16"/>
      <c r="AL1174" s="16"/>
      <c r="AP1174" s="16"/>
      <c r="AT1174" s="16"/>
      <c r="AX1174" s="16"/>
    </row>
    <row r="1175" spans="2:50" x14ac:dyDescent="0.25">
      <c r="B1175" s="16"/>
      <c r="F1175" s="16"/>
      <c r="J1175" s="16"/>
      <c r="N1175" s="16"/>
      <c r="R1175" s="16"/>
      <c r="V1175" s="16"/>
      <c r="Z1175" s="16"/>
      <c r="AD1175" s="16"/>
      <c r="AH1175" s="16"/>
      <c r="AL1175" s="16"/>
      <c r="AP1175" s="16"/>
      <c r="AT1175" s="16"/>
      <c r="AX1175" s="16"/>
    </row>
    <row r="1176" spans="2:50" x14ac:dyDescent="0.25">
      <c r="B1176" s="16"/>
      <c r="F1176" s="16"/>
      <c r="J1176" s="16"/>
      <c r="N1176" s="16"/>
      <c r="R1176" s="16"/>
      <c r="V1176" s="16"/>
      <c r="Z1176" s="16"/>
      <c r="AD1176" s="16"/>
      <c r="AH1176" s="16"/>
      <c r="AL1176" s="16"/>
      <c r="AP1176" s="16"/>
      <c r="AT1176" s="16"/>
      <c r="AX1176" s="16"/>
    </row>
    <row r="1177" spans="2:50" x14ac:dyDescent="0.25">
      <c r="B1177" s="16"/>
      <c r="F1177" s="16"/>
      <c r="J1177" s="16"/>
      <c r="N1177" s="16"/>
      <c r="R1177" s="16"/>
      <c r="V1177" s="16"/>
      <c r="Z1177" s="16"/>
      <c r="AD1177" s="16"/>
      <c r="AH1177" s="16"/>
      <c r="AL1177" s="16"/>
      <c r="AP1177" s="16"/>
      <c r="AT1177" s="16"/>
      <c r="AX1177" s="16"/>
    </row>
    <row r="1178" spans="2:50" x14ac:dyDescent="0.25">
      <c r="B1178" s="16"/>
      <c r="F1178" s="16"/>
      <c r="J1178" s="16"/>
      <c r="N1178" s="16"/>
      <c r="R1178" s="16"/>
      <c r="V1178" s="16"/>
      <c r="Z1178" s="16"/>
      <c r="AD1178" s="16"/>
      <c r="AH1178" s="16"/>
      <c r="AL1178" s="16"/>
      <c r="AP1178" s="16"/>
      <c r="AT1178" s="16"/>
      <c r="AX1178" s="16"/>
    </row>
    <row r="1179" spans="2:50" x14ac:dyDescent="0.25">
      <c r="B1179" s="16"/>
      <c r="F1179" s="16"/>
      <c r="J1179" s="16"/>
      <c r="N1179" s="16"/>
      <c r="R1179" s="16"/>
      <c r="V1179" s="16"/>
      <c r="Z1179" s="16"/>
      <c r="AD1179" s="16"/>
      <c r="AH1179" s="16"/>
      <c r="AL1179" s="16"/>
      <c r="AP1179" s="16"/>
      <c r="AT1179" s="16"/>
      <c r="AX1179" s="16"/>
    </row>
    <row r="1180" spans="2:50" x14ac:dyDescent="0.25">
      <c r="B1180" s="16"/>
      <c r="F1180" s="16"/>
      <c r="J1180" s="16"/>
      <c r="N1180" s="16"/>
      <c r="R1180" s="16"/>
      <c r="V1180" s="16"/>
      <c r="Z1180" s="16"/>
      <c r="AD1180" s="16"/>
      <c r="AH1180" s="16"/>
      <c r="AL1180" s="16"/>
      <c r="AP1180" s="16"/>
      <c r="AT1180" s="16"/>
      <c r="AX1180" s="16"/>
    </row>
    <row r="1181" spans="2:50" x14ac:dyDescent="0.25">
      <c r="B1181" s="16"/>
      <c r="F1181" s="16"/>
      <c r="J1181" s="16"/>
      <c r="N1181" s="16"/>
      <c r="R1181" s="16"/>
      <c r="V1181" s="16"/>
      <c r="Z1181" s="16"/>
      <c r="AD1181" s="16"/>
      <c r="AH1181" s="16"/>
      <c r="AL1181" s="16"/>
      <c r="AP1181" s="16"/>
      <c r="AT1181" s="16"/>
      <c r="AX1181" s="16"/>
    </row>
    <row r="1182" spans="2:50" x14ac:dyDescent="0.25">
      <c r="B1182" s="16"/>
      <c r="F1182" s="16"/>
      <c r="J1182" s="16"/>
      <c r="N1182" s="16"/>
      <c r="R1182" s="16"/>
      <c r="V1182" s="16"/>
      <c r="Z1182" s="16"/>
      <c r="AD1182" s="16"/>
      <c r="AH1182" s="16"/>
      <c r="AL1182" s="16"/>
      <c r="AP1182" s="16"/>
      <c r="AT1182" s="16"/>
      <c r="AX1182" s="16"/>
    </row>
    <row r="1183" spans="2:50" x14ac:dyDescent="0.25">
      <c r="B1183" s="16"/>
      <c r="F1183" s="16"/>
      <c r="J1183" s="16"/>
      <c r="N1183" s="16"/>
      <c r="R1183" s="16"/>
      <c r="V1183" s="16"/>
      <c r="Z1183" s="16"/>
      <c r="AD1183" s="16"/>
      <c r="AH1183" s="16"/>
      <c r="AL1183" s="16"/>
      <c r="AP1183" s="16"/>
      <c r="AT1183" s="16"/>
      <c r="AX1183" s="16"/>
    </row>
    <row r="1184" spans="2:50" x14ac:dyDescent="0.25">
      <c r="B1184" s="16"/>
      <c r="F1184" s="16"/>
      <c r="J1184" s="16"/>
      <c r="N1184" s="16"/>
      <c r="R1184" s="16"/>
      <c r="V1184" s="16"/>
      <c r="Z1184" s="16"/>
      <c r="AD1184" s="16"/>
      <c r="AH1184" s="16"/>
      <c r="AL1184" s="16"/>
      <c r="AP1184" s="16"/>
      <c r="AT1184" s="16"/>
      <c r="AX1184" s="16"/>
    </row>
    <row r="1185" spans="2:50" x14ac:dyDescent="0.25">
      <c r="B1185" s="16"/>
      <c r="F1185" s="16"/>
      <c r="J1185" s="16"/>
      <c r="N1185" s="16"/>
      <c r="R1185" s="16"/>
      <c r="V1185" s="16"/>
      <c r="Z1185" s="16"/>
      <c r="AD1185" s="16"/>
      <c r="AH1185" s="16"/>
      <c r="AL1185" s="16"/>
      <c r="AP1185" s="16"/>
      <c r="AT1185" s="16"/>
      <c r="AX1185" s="16"/>
    </row>
    <row r="1186" spans="2:50" x14ac:dyDescent="0.25">
      <c r="B1186" s="16"/>
      <c r="F1186" s="16"/>
      <c r="J1186" s="16"/>
      <c r="N1186" s="16"/>
      <c r="R1186" s="16"/>
      <c r="V1186" s="16"/>
      <c r="Z1186" s="16"/>
      <c r="AD1186" s="16"/>
      <c r="AH1186" s="16"/>
      <c r="AL1186" s="16"/>
      <c r="AP1186" s="16"/>
      <c r="AT1186" s="16"/>
      <c r="AX1186" s="16"/>
    </row>
    <row r="1187" spans="2:50" x14ac:dyDescent="0.25">
      <c r="B1187" s="16"/>
      <c r="F1187" s="16"/>
      <c r="J1187" s="16"/>
      <c r="N1187" s="16"/>
      <c r="R1187" s="16"/>
      <c r="V1187" s="16"/>
      <c r="Z1187" s="16"/>
      <c r="AD1187" s="16"/>
      <c r="AH1187" s="16"/>
      <c r="AL1187" s="16"/>
      <c r="AP1187" s="16"/>
      <c r="AT1187" s="16"/>
      <c r="AX1187" s="16"/>
    </row>
    <row r="1188" spans="2:50" x14ac:dyDescent="0.25">
      <c r="B1188" s="16"/>
      <c r="F1188" s="16"/>
      <c r="J1188" s="16"/>
      <c r="N1188" s="16"/>
      <c r="R1188" s="16"/>
      <c r="V1188" s="16"/>
      <c r="Z1188" s="16"/>
      <c r="AD1188" s="16"/>
      <c r="AH1188" s="16"/>
      <c r="AL1188" s="16"/>
      <c r="AP1188" s="16"/>
      <c r="AT1188" s="16"/>
      <c r="AX1188" s="16"/>
    </row>
    <row r="1189" spans="2:50" x14ac:dyDescent="0.25">
      <c r="B1189" s="16"/>
      <c r="F1189" s="16"/>
      <c r="J1189" s="16"/>
      <c r="N1189" s="16"/>
      <c r="R1189" s="16"/>
      <c r="V1189" s="16"/>
      <c r="Z1189" s="16"/>
      <c r="AD1189" s="16"/>
      <c r="AH1189" s="16"/>
      <c r="AL1189" s="16"/>
      <c r="AP1189" s="16"/>
      <c r="AT1189" s="16"/>
      <c r="AX1189" s="16"/>
    </row>
    <row r="1190" spans="2:50" x14ac:dyDescent="0.25">
      <c r="B1190" s="16"/>
      <c r="F1190" s="16"/>
      <c r="J1190" s="16"/>
      <c r="N1190" s="16"/>
      <c r="R1190" s="16"/>
      <c r="V1190" s="16"/>
      <c r="Z1190" s="16"/>
      <c r="AD1190" s="16"/>
      <c r="AH1190" s="16"/>
      <c r="AL1190" s="16"/>
      <c r="AP1190" s="16"/>
      <c r="AT1190" s="16"/>
      <c r="AX1190" s="16"/>
    </row>
    <row r="1191" spans="2:50" x14ac:dyDescent="0.25">
      <c r="B1191" s="16"/>
      <c r="F1191" s="16"/>
      <c r="J1191" s="16"/>
      <c r="N1191" s="16"/>
      <c r="R1191" s="16"/>
      <c r="V1191" s="16"/>
      <c r="Z1191" s="16"/>
      <c r="AD1191" s="16"/>
      <c r="AH1191" s="16"/>
      <c r="AL1191" s="16"/>
      <c r="AP1191" s="16"/>
      <c r="AT1191" s="16"/>
      <c r="AX1191" s="16"/>
    </row>
    <row r="1192" spans="2:50" x14ac:dyDescent="0.25">
      <c r="B1192" s="16"/>
      <c r="F1192" s="16"/>
      <c r="J1192" s="16"/>
      <c r="N1192" s="16"/>
      <c r="R1192" s="16"/>
      <c r="V1192" s="16"/>
      <c r="Z1192" s="16"/>
      <c r="AD1192" s="16"/>
      <c r="AH1192" s="16"/>
      <c r="AL1192" s="16"/>
      <c r="AP1192" s="16"/>
      <c r="AT1192" s="16"/>
      <c r="AX1192" s="16"/>
    </row>
    <row r="1193" spans="2:50" x14ac:dyDescent="0.25">
      <c r="B1193" s="16"/>
      <c r="F1193" s="16"/>
      <c r="J1193" s="16"/>
      <c r="N1193" s="16"/>
      <c r="R1193" s="16"/>
      <c r="V1193" s="16"/>
      <c r="Z1193" s="16"/>
      <c r="AD1193" s="16"/>
      <c r="AH1193" s="16"/>
      <c r="AL1193" s="16"/>
      <c r="AP1193" s="16"/>
      <c r="AT1193" s="16"/>
      <c r="AX1193" s="16"/>
    </row>
    <row r="1194" spans="2:50" x14ac:dyDescent="0.25">
      <c r="B1194" s="16"/>
      <c r="F1194" s="16"/>
      <c r="J1194" s="16"/>
      <c r="N1194" s="16"/>
      <c r="R1194" s="16"/>
      <c r="V1194" s="16"/>
      <c r="Z1194" s="16"/>
      <c r="AD1194" s="16"/>
      <c r="AH1194" s="16"/>
      <c r="AL1194" s="16"/>
      <c r="AP1194" s="16"/>
      <c r="AT1194" s="16"/>
      <c r="AX1194" s="16"/>
    </row>
    <row r="1195" spans="2:50" x14ac:dyDescent="0.25">
      <c r="B1195" s="16"/>
      <c r="F1195" s="16"/>
      <c r="J1195" s="16"/>
      <c r="N1195" s="16"/>
      <c r="R1195" s="16"/>
      <c r="V1195" s="16"/>
      <c r="Z1195" s="16"/>
      <c r="AD1195" s="16"/>
      <c r="AH1195" s="16"/>
      <c r="AL1195" s="16"/>
      <c r="AP1195" s="16"/>
      <c r="AT1195" s="16"/>
      <c r="AX1195" s="16"/>
    </row>
    <row r="1196" spans="2:50" x14ac:dyDescent="0.25">
      <c r="B1196" s="16"/>
      <c r="F1196" s="16"/>
      <c r="J1196" s="16"/>
      <c r="N1196" s="16"/>
      <c r="R1196" s="16"/>
      <c r="V1196" s="16"/>
      <c r="Z1196" s="16"/>
      <c r="AD1196" s="16"/>
      <c r="AH1196" s="16"/>
      <c r="AL1196" s="16"/>
      <c r="AP1196" s="16"/>
      <c r="AT1196" s="16"/>
      <c r="AX1196" s="16"/>
    </row>
    <row r="1197" spans="2:50" x14ac:dyDescent="0.25">
      <c r="B1197" s="16"/>
      <c r="F1197" s="16"/>
      <c r="J1197" s="16"/>
      <c r="N1197" s="16"/>
      <c r="R1197" s="16"/>
      <c r="V1197" s="16"/>
      <c r="Z1197" s="16"/>
      <c r="AD1197" s="16"/>
      <c r="AH1197" s="16"/>
      <c r="AL1197" s="16"/>
      <c r="AP1197" s="16"/>
      <c r="AT1197" s="16"/>
      <c r="AX1197" s="16"/>
    </row>
    <row r="1198" spans="2:50" x14ac:dyDescent="0.25">
      <c r="B1198" s="16"/>
      <c r="F1198" s="16"/>
      <c r="J1198" s="16"/>
      <c r="N1198" s="16"/>
      <c r="R1198" s="16"/>
      <c r="V1198" s="16"/>
      <c r="Z1198" s="16"/>
      <c r="AD1198" s="16"/>
      <c r="AH1198" s="16"/>
      <c r="AL1198" s="16"/>
      <c r="AP1198" s="16"/>
      <c r="AT1198" s="16"/>
      <c r="AX1198" s="16"/>
    </row>
    <row r="1199" spans="2:50" x14ac:dyDescent="0.25">
      <c r="B1199" s="16"/>
      <c r="F1199" s="16"/>
      <c r="J1199" s="16"/>
      <c r="N1199" s="16"/>
      <c r="R1199" s="16"/>
      <c r="V1199" s="16"/>
      <c r="Z1199" s="16"/>
      <c r="AD1199" s="16"/>
      <c r="AH1199" s="16"/>
      <c r="AL1199" s="16"/>
      <c r="AP1199" s="16"/>
      <c r="AT1199" s="16"/>
      <c r="AX1199" s="16"/>
    </row>
    <row r="1200" spans="2:50" x14ac:dyDescent="0.25">
      <c r="B1200" s="16"/>
      <c r="F1200" s="16"/>
      <c r="J1200" s="16"/>
      <c r="N1200" s="16"/>
      <c r="R1200" s="16"/>
      <c r="V1200" s="16"/>
      <c r="Z1200" s="16"/>
      <c r="AD1200" s="16"/>
      <c r="AH1200" s="16"/>
      <c r="AL1200" s="16"/>
      <c r="AP1200" s="16"/>
      <c r="AT1200" s="16"/>
      <c r="AX1200" s="16"/>
    </row>
    <row r="1201" spans="2:50" x14ac:dyDescent="0.25">
      <c r="B1201" s="16"/>
      <c r="F1201" s="16"/>
      <c r="J1201" s="16"/>
      <c r="N1201" s="16"/>
      <c r="R1201" s="16"/>
      <c r="V1201" s="16"/>
      <c r="Z1201" s="16"/>
      <c r="AD1201" s="16"/>
      <c r="AH1201" s="16"/>
      <c r="AL1201" s="16"/>
      <c r="AP1201" s="16"/>
      <c r="AT1201" s="16"/>
      <c r="AX1201" s="16"/>
    </row>
    <row r="1202" spans="2:50" x14ac:dyDescent="0.25">
      <c r="B1202" s="16"/>
      <c r="F1202" s="16"/>
      <c r="J1202" s="16"/>
      <c r="N1202" s="16"/>
      <c r="R1202" s="16"/>
      <c r="V1202" s="16"/>
      <c r="Z1202" s="16"/>
      <c r="AD1202" s="16"/>
      <c r="AH1202" s="16"/>
      <c r="AL1202" s="16"/>
      <c r="AP1202" s="16"/>
      <c r="AT1202" s="16"/>
      <c r="AX1202" s="16"/>
    </row>
    <row r="1203" spans="2:50" x14ac:dyDescent="0.25">
      <c r="B1203" s="16"/>
      <c r="F1203" s="16"/>
      <c r="J1203" s="16"/>
      <c r="N1203" s="16"/>
      <c r="R1203" s="16"/>
      <c r="V1203" s="16"/>
      <c r="Z1203" s="16"/>
      <c r="AD1203" s="16"/>
      <c r="AH1203" s="16"/>
      <c r="AL1203" s="16"/>
      <c r="AP1203" s="16"/>
      <c r="AT1203" s="16"/>
      <c r="AX1203" s="16"/>
    </row>
    <row r="1204" spans="2:50" x14ac:dyDescent="0.25">
      <c r="B1204" s="16"/>
      <c r="F1204" s="16"/>
      <c r="J1204" s="16"/>
      <c r="N1204" s="16"/>
      <c r="R1204" s="16"/>
      <c r="V1204" s="16"/>
      <c r="Z1204" s="16"/>
      <c r="AD1204" s="16"/>
      <c r="AH1204" s="16"/>
      <c r="AL1204" s="16"/>
      <c r="AP1204" s="16"/>
      <c r="AT1204" s="16"/>
      <c r="AX1204" s="16"/>
    </row>
    <row r="1205" spans="2:50" x14ac:dyDescent="0.25">
      <c r="B1205" s="16"/>
      <c r="F1205" s="16"/>
      <c r="J1205" s="16"/>
      <c r="N1205" s="16"/>
      <c r="R1205" s="16"/>
      <c r="V1205" s="16"/>
      <c r="Z1205" s="16"/>
      <c r="AD1205" s="16"/>
      <c r="AH1205" s="16"/>
      <c r="AL1205" s="16"/>
      <c r="AP1205" s="16"/>
      <c r="AT1205" s="16"/>
      <c r="AX1205" s="16"/>
    </row>
    <row r="1206" spans="2:50" x14ac:dyDescent="0.25">
      <c r="B1206" s="16"/>
      <c r="F1206" s="16"/>
      <c r="J1206" s="16"/>
      <c r="N1206" s="16"/>
      <c r="R1206" s="16"/>
      <c r="V1206" s="16"/>
      <c r="Z1206" s="16"/>
      <c r="AD1206" s="16"/>
      <c r="AH1206" s="16"/>
      <c r="AL1206" s="16"/>
      <c r="AP1206" s="16"/>
      <c r="AT1206" s="16"/>
      <c r="AX1206" s="16"/>
    </row>
    <row r="1207" spans="2:50" x14ac:dyDescent="0.25">
      <c r="B1207" s="16"/>
      <c r="F1207" s="16"/>
      <c r="J1207" s="16"/>
      <c r="N1207" s="16"/>
      <c r="R1207" s="16"/>
      <c r="V1207" s="16"/>
      <c r="Z1207" s="16"/>
      <c r="AD1207" s="16"/>
      <c r="AH1207" s="16"/>
      <c r="AL1207" s="16"/>
      <c r="AP1207" s="16"/>
      <c r="AT1207" s="16"/>
      <c r="AX1207" s="16"/>
    </row>
    <row r="1208" spans="2:50" x14ac:dyDescent="0.25">
      <c r="B1208" s="16"/>
      <c r="F1208" s="16"/>
      <c r="J1208" s="16"/>
      <c r="N1208" s="16"/>
      <c r="R1208" s="16"/>
      <c r="V1208" s="16"/>
      <c r="Z1208" s="16"/>
      <c r="AD1208" s="16"/>
      <c r="AH1208" s="16"/>
      <c r="AL1208" s="16"/>
      <c r="AP1208" s="16"/>
      <c r="AT1208" s="16"/>
      <c r="AX1208" s="16"/>
    </row>
    <row r="1209" spans="2:50" x14ac:dyDescent="0.25">
      <c r="B1209" s="16"/>
      <c r="F1209" s="16"/>
      <c r="J1209" s="16"/>
      <c r="N1209" s="16"/>
      <c r="R1209" s="16"/>
      <c r="V1209" s="16"/>
      <c r="Z1209" s="16"/>
      <c r="AD1209" s="16"/>
      <c r="AH1209" s="16"/>
      <c r="AL1209" s="16"/>
      <c r="AP1209" s="16"/>
      <c r="AT1209" s="16"/>
      <c r="AX1209" s="16"/>
    </row>
    <row r="1210" spans="2:50" x14ac:dyDescent="0.25">
      <c r="B1210" s="16"/>
      <c r="F1210" s="16"/>
      <c r="J1210" s="16"/>
      <c r="N1210" s="16"/>
      <c r="R1210" s="16"/>
      <c r="V1210" s="16"/>
      <c r="Z1210" s="16"/>
      <c r="AD1210" s="16"/>
      <c r="AH1210" s="16"/>
      <c r="AL1210" s="16"/>
      <c r="AP1210" s="16"/>
      <c r="AT1210" s="16"/>
      <c r="AX1210" s="16"/>
    </row>
    <row r="1211" spans="2:50" x14ac:dyDescent="0.25">
      <c r="B1211" s="16"/>
      <c r="F1211" s="16"/>
      <c r="J1211" s="16"/>
      <c r="N1211" s="16"/>
      <c r="R1211" s="16"/>
      <c r="V1211" s="16"/>
      <c r="Z1211" s="16"/>
      <c r="AD1211" s="16"/>
      <c r="AH1211" s="16"/>
      <c r="AL1211" s="16"/>
      <c r="AP1211" s="16"/>
      <c r="AT1211" s="16"/>
      <c r="AX1211" s="16"/>
    </row>
    <row r="1212" spans="2:50" x14ac:dyDescent="0.25">
      <c r="B1212" s="16"/>
      <c r="F1212" s="16"/>
      <c r="J1212" s="16"/>
      <c r="N1212" s="16"/>
      <c r="R1212" s="16"/>
      <c r="V1212" s="16"/>
      <c r="Z1212" s="16"/>
      <c r="AD1212" s="16"/>
      <c r="AH1212" s="16"/>
      <c r="AL1212" s="16"/>
      <c r="AP1212" s="16"/>
      <c r="AT1212" s="16"/>
      <c r="AX1212" s="16"/>
    </row>
    <row r="1213" spans="2:50" x14ac:dyDescent="0.25">
      <c r="B1213" s="16"/>
      <c r="F1213" s="16"/>
      <c r="J1213" s="16"/>
      <c r="N1213" s="16"/>
      <c r="R1213" s="16"/>
      <c r="V1213" s="16"/>
      <c r="Z1213" s="16"/>
      <c r="AD1213" s="16"/>
      <c r="AH1213" s="16"/>
      <c r="AL1213" s="16"/>
      <c r="AP1213" s="16"/>
      <c r="AT1213" s="16"/>
      <c r="AX1213" s="16"/>
    </row>
    <row r="1214" spans="2:50" x14ac:dyDescent="0.25">
      <c r="B1214" s="16"/>
      <c r="F1214" s="16"/>
      <c r="J1214" s="16"/>
      <c r="N1214" s="16"/>
      <c r="R1214" s="16"/>
      <c r="V1214" s="16"/>
      <c r="Z1214" s="16"/>
      <c r="AD1214" s="16"/>
      <c r="AH1214" s="16"/>
      <c r="AL1214" s="16"/>
      <c r="AP1214" s="16"/>
      <c r="AT1214" s="16"/>
      <c r="AX1214" s="16"/>
    </row>
    <row r="1215" spans="2:50" x14ac:dyDescent="0.25">
      <c r="B1215" s="16"/>
      <c r="F1215" s="16"/>
      <c r="J1215" s="16"/>
      <c r="N1215" s="16"/>
      <c r="R1215" s="16"/>
      <c r="V1215" s="16"/>
      <c r="Z1215" s="16"/>
      <c r="AD1215" s="16"/>
      <c r="AH1215" s="16"/>
      <c r="AL1215" s="16"/>
      <c r="AP1215" s="16"/>
      <c r="AT1215" s="16"/>
      <c r="AX1215" s="16"/>
    </row>
    <row r="1216" spans="2:50" x14ac:dyDescent="0.25">
      <c r="B1216" s="16"/>
      <c r="F1216" s="16"/>
      <c r="J1216" s="16"/>
      <c r="N1216" s="16"/>
      <c r="R1216" s="16"/>
      <c r="V1216" s="16"/>
      <c r="Z1216" s="16"/>
      <c r="AD1216" s="16"/>
      <c r="AH1216" s="16"/>
      <c r="AL1216" s="16"/>
      <c r="AP1216" s="16"/>
      <c r="AT1216" s="16"/>
      <c r="AX1216" s="16"/>
    </row>
    <row r="1217" spans="2:50" x14ac:dyDescent="0.25">
      <c r="B1217" s="16"/>
      <c r="F1217" s="16"/>
      <c r="J1217" s="16"/>
      <c r="N1217" s="16"/>
      <c r="R1217" s="16"/>
      <c r="V1217" s="16"/>
      <c r="Z1217" s="16"/>
      <c r="AD1217" s="16"/>
      <c r="AH1217" s="16"/>
      <c r="AL1217" s="16"/>
      <c r="AP1217" s="16"/>
      <c r="AT1217" s="16"/>
      <c r="AX1217" s="16"/>
    </row>
    <row r="1218" spans="2:50" x14ac:dyDescent="0.25">
      <c r="B1218" s="16"/>
      <c r="F1218" s="16"/>
      <c r="J1218" s="16"/>
      <c r="N1218" s="16"/>
      <c r="R1218" s="16"/>
      <c r="V1218" s="16"/>
      <c r="Z1218" s="16"/>
      <c r="AD1218" s="16"/>
      <c r="AH1218" s="16"/>
      <c r="AL1218" s="16"/>
      <c r="AP1218" s="16"/>
      <c r="AT1218" s="16"/>
      <c r="AX1218" s="16"/>
    </row>
    <row r="1219" spans="2:50" x14ac:dyDescent="0.25">
      <c r="B1219" s="16"/>
      <c r="F1219" s="16"/>
      <c r="J1219" s="16"/>
      <c r="N1219" s="16"/>
      <c r="R1219" s="16"/>
      <c r="V1219" s="16"/>
      <c r="Z1219" s="16"/>
      <c r="AD1219" s="16"/>
      <c r="AH1219" s="16"/>
      <c r="AL1219" s="16"/>
      <c r="AP1219" s="16"/>
      <c r="AT1219" s="16"/>
      <c r="AX1219" s="16"/>
    </row>
    <row r="1220" spans="2:50" x14ac:dyDescent="0.25">
      <c r="B1220" s="16"/>
      <c r="F1220" s="16"/>
      <c r="J1220" s="16"/>
      <c r="N1220" s="16"/>
      <c r="R1220" s="16"/>
      <c r="V1220" s="16"/>
      <c r="Z1220" s="16"/>
      <c r="AD1220" s="16"/>
      <c r="AH1220" s="16"/>
      <c r="AL1220" s="16"/>
      <c r="AP1220" s="16"/>
      <c r="AT1220" s="16"/>
      <c r="AX1220" s="16"/>
    </row>
    <row r="1221" spans="2:50" x14ac:dyDescent="0.25">
      <c r="B1221" s="16"/>
      <c r="F1221" s="16"/>
      <c r="J1221" s="16"/>
      <c r="N1221" s="16"/>
      <c r="R1221" s="16"/>
      <c r="V1221" s="16"/>
      <c r="Z1221" s="16"/>
      <c r="AD1221" s="16"/>
      <c r="AH1221" s="16"/>
      <c r="AL1221" s="16"/>
      <c r="AP1221" s="16"/>
      <c r="AT1221" s="16"/>
      <c r="AX1221" s="16"/>
    </row>
    <row r="1222" spans="2:50" x14ac:dyDescent="0.25">
      <c r="B1222" s="16"/>
      <c r="F1222" s="16"/>
      <c r="J1222" s="16"/>
      <c r="N1222" s="16"/>
      <c r="R1222" s="16"/>
      <c r="V1222" s="16"/>
      <c r="Z1222" s="16"/>
      <c r="AD1222" s="16"/>
      <c r="AH1222" s="16"/>
      <c r="AL1222" s="16"/>
      <c r="AP1222" s="16"/>
      <c r="AT1222" s="16"/>
      <c r="AX1222" s="16"/>
    </row>
    <row r="1223" spans="2:50" x14ac:dyDescent="0.25">
      <c r="B1223" s="16"/>
      <c r="F1223" s="16"/>
      <c r="J1223" s="16"/>
      <c r="N1223" s="16"/>
      <c r="R1223" s="16"/>
      <c r="V1223" s="16"/>
      <c r="Z1223" s="16"/>
      <c r="AD1223" s="16"/>
      <c r="AH1223" s="16"/>
      <c r="AL1223" s="16"/>
      <c r="AP1223" s="16"/>
      <c r="AT1223" s="16"/>
      <c r="AX1223" s="16"/>
    </row>
    <row r="1224" spans="2:50" x14ac:dyDescent="0.25">
      <c r="B1224" s="16"/>
      <c r="F1224" s="16"/>
      <c r="J1224" s="16"/>
      <c r="N1224" s="16"/>
      <c r="R1224" s="16"/>
      <c r="V1224" s="16"/>
      <c r="Z1224" s="16"/>
      <c r="AD1224" s="16"/>
      <c r="AH1224" s="16"/>
      <c r="AL1224" s="16"/>
      <c r="AP1224" s="16"/>
      <c r="AT1224" s="16"/>
      <c r="AX1224" s="16"/>
    </row>
    <row r="1225" spans="2:50" x14ac:dyDescent="0.25">
      <c r="B1225" s="16"/>
      <c r="F1225" s="16"/>
      <c r="J1225" s="16"/>
      <c r="N1225" s="16"/>
      <c r="R1225" s="16"/>
      <c r="V1225" s="16"/>
      <c r="Z1225" s="16"/>
      <c r="AD1225" s="16"/>
      <c r="AH1225" s="16"/>
      <c r="AL1225" s="16"/>
      <c r="AP1225" s="16"/>
      <c r="AT1225" s="16"/>
      <c r="AX1225" s="16"/>
    </row>
    <row r="1226" spans="2:50" x14ac:dyDescent="0.25">
      <c r="B1226" s="16"/>
      <c r="F1226" s="16"/>
      <c r="J1226" s="16"/>
      <c r="N1226" s="16"/>
      <c r="R1226" s="16"/>
      <c r="V1226" s="16"/>
      <c r="Z1226" s="16"/>
      <c r="AD1226" s="16"/>
      <c r="AH1226" s="16"/>
      <c r="AL1226" s="16"/>
      <c r="AP1226" s="16"/>
      <c r="AT1226" s="16"/>
      <c r="AX1226" s="16"/>
    </row>
    <row r="1227" spans="2:50" x14ac:dyDescent="0.25">
      <c r="B1227" s="16"/>
      <c r="F1227" s="16"/>
      <c r="J1227" s="16"/>
      <c r="N1227" s="16"/>
      <c r="R1227" s="16"/>
      <c r="V1227" s="16"/>
      <c r="Z1227" s="16"/>
      <c r="AD1227" s="16"/>
      <c r="AH1227" s="16"/>
      <c r="AL1227" s="16"/>
      <c r="AP1227" s="16"/>
      <c r="AT1227" s="16"/>
      <c r="AX1227" s="16"/>
    </row>
    <row r="1228" spans="2:50" x14ac:dyDescent="0.25">
      <c r="B1228" s="16"/>
      <c r="F1228" s="16"/>
      <c r="J1228" s="16"/>
      <c r="N1228" s="16"/>
      <c r="R1228" s="16"/>
      <c r="V1228" s="16"/>
      <c r="Z1228" s="16"/>
      <c r="AD1228" s="16"/>
      <c r="AH1228" s="16"/>
      <c r="AL1228" s="16"/>
      <c r="AP1228" s="16"/>
      <c r="AT1228" s="16"/>
      <c r="AX1228" s="16"/>
    </row>
    <row r="1229" spans="2:50" x14ac:dyDescent="0.25">
      <c r="B1229" s="16"/>
      <c r="F1229" s="16"/>
      <c r="J1229" s="16"/>
      <c r="N1229" s="16"/>
      <c r="R1229" s="16"/>
      <c r="V1229" s="16"/>
      <c r="Z1229" s="16"/>
      <c r="AD1229" s="16"/>
      <c r="AH1229" s="16"/>
      <c r="AL1229" s="16"/>
      <c r="AP1229" s="16"/>
      <c r="AT1229" s="16"/>
      <c r="AX1229" s="16"/>
    </row>
    <row r="1230" spans="2:50" x14ac:dyDescent="0.25">
      <c r="B1230" s="16"/>
      <c r="F1230" s="16"/>
      <c r="J1230" s="16"/>
      <c r="N1230" s="16"/>
      <c r="R1230" s="16"/>
      <c r="V1230" s="16"/>
      <c r="Z1230" s="16"/>
      <c r="AD1230" s="16"/>
      <c r="AH1230" s="16"/>
      <c r="AL1230" s="16"/>
      <c r="AP1230" s="16"/>
      <c r="AT1230" s="16"/>
      <c r="AX1230" s="16"/>
    </row>
    <row r="1231" spans="2:50" x14ac:dyDescent="0.25">
      <c r="B1231" s="16"/>
      <c r="F1231" s="16"/>
      <c r="J1231" s="16"/>
      <c r="N1231" s="16"/>
      <c r="R1231" s="16"/>
      <c r="V1231" s="16"/>
      <c r="Z1231" s="16"/>
      <c r="AD1231" s="16"/>
      <c r="AH1231" s="16"/>
      <c r="AL1231" s="16"/>
      <c r="AP1231" s="16"/>
      <c r="AT1231" s="16"/>
      <c r="AX1231" s="16"/>
    </row>
    <row r="1232" spans="2:50" x14ac:dyDescent="0.25">
      <c r="B1232" s="16"/>
      <c r="F1232" s="16"/>
      <c r="J1232" s="16"/>
      <c r="N1232" s="16"/>
      <c r="R1232" s="16"/>
      <c r="V1232" s="16"/>
      <c r="Z1232" s="16"/>
      <c r="AD1232" s="16"/>
      <c r="AH1232" s="16"/>
      <c r="AL1232" s="16"/>
      <c r="AP1232" s="16"/>
      <c r="AT1232" s="16"/>
      <c r="AX1232" s="16"/>
    </row>
    <row r="1233" spans="2:50" x14ac:dyDescent="0.25">
      <c r="B1233" s="16"/>
      <c r="F1233" s="16"/>
      <c r="J1233" s="16"/>
      <c r="N1233" s="16"/>
      <c r="R1233" s="16"/>
      <c r="V1233" s="16"/>
      <c r="Z1233" s="16"/>
      <c r="AD1233" s="16"/>
      <c r="AH1233" s="16"/>
      <c r="AL1233" s="16"/>
      <c r="AP1233" s="16"/>
      <c r="AT1233" s="16"/>
      <c r="AX1233" s="16"/>
    </row>
    <row r="1234" spans="2:50" x14ac:dyDescent="0.25">
      <c r="B1234" s="16"/>
      <c r="F1234" s="16"/>
      <c r="J1234" s="16"/>
      <c r="N1234" s="16"/>
      <c r="R1234" s="16"/>
      <c r="V1234" s="16"/>
      <c r="Z1234" s="16"/>
      <c r="AD1234" s="16"/>
      <c r="AH1234" s="16"/>
      <c r="AL1234" s="16"/>
      <c r="AP1234" s="16"/>
      <c r="AT1234" s="16"/>
      <c r="AX1234" s="16"/>
    </row>
    <row r="1235" spans="2:50" x14ac:dyDescent="0.25">
      <c r="B1235" s="16"/>
      <c r="F1235" s="16"/>
      <c r="J1235" s="16"/>
      <c r="N1235" s="16"/>
      <c r="R1235" s="16"/>
      <c r="V1235" s="16"/>
      <c r="Z1235" s="16"/>
      <c r="AD1235" s="16"/>
      <c r="AH1235" s="16"/>
      <c r="AL1235" s="16"/>
      <c r="AP1235" s="16"/>
      <c r="AT1235" s="16"/>
      <c r="AX1235" s="16"/>
    </row>
    <row r="1236" spans="2:50" x14ac:dyDescent="0.25">
      <c r="B1236" s="16"/>
      <c r="F1236" s="16"/>
      <c r="J1236" s="16"/>
      <c r="N1236" s="16"/>
      <c r="R1236" s="16"/>
      <c r="V1236" s="16"/>
      <c r="Z1236" s="16"/>
      <c r="AD1236" s="16"/>
      <c r="AH1236" s="16"/>
      <c r="AL1236" s="16"/>
      <c r="AP1236" s="16"/>
      <c r="AT1236" s="16"/>
      <c r="AX1236" s="16"/>
    </row>
    <row r="1237" spans="2:50" x14ac:dyDescent="0.25">
      <c r="B1237" s="16"/>
      <c r="F1237" s="16"/>
      <c r="J1237" s="16"/>
      <c r="N1237" s="16"/>
      <c r="R1237" s="16"/>
      <c r="V1237" s="16"/>
      <c r="Z1237" s="16"/>
      <c r="AD1237" s="16"/>
      <c r="AH1237" s="16"/>
      <c r="AL1237" s="16"/>
      <c r="AP1237" s="16"/>
      <c r="AT1237" s="16"/>
      <c r="AX1237" s="16"/>
    </row>
    <row r="1238" spans="2:50" x14ac:dyDescent="0.25">
      <c r="B1238" s="16"/>
      <c r="F1238" s="16"/>
      <c r="J1238" s="16"/>
      <c r="N1238" s="16"/>
      <c r="R1238" s="16"/>
      <c r="V1238" s="16"/>
      <c r="Z1238" s="16"/>
      <c r="AD1238" s="16"/>
      <c r="AH1238" s="16"/>
      <c r="AL1238" s="16"/>
      <c r="AP1238" s="16"/>
      <c r="AT1238" s="16"/>
      <c r="AX1238" s="16"/>
    </row>
    <row r="1239" spans="2:50" x14ac:dyDescent="0.25">
      <c r="B1239" s="16"/>
      <c r="F1239" s="16"/>
      <c r="J1239" s="16"/>
      <c r="N1239" s="16"/>
      <c r="R1239" s="16"/>
      <c r="V1239" s="16"/>
      <c r="Z1239" s="16"/>
      <c r="AD1239" s="16"/>
      <c r="AH1239" s="16"/>
      <c r="AL1239" s="16"/>
      <c r="AP1239" s="16"/>
      <c r="AT1239" s="16"/>
      <c r="AX1239" s="16"/>
    </row>
    <row r="1240" spans="2:50" x14ac:dyDescent="0.25">
      <c r="B1240" s="16"/>
      <c r="F1240" s="16"/>
      <c r="J1240" s="16"/>
      <c r="N1240" s="16"/>
      <c r="R1240" s="16"/>
      <c r="V1240" s="16"/>
      <c r="Z1240" s="16"/>
      <c r="AD1240" s="16"/>
      <c r="AH1240" s="16"/>
      <c r="AL1240" s="16"/>
      <c r="AP1240" s="16"/>
      <c r="AT1240" s="16"/>
      <c r="AX1240" s="16"/>
    </row>
    <row r="1241" spans="2:50" x14ac:dyDescent="0.25">
      <c r="B1241" s="16"/>
      <c r="F1241" s="16"/>
      <c r="J1241" s="16"/>
      <c r="N1241" s="16"/>
      <c r="R1241" s="16"/>
      <c r="V1241" s="16"/>
      <c r="Z1241" s="16"/>
      <c r="AD1241" s="16"/>
      <c r="AH1241" s="16"/>
      <c r="AL1241" s="16"/>
      <c r="AP1241" s="16"/>
      <c r="AT1241" s="16"/>
      <c r="AX1241" s="16"/>
    </row>
    <row r="1242" spans="2:50" x14ac:dyDescent="0.25">
      <c r="B1242" s="16"/>
      <c r="F1242" s="16"/>
      <c r="J1242" s="16"/>
      <c r="N1242" s="16"/>
      <c r="R1242" s="16"/>
      <c r="V1242" s="16"/>
      <c r="Z1242" s="16"/>
      <c r="AD1242" s="16"/>
      <c r="AH1242" s="16"/>
      <c r="AL1242" s="16"/>
      <c r="AP1242" s="16"/>
      <c r="AT1242" s="16"/>
      <c r="AX1242" s="16"/>
    </row>
    <row r="1243" spans="2:50" x14ac:dyDescent="0.25">
      <c r="B1243" s="16"/>
      <c r="F1243" s="16"/>
      <c r="J1243" s="16"/>
      <c r="N1243" s="16"/>
      <c r="R1243" s="16"/>
      <c r="V1243" s="16"/>
      <c r="Z1243" s="16"/>
      <c r="AD1243" s="16"/>
      <c r="AH1243" s="16"/>
      <c r="AL1243" s="16"/>
      <c r="AP1243" s="16"/>
      <c r="AT1243" s="16"/>
      <c r="AX1243" s="16"/>
    </row>
    <row r="1244" spans="2:50" x14ac:dyDescent="0.25">
      <c r="B1244" s="16"/>
      <c r="F1244" s="16"/>
      <c r="J1244" s="16"/>
      <c r="N1244" s="16"/>
      <c r="R1244" s="16"/>
      <c r="V1244" s="16"/>
      <c r="Z1244" s="16"/>
      <c r="AD1244" s="16"/>
      <c r="AH1244" s="16"/>
      <c r="AL1244" s="16"/>
      <c r="AP1244" s="16"/>
      <c r="AT1244" s="16"/>
      <c r="AX1244" s="16"/>
    </row>
    <row r="1245" spans="2:50" x14ac:dyDescent="0.25">
      <c r="B1245" s="16"/>
      <c r="F1245" s="16"/>
      <c r="J1245" s="16"/>
      <c r="N1245" s="16"/>
      <c r="R1245" s="16"/>
      <c r="V1245" s="16"/>
      <c r="Z1245" s="16"/>
      <c r="AD1245" s="16"/>
      <c r="AH1245" s="16"/>
      <c r="AL1245" s="16"/>
      <c r="AP1245" s="16"/>
      <c r="AT1245" s="16"/>
      <c r="AX1245" s="16"/>
    </row>
    <row r="1246" spans="2:50" x14ac:dyDescent="0.25">
      <c r="B1246" s="16"/>
      <c r="F1246" s="16"/>
      <c r="J1246" s="16"/>
      <c r="N1246" s="16"/>
      <c r="R1246" s="16"/>
      <c r="V1246" s="16"/>
      <c r="Z1246" s="16"/>
      <c r="AD1246" s="16"/>
      <c r="AH1246" s="16"/>
      <c r="AL1246" s="16"/>
      <c r="AP1246" s="16"/>
      <c r="AT1246" s="16"/>
      <c r="AX1246" s="16"/>
    </row>
    <row r="1247" spans="2:50" x14ac:dyDescent="0.25">
      <c r="B1247" s="16"/>
      <c r="F1247" s="16"/>
      <c r="J1247" s="16"/>
      <c r="N1247" s="16"/>
      <c r="R1247" s="16"/>
      <c r="V1247" s="16"/>
      <c r="Z1247" s="16"/>
      <c r="AD1247" s="16"/>
      <c r="AH1247" s="16"/>
      <c r="AL1247" s="16"/>
      <c r="AP1247" s="16"/>
      <c r="AT1247" s="16"/>
      <c r="AX1247" s="16"/>
    </row>
    <row r="1248" spans="2:50" x14ac:dyDescent="0.25">
      <c r="B1248" s="16"/>
      <c r="F1248" s="16"/>
      <c r="J1248" s="16"/>
      <c r="N1248" s="16"/>
      <c r="R1248" s="16"/>
      <c r="V1248" s="16"/>
      <c r="Z1248" s="16"/>
      <c r="AD1248" s="16"/>
      <c r="AH1248" s="16"/>
      <c r="AL1248" s="16"/>
      <c r="AP1248" s="16"/>
      <c r="AT1248" s="16"/>
      <c r="AX1248" s="16"/>
    </row>
    <row r="1249" spans="2:50" x14ac:dyDescent="0.25">
      <c r="B1249" s="16"/>
      <c r="F1249" s="16"/>
      <c r="J1249" s="16"/>
      <c r="N1249" s="16"/>
      <c r="R1249" s="16"/>
      <c r="V1249" s="16"/>
      <c r="Z1249" s="16"/>
      <c r="AD1249" s="16"/>
      <c r="AH1249" s="16"/>
      <c r="AL1249" s="16"/>
      <c r="AP1249" s="16"/>
      <c r="AT1249" s="16"/>
      <c r="AX1249" s="16"/>
    </row>
    <row r="1250" spans="2:50" x14ac:dyDescent="0.25">
      <c r="B1250" s="16"/>
      <c r="F1250" s="16"/>
      <c r="J1250" s="16"/>
      <c r="N1250" s="16"/>
      <c r="R1250" s="16"/>
      <c r="V1250" s="16"/>
      <c r="Z1250" s="16"/>
      <c r="AD1250" s="16"/>
      <c r="AH1250" s="16"/>
      <c r="AL1250" s="16"/>
      <c r="AP1250" s="16"/>
      <c r="AT1250" s="16"/>
      <c r="AX1250" s="16"/>
    </row>
    <row r="1251" spans="2:50" x14ac:dyDescent="0.25">
      <c r="B1251" s="16"/>
      <c r="F1251" s="16"/>
      <c r="J1251" s="16"/>
      <c r="N1251" s="16"/>
      <c r="R1251" s="16"/>
      <c r="V1251" s="16"/>
      <c r="Z1251" s="16"/>
      <c r="AD1251" s="16"/>
      <c r="AH1251" s="16"/>
      <c r="AL1251" s="16"/>
      <c r="AP1251" s="16"/>
      <c r="AT1251" s="16"/>
      <c r="AX1251" s="16"/>
    </row>
    <row r="1252" spans="2:50" x14ac:dyDescent="0.25">
      <c r="B1252" s="16"/>
      <c r="F1252" s="16"/>
      <c r="J1252" s="16"/>
      <c r="N1252" s="16"/>
      <c r="R1252" s="16"/>
      <c r="V1252" s="16"/>
      <c r="Z1252" s="16"/>
      <c r="AD1252" s="16"/>
      <c r="AH1252" s="16"/>
      <c r="AL1252" s="16"/>
      <c r="AP1252" s="16"/>
      <c r="AT1252" s="16"/>
      <c r="AX1252" s="16"/>
    </row>
    <row r="1253" spans="2:50" x14ac:dyDescent="0.25">
      <c r="B1253" s="16"/>
      <c r="F1253" s="16"/>
      <c r="J1253" s="16"/>
      <c r="N1253" s="16"/>
      <c r="R1253" s="16"/>
      <c r="V1253" s="16"/>
      <c r="Z1253" s="16"/>
      <c r="AD1253" s="16"/>
      <c r="AH1253" s="16"/>
      <c r="AL1253" s="16"/>
      <c r="AP1253" s="16"/>
      <c r="AT1253" s="16"/>
      <c r="AX1253" s="16"/>
    </row>
    <row r="1254" spans="2:50" x14ac:dyDescent="0.25">
      <c r="B1254" s="16"/>
      <c r="F1254" s="16"/>
      <c r="J1254" s="16"/>
      <c r="N1254" s="16"/>
      <c r="R1254" s="16"/>
      <c r="V1254" s="16"/>
      <c r="Z1254" s="16"/>
      <c r="AD1254" s="16"/>
      <c r="AH1254" s="16"/>
      <c r="AL1254" s="16"/>
      <c r="AP1254" s="16"/>
      <c r="AT1254" s="16"/>
      <c r="AX1254" s="16"/>
    </row>
    <row r="1255" spans="2:50" x14ac:dyDescent="0.25">
      <c r="B1255" s="16"/>
      <c r="F1255" s="16"/>
      <c r="J1255" s="16"/>
      <c r="N1255" s="16"/>
      <c r="R1255" s="16"/>
      <c r="V1255" s="16"/>
      <c r="Z1255" s="16"/>
      <c r="AD1255" s="16"/>
      <c r="AH1255" s="16"/>
      <c r="AL1255" s="16"/>
      <c r="AP1255" s="16"/>
      <c r="AT1255" s="16"/>
      <c r="AX1255" s="16"/>
    </row>
    <row r="1256" spans="2:50" x14ac:dyDescent="0.25">
      <c r="B1256" s="16"/>
      <c r="F1256" s="16"/>
      <c r="J1256" s="16"/>
      <c r="N1256" s="16"/>
      <c r="R1256" s="16"/>
      <c r="V1256" s="16"/>
      <c r="Z1256" s="16"/>
      <c r="AD1256" s="16"/>
      <c r="AH1256" s="16"/>
      <c r="AL1256" s="16"/>
      <c r="AP1256" s="16"/>
      <c r="AT1256" s="16"/>
      <c r="AX1256" s="16"/>
    </row>
    <row r="1257" spans="2:50" x14ac:dyDescent="0.25">
      <c r="B1257" s="16"/>
      <c r="F1257" s="16"/>
      <c r="J1257" s="16"/>
      <c r="N1257" s="16"/>
      <c r="R1257" s="16"/>
      <c r="V1257" s="16"/>
      <c r="Z1257" s="16"/>
      <c r="AD1257" s="16"/>
      <c r="AH1257" s="16"/>
      <c r="AL1257" s="16"/>
      <c r="AP1257" s="16"/>
      <c r="AT1257" s="16"/>
      <c r="AX1257" s="16"/>
    </row>
    <row r="1258" spans="2:50" x14ac:dyDescent="0.25">
      <c r="B1258" s="16"/>
      <c r="F1258" s="16"/>
      <c r="J1258" s="16"/>
      <c r="N1258" s="16"/>
      <c r="R1258" s="16"/>
      <c r="V1258" s="16"/>
      <c r="Z1258" s="16"/>
      <c r="AD1258" s="16"/>
      <c r="AH1258" s="16"/>
      <c r="AL1258" s="16"/>
      <c r="AP1258" s="16"/>
      <c r="AT1258" s="16"/>
      <c r="AX1258" s="16"/>
    </row>
    <row r="1259" spans="2:50" x14ac:dyDescent="0.25">
      <c r="B1259" s="16"/>
      <c r="F1259" s="16"/>
      <c r="J1259" s="16"/>
      <c r="N1259" s="16"/>
      <c r="R1259" s="16"/>
      <c r="V1259" s="16"/>
      <c r="Z1259" s="16"/>
      <c r="AD1259" s="16"/>
      <c r="AH1259" s="16"/>
      <c r="AL1259" s="16"/>
      <c r="AP1259" s="16"/>
      <c r="AT1259" s="16"/>
      <c r="AX1259" s="16"/>
    </row>
    <row r="1260" spans="2:50" x14ac:dyDescent="0.25">
      <c r="B1260" s="16"/>
      <c r="F1260" s="16"/>
      <c r="J1260" s="16"/>
      <c r="N1260" s="16"/>
      <c r="R1260" s="16"/>
      <c r="V1260" s="16"/>
      <c r="Z1260" s="16"/>
      <c r="AD1260" s="16"/>
      <c r="AH1260" s="16"/>
      <c r="AL1260" s="16"/>
      <c r="AP1260" s="16"/>
      <c r="AT1260" s="16"/>
      <c r="AX1260" s="16"/>
    </row>
    <row r="1261" spans="2:50" x14ac:dyDescent="0.25">
      <c r="B1261" s="16"/>
      <c r="F1261" s="16"/>
      <c r="J1261" s="16"/>
      <c r="N1261" s="16"/>
      <c r="R1261" s="16"/>
      <c r="V1261" s="16"/>
      <c r="Z1261" s="16"/>
      <c r="AD1261" s="16"/>
      <c r="AH1261" s="16"/>
      <c r="AL1261" s="16"/>
      <c r="AP1261" s="16"/>
      <c r="AT1261" s="16"/>
      <c r="AX1261" s="16"/>
    </row>
    <row r="1262" spans="2:50" x14ac:dyDescent="0.25">
      <c r="B1262" s="16"/>
      <c r="F1262" s="16"/>
      <c r="J1262" s="16"/>
      <c r="N1262" s="16"/>
      <c r="R1262" s="16"/>
      <c r="V1262" s="16"/>
      <c r="Z1262" s="16"/>
      <c r="AD1262" s="16"/>
      <c r="AH1262" s="16"/>
      <c r="AL1262" s="16"/>
      <c r="AP1262" s="16"/>
      <c r="AT1262" s="16"/>
      <c r="AX1262" s="16"/>
    </row>
    <row r="1263" spans="2:50" x14ac:dyDescent="0.25">
      <c r="B1263" s="16"/>
      <c r="F1263" s="16"/>
      <c r="J1263" s="16"/>
      <c r="N1263" s="16"/>
      <c r="R1263" s="16"/>
      <c r="V1263" s="16"/>
      <c r="Z1263" s="16"/>
      <c r="AD1263" s="16"/>
      <c r="AH1263" s="16"/>
      <c r="AL1263" s="16"/>
      <c r="AP1263" s="16"/>
      <c r="AT1263" s="16"/>
      <c r="AX1263" s="16"/>
    </row>
    <row r="1264" spans="2:50" x14ac:dyDescent="0.25">
      <c r="B1264" s="16"/>
      <c r="F1264" s="16"/>
      <c r="J1264" s="16"/>
      <c r="N1264" s="16"/>
      <c r="R1264" s="16"/>
      <c r="V1264" s="16"/>
      <c r="Z1264" s="16"/>
      <c r="AD1264" s="16"/>
      <c r="AH1264" s="16"/>
      <c r="AL1264" s="16"/>
      <c r="AP1264" s="16"/>
      <c r="AT1264" s="16"/>
      <c r="AX1264" s="16"/>
    </row>
    <row r="1265" spans="2:50" x14ac:dyDescent="0.25">
      <c r="B1265" s="16"/>
      <c r="F1265" s="16"/>
      <c r="J1265" s="16"/>
      <c r="N1265" s="16"/>
      <c r="R1265" s="16"/>
      <c r="V1265" s="16"/>
      <c r="Z1265" s="16"/>
      <c r="AD1265" s="16"/>
      <c r="AH1265" s="16"/>
      <c r="AL1265" s="16"/>
      <c r="AP1265" s="16"/>
      <c r="AT1265" s="16"/>
      <c r="AX1265" s="16"/>
    </row>
    <row r="1266" spans="2:50" x14ac:dyDescent="0.25">
      <c r="B1266" s="16"/>
      <c r="F1266" s="16"/>
      <c r="J1266" s="16"/>
      <c r="N1266" s="16"/>
      <c r="R1266" s="16"/>
      <c r="V1266" s="16"/>
      <c r="Z1266" s="16"/>
      <c r="AD1266" s="16"/>
      <c r="AH1266" s="16"/>
      <c r="AL1266" s="16"/>
      <c r="AP1266" s="16"/>
      <c r="AT1266" s="16"/>
      <c r="AX1266" s="16"/>
    </row>
    <row r="1267" spans="2:50" x14ac:dyDescent="0.25">
      <c r="B1267" s="16"/>
      <c r="F1267" s="16"/>
      <c r="J1267" s="16"/>
      <c r="N1267" s="16"/>
      <c r="R1267" s="16"/>
      <c r="V1267" s="16"/>
      <c r="Z1267" s="16"/>
      <c r="AD1267" s="16"/>
      <c r="AH1267" s="16"/>
      <c r="AL1267" s="16"/>
      <c r="AP1267" s="16"/>
      <c r="AT1267" s="16"/>
      <c r="AX1267" s="16"/>
    </row>
    <row r="1268" spans="2:50" x14ac:dyDescent="0.25">
      <c r="B1268" s="16"/>
      <c r="F1268" s="16"/>
      <c r="J1268" s="16"/>
      <c r="N1268" s="16"/>
      <c r="R1268" s="16"/>
      <c r="V1268" s="16"/>
      <c r="Z1268" s="16"/>
      <c r="AD1268" s="16"/>
      <c r="AH1268" s="16"/>
      <c r="AL1268" s="16"/>
      <c r="AP1268" s="16"/>
      <c r="AT1268" s="16"/>
      <c r="AX1268" s="16"/>
    </row>
    <row r="1269" spans="2:50" x14ac:dyDescent="0.25">
      <c r="B1269" s="16"/>
      <c r="F1269" s="16"/>
      <c r="J1269" s="16"/>
      <c r="N1269" s="16"/>
      <c r="R1269" s="16"/>
      <c r="V1269" s="16"/>
      <c r="Z1269" s="16"/>
      <c r="AD1269" s="16"/>
      <c r="AH1269" s="16"/>
      <c r="AL1269" s="16"/>
      <c r="AP1269" s="16"/>
      <c r="AX1269" s="16"/>
    </row>
    <row r="1270" spans="2:50" x14ac:dyDescent="0.25">
      <c r="B1270" s="16"/>
      <c r="F1270" s="16"/>
      <c r="J1270" s="16"/>
      <c r="N1270" s="16"/>
      <c r="R1270" s="16"/>
      <c r="V1270" s="16"/>
      <c r="Z1270" s="16"/>
      <c r="AD1270" s="16"/>
      <c r="AH1270" s="16"/>
      <c r="AL1270" s="16"/>
      <c r="AP1270" s="16"/>
      <c r="AX1270" s="16"/>
    </row>
    <row r="1271" spans="2:50" x14ac:dyDescent="0.25">
      <c r="B1271" s="16"/>
      <c r="F1271" s="16"/>
      <c r="J1271" s="16"/>
      <c r="N1271" s="16"/>
      <c r="R1271" s="16"/>
      <c r="V1271" s="16"/>
      <c r="Z1271" s="16"/>
      <c r="AD1271" s="16"/>
      <c r="AH1271" s="16"/>
      <c r="AL1271" s="16"/>
      <c r="AP1271" s="16"/>
      <c r="AX1271" s="16"/>
    </row>
    <row r="1272" spans="2:50" x14ac:dyDescent="0.25">
      <c r="B1272" s="16"/>
      <c r="F1272" s="16"/>
      <c r="J1272" s="16"/>
      <c r="N1272" s="16"/>
      <c r="R1272" s="16"/>
      <c r="V1272" s="16"/>
      <c r="Z1272" s="16"/>
      <c r="AD1272" s="16"/>
      <c r="AH1272" s="16"/>
      <c r="AL1272" s="16"/>
      <c r="AP1272" s="16"/>
      <c r="AX1272" s="16"/>
    </row>
    <row r="1273" spans="2:50" x14ac:dyDescent="0.25">
      <c r="B1273" s="16"/>
      <c r="F1273" s="16"/>
      <c r="J1273" s="16"/>
      <c r="N1273" s="16"/>
      <c r="R1273" s="16"/>
      <c r="V1273" s="16"/>
      <c r="Z1273" s="16"/>
      <c r="AD1273" s="16"/>
      <c r="AH1273" s="16"/>
      <c r="AL1273" s="16"/>
      <c r="AP1273" s="16"/>
      <c r="AX1273" s="16"/>
    </row>
    <row r="1274" spans="2:50" x14ac:dyDescent="0.25">
      <c r="B1274" s="16"/>
      <c r="F1274" s="16"/>
      <c r="J1274" s="16"/>
      <c r="N1274" s="16"/>
      <c r="R1274" s="16"/>
      <c r="V1274" s="16"/>
      <c r="Z1274" s="16"/>
      <c r="AD1274" s="16"/>
      <c r="AH1274" s="16"/>
      <c r="AL1274" s="16"/>
      <c r="AP1274" s="16"/>
      <c r="AX1274" s="16"/>
    </row>
    <row r="1275" spans="2:50" x14ac:dyDescent="0.25">
      <c r="B1275" s="16"/>
      <c r="F1275" s="16"/>
      <c r="J1275" s="16"/>
      <c r="N1275" s="16"/>
      <c r="R1275" s="16"/>
      <c r="V1275" s="16"/>
      <c r="Z1275" s="16"/>
      <c r="AD1275" s="16"/>
      <c r="AH1275" s="16"/>
      <c r="AL1275" s="16"/>
      <c r="AP1275" s="16"/>
      <c r="AX1275" s="16"/>
    </row>
    <row r="1276" spans="2:50" x14ac:dyDescent="0.25">
      <c r="B1276" s="16"/>
      <c r="F1276" s="16"/>
      <c r="J1276" s="16"/>
      <c r="N1276" s="16"/>
      <c r="R1276" s="16"/>
      <c r="V1276" s="16"/>
      <c r="Z1276" s="16"/>
      <c r="AD1276" s="16"/>
      <c r="AH1276" s="16"/>
      <c r="AL1276" s="16"/>
      <c r="AP1276" s="16"/>
      <c r="AX1276" s="16"/>
    </row>
    <row r="1277" spans="2:50" x14ac:dyDescent="0.25">
      <c r="B1277" s="16"/>
      <c r="F1277" s="16"/>
      <c r="J1277" s="16"/>
      <c r="N1277" s="16"/>
      <c r="R1277" s="16"/>
      <c r="V1277" s="16"/>
      <c r="Z1277" s="16"/>
      <c r="AD1277" s="16"/>
      <c r="AH1277" s="16"/>
      <c r="AL1277" s="16"/>
      <c r="AP1277" s="16"/>
      <c r="AX1277" s="16"/>
    </row>
    <row r="1278" spans="2:50" x14ac:dyDescent="0.25">
      <c r="B1278" s="16"/>
      <c r="F1278" s="16"/>
      <c r="J1278" s="16"/>
      <c r="N1278" s="16"/>
      <c r="R1278" s="16"/>
      <c r="V1278" s="16"/>
      <c r="Z1278" s="16"/>
      <c r="AD1278" s="16"/>
      <c r="AH1278" s="16"/>
      <c r="AL1278" s="16"/>
      <c r="AP1278" s="16"/>
      <c r="AX1278" s="16"/>
    </row>
    <row r="1279" spans="2:50" x14ac:dyDescent="0.25">
      <c r="B1279" s="16"/>
      <c r="F1279" s="16"/>
      <c r="J1279" s="16"/>
      <c r="N1279" s="16"/>
      <c r="R1279" s="16"/>
      <c r="V1279" s="16"/>
      <c r="Z1279" s="16"/>
      <c r="AD1279" s="16"/>
      <c r="AH1279" s="16"/>
      <c r="AL1279" s="16"/>
      <c r="AP1279" s="16"/>
      <c r="AX1279" s="16"/>
    </row>
    <row r="1280" spans="2:50" x14ac:dyDescent="0.25">
      <c r="B1280" s="16"/>
      <c r="F1280" s="16"/>
      <c r="J1280" s="16"/>
      <c r="N1280" s="16"/>
      <c r="R1280" s="16"/>
      <c r="V1280" s="16"/>
      <c r="Z1280" s="16"/>
      <c r="AD1280" s="16"/>
      <c r="AH1280" s="16"/>
      <c r="AL1280" s="16"/>
      <c r="AP1280" s="16"/>
      <c r="AX1280" s="16"/>
    </row>
    <row r="1281" spans="2:50" x14ac:dyDescent="0.25">
      <c r="B1281" s="16"/>
      <c r="F1281" s="16"/>
      <c r="J1281" s="16"/>
      <c r="N1281" s="16"/>
      <c r="R1281" s="16"/>
      <c r="V1281" s="16"/>
      <c r="Z1281" s="16"/>
      <c r="AD1281" s="16"/>
      <c r="AH1281" s="16"/>
      <c r="AL1281" s="16"/>
      <c r="AP1281" s="16"/>
      <c r="AX1281" s="16"/>
    </row>
    <row r="1282" spans="2:50" x14ac:dyDescent="0.25">
      <c r="B1282" s="16"/>
      <c r="F1282" s="16"/>
      <c r="J1282" s="16"/>
      <c r="N1282" s="16"/>
      <c r="R1282" s="16"/>
      <c r="V1282" s="16"/>
      <c r="Z1282" s="16"/>
      <c r="AD1282" s="16"/>
      <c r="AH1282" s="16"/>
      <c r="AL1282" s="16"/>
      <c r="AP1282" s="16"/>
      <c r="AX1282" s="16"/>
    </row>
    <row r="1283" spans="2:50" x14ac:dyDescent="0.25">
      <c r="B1283" s="16"/>
      <c r="F1283" s="16"/>
      <c r="J1283" s="16"/>
      <c r="N1283" s="16"/>
      <c r="R1283" s="16"/>
      <c r="V1283" s="16"/>
      <c r="Z1283" s="16"/>
      <c r="AD1283" s="16"/>
      <c r="AH1283" s="16"/>
      <c r="AL1283" s="16"/>
      <c r="AP1283" s="16"/>
      <c r="AX1283" s="16"/>
    </row>
    <row r="1284" spans="2:50" x14ac:dyDescent="0.25">
      <c r="B1284" s="16"/>
      <c r="F1284" s="16"/>
      <c r="J1284" s="16"/>
      <c r="N1284" s="16"/>
      <c r="R1284" s="16"/>
      <c r="V1284" s="16"/>
      <c r="Z1284" s="16"/>
      <c r="AD1284" s="16"/>
      <c r="AH1284" s="16"/>
      <c r="AL1284" s="16"/>
      <c r="AP1284" s="16"/>
      <c r="AX1284" s="16"/>
    </row>
    <row r="1285" spans="2:50" x14ac:dyDescent="0.25">
      <c r="B1285" s="16"/>
      <c r="F1285" s="16"/>
      <c r="J1285" s="16"/>
      <c r="N1285" s="16"/>
      <c r="R1285" s="16"/>
      <c r="V1285" s="16"/>
      <c r="Z1285" s="16"/>
      <c r="AD1285" s="16"/>
      <c r="AH1285" s="16"/>
      <c r="AL1285" s="16"/>
      <c r="AP1285" s="16"/>
      <c r="AX1285" s="16"/>
    </row>
    <row r="1286" spans="2:50" x14ac:dyDescent="0.25">
      <c r="B1286" s="16"/>
      <c r="F1286" s="16"/>
      <c r="J1286" s="16"/>
      <c r="N1286" s="16"/>
      <c r="R1286" s="16"/>
      <c r="V1286" s="16"/>
      <c r="Z1286" s="16"/>
      <c r="AD1286" s="16"/>
      <c r="AH1286" s="16"/>
      <c r="AL1286" s="16"/>
      <c r="AP1286" s="16"/>
      <c r="AX1286" s="16"/>
    </row>
    <row r="1287" spans="2:50" x14ac:dyDescent="0.25">
      <c r="B1287" s="16"/>
      <c r="F1287" s="16"/>
      <c r="J1287" s="16"/>
      <c r="N1287" s="16"/>
      <c r="R1287" s="16"/>
      <c r="V1287" s="16"/>
      <c r="Z1287" s="16"/>
      <c r="AD1287" s="16"/>
      <c r="AH1287" s="16"/>
      <c r="AL1287" s="16"/>
      <c r="AP1287" s="16"/>
      <c r="AX1287" s="16"/>
    </row>
    <row r="1288" spans="2:50" x14ac:dyDescent="0.25">
      <c r="B1288" s="16"/>
      <c r="F1288" s="16"/>
      <c r="J1288" s="16"/>
      <c r="N1288" s="16"/>
      <c r="R1288" s="16"/>
      <c r="V1288" s="16"/>
      <c r="Z1288" s="16"/>
      <c r="AD1288" s="16"/>
      <c r="AH1288" s="16"/>
      <c r="AL1288" s="16"/>
      <c r="AP1288" s="16"/>
      <c r="AX1288" s="16"/>
    </row>
    <row r="1289" spans="2:50" x14ac:dyDescent="0.25">
      <c r="B1289" s="16"/>
      <c r="F1289" s="16"/>
      <c r="J1289" s="16"/>
      <c r="N1289" s="16"/>
      <c r="AD1289" s="16"/>
      <c r="AH1289" s="16"/>
      <c r="AL1289" s="16"/>
    </row>
    <row r="1290" spans="2:50" x14ac:dyDescent="0.25">
      <c r="B1290" s="16"/>
      <c r="F1290" s="16"/>
      <c r="J1290" s="16"/>
      <c r="N1290" s="16"/>
      <c r="AD1290" s="16"/>
      <c r="AH1290" s="16"/>
      <c r="AL1290" s="16"/>
    </row>
    <row r="1291" spans="2:50" x14ac:dyDescent="0.25">
      <c r="B1291" s="16"/>
      <c r="F1291" s="16"/>
      <c r="J1291" s="16"/>
      <c r="N1291" s="16"/>
      <c r="AD1291" s="16"/>
      <c r="AH1291" s="16"/>
      <c r="AL1291" s="16"/>
    </row>
    <row r="1292" spans="2:50" x14ac:dyDescent="0.25">
      <c r="B1292" s="16"/>
      <c r="F1292" s="16"/>
      <c r="J1292" s="16"/>
      <c r="N1292" s="16"/>
      <c r="AD1292" s="16"/>
      <c r="AH1292" s="16"/>
      <c r="AL1292" s="16"/>
    </row>
    <row r="1293" spans="2:50" x14ac:dyDescent="0.25">
      <c r="B1293" s="16"/>
      <c r="F1293" s="16"/>
      <c r="J1293" s="16"/>
      <c r="N1293" s="16"/>
      <c r="AD1293" s="16"/>
      <c r="AL1293" s="16"/>
    </row>
    <row r="1294" spans="2:50" x14ac:dyDescent="0.25">
      <c r="B1294" s="16"/>
      <c r="F1294" s="16"/>
      <c r="J1294" s="16"/>
      <c r="N1294" s="16"/>
      <c r="AD1294" s="16"/>
      <c r="AL1294" s="16"/>
    </row>
    <row r="1295" spans="2:50" x14ac:dyDescent="0.25">
      <c r="B1295" s="16"/>
      <c r="F1295" s="16"/>
      <c r="J1295" s="16"/>
      <c r="N1295" s="16"/>
      <c r="AD1295" s="16"/>
      <c r="AL1295" s="16"/>
    </row>
    <row r="1296" spans="2:50" x14ac:dyDescent="0.25">
      <c r="B1296" s="16"/>
      <c r="F1296" s="16"/>
      <c r="J1296" s="16"/>
      <c r="N1296" s="16"/>
      <c r="AD1296" s="16"/>
      <c r="AL1296" s="16"/>
    </row>
    <row r="1297" spans="2:38" x14ac:dyDescent="0.25">
      <c r="B1297" s="16"/>
      <c r="J1297" s="16"/>
      <c r="N1297" s="16"/>
      <c r="AD1297" s="16"/>
      <c r="AL1297" s="16"/>
    </row>
    <row r="1298" spans="2:38" x14ac:dyDescent="0.25">
      <c r="B1298" s="16"/>
      <c r="J1298" s="16"/>
      <c r="N1298" s="16"/>
      <c r="AD1298" s="16"/>
      <c r="AL1298" s="16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EquityFinValues">
    <tabColor theme="0" tint="-0.499984740745262"/>
  </sheetPr>
  <dimension ref="B2:GD14"/>
  <sheetViews>
    <sheetView showGridLines="0" topLeftCell="ES1" workbookViewId="0">
      <selection activeCell="ES1" sqref="A1:XFD1048576"/>
    </sheetView>
  </sheetViews>
  <sheetFormatPr defaultColWidth="11.5703125" defaultRowHeight="15" x14ac:dyDescent="0.25"/>
  <cols>
    <col min="1" max="1" width="2.7109375" customWidth="1"/>
  </cols>
  <sheetData>
    <row r="2" spans="2:186" x14ac:dyDescent="0.25">
      <c r="C2" s="16"/>
      <c r="D2" s="16"/>
      <c r="Q2" s="16"/>
      <c r="R2" s="16"/>
      <c r="AE2" s="16"/>
      <c r="AF2" s="16"/>
      <c r="AS2" s="16"/>
      <c r="AT2" s="16"/>
      <c r="BG2" s="16"/>
      <c r="BH2" s="16"/>
      <c r="BU2" s="16"/>
      <c r="BV2" s="16"/>
      <c r="CI2" s="16"/>
      <c r="CJ2" s="16"/>
      <c r="CW2" s="16"/>
      <c r="CX2" s="16"/>
      <c r="DK2" s="16"/>
      <c r="DL2" s="16"/>
      <c r="DY2" s="16"/>
      <c r="DZ2" s="16"/>
      <c r="EM2" s="16"/>
      <c r="EN2" s="16"/>
      <c r="FA2" s="16"/>
      <c r="FB2" s="16"/>
      <c r="FO2" s="16"/>
      <c r="FP2" s="16"/>
      <c r="GC2" s="16"/>
      <c r="GD2" s="16"/>
    </row>
    <row r="3" spans="2:186" x14ac:dyDescent="0.25">
      <c r="C3" s="16"/>
      <c r="D3" s="16"/>
      <c r="Q3" s="16"/>
      <c r="R3" s="16"/>
      <c r="AE3" s="16"/>
      <c r="AF3" s="16"/>
      <c r="AS3" s="16"/>
      <c r="AT3" s="16"/>
      <c r="BG3" s="16"/>
      <c r="BH3" s="16"/>
      <c r="BU3" s="16"/>
      <c r="BV3" s="16"/>
      <c r="CI3" s="16"/>
      <c r="CJ3" s="16"/>
      <c r="CW3" s="16"/>
      <c r="CX3" s="16"/>
      <c r="DK3" s="16"/>
      <c r="DL3" s="16"/>
      <c r="DY3" s="16"/>
      <c r="DZ3" s="16"/>
      <c r="EM3" s="16"/>
      <c r="EN3" s="16"/>
      <c r="FA3" s="16"/>
      <c r="FB3" s="16"/>
      <c r="FO3" s="16"/>
      <c r="FP3" s="16"/>
      <c r="GC3" s="16"/>
      <c r="GD3" s="16"/>
    </row>
    <row r="9" spans="2:186" x14ac:dyDescent="0.25">
      <c r="B9" s="10"/>
      <c r="C9" s="10"/>
      <c r="D9" s="10"/>
      <c r="P9" s="10"/>
      <c r="Q9" s="10"/>
      <c r="R9" s="10"/>
      <c r="AD9" s="10"/>
      <c r="AE9" s="10"/>
      <c r="AF9" s="10"/>
      <c r="AR9" s="10"/>
      <c r="AS9" s="10"/>
      <c r="AT9" s="10"/>
      <c r="BF9" s="10"/>
      <c r="BG9" s="10"/>
      <c r="BH9" s="10"/>
      <c r="BT9" s="10"/>
      <c r="BU9" s="10"/>
      <c r="BV9" s="10"/>
      <c r="CH9" s="10"/>
      <c r="CI9" s="10"/>
      <c r="CJ9" s="10"/>
      <c r="CV9" s="10"/>
      <c r="CW9" s="10"/>
      <c r="CX9" s="10"/>
      <c r="DJ9" s="10"/>
      <c r="DK9" s="10"/>
      <c r="DL9" s="10"/>
      <c r="DX9" s="10"/>
      <c r="DY9" s="10"/>
      <c r="DZ9" s="10"/>
      <c r="EL9" s="10"/>
      <c r="EM9" s="10"/>
      <c r="EN9" s="10"/>
      <c r="EZ9" s="10"/>
      <c r="FA9" s="10"/>
      <c r="FB9" s="10"/>
      <c r="FN9" s="10"/>
      <c r="FO9" s="10"/>
      <c r="FP9" s="10"/>
      <c r="GB9" s="10"/>
      <c r="GC9" s="10"/>
      <c r="GD9" s="10"/>
    </row>
    <row r="10" spans="2:186" x14ac:dyDescent="0.25">
      <c r="B10" s="16"/>
      <c r="P10" s="16"/>
      <c r="AD10" s="16"/>
      <c r="AR10" s="16"/>
      <c r="BF10" s="16"/>
      <c r="BT10" s="16"/>
      <c r="CH10" s="16"/>
      <c r="CV10" s="16"/>
      <c r="DJ10" s="16"/>
      <c r="DX10" s="16"/>
      <c r="EL10" s="16"/>
      <c r="EZ10" s="16"/>
      <c r="FN10" s="16"/>
      <c r="GB10" s="16"/>
    </row>
    <row r="11" spans="2:186" x14ac:dyDescent="0.25">
      <c r="B11" s="16"/>
      <c r="P11" s="16"/>
      <c r="AD11" s="16"/>
      <c r="AR11" s="16"/>
      <c r="BF11" s="16"/>
      <c r="BT11" s="16"/>
      <c r="CH11" s="16"/>
      <c r="CV11" s="16"/>
      <c r="DJ11" s="16"/>
      <c r="DX11" s="16"/>
      <c r="EL11" s="16"/>
      <c r="EZ11" s="16"/>
      <c r="FN11" s="16"/>
    </row>
    <row r="12" spans="2:186" x14ac:dyDescent="0.25">
      <c r="B12" s="16"/>
      <c r="P12" s="16"/>
      <c r="AD12" s="16"/>
      <c r="AR12" s="16"/>
      <c r="BF12" s="16"/>
      <c r="BT12" s="16"/>
      <c r="CH12" s="16"/>
      <c r="CV12" s="16"/>
      <c r="DJ12" s="16"/>
      <c r="DX12" s="16"/>
      <c r="EL12" s="16"/>
      <c r="EZ12" s="16"/>
      <c r="FN12" s="16"/>
    </row>
    <row r="13" spans="2:186" x14ac:dyDescent="0.25">
      <c r="B13" s="16"/>
      <c r="P13" s="16"/>
      <c r="AD13" s="16"/>
      <c r="AR13" s="16"/>
      <c r="BF13" s="16"/>
      <c r="BT13" s="16"/>
      <c r="CH13" s="16"/>
      <c r="CV13" s="16"/>
      <c r="DJ13" s="16"/>
      <c r="DX13" s="16"/>
      <c r="EL13" s="16"/>
      <c r="EZ13" s="16"/>
      <c r="FN13" s="16"/>
    </row>
    <row r="14" spans="2:186" x14ac:dyDescent="0.25">
      <c r="B14" s="16"/>
      <c r="P14" s="16"/>
      <c r="AD14" s="16"/>
      <c r="AR14" s="16"/>
      <c r="BF14" s="16"/>
      <c r="BT14" s="16"/>
      <c r="CH14" s="16"/>
      <c r="CV14" s="16"/>
      <c r="DJ14" s="16"/>
      <c r="DX14" s="16"/>
      <c r="EL14" s="16"/>
      <c r="EZ14" s="16"/>
      <c r="FN14" s="16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ondsDataValue">
    <tabColor theme="0" tint="-0.499984740745262"/>
  </sheetPr>
  <dimension ref="A1:I1"/>
  <sheetViews>
    <sheetView showGridLines="0" workbookViewId="0">
      <selection activeCell="A2" sqref="A2:I11"/>
    </sheetView>
  </sheetViews>
  <sheetFormatPr defaultColWidth="11.5703125" defaultRowHeight="15" x14ac:dyDescent="0.25"/>
  <cols>
    <col min="1" max="1" width="16.5703125" bestFit="1" customWidth="1"/>
    <col min="2" max="2" width="26.140625" bestFit="1" customWidth="1"/>
    <col min="3" max="3" width="7.85546875" bestFit="1" customWidth="1"/>
    <col min="4" max="4" width="10.7109375" bestFit="1" customWidth="1"/>
    <col min="5" max="5" width="10.5703125" bestFit="1" customWidth="1"/>
    <col min="6" max="6" width="10.28515625" bestFit="1" customWidth="1"/>
    <col min="7" max="7" width="8" bestFit="1" customWidth="1"/>
    <col min="8" max="8" width="16.85546875" bestFit="1" customWidth="1"/>
  </cols>
  <sheetData>
    <row r="1" spans="1:9" s="13" customFormat="1" x14ac:dyDescent="0.25">
      <c r="A1" s="13" t="s">
        <v>109</v>
      </c>
      <c r="B1" s="13" t="s">
        <v>110</v>
      </c>
      <c r="C1" s="13" t="s">
        <v>111</v>
      </c>
      <c r="D1" s="13" t="s">
        <v>112</v>
      </c>
      <c r="E1" s="13" t="s">
        <v>113</v>
      </c>
      <c r="F1" s="13" t="s">
        <v>114</v>
      </c>
      <c r="G1" s="13" t="s">
        <v>115</v>
      </c>
      <c r="H1" s="13" t="s">
        <v>116</v>
      </c>
      <c r="I1" s="13" t="s">
        <v>117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EquityDataBloomberg">
    <tabColor theme="1" tint="0.499984740745262"/>
  </sheetPr>
  <dimension ref="B2:BU1298"/>
  <sheetViews>
    <sheetView showGridLines="0" workbookViewId="0">
      <selection sqref="A1:XFD1048576"/>
    </sheetView>
  </sheetViews>
  <sheetFormatPr defaultColWidth="9.140625" defaultRowHeight="15" x14ac:dyDescent="0.25"/>
  <cols>
    <col min="1" max="1" width="2.7109375" customWidth="1"/>
    <col min="2" max="2" width="10.7109375" bestFit="1" customWidth="1"/>
    <col min="3" max="3" width="13.5703125" bestFit="1" customWidth="1"/>
    <col min="4" max="4" width="13.5703125" customWidth="1"/>
    <col min="6" max="6" width="10.7109375" bestFit="1" customWidth="1"/>
    <col min="7" max="7" width="13.5703125" bestFit="1" customWidth="1"/>
    <col min="8" max="8" width="13.5703125" customWidth="1"/>
    <col min="10" max="10" width="10.7109375" bestFit="1" customWidth="1"/>
    <col min="11" max="11" width="13.5703125" bestFit="1" customWidth="1"/>
    <col min="12" max="12" width="13.5703125" customWidth="1"/>
    <col min="14" max="14" width="10.7109375" bestFit="1" customWidth="1"/>
    <col min="15" max="15" width="13.5703125" bestFit="1" customWidth="1"/>
    <col min="16" max="16" width="13.5703125" customWidth="1"/>
    <col min="18" max="18" width="10.7109375" bestFit="1" customWidth="1"/>
    <col min="19" max="19" width="13.5703125" bestFit="1" customWidth="1"/>
    <col min="20" max="20" width="13.5703125" customWidth="1"/>
    <col min="22" max="22" width="10.7109375" bestFit="1" customWidth="1"/>
    <col min="23" max="23" width="13.5703125" bestFit="1" customWidth="1"/>
    <col min="24" max="24" width="13.5703125" customWidth="1"/>
    <col min="26" max="26" width="10.7109375" bestFit="1" customWidth="1"/>
    <col min="27" max="27" width="13.5703125" bestFit="1" customWidth="1"/>
    <col min="28" max="28" width="13.5703125" customWidth="1"/>
    <col min="30" max="30" width="10.7109375" bestFit="1" customWidth="1"/>
    <col min="31" max="31" width="13.5703125" bestFit="1" customWidth="1"/>
    <col min="32" max="32" width="13.5703125" customWidth="1"/>
    <col min="34" max="34" width="10.7109375" bestFit="1" customWidth="1"/>
    <col min="35" max="35" width="13.5703125" bestFit="1" customWidth="1"/>
    <col min="36" max="36" width="13.5703125" customWidth="1"/>
    <col min="38" max="38" width="10.7109375" bestFit="1" customWidth="1"/>
    <col min="39" max="39" width="13.5703125" bestFit="1" customWidth="1"/>
    <col min="40" max="40" width="13.5703125" customWidth="1"/>
    <col min="42" max="42" width="10.7109375" bestFit="1" customWidth="1"/>
    <col min="43" max="43" width="13.5703125" bestFit="1" customWidth="1"/>
    <col min="44" max="44" width="13.5703125" customWidth="1"/>
    <col min="47" max="47" width="15" bestFit="1" customWidth="1"/>
  </cols>
  <sheetData>
    <row r="2" spans="2:73" x14ac:dyDescent="0.25">
      <c r="C2" s="1"/>
      <c r="D2" s="1"/>
      <c r="G2" s="1"/>
      <c r="H2" s="1"/>
      <c r="K2" s="12"/>
      <c r="L2" s="1"/>
      <c r="O2" s="12"/>
      <c r="P2" s="1"/>
      <c r="S2" s="12"/>
      <c r="T2" s="1"/>
      <c r="W2" s="12"/>
      <c r="X2" s="1"/>
      <c r="AA2" s="12"/>
      <c r="AB2" s="1"/>
      <c r="AE2" s="12"/>
      <c r="AF2" s="1"/>
      <c r="AI2" s="12"/>
      <c r="AJ2" s="1"/>
      <c r="AM2" s="12"/>
      <c r="AN2" s="1"/>
      <c r="AQ2" s="12"/>
      <c r="AR2" s="1"/>
      <c r="AU2" s="16"/>
      <c r="AV2" s="16"/>
      <c r="AY2" s="16"/>
      <c r="AZ2" s="16"/>
      <c r="BC2" s="16"/>
      <c r="BD2" s="16"/>
      <c r="BG2" s="16"/>
      <c r="BH2" s="16"/>
      <c r="BK2" s="16"/>
      <c r="BL2" s="16"/>
      <c r="BO2" s="16"/>
      <c r="BP2" s="16"/>
      <c r="BS2" s="16"/>
      <c r="BT2" s="16"/>
    </row>
    <row r="3" spans="2:73" x14ac:dyDescent="0.25">
      <c r="C3" s="1"/>
      <c r="D3" s="1"/>
      <c r="G3" s="1"/>
      <c r="H3" s="1"/>
      <c r="K3" s="12"/>
      <c r="L3" s="1"/>
      <c r="O3" s="12"/>
      <c r="P3" s="1"/>
      <c r="S3" s="12"/>
      <c r="T3" s="1"/>
      <c r="W3" s="12"/>
      <c r="X3" s="1"/>
      <c r="AA3" s="12"/>
      <c r="AB3" s="1"/>
      <c r="AE3" s="12"/>
      <c r="AF3" s="1"/>
      <c r="AI3" s="12"/>
      <c r="AJ3" s="1"/>
      <c r="AM3" s="12"/>
      <c r="AN3" s="1"/>
      <c r="AQ3" s="12"/>
      <c r="AR3" s="1"/>
      <c r="AU3" s="16"/>
      <c r="AV3" s="16"/>
      <c r="AY3" s="16"/>
      <c r="AZ3" s="16"/>
      <c r="BC3" s="16"/>
      <c r="BD3" s="16"/>
      <c r="BG3" s="16"/>
      <c r="BH3" s="16"/>
      <c r="BK3" s="16"/>
      <c r="BL3" s="16"/>
      <c r="BO3" s="16"/>
      <c r="BP3" s="16"/>
      <c r="BS3" s="16"/>
      <c r="BT3" s="16"/>
    </row>
    <row r="9" spans="2:73" s="10" customFormat="1" x14ac:dyDescent="0.25"/>
    <row r="10" spans="2:73" x14ac:dyDescent="0.25">
      <c r="B10" s="1"/>
      <c r="F10" s="1"/>
      <c r="J10" s="1"/>
      <c r="N10" s="1"/>
      <c r="R10" s="1"/>
      <c r="V10" s="1"/>
      <c r="Z10" s="1"/>
      <c r="AD10" s="1"/>
      <c r="AH10" s="1"/>
      <c r="AL10" s="1"/>
      <c r="AP10" s="1"/>
      <c r="AT10" s="16"/>
      <c r="AW10" s="16"/>
      <c r="AX10" s="16"/>
      <c r="BA10" s="16"/>
      <c r="BB10" s="16"/>
      <c r="BE10" s="16"/>
      <c r="BF10" s="16"/>
      <c r="BI10" s="16"/>
      <c r="BJ10" s="16"/>
      <c r="BM10" s="16"/>
      <c r="BN10" s="16"/>
      <c r="BQ10" s="16"/>
      <c r="BR10" s="16"/>
      <c r="BU10" s="16"/>
    </row>
    <row r="11" spans="2:73" x14ac:dyDescent="0.25">
      <c r="B11" s="1"/>
      <c r="F11" s="1"/>
      <c r="J11" s="1"/>
      <c r="N11" s="1"/>
      <c r="R11" s="1"/>
      <c r="V11" s="1"/>
      <c r="Z11" s="1"/>
      <c r="AD11" s="1"/>
      <c r="AH11" s="1"/>
      <c r="AL11" s="1"/>
      <c r="AP11" s="1"/>
      <c r="AT11" s="16"/>
      <c r="AX11" s="16"/>
    </row>
    <row r="12" spans="2:73" x14ac:dyDescent="0.25">
      <c r="B12" s="1"/>
      <c r="F12" s="1"/>
      <c r="J12" s="1"/>
      <c r="N12" s="1"/>
      <c r="R12" s="1"/>
      <c r="V12" s="1"/>
      <c r="Z12" s="1"/>
      <c r="AD12" s="1"/>
      <c r="AH12" s="1"/>
      <c r="AL12" s="1"/>
      <c r="AP12" s="1"/>
      <c r="AT12" s="16"/>
      <c r="AX12" s="16"/>
    </row>
    <row r="13" spans="2:73" x14ac:dyDescent="0.25">
      <c r="B13" s="1"/>
      <c r="F13" s="1"/>
      <c r="J13" s="1"/>
      <c r="N13" s="1"/>
      <c r="R13" s="1"/>
      <c r="V13" s="1"/>
      <c r="Z13" s="1"/>
      <c r="AD13" s="1"/>
      <c r="AH13" s="1"/>
      <c r="AL13" s="1"/>
      <c r="AP13" s="1"/>
      <c r="AT13" s="16"/>
      <c r="AX13" s="16"/>
    </row>
    <row r="14" spans="2:73" x14ac:dyDescent="0.25">
      <c r="B14" s="1"/>
      <c r="F14" s="1"/>
      <c r="J14" s="1"/>
      <c r="N14" s="1"/>
      <c r="R14" s="1"/>
      <c r="V14" s="1"/>
      <c r="Z14" s="1"/>
      <c r="AD14" s="1"/>
      <c r="AH14" s="1"/>
      <c r="AL14" s="1"/>
      <c r="AP14" s="1"/>
      <c r="AT14" s="16"/>
      <c r="AX14" s="16"/>
    </row>
    <row r="15" spans="2:73" x14ac:dyDescent="0.25">
      <c r="B15" s="1"/>
      <c r="F15" s="1"/>
      <c r="J15" s="1"/>
      <c r="N15" s="1"/>
      <c r="R15" s="1"/>
      <c r="V15" s="1"/>
      <c r="Z15" s="1"/>
      <c r="AD15" s="1"/>
      <c r="AH15" s="1"/>
      <c r="AL15" s="1"/>
      <c r="AP15" s="1"/>
      <c r="AT15" s="16"/>
      <c r="AX15" s="16"/>
    </row>
    <row r="16" spans="2:73" x14ac:dyDescent="0.25">
      <c r="B16" s="1"/>
      <c r="F16" s="1"/>
      <c r="J16" s="1"/>
      <c r="N16" s="1"/>
      <c r="R16" s="1"/>
      <c r="V16" s="1"/>
      <c r="Z16" s="1"/>
      <c r="AD16" s="1"/>
      <c r="AH16" s="1"/>
      <c r="AL16" s="1"/>
      <c r="AP16" s="1"/>
      <c r="AT16" s="16"/>
      <c r="AX16" s="16"/>
    </row>
    <row r="17" spans="2:50" x14ac:dyDescent="0.25">
      <c r="B17" s="1"/>
      <c r="F17" s="1"/>
      <c r="J17" s="1"/>
      <c r="N17" s="1"/>
      <c r="R17" s="1"/>
      <c r="V17" s="1"/>
      <c r="Z17" s="1"/>
      <c r="AD17" s="1"/>
      <c r="AH17" s="1"/>
      <c r="AL17" s="1"/>
      <c r="AP17" s="1"/>
      <c r="AT17" s="16"/>
      <c r="AX17" s="16"/>
    </row>
    <row r="18" spans="2:50" x14ac:dyDescent="0.25">
      <c r="B18" s="1"/>
      <c r="F18" s="1"/>
      <c r="J18" s="1"/>
      <c r="N18" s="1"/>
      <c r="R18" s="1"/>
      <c r="V18" s="1"/>
      <c r="Z18" s="1"/>
      <c r="AD18" s="1"/>
      <c r="AH18" s="1"/>
      <c r="AL18" s="1"/>
      <c r="AP18" s="1"/>
      <c r="AT18" s="16"/>
      <c r="AX18" s="16"/>
    </row>
    <row r="19" spans="2:50" x14ac:dyDescent="0.25">
      <c r="B19" s="1"/>
      <c r="F19" s="1"/>
      <c r="J19" s="1"/>
      <c r="N19" s="1"/>
      <c r="R19" s="1"/>
      <c r="V19" s="1"/>
      <c r="Z19" s="1"/>
      <c r="AD19" s="1"/>
      <c r="AH19" s="1"/>
      <c r="AL19" s="1"/>
      <c r="AP19" s="1"/>
      <c r="AT19" s="16"/>
      <c r="AX19" s="16"/>
    </row>
    <row r="20" spans="2:50" x14ac:dyDescent="0.25">
      <c r="B20" s="1"/>
      <c r="F20" s="1"/>
      <c r="J20" s="1"/>
      <c r="N20" s="1"/>
      <c r="R20" s="1"/>
      <c r="V20" s="1"/>
      <c r="Z20" s="1"/>
      <c r="AD20" s="1"/>
      <c r="AH20" s="1"/>
      <c r="AL20" s="1"/>
      <c r="AP20" s="1"/>
      <c r="AT20" s="16"/>
      <c r="AX20" s="16"/>
    </row>
    <row r="21" spans="2:50" x14ac:dyDescent="0.25">
      <c r="B21" s="1"/>
      <c r="F21" s="1"/>
      <c r="J21" s="1"/>
      <c r="N21" s="1"/>
      <c r="R21" s="1"/>
      <c r="V21" s="1"/>
      <c r="Z21" s="1"/>
      <c r="AD21" s="1"/>
      <c r="AH21" s="1"/>
      <c r="AL21" s="1"/>
      <c r="AP21" s="1"/>
      <c r="AT21" s="16"/>
      <c r="AX21" s="16"/>
    </row>
    <row r="22" spans="2:50" x14ac:dyDescent="0.25">
      <c r="B22" s="1"/>
      <c r="F22" s="1"/>
      <c r="J22" s="1"/>
      <c r="N22" s="1"/>
      <c r="R22" s="1"/>
      <c r="V22" s="1"/>
      <c r="Z22" s="1"/>
      <c r="AD22" s="1"/>
      <c r="AH22" s="1"/>
      <c r="AL22" s="1"/>
      <c r="AP22" s="1"/>
      <c r="AT22" s="16"/>
      <c r="AX22" s="16"/>
    </row>
    <row r="23" spans="2:50" x14ac:dyDescent="0.25">
      <c r="B23" s="1"/>
      <c r="F23" s="1"/>
      <c r="J23" s="1"/>
      <c r="N23" s="1"/>
      <c r="R23" s="1"/>
      <c r="V23" s="1"/>
      <c r="Z23" s="1"/>
      <c r="AD23" s="1"/>
      <c r="AH23" s="1"/>
      <c r="AL23" s="1"/>
      <c r="AP23" s="1"/>
      <c r="AT23" s="16"/>
      <c r="AX23" s="16"/>
    </row>
    <row r="24" spans="2:50" x14ac:dyDescent="0.25">
      <c r="B24" s="1"/>
      <c r="F24" s="1"/>
      <c r="J24" s="1"/>
      <c r="N24" s="1"/>
      <c r="R24" s="1"/>
      <c r="V24" s="1"/>
      <c r="Z24" s="1"/>
      <c r="AD24" s="1"/>
      <c r="AH24" s="1"/>
      <c r="AL24" s="1"/>
      <c r="AP24" s="1"/>
      <c r="AT24" s="16"/>
      <c r="AX24" s="16"/>
    </row>
    <row r="25" spans="2:50" x14ac:dyDescent="0.25">
      <c r="B25" s="1"/>
      <c r="F25" s="1"/>
      <c r="J25" s="1"/>
      <c r="N25" s="1"/>
      <c r="R25" s="1"/>
      <c r="V25" s="1"/>
      <c r="Z25" s="1"/>
      <c r="AD25" s="1"/>
      <c r="AH25" s="1"/>
      <c r="AL25" s="1"/>
      <c r="AP25" s="1"/>
      <c r="AT25" s="16"/>
      <c r="AX25" s="16"/>
    </row>
    <row r="26" spans="2:50" x14ac:dyDescent="0.25">
      <c r="B26" s="1"/>
      <c r="F26" s="1"/>
      <c r="J26" s="1"/>
      <c r="N26" s="1"/>
      <c r="R26" s="1"/>
      <c r="V26" s="1"/>
      <c r="Z26" s="1"/>
      <c r="AD26" s="1"/>
      <c r="AH26" s="1"/>
      <c r="AL26" s="1"/>
      <c r="AP26" s="1"/>
      <c r="AT26" s="16"/>
      <c r="AX26" s="16"/>
    </row>
    <row r="27" spans="2:50" x14ac:dyDescent="0.25">
      <c r="B27" s="1"/>
      <c r="F27" s="1"/>
      <c r="J27" s="1"/>
      <c r="N27" s="1"/>
      <c r="R27" s="1"/>
      <c r="V27" s="1"/>
      <c r="Z27" s="1"/>
      <c r="AD27" s="1"/>
      <c r="AH27" s="1"/>
      <c r="AL27" s="1"/>
      <c r="AP27" s="1"/>
      <c r="AT27" s="16"/>
      <c r="AX27" s="16"/>
    </row>
    <row r="28" spans="2:50" x14ac:dyDescent="0.25">
      <c r="B28" s="1"/>
      <c r="F28" s="1"/>
      <c r="J28" s="1"/>
      <c r="N28" s="1"/>
      <c r="R28" s="1"/>
      <c r="V28" s="1"/>
      <c r="Z28" s="1"/>
      <c r="AD28" s="1"/>
      <c r="AH28" s="1"/>
      <c r="AL28" s="1"/>
      <c r="AP28" s="1"/>
      <c r="AT28" s="16"/>
      <c r="AX28" s="16"/>
    </row>
    <row r="29" spans="2:50" x14ac:dyDescent="0.25">
      <c r="B29" s="1"/>
      <c r="F29" s="1"/>
      <c r="J29" s="1"/>
      <c r="N29" s="1"/>
      <c r="R29" s="1"/>
      <c r="V29" s="1"/>
      <c r="Z29" s="1"/>
      <c r="AD29" s="1"/>
      <c r="AH29" s="1"/>
      <c r="AL29" s="1"/>
      <c r="AP29" s="1"/>
      <c r="AT29" s="16"/>
      <c r="AX29" s="16"/>
    </row>
    <row r="30" spans="2:50" x14ac:dyDescent="0.25">
      <c r="B30" s="1"/>
      <c r="F30" s="1"/>
      <c r="J30" s="1"/>
      <c r="N30" s="1"/>
      <c r="R30" s="1"/>
      <c r="V30" s="1"/>
      <c r="Z30" s="1"/>
      <c r="AD30" s="1"/>
      <c r="AH30" s="1"/>
      <c r="AL30" s="1"/>
      <c r="AP30" s="1"/>
      <c r="AT30" s="16"/>
      <c r="AX30" s="16"/>
    </row>
    <row r="31" spans="2:50" x14ac:dyDescent="0.25">
      <c r="B31" s="1"/>
      <c r="F31" s="1"/>
      <c r="J31" s="1"/>
      <c r="N31" s="1"/>
      <c r="R31" s="1"/>
      <c r="V31" s="1"/>
      <c r="Z31" s="1"/>
      <c r="AD31" s="1"/>
      <c r="AH31" s="1"/>
      <c r="AL31" s="1"/>
      <c r="AP31" s="1"/>
      <c r="AT31" s="16"/>
      <c r="AX31" s="16"/>
    </row>
    <row r="32" spans="2:50" x14ac:dyDescent="0.25">
      <c r="B32" s="1"/>
      <c r="F32" s="1"/>
      <c r="J32" s="1"/>
      <c r="N32" s="1"/>
      <c r="R32" s="1"/>
      <c r="V32" s="1"/>
      <c r="Z32" s="1"/>
      <c r="AD32" s="1"/>
      <c r="AH32" s="1"/>
      <c r="AL32" s="1"/>
      <c r="AP32" s="1"/>
      <c r="AT32" s="16"/>
      <c r="AX32" s="16"/>
    </row>
    <row r="33" spans="2:50" x14ac:dyDescent="0.25">
      <c r="B33" s="1"/>
      <c r="F33" s="1"/>
      <c r="J33" s="1"/>
      <c r="N33" s="1"/>
      <c r="R33" s="1"/>
      <c r="V33" s="1"/>
      <c r="Z33" s="1"/>
      <c r="AD33" s="1"/>
      <c r="AH33" s="1"/>
      <c r="AL33" s="1"/>
      <c r="AP33" s="1"/>
      <c r="AT33" s="16"/>
      <c r="AX33" s="16"/>
    </row>
    <row r="34" spans="2:50" x14ac:dyDescent="0.25">
      <c r="B34" s="1"/>
      <c r="F34" s="1"/>
      <c r="J34" s="1"/>
      <c r="N34" s="1"/>
      <c r="R34" s="1"/>
      <c r="V34" s="1"/>
      <c r="Z34" s="1"/>
      <c r="AD34" s="1"/>
      <c r="AH34" s="1"/>
      <c r="AL34" s="1"/>
      <c r="AP34" s="1"/>
      <c r="AT34" s="16"/>
      <c r="AX34" s="16"/>
    </row>
    <row r="35" spans="2:50" x14ac:dyDescent="0.25">
      <c r="B35" s="1"/>
      <c r="F35" s="1"/>
      <c r="J35" s="1"/>
      <c r="N35" s="1"/>
      <c r="R35" s="1"/>
      <c r="V35" s="1"/>
      <c r="Z35" s="1"/>
      <c r="AD35" s="1"/>
      <c r="AH35" s="1"/>
      <c r="AL35" s="1"/>
      <c r="AP35" s="1"/>
      <c r="AT35" s="16"/>
      <c r="AX35" s="16"/>
    </row>
    <row r="36" spans="2:50" x14ac:dyDescent="0.25">
      <c r="B36" s="1"/>
      <c r="F36" s="1"/>
      <c r="J36" s="1"/>
      <c r="N36" s="1"/>
      <c r="R36" s="1"/>
      <c r="V36" s="1"/>
      <c r="Z36" s="1"/>
      <c r="AD36" s="1"/>
      <c r="AH36" s="1"/>
      <c r="AL36" s="1"/>
      <c r="AP36" s="1"/>
      <c r="AT36" s="16"/>
      <c r="AX36" s="16"/>
    </row>
    <row r="37" spans="2:50" x14ac:dyDescent="0.25">
      <c r="B37" s="1"/>
      <c r="F37" s="1"/>
      <c r="J37" s="1"/>
      <c r="N37" s="1"/>
      <c r="R37" s="1"/>
      <c r="V37" s="1"/>
      <c r="Z37" s="1"/>
      <c r="AD37" s="1"/>
      <c r="AH37" s="1"/>
      <c r="AL37" s="1"/>
      <c r="AP37" s="1"/>
      <c r="AT37" s="16"/>
      <c r="AX37" s="16"/>
    </row>
    <row r="38" spans="2:50" x14ac:dyDescent="0.25">
      <c r="B38" s="1"/>
      <c r="F38" s="1"/>
      <c r="J38" s="1"/>
      <c r="N38" s="1"/>
      <c r="R38" s="1"/>
      <c r="V38" s="1"/>
      <c r="Z38" s="1"/>
      <c r="AD38" s="1"/>
      <c r="AH38" s="1"/>
      <c r="AL38" s="1"/>
      <c r="AP38" s="1"/>
      <c r="AT38" s="16"/>
      <c r="AX38" s="16"/>
    </row>
    <row r="39" spans="2:50" x14ac:dyDescent="0.25">
      <c r="B39" s="1"/>
      <c r="F39" s="1"/>
      <c r="J39" s="1"/>
      <c r="N39" s="1"/>
      <c r="R39" s="1"/>
      <c r="V39" s="1"/>
      <c r="Z39" s="1"/>
      <c r="AD39" s="1"/>
      <c r="AH39" s="1"/>
      <c r="AL39" s="1"/>
      <c r="AP39" s="1"/>
      <c r="AT39" s="16"/>
      <c r="AX39" s="16"/>
    </row>
    <row r="40" spans="2:50" x14ac:dyDescent="0.25">
      <c r="B40" s="1"/>
      <c r="F40" s="1"/>
      <c r="J40" s="1"/>
      <c r="N40" s="1"/>
      <c r="R40" s="1"/>
      <c r="V40" s="1"/>
      <c r="Z40" s="1"/>
      <c r="AD40" s="1"/>
      <c r="AH40" s="1"/>
      <c r="AL40" s="1"/>
      <c r="AP40" s="1"/>
      <c r="AT40" s="16"/>
      <c r="AX40" s="16"/>
    </row>
    <row r="41" spans="2:50" x14ac:dyDescent="0.25">
      <c r="B41" s="1"/>
      <c r="F41" s="1"/>
      <c r="J41" s="1"/>
      <c r="N41" s="1"/>
      <c r="R41" s="1"/>
      <c r="V41" s="1"/>
      <c r="Z41" s="1"/>
      <c r="AD41" s="1"/>
      <c r="AH41" s="1"/>
      <c r="AL41" s="1"/>
      <c r="AP41" s="1"/>
      <c r="AT41" s="16"/>
      <c r="AX41" s="16"/>
    </row>
    <row r="42" spans="2:50" x14ac:dyDescent="0.25">
      <c r="B42" s="1"/>
      <c r="F42" s="1"/>
      <c r="J42" s="1"/>
      <c r="N42" s="1"/>
      <c r="R42" s="1"/>
      <c r="V42" s="1"/>
      <c r="Z42" s="1"/>
      <c r="AD42" s="1"/>
      <c r="AH42" s="1"/>
      <c r="AL42" s="1"/>
      <c r="AP42" s="1"/>
      <c r="AT42" s="16"/>
      <c r="AX42" s="16"/>
    </row>
    <row r="43" spans="2:50" x14ac:dyDescent="0.25">
      <c r="B43" s="1"/>
      <c r="F43" s="1"/>
      <c r="J43" s="1"/>
      <c r="N43" s="1"/>
      <c r="R43" s="1"/>
      <c r="V43" s="1"/>
      <c r="Z43" s="1"/>
      <c r="AD43" s="1"/>
      <c r="AH43" s="1"/>
      <c r="AL43" s="1"/>
      <c r="AP43" s="1"/>
      <c r="AT43" s="16"/>
      <c r="AX43" s="16"/>
    </row>
    <row r="44" spans="2:50" x14ac:dyDescent="0.25">
      <c r="B44" s="1"/>
      <c r="F44" s="1"/>
      <c r="J44" s="1"/>
      <c r="N44" s="1"/>
      <c r="R44" s="1"/>
      <c r="V44" s="1"/>
      <c r="Z44" s="1"/>
      <c r="AD44" s="1"/>
      <c r="AH44" s="1"/>
      <c r="AL44" s="1"/>
      <c r="AP44" s="1"/>
      <c r="AT44" s="16"/>
      <c r="AX44" s="16"/>
    </row>
    <row r="45" spans="2:50" x14ac:dyDescent="0.25">
      <c r="B45" s="1"/>
      <c r="F45" s="1"/>
      <c r="J45" s="1"/>
      <c r="N45" s="1"/>
      <c r="R45" s="1"/>
      <c r="V45" s="1"/>
      <c r="Z45" s="1"/>
      <c r="AD45" s="1"/>
      <c r="AH45" s="1"/>
      <c r="AL45" s="1"/>
      <c r="AP45" s="1"/>
      <c r="AT45" s="16"/>
      <c r="AX45" s="16"/>
    </row>
    <row r="46" spans="2:50" x14ac:dyDescent="0.25">
      <c r="B46" s="1"/>
      <c r="F46" s="1"/>
      <c r="J46" s="1"/>
      <c r="N46" s="1"/>
      <c r="R46" s="1"/>
      <c r="V46" s="1"/>
      <c r="Z46" s="1"/>
      <c r="AD46" s="1"/>
      <c r="AH46" s="1"/>
      <c r="AL46" s="1"/>
      <c r="AP46" s="1"/>
      <c r="AT46" s="16"/>
      <c r="AX46" s="16"/>
    </row>
    <row r="47" spans="2:50" x14ac:dyDescent="0.25">
      <c r="B47" s="1"/>
      <c r="F47" s="1"/>
      <c r="J47" s="1"/>
      <c r="N47" s="1"/>
      <c r="R47" s="1"/>
      <c r="V47" s="1"/>
      <c r="Z47" s="1"/>
      <c r="AD47" s="1"/>
      <c r="AH47" s="1"/>
      <c r="AL47" s="1"/>
      <c r="AP47" s="1"/>
      <c r="AT47" s="16"/>
      <c r="AX47" s="16"/>
    </row>
    <row r="48" spans="2:50" x14ac:dyDescent="0.25">
      <c r="B48" s="1"/>
      <c r="F48" s="1"/>
      <c r="J48" s="1"/>
      <c r="N48" s="1"/>
      <c r="R48" s="1"/>
      <c r="V48" s="1"/>
      <c r="Z48" s="1"/>
      <c r="AD48" s="1"/>
      <c r="AH48" s="1"/>
      <c r="AL48" s="1"/>
      <c r="AP48" s="1"/>
      <c r="AT48" s="16"/>
      <c r="AX48" s="16"/>
    </row>
    <row r="49" spans="2:50" x14ac:dyDescent="0.25">
      <c r="B49" s="1"/>
      <c r="F49" s="1"/>
      <c r="J49" s="1"/>
      <c r="N49" s="1"/>
      <c r="R49" s="1"/>
      <c r="V49" s="1"/>
      <c r="Z49" s="1"/>
      <c r="AD49" s="1"/>
      <c r="AH49" s="1"/>
      <c r="AL49" s="1"/>
      <c r="AP49" s="1"/>
      <c r="AT49" s="16"/>
      <c r="AX49" s="16"/>
    </row>
    <row r="50" spans="2:50" x14ac:dyDescent="0.25">
      <c r="B50" s="1"/>
      <c r="F50" s="1"/>
      <c r="J50" s="1"/>
      <c r="N50" s="1"/>
      <c r="R50" s="1"/>
      <c r="V50" s="1"/>
      <c r="Z50" s="1"/>
      <c r="AD50" s="1"/>
      <c r="AH50" s="1"/>
      <c r="AL50" s="1"/>
      <c r="AP50" s="1"/>
      <c r="AT50" s="16"/>
      <c r="AX50" s="16"/>
    </row>
    <row r="51" spans="2:50" x14ac:dyDescent="0.25">
      <c r="B51" s="1"/>
      <c r="F51" s="1"/>
      <c r="J51" s="1"/>
      <c r="N51" s="1"/>
      <c r="R51" s="1"/>
      <c r="V51" s="1"/>
      <c r="Z51" s="1"/>
      <c r="AD51" s="1"/>
      <c r="AH51" s="1"/>
      <c r="AL51" s="1"/>
      <c r="AP51" s="1"/>
      <c r="AT51" s="16"/>
      <c r="AX51" s="16"/>
    </row>
    <row r="52" spans="2:50" x14ac:dyDescent="0.25">
      <c r="B52" s="1"/>
      <c r="F52" s="1"/>
      <c r="J52" s="1"/>
      <c r="N52" s="1"/>
      <c r="R52" s="1"/>
      <c r="V52" s="1"/>
      <c r="Z52" s="1"/>
      <c r="AD52" s="1"/>
      <c r="AH52" s="1"/>
      <c r="AL52" s="1"/>
      <c r="AP52" s="1"/>
      <c r="AT52" s="16"/>
      <c r="AX52" s="16"/>
    </row>
    <row r="53" spans="2:50" x14ac:dyDescent="0.25">
      <c r="B53" s="1"/>
      <c r="F53" s="1"/>
      <c r="J53" s="1"/>
      <c r="N53" s="1"/>
      <c r="R53" s="1"/>
      <c r="V53" s="1"/>
      <c r="Z53" s="1"/>
      <c r="AD53" s="1"/>
      <c r="AH53" s="1"/>
      <c r="AL53" s="1"/>
      <c r="AP53" s="1"/>
      <c r="AT53" s="16"/>
      <c r="AX53" s="16"/>
    </row>
    <row r="54" spans="2:50" x14ac:dyDescent="0.25">
      <c r="B54" s="1"/>
      <c r="F54" s="1"/>
      <c r="J54" s="1"/>
      <c r="N54" s="1"/>
      <c r="R54" s="1"/>
      <c r="V54" s="1"/>
      <c r="Z54" s="1"/>
      <c r="AD54" s="1"/>
      <c r="AH54" s="1"/>
      <c r="AL54" s="1"/>
      <c r="AP54" s="1"/>
      <c r="AT54" s="16"/>
      <c r="AX54" s="16"/>
    </row>
    <row r="55" spans="2:50" x14ac:dyDescent="0.25">
      <c r="B55" s="1"/>
      <c r="F55" s="1"/>
      <c r="J55" s="1"/>
      <c r="N55" s="1"/>
      <c r="R55" s="1"/>
      <c r="V55" s="1"/>
      <c r="Z55" s="1"/>
      <c r="AD55" s="1"/>
      <c r="AH55" s="1"/>
      <c r="AL55" s="1"/>
      <c r="AP55" s="1"/>
      <c r="AT55" s="16"/>
      <c r="AX55" s="16"/>
    </row>
    <row r="56" spans="2:50" x14ac:dyDescent="0.25">
      <c r="B56" s="1"/>
      <c r="F56" s="1"/>
      <c r="J56" s="1"/>
      <c r="N56" s="1"/>
      <c r="R56" s="1"/>
      <c r="V56" s="1"/>
      <c r="Z56" s="1"/>
      <c r="AD56" s="1"/>
      <c r="AH56" s="1"/>
      <c r="AL56" s="1"/>
      <c r="AP56" s="1"/>
      <c r="AT56" s="16"/>
      <c r="AX56" s="16"/>
    </row>
    <row r="57" spans="2:50" x14ac:dyDescent="0.25">
      <c r="B57" s="1"/>
      <c r="F57" s="1"/>
      <c r="J57" s="1"/>
      <c r="N57" s="1"/>
      <c r="R57" s="1"/>
      <c r="V57" s="1"/>
      <c r="Z57" s="1"/>
      <c r="AD57" s="1"/>
      <c r="AH57" s="1"/>
      <c r="AL57" s="1"/>
      <c r="AP57" s="1"/>
      <c r="AT57" s="16"/>
      <c r="AX57" s="16"/>
    </row>
    <row r="58" spans="2:50" x14ac:dyDescent="0.25">
      <c r="B58" s="1"/>
      <c r="F58" s="1"/>
      <c r="J58" s="1"/>
      <c r="N58" s="1"/>
      <c r="R58" s="1"/>
      <c r="V58" s="1"/>
      <c r="Z58" s="1"/>
      <c r="AD58" s="1"/>
      <c r="AH58" s="1"/>
      <c r="AL58" s="1"/>
      <c r="AP58" s="1"/>
      <c r="AT58" s="16"/>
      <c r="AX58" s="16"/>
    </row>
    <row r="59" spans="2:50" x14ac:dyDescent="0.25">
      <c r="B59" s="1"/>
      <c r="F59" s="1"/>
      <c r="J59" s="1"/>
      <c r="N59" s="1"/>
      <c r="R59" s="1"/>
      <c r="V59" s="1"/>
      <c r="Z59" s="1"/>
      <c r="AD59" s="1"/>
      <c r="AH59" s="1"/>
      <c r="AL59" s="1"/>
      <c r="AP59" s="1"/>
      <c r="AT59" s="16"/>
      <c r="AX59" s="16"/>
    </row>
    <row r="60" spans="2:50" x14ac:dyDescent="0.25">
      <c r="B60" s="1"/>
      <c r="F60" s="1"/>
      <c r="J60" s="1"/>
      <c r="N60" s="1"/>
      <c r="R60" s="1"/>
      <c r="V60" s="1"/>
      <c r="Z60" s="1"/>
      <c r="AD60" s="1"/>
      <c r="AH60" s="1"/>
      <c r="AL60" s="1"/>
      <c r="AP60" s="1"/>
      <c r="AT60" s="16"/>
      <c r="AX60" s="16"/>
    </row>
    <row r="61" spans="2:50" x14ac:dyDescent="0.25">
      <c r="B61" s="1"/>
      <c r="F61" s="1"/>
      <c r="J61" s="1"/>
      <c r="N61" s="1"/>
      <c r="R61" s="1"/>
      <c r="V61" s="1"/>
      <c r="Z61" s="1"/>
      <c r="AD61" s="1"/>
      <c r="AH61" s="1"/>
      <c r="AL61" s="1"/>
      <c r="AP61" s="1"/>
      <c r="AT61" s="16"/>
      <c r="AX61" s="16"/>
    </row>
    <row r="62" spans="2:50" x14ac:dyDescent="0.25">
      <c r="B62" s="1"/>
      <c r="F62" s="1"/>
      <c r="J62" s="1"/>
      <c r="N62" s="1"/>
      <c r="R62" s="1"/>
      <c r="V62" s="1"/>
      <c r="Z62" s="1"/>
      <c r="AD62" s="1"/>
      <c r="AH62" s="1"/>
      <c r="AL62" s="1"/>
      <c r="AP62" s="1"/>
      <c r="AT62" s="16"/>
      <c r="AX62" s="16"/>
    </row>
    <row r="63" spans="2:50" x14ac:dyDescent="0.25">
      <c r="B63" s="1"/>
      <c r="F63" s="1"/>
      <c r="J63" s="1"/>
      <c r="N63" s="1"/>
      <c r="R63" s="1"/>
      <c r="V63" s="1"/>
      <c r="Z63" s="1"/>
      <c r="AD63" s="1"/>
      <c r="AH63" s="1"/>
      <c r="AL63" s="1"/>
      <c r="AP63" s="1"/>
      <c r="AT63" s="16"/>
      <c r="AX63" s="16"/>
    </row>
    <row r="64" spans="2:50" x14ac:dyDescent="0.25">
      <c r="B64" s="1"/>
      <c r="F64" s="1"/>
      <c r="J64" s="1"/>
      <c r="N64" s="1"/>
      <c r="R64" s="1"/>
      <c r="V64" s="1"/>
      <c r="Z64" s="1"/>
      <c r="AD64" s="1"/>
      <c r="AH64" s="1"/>
      <c r="AL64" s="1"/>
      <c r="AP64" s="1"/>
      <c r="AT64" s="16"/>
      <c r="AX64" s="16"/>
    </row>
    <row r="65" spans="2:50" x14ac:dyDescent="0.25">
      <c r="B65" s="1"/>
      <c r="F65" s="1"/>
      <c r="J65" s="1"/>
      <c r="N65" s="1"/>
      <c r="R65" s="1"/>
      <c r="V65" s="1"/>
      <c r="Z65" s="1"/>
      <c r="AD65" s="1"/>
      <c r="AH65" s="1"/>
      <c r="AL65" s="1"/>
      <c r="AP65" s="1"/>
      <c r="AT65" s="16"/>
      <c r="AX65" s="16"/>
    </row>
    <row r="66" spans="2:50" x14ac:dyDescent="0.25">
      <c r="B66" s="1"/>
      <c r="F66" s="1"/>
      <c r="J66" s="1"/>
      <c r="N66" s="1"/>
      <c r="R66" s="1"/>
      <c r="V66" s="1"/>
      <c r="Z66" s="1"/>
      <c r="AD66" s="1"/>
      <c r="AH66" s="1"/>
      <c r="AL66" s="1"/>
      <c r="AP66" s="1"/>
      <c r="AT66" s="16"/>
      <c r="AX66" s="16"/>
    </row>
    <row r="67" spans="2:50" x14ac:dyDescent="0.25">
      <c r="B67" s="1"/>
      <c r="F67" s="1"/>
      <c r="J67" s="1"/>
      <c r="N67" s="1"/>
      <c r="R67" s="1"/>
      <c r="V67" s="1"/>
      <c r="Z67" s="1"/>
      <c r="AD67" s="1"/>
      <c r="AH67" s="1"/>
      <c r="AL67" s="1"/>
      <c r="AP67" s="1"/>
      <c r="AT67" s="16"/>
      <c r="AX67" s="16"/>
    </row>
    <row r="68" spans="2:50" x14ac:dyDescent="0.25">
      <c r="B68" s="1"/>
      <c r="F68" s="1"/>
      <c r="J68" s="1"/>
      <c r="N68" s="1"/>
      <c r="R68" s="1"/>
      <c r="V68" s="1"/>
      <c r="Z68" s="1"/>
      <c r="AD68" s="1"/>
      <c r="AH68" s="1"/>
      <c r="AL68" s="1"/>
      <c r="AP68" s="1"/>
      <c r="AT68" s="16"/>
      <c r="AX68" s="16"/>
    </row>
    <row r="69" spans="2:50" x14ac:dyDescent="0.25">
      <c r="B69" s="1"/>
      <c r="F69" s="1"/>
      <c r="J69" s="1"/>
      <c r="N69" s="1"/>
      <c r="R69" s="1"/>
      <c r="V69" s="1"/>
      <c r="Z69" s="1"/>
      <c r="AD69" s="1"/>
      <c r="AH69" s="1"/>
      <c r="AL69" s="1"/>
      <c r="AP69" s="1"/>
      <c r="AT69" s="16"/>
      <c r="AX69" s="16"/>
    </row>
    <row r="70" spans="2:50" x14ac:dyDescent="0.25">
      <c r="B70" s="1"/>
      <c r="F70" s="1"/>
      <c r="J70" s="1"/>
      <c r="N70" s="1"/>
      <c r="R70" s="1"/>
      <c r="V70" s="1"/>
      <c r="Z70" s="1"/>
      <c r="AD70" s="1"/>
      <c r="AH70" s="1"/>
      <c r="AL70" s="1"/>
      <c r="AP70" s="1"/>
      <c r="AT70" s="16"/>
      <c r="AX70" s="16"/>
    </row>
    <row r="71" spans="2:50" x14ac:dyDescent="0.25">
      <c r="B71" s="1"/>
      <c r="F71" s="1"/>
      <c r="J71" s="1"/>
      <c r="N71" s="1"/>
      <c r="R71" s="1"/>
      <c r="V71" s="1"/>
      <c r="Z71" s="1"/>
      <c r="AD71" s="1"/>
      <c r="AH71" s="1"/>
      <c r="AL71" s="1"/>
      <c r="AP71" s="1"/>
      <c r="AT71" s="16"/>
      <c r="AX71" s="16"/>
    </row>
    <row r="72" spans="2:50" x14ac:dyDescent="0.25">
      <c r="B72" s="1"/>
      <c r="F72" s="1"/>
      <c r="J72" s="1"/>
      <c r="N72" s="1"/>
      <c r="R72" s="1"/>
      <c r="V72" s="1"/>
      <c r="Z72" s="1"/>
      <c r="AD72" s="1"/>
      <c r="AH72" s="1"/>
      <c r="AL72" s="1"/>
      <c r="AP72" s="1"/>
      <c r="AT72" s="16"/>
      <c r="AX72" s="16"/>
    </row>
    <row r="73" spans="2:50" x14ac:dyDescent="0.25">
      <c r="B73" s="1"/>
      <c r="F73" s="1"/>
      <c r="J73" s="1"/>
      <c r="N73" s="1"/>
      <c r="R73" s="1"/>
      <c r="V73" s="1"/>
      <c r="Z73" s="1"/>
      <c r="AD73" s="1"/>
      <c r="AH73" s="1"/>
      <c r="AL73" s="1"/>
      <c r="AP73" s="1"/>
      <c r="AT73" s="16"/>
      <c r="AX73" s="16"/>
    </row>
    <row r="74" spans="2:50" x14ac:dyDescent="0.25">
      <c r="B74" s="1"/>
      <c r="F74" s="1"/>
      <c r="J74" s="1"/>
      <c r="N74" s="1"/>
      <c r="R74" s="1"/>
      <c r="V74" s="1"/>
      <c r="Z74" s="1"/>
      <c r="AD74" s="1"/>
      <c r="AH74" s="1"/>
      <c r="AL74" s="1"/>
      <c r="AP74" s="1"/>
      <c r="AT74" s="16"/>
      <c r="AX74" s="16"/>
    </row>
    <row r="75" spans="2:50" x14ac:dyDescent="0.25">
      <c r="B75" s="1"/>
      <c r="F75" s="1"/>
      <c r="J75" s="1"/>
      <c r="N75" s="1"/>
      <c r="R75" s="1"/>
      <c r="V75" s="1"/>
      <c r="Z75" s="1"/>
      <c r="AD75" s="1"/>
      <c r="AH75" s="1"/>
      <c r="AL75" s="1"/>
      <c r="AP75" s="1"/>
      <c r="AT75" s="16"/>
      <c r="AX75" s="16"/>
    </row>
    <row r="76" spans="2:50" x14ac:dyDescent="0.25">
      <c r="B76" s="1"/>
      <c r="F76" s="1"/>
      <c r="J76" s="1"/>
      <c r="N76" s="1"/>
      <c r="R76" s="1"/>
      <c r="V76" s="1"/>
      <c r="Z76" s="1"/>
      <c r="AD76" s="1"/>
      <c r="AH76" s="1"/>
      <c r="AL76" s="1"/>
      <c r="AP76" s="1"/>
      <c r="AT76" s="16"/>
      <c r="AX76" s="16"/>
    </row>
    <row r="77" spans="2:50" x14ac:dyDescent="0.25">
      <c r="B77" s="1"/>
      <c r="F77" s="1"/>
      <c r="J77" s="1"/>
      <c r="N77" s="1"/>
      <c r="R77" s="1"/>
      <c r="V77" s="1"/>
      <c r="Z77" s="1"/>
      <c r="AD77" s="1"/>
      <c r="AH77" s="1"/>
      <c r="AL77" s="1"/>
      <c r="AP77" s="1"/>
      <c r="AT77" s="16"/>
      <c r="AX77" s="16"/>
    </row>
    <row r="78" spans="2:50" x14ac:dyDescent="0.25">
      <c r="B78" s="1"/>
      <c r="F78" s="1"/>
      <c r="J78" s="1"/>
      <c r="N78" s="1"/>
      <c r="R78" s="1"/>
      <c r="V78" s="1"/>
      <c r="Z78" s="1"/>
      <c r="AD78" s="1"/>
      <c r="AH78" s="1"/>
      <c r="AL78" s="1"/>
      <c r="AP78" s="1"/>
      <c r="AT78" s="16"/>
      <c r="AX78" s="16"/>
    </row>
    <row r="79" spans="2:50" x14ac:dyDescent="0.25">
      <c r="B79" s="1"/>
      <c r="F79" s="1"/>
      <c r="J79" s="1"/>
      <c r="N79" s="1"/>
      <c r="R79" s="1"/>
      <c r="V79" s="1"/>
      <c r="Z79" s="1"/>
      <c r="AD79" s="1"/>
      <c r="AH79" s="1"/>
      <c r="AL79" s="1"/>
      <c r="AP79" s="1"/>
      <c r="AT79" s="16"/>
      <c r="AX79" s="16"/>
    </row>
    <row r="80" spans="2:50" x14ac:dyDescent="0.25">
      <c r="B80" s="1"/>
      <c r="F80" s="1"/>
      <c r="J80" s="1"/>
      <c r="N80" s="1"/>
      <c r="R80" s="1"/>
      <c r="V80" s="1"/>
      <c r="Z80" s="1"/>
      <c r="AD80" s="1"/>
      <c r="AH80" s="1"/>
      <c r="AL80" s="1"/>
      <c r="AP80" s="1"/>
      <c r="AT80" s="16"/>
      <c r="AX80" s="16"/>
    </row>
    <row r="81" spans="2:50" x14ac:dyDescent="0.25">
      <c r="B81" s="1"/>
      <c r="F81" s="1"/>
      <c r="J81" s="1"/>
      <c r="N81" s="1"/>
      <c r="R81" s="1"/>
      <c r="V81" s="1"/>
      <c r="Z81" s="1"/>
      <c r="AD81" s="1"/>
      <c r="AH81" s="1"/>
      <c r="AL81" s="1"/>
      <c r="AP81" s="1"/>
      <c r="AT81" s="16"/>
      <c r="AX81" s="16"/>
    </row>
    <row r="82" spans="2:50" x14ac:dyDescent="0.25">
      <c r="B82" s="1"/>
      <c r="F82" s="1"/>
      <c r="J82" s="1"/>
      <c r="N82" s="1"/>
      <c r="R82" s="1"/>
      <c r="V82" s="1"/>
      <c r="Z82" s="1"/>
      <c r="AD82" s="1"/>
      <c r="AH82" s="1"/>
      <c r="AL82" s="1"/>
      <c r="AP82" s="1"/>
      <c r="AT82" s="16"/>
      <c r="AX82" s="16"/>
    </row>
    <row r="83" spans="2:50" x14ac:dyDescent="0.25">
      <c r="B83" s="1"/>
      <c r="F83" s="1"/>
      <c r="J83" s="1"/>
      <c r="N83" s="1"/>
      <c r="R83" s="1"/>
      <c r="V83" s="1"/>
      <c r="Z83" s="1"/>
      <c r="AD83" s="1"/>
      <c r="AH83" s="1"/>
      <c r="AL83" s="1"/>
      <c r="AP83" s="1"/>
      <c r="AT83" s="16"/>
      <c r="AX83" s="16"/>
    </row>
    <row r="84" spans="2:50" x14ac:dyDescent="0.25">
      <c r="B84" s="1"/>
      <c r="F84" s="1"/>
      <c r="J84" s="1"/>
      <c r="N84" s="1"/>
      <c r="R84" s="1"/>
      <c r="V84" s="1"/>
      <c r="Z84" s="1"/>
      <c r="AD84" s="1"/>
      <c r="AH84" s="1"/>
      <c r="AL84" s="1"/>
      <c r="AP84" s="1"/>
      <c r="AT84" s="16"/>
      <c r="AX84" s="16"/>
    </row>
    <row r="85" spans="2:50" x14ac:dyDescent="0.25">
      <c r="B85" s="1"/>
      <c r="F85" s="1"/>
      <c r="J85" s="1"/>
      <c r="N85" s="1"/>
      <c r="R85" s="1"/>
      <c r="V85" s="1"/>
      <c r="Z85" s="1"/>
      <c r="AD85" s="1"/>
      <c r="AH85" s="1"/>
      <c r="AL85" s="1"/>
      <c r="AP85" s="1"/>
      <c r="AT85" s="16"/>
      <c r="AX85" s="16"/>
    </row>
    <row r="86" spans="2:50" x14ac:dyDescent="0.25">
      <c r="B86" s="1"/>
      <c r="F86" s="1"/>
      <c r="J86" s="1"/>
      <c r="N86" s="1"/>
      <c r="R86" s="1"/>
      <c r="V86" s="1"/>
      <c r="Z86" s="1"/>
      <c r="AD86" s="1"/>
      <c r="AH86" s="1"/>
      <c r="AL86" s="1"/>
      <c r="AP86" s="1"/>
      <c r="AT86" s="16"/>
      <c r="AX86" s="16"/>
    </row>
    <row r="87" spans="2:50" x14ac:dyDescent="0.25">
      <c r="B87" s="1"/>
      <c r="F87" s="1"/>
      <c r="J87" s="1"/>
      <c r="N87" s="1"/>
      <c r="R87" s="1"/>
      <c r="V87" s="1"/>
      <c r="Z87" s="1"/>
      <c r="AD87" s="1"/>
      <c r="AH87" s="1"/>
      <c r="AL87" s="1"/>
      <c r="AP87" s="1"/>
      <c r="AT87" s="16"/>
      <c r="AX87" s="16"/>
    </row>
    <row r="88" spans="2:50" x14ac:dyDescent="0.25">
      <c r="B88" s="1"/>
      <c r="F88" s="1"/>
      <c r="J88" s="1"/>
      <c r="N88" s="1"/>
      <c r="R88" s="1"/>
      <c r="V88" s="1"/>
      <c r="Z88" s="1"/>
      <c r="AD88" s="1"/>
      <c r="AH88" s="1"/>
      <c r="AL88" s="1"/>
      <c r="AP88" s="1"/>
      <c r="AT88" s="16"/>
      <c r="AX88" s="16"/>
    </row>
    <row r="89" spans="2:50" x14ac:dyDescent="0.25">
      <c r="B89" s="1"/>
      <c r="F89" s="1"/>
      <c r="J89" s="1"/>
      <c r="N89" s="1"/>
      <c r="R89" s="1"/>
      <c r="V89" s="1"/>
      <c r="Z89" s="1"/>
      <c r="AD89" s="1"/>
      <c r="AH89" s="1"/>
      <c r="AL89" s="1"/>
      <c r="AP89" s="1"/>
      <c r="AT89" s="16"/>
      <c r="AX89" s="16"/>
    </row>
    <row r="90" spans="2:50" x14ac:dyDescent="0.25">
      <c r="B90" s="1"/>
      <c r="F90" s="1"/>
      <c r="J90" s="1"/>
      <c r="N90" s="1"/>
      <c r="R90" s="1"/>
      <c r="V90" s="1"/>
      <c r="Z90" s="1"/>
      <c r="AD90" s="1"/>
      <c r="AH90" s="1"/>
      <c r="AL90" s="1"/>
      <c r="AP90" s="1"/>
      <c r="AT90" s="16"/>
      <c r="AX90" s="16"/>
    </row>
    <row r="91" spans="2:50" x14ac:dyDescent="0.25">
      <c r="B91" s="1"/>
      <c r="F91" s="1"/>
      <c r="J91" s="1"/>
      <c r="N91" s="1"/>
      <c r="R91" s="1"/>
      <c r="V91" s="1"/>
      <c r="Z91" s="1"/>
      <c r="AD91" s="1"/>
      <c r="AH91" s="1"/>
      <c r="AL91" s="1"/>
      <c r="AP91" s="1"/>
      <c r="AT91" s="16"/>
      <c r="AX91" s="16"/>
    </row>
    <row r="92" spans="2:50" x14ac:dyDescent="0.25">
      <c r="B92" s="1"/>
      <c r="F92" s="1"/>
      <c r="J92" s="1"/>
      <c r="N92" s="1"/>
      <c r="R92" s="1"/>
      <c r="V92" s="1"/>
      <c r="Z92" s="1"/>
      <c r="AD92" s="1"/>
      <c r="AH92" s="1"/>
      <c r="AL92" s="1"/>
      <c r="AP92" s="1"/>
      <c r="AT92" s="16"/>
      <c r="AX92" s="16"/>
    </row>
    <row r="93" spans="2:50" x14ac:dyDescent="0.25">
      <c r="B93" s="1"/>
      <c r="F93" s="1"/>
      <c r="J93" s="1"/>
      <c r="N93" s="1"/>
      <c r="R93" s="1"/>
      <c r="V93" s="1"/>
      <c r="Z93" s="1"/>
      <c r="AD93" s="1"/>
      <c r="AH93" s="1"/>
      <c r="AL93" s="1"/>
      <c r="AP93" s="1"/>
      <c r="AT93" s="16"/>
      <c r="AX93" s="16"/>
    </row>
    <row r="94" spans="2:50" x14ac:dyDescent="0.25">
      <c r="B94" s="1"/>
      <c r="F94" s="1"/>
      <c r="J94" s="1"/>
      <c r="N94" s="1"/>
      <c r="R94" s="1"/>
      <c r="V94" s="1"/>
      <c r="Z94" s="1"/>
      <c r="AD94" s="1"/>
      <c r="AH94" s="1"/>
      <c r="AL94" s="1"/>
      <c r="AP94" s="1"/>
      <c r="AT94" s="16"/>
      <c r="AX94" s="16"/>
    </row>
    <row r="95" spans="2:50" x14ac:dyDescent="0.25">
      <c r="B95" s="1"/>
      <c r="F95" s="1"/>
      <c r="J95" s="1"/>
      <c r="N95" s="1"/>
      <c r="R95" s="1"/>
      <c r="V95" s="1"/>
      <c r="Z95" s="1"/>
      <c r="AD95" s="1"/>
      <c r="AH95" s="1"/>
      <c r="AL95" s="1"/>
      <c r="AP95" s="1"/>
      <c r="AT95" s="16"/>
      <c r="AX95" s="16"/>
    </row>
    <row r="96" spans="2:50" x14ac:dyDescent="0.25">
      <c r="B96" s="1"/>
      <c r="F96" s="1"/>
      <c r="J96" s="1"/>
      <c r="N96" s="1"/>
      <c r="R96" s="1"/>
      <c r="V96" s="1"/>
      <c r="Z96" s="1"/>
      <c r="AD96" s="1"/>
      <c r="AH96" s="1"/>
      <c r="AL96" s="1"/>
      <c r="AP96" s="1"/>
      <c r="AT96" s="16"/>
      <c r="AX96" s="16"/>
    </row>
    <row r="97" spans="2:50" x14ac:dyDescent="0.25">
      <c r="B97" s="1"/>
      <c r="F97" s="1"/>
      <c r="J97" s="1"/>
      <c r="N97" s="1"/>
      <c r="R97" s="1"/>
      <c r="V97" s="1"/>
      <c r="Z97" s="1"/>
      <c r="AD97" s="1"/>
      <c r="AH97" s="1"/>
      <c r="AL97" s="1"/>
      <c r="AP97" s="1"/>
      <c r="AT97" s="16"/>
      <c r="AX97" s="16"/>
    </row>
    <row r="98" spans="2:50" x14ac:dyDescent="0.25">
      <c r="B98" s="1"/>
      <c r="F98" s="1"/>
      <c r="J98" s="1"/>
      <c r="N98" s="1"/>
      <c r="R98" s="1"/>
      <c r="V98" s="1"/>
      <c r="Z98" s="1"/>
      <c r="AD98" s="1"/>
      <c r="AH98" s="1"/>
      <c r="AL98" s="1"/>
      <c r="AP98" s="1"/>
      <c r="AT98" s="16"/>
      <c r="AX98" s="16"/>
    </row>
    <row r="99" spans="2:50" x14ac:dyDescent="0.25">
      <c r="B99" s="1"/>
      <c r="F99" s="1"/>
      <c r="J99" s="1"/>
      <c r="N99" s="1"/>
      <c r="R99" s="1"/>
      <c r="V99" s="1"/>
      <c r="Z99" s="1"/>
      <c r="AD99" s="1"/>
      <c r="AH99" s="1"/>
      <c r="AL99" s="1"/>
      <c r="AP99" s="1"/>
      <c r="AT99" s="16"/>
      <c r="AX99" s="16"/>
    </row>
    <row r="100" spans="2:50" x14ac:dyDescent="0.25">
      <c r="B100" s="1"/>
      <c r="F100" s="1"/>
      <c r="J100" s="1"/>
      <c r="N100" s="1"/>
      <c r="R100" s="1"/>
      <c r="V100" s="1"/>
      <c r="Z100" s="1"/>
      <c r="AD100" s="1"/>
      <c r="AH100" s="1"/>
      <c r="AL100" s="1"/>
      <c r="AP100" s="1"/>
      <c r="AT100" s="16"/>
      <c r="AX100" s="16"/>
    </row>
    <row r="101" spans="2:50" x14ac:dyDescent="0.25">
      <c r="B101" s="1"/>
      <c r="F101" s="1"/>
      <c r="J101" s="1"/>
      <c r="N101" s="1"/>
      <c r="R101" s="1"/>
      <c r="V101" s="1"/>
      <c r="Z101" s="1"/>
      <c r="AD101" s="1"/>
      <c r="AH101" s="1"/>
      <c r="AL101" s="1"/>
      <c r="AP101" s="1"/>
      <c r="AT101" s="16"/>
      <c r="AX101" s="16"/>
    </row>
    <row r="102" spans="2:50" x14ac:dyDescent="0.25">
      <c r="B102" s="1"/>
      <c r="F102" s="1"/>
      <c r="J102" s="1"/>
      <c r="N102" s="1"/>
      <c r="R102" s="1"/>
      <c r="V102" s="1"/>
      <c r="Z102" s="1"/>
      <c r="AD102" s="1"/>
      <c r="AH102" s="1"/>
      <c r="AL102" s="1"/>
      <c r="AP102" s="1"/>
      <c r="AT102" s="16"/>
      <c r="AX102" s="16"/>
    </row>
    <row r="103" spans="2:50" x14ac:dyDescent="0.25">
      <c r="B103" s="1"/>
      <c r="F103" s="1"/>
      <c r="J103" s="1"/>
      <c r="N103" s="1"/>
      <c r="R103" s="1"/>
      <c r="V103" s="1"/>
      <c r="Z103" s="1"/>
      <c r="AD103" s="1"/>
      <c r="AH103" s="1"/>
      <c r="AL103" s="1"/>
      <c r="AP103" s="1"/>
      <c r="AT103" s="16"/>
      <c r="AX103" s="16"/>
    </row>
    <row r="104" spans="2:50" x14ac:dyDescent="0.25">
      <c r="B104" s="1"/>
      <c r="F104" s="1"/>
      <c r="J104" s="1"/>
      <c r="N104" s="1"/>
      <c r="R104" s="1"/>
      <c r="V104" s="1"/>
      <c r="Z104" s="1"/>
      <c r="AD104" s="1"/>
      <c r="AH104" s="1"/>
      <c r="AL104" s="1"/>
      <c r="AP104" s="1"/>
      <c r="AT104" s="16"/>
      <c r="AX104" s="16"/>
    </row>
    <row r="105" spans="2:50" x14ac:dyDescent="0.25">
      <c r="B105" s="1"/>
      <c r="F105" s="1"/>
      <c r="J105" s="1"/>
      <c r="N105" s="1"/>
      <c r="R105" s="1"/>
      <c r="V105" s="1"/>
      <c r="Z105" s="1"/>
      <c r="AD105" s="1"/>
      <c r="AH105" s="1"/>
      <c r="AL105" s="1"/>
      <c r="AP105" s="1"/>
      <c r="AT105" s="16"/>
      <c r="AX105" s="16"/>
    </row>
    <row r="106" spans="2:50" x14ac:dyDescent="0.25">
      <c r="B106" s="1"/>
      <c r="F106" s="1"/>
      <c r="J106" s="1"/>
      <c r="N106" s="1"/>
      <c r="R106" s="1"/>
      <c r="V106" s="1"/>
      <c r="Z106" s="1"/>
      <c r="AD106" s="1"/>
      <c r="AH106" s="1"/>
      <c r="AL106" s="1"/>
      <c r="AP106" s="1"/>
      <c r="AT106" s="16"/>
      <c r="AX106" s="16"/>
    </row>
    <row r="107" spans="2:50" x14ac:dyDescent="0.25">
      <c r="B107" s="1"/>
      <c r="F107" s="1"/>
      <c r="J107" s="1"/>
      <c r="N107" s="1"/>
      <c r="R107" s="1"/>
      <c r="V107" s="1"/>
      <c r="Z107" s="1"/>
      <c r="AD107" s="1"/>
      <c r="AH107" s="1"/>
      <c r="AL107" s="1"/>
      <c r="AP107" s="1"/>
      <c r="AT107" s="16"/>
      <c r="AX107" s="16"/>
    </row>
    <row r="108" spans="2:50" x14ac:dyDescent="0.25">
      <c r="B108" s="1"/>
      <c r="F108" s="1"/>
      <c r="J108" s="1"/>
      <c r="N108" s="1"/>
      <c r="R108" s="1"/>
      <c r="V108" s="1"/>
      <c r="Z108" s="1"/>
      <c r="AD108" s="1"/>
      <c r="AH108" s="1"/>
      <c r="AL108" s="1"/>
      <c r="AP108" s="1"/>
      <c r="AT108" s="16"/>
      <c r="AX108" s="16"/>
    </row>
    <row r="109" spans="2:50" x14ac:dyDescent="0.25">
      <c r="B109" s="1"/>
      <c r="F109" s="1"/>
      <c r="J109" s="1"/>
      <c r="N109" s="1"/>
      <c r="R109" s="1"/>
      <c r="V109" s="1"/>
      <c r="Z109" s="1"/>
      <c r="AD109" s="1"/>
      <c r="AH109" s="1"/>
      <c r="AL109" s="1"/>
      <c r="AP109" s="1"/>
      <c r="AT109" s="16"/>
      <c r="AX109" s="16"/>
    </row>
    <row r="110" spans="2:50" x14ac:dyDescent="0.25">
      <c r="B110" s="1"/>
      <c r="F110" s="1"/>
      <c r="J110" s="1"/>
      <c r="N110" s="1"/>
      <c r="R110" s="1"/>
      <c r="V110" s="1"/>
      <c r="Z110" s="1"/>
      <c r="AD110" s="1"/>
      <c r="AH110" s="1"/>
      <c r="AL110" s="1"/>
      <c r="AP110" s="1"/>
      <c r="AT110" s="16"/>
      <c r="AX110" s="16"/>
    </row>
    <row r="111" spans="2:50" x14ac:dyDescent="0.25">
      <c r="B111" s="1"/>
      <c r="F111" s="1"/>
      <c r="J111" s="1"/>
      <c r="N111" s="1"/>
      <c r="R111" s="1"/>
      <c r="V111" s="1"/>
      <c r="Z111" s="1"/>
      <c r="AD111" s="1"/>
      <c r="AH111" s="1"/>
      <c r="AL111" s="1"/>
      <c r="AP111" s="1"/>
      <c r="AT111" s="16"/>
      <c r="AX111" s="16"/>
    </row>
    <row r="112" spans="2:50" x14ac:dyDescent="0.25">
      <c r="B112" s="1"/>
      <c r="F112" s="1"/>
      <c r="J112" s="1"/>
      <c r="N112" s="1"/>
      <c r="R112" s="1"/>
      <c r="V112" s="1"/>
      <c r="Z112" s="1"/>
      <c r="AD112" s="1"/>
      <c r="AH112" s="1"/>
      <c r="AL112" s="1"/>
      <c r="AP112" s="1"/>
      <c r="AT112" s="16"/>
      <c r="AX112" s="16"/>
    </row>
    <row r="113" spans="2:50" x14ac:dyDescent="0.25">
      <c r="B113" s="1"/>
      <c r="F113" s="1"/>
      <c r="J113" s="1"/>
      <c r="N113" s="1"/>
      <c r="R113" s="1"/>
      <c r="V113" s="1"/>
      <c r="Z113" s="1"/>
      <c r="AD113" s="1"/>
      <c r="AH113" s="1"/>
      <c r="AL113" s="1"/>
      <c r="AP113" s="1"/>
      <c r="AT113" s="16"/>
      <c r="AX113" s="16"/>
    </row>
    <row r="114" spans="2:50" x14ac:dyDescent="0.25">
      <c r="B114" s="1"/>
      <c r="F114" s="1"/>
      <c r="J114" s="1"/>
      <c r="N114" s="1"/>
      <c r="R114" s="1"/>
      <c r="V114" s="1"/>
      <c r="Z114" s="1"/>
      <c r="AD114" s="1"/>
      <c r="AH114" s="1"/>
      <c r="AL114" s="1"/>
      <c r="AP114" s="1"/>
      <c r="AT114" s="16"/>
      <c r="AX114" s="16"/>
    </row>
    <row r="115" spans="2:50" x14ac:dyDescent="0.25">
      <c r="B115" s="1"/>
      <c r="F115" s="1"/>
      <c r="J115" s="1"/>
      <c r="N115" s="1"/>
      <c r="R115" s="1"/>
      <c r="V115" s="1"/>
      <c r="Z115" s="1"/>
      <c r="AD115" s="1"/>
      <c r="AH115" s="1"/>
      <c r="AL115" s="1"/>
      <c r="AP115" s="1"/>
      <c r="AT115" s="16"/>
      <c r="AX115" s="16"/>
    </row>
    <row r="116" spans="2:50" x14ac:dyDescent="0.25">
      <c r="B116" s="1"/>
      <c r="F116" s="1"/>
      <c r="J116" s="1"/>
      <c r="N116" s="1"/>
      <c r="R116" s="1"/>
      <c r="V116" s="1"/>
      <c r="Z116" s="1"/>
      <c r="AD116" s="1"/>
      <c r="AH116" s="1"/>
      <c r="AL116" s="1"/>
      <c r="AP116" s="1"/>
      <c r="AT116" s="16"/>
      <c r="AX116" s="16"/>
    </row>
    <row r="117" spans="2:50" x14ac:dyDescent="0.25">
      <c r="B117" s="1"/>
      <c r="F117" s="1"/>
      <c r="J117" s="1"/>
      <c r="N117" s="1"/>
      <c r="R117" s="1"/>
      <c r="V117" s="1"/>
      <c r="Z117" s="1"/>
      <c r="AD117" s="1"/>
      <c r="AH117" s="1"/>
      <c r="AL117" s="1"/>
      <c r="AP117" s="1"/>
      <c r="AT117" s="16"/>
      <c r="AX117" s="16"/>
    </row>
    <row r="118" spans="2:50" x14ac:dyDescent="0.25">
      <c r="B118" s="1"/>
      <c r="F118" s="1"/>
      <c r="J118" s="1"/>
      <c r="N118" s="1"/>
      <c r="R118" s="1"/>
      <c r="V118" s="1"/>
      <c r="Z118" s="1"/>
      <c r="AD118" s="1"/>
      <c r="AH118" s="1"/>
      <c r="AL118" s="1"/>
      <c r="AP118" s="1"/>
      <c r="AT118" s="16"/>
      <c r="AX118" s="16"/>
    </row>
    <row r="119" spans="2:50" x14ac:dyDescent="0.25">
      <c r="B119" s="1"/>
      <c r="F119" s="1"/>
      <c r="J119" s="1"/>
      <c r="N119" s="1"/>
      <c r="R119" s="1"/>
      <c r="V119" s="1"/>
      <c r="Z119" s="1"/>
      <c r="AD119" s="1"/>
      <c r="AH119" s="1"/>
      <c r="AL119" s="1"/>
      <c r="AP119" s="1"/>
      <c r="AT119" s="16"/>
      <c r="AX119" s="16"/>
    </row>
    <row r="120" spans="2:50" x14ac:dyDescent="0.25">
      <c r="B120" s="1"/>
      <c r="F120" s="1"/>
      <c r="J120" s="1"/>
      <c r="N120" s="1"/>
      <c r="R120" s="1"/>
      <c r="V120" s="1"/>
      <c r="Z120" s="1"/>
      <c r="AD120" s="1"/>
      <c r="AH120" s="1"/>
      <c r="AL120" s="1"/>
      <c r="AP120" s="1"/>
      <c r="AT120" s="16"/>
      <c r="AX120" s="16"/>
    </row>
    <row r="121" spans="2:50" x14ac:dyDescent="0.25">
      <c r="B121" s="1"/>
      <c r="F121" s="1"/>
      <c r="J121" s="1"/>
      <c r="N121" s="1"/>
      <c r="R121" s="1"/>
      <c r="V121" s="1"/>
      <c r="Z121" s="1"/>
      <c r="AD121" s="1"/>
      <c r="AH121" s="1"/>
      <c r="AL121" s="1"/>
      <c r="AP121" s="1"/>
      <c r="AT121" s="16"/>
      <c r="AX121" s="16"/>
    </row>
    <row r="122" spans="2:50" x14ac:dyDescent="0.25">
      <c r="B122" s="1"/>
      <c r="F122" s="1"/>
      <c r="J122" s="1"/>
      <c r="N122" s="1"/>
      <c r="R122" s="1"/>
      <c r="V122" s="1"/>
      <c r="Z122" s="1"/>
      <c r="AD122" s="1"/>
      <c r="AH122" s="1"/>
      <c r="AL122" s="1"/>
      <c r="AP122" s="1"/>
      <c r="AT122" s="16"/>
      <c r="AX122" s="16"/>
    </row>
    <row r="123" spans="2:50" x14ac:dyDescent="0.25">
      <c r="B123" s="1"/>
      <c r="F123" s="1"/>
      <c r="J123" s="1"/>
      <c r="N123" s="1"/>
      <c r="R123" s="1"/>
      <c r="V123" s="1"/>
      <c r="Z123" s="1"/>
      <c r="AD123" s="1"/>
      <c r="AH123" s="1"/>
      <c r="AL123" s="1"/>
      <c r="AP123" s="1"/>
      <c r="AT123" s="16"/>
      <c r="AX123" s="16"/>
    </row>
    <row r="124" spans="2:50" x14ac:dyDescent="0.25">
      <c r="B124" s="1"/>
      <c r="F124" s="1"/>
      <c r="J124" s="1"/>
      <c r="N124" s="1"/>
      <c r="R124" s="1"/>
      <c r="V124" s="1"/>
      <c r="Z124" s="1"/>
      <c r="AD124" s="1"/>
      <c r="AH124" s="1"/>
      <c r="AL124" s="1"/>
      <c r="AP124" s="1"/>
      <c r="AT124" s="16"/>
      <c r="AX124" s="16"/>
    </row>
    <row r="125" spans="2:50" x14ac:dyDescent="0.25">
      <c r="B125" s="1"/>
      <c r="F125" s="1"/>
      <c r="J125" s="1"/>
      <c r="N125" s="1"/>
      <c r="R125" s="1"/>
      <c r="V125" s="1"/>
      <c r="Z125" s="1"/>
      <c r="AD125" s="1"/>
      <c r="AH125" s="1"/>
      <c r="AL125" s="1"/>
      <c r="AP125" s="1"/>
      <c r="AT125" s="16"/>
      <c r="AX125" s="16"/>
    </row>
    <row r="126" spans="2:50" x14ac:dyDescent="0.25">
      <c r="B126" s="1"/>
      <c r="F126" s="1"/>
      <c r="J126" s="1"/>
      <c r="N126" s="1"/>
      <c r="R126" s="1"/>
      <c r="V126" s="1"/>
      <c r="Z126" s="1"/>
      <c r="AD126" s="1"/>
      <c r="AH126" s="1"/>
      <c r="AL126" s="1"/>
      <c r="AP126" s="1"/>
      <c r="AT126" s="16"/>
      <c r="AX126" s="16"/>
    </row>
    <row r="127" spans="2:50" x14ac:dyDescent="0.25">
      <c r="B127" s="1"/>
      <c r="F127" s="1"/>
      <c r="J127" s="1"/>
      <c r="N127" s="1"/>
      <c r="R127" s="1"/>
      <c r="V127" s="1"/>
      <c r="Z127" s="1"/>
      <c r="AD127" s="1"/>
      <c r="AH127" s="1"/>
      <c r="AL127" s="1"/>
      <c r="AP127" s="1"/>
      <c r="AT127" s="16"/>
      <c r="AX127" s="16"/>
    </row>
    <row r="128" spans="2:50" x14ac:dyDescent="0.25">
      <c r="B128" s="1"/>
      <c r="F128" s="1"/>
      <c r="J128" s="1"/>
      <c r="N128" s="1"/>
      <c r="R128" s="1"/>
      <c r="V128" s="1"/>
      <c r="Z128" s="1"/>
      <c r="AD128" s="1"/>
      <c r="AH128" s="1"/>
      <c r="AL128" s="1"/>
      <c r="AP128" s="1"/>
      <c r="AT128" s="16"/>
      <c r="AX128" s="16"/>
    </row>
    <row r="129" spans="2:50" x14ac:dyDescent="0.25">
      <c r="B129" s="1"/>
      <c r="F129" s="1"/>
      <c r="J129" s="1"/>
      <c r="N129" s="1"/>
      <c r="R129" s="1"/>
      <c r="V129" s="1"/>
      <c r="Z129" s="1"/>
      <c r="AD129" s="1"/>
      <c r="AH129" s="1"/>
      <c r="AL129" s="1"/>
      <c r="AP129" s="1"/>
      <c r="AT129" s="16"/>
      <c r="AX129" s="16"/>
    </row>
    <row r="130" spans="2:50" x14ac:dyDescent="0.25">
      <c r="B130" s="1"/>
      <c r="F130" s="1"/>
      <c r="J130" s="1"/>
      <c r="N130" s="1"/>
      <c r="R130" s="1"/>
      <c r="V130" s="1"/>
      <c r="Z130" s="1"/>
      <c r="AD130" s="1"/>
      <c r="AH130" s="1"/>
      <c r="AL130" s="1"/>
      <c r="AP130" s="1"/>
      <c r="AT130" s="16"/>
      <c r="AX130" s="16"/>
    </row>
    <row r="131" spans="2:50" x14ac:dyDescent="0.25">
      <c r="B131" s="1"/>
      <c r="F131" s="1"/>
      <c r="J131" s="1"/>
      <c r="N131" s="1"/>
      <c r="R131" s="1"/>
      <c r="V131" s="1"/>
      <c r="Z131" s="1"/>
      <c r="AD131" s="1"/>
      <c r="AH131" s="1"/>
      <c r="AL131" s="1"/>
      <c r="AP131" s="1"/>
      <c r="AT131" s="16"/>
      <c r="AX131" s="16"/>
    </row>
    <row r="132" spans="2:50" x14ac:dyDescent="0.25">
      <c r="B132" s="1"/>
      <c r="F132" s="1"/>
      <c r="J132" s="1"/>
      <c r="N132" s="1"/>
      <c r="R132" s="1"/>
      <c r="V132" s="1"/>
      <c r="Z132" s="1"/>
      <c r="AD132" s="1"/>
      <c r="AH132" s="1"/>
      <c r="AL132" s="1"/>
      <c r="AP132" s="1"/>
      <c r="AT132" s="16"/>
      <c r="AX132" s="16"/>
    </row>
    <row r="133" spans="2:50" x14ac:dyDescent="0.25">
      <c r="B133" s="1"/>
      <c r="F133" s="1"/>
      <c r="J133" s="1"/>
      <c r="N133" s="1"/>
      <c r="R133" s="1"/>
      <c r="V133" s="1"/>
      <c r="Z133" s="1"/>
      <c r="AD133" s="1"/>
      <c r="AH133" s="1"/>
      <c r="AL133" s="1"/>
      <c r="AP133" s="1"/>
      <c r="AT133" s="16"/>
      <c r="AX133" s="16"/>
    </row>
    <row r="134" spans="2:50" x14ac:dyDescent="0.25">
      <c r="B134" s="1"/>
      <c r="F134" s="1"/>
      <c r="J134" s="1"/>
      <c r="N134" s="1"/>
      <c r="R134" s="1"/>
      <c r="V134" s="1"/>
      <c r="Z134" s="1"/>
      <c r="AD134" s="1"/>
      <c r="AH134" s="1"/>
      <c r="AL134" s="1"/>
      <c r="AP134" s="1"/>
      <c r="AT134" s="16"/>
      <c r="AX134" s="16"/>
    </row>
    <row r="135" spans="2:50" x14ac:dyDescent="0.25">
      <c r="B135" s="1"/>
      <c r="F135" s="1"/>
      <c r="J135" s="1"/>
      <c r="N135" s="1"/>
      <c r="R135" s="1"/>
      <c r="V135" s="1"/>
      <c r="Z135" s="1"/>
      <c r="AD135" s="1"/>
      <c r="AH135" s="1"/>
      <c r="AL135" s="1"/>
      <c r="AP135" s="1"/>
      <c r="AT135" s="16"/>
      <c r="AX135" s="16"/>
    </row>
    <row r="136" spans="2:50" x14ac:dyDescent="0.25">
      <c r="B136" s="1"/>
      <c r="F136" s="1"/>
      <c r="J136" s="1"/>
      <c r="N136" s="1"/>
      <c r="R136" s="1"/>
      <c r="V136" s="1"/>
      <c r="Z136" s="1"/>
      <c r="AD136" s="1"/>
      <c r="AH136" s="1"/>
      <c r="AL136" s="1"/>
      <c r="AP136" s="1"/>
      <c r="AT136" s="16"/>
      <c r="AX136" s="16"/>
    </row>
    <row r="137" spans="2:50" x14ac:dyDescent="0.25">
      <c r="B137" s="1"/>
      <c r="F137" s="1"/>
      <c r="J137" s="1"/>
      <c r="N137" s="1"/>
      <c r="R137" s="1"/>
      <c r="V137" s="1"/>
      <c r="Z137" s="1"/>
      <c r="AD137" s="1"/>
      <c r="AH137" s="1"/>
      <c r="AL137" s="1"/>
      <c r="AP137" s="1"/>
      <c r="AT137" s="16"/>
      <c r="AX137" s="16"/>
    </row>
    <row r="138" spans="2:50" x14ac:dyDescent="0.25">
      <c r="B138" s="1"/>
      <c r="F138" s="1"/>
      <c r="J138" s="1"/>
      <c r="N138" s="1"/>
      <c r="R138" s="1"/>
      <c r="V138" s="1"/>
      <c r="Z138" s="1"/>
      <c r="AD138" s="1"/>
      <c r="AH138" s="1"/>
      <c r="AL138" s="1"/>
      <c r="AP138" s="1"/>
      <c r="AT138" s="16"/>
      <c r="AX138" s="16"/>
    </row>
    <row r="139" spans="2:50" x14ac:dyDescent="0.25">
      <c r="B139" s="1"/>
      <c r="F139" s="1"/>
      <c r="J139" s="1"/>
      <c r="N139" s="1"/>
      <c r="R139" s="1"/>
      <c r="V139" s="1"/>
      <c r="Z139" s="1"/>
      <c r="AD139" s="1"/>
      <c r="AH139" s="1"/>
      <c r="AL139" s="1"/>
      <c r="AP139" s="1"/>
      <c r="AT139" s="16"/>
      <c r="AX139" s="16"/>
    </row>
    <row r="140" spans="2:50" x14ac:dyDescent="0.25">
      <c r="B140" s="1"/>
      <c r="F140" s="1"/>
      <c r="J140" s="1"/>
      <c r="N140" s="1"/>
      <c r="R140" s="1"/>
      <c r="V140" s="1"/>
      <c r="Z140" s="1"/>
      <c r="AD140" s="1"/>
      <c r="AH140" s="1"/>
      <c r="AL140" s="1"/>
      <c r="AP140" s="1"/>
      <c r="AT140" s="16"/>
      <c r="AX140" s="16"/>
    </row>
    <row r="141" spans="2:50" x14ac:dyDescent="0.25">
      <c r="B141" s="1"/>
      <c r="F141" s="1"/>
      <c r="J141" s="1"/>
      <c r="N141" s="1"/>
      <c r="R141" s="1"/>
      <c r="V141" s="1"/>
      <c r="Z141" s="1"/>
      <c r="AD141" s="1"/>
      <c r="AH141" s="1"/>
      <c r="AL141" s="1"/>
      <c r="AP141" s="1"/>
      <c r="AT141" s="16"/>
      <c r="AX141" s="16"/>
    </row>
    <row r="142" spans="2:50" x14ac:dyDescent="0.25">
      <c r="B142" s="1"/>
      <c r="F142" s="1"/>
      <c r="J142" s="1"/>
      <c r="N142" s="1"/>
      <c r="R142" s="1"/>
      <c r="V142" s="1"/>
      <c r="Z142" s="1"/>
      <c r="AD142" s="1"/>
      <c r="AH142" s="1"/>
      <c r="AL142" s="1"/>
      <c r="AP142" s="1"/>
      <c r="AT142" s="16"/>
      <c r="AX142" s="16"/>
    </row>
    <row r="143" spans="2:50" x14ac:dyDescent="0.25">
      <c r="B143" s="1"/>
      <c r="F143" s="1"/>
      <c r="J143" s="1"/>
      <c r="N143" s="1"/>
      <c r="R143" s="1"/>
      <c r="V143" s="1"/>
      <c r="Z143" s="1"/>
      <c r="AD143" s="1"/>
      <c r="AH143" s="1"/>
      <c r="AL143" s="1"/>
      <c r="AP143" s="1"/>
      <c r="AT143" s="16"/>
      <c r="AX143" s="16"/>
    </row>
    <row r="144" spans="2:50" x14ac:dyDescent="0.25">
      <c r="B144" s="1"/>
      <c r="F144" s="1"/>
      <c r="J144" s="1"/>
      <c r="N144" s="1"/>
      <c r="R144" s="1"/>
      <c r="V144" s="1"/>
      <c r="Z144" s="1"/>
      <c r="AD144" s="1"/>
      <c r="AH144" s="1"/>
      <c r="AL144" s="1"/>
      <c r="AP144" s="1"/>
      <c r="AT144" s="16"/>
      <c r="AX144" s="16"/>
    </row>
    <row r="145" spans="2:50" x14ac:dyDescent="0.25">
      <c r="B145" s="1"/>
      <c r="F145" s="1"/>
      <c r="J145" s="1"/>
      <c r="N145" s="1"/>
      <c r="R145" s="1"/>
      <c r="V145" s="1"/>
      <c r="Z145" s="1"/>
      <c r="AD145" s="1"/>
      <c r="AH145" s="1"/>
      <c r="AL145" s="1"/>
      <c r="AP145" s="1"/>
      <c r="AT145" s="16"/>
      <c r="AX145" s="16"/>
    </row>
    <row r="146" spans="2:50" x14ac:dyDescent="0.25">
      <c r="B146" s="1"/>
      <c r="F146" s="1"/>
      <c r="J146" s="1"/>
      <c r="N146" s="1"/>
      <c r="R146" s="1"/>
      <c r="V146" s="1"/>
      <c r="Z146" s="1"/>
      <c r="AD146" s="1"/>
      <c r="AH146" s="1"/>
      <c r="AL146" s="1"/>
      <c r="AP146" s="1"/>
      <c r="AT146" s="16"/>
      <c r="AX146" s="16"/>
    </row>
    <row r="147" spans="2:50" x14ac:dyDescent="0.25">
      <c r="B147" s="1"/>
      <c r="F147" s="1"/>
      <c r="J147" s="1"/>
      <c r="N147" s="1"/>
      <c r="R147" s="1"/>
      <c r="V147" s="1"/>
      <c r="Z147" s="1"/>
      <c r="AD147" s="1"/>
      <c r="AH147" s="1"/>
      <c r="AL147" s="1"/>
      <c r="AP147" s="1"/>
      <c r="AT147" s="16"/>
      <c r="AX147" s="16"/>
    </row>
    <row r="148" spans="2:50" x14ac:dyDescent="0.25">
      <c r="B148" s="1"/>
      <c r="F148" s="1"/>
      <c r="J148" s="1"/>
      <c r="N148" s="1"/>
      <c r="R148" s="1"/>
      <c r="V148" s="1"/>
      <c r="Z148" s="1"/>
      <c r="AD148" s="1"/>
      <c r="AH148" s="1"/>
      <c r="AL148" s="1"/>
      <c r="AP148" s="1"/>
      <c r="AT148" s="16"/>
      <c r="AX148" s="16"/>
    </row>
    <row r="149" spans="2:50" x14ac:dyDescent="0.25">
      <c r="B149" s="1"/>
      <c r="F149" s="1"/>
      <c r="J149" s="1"/>
      <c r="N149" s="1"/>
      <c r="R149" s="1"/>
      <c r="V149" s="1"/>
      <c r="Z149" s="1"/>
      <c r="AD149" s="1"/>
      <c r="AH149" s="1"/>
      <c r="AL149" s="1"/>
      <c r="AP149" s="1"/>
      <c r="AT149" s="16"/>
      <c r="AX149" s="16"/>
    </row>
    <row r="150" spans="2:50" x14ac:dyDescent="0.25">
      <c r="B150" s="1"/>
      <c r="F150" s="1"/>
      <c r="J150" s="1"/>
      <c r="N150" s="1"/>
      <c r="R150" s="1"/>
      <c r="V150" s="1"/>
      <c r="Z150" s="1"/>
      <c r="AD150" s="1"/>
      <c r="AH150" s="1"/>
      <c r="AL150" s="1"/>
      <c r="AP150" s="1"/>
      <c r="AT150" s="16"/>
      <c r="AX150" s="16"/>
    </row>
    <row r="151" spans="2:50" x14ac:dyDescent="0.25">
      <c r="B151" s="1"/>
      <c r="F151" s="1"/>
      <c r="J151" s="1"/>
      <c r="N151" s="1"/>
      <c r="R151" s="1"/>
      <c r="V151" s="1"/>
      <c r="Z151" s="1"/>
      <c r="AD151" s="1"/>
      <c r="AH151" s="1"/>
      <c r="AL151" s="1"/>
      <c r="AP151" s="1"/>
      <c r="AT151" s="16"/>
      <c r="AX151" s="16"/>
    </row>
    <row r="152" spans="2:50" x14ac:dyDescent="0.25">
      <c r="B152" s="1"/>
      <c r="F152" s="1"/>
      <c r="J152" s="1"/>
      <c r="N152" s="1"/>
      <c r="R152" s="1"/>
      <c r="V152" s="1"/>
      <c r="Z152" s="1"/>
      <c r="AD152" s="1"/>
      <c r="AH152" s="1"/>
      <c r="AL152" s="1"/>
      <c r="AP152" s="1"/>
      <c r="AT152" s="16"/>
      <c r="AX152" s="16"/>
    </row>
    <row r="153" spans="2:50" x14ac:dyDescent="0.25">
      <c r="B153" s="1"/>
      <c r="F153" s="1"/>
      <c r="J153" s="1"/>
      <c r="N153" s="1"/>
      <c r="R153" s="1"/>
      <c r="V153" s="1"/>
      <c r="Z153" s="1"/>
      <c r="AD153" s="1"/>
      <c r="AH153" s="1"/>
      <c r="AL153" s="1"/>
      <c r="AP153" s="1"/>
      <c r="AT153" s="16"/>
      <c r="AX153" s="16"/>
    </row>
    <row r="154" spans="2:50" x14ac:dyDescent="0.25">
      <c r="B154" s="1"/>
      <c r="F154" s="1"/>
      <c r="J154" s="1"/>
      <c r="N154" s="1"/>
      <c r="R154" s="1"/>
      <c r="V154" s="1"/>
      <c r="Z154" s="1"/>
      <c r="AD154" s="1"/>
      <c r="AH154" s="1"/>
      <c r="AL154" s="1"/>
      <c r="AP154" s="1"/>
      <c r="AT154" s="16"/>
      <c r="AX154" s="16"/>
    </row>
    <row r="155" spans="2:50" x14ac:dyDescent="0.25">
      <c r="B155" s="1"/>
      <c r="F155" s="1"/>
      <c r="J155" s="1"/>
      <c r="N155" s="1"/>
      <c r="R155" s="1"/>
      <c r="V155" s="1"/>
      <c r="Z155" s="1"/>
      <c r="AD155" s="1"/>
      <c r="AH155" s="1"/>
      <c r="AL155" s="1"/>
      <c r="AP155" s="1"/>
      <c r="AT155" s="16"/>
      <c r="AX155" s="16"/>
    </row>
    <row r="156" spans="2:50" x14ac:dyDescent="0.25">
      <c r="B156" s="1"/>
      <c r="F156" s="1"/>
      <c r="J156" s="1"/>
      <c r="N156" s="1"/>
      <c r="R156" s="1"/>
      <c r="V156" s="1"/>
      <c r="Z156" s="1"/>
      <c r="AD156" s="1"/>
      <c r="AH156" s="1"/>
      <c r="AL156" s="1"/>
      <c r="AP156" s="1"/>
      <c r="AT156" s="16"/>
      <c r="AX156" s="16"/>
    </row>
    <row r="157" spans="2:50" x14ac:dyDescent="0.25">
      <c r="B157" s="1"/>
      <c r="F157" s="1"/>
      <c r="J157" s="1"/>
      <c r="N157" s="1"/>
      <c r="R157" s="1"/>
      <c r="V157" s="1"/>
      <c r="Z157" s="1"/>
      <c r="AD157" s="1"/>
      <c r="AH157" s="1"/>
      <c r="AL157" s="1"/>
      <c r="AP157" s="1"/>
      <c r="AT157" s="16"/>
      <c r="AX157" s="16"/>
    </row>
    <row r="158" spans="2:50" x14ac:dyDescent="0.25">
      <c r="B158" s="1"/>
      <c r="F158" s="1"/>
      <c r="J158" s="1"/>
      <c r="N158" s="1"/>
      <c r="R158" s="1"/>
      <c r="V158" s="1"/>
      <c r="Z158" s="1"/>
      <c r="AD158" s="1"/>
      <c r="AH158" s="1"/>
      <c r="AL158" s="1"/>
      <c r="AP158" s="1"/>
      <c r="AT158" s="16"/>
      <c r="AX158" s="16"/>
    </row>
    <row r="159" spans="2:50" x14ac:dyDescent="0.25">
      <c r="B159" s="1"/>
      <c r="F159" s="1"/>
      <c r="J159" s="1"/>
      <c r="N159" s="1"/>
      <c r="R159" s="1"/>
      <c r="V159" s="1"/>
      <c r="Z159" s="1"/>
      <c r="AD159" s="1"/>
      <c r="AH159" s="1"/>
      <c r="AL159" s="1"/>
      <c r="AP159" s="1"/>
      <c r="AT159" s="16"/>
      <c r="AX159" s="16"/>
    </row>
    <row r="160" spans="2:50" x14ac:dyDescent="0.25">
      <c r="B160" s="1"/>
      <c r="F160" s="1"/>
      <c r="J160" s="1"/>
      <c r="N160" s="1"/>
      <c r="R160" s="1"/>
      <c r="V160" s="1"/>
      <c r="Z160" s="1"/>
      <c r="AD160" s="1"/>
      <c r="AH160" s="1"/>
      <c r="AL160" s="1"/>
      <c r="AP160" s="1"/>
      <c r="AT160" s="16"/>
      <c r="AX160" s="16"/>
    </row>
    <row r="161" spans="2:50" x14ac:dyDescent="0.25">
      <c r="B161" s="1"/>
      <c r="F161" s="1"/>
      <c r="J161" s="1"/>
      <c r="N161" s="1"/>
      <c r="R161" s="1"/>
      <c r="V161" s="1"/>
      <c r="Z161" s="1"/>
      <c r="AD161" s="1"/>
      <c r="AH161" s="1"/>
      <c r="AL161" s="1"/>
      <c r="AP161" s="1"/>
      <c r="AT161" s="16"/>
      <c r="AX161" s="16"/>
    </row>
    <row r="162" spans="2:50" x14ac:dyDescent="0.25">
      <c r="B162" s="1"/>
      <c r="F162" s="1"/>
      <c r="J162" s="1"/>
      <c r="N162" s="1"/>
      <c r="R162" s="1"/>
      <c r="V162" s="1"/>
      <c r="Z162" s="1"/>
      <c r="AD162" s="1"/>
      <c r="AH162" s="1"/>
      <c r="AL162" s="1"/>
      <c r="AP162" s="1"/>
      <c r="AT162" s="16"/>
      <c r="AX162" s="16"/>
    </row>
    <row r="163" spans="2:50" x14ac:dyDescent="0.25">
      <c r="B163" s="1"/>
      <c r="F163" s="1"/>
      <c r="J163" s="1"/>
      <c r="N163" s="1"/>
      <c r="R163" s="1"/>
      <c r="V163" s="1"/>
      <c r="Z163" s="1"/>
      <c r="AD163" s="1"/>
      <c r="AH163" s="1"/>
      <c r="AL163" s="1"/>
      <c r="AP163" s="1"/>
      <c r="AT163" s="16"/>
      <c r="AX163" s="16"/>
    </row>
    <row r="164" spans="2:50" x14ac:dyDescent="0.25">
      <c r="B164" s="1"/>
      <c r="F164" s="1"/>
      <c r="J164" s="1"/>
      <c r="N164" s="1"/>
      <c r="R164" s="1"/>
      <c r="V164" s="1"/>
      <c r="Z164" s="1"/>
      <c r="AD164" s="1"/>
      <c r="AH164" s="1"/>
      <c r="AL164" s="1"/>
      <c r="AP164" s="1"/>
      <c r="AT164" s="16"/>
      <c r="AX164" s="16"/>
    </row>
    <row r="165" spans="2:50" x14ac:dyDescent="0.25">
      <c r="B165" s="1"/>
      <c r="F165" s="1"/>
      <c r="J165" s="1"/>
      <c r="N165" s="1"/>
      <c r="R165" s="1"/>
      <c r="V165" s="1"/>
      <c r="Z165" s="1"/>
      <c r="AD165" s="1"/>
      <c r="AH165" s="1"/>
      <c r="AL165" s="1"/>
      <c r="AP165" s="1"/>
      <c r="AT165" s="16"/>
      <c r="AX165" s="16"/>
    </row>
    <row r="166" spans="2:50" x14ac:dyDescent="0.25">
      <c r="B166" s="1"/>
      <c r="F166" s="1"/>
      <c r="J166" s="1"/>
      <c r="N166" s="1"/>
      <c r="R166" s="1"/>
      <c r="V166" s="1"/>
      <c r="Z166" s="1"/>
      <c r="AD166" s="1"/>
      <c r="AH166" s="1"/>
      <c r="AL166" s="1"/>
      <c r="AP166" s="1"/>
      <c r="AT166" s="16"/>
      <c r="AX166" s="16"/>
    </row>
    <row r="167" spans="2:50" x14ac:dyDescent="0.25">
      <c r="B167" s="1"/>
      <c r="F167" s="1"/>
      <c r="J167" s="1"/>
      <c r="N167" s="1"/>
      <c r="R167" s="1"/>
      <c r="V167" s="1"/>
      <c r="Z167" s="1"/>
      <c r="AD167" s="1"/>
      <c r="AH167" s="1"/>
      <c r="AL167" s="1"/>
      <c r="AP167" s="1"/>
      <c r="AT167" s="16"/>
      <c r="AX167" s="16"/>
    </row>
    <row r="168" spans="2:50" x14ac:dyDescent="0.25">
      <c r="B168" s="1"/>
      <c r="F168" s="1"/>
      <c r="J168" s="1"/>
      <c r="N168" s="1"/>
      <c r="R168" s="1"/>
      <c r="V168" s="1"/>
      <c r="Z168" s="1"/>
      <c r="AD168" s="1"/>
      <c r="AH168" s="1"/>
      <c r="AL168" s="1"/>
      <c r="AP168" s="1"/>
      <c r="AT168" s="16"/>
      <c r="AX168" s="16"/>
    </row>
    <row r="169" spans="2:50" x14ac:dyDescent="0.25">
      <c r="B169" s="1"/>
      <c r="F169" s="1"/>
      <c r="J169" s="1"/>
      <c r="N169" s="1"/>
      <c r="R169" s="1"/>
      <c r="V169" s="1"/>
      <c r="Z169" s="1"/>
      <c r="AD169" s="1"/>
      <c r="AH169" s="1"/>
      <c r="AL169" s="1"/>
      <c r="AP169" s="1"/>
      <c r="AT169" s="16"/>
      <c r="AX169" s="16"/>
    </row>
    <row r="170" spans="2:50" x14ac:dyDescent="0.25">
      <c r="B170" s="1"/>
      <c r="F170" s="1"/>
      <c r="J170" s="1"/>
      <c r="N170" s="1"/>
      <c r="R170" s="1"/>
      <c r="V170" s="1"/>
      <c r="Z170" s="1"/>
      <c r="AD170" s="1"/>
      <c r="AH170" s="1"/>
      <c r="AL170" s="1"/>
      <c r="AP170" s="1"/>
      <c r="AT170" s="16"/>
      <c r="AX170" s="16"/>
    </row>
    <row r="171" spans="2:50" x14ac:dyDescent="0.25">
      <c r="B171" s="1"/>
      <c r="F171" s="1"/>
      <c r="J171" s="1"/>
      <c r="N171" s="1"/>
      <c r="R171" s="1"/>
      <c r="V171" s="1"/>
      <c r="Z171" s="1"/>
      <c r="AD171" s="1"/>
      <c r="AH171" s="1"/>
      <c r="AL171" s="1"/>
      <c r="AP171" s="1"/>
      <c r="AT171" s="16"/>
      <c r="AX171" s="16"/>
    </row>
    <row r="172" spans="2:50" x14ac:dyDescent="0.25">
      <c r="B172" s="1"/>
      <c r="F172" s="1"/>
      <c r="J172" s="1"/>
      <c r="N172" s="1"/>
      <c r="R172" s="1"/>
      <c r="V172" s="1"/>
      <c r="Z172" s="1"/>
      <c r="AD172" s="1"/>
      <c r="AH172" s="1"/>
      <c r="AL172" s="1"/>
      <c r="AP172" s="1"/>
      <c r="AT172" s="16"/>
      <c r="AX172" s="16"/>
    </row>
    <row r="173" spans="2:50" x14ac:dyDescent="0.25">
      <c r="B173" s="1"/>
      <c r="F173" s="1"/>
      <c r="J173" s="1"/>
      <c r="N173" s="1"/>
      <c r="R173" s="1"/>
      <c r="V173" s="1"/>
      <c r="Z173" s="1"/>
      <c r="AD173" s="1"/>
      <c r="AH173" s="1"/>
      <c r="AL173" s="1"/>
      <c r="AP173" s="1"/>
      <c r="AT173" s="16"/>
      <c r="AX173" s="16"/>
    </row>
    <row r="174" spans="2:50" x14ac:dyDescent="0.25">
      <c r="B174" s="1"/>
      <c r="F174" s="1"/>
      <c r="J174" s="1"/>
      <c r="N174" s="1"/>
      <c r="R174" s="1"/>
      <c r="V174" s="1"/>
      <c r="Z174" s="1"/>
      <c r="AD174" s="1"/>
      <c r="AH174" s="1"/>
      <c r="AL174" s="1"/>
      <c r="AP174" s="1"/>
      <c r="AT174" s="16"/>
      <c r="AX174" s="16"/>
    </row>
    <row r="175" spans="2:50" x14ac:dyDescent="0.25">
      <c r="B175" s="1"/>
      <c r="F175" s="1"/>
      <c r="J175" s="1"/>
      <c r="N175" s="1"/>
      <c r="R175" s="1"/>
      <c r="V175" s="1"/>
      <c r="Z175" s="1"/>
      <c r="AD175" s="1"/>
      <c r="AH175" s="1"/>
      <c r="AL175" s="1"/>
      <c r="AP175" s="1"/>
      <c r="AT175" s="16"/>
      <c r="AX175" s="16"/>
    </row>
    <row r="176" spans="2:50" x14ac:dyDescent="0.25">
      <c r="B176" s="1"/>
      <c r="F176" s="1"/>
      <c r="J176" s="1"/>
      <c r="N176" s="1"/>
      <c r="R176" s="1"/>
      <c r="V176" s="1"/>
      <c r="Z176" s="1"/>
      <c r="AD176" s="1"/>
      <c r="AH176" s="1"/>
      <c r="AL176" s="1"/>
      <c r="AP176" s="1"/>
      <c r="AT176" s="16"/>
      <c r="AX176" s="16"/>
    </row>
    <row r="177" spans="2:50" x14ac:dyDescent="0.25">
      <c r="B177" s="1"/>
      <c r="F177" s="1"/>
      <c r="J177" s="1"/>
      <c r="N177" s="1"/>
      <c r="R177" s="1"/>
      <c r="V177" s="1"/>
      <c r="Z177" s="1"/>
      <c r="AD177" s="1"/>
      <c r="AH177" s="1"/>
      <c r="AL177" s="1"/>
      <c r="AP177" s="1"/>
      <c r="AT177" s="16"/>
      <c r="AX177" s="16"/>
    </row>
    <row r="178" spans="2:50" x14ac:dyDescent="0.25">
      <c r="B178" s="1"/>
      <c r="F178" s="1"/>
      <c r="J178" s="1"/>
      <c r="N178" s="1"/>
      <c r="R178" s="1"/>
      <c r="V178" s="1"/>
      <c r="Z178" s="1"/>
      <c r="AD178" s="1"/>
      <c r="AH178" s="1"/>
      <c r="AL178" s="1"/>
      <c r="AP178" s="1"/>
      <c r="AT178" s="16"/>
      <c r="AX178" s="16"/>
    </row>
    <row r="179" spans="2:50" x14ac:dyDescent="0.25">
      <c r="B179" s="1"/>
      <c r="F179" s="1"/>
      <c r="J179" s="1"/>
      <c r="N179" s="1"/>
      <c r="R179" s="1"/>
      <c r="V179" s="1"/>
      <c r="Z179" s="1"/>
      <c r="AD179" s="1"/>
      <c r="AH179" s="1"/>
      <c r="AL179" s="1"/>
      <c r="AP179" s="1"/>
      <c r="AT179" s="16"/>
      <c r="AX179" s="16"/>
    </row>
    <row r="180" spans="2:50" x14ac:dyDescent="0.25">
      <c r="B180" s="1"/>
      <c r="F180" s="1"/>
      <c r="J180" s="1"/>
      <c r="N180" s="1"/>
      <c r="R180" s="1"/>
      <c r="V180" s="1"/>
      <c r="Z180" s="1"/>
      <c r="AD180" s="1"/>
      <c r="AH180" s="1"/>
      <c r="AL180" s="1"/>
      <c r="AP180" s="1"/>
      <c r="AT180" s="16"/>
      <c r="AX180" s="16"/>
    </row>
    <row r="181" spans="2:50" x14ac:dyDescent="0.25">
      <c r="B181" s="1"/>
      <c r="F181" s="1"/>
      <c r="J181" s="1"/>
      <c r="N181" s="1"/>
      <c r="R181" s="1"/>
      <c r="V181" s="1"/>
      <c r="Z181" s="1"/>
      <c r="AD181" s="1"/>
      <c r="AH181" s="1"/>
      <c r="AL181" s="1"/>
      <c r="AP181" s="1"/>
      <c r="AT181" s="16"/>
      <c r="AX181" s="16"/>
    </row>
    <row r="182" spans="2:50" x14ac:dyDescent="0.25">
      <c r="B182" s="1"/>
      <c r="F182" s="1"/>
      <c r="J182" s="1"/>
      <c r="N182" s="1"/>
      <c r="R182" s="1"/>
      <c r="V182" s="1"/>
      <c r="Z182" s="1"/>
      <c r="AD182" s="1"/>
      <c r="AH182" s="1"/>
      <c r="AL182" s="1"/>
      <c r="AP182" s="1"/>
      <c r="AT182" s="16"/>
      <c r="AX182" s="16"/>
    </row>
    <row r="183" spans="2:50" x14ac:dyDescent="0.25">
      <c r="B183" s="1"/>
      <c r="F183" s="1"/>
      <c r="J183" s="1"/>
      <c r="N183" s="1"/>
      <c r="R183" s="1"/>
      <c r="V183" s="1"/>
      <c r="Z183" s="1"/>
      <c r="AD183" s="1"/>
      <c r="AH183" s="1"/>
      <c r="AL183" s="1"/>
      <c r="AP183" s="1"/>
      <c r="AT183" s="16"/>
      <c r="AX183" s="16"/>
    </row>
    <row r="184" spans="2:50" x14ac:dyDescent="0.25">
      <c r="B184" s="1"/>
      <c r="F184" s="1"/>
      <c r="J184" s="1"/>
      <c r="N184" s="1"/>
      <c r="R184" s="1"/>
      <c r="V184" s="1"/>
      <c r="Z184" s="1"/>
      <c r="AD184" s="1"/>
      <c r="AH184" s="1"/>
      <c r="AL184" s="1"/>
      <c r="AP184" s="1"/>
      <c r="AT184" s="16"/>
      <c r="AX184" s="16"/>
    </row>
    <row r="185" spans="2:50" x14ac:dyDescent="0.25">
      <c r="B185" s="1"/>
      <c r="F185" s="1"/>
      <c r="J185" s="1"/>
      <c r="N185" s="1"/>
      <c r="R185" s="1"/>
      <c r="V185" s="1"/>
      <c r="Z185" s="1"/>
      <c r="AD185" s="1"/>
      <c r="AH185" s="1"/>
      <c r="AL185" s="1"/>
      <c r="AP185" s="1"/>
      <c r="AT185" s="16"/>
      <c r="AX185" s="16"/>
    </row>
    <row r="186" spans="2:50" x14ac:dyDescent="0.25">
      <c r="B186" s="1"/>
      <c r="F186" s="1"/>
      <c r="J186" s="1"/>
      <c r="N186" s="1"/>
      <c r="R186" s="1"/>
      <c r="V186" s="1"/>
      <c r="Z186" s="1"/>
      <c r="AD186" s="1"/>
      <c r="AH186" s="1"/>
      <c r="AL186" s="1"/>
      <c r="AP186" s="1"/>
      <c r="AT186" s="16"/>
      <c r="AX186" s="16"/>
    </row>
    <row r="187" spans="2:50" x14ac:dyDescent="0.25">
      <c r="B187" s="1"/>
      <c r="F187" s="1"/>
      <c r="J187" s="1"/>
      <c r="N187" s="1"/>
      <c r="R187" s="1"/>
      <c r="V187" s="1"/>
      <c r="Z187" s="1"/>
      <c r="AD187" s="1"/>
      <c r="AH187" s="1"/>
      <c r="AL187" s="1"/>
      <c r="AP187" s="1"/>
      <c r="AT187" s="16"/>
      <c r="AX187" s="16"/>
    </row>
    <row r="188" spans="2:50" x14ac:dyDescent="0.25">
      <c r="B188" s="1"/>
      <c r="F188" s="1"/>
      <c r="J188" s="1"/>
      <c r="N188" s="1"/>
      <c r="R188" s="1"/>
      <c r="V188" s="1"/>
      <c r="Z188" s="1"/>
      <c r="AD188" s="1"/>
      <c r="AH188" s="1"/>
      <c r="AL188" s="1"/>
      <c r="AP188" s="1"/>
      <c r="AT188" s="16"/>
      <c r="AX188" s="16"/>
    </row>
    <row r="189" spans="2:50" x14ac:dyDescent="0.25">
      <c r="B189" s="1"/>
      <c r="F189" s="1"/>
      <c r="J189" s="1"/>
      <c r="N189" s="1"/>
      <c r="R189" s="1"/>
      <c r="V189" s="1"/>
      <c r="Z189" s="1"/>
      <c r="AD189" s="1"/>
      <c r="AH189" s="1"/>
      <c r="AL189" s="1"/>
      <c r="AP189" s="1"/>
      <c r="AT189" s="16"/>
      <c r="AX189" s="16"/>
    </row>
    <row r="190" spans="2:50" x14ac:dyDescent="0.25">
      <c r="B190" s="1"/>
      <c r="F190" s="1"/>
      <c r="J190" s="1"/>
      <c r="N190" s="1"/>
      <c r="R190" s="1"/>
      <c r="V190" s="1"/>
      <c r="Z190" s="1"/>
      <c r="AD190" s="1"/>
      <c r="AH190" s="1"/>
      <c r="AL190" s="1"/>
      <c r="AP190" s="1"/>
      <c r="AT190" s="16"/>
      <c r="AX190" s="16"/>
    </row>
    <row r="191" spans="2:50" x14ac:dyDescent="0.25">
      <c r="B191" s="1"/>
      <c r="F191" s="1"/>
      <c r="J191" s="1"/>
      <c r="N191" s="1"/>
      <c r="R191" s="1"/>
      <c r="V191" s="1"/>
      <c r="Z191" s="1"/>
      <c r="AD191" s="1"/>
      <c r="AH191" s="1"/>
      <c r="AL191" s="1"/>
      <c r="AP191" s="1"/>
      <c r="AT191" s="16"/>
      <c r="AX191" s="16"/>
    </row>
    <row r="192" spans="2:50" x14ac:dyDescent="0.25">
      <c r="B192" s="1"/>
      <c r="F192" s="1"/>
      <c r="J192" s="1"/>
      <c r="N192" s="1"/>
      <c r="R192" s="1"/>
      <c r="V192" s="1"/>
      <c r="Z192" s="1"/>
      <c r="AD192" s="1"/>
      <c r="AH192" s="1"/>
      <c r="AL192" s="1"/>
      <c r="AP192" s="1"/>
      <c r="AT192" s="16"/>
      <c r="AX192" s="16"/>
    </row>
    <row r="193" spans="2:50" x14ac:dyDescent="0.25">
      <c r="B193" s="1"/>
      <c r="F193" s="1"/>
      <c r="J193" s="1"/>
      <c r="N193" s="1"/>
      <c r="R193" s="1"/>
      <c r="V193" s="1"/>
      <c r="Z193" s="1"/>
      <c r="AD193" s="1"/>
      <c r="AH193" s="1"/>
      <c r="AL193" s="1"/>
      <c r="AP193" s="1"/>
      <c r="AT193" s="16"/>
      <c r="AX193" s="16"/>
    </row>
    <row r="194" spans="2:50" x14ac:dyDescent="0.25">
      <c r="B194" s="1"/>
      <c r="F194" s="1"/>
      <c r="J194" s="1"/>
      <c r="N194" s="1"/>
      <c r="R194" s="1"/>
      <c r="V194" s="1"/>
      <c r="Z194" s="1"/>
      <c r="AD194" s="1"/>
      <c r="AH194" s="1"/>
      <c r="AL194" s="1"/>
      <c r="AP194" s="1"/>
      <c r="AT194" s="16"/>
      <c r="AX194" s="16"/>
    </row>
    <row r="195" spans="2:50" x14ac:dyDescent="0.25">
      <c r="B195" s="1"/>
      <c r="F195" s="1"/>
      <c r="J195" s="1"/>
      <c r="N195" s="1"/>
      <c r="R195" s="1"/>
      <c r="V195" s="1"/>
      <c r="Z195" s="1"/>
      <c r="AD195" s="1"/>
      <c r="AH195" s="1"/>
      <c r="AL195" s="1"/>
      <c r="AP195" s="1"/>
      <c r="AT195" s="16"/>
      <c r="AX195" s="16"/>
    </row>
    <row r="196" spans="2:50" x14ac:dyDescent="0.25">
      <c r="B196" s="1"/>
      <c r="F196" s="1"/>
      <c r="J196" s="1"/>
      <c r="N196" s="1"/>
      <c r="R196" s="1"/>
      <c r="V196" s="1"/>
      <c r="Z196" s="1"/>
      <c r="AD196" s="1"/>
      <c r="AH196" s="1"/>
      <c r="AL196" s="1"/>
      <c r="AP196" s="1"/>
      <c r="AT196" s="16"/>
      <c r="AX196" s="16"/>
    </row>
    <row r="197" spans="2:50" x14ac:dyDescent="0.25">
      <c r="B197" s="1"/>
      <c r="F197" s="1"/>
      <c r="J197" s="1"/>
      <c r="N197" s="1"/>
      <c r="R197" s="1"/>
      <c r="V197" s="1"/>
      <c r="Z197" s="1"/>
      <c r="AD197" s="1"/>
      <c r="AH197" s="1"/>
      <c r="AL197" s="1"/>
      <c r="AP197" s="1"/>
      <c r="AT197" s="16"/>
      <c r="AX197" s="16"/>
    </row>
    <row r="198" spans="2:50" x14ac:dyDescent="0.25">
      <c r="B198" s="1"/>
      <c r="F198" s="1"/>
      <c r="J198" s="1"/>
      <c r="N198" s="1"/>
      <c r="R198" s="1"/>
      <c r="V198" s="1"/>
      <c r="Z198" s="1"/>
      <c r="AD198" s="1"/>
      <c r="AH198" s="1"/>
      <c r="AL198" s="1"/>
      <c r="AP198" s="1"/>
      <c r="AT198" s="16"/>
      <c r="AX198" s="16"/>
    </row>
    <row r="199" spans="2:50" x14ac:dyDescent="0.25">
      <c r="B199" s="1"/>
      <c r="F199" s="1"/>
      <c r="J199" s="1"/>
      <c r="N199" s="1"/>
      <c r="R199" s="1"/>
      <c r="V199" s="1"/>
      <c r="Z199" s="1"/>
      <c r="AD199" s="1"/>
      <c r="AH199" s="1"/>
      <c r="AL199" s="1"/>
      <c r="AP199" s="1"/>
      <c r="AT199" s="16"/>
      <c r="AX199" s="16"/>
    </row>
    <row r="200" spans="2:50" x14ac:dyDescent="0.25">
      <c r="B200" s="1"/>
      <c r="F200" s="1"/>
      <c r="J200" s="1"/>
      <c r="N200" s="1"/>
      <c r="R200" s="1"/>
      <c r="V200" s="1"/>
      <c r="Z200" s="1"/>
      <c r="AD200" s="1"/>
      <c r="AH200" s="1"/>
      <c r="AL200" s="1"/>
      <c r="AP200" s="1"/>
      <c r="AT200" s="16"/>
      <c r="AX200" s="16"/>
    </row>
    <row r="201" spans="2:50" x14ac:dyDescent="0.25">
      <c r="B201" s="1"/>
      <c r="F201" s="1"/>
      <c r="J201" s="1"/>
      <c r="N201" s="1"/>
      <c r="R201" s="1"/>
      <c r="V201" s="1"/>
      <c r="Z201" s="1"/>
      <c r="AD201" s="1"/>
      <c r="AH201" s="1"/>
      <c r="AL201" s="1"/>
      <c r="AP201" s="1"/>
      <c r="AT201" s="16"/>
      <c r="AX201" s="16"/>
    </row>
    <row r="202" spans="2:50" x14ac:dyDescent="0.25">
      <c r="B202" s="1"/>
      <c r="F202" s="1"/>
      <c r="J202" s="1"/>
      <c r="N202" s="1"/>
      <c r="R202" s="1"/>
      <c r="V202" s="1"/>
      <c r="Z202" s="1"/>
      <c r="AD202" s="1"/>
      <c r="AH202" s="1"/>
      <c r="AL202" s="1"/>
      <c r="AP202" s="1"/>
      <c r="AT202" s="16"/>
      <c r="AX202" s="16"/>
    </row>
    <row r="203" spans="2:50" x14ac:dyDescent="0.25">
      <c r="B203" s="1"/>
      <c r="F203" s="1"/>
      <c r="J203" s="1"/>
      <c r="N203" s="1"/>
      <c r="R203" s="1"/>
      <c r="V203" s="1"/>
      <c r="Z203" s="1"/>
      <c r="AD203" s="1"/>
      <c r="AH203" s="1"/>
      <c r="AL203" s="1"/>
      <c r="AP203" s="1"/>
      <c r="AT203" s="16"/>
      <c r="AX203" s="16"/>
    </row>
    <row r="204" spans="2:50" x14ac:dyDescent="0.25">
      <c r="B204" s="1"/>
      <c r="F204" s="1"/>
      <c r="J204" s="1"/>
      <c r="N204" s="1"/>
      <c r="R204" s="1"/>
      <c r="V204" s="1"/>
      <c r="Z204" s="1"/>
      <c r="AD204" s="1"/>
      <c r="AH204" s="1"/>
      <c r="AL204" s="1"/>
      <c r="AP204" s="1"/>
      <c r="AT204" s="16"/>
      <c r="AX204" s="16"/>
    </row>
    <row r="205" spans="2:50" x14ac:dyDescent="0.25">
      <c r="B205" s="1"/>
      <c r="F205" s="1"/>
      <c r="J205" s="1"/>
      <c r="N205" s="1"/>
      <c r="R205" s="1"/>
      <c r="V205" s="1"/>
      <c r="Z205" s="1"/>
      <c r="AD205" s="1"/>
      <c r="AH205" s="1"/>
      <c r="AL205" s="1"/>
      <c r="AP205" s="1"/>
      <c r="AT205" s="16"/>
      <c r="AX205" s="16"/>
    </row>
    <row r="206" spans="2:50" x14ac:dyDescent="0.25">
      <c r="B206" s="1"/>
      <c r="F206" s="1"/>
      <c r="J206" s="1"/>
      <c r="N206" s="1"/>
      <c r="R206" s="1"/>
      <c r="V206" s="1"/>
      <c r="Z206" s="1"/>
      <c r="AD206" s="1"/>
      <c r="AH206" s="1"/>
      <c r="AL206" s="1"/>
      <c r="AP206" s="1"/>
      <c r="AT206" s="16"/>
      <c r="AX206" s="16"/>
    </row>
    <row r="207" spans="2:50" x14ac:dyDescent="0.25">
      <c r="B207" s="1"/>
      <c r="F207" s="1"/>
      <c r="J207" s="1"/>
      <c r="N207" s="1"/>
      <c r="R207" s="1"/>
      <c r="V207" s="1"/>
      <c r="Z207" s="1"/>
      <c r="AD207" s="1"/>
      <c r="AH207" s="1"/>
      <c r="AL207" s="1"/>
      <c r="AP207" s="1"/>
      <c r="AT207" s="16"/>
      <c r="AX207" s="16"/>
    </row>
    <row r="208" spans="2:50" x14ac:dyDescent="0.25">
      <c r="B208" s="1"/>
      <c r="F208" s="1"/>
      <c r="J208" s="1"/>
      <c r="N208" s="1"/>
      <c r="R208" s="1"/>
      <c r="V208" s="1"/>
      <c r="Z208" s="1"/>
      <c r="AD208" s="1"/>
      <c r="AH208" s="1"/>
      <c r="AL208" s="1"/>
      <c r="AP208" s="1"/>
      <c r="AT208" s="16"/>
      <c r="AX208" s="16"/>
    </row>
    <row r="209" spans="2:50" x14ac:dyDescent="0.25">
      <c r="B209" s="1"/>
      <c r="F209" s="1"/>
      <c r="J209" s="1"/>
      <c r="N209" s="1"/>
      <c r="R209" s="1"/>
      <c r="V209" s="1"/>
      <c r="Z209" s="1"/>
      <c r="AD209" s="1"/>
      <c r="AH209" s="1"/>
      <c r="AL209" s="1"/>
      <c r="AP209" s="1"/>
      <c r="AT209" s="16"/>
      <c r="AX209" s="16"/>
    </row>
    <row r="210" spans="2:50" x14ac:dyDescent="0.25">
      <c r="B210" s="1"/>
      <c r="F210" s="1"/>
      <c r="J210" s="1"/>
      <c r="N210" s="1"/>
      <c r="R210" s="1"/>
      <c r="V210" s="1"/>
      <c r="Z210" s="1"/>
      <c r="AD210" s="1"/>
      <c r="AH210" s="1"/>
      <c r="AL210" s="1"/>
      <c r="AP210" s="1"/>
      <c r="AT210" s="16"/>
      <c r="AX210" s="16"/>
    </row>
    <row r="211" spans="2:50" x14ac:dyDescent="0.25">
      <c r="B211" s="1"/>
      <c r="F211" s="1"/>
      <c r="J211" s="1"/>
      <c r="N211" s="1"/>
      <c r="R211" s="1"/>
      <c r="V211" s="1"/>
      <c r="Z211" s="1"/>
      <c r="AD211" s="1"/>
      <c r="AH211" s="1"/>
      <c r="AL211" s="1"/>
      <c r="AP211" s="1"/>
      <c r="AT211" s="16"/>
      <c r="AX211" s="16"/>
    </row>
    <row r="212" spans="2:50" x14ac:dyDescent="0.25">
      <c r="B212" s="1"/>
      <c r="F212" s="1"/>
      <c r="J212" s="1"/>
      <c r="N212" s="1"/>
      <c r="R212" s="1"/>
      <c r="V212" s="1"/>
      <c r="Z212" s="1"/>
      <c r="AD212" s="1"/>
      <c r="AH212" s="1"/>
      <c r="AL212" s="1"/>
      <c r="AP212" s="1"/>
      <c r="AT212" s="16"/>
      <c r="AX212" s="16"/>
    </row>
    <row r="213" spans="2:50" x14ac:dyDescent="0.25">
      <c r="B213" s="1"/>
      <c r="F213" s="1"/>
      <c r="J213" s="1"/>
      <c r="N213" s="1"/>
      <c r="R213" s="1"/>
      <c r="V213" s="1"/>
      <c r="Z213" s="1"/>
      <c r="AD213" s="1"/>
      <c r="AH213" s="1"/>
      <c r="AL213" s="1"/>
      <c r="AP213" s="1"/>
      <c r="AT213" s="16"/>
      <c r="AX213" s="16"/>
    </row>
    <row r="214" spans="2:50" x14ac:dyDescent="0.25">
      <c r="B214" s="1"/>
      <c r="F214" s="1"/>
      <c r="J214" s="1"/>
      <c r="N214" s="1"/>
      <c r="R214" s="1"/>
      <c r="V214" s="1"/>
      <c r="Z214" s="1"/>
      <c r="AD214" s="1"/>
      <c r="AH214" s="1"/>
      <c r="AL214" s="1"/>
      <c r="AP214" s="1"/>
      <c r="AT214" s="16"/>
      <c r="AX214" s="16"/>
    </row>
    <row r="215" spans="2:50" x14ac:dyDescent="0.25">
      <c r="B215" s="1"/>
      <c r="F215" s="1"/>
      <c r="J215" s="1"/>
      <c r="N215" s="1"/>
      <c r="R215" s="1"/>
      <c r="V215" s="1"/>
      <c r="Z215" s="1"/>
      <c r="AD215" s="1"/>
      <c r="AH215" s="1"/>
      <c r="AL215" s="1"/>
      <c r="AP215" s="1"/>
      <c r="AT215" s="16"/>
      <c r="AX215" s="16"/>
    </row>
    <row r="216" spans="2:50" x14ac:dyDescent="0.25">
      <c r="B216" s="1"/>
      <c r="F216" s="1"/>
      <c r="J216" s="1"/>
      <c r="N216" s="1"/>
      <c r="R216" s="1"/>
      <c r="V216" s="1"/>
      <c r="Z216" s="1"/>
      <c r="AD216" s="1"/>
      <c r="AH216" s="1"/>
      <c r="AL216" s="1"/>
      <c r="AP216" s="1"/>
      <c r="AT216" s="16"/>
      <c r="AX216" s="16"/>
    </row>
    <row r="217" spans="2:50" x14ac:dyDescent="0.25">
      <c r="B217" s="1"/>
      <c r="F217" s="1"/>
      <c r="J217" s="1"/>
      <c r="N217" s="1"/>
      <c r="R217" s="1"/>
      <c r="V217" s="1"/>
      <c r="Z217" s="1"/>
      <c r="AD217" s="1"/>
      <c r="AH217" s="1"/>
      <c r="AL217" s="1"/>
      <c r="AP217" s="1"/>
      <c r="AT217" s="16"/>
      <c r="AX217" s="16"/>
    </row>
    <row r="218" spans="2:50" x14ac:dyDescent="0.25">
      <c r="B218" s="1"/>
      <c r="F218" s="1"/>
      <c r="J218" s="1"/>
      <c r="N218" s="1"/>
      <c r="R218" s="1"/>
      <c r="V218" s="1"/>
      <c r="Z218" s="1"/>
      <c r="AD218" s="1"/>
      <c r="AH218" s="1"/>
      <c r="AL218" s="1"/>
      <c r="AP218" s="1"/>
      <c r="AT218" s="16"/>
      <c r="AX218" s="16"/>
    </row>
    <row r="219" spans="2:50" x14ac:dyDescent="0.25">
      <c r="B219" s="1"/>
      <c r="F219" s="1"/>
      <c r="J219" s="1"/>
      <c r="N219" s="1"/>
      <c r="R219" s="1"/>
      <c r="V219" s="1"/>
      <c r="Z219" s="1"/>
      <c r="AD219" s="1"/>
      <c r="AH219" s="1"/>
      <c r="AL219" s="1"/>
      <c r="AP219" s="1"/>
      <c r="AT219" s="16"/>
      <c r="AX219" s="16"/>
    </row>
    <row r="220" spans="2:50" x14ac:dyDescent="0.25">
      <c r="B220" s="1"/>
      <c r="F220" s="1"/>
      <c r="J220" s="1"/>
      <c r="N220" s="1"/>
      <c r="R220" s="1"/>
      <c r="V220" s="1"/>
      <c r="Z220" s="1"/>
      <c r="AD220" s="1"/>
      <c r="AH220" s="1"/>
      <c r="AL220" s="1"/>
      <c r="AP220" s="1"/>
      <c r="AT220" s="16"/>
      <c r="AX220" s="16"/>
    </row>
    <row r="221" spans="2:50" x14ac:dyDescent="0.25">
      <c r="B221" s="1"/>
      <c r="F221" s="1"/>
      <c r="J221" s="1"/>
      <c r="N221" s="1"/>
      <c r="R221" s="1"/>
      <c r="V221" s="1"/>
      <c r="Z221" s="1"/>
      <c r="AD221" s="1"/>
      <c r="AH221" s="1"/>
      <c r="AL221" s="1"/>
      <c r="AP221" s="1"/>
      <c r="AT221" s="16"/>
      <c r="AX221" s="16"/>
    </row>
    <row r="222" spans="2:50" x14ac:dyDescent="0.25">
      <c r="B222" s="1"/>
      <c r="F222" s="1"/>
      <c r="J222" s="1"/>
      <c r="N222" s="1"/>
      <c r="R222" s="1"/>
      <c r="V222" s="1"/>
      <c r="Z222" s="1"/>
      <c r="AD222" s="1"/>
      <c r="AH222" s="1"/>
      <c r="AL222" s="1"/>
      <c r="AP222" s="1"/>
      <c r="AT222" s="16"/>
      <c r="AX222" s="16"/>
    </row>
    <row r="223" spans="2:50" x14ac:dyDescent="0.25">
      <c r="B223" s="1"/>
      <c r="F223" s="1"/>
      <c r="J223" s="1"/>
      <c r="N223" s="1"/>
      <c r="R223" s="1"/>
      <c r="V223" s="1"/>
      <c r="Z223" s="1"/>
      <c r="AD223" s="1"/>
      <c r="AH223" s="1"/>
      <c r="AL223" s="1"/>
      <c r="AP223" s="1"/>
      <c r="AT223" s="16"/>
      <c r="AX223" s="16"/>
    </row>
    <row r="224" spans="2:50" x14ac:dyDescent="0.25">
      <c r="B224" s="1"/>
      <c r="F224" s="1"/>
      <c r="J224" s="1"/>
      <c r="N224" s="1"/>
      <c r="R224" s="1"/>
      <c r="V224" s="1"/>
      <c r="Z224" s="1"/>
      <c r="AD224" s="1"/>
      <c r="AH224" s="1"/>
      <c r="AL224" s="1"/>
      <c r="AP224" s="1"/>
      <c r="AT224" s="16"/>
      <c r="AX224" s="16"/>
    </row>
    <row r="225" spans="2:50" x14ac:dyDescent="0.25">
      <c r="B225" s="1"/>
      <c r="F225" s="1"/>
      <c r="J225" s="1"/>
      <c r="N225" s="1"/>
      <c r="R225" s="1"/>
      <c r="V225" s="1"/>
      <c r="Z225" s="1"/>
      <c r="AD225" s="1"/>
      <c r="AH225" s="1"/>
      <c r="AL225" s="1"/>
      <c r="AP225" s="1"/>
      <c r="AT225" s="16"/>
      <c r="AX225" s="16"/>
    </row>
    <row r="226" spans="2:50" x14ac:dyDescent="0.25">
      <c r="B226" s="1"/>
      <c r="F226" s="1"/>
      <c r="J226" s="1"/>
      <c r="N226" s="1"/>
      <c r="R226" s="1"/>
      <c r="V226" s="1"/>
      <c r="Z226" s="1"/>
      <c r="AD226" s="1"/>
      <c r="AH226" s="1"/>
      <c r="AL226" s="1"/>
      <c r="AP226" s="1"/>
      <c r="AT226" s="16"/>
      <c r="AX226" s="16"/>
    </row>
    <row r="227" spans="2:50" x14ac:dyDescent="0.25">
      <c r="B227" s="1"/>
      <c r="F227" s="1"/>
      <c r="J227" s="1"/>
      <c r="N227" s="1"/>
      <c r="R227" s="1"/>
      <c r="V227" s="1"/>
      <c r="Z227" s="1"/>
      <c r="AD227" s="1"/>
      <c r="AH227" s="1"/>
      <c r="AL227" s="1"/>
      <c r="AP227" s="1"/>
      <c r="AT227" s="16"/>
      <c r="AX227" s="16"/>
    </row>
    <row r="228" spans="2:50" x14ac:dyDescent="0.25">
      <c r="B228" s="1"/>
      <c r="F228" s="1"/>
      <c r="J228" s="1"/>
      <c r="N228" s="1"/>
      <c r="R228" s="1"/>
      <c r="V228" s="1"/>
      <c r="Z228" s="1"/>
      <c r="AD228" s="1"/>
      <c r="AH228" s="1"/>
      <c r="AL228" s="1"/>
      <c r="AP228" s="1"/>
      <c r="AT228" s="16"/>
      <c r="AX228" s="16"/>
    </row>
    <row r="229" spans="2:50" x14ac:dyDescent="0.25">
      <c r="B229" s="1"/>
      <c r="F229" s="1"/>
      <c r="J229" s="1"/>
      <c r="N229" s="1"/>
      <c r="R229" s="1"/>
      <c r="V229" s="1"/>
      <c r="Z229" s="1"/>
      <c r="AD229" s="1"/>
      <c r="AH229" s="1"/>
      <c r="AL229" s="1"/>
      <c r="AP229" s="1"/>
      <c r="AT229" s="16"/>
      <c r="AX229" s="16"/>
    </row>
    <row r="230" spans="2:50" x14ac:dyDescent="0.25">
      <c r="B230" s="1"/>
      <c r="F230" s="1"/>
      <c r="J230" s="1"/>
      <c r="N230" s="1"/>
      <c r="R230" s="1"/>
      <c r="V230" s="1"/>
      <c r="Z230" s="1"/>
      <c r="AD230" s="1"/>
      <c r="AH230" s="1"/>
      <c r="AL230" s="1"/>
      <c r="AP230" s="1"/>
      <c r="AT230" s="16"/>
      <c r="AX230" s="16"/>
    </row>
    <row r="231" spans="2:50" x14ac:dyDescent="0.25">
      <c r="B231" s="1"/>
      <c r="F231" s="1"/>
      <c r="J231" s="1"/>
      <c r="N231" s="1"/>
      <c r="R231" s="1"/>
      <c r="V231" s="1"/>
      <c r="Z231" s="1"/>
      <c r="AD231" s="1"/>
      <c r="AH231" s="1"/>
      <c r="AL231" s="1"/>
      <c r="AP231" s="1"/>
      <c r="AT231" s="16"/>
      <c r="AX231" s="16"/>
    </row>
    <row r="232" spans="2:50" x14ac:dyDescent="0.25">
      <c r="B232" s="1"/>
      <c r="F232" s="1"/>
      <c r="J232" s="1"/>
      <c r="N232" s="1"/>
      <c r="R232" s="1"/>
      <c r="V232" s="1"/>
      <c r="Z232" s="1"/>
      <c r="AD232" s="1"/>
      <c r="AH232" s="1"/>
      <c r="AL232" s="1"/>
      <c r="AP232" s="1"/>
      <c r="AT232" s="16"/>
      <c r="AX232" s="16"/>
    </row>
    <row r="233" spans="2:50" x14ac:dyDescent="0.25">
      <c r="B233" s="1"/>
      <c r="F233" s="1"/>
      <c r="J233" s="1"/>
      <c r="N233" s="1"/>
      <c r="R233" s="1"/>
      <c r="V233" s="1"/>
      <c r="Z233" s="1"/>
      <c r="AD233" s="1"/>
      <c r="AH233" s="1"/>
      <c r="AL233" s="1"/>
      <c r="AP233" s="1"/>
      <c r="AT233" s="16"/>
      <c r="AX233" s="16"/>
    </row>
    <row r="234" spans="2:50" x14ac:dyDescent="0.25">
      <c r="B234" s="1"/>
      <c r="F234" s="1"/>
      <c r="J234" s="1"/>
      <c r="N234" s="1"/>
      <c r="R234" s="1"/>
      <c r="V234" s="1"/>
      <c r="Z234" s="1"/>
      <c r="AD234" s="1"/>
      <c r="AH234" s="1"/>
      <c r="AL234" s="1"/>
      <c r="AP234" s="1"/>
      <c r="AT234" s="16"/>
      <c r="AX234" s="16"/>
    </row>
    <row r="235" spans="2:50" x14ac:dyDescent="0.25">
      <c r="B235" s="1"/>
      <c r="F235" s="1"/>
      <c r="J235" s="1"/>
      <c r="N235" s="1"/>
      <c r="R235" s="1"/>
      <c r="V235" s="1"/>
      <c r="Z235" s="1"/>
      <c r="AD235" s="1"/>
      <c r="AH235" s="1"/>
      <c r="AL235" s="1"/>
      <c r="AP235" s="1"/>
      <c r="AT235" s="16"/>
      <c r="AX235" s="16"/>
    </row>
    <row r="236" spans="2:50" x14ac:dyDescent="0.25">
      <c r="B236" s="1"/>
      <c r="F236" s="1"/>
      <c r="J236" s="1"/>
      <c r="N236" s="1"/>
      <c r="R236" s="1"/>
      <c r="V236" s="1"/>
      <c r="Z236" s="1"/>
      <c r="AD236" s="1"/>
      <c r="AH236" s="1"/>
      <c r="AL236" s="1"/>
      <c r="AP236" s="1"/>
      <c r="AT236" s="16"/>
      <c r="AX236" s="16"/>
    </row>
    <row r="237" spans="2:50" x14ac:dyDescent="0.25">
      <c r="B237" s="1"/>
      <c r="F237" s="1"/>
      <c r="J237" s="1"/>
      <c r="N237" s="1"/>
      <c r="R237" s="1"/>
      <c r="V237" s="1"/>
      <c r="Z237" s="1"/>
      <c r="AD237" s="1"/>
      <c r="AH237" s="1"/>
      <c r="AL237" s="1"/>
      <c r="AP237" s="1"/>
      <c r="AT237" s="16"/>
      <c r="AX237" s="16"/>
    </row>
    <row r="238" spans="2:50" x14ac:dyDescent="0.25">
      <c r="B238" s="1"/>
      <c r="F238" s="1"/>
      <c r="J238" s="1"/>
      <c r="N238" s="1"/>
      <c r="R238" s="1"/>
      <c r="V238" s="1"/>
      <c r="Z238" s="1"/>
      <c r="AD238" s="1"/>
      <c r="AH238" s="1"/>
      <c r="AL238" s="1"/>
      <c r="AP238" s="1"/>
      <c r="AT238" s="16"/>
      <c r="AX238" s="16"/>
    </row>
    <row r="239" spans="2:50" x14ac:dyDescent="0.25">
      <c r="B239" s="1"/>
      <c r="F239" s="1"/>
      <c r="J239" s="1"/>
      <c r="N239" s="1"/>
      <c r="R239" s="1"/>
      <c r="V239" s="1"/>
      <c r="Z239" s="1"/>
      <c r="AD239" s="1"/>
      <c r="AH239" s="1"/>
      <c r="AL239" s="1"/>
      <c r="AP239" s="1"/>
      <c r="AT239" s="16"/>
      <c r="AX239" s="16"/>
    </row>
    <row r="240" spans="2:50" x14ac:dyDescent="0.25">
      <c r="B240" s="1"/>
      <c r="F240" s="1"/>
      <c r="J240" s="1"/>
      <c r="N240" s="1"/>
      <c r="R240" s="1"/>
      <c r="V240" s="1"/>
      <c r="Z240" s="1"/>
      <c r="AD240" s="1"/>
      <c r="AH240" s="1"/>
      <c r="AL240" s="1"/>
      <c r="AP240" s="1"/>
      <c r="AT240" s="16"/>
      <c r="AX240" s="16"/>
    </row>
    <row r="241" spans="2:50" x14ac:dyDescent="0.25">
      <c r="B241" s="1"/>
      <c r="F241" s="1"/>
      <c r="J241" s="1"/>
      <c r="N241" s="1"/>
      <c r="R241" s="1"/>
      <c r="V241" s="1"/>
      <c r="Z241" s="1"/>
      <c r="AD241" s="1"/>
      <c r="AH241" s="1"/>
      <c r="AL241" s="1"/>
      <c r="AP241" s="1"/>
      <c r="AT241" s="16"/>
      <c r="AX241" s="16"/>
    </row>
    <row r="242" spans="2:50" x14ac:dyDescent="0.25">
      <c r="B242" s="1"/>
      <c r="F242" s="1"/>
      <c r="J242" s="1"/>
      <c r="N242" s="1"/>
      <c r="R242" s="1"/>
      <c r="V242" s="1"/>
      <c r="Z242" s="1"/>
      <c r="AD242" s="1"/>
      <c r="AH242" s="1"/>
      <c r="AL242" s="1"/>
      <c r="AP242" s="1"/>
      <c r="AT242" s="16"/>
      <c r="AX242" s="16"/>
    </row>
    <row r="243" spans="2:50" x14ac:dyDescent="0.25">
      <c r="B243" s="1"/>
      <c r="F243" s="1"/>
      <c r="J243" s="1"/>
      <c r="N243" s="1"/>
      <c r="R243" s="1"/>
      <c r="V243" s="1"/>
      <c r="Z243" s="1"/>
      <c r="AD243" s="1"/>
      <c r="AH243" s="1"/>
      <c r="AL243" s="1"/>
      <c r="AP243" s="1"/>
      <c r="AT243" s="16"/>
      <c r="AX243" s="16"/>
    </row>
    <row r="244" spans="2:50" x14ac:dyDescent="0.25">
      <c r="B244" s="1"/>
      <c r="F244" s="1"/>
      <c r="J244" s="1"/>
      <c r="N244" s="1"/>
      <c r="R244" s="1"/>
      <c r="V244" s="1"/>
      <c r="Z244" s="1"/>
      <c r="AD244" s="1"/>
      <c r="AH244" s="1"/>
      <c r="AL244" s="1"/>
      <c r="AP244" s="1"/>
      <c r="AT244" s="16"/>
      <c r="AX244" s="16"/>
    </row>
    <row r="245" spans="2:50" x14ac:dyDescent="0.25">
      <c r="B245" s="1"/>
      <c r="F245" s="1"/>
      <c r="J245" s="1"/>
      <c r="N245" s="1"/>
      <c r="R245" s="1"/>
      <c r="V245" s="1"/>
      <c r="Z245" s="1"/>
      <c r="AD245" s="1"/>
      <c r="AH245" s="1"/>
      <c r="AL245" s="1"/>
      <c r="AP245" s="1"/>
      <c r="AT245" s="16"/>
      <c r="AX245" s="16"/>
    </row>
    <row r="246" spans="2:50" x14ac:dyDescent="0.25">
      <c r="B246" s="1"/>
      <c r="F246" s="1"/>
      <c r="J246" s="1"/>
      <c r="N246" s="1"/>
      <c r="R246" s="1"/>
      <c r="V246" s="1"/>
      <c r="Z246" s="1"/>
      <c r="AD246" s="1"/>
      <c r="AH246" s="1"/>
      <c r="AL246" s="1"/>
      <c r="AP246" s="1"/>
      <c r="AT246" s="16"/>
      <c r="AX246" s="16"/>
    </row>
    <row r="247" spans="2:50" x14ac:dyDescent="0.25">
      <c r="B247" s="1"/>
      <c r="F247" s="1"/>
      <c r="J247" s="1"/>
      <c r="N247" s="1"/>
      <c r="R247" s="1"/>
      <c r="V247" s="1"/>
      <c r="Z247" s="1"/>
      <c r="AD247" s="1"/>
      <c r="AH247" s="1"/>
      <c r="AL247" s="1"/>
      <c r="AP247" s="1"/>
      <c r="AT247" s="16"/>
      <c r="AX247" s="16"/>
    </row>
    <row r="248" spans="2:50" x14ac:dyDescent="0.25">
      <c r="B248" s="1"/>
      <c r="F248" s="1"/>
      <c r="J248" s="1"/>
      <c r="N248" s="1"/>
      <c r="R248" s="1"/>
      <c r="V248" s="1"/>
      <c r="Z248" s="1"/>
      <c r="AD248" s="1"/>
      <c r="AH248" s="1"/>
      <c r="AL248" s="1"/>
      <c r="AP248" s="1"/>
      <c r="AT248" s="16"/>
      <c r="AX248" s="16"/>
    </row>
    <row r="249" spans="2:50" x14ac:dyDescent="0.25">
      <c r="B249" s="1"/>
      <c r="F249" s="1"/>
      <c r="J249" s="1"/>
      <c r="N249" s="1"/>
      <c r="R249" s="1"/>
      <c r="V249" s="1"/>
      <c r="Z249" s="1"/>
      <c r="AD249" s="1"/>
      <c r="AH249" s="1"/>
      <c r="AL249" s="1"/>
      <c r="AP249" s="1"/>
      <c r="AT249" s="16"/>
      <c r="AX249" s="16"/>
    </row>
    <row r="250" spans="2:50" x14ac:dyDescent="0.25">
      <c r="B250" s="1"/>
      <c r="F250" s="1"/>
      <c r="J250" s="1"/>
      <c r="N250" s="1"/>
      <c r="R250" s="1"/>
      <c r="V250" s="1"/>
      <c r="Z250" s="1"/>
      <c r="AD250" s="1"/>
      <c r="AH250" s="1"/>
      <c r="AL250" s="1"/>
      <c r="AP250" s="1"/>
      <c r="AT250" s="16"/>
      <c r="AX250" s="16"/>
    </row>
    <row r="251" spans="2:50" x14ac:dyDescent="0.25">
      <c r="B251" s="1"/>
      <c r="F251" s="1"/>
      <c r="J251" s="1"/>
      <c r="N251" s="1"/>
      <c r="R251" s="1"/>
      <c r="V251" s="1"/>
      <c r="Z251" s="1"/>
      <c r="AD251" s="1"/>
      <c r="AH251" s="1"/>
      <c r="AL251" s="1"/>
      <c r="AP251" s="1"/>
      <c r="AT251" s="16"/>
      <c r="AX251" s="16"/>
    </row>
    <row r="252" spans="2:50" x14ac:dyDescent="0.25">
      <c r="B252" s="1"/>
      <c r="F252" s="1"/>
      <c r="J252" s="1"/>
      <c r="N252" s="1"/>
      <c r="R252" s="1"/>
      <c r="V252" s="1"/>
      <c r="Z252" s="1"/>
      <c r="AD252" s="1"/>
      <c r="AH252" s="1"/>
      <c r="AL252" s="1"/>
      <c r="AP252" s="1"/>
      <c r="AT252" s="16"/>
      <c r="AX252" s="16"/>
    </row>
    <row r="253" spans="2:50" x14ac:dyDescent="0.25">
      <c r="B253" s="1"/>
      <c r="F253" s="1"/>
      <c r="J253" s="1"/>
      <c r="N253" s="1"/>
      <c r="R253" s="1"/>
      <c r="V253" s="1"/>
      <c r="Z253" s="1"/>
      <c r="AD253" s="1"/>
      <c r="AH253" s="1"/>
      <c r="AL253" s="1"/>
      <c r="AP253" s="1"/>
      <c r="AT253" s="16"/>
      <c r="AX253" s="16"/>
    </row>
    <row r="254" spans="2:50" x14ac:dyDescent="0.25">
      <c r="B254" s="1"/>
      <c r="F254" s="1"/>
      <c r="J254" s="1"/>
      <c r="N254" s="1"/>
      <c r="R254" s="1"/>
      <c r="V254" s="1"/>
      <c r="Z254" s="1"/>
      <c r="AD254" s="1"/>
      <c r="AH254" s="1"/>
      <c r="AL254" s="1"/>
      <c r="AP254" s="1"/>
      <c r="AT254" s="16"/>
      <c r="AX254" s="16"/>
    </row>
    <row r="255" spans="2:50" x14ac:dyDescent="0.25">
      <c r="B255" s="1"/>
      <c r="F255" s="1"/>
      <c r="J255" s="1"/>
      <c r="N255" s="1"/>
      <c r="R255" s="1"/>
      <c r="V255" s="1"/>
      <c r="Z255" s="1"/>
      <c r="AD255" s="1"/>
      <c r="AH255" s="1"/>
      <c r="AL255" s="1"/>
      <c r="AP255" s="1"/>
      <c r="AT255" s="16"/>
      <c r="AX255" s="16"/>
    </row>
    <row r="256" spans="2:50" x14ac:dyDescent="0.25">
      <c r="B256" s="1"/>
      <c r="F256" s="1"/>
      <c r="J256" s="1"/>
      <c r="N256" s="1"/>
      <c r="R256" s="1"/>
      <c r="V256" s="1"/>
      <c r="Z256" s="1"/>
      <c r="AD256" s="1"/>
      <c r="AH256" s="1"/>
      <c r="AL256" s="1"/>
      <c r="AP256" s="1"/>
      <c r="AT256" s="16"/>
      <c r="AX256" s="16"/>
    </row>
    <row r="257" spans="2:50" x14ac:dyDescent="0.25">
      <c r="B257" s="1"/>
      <c r="F257" s="1"/>
      <c r="J257" s="1"/>
      <c r="N257" s="1"/>
      <c r="R257" s="1"/>
      <c r="V257" s="1"/>
      <c r="Z257" s="1"/>
      <c r="AD257" s="1"/>
      <c r="AH257" s="1"/>
      <c r="AL257" s="1"/>
      <c r="AP257" s="1"/>
      <c r="AT257" s="16"/>
      <c r="AX257" s="16"/>
    </row>
    <row r="258" spans="2:50" x14ac:dyDescent="0.25">
      <c r="B258" s="1"/>
      <c r="F258" s="1"/>
      <c r="J258" s="1"/>
      <c r="N258" s="1"/>
      <c r="R258" s="1"/>
      <c r="V258" s="1"/>
      <c r="Z258" s="1"/>
      <c r="AD258" s="1"/>
      <c r="AH258" s="1"/>
      <c r="AL258" s="1"/>
      <c r="AP258" s="1"/>
      <c r="AT258" s="16"/>
      <c r="AX258" s="16"/>
    </row>
    <row r="259" spans="2:50" x14ac:dyDescent="0.25">
      <c r="B259" s="1"/>
      <c r="F259" s="1"/>
      <c r="J259" s="1"/>
      <c r="N259" s="1"/>
      <c r="R259" s="1"/>
      <c r="V259" s="1"/>
      <c r="Z259" s="1"/>
      <c r="AD259" s="1"/>
      <c r="AH259" s="1"/>
      <c r="AL259" s="1"/>
      <c r="AP259" s="1"/>
      <c r="AT259" s="16"/>
      <c r="AX259" s="16"/>
    </row>
    <row r="260" spans="2:50" x14ac:dyDescent="0.25">
      <c r="B260" s="1"/>
      <c r="F260" s="1"/>
      <c r="J260" s="1"/>
      <c r="N260" s="1"/>
      <c r="R260" s="1"/>
      <c r="V260" s="1"/>
      <c r="Z260" s="1"/>
      <c r="AD260" s="1"/>
      <c r="AH260" s="1"/>
      <c r="AL260" s="1"/>
      <c r="AP260" s="1"/>
      <c r="AT260" s="16"/>
      <c r="AX260" s="16"/>
    </row>
    <row r="261" spans="2:50" x14ac:dyDescent="0.25">
      <c r="B261" s="1"/>
      <c r="F261" s="1"/>
      <c r="J261" s="1"/>
      <c r="N261" s="1"/>
      <c r="R261" s="1"/>
      <c r="V261" s="1"/>
      <c r="Z261" s="1"/>
      <c r="AD261" s="1"/>
      <c r="AH261" s="1"/>
      <c r="AL261" s="1"/>
      <c r="AP261" s="1"/>
      <c r="AT261" s="16"/>
      <c r="AX261" s="16"/>
    </row>
    <row r="262" spans="2:50" x14ac:dyDescent="0.25">
      <c r="B262" s="1"/>
      <c r="F262" s="1"/>
      <c r="J262" s="1"/>
      <c r="N262" s="1"/>
      <c r="R262" s="1"/>
      <c r="V262" s="1"/>
      <c r="Z262" s="1"/>
      <c r="AD262" s="1"/>
      <c r="AH262" s="1"/>
      <c r="AL262" s="1"/>
      <c r="AP262" s="1"/>
      <c r="AT262" s="16"/>
      <c r="AX262" s="16"/>
    </row>
    <row r="263" spans="2:50" x14ac:dyDescent="0.25">
      <c r="B263" s="1"/>
      <c r="F263" s="1"/>
      <c r="J263" s="1"/>
      <c r="N263" s="1"/>
      <c r="R263" s="1"/>
      <c r="V263" s="1"/>
      <c r="Z263" s="1"/>
      <c r="AD263" s="1"/>
      <c r="AH263" s="1"/>
      <c r="AL263" s="1"/>
      <c r="AP263" s="1"/>
      <c r="AT263" s="16"/>
      <c r="AX263" s="16"/>
    </row>
    <row r="264" spans="2:50" x14ac:dyDescent="0.25">
      <c r="B264" s="1"/>
      <c r="F264" s="1"/>
      <c r="J264" s="1"/>
      <c r="N264" s="1"/>
      <c r="R264" s="1"/>
      <c r="V264" s="1"/>
      <c r="Z264" s="1"/>
      <c r="AD264" s="1"/>
      <c r="AH264" s="1"/>
      <c r="AL264" s="1"/>
      <c r="AP264" s="1"/>
      <c r="AT264" s="16"/>
      <c r="AX264" s="16"/>
    </row>
    <row r="265" spans="2:50" x14ac:dyDescent="0.25">
      <c r="B265" s="1"/>
      <c r="F265" s="1"/>
      <c r="J265" s="1"/>
      <c r="N265" s="1"/>
      <c r="R265" s="1"/>
      <c r="V265" s="1"/>
      <c r="Z265" s="1"/>
      <c r="AD265" s="1"/>
      <c r="AH265" s="1"/>
      <c r="AL265" s="1"/>
      <c r="AP265" s="1"/>
      <c r="AT265" s="16"/>
      <c r="AX265" s="16"/>
    </row>
    <row r="266" spans="2:50" x14ac:dyDescent="0.25">
      <c r="B266" s="1"/>
      <c r="F266" s="1"/>
      <c r="J266" s="1"/>
      <c r="N266" s="1"/>
      <c r="R266" s="1"/>
      <c r="V266" s="1"/>
      <c r="Z266" s="1"/>
      <c r="AD266" s="1"/>
      <c r="AH266" s="1"/>
      <c r="AL266" s="1"/>
      <c r="AP266" s="1"/>
      <c r="AT266" s="16"/>
      <c r="AX266" s="16"/>
    </row>
    <row r="267" spans="2:50" x14ac:dyDescent="0.25">
      <c r="B267" s="1"/>
      <c r="F267" s="1"/>
      <c r="J267" s="1"/>
      <c r="N267" s="1"/>
      <c r="R267" s="1"/>
      <c r="V267" s="1"/>
      <c r="Z267" s="1"/>
      <c r="AD267" s="1"/>
      <c r="AH267" s="1"/>
      <c r="AL267" s="1"/>
      <c r="AP267" s="1"/>
      <c r="AT267" s="16"/>
      <c r="AX267" s="16"/>
    </row>
    <row r="268" spans="2:50" x14ac:dyDescent="0.25">
      <c r="B268" s="1"/>
      <c r="F268" s="1"/>
      <c r="J268" s="1"/>
      <c r="N268" s="1"/>
      <c r="R268" s="1"/>
      <c r="V268" s="1"/>
      <c r="Z268" s="1"/>
      <c r="AD268" s="1"/>
      <c r="AH268" s="1"/>
      <c r="AL268" s="1"/>
      <c r="AP268" s="1"/>
      <c r="AT268" s="16"/>
      <c r="AX268" s="16"/>
    </row>
    <row r="269" spans="2:50" x14ac:dyDescent="0.25">
      <c r="B269" s="1"/>
      <c r="F269" s="1"/>
      <c r="J269" s="1"/>
      <c r="N269" s="1"/>
      <c r="R269" s="1"/>
      <c r="V269" s="1"/>
      <c r="Z269" s="1"/>
      <c r="AD269" s="1"/>
      <c r="AH269" s="1"/>
      <c r="AL269" s="1"/>
      <c r="AP269" s="1"/>
      <c r="AT269" s="16"/>
      <c r="AX269" s="16"/>
    </row>
    <row r="270" spans="2:50" x14ac:dyDescent="0.25">
      <c r="B270" s="1"/>
      <c r="F270" s="1"/>
      <c r="J270" s="1"/>
      <c r="N270" s="1"/>
      <c r="R270" s="1"/>
      <c r="V270" s="1"/>
      <c r="Z270" s="1"/>
      <c r="AD270" s="1"/>
      <c r="AH270" s="1"/>
      <c r="AL270" s="1"/>
      <c r="AP270" s="1"/>
      <c r="AT270" s="16"/>
      <c r="AX270" s="16"/>
    </row>
    <row r="271" spans="2:50" x14ac:dyDescent="0.25">
      <c r="B271" s="1"/>
      <c r="F271" s="1"/>
      <c r="J271" s="1"/>
      <c r="N271" s="1"/>
      <c r="R271" s="1"/>
      <c r="V271" s="1"/>
      <c r="Z271" s="1"/>
      <c r="AD271" s="1"/>
      <c r="AH271" s="1"/>
      <c r="AL271" s="1"/>
      <c r="AP271" s="1"/>
      <c r="AT271" s="16"/>
      <c r="AX271" s="16"/>
    </row>
    <row r="272" spans="2:50" x14ac:dyDescent="0.25">
      <c r="B272" s="1"/>
      <c r="F272" s="1"/>
      <c r="J272" s="1"/>
      <c r="N272" s="1"/>
      <c r="R272" s="1"/>
      <c r="V272" s="1"/>
      <c r="Z272" s="1"/>
      <c r="AD272" s="1"/>
      <c r="AH272" s="1"/>
      <c r="AL272" s="1"/>
      <c r="AP272" s="1"/>
      <c r="AT272" s="16"/>
      <c r="AX272" s="16"/>
    </row>
    <row r="273" spans="2:50" x14ac:dyDescent="0.25">
      <c r="B273" s="1"/>
      <c r="F273" s="1"/>
      <c r="J273" s="1"/>
      <c r="N273" s="1"/>
      <c r="R273" s="1"/>
      <c r="V273" s="1"/>
      <c r="Z273" s="1"/>
      <c r="AD273" s="1"/>
      <c r="AH273" s="1"/>
      <c r="AL273" s="1"/>
      <c r="AP273" s="1"/>
      <c r="AT273" s="16"/>
      <c r="AX273" s="16"/>
    </row>
    <row r="274" spans="2:50" x14ac:dyDescent="0.25">
      <c r="B274" s="1"/>
      <c r="F274" s="1"/>
      <c r="J274" s="1"/>
      <c r="N274" s="1"/>
      <c r="R274" s="1"/>
      <c r="V274" s="1"/>
      <c r="Z274" s="1"/>
      <c r="AD274" s="1"/>
      <c r="AH274" s="1"/>
      <c r="AL274" s="1"/>
      <c r="AP274" s="1"/>
      <c r="AT274" s="16"/>
      <c r="AX274" s="16"/>
    </row>
    <row r="275" spans="2:50" x14ac:dyDescent="0.25">
      <c r="B275" s="1"/>
      <c r="F275" s="1"/>
      <c r="J275" s="1"/>
      <c r="N275" s="1"/>
      <c r="R275" s="1"/>
      <c r="V275" s="1"/>
      <c r="Z275" s="1"/>
      <c r="AD275" s="1"/>
      <c r="AH275" s="1"/>
      <c r="AL275" s="1"/>
      <c r="AP275" s="1"/>
      <c r="AT275" s="16"/>
      <c r="AX275" s="16"/>
    </row>
    <row r="276" spans="2:50" x14ac:dyDescent="0.25">
      <c r="B276" s="1"/>
      <c r="F276" s="1"/>
      <c r="J276" s="1"/>
      <c r="N276" s="1"/>
      <c r="R276" s="1"/>
      <c r="V276" s="1"/>
      <c r="Z276" s="1"/>
      <c r="AD276" s="1"/>
      <c r="AH276" s="1"/>
      <c r="AL276" s="1"/>
      <c r="AP276" s="1"/>
      <c r="AT276" s="16"/>
      <c r="AX276" s="16"/>
    </row>
    <row r="277" spans="2:50" x14ac:dyDescent="0.25">
      <c r="B277" s="1"/>
      <c r="F277" s="1"/>
      <c r="J277" s="1"/>
      <c r="N277" s="1"/>
      <c r="R277" s="1"/>
      <c r="V277" s="1"/>
      <c r="Z277" s="1"/>
      <c r="AD277" s="1"/>
      <c r="AH277" s="1"/>
      <c r="AL277" s="1"/>
      <c r="AP277" s="1"/>
      <c r="AT277" s="16"/>
      <c r="AX277" s="16"/>
    </row>
    <row r="278" spans="2:50" x14ac:dyDescent="0.25">
      <c r="B278" s="1"/>
      <c r="F278" s="1"/>
      <c r="J278" s="1"/>
      <c r="N278" s="1"/>
      <c r="R278" s="1"/>
      <c r="V278" s="1"/>
      <c r="Z278" s="1"/>
      <c r="AD278" s="1"/>
      <c r="AH278" s="1"/>
      <c r="AL278" s="1"/>
      <c r="AP278" s="1"/>
      <c r="AT278" s="16"/>
      <c r="AX278" s="16"/>
    </row>
    <row r="279" spans="2:50" x14ac:dyDescent="0.25">
      <c r="B279" s="1"/>
      <c r="F279" s="1"/>
      <c r="J279" s="1"/>
      <c r="N279" s="1"/>
      <c r="R279" s="1"/>
      <c r="V279" s="1"/>
      <c r="Z279" s="1"/>
      <c r="AD279" s="1"/>
      <c r="AH279" s="1"/>
      <c r="AL279" s="1"/>
      <c r="AP279" s="1"/>
      <c r="AT279" s="16"/>
      <c r="AX279" s="16"/>
    </row>
    <row r="280" spans="2:50" x14ac:dyDescent="0.25">
      <c r="B280" s="1"/>
      <c r="F280" s="1"/>
      <c r="J280" s="1"/>
      <c r="N280" s="1"/>
      <c r="R280" s="1"/>
      <c r="V280" s="1"/>
      <c r="Z280" s="1"/>
      <c r="AD280" s="1"/>
      <c r="AH280" s="1"/>
      <c r="AL280" s="1"/>
      <c r="AP280" s="1"/>
      <c r="AT280" s="16"/>
      <c r="AX280" s="16"/>
    </row>
    <row r="281" spans="2:50" x14ac:dyDescent="0.25">
      <c r="B281" s="1"/>
      <c r="F281" s="1"/>
      <c r="J281" s="1"/>
      <c r="N281" s="1"/>
      <c r="R281" s="1"/>
      <c r="V281" s="1"/>
      <c r="Z281" s="1"/>
      <c r="AD281" s="1"/>
      <c r="AH281" s="1"/>
      <c r="AL281" s="1"/>
      <c r="AP281" s="1"/>
      <c r="AT281" s="16"/>
      <c r="AX281" s="16"/>
    </row>
    <row r="282" spans="2:50" x14ac:dyDescent="0.25">
      <c r="B282" s="1"/>
      <c r="F282" s="1"/>
      <c r="J282" s="1"/>
      <c r="N282" s="1"/>
      <c r="R282" s="1"/>
      <c r="V282" s="1"/>
      <c r="Z282" s="1"/>
      <c r="AD282" s="1"/>
      <c r="AH282" s="1"/>
      <c r="AL282" s="1"/>
      <c r="AP282" s="1"/>
      <c r="AT282" s="16"/>
      <c r="AX282" s="16"/>
    </row>
    <row r="283" spans="2:50" x14ac:dyDescent="0.25">
      <c r="B283" s="1"/>
      <c r="F283" s="1"/>
      <c r="J283" s="1"/>
      <c r="N283" s="1"/>
      <c r="R283" s="1"/>
      <c r="V283" s="1"/>
      <c r="Z283" s="1"/>
      <c r="AD283" s="1"/>
      <c r="AH283" s="1"/>
      <c r="AL283" s="1"/>
      <c r="AP283" s="1"/>
      <c r="AT283" s="16"/>
      <c r="AX283" s="16"/>
    </row>
    <row r="284" spans="2:50" x14ac:dyDescent="0.25">
      <c r="B284" s="1"/>
      <c r="F284" s="1"/>
      <c r="J284" s="1"/>
      <c r="N284" s="1"/>
      <c r="R284" s="1"/>
      <c r="V284" s="1"/>
      <c r="Z284" s="1"/>
      <c r="AD284" s="1"/>
      <c r="AH284" s="1"/>
      <c r="AL284" s="1"/>
      <c r="AP284" s="1"/>
      <c r="AT284" s="16"/>
      <c r="AX284" s="16"/>
    </row>
    <row r="285" spans="2:50" x14ac:dyDescent="0.25">
      <c r="B285" s="1"/>
      <c r="F285" s="1"/>
      <c r="J285" s="1"/>
      <c r="N285" s="1"/>
      <c r="R285" s="1"/>
      <c r="V285" s="1"/>
      <c r="Z285" s="1"/>
      <c r="AD285" s="1"/>
      <c r="AH285" s="1"/>
      <c r="AL285" s="1"/>
      <c r="AP285" s="1"/>
      <c r="AT285" s="16"/>
      <c r="AX285" s="16"/>
    </row>
    <row r="286" spans="2:50" x14ac:dyDescent="0.25">
      <c r="B286" s="1"/>
      <c r="F286" s="1"/>
      <c r="J286" s="1"/>
      <c r="N286" s="1"/>
      <c r="R286" s="1"/>
      <c r="V286" s="1"/>
      <c r="Z286" s="1"/>
      <c r="AD286" s="1"/>
      <c r="AH286" s="1"/>
      <c r="AL286" s="1"/>
      <c r="AP286" s="1"/>
      <c r="AT286" s="16"/>
      <c r="AX286" s="16"/>
    </row>
    <row r="287" spans="2:50" x14ac:dyDescent="0.25">
      <c r="B287" s="1"/>
      <c r="F287" s="1"/>
      <c r="J287" s="1"/>
      <c r="N287" s="1"/>
      <c r="R287" s="1"/>
      <c r="V287" s="1"/>
      <c r="Z287" s="1"/>
      <c r="AD287" s="1"/>
      <c r="AH287" s="1"/>
      <c r="AL287" s="1"/>
      <c r="AP287" s="1"/>
      <c r="AT287" s="16"/>
      <c r="AX287" s="16"/>
    </row>
    <row r="288" spans="2:50" x14ac:dyDescent="0.25">
      <c r="B288" s="1"/>
      <c r="F288" s="1"/>
      <c r="J288" s="1"/>
      <c r="N288" s="1"/>
      <c r="R288" s="1"/>
      <c r="V288" s="1"/>
      <c r="Z288" s="1"/>
      <c r="AD288" s="1"/>
      <c r="AH288" s="1"/>
      <c r="AL288" s="1"/>
      <c r="AP288" s="1"/>
      <c r="AT288" s="16"/>
      <c r="AX288" s="16"/>
    </row>
    <row r="289" spans="2:50" x14ac:dyDescent="0.25">
      <c r="B289" s="1"/>
      <c r="F289" s="1"/>
      <c r="J289" s="1"/>
      <c r="N289" s="1"/>
      <c r="R289" s="1"/>
      <c r="V289" s="1"/>
      <c r="Z289" s="1"/>
      <c r="AD289" s="1"/>
      <c r="AH289" s="1"/>
      <c r="AL289" s="1"/>
      <c r="AP289" s="1"/>
      <c r="AT289" s="16"/>
      <c r="AX289" s="16"/>
    </row>
    <row r="290" spans="2:50" x14ac:dyDescent="0.25">
      <c r="B290" s="1"/>
      <c r="F290" s="1"/>
      <c r="J290" s="1"/>
      <c r="N290" s="1"/>
      <c r="R290" s="1"/>
      <c r="V290" s="1"/>
      <c r="Z290" s="1"/>
      <c r="AD290" s="1"/>
      <c r="AH290" s="1"/>
      <c r="AL290" s="1"/>
      <c r="AP290" s="1"/>
      <c r="AT290" s="16"/>
      <c r="AX290" s="16"/>
    </row>
    <row r="291" spans="2:50" x14ac:dyDescent="0.25">
      <c r="B291" s="1"/>
      <c r="F291" s="1"/>
      <c r="J291" s="1"/>
      <c r="N291" s="1"/>
      <c r="R291" s="1"/>
      <c r="V291" s="1"/>
      <c r="Z291" s="1"/>
      <c r="AD291" s="1"/>
      <c r="AH291" s="1"/>
      <c r="AL291" s="1"/>
      <c r="AP291" s="1"/>
      <c r="AT291" s="16"/>
      <c r="AX291" s="16"/>
    </row>
    <row r="292" spans="2:50" x14ac:dyDescent="0.25">
      <c r="B292" s="1"/>
      <c r="F292" s="1"/>
      <c r="J292" s="1"/>
      <c r="N292" s="1"/>
      <c r="R292" s="1"/>
      <c r="V292" s="1"/>
      <c r="Z292" s="1"/>
      <c r="AD292" s="1"/>
      <c r="AH292" s="1"/>
      <c r="AL292" s="1"/>
      <c r="AP292" s="1"/>
      <c r="AT292" s="16"/>
      <c r="AX292" s="16"/>
    </row>
    <row r="293" spans="2:50" x14ac:dyDescent="0.25">
      <c r="B293" s="1"/>
      <c r="F293" s="1"/>
      <c r="J293" s="1"/>
      <c r="N293" s="1"/>
      <c r="R293" s="1"/>
      <c r="V293" s="1"/>
      <c r="Z293" s="1"/>
      <c r="AD293" s="1"/>
      <c r="AH293" s="1"/>
      <c r="AL293" s="1"/>
      <c r="AP293" s="1"/>
      <c r="AT293" s="16"/>
      <c r="AX293" s="16"/>
    </row>
    <row r="294" spans="2:50" x14ac:dyDescent="0.25">
      <c r="B294" s="1"/>
      <c r="F294" s="1"/>
      <c r="J294" s="1"/>
      <c r="N294" s="1"/>
      <c r="R294" s="1"/>
      <c r="V294" s="1"/>
      <c r="Z294" s="1"/>
      <c r="AD294" s="1"/>
      <c r="AH294" s="1"/>
      <c r="AL294" s="1"/>
      <c r="AP294" s="1"/>
      <c r="AT294" s="16"/>
      <c r="AX294" s="16"/>
    </row>
    <row r="295" spans="2:50" x14ac:dyDescent="0.25">
      <c r="B295" s="1"/>
      <c r="F295" s="1"/>
      <c r="J295" s="1"/>
      <c r="N295" s="1"/>
      <c r="R295" s="1"/>
      <c r="V295" s="1"/>
      <c r="Z295" s="1"/>
      <c r="AD295" s="1"/>
      <c r="AH295" s="1"/>
      <c r="AL295" s="1"/>
      <c r="AP295" s="1"/>
      <c r="AT295" s="16"/>
      <c r="AX295" s="16"/>
    </row>
    <row r="296" spans="2:50" x14ac:dyDescent="0.25">
      <c r="B296" s="1"/>
      <c r="F296" s="1"/>
      <c r="J296" s="1"/>
      <c r="N296" s="1"/>
      <c r="R296" s="1"/>
      <c r="V296" s="1"/>
      <c r="Z296" s="1"/>
      <c r="AD296" s="1"/>
      <c r="AH296" s="1"/>
      <c r="AL296" s="1"/>
      <c r="AP296" s="1"/>
      <c r="AT296" s="16"/>
      <c r="AX296" s="16"/>
    </row>
    <row r="297" spans="2:50" x14ac:dyDescent="0.25">
      <c r="B297" s="1"/>
      <c r="F297" s="1"/>
      <c r="J297" s="1"/>
      <c r="N297" s="1"/>
      <c r="R297" s="1"/>
      <c r="V297" s="1"/>
      <c r="Z297" s="1"/>
      <c r="AD297" s="1"/>
      <c r="AH297" s="1"/>
      <c r="AL297" s="1"/>
      <c r="AP297" s="1"/>
      <c r="AT297" s="16"/>
      <c r="AX297" s="16"/>
    </row>
    <row r="298" spans="2:50" x14ac:dyDescent="0.25">
      <c r="B298" s="1"/>
      <c r="F298" s="1"/>
      <c r="J298" s="1"/>
      <c r="N298" s="1"/>
      <c r="R298" s="1"/>
      <c r="V298" s="1"/>
      <c r="Z298" s="1"/>
      <c r="AD298" s="1"/>
      <c r="AH298" s="1"/>
      <c r="AL298" s="1"/>
      <c r="AP298" s="1"/>
      <c r="AT298" s="16"/>
      <c r="AX298" s="16"/>
    </row>
    <row r="299" spans="2:50" x14ac:dyDescent="0.25">
      <c r="B299" s="1"/>
      <c r="F299" s="1"/>
      <c r="J299" s="1"/>
      <c r="N299" s="1"/>
      <c r="R299" s="1"/>
      <c r="V299" s="1"/>
      <c r="Z299" s="1"/>
      <c r="AD299" s="1"/>
      <c r="AH299" s="1"/>
      <c r="AL299" s="1"/>
      <c r="AP299" s="1"/>
      <c r="AT299" s="16"/>
      <c r="AX299" s="16"/>
    </row>
    <row r="300" spans="2:50" x14ac:dyDescent="0.25">
      <c r="B300" s="1"/>
      <c r="F300" s="1"/>
      <c r="J300" s="1"/>
      <c r="N300" s="1"/>
      <c r="R300" s="1"/>
      <c r="V300" s="1"/>
      <c r="Z300" s="1"/>
      <c r="AD300" s="1"/>
      <c r="AH300" s="1"/>
      <c r="AL300" s="1"/>
      <c r="AP300" s="1"/>
      <c r="AT300" s="16"/>
      <c r="AX300" s="16"/>
    </row>
    <row r="301" spans="2:50" x14ac:dyDescent="0.25">
      <c r="B301" s="1"/>
      <c r="F301" s="1"/>
      <c r="J301" s="1"/>
      <c r="N301" s="1"/>
      <c r="R301" s="1"/>
      <c r="V301" s="1"/>
      <c r="Z301" s="1"/>
      <c r="AD301" s="1"/>
      <c r="AH301" s="1"/>
      <c r="AL301" s="1"/>
      <c r="AP301" s="1"/>
      <c r="AT301" s="16"/>
      <c r="AX301" s="16"/>
    </row>
    <row r="302" spans="2:50" x14ac:dyDescent="0.25">
      <c r="B302" s="1"/>
      <c r="F302" s="1"/>
      <c r="J302" s="1"/>
      <c r="N302" s="1"/>
      <c r="R302" s="1"/>
      <c r="V302" s="1"/>
      <c r="Z302" s="1"/>
      <c r="AD302" s="1"/>
      <c r="AH302" s="1"/>
      <c r="AL302" s="1"/>
      <c r="AP302" s="1"/>
      <c r="AT302" s="16"/>
      <c r="AX302" s="16"/>
    </row>
    <row r="303" spans="2:50" x14ac:dyDescent="0.25">
      <c r="B303" s="1"/>
      <c r="F303" s="1"/>
      <c r="J303" s="1"/>
      <c r="N303" s="1"/>
      <c r="R303" s="1"/>
      <c r="V303" s="1"/>
      <c r="Z303" s="1"/>
      <c r="AD303" s="1"/>
      <c r="AH303" s="1"/>
      <c r="AL303" s="1"/>
      <c r="AP303" s="1"/>
      <c r="AT303" s="16"/>
      <c r="AX303" s="16"/>
    </row>
    <row r="304" spans="2:50" x14ac:dyDescent="0.25">
      <c r="B304" s="1"/>
      <c r="F304" s="1"/>
      <c r="J304" s="1"/>
      <c r="N304" s="1"/>
      <c r="R304" s="1"/>
      <c r="V304" s="1"/>
      <c r="Z304" s="1"/>
      <c r="AD304" s="1"/>
      <c r="AH304" s="1"/>
      <c r="AL304" s="1"/>
      <c r="AP304" s="1"/>
      <c r="AT304" s="16"/>
      <c r="AX304" s="16"/>
    </row>
    <row r="305" spans="2:50" x14ac:dyDescent="0.25">
      <c r="B305" s="1"/>
      <c r="F305" s="1"/>
      <c r="J305" s="1"/>
      <c r="N305" s="1"/>
      <c r="R305" s="1"/>
      <c r="V305" s="1"/>
      <c r="Z305" s="1"/>
      <c r="AD305" s="1"/>
      <c r="AH305" s="1"/>
      <c r="AL305" s="1"/>
      <c r="AP305" s="1"/>
      <c r="AT305" s="16"/>
      <c r="AX305" s="16"/>
    </row>
    <row r="306" spans="2:50" x14ac:dyDescent="0.25">
      <c r="B306" s="1"/>
      <c r="F306" s="1"/>
      <c r="J306" s="1"/>
      <c r="N306" s="1"/>
      <c r="R306" s="1"/>
      <c r="V306" s="1"/>
      <c r="Z306" s="1"/>
      <c r="AD306" s="1"/>
      <c r="AH306" s="1"/>
      <c r="AL306" s="1"/>
      <c r="AP306" s="1"/>
      <c r="AT306" s="16"/>
      <c r="AX306" s="16"/>
    </row>
    <row r="307" spans="2:50" x14ac:dyDescent="0.25">
      <c r="B307" s="1"/>
      <c r="F307" s="1"/>
      <c r="J307" s="1"/>
      <c r="N307" s="1"/>
      <c r="R307" s="1"/>
      <c r="V307" s="1"/>
      <c r="Z307" s="1"/>
      <c r="AD307" s="1"/>
      <c r="AH307" s="1"/>
      <c r="AL307" s="1"/>
      <c r="AP307" s="1"/>
      <c r="AT307" s="16"/>
      <c r="AX307" s="16"/>
    </row>
    <row r="308" spans="2:50" x14ac:dyDescent="0.25">
      <c r="B308" s="1"/>
      <c r="F308" s="1"/>
      <c r="J308" s="1"/>
      <c r="N308" s="1"/>
      <c r="R308" s="1"/>
      <c r="V308" s="1"/>
      <c r="Z308" s="1"/>
      <c r="AD308" s="1"/>
      <c r="AH308" s="1"/>
      <c r="AL308" s="1"/>
      <c r="AP308" s="1"/>
      <c r="AT308" s="16"/>
      <c r="AX308" s="16"/>
    </row>
    <row r="309" spans="2:50" x14ac:dyDescent="0.25">
      <c r="B309" s="1"/>
      <c r="F309" s="1"/>
      <c r="J309" s="1"/>
      <c r="N309" s="1"/>
      <c r="R309" s="1"/>
      <c r="V309" s="1"/>
      <c r="Z309" s="1"/>
      <c r="AD309" s="1"/>
      <c r="AH309" s="1"/>
      <c r="AL309" s="1"/>
      <c r="AP309" s="1"/>
      <c r="AT309" s="16"/>
      <c r="AX309" s="16"/>
    </row>
    <row r="310" spans="2:50" x14ac:dyDescent="0.25">
      <c r="B310" s="1"/>
      <c r="F310" s="1"/>
      <c r="J310" s="1"/>
      <c r="N310" s="1"/>
      <c r="R310" s="1"/>
      <c r="V310" s="1"/>
      <c r="Z310" s="1"/>
      <c r="AD310" s="1"/>
      <c r="AH310" s="1"/>
      <c r="AL310" s="1"/>
      <c r="AP310" s="1"/>
      <c r="AT310" s="16"/>
      <c r="AX310" s="16"/>
    </row>
    <row r="311" spans="2:50" x14ac:dyDescent="0.25">
      <c r="B311" s="1"/>
      <c r="F311" s="1"/>
      <c r="J311" s="1"/>
      <c r="N311" s="1"/>
      <c r="R311" s="1"/>
      <c r="V311" s="1"/>
      <c r="Z311" s="1"/>
      <c r="AD311" s="1"/>
      <c r="AH311" s="1"/>
      <c r="AL311" s="1"/>
      <c r="AP311" s="1"/>
      <c r="AT311" s="16"/>
      <c r="AX311" s="16"/>
    </row>
    <row r="312" spans="2:50" x14ac:dyDescent="0.25">
      <c r="B312" s="1"/>
      <c r="F312" s="1"/>
      <c r="J312" s="1"/>
      <c r="N312" s="1"/>
      <c r="R312" s="1"/>
      <c r="V312" s="1"/>
      <c r="Z312" s="1"/>
      <c r="AD312" s="1"/>
      <c r="AH312" s="1"/>
      <c r="AL312" s="1"/>
      <c r="AP312" s="1"/>
      <c r="AT312" s="16"/>
      <c r="AX312" s="16"/>
    </row>
    <row r="313" spans="2:50" x14ac:dyDescent="0.25">
      <c r="B313" s="1"/>
      <c r="F313" s="1"/>
      <c r="J313" s="1"/>
      <c r="N313" s="1"/>
      <c r="R313" s="1"/>
      <c r="V313" s="1"/>
      <c r="Z313" s="1"/>
      <c r="AD313" s="1"/>
      <c r="AH313" s="1"/>
      <c r="AL313" s="1"/>
      <c r="AP313" s="1"/>
      <c r="AT313" s="16"/>
      <c r="AX313" s="16"/>
    </row>
    <row r="314" spans="2:50" x14ac:dyDescent="0.25">
      <c r="B314" s="1"/>
      <c r="F314" s="1"/>
      <c r="J314" s="1"/>
      <c r="N314" s="1"/>
      <c r="R314" s="1"/>
      <c r="V314" s="1"/>
      <c r="Z314" s="1"/>
      <c r="AD314" s="1"/>
      <c r="AH314" s="1"/>
      <c r="AL314" s="1"/>
      <c r="AP314" s="1"/>
      <c r="AT314" s="16"/>
      <c r="AX314" s="16"/>
    </row>
    <row r="315" spans="2:50" x14ac:dyDescent="0.25">
      <c r="B315" s="1"/>
      <c r="F315" s="1"/>
      <c r="J315" s="1"/>
      <c r="N315" s="1"/>
      <c r="R315" s="1"/>
      <c r="V315" s="1"/>
      <c r="Z315" s="1"/>
      <c r="AD315" s="1"/>
      <c r="AH315" s="1"/>
      <c r="AL315" s="1"/>
      <c r="AP315" s="1"/>
      <c r="AT315" s="16"/>
      <c r="AX315" s="16"/>
    </row>
    <row r="316" spans="2:50" x14ac:dyDescent="0.25">
      <c r="B316" s="1"/>
      <c r="F316" s="1"/>
      <c r="J316" s="1"/>
      <c r="N316" s="1"/>
      <c r="R316" s="1"/>
      <c r="V316" s="1"/>
      <c r="Z316" s="1"/>
      <c r="AD316" s="1"/>
      <c r="AH316" s="1"/>
      <c r="AL316" s="1"/>
      <c r="AP316" s="1"/>
      <c r="AT316" s="16"/>
      <c r="AX316" s="16"/>
    </row>
    <row r="317" spans="2:50" x14ac:dyDescent="0.25">
      <c r="B317" s="1"/>
      <c r="F317" s="1"/>
      <c r="J317" s="1"/>
      <c r="N317" s="1"/>
      <c r="R317" s="1"/>
      <c r="V317" s="1"/>
      <c r="Z317" s="1"/>
      <c r="AD317" s="1"/>
      <c r="AH317" s="1"/>
      <c r="AL317" s="1"/>
      <c r="AP317" s="1"/>
      <c r="AT317" s="16"/>
      <c r="AX317" s="16"/>
    </row>
    <row r="318" spans="2:50" x14ac:dyDescent="0.25">
      <c r="B318" s="1"/>
      <c r="F318" s="1"/>
      <c r="J318" s="1"/>
      <c r="N318" s="1"/>
      <c r="R318" s="1"/>
      <c r="V318" s="1"/>
      <c r="Z318" s="1"/>
      <c r="AD318" s="1"/>
      <c r="AH318" s="1"/>
      <c r="AL318" s="1"/>
      <c r="AP318" s="1"/>
      <c r="AT318" s="16"/>
      <c r="AX318" s="16"/>
    </row>
    <row r="319" spans="2:50" x14ac:dyDescent="0.25">
      <c r="B319" s="1"/>
      <c r="F319" s="1"/>
      <c r="J319" s="1"/>
      <c r="N319" s="1"/>
      <c r="R319" s="1"/>
      <c r="V319" s="1"/>
      <c r="Z319" s="1"/>
      <c r="AD319" s="1"/>
      <c r="AH319" s="1"/>
      <c r="AL319" s="1"/>
      <c r="AP319" s="1"/>
      <c r="AT319" s="16"/>
      <c r="AX319" s="16"/>
    </row>
    <row r="320" spans="2:50" x14ac:dyDescent="0.25">
      <c r="B320" s="1"/>
      <c r="F320" s="1"/>
      <c r="J320" s="1"/>
      <c r="N320" s="1"/>
      <c r="R320" s="1"/>
      <c r="V320" s="1"/>
      <c r="Z320" s="1"/>
      <c r="AD320" s="1"/>
      <c r="AH320" s="1"/>
      <c r="AL320" s="1"/>
      <c r="AP320" s="1"/>
      <c r="AT320" s="16"/>
      <c r="AX320" s="16"/>
    </row>
    <row r="321" spans="2:50" x14ac:dyDescent="0.25">
      <c r="B321" s="1"/>
      <c r="F321" s="1"/>
      <c r="J321" s="1"/>
      <c r="N321" s="1"/>
      <c r="R321" s="1"/>
      <c r="V321" s="1"/>
      <c r="Z321" s="1"/>
      <c r="AD321" s="1"/>
      <c r="AH321" s="1"/>
      <c r="AL321" s="1"/>
      <c r="AP321" s="1"/>
      <c r="AT321" s="16"/>
      <c r="AX321" s="16"/>
    </row>
    <row r="322" spans="2:50" x14ac:dyDescent="0.25">
      <c r="B322" s="1"/>
      <c r="F322" s="1"/>
      <c r="J322" s="1"/>
      <c r="N322" s="1"/>
      <c r="R322" s="1"/>
      <c r="V322" s="1"/>
      <c r="Z322" s="1"/>
      <c r="AD322" s="1"/>
      <c r="AH322" s="1"/>
      <c r="AL322" s="1"/>
      <c r="AP322" s="1"/>
      <c r="AT322" s="16"/>
      <c r="AX322" s="16"/>
    </row>
    <row r="323" spans="2:50" x14ac:dyDescent="0.25">
      <c r="B323" s="1"/>
      <c r="F323" s="1"/>
      <c r="J323" s="1"/>
      <c r="N323" s="1"/>
      <c r="R323" s="1"/>
      <c r="V323" s="1"/>
      <c r="Z323" s="1"/>
      <c r="AD323" s="1"/>
      <c r="AH323" s="1"/>
      <c r="AL323" s="1"/>
      <c r="AP323" s="1"/>
      <c r="AT323" s="16"/>
      <c r="AX323" s="16"/>
    </row>
    <row r="324" spans="2:50" x14ac:dyDescent="0.25">
      <c r="B324" s="1"/>
      <c r="F324" s="1"/>
      <c r="J324" s="1"/>
      <c r="N324" s="1"/>
      <c r="R324" s="1"/>
      <c r="V324" s="1"/>
      <c r="Z324" s="1"/>
      <c r="AD324" s="1"/>
      <c r="AH324" s="1"/>
      <c r="AL324" s="1"/>
      <c r="AP324" s="1"/>
      <c r="AT324" s="16"/>
      <c r="AX324" s="16"/>
    </row>
    <row r="325" spans="2:50" x14ac:dyDescent="0.25">
      <c r="B325" s="1"/>
      <c r="F325" s="1"/>
      <c r="J325" s="1"/>
      <c r="N325" s="1"/>
      <c r="R325" s="1"/>
      <c r="V325" s="1"/>
      <c r="Z325" s="1"/>
      <c r="AD325" s="1"/>
      <c r="AH325" s="1"/>
      <c r="AL325" s="1"/>
      <c r="AP325" s="1"/>
      <c r="AT325" s="16"/>
      <c r="AX325" s="16"/>
    </row>
    <row r="326" spans="2:50" x14ac:dyDescent="0.25">
      <c r="B326" s="1"/>
      <c r="F326" s="1"/>
      <c r="J326" s="1"/>
      <c r="N326" s="1"/>
      <c r="R326" s="1"/>
      <c r="V326" s="1"/>
      <c r="Z326" s="1"/>
      <c r="AD326" s="1"/>
      <c r="AH326" s="1"/>
      <c r="AL326" s="1"/>
      <c r="AP326" s="1"/>
      <c r="AT326" s="16"/>
      <c r="AX326" s="16"/>
    </row>
    <row r="327" spans="2:50" x14ac:dyDescent="0.25">
      <c r="B327" s="1"/>
      <c r="F327" s="1"/>
      <c r="J327" s="1"/>
      <c r="N327" s="1"/>
      <c r="R327" s="1"/>
      <c r="V327" s="1"/>
      <c r="Z327" s="1"/>
      <c r="AD327" s="1"/>
      <c r="AH327" s="1"/>
      <c r="AL327" s="1"/>
      <c r="AP327" s="1"/>
      <c r="AT327" s="16"/>
      <c r="AX327" s="16"/>
    </row>
    <row r="328" spans="2:50" x14ac:dyDescent="0.25">
      <c r="B328" s="1"/>
      <c r="F328" s="1"/>
      <c r="J328" s="1"/>
      <c r="N328" s="1"/>
      <c r="R328" s="1"/>
      <c r="V328" s="1"/>
      <c r="Z328" s="1"/>
      <c r="AD328" s="1"/>
      <c r="AH328" s="1"/>
      <c r="AL328" s="1"/>
      <c r="AP328" s="1"/>
      <c r="AT328" s="16"/>
      <c r="AX328" s="16"/>
    </row>
    <row r="329" spans="2:50" x14ac:dyDescent="0.25">
      <c r="B329" s="1"/>
      <c r="F329" s="1"/>
      <c r="J329" s="1"/>
      <c r="N329" s="1"/>
      <c r="R329" s="1"/>
      <c r="V329" s="1"/>
      <c r="Z329" s="1"/>
      <c r="AD329" s="1"/>
      <c r="AH329" s="1"/>
      <c r="AL329" s="1"/>
      <c r="AP329" s="1"/>
      <c r="AT329" s="16"/>
      <c r="AX329" s="16"/>
    </row>
    <row r="330" spans="2:50" x14ac:dyDescent="0.25">
      <c r="B330" s="1"/>
      <c r="F330" s="1"/>
      <c r="J330" s="1"/>
      <c r="N330" s="1"/>
      <c r="R330" s="1"/>
      <c r="V330" s="1"/>
      <c r="Z330" s="1"/>
      <c r="AD330" s="1"/>
      <c r="AH330" s="1"/>
      <c r="AL330" s="1"/>
      <c r="AP330" s="1"/>
      <c r="AT330" s="16"/>
      <c r="AX330" s="16"/>
    </row>
    <row r="331" spans="2:50" x14ac:dyDescent="0.25">
      <c r="B331" s="1"/>
      <c r="F331" s="1"/>
      <c r="J331" s="1"/>
      <c r="N331" s="1"/>
      <c r="R331" s="1"/>
      <c r="V331" s="1"/>
      <c r="Z331" s="1"/>
      <c r="AD331" s="1"/>
      <c r="AH331" s="1"/>
      <c r="AL331" s="1"/>
      <c r="AP331" s="1"/>
      <c r="AT331" s="16"/>
      <c r="AX331" s="16"/>
    </row>
    <row r="332" spans="2:50" x14ac:dyDescent="0.25">
      <c r="B332" s="1"/>
      <c r="F332" s="1"/>
      <c r="J332" s="1"/>
      <c r="N332" s="1"/>
      <c r="R332" s="1"/>
      <c r="V332" s="1"/>
      <c r="Z332" s="1"/>
      <c r="AD332" s="1"/>
      <c r="AH332" s="1"/>
      <c r="AL332" s="1"/>
      <c r="AP332" s="1"/>
      <c r="AT332" s="16"/>
      <c r="AX332" s="16"/>
    </row>
    <row r="333" spans="2:50" x14ac:dyDescent="0.25">
      <c r="B333" s="1"/>
      <c r="F333" s="1"/>
      <c r="J333" s="1"/>
      <c r="N333" s="1"/>
      <c r="R333" s="1"/>
      <c r="V333" s="1"/>
      <c r="Z333" s="1"/>
      <c r="AD333" s="1"/>
      <c r="AH333" s="1"/>
      <c r="AL333" s="1"/>
      <c r="AP333" s="1"/>
      <c r="AT333" s="16"/>
      <c r="AX333" s="16"/>
    </row>
    <row r="334" spans="2:50" x14ac:dyDescent="0.25">
      <c r="B334" s="1"/>
      <c r="F334" s="1"/>
      <c r="J334" s="1"/>
      <c r="N334" s="1"/>
      <c r="R334" s="1"/>
      <c r="V334" s="1"/>
      <c r="Z334" s="1"/>
      <c r="AD334" s="1"/>
      <c r="AH334" s="1"/>
      <c r="AL334" s="1"/>
      <c r="AP334" s="1"/>
      <c r="AT334" s="16"/>
      <c r="AX334" s="16"/>
    </row>
    <row r="335" spans="2:50" x14ac:dyDescent="0.25">
      <c r="B335" s="1"/>
      <c r="F335" s="1"/>
      <c r="J335" s="1"/>
      <c r="N335" s="1"/>
      <c r="R335" s="1"/>
      <c r="V335" s="1"/>
      <c r="Z335" s="1"/>
      <c r="AD335" s="1"/>
      <c r="AH335" s="1"/>
      <c r="AL335" s="1"/>
      <c r="AP335" s="1"/>
      <c r="AT335" s="16"/>
      <c r="AX335" s="16"/>
    </row>
    <row r="336" spans="2:50" x14ac:dyDescent="0.25">
      <c r="B336" s="1"/>
      <c r="F336" s="1"/>
      <c r="J336" s="1"/>
      <c r="N336" s="1"/>
      <c r="R336" s="1"/>
      <c r="V336" s="1"/>
      <c r="Z336" s="1"/>
      <c r="AD336" s="1"/>
      <c r="AH336" s="1"/>
      <c r="AL336" s="1"/>
      <c r="AP336" s="1"/>
      <c r="AT336" s="16"/>
      <c r="AX336" s="16"/>
    </row>
    <row r="337" spans="2:50" x14ac:dyDescent="0.25">
      <c r="B337" s="1"/>
      <c r="F337" s="1"/>
      <c r="J337" s="1"/>
      <c r="N337" s="1"/>
      <c r="R337" s="1"/>
      <c r="V337" s="1"/>
      <c r="Z337" s="1"/>
      <c r="AD337" s="1"/>
      <c r="AH337" s="1"/>
      <c r="AL337" s="1"/>
      <c r="AP337" s="1"/>
      <c r="AT337" s="16"/>
      <c r="AX337" s="16"/>
    </row>
    <row r="338" spans="2:50" x14ac:dyDescent="0.25">
      <c r="B338" s="1"/>
      <c r="F338" s="1"/>
      <c r="J338" s="1"/>
      <c r="N338" s="1"/>
      <c r="R338" s="1"/>
      <c r="V338" s="1"/>
      <c r="Z338" s="1"/>
      <c r="AD338" s="1"/>
      <c r="AH338" s="1"/>
      <c r="AL338" s="1"/>
      <c r="AP338" s="1"/>
      <c r="AT338" s="16"/>
      <c r="AX338" s="16"/>
    </row>
    <row r="339" spans="2:50" x14ac:dyDescent="0.25">
      <c r="B339" s="1"/>
      <c r="F339" s="1"/>
      <c r="J339" s="1"/>
      <c r="N339" s="1"/>
      <c r="R339" s="1"/>
      <c r="V339" s="1"/>
      <c r="Z339" s="1"/>
      <c r="AD339" s="1"/>
      <c r="AH339" s="1"/>
      <c r="AL339" s="1"/>
      <c r="AP339" s="1"/>
      <c r="AT339" s="16"/>
      <c r="AX339" s="16"/>
    </row>
    <row r="340" spans="2:50" x14ac:dyDescent="0.25">
      <c r="B340" s="1"/>
      <c r="F340" s="1"/>
      <c r="J340" s="1"/>
      <c r="N340" s="1"/>
      <c r="R340" s="1"/>
      <c r="V340" s="1"/>
      <c r="Z340" s="1"/>
      <c r="AD340" s="1"/>
      <c r="AH340" s="1"/>
      <c r="AL340" s="1"/>
      <c r="AP340" s="1"/>
      <c r="AT340" s="16"/>
      <c r="AX340" s="16"/>
    </row>
    <row r="341" spans="2:50" x14ac:dyDescent="0.25">
      <c r="B341" s="1"/>
      <c r="F341" s="1"/>
      <c r="J341" s="1"/>
      <c r="N341" s="1"/>
      <c r="R341" s="1"/>
      <c r="V341" s="1"/>
      <c r="Z341" s="1"/>
      <c r="AD341" s="1"/>
      <c r="AH341" s="1"/>
      <c r="AL341" s="1"/>
      <c r="AP341" s="1"/>
      <c r="AT341" s="16"/>
      <c r="AX341" s="16"/>
    </row>
    <row r="342" spans="2:50" x14ac:dyDescent="0.25">
      <c r="B342" s="1"/>
      <c r="F342" s="1"/>
      <c r="J342" s="1"/>
      <c r="N342" s="1"/>
      <c r="R342" s="1"/>
      <c r="V342" s="1"/>
      <c r="Z342" s="1"/>
      <c r="AD342" s="1"/>
      <c r="AH342" s="1"/>
      <c r="AL342" s="1"/>
      <c r="AP342" s="1"/>
      <c r="AT342" s="16"/>
      <c r="AX342" s="16"/>
    </row>
    <row r="343" spans="2:50" x14ac:dyDescent="0.25">
      <c r="B343" s="1"/>
      <c r="F343" s="1"/>
      <c r="J343" s="1"/>
      <c r="N343" s="1"/>
      <c r="R343" s="1"/>
      <c r="V343" s="1"/>
      <c r="Z343" s="1"/>
      <c r="AD343" s="1"/>
      <c r="AH343" s="1"/>
      <c r="AL343" s="1"/>
      <c r="AP343" s="1"/>
      <c r="AT343" s="16"/>
      <c r="AX343" s="16"/>
    </row>
    <row r="344" spans="2:50" x14ac:dyDescent="0.25">
      <c r="B344" s="1"/>
      <c r="F344" s="1"/>
      <c r="J344" s="1"/>
      <c r="N344" s="1"/>
      <c r="R344" s="1"/>
      <c r="V344" s="1"/>
      <c r="Z344" s="1"/>
      <c r="AD344" s="1"/>
      <c r="AH344" s="1"/>
      <c r="AL344" s="1"/>
      <c r="AP344" s="1"/>
      <c r="AT344" s="16"/>
      <c r="AX344" s="16"/>
    </row>
    <row r="345" spans="2:50" x14ac:dyDescent="0.25">
      <c r="B345" s="1"/>
      <c r="F345" s="1"/>
      <c r="J345" s="1"/>
      <c r="N345" s="1"/>
      <c r="R345" s="1"/>
      <c r="V345" s="1"/>
      <c r="Z345" s="1"/>
      <c r="AD345" s="1"/>
      <c r="AH345" s="1"/>
      <c r="AL345" s="1"/>
      <c r="AP345" s="1"/>
      <c r="AT345" s="16"/>
      <c r="AX345" s="16"/>
    </row>
    <row r="346" spans="2:50" x14ac:dyDescent="0.25">
      <c r="B346" s="1"/>
      <c r="F346" s="1"/>
      <c r="J346" s="1"/>
      <c r="N346" s="1"/>
      <c r="R346" s="1"/>
      <c r="V346" s="1"/>
      <c r="Z346" s="1"/>
      <c r="AD346" s="1"/>
      <c r="AH346" s="1"/>
      <c r="AL346" s="1"/>
      <c r="AP346" s="1"/>
      <c r="AT346" s="16"/>
      <c r="AX346" s="16"/>
    </row>
    <row r="347" spans="2:50" x14ac:dyDescent="0.25">
      <c r="B347" s="1"/>
      <c r="F347" s="1"/>
      <c r="J347" s="1"/>
      <c r="N347" s="1"/>
      <c r="R347" s="1"/>
      <c r="V347" s="1"/>
      <c r="Z347" s="1"/>
      <c r="AD347" s="1"/>
      <c r="AH347" s="1"/>
      <c r="AL347" s="1"/>
      <c r="AP347" s="1"/>
      <c r="AT347" s="16"/>
      <c r="AX347" s="16"/>
    </row>
    <row r="348" spans="2:50" x14ac:dyDescent="0.25">
      <c r="B348" s="1"/>
      <c r="F348" s="1"/>
      <c r="J348" s="1"/>
      <c r="N348" s="1"/>
      <c r="R348" s="1"/>
      <c r="V348" s="1"/>
      <c r="Z348" s="1"/>
      <c r="AD348" s="1"/>
      <c r="AH348" s="1"/>
      <c r="AL348" s="1"/>
      <c r="AP348" s="1"/>
      <c r="AT348" s="16"/>
      <c r="AX348" s="16"/>
    </row>
    <row r="349" spans="2:50" x14ac:dyDescent="0.25">
      <c r="B349" s="1"/>
      <c r="F349" s="1"/>
      <c r="J349" s="1"/>
      <c r="N349" s="1"/>
      <c r="R349" s="1"/>
      <c r="V349" s="1"/>
      <c r="Z349" s="1"/>
      <c r="AD349" s="1"/>
      <c r="AH349" s="1"/>
      <c r="AL349" s="1"/>
      <c r="AP349" s="1"/>
      <c r="AT349" s="16"/>
      <c r="AX349" s="16"/>
    </row>
    <row r="350" spans="2:50" x14ac:dyDescent="0.25">
      <c r="B350" s="1"/>
      <c r="F350" s="1"/>
      <c r="J350" s="1"/>
      <c r="N350" s="1"/>
      <c r="R350" s="1"/>
      <c r="V350" s="1"/>
      <c r="Z350" s="1"/>
      <c r="AD350" s="1"/>
      <c r="AH350" s="1"/>
      <c r="AL350" s="1"/>
      <c r="AP350" s="1"/>
      <c r="AT350" s="16"/>
      <c r="AX350" s="16"/>
    </row>
    <row r="351" spans="2:50" x14ac:dyDescent="0.25">
      <c r="B351" s="1"/>
      <c r="F351" s="1"/>
      <c r="J351" s="1"/>
      <c r="N351" s="1"/>
      <c r="R351" s="1"/>
      <c r="V351" s="1"/>
      <c r="Z351" s="1"/>
      <c r="AD351" s="1"/>
      <c r="AH351" s="1"/>
      <c r="AL351" s="1"/>
      <c r="AP351" s="1"/>
      <c r="AT351" s="16"/>
      <c r="AX351" s="16"/>
    </row>
    <row r="352" spans="2:50" x14ac:dyDescent="0.25">
      <c r="B352" s="1"/>
      <c r="F352" s="1"/>
      <c r="J352" s="1"/>
      <c r="N352" s="1"/>
      <c r="R352" s="1"/>
      <c r="V352" s="1"/>
      <c r="Z352" s="1"/>
      <c r="AD352" s="1"/>
      <c r="AH352" s="1"/>
      <c r="AL352" s="1"/>
      <c r="AP352" s="1"/>
      <c r="AT352" s="16"/>
      <c r="AX352" s="16"/>
    </row>
    <row r="353" spans="2:50" x14ac:dyDescent="0.25">
      <c r="B353" s="1"/>
      <c r="F353" s="1"/>
      <c r="J353" s="1"/>
      <c r="N353" s="1"/>
      <c r="R353" s="1"/>
      <c r="V353" s="1"/>
      <c r="Z353" s="1"/>
      <c r="AD353" s="1"/>
      <c r="AH353" s="1"/>
      <c r="AL353" s="1"/>
      <c r="AP353" s="1"/>
      <c r="AT353" s="16"/>
      <c r="AX353" s="16"/>
    </row>
    <row r="354" spans="2:50" x14ac:dyDescent="0.25">
      <c r="B354" s="1"/>
      <c r="F354" s="1"/>
      <c r="J354" s="1"/>
      <c r="N354" s="1"/>
      <c r="R354" s="1"/>
      <c r="V354" s="1"/>
      <c r="Z354" s="1"/>
      <c r="AD354" s="1"/>
      <c r="AH354" s="1"/>
      <c r="AL354" s="1"/>
      <c r="AP354" s="1"/>
      <c r="AT354" s="16"/>
      <c r="AX354" s="16"/>
    </row>
    <row r="355" spans="2:50" x14ac:dyDescent="0.25">
      <c r="B355" s="1"/>
      <c r="F355" s="1"/>
      <c r="J355" s="1"/>
      <c r="N355" s="1"/>
      <c r="R355" s="1"/>
      <c r="V355" s="1"/>
      <c r="Z355" s="1"/>
      <c r="AD355" s="1"/>
      <c r="AH355" s="1"/>
      <c r="AL355" s="1"/>
      <c r="AP355" s="1"/>
      <c r="AT355" s="16"/>
      <c r="AX355" s="16"/>
    </row>
    <row r="356" spans="2:50" x14ac:dyDescent="0.25">
      <c r="B356" s="1"/>
      <c r="F356" s="1"/>
      <c r="J356" s="1"/>
      <c r="N356" s="1"/>
      <c r="R356" s="1"/>
      <c r="V356" s="1"/>
      <c r="Z356" s="1"/>
      <c r="AD356" s="1"/>
      <c r="AH356" s="1"/>
      <c r="AL356" s="1"/>
      <c r="AP356" s="1"/>
      <c r="AT356" s="16"/>
      <c r="AX356" s="16"/>
    </row>
    <row r="357" spans="2:50" x14ac:dyDescent="0.25">
      <c r="B357" s="1"/>
      <c r="F357" s="1"/>
      <c r="J357" s="1"/>
      <c r="N357" s="1"/>
      <c r="R357" s="1"/>
      <c r="V357" s="1"/>
      <c r="Z357" s="1"/>
      <c r="AD357" s="1"/>
      <c r="AH357" s="1"/>
      <c r="AL357" s="1"/>
      <c r="AP357" s="1"/>
      <c r="AT357" s="16"/>
      <c r="AX357" s="16"/>
    </row>
    <row r="358" spans="2:50" x14ac:dyDescent="0.25">
      <c r="B358" s="1"/>
      <c r="F358" s="1"/>
      <c r="J358" s="1"/>
      <c r="N358" s="1"/>
      <c r="R358" s="1"/>
      <c r="V358" s="1"/>
      <c r="Z358" s="1"/>
      <c r="AD358" s="1"/>
      <c r="AH358" s="1"/>
      <c r="AL358" s="1"/>
      <c r="AP358" s="1"/>
      <c r="AT358" s="16"/>
      <c r="AX358" s="16"/>
    </row>
    <row r="359" spans="2:50" x14ac:dyDescent="0.25">
      <c r="B359" s="1"/>
      <c r="F359" s="1"/>
      <c r="J359" s="1"/>
      <c r="N359" s="1"/>
      <c r="R359" s="1"/>
      <c r="V359" s="1"/>
      <c r="Z359" s="1"/>
      <c r="AD359" s="1"/>
      <c r="AH359" s="1"/>
      <c r="AL359" s="1"/>
      <c r="AP359" s="1"/>
      <c r="AT359" s="16"/>
      <c r="AX359" s="16"/>
    </row>
    <row r="360" spans="2:50" x14ac:dyDescent="0.25">
      <c r="B360" s="1"/>
      <c r="F360" s="1"/>
      <c r="J360" s="1"/>
      <c r="N360" s="1"/>
      <c r="R360" s="1"/>
      <c r="V360" s="1"/>
      <c r="Z360" s="1"/>
      <c r="AD360" s="1"/>
      <c r="AH360" s="1"/>
      <c r="AL360" s="1"/>
      <c r="AP360" s="1"/>
      <c r="AT360" s="16"/>
      <c r="AX360" s="16"/>
    </row>
    <row r="361" spans="2:50" x14ac:dyDescent="0.25">
      <c r="B361" s="1"/>
      <c r="F361" s="1"/>
      <c r="J361" s="1"/>
      <c r="N361" s="1"/>
      <c r="R361" s="1"/>
      <c r="V361" s="1"/>
      <c r="Z361" s="1"/>
      <c r="AD361" s="1"/>
      <c r="AH361" s="1"/>
      <c r="AL361" s="1"/>
      <c r="AP361" s="1"/>
      <c r="AT361" s="16"/>
      <c r="AX361" s="16"/>
    </row>
    <row r="362" spans="2:50" x14ac:dyDescent="0.25">
      <c r="B362" s="1"/>
      <c r="F362" s="1"/>
      <c r="J362" s="1"/>
      <c r="N362" s="1"/>
      <c r="R362" s="1"/>
      <c r="V362" s="1"/>
      <c r="Z362" s="1"/>
      <c r="AD362" s="1"/>
      <c r="AH362" s="1"/>
      <c r="AL362" s="1"/>
      <c r="AP362" s="1"/>
      <c r="AT362" s="16"/>
      <c r="AX362" s="16"/>
    </row>
    <row r="363" spans="2:50" x14ac:dyDescent="0.25">
      <c r="B363" s="1"/>
      <c r="F363" s="1"/>
      <c r="J363" s="1"/>
      <c r="N363" s="1"/>
      <c r="R363" s="1"/>
      <c r="V363" s="1"/>
      <c r="Z363" s="1"/>
      <c r="AD363" s="1"/>
      <c r="AH363" s="1"/>
      <c r="AL363" s="1"/>
      <c r="AP363" s="1"/>
      <c r="AT363" s="16"/>
      <c r="AX363" s="16"/>
    </row>
    <row r="364" spans="2:50" x14ac:dyDescent="0.25">
      <c r="B364" s="1"/>
      <c r="F364" s="1"/>
      <c r="J364" s="1"/>
      <c r="N364" s="1"/>
      <c r="R364" s="1"/>
      <c r="V364" s="1"/>
      <c r="Z364" s="1"/>
      <c r="AD364" s="1"/>
      <c r="AH364" s="1"/>
      <c r="AL364" s="1"/>
      <c r="AP364" s="1"/>
      <c r="AT364" s="16"/>
      <c r="AX364" s="16"/>
    </row>
    <row r="365" spans="2:50" x14ac:dyDescent="0.25">
      <c r="B365" s="1"/>
      <c r="F365" s="1"/>
      <c r="J365" s="1"/>
      <c r="N365" s="1"/>
      <c r="R365" s="1"/>
      <c r="V365" s="1"/>
      <c r="Z365" s="1"/>
      <c r="AD365" s="1"/>
      <c r="AH365" s="1"/>
      <c r="AL365" s="1"/>
      <c r="AP365" s="1"/>
      <c r="AT365" s="16"/>
      <c r="AX365" s="16"/>
    </row>
    <row r="366" spans="2:50" x14ac:dyDescent="0.25">
      <c r="B366" s="1"/>
      <c r="F366" s="1"/>
      <c r="J366" s="1"/>
      <c r="N366" s="1"/>
      <c r="R366" s="1"/>
      <c r="V366" s="1"/>
      <c r="Z366" s="1"/>
      <c r="AD366" s="1"/>
      <c r="AH366" s="1"/>
      <c r="AL366" s="1"/>
      <c r="AP366" s="1"/>
      <c r="AT366" s="16"/>
      <c r="AX366" s="16"/>
    </row>
    <row r="367" spans="2:50" x14ac:dyDescent="0.25">
      <c r="B367" s="1"/>
      <c r="F367" s="1"/>
      <c r="J367" s="1"/>
      <c r="N367" s="1"/>
      <c r="R367" s="1"/>
      <c r="V367" s="1"/>
      <c r="Z367" s="1"/>
      <c r="AD367" s="1"/>
      <c r="AH367" s="1"/>
      <c r="AL367" s="1"/>
      <c r="AP367" s="1"/>
      <c r="AT367" s="16"/>
      <c r="AX367" s="16"/>
    </row>
    <row r="368" spans="2:50" x14ac:dyDescent="0.25">
      <c r="B368" s="1"/>
      <c r="F368" s="1"/>
      <c r="J368" s="1"/>
      <c r="N368" s="1"/>
      <c r="R368" s="1"/>
      <c r="V368" s="1"/>
      <c r="Z368" s="1"/>
      <c r="AD368" s="1"/>
      <c r="AH368" s="1"/>
      <c r="AL368" s="1"/>
      <c r="AP368" s="1"/>
      <c r="AT368" s="16"/>
      <c r="AX368" s="16"/>
    </row>
    <row r="369" spans="2:50" x14ac:dyDescent="0.25">
      <c r="B369" s="1"/>
      <c r="F369" s="1"/>
      <c r="J369" s="1"/>
      <c r="N369" s="1"/>
      <c r="R369" s="1"/>
      <c r="V369" s="1"/>
      <c r="Z369" s="1"/>
      <c r="AD369" s="1"/>
      <c r="AH369" s="1"/>
      <c r="AL369" s="1"/>
      <c r="AP369" s="1"/>
      <c r="AT369" s="16"/>
      <c r="AX369" s="16"/>
    </row>
    <row r="370" spans="2:50" x14ac:dyDescent="0.25">
      <c r="B370" s="1"/>
      <c r="F370" s="1"/>
      <c r="J370" s="1"/>
      <c r="N370" s="1"/>
      <c r="R370" s="1"/>
      <c r="V370" s="1"/>
      <c r="Z370" s="1"/>
      <c r="AD370" s="1"/>
      <c r="AH370" s="1"/>
      <c r="AL370" s="1"/>
      <c r="AP370" s="1"/>
      <c r="AT370" s="16"/>
      <c r="AX370" s="16"/>
    </row>
    <row r="371" spans="2:50" x14ac:dyDescent="0.25">
      <c r="B371" s="1"/>
      <c r="F371" s="1"/>
      <c r="J371" s="1"/>
      <c r="N371" s="1"/>
      <c r="R371" s="1"/>
      <c r="V371" s="1"/>
      <c r="Z371" s="1"/>
      <c r="AD371" s="1"/>
      <c r="AH371" s="1"/>
      <c r="AL371" s="1"/>
      <c r="AP371" s="1"/>
      <c r="AT371" s="16"/>
      <c r="AX371" s="16"/>
    </row>
    <row r="372" spans="2:50" x14ac:dyDescent="0.25">
      <c r="B372" s="1"/>
      <c r="F372" s="1"/>
      <c r="J372" s="1"/>
      <c r="N372" s="1"/>
      <c r="R372" s="1"/>
      <c r="V372" s="1"/>
      <c r="Z372" s="1"/>
      <c r="AD372" s="1"/>
      <c r="AH372" s="1"/>
      <c r="AL372" s="1"/>
      <c r="AP372" s="1"/>
      <c r="AT372" s="16"/>
      <c r="AX372" s="16"/>
    </row>
    <row r="373" spans="2:50" x14ac:dyDescent="0.25">
      <c r="B373" s="1"/>
      <c r="F373" s="1"/>
      <c r="J373" s="1"/>
      <c r="N373" s="1"/>
      <c r="R373" s="1"/>
      <c r="V373" s="1"/>
      <c r="Z373" s="1"/>
      <c r="AD373" s="1"/>
      <c r="AH373" s="1"/>
      <c r="AL373" s="1"/>
      <c r="AP373" s="1"/>
      <c r="AT373" s="16"/>
      <c r="AX373" s="16"/>
    </row>
    <row r="374" spans="2:50" x14ac:dyDescent="0.25">
      <c r="B374" s="1"/>
      <c r="F374" s="1"/>
      <c r="J374" s="1"/>
      <c r="N374" s="1"/>
      <c r="R374" s="1"/>
      <c r="V374" s="1"/>
      <c r="Z374" s="1"/>
      <c r="AD374" s="1"/>
      <c r="AH374" s="1"/>
      <c r="AL374" s="1"/>
      <c r="AP374" s="1"/>
      <c r="AT374" s="16"/>
      <c r="AX374" s="16"/>
    </row>
    <row r="375" spans="2:50" x14ac:dyDescent="0.25">
      <c r="B375" s="1"/>
      <c r="F375" s="1"/>
      <c r="J375" s="1"/>
      <c r="N375" s="1"/>
      <c r="R375" s="1"/>
      <c r="V375" s="1"/>
      <c r="Z375" s="1"/>
      <c r="AD375" s="1"/>
      <c r="AH375" s="1"/>
      <c r="AL375" s="1"/>
      <c r="AP375" s="1"/>
      <c r="AT375" s="16"/>
      <c r="AX375" s="16"/>
    </row>
    <row r="376" spans="2:50" x14ac:dyDescent="0.25">
      <c r="B376" s="1"/>
      <c r="F376" s="1"/>
      <c r="J376" s="1"/>
      <c r="N376" s="1"/>
      <c r="R376" s="1"/>
      <c r="V376" s="1"/>
      <c r="Z376" s="1"/>
      <c r="AD376" s="1"/>
      <c r="AH376" s="1"/>
      <c r="AL376" s="1"/>
      <c r="AP376" s="1"/>
      <c r="AT376" s="16"/>
      <c r="AX376" s="16"/>
    </row>
    <row r="377" spans="2:50" x14ac:dyDescent="0.25">
      <c r="B377" s="1"/>
      <c r="F377" s="1"/>
      <c r="J377" s="1"/>
      <c r="N377" s="1"/>
      <c r="R377" s="1"/>
      <c r="V377" s="1"/>
      <c r="Z377" s="1"/>
      <c r="AD377" s="1"/>
      <c r="AH377" s="1"/>
      <c r="AL377" s="1"/>
      <c r="AP377" s="1"/>
      <c r="AT377" s="16"/>
      <c r="AX377" s="16"/>
    </row>
    <row r="378" spans="2:50" x14ac:dyDescent="0.25">
      <c r="B378" s="1"/>
      <c r="F378" s="1"/>
      <c r="J378" s="1"/>
      <c r="N378" s="1"/>
      <c r="R378" s="1"/>
      <c r="V378" s="1"/>
      <c r="Z378" s="1"/>
      <c r="AD378" s="1"/>
      <c r="AH378" s="1"/>
      <c r="AL378" s="1"/>
      <c r="AP378" s="1"/>
      <c r="AT378" s="16"/>
      <c r="AX378" s="16"/>
    </row>
    <row r="379" spans="2:50" x14ac:dyDescent="0.25">
      <c r="B379" s="1"/>
      <c r="F379" s="1"/>
      <c r="J379" s="1"/>
      <c r="N379" s="1"/>
      <c r="R379" s="1"/>
      <c r="V379" s="1"/>
      <c r="Z379" s="1"/>
      <c r="AD379" s="1"/>
      <c r="AH379" s="1"/>
      <c r="AL379" s="1"/>
      <c r="AP379" s="1"/>
      <c r="AT379" s="16"/>
      <c r="AX379" s="16"/>
    </row>
    <row r="380" spans="2:50" x14ac:dyDescent="0.25">
      <c r="B380" s="1"/>
      <c r="F380" s="1"/>
      <c r="J380" s="1"/>
      <c r="N380" s="1"/>
      <c r="R380" s="1"/>
      <c r="V380" s="1"/>
      <c r="Z380" s="1"/>
      <c r="AD380" s="1"/>
      <c r="AH380" s="1"/>
      <c r="AL380" s="1"/>
      <c r="AP380" s="1"/>
      <c r="AT380" s="16"/>
      <c r="AX380" s="16"/>
    </row>
    <row r="381" spans="2:50" x14ac:dyDescent="0.25">
      <c r="B381" s="1"/>
      <c r="F381" s="1"/>
      <c r="J381" s="1"/>
      <c r="N381" s="1"/>
      <c r="R381" s="1"/>
      <c r="V381" s="1"/>
      <c r="Z381" s="1"/>
      <c r="AD381" s="1"/>
      <c r="AH381" s="1"/>
      <c r="AL381" s="1"/>
      <c r="AP381" s="1"/>
      <c r="AT381" s="16"/>
      <c r="AX381" s="16"/>
    </row>
    <row r="382" spans="2:50" x14ac:dyDescent="0.25">
      <c r="B382" s="1"/>
      <c r="F382" s="1"/>
      <c r="J382" s="1"/>
      <c r="N382" s="1"/>
      <c r="R382" s="1"/>
      <c r="V382" s="1"/>
      <c r="Z382" s="1"/>
      <c r="AD382" s="1"/>
      <c r="AH382" s="1"/>
      <c r="AL382" s="1"/>
      <c r="AP382" s="1"/>
      <c r="AT382" s="16"/>
      <c r="AX382" s="16"/>
    </row>
    <row r="383" spans="2:50" x14ac:dyDescent="0.25">
      <c r="B383" s="1"/>
      <c r="F383" s="1"/>
      <c r="J383" s="1"/>
      <c r="N383" s="1"/>
      <c r="R383" s="1"/>
      <c r="V383" s="1"/>
      <c r="Z383" s="1"/>
      <c r="AD383" s="1"/>
      <c r="AH383" s="1"/>
      <c r="AL383" s="1"/>
      <c r="AP383" s="1"/>
      <c r="AT383" s="16"/>
      <c r="AX383" s="16"/>
    </row>
    <row r="384" spans="2:50" x14ac:dyDescent="0.25">
      <c r="B384" s="1"/>
      <c r="F384" s="1"/>
      <c r="J384" s="1"/>
      <c r="N384" s="1"/>
      <c r="R384" s="1"/>
      <c r="V384" s="1"/>
      <c r="Z384" s="1"/>
      <c r="AD384" s="1"/>
      <c r="AH384" s="1"/>
      <c r="AL384" s="1"/>
      <c r="AP384" s="1"/>
      <c r="AT384" s="16"/>
      <c r="AX384" s="16"/>
    </row>
    <row r="385" spans="2:50" x14ac:dyDescent="0.25">
      <c r="B385" s="1"/>
      <c r="F385" s="1"/>
      <c r="J385" s="1"/>
      <c r="N385" s="1"/>
      <c r="R385" s="1"/>
      <c r="V385" s="1"/>
      <c r="Z385" s="1"/>
      <c r="AD385" s="1"/>
      <c r="AH385" s="1"/>
      <c r="AL385" s="1"/>
      <c r="AP385" s="1"/>
      <c r="AT385" s="16"/>
      <c r="AX385" s="16"/>
    </row>
    <row r="386" spans="2:50" x14ac:dyDescent="0.25">
      <c r="B386" s="1"/>
      <c r="F386" s="1"/>
      <c r="J386" s="1"/>
      <c r="N386" s="1"/>
      <c r="R386" s="1"/>
      <c r="V386" s="1"/>
      <c r="Z386" s="1"/>
      <c r="AD386" s="1"/>
      <c r="AH386" s="1"/>
      <c r="AL386" s="1"/>
      <c r="AP386" s="1"/>
      <c r="AT386" s="16"/>
      <c r="AX386" s="16"/>
    </row>
    <row r="387" spans="2:50" x14ac:dyDescent="0.25">
      <c r="B387" s="1"/>
      <c r="F387" s="1"/>
      <c r="J387" s="1"/>
      <c r="N387" s="1"/>
      <c r="R387" s="1"/>
      <c r="V387" s="1"/>
      <c r="Z387" s="1"/>
      <c r="AD387" s="1"/>
      <c r="AH387" s="1"/>
      <c r="AL387" s="1"/>
      <c r="AP387" s="1"/>
      <c r="AT387" s="16"/>
      <c r="AX387" s="16"/>
    </row>
    <row r="388" spans="2:50" x14ac:dyDescent="0.25">
      <c r="B388" s="1"/>
      <c r="F388" s="1"/>
      <c r="J388" s="1"/>
      <c r="N388" s="1"/>
      <c r="R388" s="1"/>
      <c r="V388" s="1"/>
      <c r="Z388" s="1"/>
      <c r="AD388" s="1"/>
      <c r="AH388" s="1"/>
      <c r="AL388" s="1"/>
      <c r="AP388" s="1"/>
      <c r="AT388" s="16"/>
      <c r="AX388" s="16"/>
    </row>
    <row r="389" spans="2:50" x14ac:dyDescent="0.25">
      <c r="B389" s="1"/>
      <c r="F389" s="1"/>
      <c r="J389" s="1"/>
      <c r="N389" s="1"/>
      <c r="R389" s="1"/>
      <c r="V389" s="1"/>
      <c r="Z389" s="1"/>
      <c r="AD389" s="1"/>
      <c r="AH389" s="1"/>
      <c r="AL389" s="1"/>
      <c r="AP389" s="1"/>
      <c r="AT389" s="16"/>
      <c r="AX389" s="16"/>
    </row>
    <row r="390" spans="2:50" x14ac:dyDescent="0.25">
      <c r="B390" s="1"/>
      <c r="F390" s="1"/>
      <c r="J390" s="1"/>
      <c r="N390" s="1"/>
      <c r="R390" s="1"/>
      <c r="V390" s="1"/>
      <c r="Z390" s="1"/>
      <c r="AD390" s="1"/>
      <c r="AH390" s="1"/>
      <c r="AL390" s="1"/>
      <c r="AP390" s="1"/>
      <c r="AT390" s="16"/>
      <c r="AX390" s="16"/>
    </row>
    <row r="391" spans="2:50" x14ac:dyDescent="0.25">
      <c r="B391" s="1"/>
      <c r="F391" s="1"/>
      <c r="J391" s="1"/>
      <c r="N391" s="1"/>
      <c r="R391" s="1"/>
      <c r="V391" s="1"/>
      <c r="Z391" s="1"/>
      <c r="AD391" s="1"/>
      <c r="AH391" s="1"/>
      <c r="AL391" s="1"/>
      <c r="AP391" s="1"/>
      <c r="AT391" s="16"/>
      <c r="AX391" s="16"/>
    </row>
    <row r="392" spans="2:50" x14ac:dyDescent="0.25">
      <c r="B392" s="1"/>
      <c r="F392" s="1"/>
      <c r="J392" s="1"/>
      <c r="N392" s="1"/>
      <c r="R392" s="1"/>
      <c r="V392" s="1"/>
      <c r="Z392" s="1"/>
      <c r="AD392" s="1"/>
      <c r="AH392" s="1"/>
      <c r="AL392" s="1"/>
      <c r="AP392" s="1"/>
      <c r="AT392" s="16"/>
      <c r="AX392" s="16"/>
    </row>
    <row r="393" spans="2:50" x14ac:dyDescent="0.25">
      <c r="B393" s="1"/>
      <c r="F393" s="1"/>
      <c r="J393" s="1"/>
      <c r="N393" s="1"/>
      <c r="R393" s="1"/>
      <c r="V393" s="1"/>
      <c r="Z393" s="1"/>
      <c r="AD393" s="1"/>
      <c r="AH393" s="1"/>
      <c r="AL393" s="1"/>
      <c r="AP393" s="1"/>
      <c r="AT393" s="16"/>
      <c r="AX393" s="16"/>
    </row>
    <row r="394" spans="2:50" x14ac:dyDescent="0.25">
      <c r="B394" s="1"/>
      <c r="F394" s="1"/>
      <c r="J394" s="1"/>
      <c r="N394" s="1"/>
      <c r="R394" s="1"/>
      <c r="V394" s="1"/>
      <c r="Z394" s="1"/>
      <c r="AD394" s="1"/>
      <c r="AH394" s="1"/>
      <c r="AL394" s="1"/>
      <c r="AP394" s="1"/>
      <c r="AT394" s="16"/>
      <c r="AX394" s="16"/>
    </row>
    <row r="395" spans="2:50" x14ac:dyDescent="0.25">
      <c r="B395" s="1"/>
      <c r="F395" s="1"/>
      <c r="J395" s="1"/>
      <c r="N395" s="1"/>
      <c r="R395" s="1"/>
      <c r="V395" s="1"/>
      <c r="Z395" s="1"/>
      <c r="AD395" s="1"/>
      <c r="AH395" s="1"/>
      <c r="AL395" s="1"/>
      <c r="AP395" s="1"/>
      <c r="AT395" s="16"/>
      <c r="AX395" s="16"/>
    </row>
    <row r="396" spans="2:50" x14ac:dyDescent="0.25">
      <c r="B396" s="1"/>
      <c r="F396" s="1"/>
      <c r="J396" s="1"/>
      <c r="N396" s="1"/>
      <c r="R396" s="1"/>
      <c r="V396" s="1"/>
      <c r="Z396" s="1"/>
      <c r="AD396" s="1"/>
      <c r="AH396" s="1"/>
      <c r="AL396" s="1"/>
      <c r="AP396" s="1"/>
      <c r="AT396" s="16"/>
      <c r="AX396" s="16"/>
    </row>
    <row r="397" spans="2:50" x14ac:dyDescent="0.25">
      <c r="B397" s="1"/>
      <c r="F397" s="1"/>
      <c r="J397" s="1"/>
      <c r="N397" s="1"/>
      <c r="R397" s="1"/>
      <c r="V397" s="1"/>
      <c r="Z397" s="1"/>
      <c r="AD397" s="1"/>
      <c r="AH397" s="1"/>
      <c r="AL397" s="1"/>
      <c r="AP397" s="1"/>
      <c r="AT397" s="16"/>
      <c r="AX397" s="16"/>
    </row>
    <row r="398" spans="2:50" x14ac:dyDescent="0.25">
      <c r="B398" s="1"/>
      <c r="F398" s="1"/>
      <c r="J398" s="1"/>
      <c r="N398" s="1"/>
      <c r="R398" s="1"/>
      <c r="V398" s="1"/>
      <c r="Z398" s="1"/>
      <c r="AD398" s="1"/>
      <c r="AH398" s="1"/>
      <c r="AL398" s="1"/>
      <c r="AP398" s="1"/>
      <c r="AT398" s="16"/>
      <c r="AX398" s="16"/>
    </row>
    <row r="399" spans="2:50" x14ac:dyDescent="0.25">
      <c r="B399" s="1"/>
      <c r="F399" s="1"/>
      <c r="J399" s="1"/>
      <c r="N399" s="1"/>
      <c r="R399" s="1"/>
      <c r="V399" s="1"/>
      <c r="Z399" s="1"/>
      <c r="AD399" s="1"/>
      <c r="AH399" s="1"/>
      <c r="AL399" s="1"/>
      <c r="AP399" s="1"/>
      <c r="AT399" s="16"/>
      <c r="AX399" s="16"/>
    </row>
    <row r="400" spans="2:50" x14ac:dyDescent="0.25">
      <c r="B400" s="1"/>
      <c r="F400" s="1"/>
      <c r="J400" s="1"/>
      <c r="N400" s="1"/>
      <c r="R400" s="1"/>
      <c r="V400" s="1"/>
      <c r="Z400" s="1"/>
      <c r="AD400" s="1"/>
      <c r="AH400" s="1"/>
      <c r="AL400" s="1"/>
      <c r="AP400" s="1"/>
      <c r="AT400" s="16"/>
      <c r="AX400" s="16"/>
    </row>
    <row r="401" spans="2:50" x14ac:dyDescent="0.25">
      <c r="B401" s="1"/>
      <c r="F401" s="1"/>
      <c r="J401" s="1"/>
      <c r="N401" s="1"/>
      <c r="R401" s="1"/>
      <c r="V401" s="1"/>
      <c r="Z401" s="1"/>
      <c r="AD401" s="1"/>
      <c r="AH401" s="1"/>
      <c r="AL401" s="1"/>
      <c r="AP401" s="1"/>
      <c r="AT401" s="16"/>
      <c r="AX401" s="16"/>
    </row>
    <row r="402" spans="2:50" x14ac:dyDescent="0.25">
      <c r="B402" s="1"/>
      <c r="F402" s="1"/>
      <c r="J402" s="1"/>
      <c r="N402" s="1"/>
      <c r="R402" s="1"/>
      <c r="V402" s="1"/>
      <c r="Z402" s="1"/>
      <c r="AD402" s="1"/>
      <c r="AH402" s="1"/>
      <c r="AL402" s="1"/>
      <c r="AP402" s="1"/>
      <c r="AT402" s="16"/>
      <c r="AX402" s="16"/>
    </row>
    <row r="403" spans="2:50" x14ac:dyDescent="0.25">
      <c r="B403" s="1"/>
      <c r="F403" s="1"/>
      <c r="J403" s="1"/>
      <c r="N403" s="1"/>
      <c r="R403" s="1"/>
      <c r="V403" s="1"/>
      <c r="Z403" s="1"/>
      <c r="AD403" s="1"/>
      <c r="AH403" s="1"/>
      <c r="AL403" s="1"/>
      <c r="AP403" s="1"/>
      <c r="AT403" s="16"/>
      <c r="AX403" s="16"/>
    </row>
    <row r="404" spans="2:50" x14ac:dyDescent="0.25">
      <c r="B404" s="1"/>
      <c r="F404" s="1"/>
      <c r="J404" s="1"/>
      <c r="N404" s="1"/>
      <c r="R404" s="1"/>
      <c r="V404" s="1"/>
      <c r="Z404" s="1"/>
      <c r="AD404" s="1"/>
      <c r="AH404" s="1"/>
      <c r="AL404" s="1"/>
      <c r="AP404" s="1"/>
      <c r="AT404" s="16"/>
      <c r="AX404" s="16"/>
    </row>
    <row r="405" spans="2:50" x14ac:dyDescent="0.25">
      <c r="B405" s="1"/>
      <c r="F405" s="1"/>
      <c r="J405" s="1"/>
      <c r="N405" s="1"/>
      <c r="R405" s="1"/>
      <c r="V405" s="1"/>
      <c r="Z405" s="1"/>
      <c r="AD405" s="1"/>
      <c r="AH405" s="1"/>
      <c r="AL405" s="1"/>
      <c r="AP405" s="1"/>
      <c r="AT405" s="16"/>
      <c r="AX405" s="16"/>
    </row>
    <row r="406" spans="2:50" x14ac:dyDescent="0.25">
      <c r="B406" s="1"/>
      <c r="F406" s="1"/>
      <c r="J406" s="1"/>
      <c r="N406" s="1"/>
      <c r="R406" s="1"/>
      <c r="V406" s="1"/>
      <c r="Z406" s="1"/>
      <c r="AD406" s="1"/>
      <c r="AH406" s="1"/>
      <c r="AL406" s="1"/>
      <c r="AP406" s="1"/>
      <c r="AT406" s="16"/>
      <c r="AX406" s="16"/>
    </row>
    <row r="407" spans="2:50" x14ac:dyDescent="0.25">
      <c r="B407" s="1"/>
      <c r="F407" s="1"/>
      <c r="J407" s="1"/>
      <c r="N407" s="1"/>
      <c r="R407" s="1"/>
      <c r="V407" s="1"/>
      <c r="Z407" s="1"/>
      <c r="AD407" s="1"/>
      <c r="AH407" s="1"/>
      <c r="AL407" s="1"/>
      <c r="AP407" s="1"/>
      <c r="AT407" s="16"/>
      <c r="AX407" s="16"/>
    </row>
    <row r="408" spans="2:50" x14ac:dyDescent="0.25">
      <c r="B408" s="1"/>
      <c r="F408" s="1"/>
      <c r="J408" s="1"/>
      <c r="N408" s="1"/>
      <c r="R408" s="1"/>
      <c r="V408" s="1"/>
      <c r="Z408" s="1"/>
      <c r="AD408" s="1"/>
      <c r="AH408" s="1"/>
      <c r="AL408" s="1"/>
      <c r="AP408" s="1"/>
      <c r="AT408" s="16"/>
      <c r="AX408" s="16"/>
    </row>
    <row r="409" spans="2:50" x14ac:dyDescent="0.25">
      <c r="B409" s="1"/>
      <c r="F409" s="1"/>
      <c r="J409" s="1"/>
      <c r="N409" s="1"/>
      <c r="R409" s="1"/>
      <c r="V409" s="1"/>
      <c r="Z409" s="1"/>
      <c r="AD409" s="1"/>
      <c r="AH409" s="1"/>
      <c r="AL409" s="1"/>
      <c r="AP409" s="1"/>
      <c r="AT409" s="16"/>
      <c r="AX409" s="16"/>
    </row>
    <row r="410" spans="2:50" x14ac:dyDescent="0.25">
      <c r="B410" s="1"/>
      <c r="F410" s="1"/>
      <c r="J410" s="1"/>
      <c r="N410" s="1"/>
      <c r="R410" s="1"/>
      <c r="V410" s="1"/>
      <c r="Z410" s="1"/>
      <c r="AD410" s="1"/>
      <c r="AH410" s="1"/>
      <c r="AL410" s="1"/>
      <c r="AP410" s="1"/>
      <c r="AT410" s="16"/>
      <c r="AX410" s="16"/>
    </row>
    <row r="411" spans="2:50" x14ac:dyDescent="0.25">
      <c r="B411" s="1"/>
      <c r="F411" s="1"/>
      <c r="J411" s="1"/>
      <c r="N411" s="1"/>
      <c r="R411" s="1"/>
      <c r="V411" s="1"/>
      <c r="Z411" s="1"/>
      <c r="AD411" s="1"/>
      <c r="AH411" s="1"/>
      <c r="AL411" s="1"/>
      <c r="AP411" s="1"/>
      <c r="AT411" s="16"/>
      <c r="AX411" s="16"/>
    </row>
    <row r="412" spans="2:50" x14ac:dyDescent="0.25">
      <c r="B412" s="1"/>
      <c r="F412" s="1"/>
      <c r="J412" s="1"/>
      <c r="N412" s="1"/>
      <c r="R412" s="1"/>
      <c r="V412" s="1"/>
      <c r="Z412" s="1"/>
      <c r="AD412" s="1"/>
      <c r="AH412" s="1"/>
      <c r="AL412" s="1"/>
      <c r="AP412" s="1"/>
      <c r="AT412" s="16"/>
      <c r="AX412" s="16"/>
    </row>
    <row r="413" spans="2:50" x14ac:dyDescent="0.25">
      <c r="B413" s="1"/>
      <c r="F413" s="1"/>
      <c r="J413" s="1"/>
      <c r="N413" s="1"/>
      <c r="R413" s="1"/>
      <c r="V413" s="1"/>
      <c r="Z413" s="1"/>
      <c r="AD413" s="1"/>
      <c r="AH413" s="1"/>
      <c r="AL413" s="1"/>
      <c r="AP413" s="1"/>
      <c r="AT413" s="16"/>
      <c r="AX413" s="16"/>
    </row>
    <row r="414" spans="2:50" x14ac:dyDescent="0.25">
      <c r="B414" s="1"/>
      <c r="F414" s="1"/>
      <c r="J414" s="1"/>
      <c r="N414" s="1"/>
      <c r="R414" s="1"/>
      <c r="V414" s="1"/>
      <c r="Z414" s="1"/>
      <c r="AD414" s="1"/>
      <c r="AH414" s="1"/>
      <c r="AL414" s="1"/>
      <c r="AP414" s="1"/>
      <c r="AT414" s="16"/>
      <c r="AX414" s="16"/>
    </row>
    <row r="415" spans="2:50" x14ac:dyDescent="0.25">
      <c r="B415" s="1"/>
      <c r="F415" s="1"/>
      <c r="J415" s="1"/>
      <c r="N415" s="1"/>
      <c r="R415" s="1"/>
      <c r="V415" s="1"/>
      <c r="Z415" s="1"/>
      <c r="AD415" s="1"/>
      <c r="AH415" s="1"/>
      <c r="AL415" s="1"/>
      <c r="AP415" s="1"/>
      <c r="AT415" s="16"/>
      <c r="AX415" s="16"/>
    </row>
    <row r="416" spans="2:50" x14ac:dyDescent="0.25">
      <c r="B416" s="1"/>
      <c r="F416" s="1"/>
      <c r="J416" s="1"/>
      <c r="N416" s="1"/>
      <c r="R416" s="1"/>
      <c r="V416" s="1"/>
      <c r="Z416" s="1"/>
      <c r="AD416" s="1"/>
      <c r="AH416" s="1"/>
      <c r="AL416" s="1"/>
      <c r="AP416" s="1"/>
      <c r="AT416" s="16"/>
      <c r="AX416" s="16"/>
    </row>
    <row r="417" spans="2:50" x14ac:dyDescent="0.25">
      <c r="B417" s="1"/>
      <c r="F417" s="1"/>
      <c r="J417" s="1"/>
      <c r="N417" s="1"/>
      <c r="R417" s="1"/>
      <c r="V417" s="1"/>
      <c r="Z417" s="1"/>
      <c r="AD417" s="1"/>
      <c r="AH417" s="1"/>
      <c r="AL417" s="1"/>
      <c r="AP417" s="1"/>
      <c r="AT417" s="16"/>
      <c r="AX417" s="16"/>
    </row>
    <row r="418" spans="2:50" x14ac:dyDescent="0.25">
      <c r="B418" s="1"/>
      <c r="F418" s="1"/>
      <c r="J418" s="1"/>
      <c r="N418" s="1"/>
      <c r="R418" s="1"/>
      <c r="V418" s="1"/>
      <c r="Z418" s="1"/>
      <c r="AD418" s="1"/>
      <c r="AH418" s="1"/>
      <c r="AL418" s="1"/>
      <c r="AP418" s="1"/>
      <c r="AT418" s="16"/>
      <c r="AX418" s="16"/>
    </row>
    <row r="419" spans="2:50" x14ac:dyDescent="0.25">
      <c r="B419" s="1"/>
      <c r="F419" s="1"/>
      <c r="J419" s="1"/>
      <c r="N419" s="1"/>
      <c r="R419" s="1"/>
      <c r="V419" s="1"/>
      <c r="Z419" s="1"/>
      <c r="AD419" s="1"/>
      <c r="AH419" s="1"/>
      <c r="AL419" s="1"/>
      <c r="AP419" s="1"/>
      <c r="AT419" s="16"/>
      <c r="AX419" s="16"/>
    </row>
    <row r="420" spans="2:50" x14ac:dyDescent="0.25">
      <c r="B420" s="1"/>
      <c r="F420" s="1"/>
      <c r="J420" s="1"/>
      <c r="N420" s="1"/>
      <c r="R420" s="1"/>
      <c r="V420" s="1"/>
      <c r="Z420" s="1"/>
      <c r="AD420" s="1"/>
      <c r="AH420" s="1"/>
      <c r="AL420" s="1"/>
      <c r="AP420" s="1"/>
      <c r="AT420" s="16"/>
      <c r="AX420" s="16"/>
    </row>
    <row r="421" spans="2:50" x14ac:dyDescent="0.25">
      <c r="B421" s="1"/>
      <c r="F421" s="1"/>
      <c r="J421" s="1"/>
      <c r="N421" s="1"/>
      <c r="R421" s="1"/>
      <c r="V421" s="1"/>
      <c r="Z421" s="1"/>
      <c r="AD421" s="1"/>
      <c r="AH421" s="1"/>
      <c r="AL421" s="1"/>
      <c r="AP421" s="1"/>
      <c r="AT421" s="16"/>
      <c r="AX421" s="16"/>
    </row>
    <row r="422" spans="2:50" x14ac:dyDescent="0.25">
      <c r="B422" s="1"/>
      <c r="F422" s="1"/>
      <c r="J422" s="1"/>
      <c r="N422" s="1"/>
      <c r="R422" s="1"/>
      <c r="V422" s="1"/>
      <c r="Z422" s="1"/>
      <c r="AD422" s="1"/>
      <c r="AH422" s="1"/>
      <c r="AL422" s="1"/>
      <c r="AP422" s="1"/>
      <c r="AT422" s="16"/>
      <c r="AX422" s="16"/>
    </row>
    <row r="423" spans="2:50" x14ac:dyDescent="0.25">
      <c r="B423" s="1"/>
      <c r="F423" s="1"/>
      <c r="J423" s="1"/>
      <c r="N423" s="1"/>
      <c r="R423" s="1"/>
      <c r="V423" s="1"/>
      <c r="Z423" s="1"/>
      <c r="AD423" s="1"/>
      <c r="AH423" s="1"/>
      <c r="AL423" s="1"/>
      <c r="AP423" s="1"/>
      <c r="AT423" s="16"/>
      <c r="AX423" s="16"/>
    </row>
    <row r="424" spans="2:50" x14ac:dyDescent="0.25">
      <c r="B424" s="1"/>
      <c r="F424" s="1"/>
      <c r="J424" s="1"/>
      <c r="N424" s="1"/>
      <c r="R424" s="1"/>
      <c r="V424" s="1"/>
      <c r="Z424" s="1"/>
      <c r="AD424" s="1"/>
      <c r="AH424" s="1"/>
      <c r="AL424" s="1"/>
      <c r="AP424" s="1"/>
      <c r="AT424" s="16"/>
      <c r="AX424" s="16"/>
    </row>
    <row r="425" spans="2:50" x14ac:dyDescent="0.25">
      <c r="B425" s="1"/>
      <c r="F425" s="1"/>
      <c r="J425" s="1"/>
      <c r="N425" s="1"/>
      <c r="R425" s="1"/>
      <c r="V425" s="1"/>
      <c r="Z425" s="1"/>
      <c r="AD425" s="1"/>
      <c r="AH425" s="1"/>
      <c r="AL425" s="1"/>
      <c r="AP425" s="1"/>
      <c r="AT425" s="16"/>
      <c r="AX425" s="16"/>
    </row>
    <row r="426" spans="2:50" x14ac:dyDescent="0.25">
      <c r="B426" s="1"/>
      <c r="F426" s="1"/>
      <c r="J426" s="1"/>
      <c r="N426" s="1"/>
      <c r="R426" s="1"/>
      <c r="V426" s="1"/>
      <c r="Z426" s="1"/>
      <c r="AD426" s="1"/>
      <c r="AH426" s="1"/>
      <c r="AL426" s="1"/>
      <c r="AP426" s="1"/>
      <c r="AT426" s="16"/>
      <c r="AX426" s="16"/>
    </row>
    <row r="427" spans="2:50" x14ac:dyDescent="0.25">
      <c r="B427" s="1"/>
      <c r="F427" s="1"/>
      <c r="J427" s="1"/>
      <c r="N427" s="1"/>
      <c r="R427" s="1"/>
      <c r="V427" s="1"/>
      <c r="Z427" s="1"/>
      <c r="AD427" s="1"/>
      <c r="AH427" s="1"/>
      <c r="AL427" s="1"/>
      <c r="AP427" s="1"/>
      <c r="AT427" s="16"/>
      <c r="AX427" s="16"/>
    </row>
    <row r="428" spans="2:50" x14ac:dyDescent="0.25">
      <c r="B428" s="1"/>
      <c r="F428" s="1"/>
      <c r="J428" s="1"/>
      <c r="N428" s="1"/>
      <c r="R428" s="1"/>
      <c r="V428" s="1"/>
      <c r="Z428" s="1"/>
      <c r="AD428" s="1"/>
      <c r="AH428" s="1"/>
      <c r="AL428" s="1"/>
      <c r="AP428" s="1"/>
      <c r="AT428" s="16"/>
      <c r="AX428" s="16"/>
    </row>
    <row r="429" spans="2:50" x14ac:dyDescent="0.25">
      <c r="B429" s="1"/>
      <c r="F429" s="1"/>
      <c r="J429" s="1"/>
      <c r="N429" s="1"/>
      <c r="R429" s="1"/>
      <c r="V429" s="1"/>
      <c r="Z429" s="1"/>
      <c r="AD429" s="1"/>
      <c r="AH429" s="1"/>
      <c r="AL429" s="1"/>
      <c r="AP429" s="1"/>
      <c r="AT429" s="16"/>
      <c r="AX429" s="16"/>
    </row>
    <row r="430" spans="2:50" x14ac:dyDescent="0.25">
      <c r="B430" s="1"/>
      <c r="F430" s="1"/>
      <c r="J430" s="1"/>
      <c r="N430" s="1"/>
      <c r="R430" s="1"/>
      <c r="V430" s="1"/>
      <c r="Z430" s="1"/>
      <c r="AD430" s="1"/>
      <c r="AH430" s="1"/>
      <c r="AL430" s="1"/>
      <c r="AP430" s="1"/>
      <c r="AT430" s="16"/>
      <c r="AX430" s="16"/>
    </row>
    <row r="431" spans="2:50" x14ac:dyDescent="0.25">
      <c r="B431" s="1"/>
      <c r="F431" s="1"/>
      <c r="J431" s="1"/>
      <c r="N431" s="1"/>
      <c r="R431" s="1"/>
      <c r="V431" s="1"/>
      <c r="Z431" s="1"/>
      <c r="AD431" s="1"/>
      <c r="AH431" s="1"/>
      <c r="AL431" s="1"/>
      <c r="AP431" s="1"/>
      <c r="AT431" s="16"/>
      <c r="AX431" s="16"/>
    </row>
    <row r="432" spans="2:50" x14ac:dyDescent="0.25">
      <c r="B432" s="1"/>
      <c r="F432" s="1"/>
      <c r="J432" s="1"/>
      <c r="N432" s="1"/>
      <c r="R432" s="1"/>
      <c r="V432" s="1"/>
      <c r="Z432" s="1"/>
      <c r="AD432" s="1"/>
      <c r="AH432" s="1"/>
      <c r="AL432" s="1"/>
      <c r="AP432" s="1"/>
      <c r="AT432" s="16"/>
      <c r="AX432" s="16"/>
    </row>
    <row r="433" spans="2:50" x14ac:dyDescent="0.25">
      <c r="B433" s="1"/>
      <c r="F433" s="1"/>
      <c r="J433" s="1"/>
      <c r="N433" s="1"/>
      <c r="R433" s="1"/>
      <c r="V433" s="1"/>
      <c r="Z433" s="1"/>
      <c r="AD433" s="1"/>
      <c r="AH433" s="1"/>
      <c r="AL433" s="1"/>
      <c r="AP433" s="1"/>
      <c r="AT433" s="16"/>
      <c r="AX433" s="16"/>
    </row>
    <row r="434" spans="2:50" x14ac:dyDescent="0.25">
      <c r="B434" s="1"/>
      <c r="F434" s="1"/>
      <c r="J434" s="1"/>
      <c r="N434" s="1"/>
      <c r="R434" s="1"/>
      <c r="V434" s="1"/>
      <c r="Z434" s="1"/>
      <c r="AD434" s="1"/>
      <c r="AH434" s="1"/>
      <c r="AL434" s="1"/>
      <c r="AP434" s="1"/>
      <c r="AT434" s="16"/>
      <c r="AX434" s="16"/>
    </row>
    <row r="435" spans="2:50" x14ac:dyDescent="0.25">
      <c r="B435" s="1"/>
      <c r="F435" s="1"/>
      <c r="J435" s="1"/>
      <c r="N435" s="1"/>
      <c r="R435" s="1"/>
      <c r="V435" s="1"/>
      <c r="Z435" s="1"/>
      <c r="AD435" s="1"/>
      <c r="AH435" s="1"/>
      <c r="AL435" s="1"/>
      <c r="AP435" s="1"/>
      <c r="AT435" s="16"/>
      <c r="AX435" s="16"/>
    </row>
    <row r="436" spans="2:50" x14ac:dyDescent="0.25">
      <c r="B436" s="1"/>
      <c r="F436" s="1"/>
      <c r="J436" s="1"/>
      <c r="N436" s="1"/>
      <c r="R436" s="1"/>
      <c r="V436" s="1"/>
      <c r="Z436" s="1"/>
      <c r="AD436" s="1"/>
      <c r="AH436" s="1"/>
      <c r="AL436" s="1"/>
      <c r="AP436" s="1"/>
      <c r="AT436" s="16"/>
      <c r="AX436" s="16"/>
    </row>
    <row r="437" spans="2:50" x14ac:dyDescent="0.25">
      <c r="B437" s="1"/>
      <c r="F437" s="1"/>
      <c r="J437" s="1"/>
      <c r="N437" s="1"/>
      <c r="R437" s="1"/>
      <c r="V437" s="1"/>
      <c r="Z437" s="1"/>
      <c r="AD437" s="1"/>
      <c r="AH437" s="1"/>
      <c r="AL437" s="1"/>
      <c r="AP437" s="1"/>
      <c r="AT437" s="16"/>
      <c r="AX437" s="16"/>
    </row>
    <row r="438" spans="2:50" x14ac:dyDescent="0.25">
      <c r="B438" s="1"/>
      <c r="F438" s="1"/>
      <c r="J438" s="1"/>
      <c r="N438" s="1"/>
      <c r="R438" s="1"/>
      <c r="V438" s="1"/>
      <c r="Z438" s="1"/>
      <c r="AD438" s="1"/>
      <c r="AH438" s="1"/>
      <c r="AL438" s="1"/>
      <c r="AP438" s="1"/>
      <c r="AT438" s="16"/>
      <c r="AX438" s="16"/>
    </row>
    <row r="439" spans="2:50" x14ac:dyDescent="0.25">
      <c r="B439" s="1"/>
      <c r="F439" s="1"/>
      <c r="J439" s="1"/>
      <c r="N439" s="1"/>
      <c r="R439" s="1"/>
      <c r="V439" s="1"/>
      <c r="Z439" s="1"/>
      <c r="AD439" s="1"/>
      <c r="AH439" s="1"/>
      <c r="AL439" s="1"/>
      <c r="AP439" s="1"/>
      <c r="AT439" s="16"/>
      <c r="AX439" s="16"/>
    </row>
    <row r="440" spans="2:50" x14ac:dyDescent="0.25">
      <c r="B440" s="1"/>
      <c r="F440" s="1"/>
      <c r="J440" s="1"/>
      <c r="N440" s="1"/>
      <c r="R440" s="1"/>
      <c r="V440" s="1"/>
      <c r="Z440" s="1"/>
      <c r="AD440" s="1"/>
      <c r="AH440" s="1"/>
      <c r="AL440" s="1"/>
      <c r="AP440" s="1"/>
      <c r="AT440" s="16"/>
      <c r="AX440" s="16"/>
    </row>
    <row r="441" spans="2:50" x14ac:dyDescent="0.25">
      <c r="B441" s="1"/>
      <c r="F441" s="1"/>
      <c r="J441" s="1"/>
      <c r="N441" s="1"/>
      <c r="R441" s="1"/>
      <c r="V441" s="1"/>
      <c r="Z441" s="1"/>
      <c r="AD441" s="1"/>
      <c r="AH441" s="1"/>
      <c r="AL441" s="1"/>
      <c r="AP441" s="1"/>
      <c r="AT441" s="16"/>
      <c r="AX441" s="16"/>
    </row>
    <row r="442" spans="2:50" x14ac:dyDescent="0.25">
      <c r="B442" s="1"/>
      <c r="F442" s="1"/>
      <c r="J442" s="1"/>
      <c r="N442" s="1"/>
      <c r="R442" s="1"/>
      <c r="V442" s="1"/>
      <c r="Z442" s="1"/>
      <c r="AD442" s="1"/>
      <c r="AH442" s="1"/>
      <c r="AL442" s="1"/>
      <c r="AP442" s="1"/>
      <c r="AT442" s="16"/>
      <c r="AX442" s="16"/>
    </row>
    <row r="443" spans="2:50" x14ac:dyDescent="0.25">
      <c r="B443" s="1"/>
      <c r="F443" s="1"/>
      <c r="J443" s="1"/>
      <c r="N443" s="1"/>
      <c r="R443" s="1"/>
      <c r="V443" s="1"/>
      <c r="Z443" s="1"/>
      <c r="AD443" s="1"/>
      <c r="AH443" s="1"/>
      <c r="AL443" s="1"/>
      <c r="AP443" s="1"/>
      <c r="AT443" s="16"/>
      <c r="AX443" s="16"/>
    </row>
    <row r="444" spans="2:50" x14ac:dyDescent="0.25">
      <c r="B444" s="1"/>
      <c r="F444" s="1"/>
      <c r="J444" s="1"/>
      <c r="N444" s="1"/>
      <c r="R444" s="1"/>
      <c r="V444" s="1"/>
      <c r="Z444" s="1"/>
      <c r="AD444" s="1"/>
      <c r="AH444" s="1"/>
      <c r="AL444" s="1"/>
      <c r="AP444" s="1"/>
      <c r="AT444" s="16"/>
      <c r="AX444" s="16"/>
    </row>
    <row r="445" spans="2:50" x14ac:dyDescent="0.25">
      <c r="B445" s="1"/>
      <c r="F445" s="1"/>
      <c r="J445" s="1"/>
      <c r="N445" s="1"/>
      <c r="R445" s="1"/>
      <c r="V445" s="1"/>
      <c r="Z445" s="1"/>
      <c r="AD445" s="1"/>
      <c r="AH445" s="1"/>
      <c r="AL445" s="1"/>
      <c r="AP445" s="1"/>
      <c r="AT445" s="16"/>
      <c r="AX445" s="16"/>
    </row>
    <row r="446" spans="2:50" x14ac:dyDescent="0.25">
      <c r="B446" s="1"/>
      <c r="F446" s="1"/>
      <c r="J446" s="1"/>
      <c r="N446" s="1"/>
      <c r="R446" s="1"/>
      <c r="V446" s="1"/>
      <c r="Z446" s="1"/>
      <c r="AD446" s="1"/>
      <c r="AH446" s="1"/>
      <c r="AL446" s="1"/>
      <c r="AP446" s="1"/>
      <c r="AT446" s="16"/>
      <c r="AX446" s="16"/>
    </row>
    <row r="447" spans="2:50" x14ac:dyDescent="0.25">
      <c r="B447" s="1"/>
      <c r="F447" s="1"/>
      <c r="J447" s="1"/>
      <c r="N447" s="1"/>
      <c r="R447" s="1"/>
      <c r="V447" s="1"/>
      <c r="Z447" s="1"/>
      <c r="AD447" s="1"/>
      <c r="AH447" s="1"/>
      <c r="AL447" s="1"/>
      <c r="AP447" s="1"/>
      <c r="AT447" s="16"/>
      <c r="AX447" s="16"/>
    </row>
    <row r="448" spans="2:50" x14ac:dyDescent="0.25">
      <c r="B448" s="1"/>
      <c r="F448" s="1"/>
      <c r="J448" s="1"/>
      <c r="N448" s="1"/>
      <c r="R448" s="1"/>
      <c r="V448" s="1"/>
      <c r="Z448" s="1"/>
      <c r="AD448" s="1"/>
      <c r="AH448" s="1"/>
      <c r="AL448" s="1"/>
      <c r="AP448" s="1"/>
      <c r="AT448" s="16"/>
      <c r="AX448" s="16"/>
    </row>
    <row r="449" spans="2:50" x14ac:dyDescent="0.25">
      <c r="B449" s="1"/>
      <c r="F449" s="1"/>
      <c r="J449" s="1"/>
      <c r="N449" s="1"/>
      <c r="R449" s="1"/>
      <c r="V449" s="1"/>
      <c r="Z449" s="1"/>
      <c r="AD449" s="1"/>
      <c r="AH449" s="1"/>
      <c r="AL449" s="1"/>
      <c r="AP449" s="1"/>
      <c r="AT449" s="16"/>
      <c r="AX449" s="16"/>
    </row>
    <row r="450" spans="2:50" x14ac:dyDescent="0.25">
      <c r="B450" s="1"/>
      <c r="F450" s="1"/>
      <c r="J450" s="1"/>
      <c r="N450" s="1"/>
      <c r="R450" s="1"/>
      <c r="V450" s="1"/>
      <c r="Z450" s="1"/>
      <c r="AD450" s="1"/>
      <c r="AH450" s="1"/>
      <c r="AL450" s="1"/>
      <c r="AP450" s="1"/>
      <c r="AT450" s="16"/>
      <c r="AX450" s="16"/>
    </row>
    <row r="451" spans="2:50" x14ac:dyDescent="0.25">
      <c r="B451" s="1"/>
      <c r="F451" s="1"/>
      <c r="J451" s="1"/>
      <c r="N451" s="1"/>
      <c r="R451" s="1"/>
      <c r="V451" s="1"/>
      <c r="Z451" s="1"/>
      <c r="AD451" s="1"/>
      <c r="AH451" s="1"/>
      <c r="AL451" s="1"/>
      <c r="AP451" s="1"/>
      <c r="AT451" s="16"/>
      <c r="AX451" s="16"/>
    </row>
    <row r="452" spans="2:50" x14ac:dyDescent="0.25">
      <c r="B452" s="1"/>
      <c r="F452" s="1"/>
      <c r="J452" s="1"/>
      <c r="N452" s="1"/>
      <c r="R452" s="1"/>
      <c r="V452" s="1"/>
      <c r="Z452" s="1"/>
      <c r="AD452" s="1"/>
      <c r="AH452" s="1"/>
      <c r="AL452" s="1"/>
      <c r="AP452" s="1"/>
      <c r="AT452" s="16"/>
      <c r="AX452" s="16"/>
    </row>
    <row r="453" spans="2:50" x14ac:dyDescent="0.25">
      <c r="B453" s="1"/>
      <c r="F453" s="1"/>
      <c r="J453" s="1"/>
      <c r="N453" s="1"/>
      <c r="R453" s="1"/>
      <c r="V453" s="1"/>
      <c r="Z453" s="1"/>
      <c r="AD453" s="1"/>
      <c r="AH453" s="1"/>
      <c r="AL453" s="1"/>
      <c r="AP453" s="1"/>
      <c r="AT453" s="16"/>
      <c r="AX453" s="16"/>
    </row>
    <row r="454" spans="2:50" x14ac:dyDescent="0.25">
      <c r="B454" s="1"/>
      <c r="F454" s="1"/>
      <c r="J454" s="1"/>
      <c r="N454" s="1"/>
      <c r="R454" s="1"/>
      <c r="V454" s="1"/>
      <c r="Z454" s="1"/>
      <c r="AD454" s="1"/>
      <c r="AH454" s="1"/>
      <c r="AL454" s="1"/>
      <c r="AP454" s="1"/>
      <c r="AT454" s="16"/>
      <c r="AX454" s="16"/>
    </row>
    <row r="455" spans="2:50" x14ac:dyDescent="0.25">
      <c r="B455" s="1"/>
      <c r="F455" s="1"/>
      <c r="J455" s="1"/>
      <c r="N455" s="1"/>
      <c r="R455" s="1"/>
      <c r="V455" s="1"/>
      <c r="Z455" s="1"/>
      <c r="AD455" s="1"/>
      <c r="AH455" s="1"/>
      <c r="AL455" s="1"/>
      <c r="AP455" s="1"/>
      <c r="AT455" s="16"/>
      <c r="AX455" s="16"/>
    </row>
    <row r="456" spans="2:50" x14ac:dyDescent="0.25">
      <c r="B456" s="1"/>
      <c r="F456" s="1"/>
      <c r="J456" s="1"/>
      <c r="N456" s="1"/>
      <c r="R456" s="1"/>
      <c r="V456" s="1"/>
      <c r="Z456" s="1"/>
      <c r="AD456" s="1"/>
      <c r="AH456" s="1"/>
      <c r="AL456" s="1"/>
      <c r="AP456" s="1"/>
      <c r="AT456" s="16"/>
      <c r="AX456" s="16"/>
    </row>
    <row r="457" spans="2:50" x14ac:dyDescent="0.25">
      <c r="B457" s="1"/>
      <c r="F457" s="1"/>
      <c r="J457" s="1"/>
      <c r="N457" s="1"/>
      <c r="R457" s="1"/>
      <c r="V457" s="1"/>
      <c r="Z457" s="1"/>
      <c r="AD457" s="1"/>
      <c r="AH457" s="1"/>
      <c r="AL457" s="1"/>
      <c r="AP457" s="1"/>
      <c r="AT457" s="16"/>
      <c r="AX457" s="16"/>
    </row>
    <row r="458" spans="2:50" x14ac:dyDescent="0.25">
      <c r="B458" s="1"/>
      <c r="F458" s="1"/>
      <c r="J458" s="1"/>
      <c r="N458" s="1"/>
      <c r="R458" s="1"/>
      <c r="V458" s="1"/>
      <c r="Z458" s="1"/>
      <c r="AD458" s="1"/>
      <c r="AH458" s="1"/>
      <c r="AL458" s="1"/>
      <c r="AP458" s="1"/>
      <c r="AT458" s="16"/>
      <c r="AX458" s="16"/>
    </row>
    <row r="459" spans="2:50" x14ac:dyDescent="0.25">
      <c r="B459" s="1"/>
      <c r="F459" s="1"/>
      <c r="J459" s="1"/>
      <c r="N459" s="1"/>
      <c r="R459" s="1"/>
      <c r="V459" s="1"/>
      <c r="Z459" s="1"/>
      <c r="AD459" s="1"/>
      <c r="AH459" s="1"/>
      <c r="AL459" s="1"/>
      <c r="AP459" s="1"/>
      <c r="AT459" s="16"/>
      <c r="AX459" s="16"/>
    </row>
    <row r="460" spans="2:50" x14ac:dyDescent="0.25">
      <c r="B460" s="1"/>
      <c r="F460" s="1"/>
      <c r="J460" s="1"/>
      <c r="N460" s="1"/>
      <c r="R460" s="1"/>
      <c r="V460" s="1"/>
      <c r="Z460" s="1"/>
      <c r="AD460" s="1"/>
      <c r="AH460" s="1"/>
      <c r="AL460" s="1"/>
      <c r="AP460" s="1"/>
      <c r="AT460" s="16"/>
      <c r="AX460" s="16"/>
    </row>
    <row r="461" spans="2:50" x14ac:dyDescent="0.25">
      <c r="B461" s="1"/>
      <c r="F461" s="1"/>
      <c r="J461" s="1"/>
      <c r="N461" s="1"/>
      <c r="R461" s="1"/>
      <c r="V461" s="1"/>
      <c r="Z461" s="1"/>
      <c r="AD461" s="1"/>
      <c r="AH461" s="1"/>
      <c r="AL461" s="1"/>
      <c r="AP461" s="1"/>
      <c r="AT461" s="16"/>
      <c r="AX461" s="16"/>
    </row>
    <row r="462" spans="2:50" x14ac:dyDescent="0.25">
      <c r="B462" s="1"/>
      <c r="F462" s="1"/>
      <c r="J462" s="1"/>
      <c r="N462" s="1"/>
      <c r="R462" s="1"/>
      <c r="V462" s="1"/>
      <c r="Z462" s="1"/>
      <c r="AD462" s="1"/>
      <c r="AH462" s="1"/>
      <c r="AL462" s="1"/>
      <c r="AP462" s="1"/>
      <c r="AT462" s="16"/>
      <c r="AX462" s="16"/>
    </row>
    <row r="463" spans="2:50" x14ac:dyDescent="0.25">
      <c r="B463" s="1"/>
      <c r="F463" s="1"/>
      <c r="J463" s="1"/>
      <c r="N463" s="1"/>
      <c r="R463" s="1"/>
      <c r="V463" s="1"/>
      <c r="Z463" s="1"/>
      <c r="AD463" s="1"/>
      <c r="AH463" s="1"/>
      <c r="AL463" s="1"/>
      <c r="AP463" s="1"/>
      <c r="AT463" s="16"/>
      <c r="AX463" s="16"/>
    </row>
    <row r="464" spans="2:50" x14ac:dyDescent="0.25">
      <c r="B464" s="1"/>
      <c r="F464" s="1"/>
      <c r="J464" s="1"/>
      <c r="N464" s="1"/>
      <c r="R464" s="1"/>
      <c r="V464" s="1"/>
      <c r="Z464" s="1"/>
      <c r="AD464" s="1"/>
      <c r="AH464" s="1"/>
      <c r="AL464" s="1"/>
      <c r="AP464" s="1"/>
      <c r="AT464" s="16"/>
      <c r="AX464" s="16"/>
    </row>
    <row r="465" spans="2:50" x14ac:dyDescent="0.25">
      <c r="B465" s="1"/>
      <c r="F465" s="1"/>
      <c r="J465" s="1"/>
      <c r="N465" s="1"/>
      <c r="R465" s="1"/>
      <c r="V465" s="1"/>
      <c r="Z465" s="1"/>
      <c r="AD465" s="1"/>
      <c r="AH465" s="1"/>
      <c r="AL465" s="1"/>
      <c r="AP465" s="1"/>
      <c r="AT465" s="16"/>
      <c r="AX465" s="16"/>
    </row>
    <row r="466" spans="2:50" x14ac:dyDescent="0.25">
      <c r="B466" s="1"/>
      <c r="F466" s="1"/>
      <c r="J466" s="1"/>
      <c r="N466" s="1"/>
      <c r="R466" s="1"/>
      <c r="V466" s="1"/>
      <c r="Z466" s="1"/>
      <c r="AD466" s="1"/>
      <c r="AH466" s="1"/>
      <c r="AL466" s="1"/>
      <c r="AP466" s="1"/>
      <c r="AT466" s="16"/>
      <c r="AX466" s="16"/>
    </row>
    <row r="467" spans="2:50" x14ac:dyDescent="0.25">
      <c r="B467" s="1"/>
      <c r="F467" s="1"/>
      <c r="J467" s="1"/>
      <c r="N467" s="1"/>
      <c r="R467" s="1"/>
      <c r="V467" s="1"/>
      <c r="Z467" s="1"/>
      <c r="AD467" s="1"/>
      <c r="AH467" s="1"/>
      <c r="AL467" s="1"/>
      <c r="AP467" s="1"/>
      <c r="AT467" s="16"/>
      <c r="AX467" s="16"/>
    </row>
    <row r="468" spans="2:50" x14ac:dyDescent="0.25">
      <c r="B468" s="1"/>
      <c r="F468" s="1"/>
      <c r="J468" s="1"/>
      <c r="N468" s="1"/>
      <c r="R468" s="1"/>
      <c r="V468" s="1"/>
      <c r="Z468" s="1"/>
      <c r="AD468" s="1"/>
      <c r="AH468" s="1"/>
      <c r="AL468" s="1"/>
      <c r="AP468" s="1"/>
      <c r="AT468" s="16"/>
      <c r="AX468" s="16"/>
    </row>
    <row r="469" spans="2:50" x14ac:dyDescent="0.25">
      <c r="B469" s="1"/>
      <c r="F469" s="1"/>
      <c r="J469" s="1"/>
      <c r="N469" s="1"/>
      <c r="R469" s="1"/>
      <c r="V469" s="1"/>
      <c r="Z469" s="1"/>
      <c r="AD469" s="1"/>
      <c r="AH469" s="1"/>
      <c r="AL469" s="1"/>
      <c r="AP469" s="1"/>
      <c r="AT469" s="16"/>
      <c r="AX469" s="16"/>
    </row>
    <row r="470" spans="2:50" x14ac:dyDescent="0.25">
      <c r="B470" s="1"/>
      <c r="F470" s="1"/>
      <c r="J470" s="1"/>
      <c r="N470" s="1"/>
      <c r="R470" s="1"/>
      <c r="V470" s="1"/>
      <c r="Z470" s="1"/>
      <c r="AD470" s="1"/>
      <c r="AH470" s="1"/>
      <c r="AL470" s="1"/>
      <c r="AP470" s="1"/>
      <c r="AT470" s="16"/>
      <c r="AX470" s="16"/>
    </row>
    <row r="471" spans="2:50" x14ac:dyDescent="0.25">
      <c r="B471" s="1"/>
      <c r="F471" s="1"/>
      <c r="J471" s="1"/>
      <c r="N471" s="1"/>
      <c r="R471" s="1"/>
      <c r="V471" s="1"/>
      <c r="Z471" s="1"/>
      <c r="AD471" s="1"/>
      <c r="AH471" s="1"/>
      <c r="AL471" s="1"/>
      <c r="AP471" s="1"/>
      <c r="AT471" s="16"/>
      <c r="AX471" s="16"/>
    </row>
    <row r="472" spans="2:50" x14ac:dyDescent="0.25">
      <c r="B472" s="1"/>
      <c r="F472" s="1"/>
      <c r="J472" s="1"/>
      <c r="N472" s="1"/>
      <c r="R472" s="1"/>
      <c r="V472" s="1"/>
      <c r="Z472" s="1"/>
      <c r="AD472" s="1"/>
      <c r="AH472" s="1"/>
      <c r="AL472" s="1"/>
      <c r="AP472" s="1"/>
      <c r="AT472" s="16"/>
      <c r="AX472" s="16"/>
    </row>
    <row r="473" spans="2:50" x14ac:dyDescent="0.25">
      <c r="B473" s="1"/>
      <c r="F473" s="1"/>
      <c r="J473" s="1"/>
      <c r="N473" s="1"/>
      <c r="R473" s="1"/>
      <c r="V473" s="1"/>
      <c r="Z473" s="1"/>
      <c r="AD473" s="1"/>
      <c r="AH473" s="1"/>
      <c r="AL473" s="1"/>
      <c r="AP473" s="1"/>
      <c r="AT473" s="16"/>
      <c r="AX473" s="16"/>
    </row>
    <row r="474" spans="2:50" x14ac:dyDescent="0.25">
      <c r="B474" s="1"/>
      <c r="F474" s="1"/>
      <c r="J474" s="1"/>
      <c r="N474" s="1"/>
      <c r="R474" s="1"/>
      <c r="V474" s="1"/>
      <c r="Z474" s="1"/>
      <c r="AD474" s="1"/>
      <c r="AH474" s="1"/>
      <c r="AL474" s="1"/>
      <c r="AP474" s="1"/>
      <c r="AT474" s="16"/>
      <c r="AX474" s="16"/>
    </row>
    <row r="475" spans="2:50" x14ac:dyDescent="0.25">
      <c r="B475" s="1"/>
      <c r="F475" s="1"/>
      <c r="J475" s="1"/>
      <c r="N475" s="1"/>
      <c r="R475" s="1"/>
      <c r="V475" s="1"/>
      <c r="Z475" s="1"/>
      <c r="AD475" s="1"/>
      <c r="AH475" s="1"/>
      <c r="AL475" s="1"/>
      <c r="AP475" s="1"/>
      <c r="AT475" s="16"/>
      <c r="AX475" s="16"/>
    </row>
    <row r="476" spans="2:50" x14ac:dyDescent="0.25">
      <c r="B476" s="1"/>
      <c r="F476" s="1"/>
      <c r="J476" s="1"/>
      <c r="N476" s="1"/>
      <c r="R476" s="1"/>
      <c r="V476" s="1"/>
      <c r="Z476" s="1"/>
      <c r="AD476" s="1"/>
      <c r="AH476" s="1"/>
      <c r="AL476" s="1"/>
      <c r="AP476" s="1"/>
      <c r="AT476" s="16"/>
      <c r="AX476" s="16"/>
    </row>
    <row r="477" spans="2:50" x14ac:dyDescent="0.25">
      <c r="B477" s="1"/>
      <c r="F477" s="1"/>
      <c r="J477" s="1"/>
      <c r="N477" s="1"/>
      <c r="R477" s="1"/>
      <c r="V477" s="1"/>
      <c r="Z477" s="1"/>
      <c r="AD477" s="1"/>
      <c r="AH477" s="1"/>
      <c r="AL477" s="1"/>
      <c r="AP477" s="1"/>
      <c r="AT477" s="16"/>
      <c r="AX477" s="16"/>
    </row>
    <row r="478" spans="2:50" x14ac:dyDescent="0.25">
      <c r="B478" s="1"/>
      <c r="F478" s="1"/>
      <c r="J478" s="1"/>
      <c r="N478" s="1"/>
      <c r="R478" s="1"/>
      <c r="V478" s="1"/>
      <c r="Z478" s="1"/>
      <c r="AD478" s="1"/>
      <c r="AH478" s="1"/>
      <c r="AL478" s="1"/>
      <c r="AP478" s="1"/>
      <c r="AT478" s="16"/>
      <c r="AX478" s="16"/>
    </row>
    <row r="479" spans="2:50" x14ac:dyDescent="0.25">
      <c r="B479" s="1"/>
      <c r="F479" s="1"/>
      <c r="J479" s="1"/>
      <c r="N479" s="1"/>
      <c r="R479" s="1"/>
      <c r="V479" s="1"/>
      <c r="Z479" s="1"/>
      <c r="AD479" s="1"/>
      <c r="AH479" s="1"/>
      <c r="AL479" s="1"/>
      <c r="AP479" s="1"/>
      <c r="AT479" s="16"/>
      <c r="AX479" s="16"/>
    </row>
    <row r="480" spans="2:50" x14ac:dyDescent="0.25">
      <c r="B480" s="1"/>
      <c r="F480" s="1"/>
      <c r="J480" s="1"/>
      <c r="N480" s="1"/>
      <c r="R480" s="1"/>
      <c r="V480" s="1"/>
      <c r="Z480" s="1"/>
      <c r="AD480" s="1"/>
      <c r="AH480" s="1"/>
      <c r="AL480" s="1"/>
      <c r="AP480" s="1"/>
      <c r="AT480" s="16"/>
      <c r="AX480" s="16"/>
    </row>
    <row r="481" spans="2:50" x14ac:dyDescent="0.25">
      <c r="B481" s="1"/>
      <c r="F481" s="1"/>
      <c r="J481" s="1"/>
      <c r="N481" s="1"/>
      <c r="R481" s="1"/>
      <c r="V481" s="1"/>
      <c r="Z481" s="1"/>
      <c r="AD481" s="1"/>
      <c r="AH481" s="1"/>
      <c r="AL481" s="1"/>
      <c r="AP481" s="1"/>
      <c r="AT481" s="16"/>
      <c r="AX481" s="16"/>
    </row>
    <row r="482" spans="2:50" x14ac:dyDescent="0.25">
      <c r="B482" s="1"/>
      <c r="F482" s="1"/>
      <c r="J482" s="1"/>
      <c r="N482" s="1"/>
      <c r="R482" s="1"/>
      <c r="V482" s="1"/>
      <c r="Z482" s="1"/>
      <c r="AD482" s="1"/>
      <c r="AH482" s="1"/>
      <c r="AL482" s="1"/>
      <c r="AP482" s="1"/>
      <c r="AT482" s="16"/>
      <c r="AX482" s="16"/>
    </row>
    <row r="483" spans="2:50" x14ac:dyDescent="0.25">
      <c r="B483" s="1"/>
      <c r="F483" s="1"/>
      <c r="J483" s="1"/>
      <c r="N483" s="1"/>
      <c r="R483" s="1"/>
      <c r="V483" s="1"/>
      <c r="Z483" s="1"/>
      <c r="AD483" s="1"/>
      <c r="AH483" s="1"/>
      <c r="AL483" s="1"/>
      <c r="AP483" s="1"/>
      <c r="AT483" s="16"/>
      <c r="AX483" s="16"/>
    </row>
    <row r="484" spans="2:50" x14ac:dyDescent="0.25">
      <c r="B484" s="1"/>
      <c r="F484" s="1"/>
      <c r="J484" s="1"/>
      <c r="N484" s="1"/>
      <c r="R484" s="1"/>
      <c r="V484" s="1"/>
      <c r="Z484" s="1"/>
      <c r="AD484" s="1"/>
      <c r="AH484" s="1"/>
      <c r="AL484" s="1"/>
      <c r="AP484" s="1"/>
      <c r="AT484" s="16"/>
      <c r="AX484" s="16"/>
    </row>
    <row r="485" spans="2:50" x14ac:dyDescent="0.25">
      <c r="B485" s="1"/>
      <c r="F485" s="1"/>
      <c r="J485" s="1"/>
      <c r="N485" s="1"/>
      <c r="R485" s="1"/>
      <c r="V485" s="1"/>
      <c r="Z485" s="1"/>
      <c r="AD485" s="1"/>
      <c r="AH485" s="1"/>
      <c r="AL485" s="1"/>
      <c r="AP485" s="1"/>
      <c r="AT485" s="16"/>
      <c r="AX485" s="16"/>
    </row>
    <row r="486" spans="2:50" x14ac:dyDescent="0.25">
      <c r="B486" s="1"/>
      <c r="F486" s="1"/>
      <c r="J486" s="1"/>
      <c r="N486" s="1"/>
      <c r="R486" s="1"/>
      <c r="V486" s="1"/>
      <c r="Z486" s="1"/>
      <c r="AD486" s="1"/>
      <c r="AH486" s="1"/>
      <c r="AL486" s="1"/>
      <c r="AP486" s="1"/>
      <c r="AT486" s="16"/>
      <c r="AX486" s="16"/>
    </row>
    <row r="487" spans="2:50" x14ac:dyDescent="0.25">
      <c r="B487" s="1"/>
      <c r="F487" s="1"/>
      <c r="J487" s="1"/>
      <c r="N487" s="1"/>
      <c r="R487" s="1"/>
      <c r="V487" s="1"/>
      <c r="Z487" s="1"/>
      <c r="AD487" s="1"/>
      <c r="AH487" s="1"/>
      <c r="AL487" s="1"/>
      <c r="AP487" s="1"/>
      <c r="AT487" s="16"/>
      <c r="AX487" s="16"/>
    </row>
    <row r="488" spans="2:50" x14ac:dyDescent="0.25">
      <c r="B488" s="1"/>
      <c r="F488" s="1"/>
      <c r="J488" s="1"/>
      <c r="N488" s="1"/>
      <c r="R488" s="1"/>
      <c r="V488" s="1"/>
      <c r="Z488" s="1"/>
      <c r="AD488" s="1"/>
      <c r="AH488" s="1"/>
      <c r="AL488" s="1"/>
      <c r="AP488" s="1"/>
      <c r="AT488" s="16"/>
      <c r="AX488" s="16"/>
    </row>
    <row r="489" spans="2:50" x14ac:dyDescent="0.25">
      <c r="B489" s="1"/>
      <c r="F489" s="1"/>
      <c r="J489" s="1"/>
      <c r="N489" s="1"/>
      <c r="R489" s="1"/>
      <c r="V489" s="1"/>
      <c r="Z489" s="1"/>
      <c r="AD489" s="1"/>
      <c r="AH489" s="1"/>
      <c r="AL489" s="1"/>
      <c r="AP489" s="1"/>
      <c r="AT489" s="16"/>
      <c r="AX489" s="16"/>
    </row>
    <row r="490" spans="2:50" x14ac:dyDescent="0.25">
      <c r="B490" s="1"/>
      <c r="F490" s="1"/>
      <c r="J490" s="1"/>
      <c r="N490" s="1"/>
      <c r="R490" s="1"/>
      <c r="V490" s="1"/>
      <c r="Z490" s="1"/>
      <c r="AD490" s="1"/>
      <c r="AH490" s="1"/>
      <c r="AL490" s="1"/>
      <c r="AP490" s="1"/>
      <c r="AT490" s="16"/>
      <c r="AX490" s="16"/>
    </row>
    <row r="491" spans="2:50" x14ac:dyDescent="0.25">
      <c r="B491" s="1"/>
      <c r="F491" s="1"/>
      <c r="J491" s="1"/>
      <c r="N491" s="1"/>
      <c r="R491" s="1"/>
      <c r="V491" s="1"/>
      <c r="Z491" s="1"/>
      <c r="AD491" s="1"/>
      <c r="AH491" s="1"/>
      <c r="AL491" s="1"/>
      <c r="AP491" s="1"/>
      <c r="AT491" s="16"/>
      <c r="AX491" s="16"/>
    </row>
    <row r="492" spans="2:50" x14ac:dyDescent="0.25">
      <c r="B492" s="1"/>
      <c r="F492" s="1"/>
      <c r="J492" s="1"/>
      <c r="N492" s="1"/>
      <c r="R492" s="1"/>
      <c r="V492" s="1"/>
      <c r="Z492" s="1"/>
      <c r="AD492" s="1"/>
      <c r="AH492" s="1"/>
      <c r="AL492" s="1"/>
      <c r="AP492" s="1"/>
      <c r="AT492" s="16"/>
      <c r="AX492" s="16"/>
    </row>
    <row r="493" spans="2:50" x14ac:dyDescent="0.25">
      <c r="B493" s="1"/>
      <c r="F493" s="1"/>
      <c r="J493" s="1"/>
      <c r="N493" s="1"/>
      <c r="R493" s="1"/>
      <c r="V493" s="1"/>
      <c r="Z493" s="1"/>
      <c r="AD493" s="1"/>
      <c r="AH493" s="1"/>
      <c r="AL493" s="1"/>
      <c r="AP493" s="1"/>
      <c r="AT493" s="16"/>
      <c r="AX493" s="16"/>
    </row>
    <row r="494" spans="2:50" x14ac:dyDescent="0.25">
      <c r="B494" s="1"/>
      <c r="F494" s="1"/>
      <c r="J494" s="1"/>
      <c r="N494" s="1"/>
      <c r="R494" s="1"/>
      <c r="V494" s="1"/>
      <c r="Z494" s="1"/>
      <c r="AD494" s="1"/>
      <c r="AH494" s="1"/>
      <c r="AL494" s="1"/>
      <c r="AP494" s="1"/>
      <c r="AT494" s="16"/>
      <c r="AX494" s="16"/>
    </row>
    <row r="495" spans="2:50" x14ac:dyDescent="0.25">
      <c r="B495" s="1"/>
      <c r="F495" s="1"/>
      <c r="J495" s="1"/>
      <c r="N495" s="1"/>
      <c r="R495" s="1"/>
      <c r="V495" s="1"/>
      <c r="Z495" s="1"/>
      <c r="AD495" s="1"/>
      <c r="AH495" s="1"/>
      <c r="AL495" s="1"/>
      <c r="AP495" s="1"/>
      <c r="AT495" s="16"/>
      <c r="AX495" s="16"/>
    </row>
    <row r="496" spans="2:50" x14ac:dyDescent="0.25">
      <c r="B496" s="1"/>
      <c r="F496" s="1"/>
      <c r="J496" s="1"/>
      <c r="N496" s="1"/>
      <c r="R496" s="1"/>
      <c r="V496" s="1"/>
      <c r="Z496" s="1"/>
      <c r="AD496" s="1"/>
      <c r="AH496" s="1"/>
      <c r="AL496" s="1"/>
      <c r="AP496" s="1"/>
      <c r="AT496" s="16"/>
      <c r="AX496" s="16"/>
    </row>
    <row r="497" spans="2:50" x14ac:dyDescent="0.25">
      <c r="B497" s="1"/>
      <c r="F497" s="1"/>
      <c r="J497" s="1"/>
      <c r="N497" s="1"/>
      <c r="R497" s="1"/>
      <c r="V497" s="1"/>
      <c r="Z497" s="1"/>
      <c r="AD497" s="1"/>
      <c r="AH497" s="1"/>
      <c r="AL497" s="1"/>
      <c r="AP497" s="1"/>
      <c r="AT497" s="16"/>
      <c r="AX497" s="16"/>
    </row>
    <row r="498" spans="2:50" x14ac:dyDescent="0.25">
      <c r="B498" s="1"/>
      <c r="F498" s="1"/>
      <c r="J498" s="1"/>
      <c r="N498" s="1"/>
      <c r="R498" s="1"/>
      <c r="V498" s="1"/>
      <c r="Z498" s="1"/>
      <c r="AD498" s="1"/>
      <c r="AH498" s="1"/>
      <c r="AL498" s="1"/>
      <c r="AP498" s="1"/>
      <c r="AT498" s="16"/>
      <c r="AX498" s="16"/>
    </row>
    <row r="499" spans="2:50" x14ac:dyDescent="0.25">
      <c r="B499" s="1"/>
      <c r="F499" s="1"/>
      <c r="J499" s="1"/>
      <c r="N499" s="1"/>
      <c r="R499" s="1"/>
      <c r="V499" s="1"/>
      <c r="Z499" s="1"/>
      <c r="AD499" s="1"/>
      <c r="AH499" s="1"/>
      <c r="AL499" s="1"/>
      <c r="AP499" s="1"/>
      <c r="AT499" s="16"/>
      <c r="AX499" s="16"/>
    </row>
    <row r="500" spans="2:50" x14ac:dyDescent="0.25">
      <c r="B500" s="1"/>
      <c r="F500" s="1"/>
      <c r="J500" s="1"/>
      <c r="N500" s="1"/>
      <c r="R500" s="1"/>
      <c r="V500" s="1"/>
      <c r="Z500" s="1"/>
      <c r="AD500" s="1"/>
      <c r="AH500" s="1"/>
      <c r="AL500" s="1"/>
      <c r="AP500" s="1"/>
      <c r="AT500" s="16"/>
      <c r="AX500" s="16"/>
    </row>
    <row r="501" spans="2:50" x14ac:dyDescent="0.25">
      <c r="B501" s="1"/>
      <c r="F501" s="1"/>
      <c r="J501" s="1"/>
      <c r="N501" s="1"/>
      <c r="R501" s="1"/>
      <c r="V501" s="1"/>
      <c r="Z501" s="1"/>
      <c r="AD501" s="1"/>
      <c r="AH501" s="1"/>
      <c r="AL501" s="1"/>
      <c r="AP501" s="1"/>
      <c r="AT501" s="16"/>
      <c r="AX501" s="16"/>
    </row>
    <row r="502" spans="2:50" x14ac:dyDescent="0.25">
      <c r="B502" s="1"/>
      <c r="F502" s="1"/>
      <c r="J502" s="1"/>
      <c r="N502" s="1"/>
      <c r="R502" s="1"/>
      <c r="V502" s="1"/>
      <c r="Z502" s="1"/>
      <c r="AD502" s="1"/>
      <c r="AH502" s="1"/>
      <c r="AL502" s="1"/>
      <c r="AP502" s="1"/>
      <c r="AT502" s="16"/>
      <c r="AX502" s="16"/>
    </row>
    <row r="503" spans="2:50" x14ac:dyDescent="0.25">
      <c r="B503" s="1"/>
      <c r="F503" s="1"/>
      <c r="J503" s="1"/>
      <c r="N503" s="1"/>
      <c r="R503" s="1"/>
      <c r="V503" s="1"/>
      <c r="Z503" s="1"/>
      <c r="AD503" s="1"/>
      <c r="AH503" s="1"/>
      <c r="AL503" s="1"/>
      <c r="AP503" s="1"/>
      <c r="AT503" s="16"/>
      <c r="AX503" s="16"/>
    </row>
    <row r="504" spans="2:50" x14ac:dyDescent="0.25">
      <c r="B504" s="1"/>
      <c r="F504" s="1"/>
      <c r="J504" s="1"/>
      <c r="N504" s="1"/>
      <c r="R504" s="1"/>
      <c r="V504" s="1"/>
      <c r="Z504" s="1"/>
      <c r="AD504" s="1"/>
      <c r="AH504" s="1"/>
      <c r="AL504" s="1"/>
      <c r="AP504" s="1"/>
      <c r="AT504" s="16"/>
      <c r="AX504" s="16"/>
    </row>
    <row r="505" spans="2:50" x14ac:dyDescent="0.25">
      <c r="B505" s="1"/>
      <c r="F505" s="1"/>
      <c r="J505" s="1"/>
      <c r="N505" s="1"/>
      <c r="R505" s="1"/>
      <c r="V505" s="1"/>
      <c r="Z505" s="1"/>
      <c r="AD505" s="1"/>
      <c r="AH505" s="1"/>
      <c r="AL505" s="1"/>
      <c r="AP505" s="1"/>
      <c r="AT505" s="16"/>
      <c r="AX505" s="16"/>
    </row>
    <row r="506" spans="2:50" x14ac:dyDescent="0.25">
      <c r="B506" s="1"/>
      <c r="F506" s="1"/>
      <c r="J506" s="1"/>
      <c r="N506" s="1"/>
      <c r="R506" s="1"/>
      <c r="V506" s="1"/>
      <c r="Z506" s="1"/>
      <c r="AD506" s="1"/>
      <c r="AH506" s="1"/>
      <c r="AL506" s="1"/>
      <c r="AP506" s="1"/>
      <c r="AT506" s="16"/>
      <c r="AX506" s="16"/>
    </row>
    <row r="507" spans="2:50" x14ac:dyDescent="0.25">
      <c r="B507" s="1"/>
      <c r="F507" s="1"/>
      <c r="J507" s="1"/>
      <c r="N507" s="1"/>
      <c r="R507" s="1"/>
      <c r="V507" s="1"/>
      <c r="Z507" s="1"/>
      <c r="AD507" s="1"/>
      <c r="AH507" s="1"/>
      <c r="AL507" s="1"/>
      <c r="AP507" s="1"/>
      <c r="AT507" s="16"/>
      <c r="AX507" s="16"/>
    </row>
    <row r="508" spans="2:50" x14ac:dyDescent="0.25">
      <c r="B508" s="1"/>
      <c r="F508" s="1"/>
      <c r="J508" s="1"/>
      <c r="N508" s="1"/>
      <c r="R508" s="1"/>
      <c r="V508" s="1"/>
      <c r="Z508" s="1"/>
      <c r="AD508" s="1"/>
      <c r="AH508" s="1"/>
      <c r="AL508" s="1"/>
      <c r="AP508" s="1"/>
      <c r="AT508" s="16"/>
      <c r="AX508" s="16"/>
    </row>
    <row r="509" spans="2:50" x14ac:dyDescent="0.25">
      <c r="B509" s="1"/>
      <c r="F509" s="1"/>
      <c r="J509" s="1"/>
      <c r="N509" s="1"/>
      <c r="R509" s="1"/>
      <c r="V509" s="1"/>
      <c r="Z509" s="1"/>
      <c r="AD509" s="1"/>
      <c r="AH509" s="1"/>
      <c r="AL509" s="1"/>
      <c r="AP509" s="1"/>
      <c r="AT509" s="16"/>
      <c r="AX509" s="16"/>
    </row>
    <row r="510" spans="2:50" x14ac:dyDescent="0.25">
      <c r="B510" s="1"/>
      <c r="F510" s="1"/>
      <c r="J510" s="1"/>
      <c r="N510" s="1"/>
      <c r="R510" s="1"/>
      <c r="V510" s="1"/>
      <c r="Z510" s="1"/>
      <c r="AD510" s="1"/>
      <c r="AH510" s="1"/>
      <c r="AL510" s="1"/>
      <c r="AP510" s="1"/>
      <c r="AT510" s="16"/>
      <c r="AX510" s="16"/>
    </row>
    <row r="511" spans="2:50" x14ac:dyDescent="0.25">
      <c r="B511" s="1"/>
      <c r="F511" s="1"/>
      <c r="J511" s="1"/>
      <c r="N511" s="1"/>
      <c r="R511" s="1"/>
      <c r="V511" s="1"/>
      <c r="Z511" s="1"/>
      <c r="AD511" s="1"/>
      <c r="AH511" s="1"/>
      <c r="AL511" s="1"/>
      <c r="AP511" s="1"/>
      <c r="AT511" s="16"/>
      <c r="AX511" s="16"/>
    </row>
    <row r="512" spans="2:50" x14ac:dyDescent="0.25">
      <c r="B512" s="1"/>
      <c r="F512" s="1"/>
      <c r="J512" s="1"/>
      <c r="N512" s="1"/>
      <c r="R512" s="1"/>
      <c r="V512" s="1"/>
      <c r="Z512" s="1"/>
      <c r="AD512" s="1"/>
      <c r="AH512" s="1"/>
      <c r="AL512" s="1"/>
      <c r="AP512" s="1"/>
      <c r="AT512" s="16"/>
      <c r="AX512" s="16"/>
    </row>
    <row r="513" spans="2:50" x14ac:dyDescent="0.25">
      <c r="B513" s="1"/>
      <c r="F513" s="1"/>
      <c r="J513" s="1"/>
      <c r="N513" s="1"/>
      <c r="R513" s="1"/>
      <c r="V513" s="1"/>
      <c r="Z513" s="1"/>
      <c r="AD513" s="1"/>
      <c r="AH513" s="1"/>
      <c r="AL513" s="1"/>
      <c r="AP513" s="1"/>
      <c r="AT513" s="16"/>
      <c r="AX513" s="16"/>
    </row>
    <row r="514" spans="2:50" x14ac:dyDescent="0.25">
      <c r="B514" s="1"/>
      <c r="F514" s="1"/>
      <c r="J514" s="1"/>
      <c r="N514" s="1"/>
      <c r="R514" s="1"/>
      <c r="V514" s="1"/>
      <c r="Z514" s="1"/>
      <c r="AD514" s="1"/>
      <c r="AH514" s="1"/>
      <c r="AL514" s="1"/>
      <c r="AP514" s="1"/>
      <c r="AT514" s="16"/>
      <c r="AX514" s="16"/>
    </row>
    <row r="515" spans="2:50" x14ac:dyDescent="0.25">
      <c r="B515" s="1"/>
      <c r="F515" s="1"/>
      <c r="J515" s="1"/>
      <c r="N515" s="1"/>
      <c r="R515" s="1"/>
      <c r="V515" s="1"/>
      <c r="Z515" s="1"/>
      <c r="AD515" s="1"/>
      <c r="AH515" s="1"/>
      <c r="AL515" s="1"/>
      <c r="AP515" s="1"/>
      <c r="AT515" s="16"/>
      <c r="AX515" s="16"/>
    </row>
    <row r="516" spans="2:50" x14ac:dyDescent="0.25">
      <c r="B516" s="1"/>
      <c r="F516" s="1"/>
      <c r="J516" s="1"/>
      <c r="N516" s="1"/>
      <c r="R516" s="1"/>
      <c r="V516" s="1"/>
      <c r="Z516" s="1"/>
      <c r="AD516" s="1"/>
      <c r="AH516" s="1"/>
      <c r="AL516" s="1"/>
      <c r="AP516" s="1"/>
      <c r="AT516" s="16"/>
      <c r="AX516" s="16"/>
    </row>
    <row r="517" spans="2:50" x14ac:dyDescent="0.25">
      <c r="B517" s="1"/>
      <c r="F517" s="1"/>
      <c r="J517" s="1"/>
      <c r="N517" s="1"/>
      <c r="R517" s="1"/>
      <c r="V517" s="1"/>
      <c r="Z517" s="1"/>
      <c r="AD517" s="1"/>
      <c r="AH517" s="1"/>
      <c r="AL517" s="1"/>
      <c r="AP517" s="1"/>
      <c r="AT517" s="16"/>
      <c r="AX517" s="16"/>
    </row>
    <row r="518" spans="2:50" x14ac:dyDescent="0.25">
      <c r="B518" s="1"/>
      <c r="F518" s="1"/>
      <c r="J518" s="1"/>
      <c r="N518" s="1"/>
      <c r="R518" s="1"/>
      <c r="V518" s="1"/>
      <c r="Z518" s="1"/>
      <c r="AD518" s="1"/>
      <c r="AH518" s="1"/>
      <c r="AL518" s="1"/>
      <c r="AP518" s="1"/>
      <c r="AT518" s="16"/>
      <c r="AX518" s="16"/>
    </row>
    <row r="519" spans="2:50" x14ac:dyDescent="0.25">
      <c r="B519" s="1"/>
      <c r="F519" s="1"/>
      <c r="J519" s="1"/>
      <c r="N519" s="1"/>
      <c r="R519" s="1"/>
      <c r="V519" s="1"/>
      <c r="Z519" s="1"/>
      <c r="AD519" s="1"/>
      <c r="AH519" s="1"/>
      <c r="AL519" s="1"/>
      <c r="AP519" s="1"/>
      <c r="AT519" s="16"/>
      <c r="AX519" s="16"/>
    </row>
    <row r="520" spans="2:50" x14ac:dyDescent="0.25">
      <c r="B520" s="1"/>
      <c r="F520" s="1"/>
      <c r="J520" s="1"/>
      <c r="N520" s="1"/>
      <c r="R520" s="1"/>
      <c r="V520" s="1"/>
      <c r="Z520" s="1"/>
      <c r="AD520" s="1"/>
      <c r="AH520" s="1"/>
      <c r="AL520" s="1"/>
      <c r="AP520" s="1"/>
      <c r="AT520" s="16"/>
      <c r="AX520" s="16"/>
    </row>
    <row r="521" spans="2:50" x14ac:dyDescent="0.25">
      <c r="B521" s="1"/>
      <c r="F521" s="1"/>
      <c r="J521" s="1"/>
      <c r="N521" s="1"/>
      <c r="R521" s="1"/>
      <c r="V521" s="1"/>
      <c r="Z521" s="1"/>
      <c r="AD521" s="1"/>
      <c r="AH521" s="1"/>
      <c r="AL521" s="1"/>
      <c r="AP521" s="1"/>
      <c r="AT521" s="16"/>
      <c r="AX521" s="16"/>
    </row>
    <row r="522" spans="2:50" x14ac:dyDescent="0.25">
      <c r="B522" s="1"/>
      <c r="F522" s="1"/>
      <c r="J522" s="1"/>
      <c r="N522" s="1"/>
      <c r="R522" s="1"/>
      <c r="V522" s="1"/>
      <c r="Z522" s="1"/>
      <c r="AD522" s="1"/>
      <c r="AH522" s="1"/>
      <c r="AL522" s="1"/>
      <c r="AP522" s="1"/>
      <c r="AT522" s="16"/>
      <c r="AX522" s="16"/>
    </row>
    <row r="523" spans="2:50" x14ac:dyDescent="0.25">
      <c r="B523" s="1"/>
      <c r="F523" s="1"/>
      <c r="J523" s="1"/>
      <c r="N523" s="1"/>
      <c r="R523" s="1"/>
      <c r="V523" s="1"/>
      <c r="Z523" s="1"/>
      <c r="AD523" s="1"/>
      <c r="AH523" s="1"/>
      <c r="AL523" s="1"/>
      <c r="AP523" s="1"/>
      <c r="AT523" s="16"/>
      <c r="AX523" s="16"/>
    </row>
    <row r="524" spans="2:50" x14ac:dyDescent="0.25">
      <c r="B524" s="1"/>
      <c r="F524" s="1"/>
      <c r="J524" s="1"/>
      <c r="N524" s="1"/>
      <c r="R524" s="1"/>
      <c r="V524" s="1"/>
      <c r="Z524" s="1"/>
      <c r="AD524" s="1"/>
      <c r="AH524" s="1"/>
      <c r="AL524" s="1"/>
      <c r="AP524" s="1"/>
      <c r="AT524" s="16"/>
      <c r="AX524" s="16"/>
    </row>
    <row r="525" spans="2:50" x14ac:dyDescent="0.25">
      <c r="B525" s="1"/>
      <c r="F525" s="1"/>
      <c r="J525" s="1"/>
      <c r="N525" s="1"/>
      <c r="R525" s="1"/>
      <c r="V525" s="1"/>
      <c r="Z525" s="1"/>
      <c r="AD525" s="1"/>
      <c r="AH525" s="1"/>
      <c r="AL525" s="1"/>
      <c r="AP525" s="1"/>
      <c r="AT525" s="16"/>
      <c r="AX525" s="16"/>
    </row>
    <row r="526" spans="2:50" x14ac:dyDescent="0.25">
      <c r="B526" s="1"/>
      <c r="F526" s="1"/>
      <c r="J526" s="1"/>
      <c r="N526" s="1"/>
      <c r="R526" s="1"/>
      <c r="V526" s="1"/>
      <c r="Z526" s="1"/>
      <c r="AD526" s="1"/>
      <c r="AH526" s="1"/>
      <c r="AL526" s="1"/>
      <c r="AP526" s="1"/>
      <c r="AT526" s="16"/>
      <c r="AX526" s="16"/>
    </row>
    <row r="527" spans="2:50" x14ac:dyDescent="0.25">
      <c r="B527" s="1"/>
      <c r="F527" s="1"/>
      <c r="J527" s="1"/>
      <c r="N527" s="1"/>
      <c r="R527" s="1"/>
      <c r="V527" s="1"/>
      <c r="Z527" s="1"/>
      <c r="AD527" s="1"/>
      <c r="AH527" s="1"/>
      <c r="AL527" s="1"/>
      <c r="AP527" s="1"/>
      <c r="AT527" s="16"/>
      <c r="AX527" s="16"/>
    </row>
    <row r="528" spans="2:50" x14ac:dyDescent="0.25">
      <c r="B528" s="1"/>
      <c r="F528" s="1"/>
      <c r="J528" s="1"/>
      <c r="N528" s="1"/>
      <c r="R528" s="1"/>
      <c r="V528" s="1"/>
      <c r="Z528" s="1"/>
      <c r="AD528" s="1"/>
      <c r="AH528" s="1"/>
      <c r="AL528" s="1"/>
      <c r="AP528" s="1"/>
      <c r="AT528" s="16"/>
      <c r="AX528" s="16"/>
    </row>
    <row r="529" spans="2:50" x14ac:dyDescent="0.25">
      <c r="B529" s="1"/>
      <c r="F529" s="1"/>
      <c r="J529" s="1"/>
      <c r="N529" s="1"/>
      <c r="R529" s="1"/>
      <c r="V529" s="1"/>
      <c r="Z529" s="1"/>
      <c r="AD529" s="1"/>
      <c r="AH529" s="1"/>
      <c r="AL529" s="1"/>
      <c r="AP529" s="1"/>
      <c r="AT529" s="16"/>
      <c r="AX529" s="16"/>
    </row>
    <row r="530" spans="2:50" x14ac:dyDescent="0.25">
      <c r="B530" s="1"/>
      <c r="F530" s="1"/>
      <c r="J530" s="1"/>
      <c r="N530" s="1"/>
      <c r="R530" s="1"/>
      <c r="V530" s="1"/>
      <c r="Z530" s="1"/>
      <c r="AD530" s="1"/>
      <c r="AH530" s="1"/>
      <c r="AL530" s="1"/>
      <c r="AP530" s="1"/>
      <c r="AT530" s="16"/>
      <c r="AX530" s="16"/>
    </row>
    <row r="531" spans="2:50" x14ac:dyDescent="0.25">
      <c r="B531" s="1"/>
      <c r="F531" s="1"/>
      <c r="J531" s="1"/>
      <c r="N531" s="1"/>
      <c r="R531" s="1"/>
      <c r="V531" s="1"/>
      <c r="Z531" s="1"/>
      <c r="AD531" s="1"/>
      <c r="AH531" s="1"/>
      <c r="AL531" s="1"/>
      <c r="AP531" s="1"/>
      <c r="AT531" s="16"/>
      <c r="AX531" s="16"/>
    </row>
    <row r="532" spans="2:50" x14ac:dyDescent="0.25">
      <c r="B532" s="1"/>
      <c r="F532" s="1"/>
      <c r="J532" s="1"/>
      <c r="N532" s="1"/>
      <c r="R532" s="1"/>
      <c r="V532" s="1"/>
      <c r="Z532" s="1"/>
      <c r="AD532" s="1"/>
      <c r="AH532" s="1"/>
      <c r="AL532" s="1"/>
      <c r="AP532" s="1"/>
      <c r="AT532" s="16"/>
      <c r="AX532" s="16"/>
    </row>
    <row r="533" spans="2:50" x14ac:dyDescent="0.25">
      <c r="B533" s="1"/>
      <c r="F533" s="1"/>
      <c r="J533" s="1"/>
      <c r="N533" s="1"/>
      <c r="R533" s="1"/>
      <c r="V533" s="1"/>
      <c r="Z533" s="1"/>
      <c r="AD533" s="1"/>
      <c r="AH533" s="1"/>
      <c r="AL533" s="1"/>
      <c r="AP533" s="1"/>
      <c r="AT533" s="16"/>
      <c r="AX533" s="16"/>
    </row>
    <row r="534" spans="2:50" x14ac:dyDescent="0.25">
      <c r="B534" s="1"/>
      <c r="F534" s="1"/>
      <c r="J534" s="1"/>
      <c r="N534" s="1"/>
      <c r="R534" s="1"/>
      <c r="V534" s="1"/>
      <c r="Z534" s="1"/>
      <c r="AD534" s="1"/>
      <c r="AH534" s="1"/>
      <c r="AL534" s="1"/>
      <c r="AP534" s="1"/>
      <c r="AT534" s="16"/>
      <c r="AX534" s="16"/>
    </row>
    <row r="535" spans="2:50" x14ac:dyDescent="0.25">
      <c r="B535" s="1"/>
      <c r="F535" s="1"/>
      <c r="J535" s="1"/>
      <c r="N535" s="1"/>
      <c r="R535" s="1"/>
      <c r="V535" s="1"/>
      <c r="Z535" s="1"/>
      <c r="AD535" s="1"/>
      <c r="AH535" s="1"/>
      <c r="AL535" s="1"/>
      <c r="AP535" s="1"/>
      <c r="AT535" s="16"/>
      <c r="AX535" s="16"/>
    </row>
    <row r="536" spans="2:50" x14ac:dyDescent="0.25">
      <c r="B536" s="1"/>
      <c r="F536" s="1"/>
      <c r="J536" s="1"/>
      <c r="N536" s="1"/>
      <c r="R536" s="1"/>
      <c r="V536" s="1"/>
      <c r="Z536" s="1"/>
      <c r="AD536" s="1"/>
      <c r="AH536" s="1"/>
      <c r="AL536" s="1"/>
      <c r="AP536" s="1"/>
      <c r="AT536" s="16"/>
      <c r="AX536" s="16"/>
    </row>
    <row r="537" spans="2:50" x14ac:dyDescent="0.25">
      <c r="B537" s="1"/>
      <c r="F537" s="1"/>
      <c r="J537" s="1"/>
      <c r="N537" s="1"/>
      <c r="R537" s="1"/>
      <c r="V537" s="1"/>
      <c r="Z537" s="1"/>
      <c r="AD537" s="1"/>
      <c r="AH537" s="1"/>
      <c r="AL537" s="1"/>
      <c r="AP537" s="1"/>
      <c r="AT537" s="16"/>
      <c r="AX537" s="16"/>
    </row>
    <row r="538" spans="2:50" x14ac:dyDescent="0.25">
      <c r="B538" s="1"/>
      <c r="F538" s="1"/>
      <c r="J538" s="1"/>
      <c r="N538" s="1"/>
      <c r="R538" s="1"/>
      <c r="V538" s="1"/>
      <c r="Z538" s="1"/>
      <c r="AD538" s="1"/>
      <c r="AH538" s="1"/>
      <c r="AL538" s="1"/>
      <c r="AP538" s="1"/>
      <c r="AT538" s="16"/>
      <c r="AX538" s="16"/>
    </row>
    <row r="539" spans="2:50" x14ac:dyDescent="0.25">
      <c r="B539" s="1"/>
      <c r="F539" s="1"/>
      <c r="J539" s="1"/>
      <c r="N539" s="1"/>
      <c r="R539" s="1"/>
      <c r="V539" s="1"/>
      <c r="Z539" s="1"/>
      <c r="AD539" s="1"/>
      <c r="AH539" s="1"/>
      <c r="AL539" s="1"/>
      <c r="AP539" s="1"/>
      <c r="AT539" s="16"/>
      <c r="AX539" s="16"/>
    </row>
    <row r="540" spans="2:50" x14ac:dyDescent="0.25">
      <c r="B540" s="1"/>
      <c r="F540" s="1"/>
      <c r="J540" s="1"/>
      <c r="N540" s="1"/>
      <c r="R540" s="1"/>
      <c r="V540" s="1"/>
      <c r="Z540" s="1"/>
      <c r="AD540" s="1"/>
      <c r="AH540" s="1"/>
      <c r="AL540" s="1"/>
      <c r="AP540" s="1"/>
      <c r="AT540" s="16"/>
      <c r="AX540" s="16"/>
    </row>
    <row r="541" spans="2:50" x14ac:dyDescent="0.25">
      <c r="B541" s="1"/>
      <c r="F541" s="1"/>
      <c r="J541" s="1"/>
      <c r="N541" s="1"/>
      <c r="R541" s="1"/>
      <c r="V541" s="1"/>
      <c r="Z541" s="1"/>
      <c r="AD541" s="1"/>
      <c r="AH541" s="1"/>
      <c r="AL541" s="1"/>
      <c r="AP541" s="1"/>
      <c r="AT541" s="16"/>
      <c r="AX541" s="16"/>
    </row>
    <row r="542" spans="2:50" x14ac:dyDescent="0.25">
      <c r="B542" s="1"/>
      <c r="F542" s="1"/>
      <c r="J542" s="1"/>
      <c r="N542" s="1"/>
      <c r="R542" s="1"/>
      <c r="V542" s="1"/>
      <c r="Z542" s="1"/>
      <c r="AD542" s="1"/>
      <c r="AH542" s="1"/>
      <c r="AL542" s="1"/>
      <c r="AP542" s="1"/>
      <c r="AT542" s="16"/>
      <c r="AX542" s="16"/>
    </row>
    <row r="543" spans="2:50" x14ac:dyDescent="0.25">
      <c r="B543" s="1"/>
      <c r="F543" s="1"/>
      <c r="J543" s="1"/>
      <c r="N543" s="1"/>
      <c r="R543" s="1"/>
      <c r="V543" s="1"/>
      <c r="Z543" s="1"/>
      <c r="AD543" s="1"/>
      <c r="AH543" s="1"/>
      <c r="AL543" s="1"/>
      <c r="AP543" s="1"/>
      <c r="AT543" s="16"/>
      <c r="AX543" s="16"/>
    </row>
    <row r="544" spans="2:50" x14ac:dyDescent="0.25">
      <c r="B544" s="1"/>
      <c r="F544" s="1"/>
      <c r="J544" s="1"/>
      <c r="N544" s="1"/>
      <c r="R544" s="1"/>
      <c r="V544" s="1"/>
      <c r="Z544" s="1"/>
      <c r="AD544" s="1"/>
      <c r="AH544" s="1"/>
      <c r="AL544" s="1"/>
      <c r="AP544" s="1"/>
      <c r="AT544" s="16"/>
      <c r="AX544" s="16"/>
    </row>
    <row r="545" spans="2:50" x14ac:dyDescent="0.25">
      <c r="B545" s="1"/>
      <c r="F545" s="1"/>
      <c r="J545" s="1"/>
      <c r="N545" s="1"/>
      <c r="R545" s="1"/>
      <c r="V545" s="1"/>
      <c r="Z545" s="1"/>
      <c r="AD545" s="1"/>
      <c r="AH545" s="1"/>
      <c r="AL545" s="1"/>
      <c r="AP545" s="1"/>
      <c r="AT545" s="16"/>
      <c r="AX545" s="16"/>
    </row>
    <row r="546" spans="2:50" x14ac:dyDescent="0.25">
      <c r="B546" s="1"/>
      <c r="F546" s="1"/>
      <c r="J546" s="1"/>
      <c r="N546" s="1"/>
      <c r="R546" s="1"/>
      <c r="V546" s="1"/>
      <c r="Z546" s="1"/>
      <c r="AD546" s="1"/>
      <c r="AH546" s="1"/>
      <c r="AL546" s="1"/>
      <c r="AP546" s="1"/>
      <c r="AT546" s="16"/>
      <c r="AX546" s="16"/>
    </row>
    <row r="547" spans="2:50" x14ac:dyDescent="0.25">
      <c r="B547" s="1"/>
      <c r="F547" s="1"/>
      <c r="J547" s="1"/>
      <c r="N547" s="1"/>
      <c r="R547" s="1"/>
      <c r="V547" s="1"/>
      <c r="Z547" s="1"/>
      <c r="AD547" s="1"/>
      <c r="AH547" s="1"/>
      <c r="AL547" s="1"/>
      <c r="AP547" s="1"/>
      <c r="AT547" s="16"/>
      <c r="AX547" s="16"/>
    </row>
    <row r="548" spans="2:50" x14ac:dyDescent="0.25">
      <c r="B548" s="1"/>
      <c r="F548" s="1"/>
      <c r="J548" s="1"/>
      <c r="N548" s="1"/>
      <c r="R548" s="1"/>
      <c r="V548" s="1"/>
      <c r="Z548" s="1"/>
      <c r="AD548" s="1"/>
      <c r="AH548" s="1"/>
      <c r="AL548" s="1"/>
      <c r="AP548" s="1"/>
      <c r="AT548" s="16"/>
      <c r="AX548" s="16"/>
    </row>
    <row r="549" spans="2:50" x14ac:dyDescent="0.25">
      <c r="B549" s="1"/>
      <c r="F549" s="1"/>
      <c r="J549" s="1"/>
      <c r="N549" s="1"/>
      <c r="R549" s="1"/>
      <c r="V549" s="1"/>
      <c r="Z549" s="1"/>
      <c r="AD549" s="1"/>
      <c r="AH549" s="1"/>
      <c r="AL549" s="1"/>
      <c r="AP549" s="1"/>
      <c r="AT549" s="16"/>
      <c r="AX549" s="16"/>
    </row>
    <row r="550" spans="2:50" x14ac:dyDescent="0.25">
      <c r="B550" s="1"/>
      <c r="F550" s="1"/>
      <c r="J550" s="1"/>
      <c r="N550" s="1"/>
      <c r="R550" s="1"/>
      <c r="V550" s="1"/>
      <c r="Z550" s="1"/>
      <c r="AD550" s="1"/>
      <c r="AH550" s="1"/>
      <c r="AL550" s="1"/>
      <c r="AP550" s="1"/>
      <c r="AT550" s="16"/>
      <c r="AX550" s="16"/>
    </row>
    <row r="551" spans="2:50" x14ac:dyDescent="0.25">
      <c r="B551" s="1"/>
      <c r="F551" s="1"/>
      <c r="J551" s="1"/>
      <c r="N551" s="1"/>
      <c r="R551" s="1"/>
      <c r="V551" s="1"/>
      <c r="Z551" s="1"/>
      <c r="AD551" s="1"/>
      <c r="AH551" s="1"/>
      <c r="AL551" s="1"/>
      <c r="AP551" s="1"/>
      <c r="AT551" s="16"/>
      <c r="AX551" s="16"/>
    </row>
    <row r="552" spans="2:50" x14ac:dyDescent="0.25">
      <c r="B552" s="1"/>
      <c r="F552" s="1"/>
      <c r="J552" s="1"/>
      <c r="N552" s="1"/>
      <c r="R552" s="1"/>
      <c r="V552" s="1"/>
      <c r="Z552" s="1"/>
      <c r="AD552" s="1"/>
      <c r="AH552" s="1"/>
      <c r="AL552" s="1"/>
      <c r="AP552" s="1"/>
      <c r="AT552" s="16"/>
      <c r="AX552" s="16"/>
    </row>
    <row r="553" spans="2:50" x14ac:dyDescent="0.25">
      <c r="B553" s="1"/>
      <c r="F553" s="1"/>
      <c r="J553" s="1"/>
      <c r="N553" s="1"/>
      <c r="R553" s="1"/>
      <c r="V553" s="1"/>
      <c r="Z553" s="1"/>
      <c r="AD553" s="1"/>
      <c r="AH553" s="1"/>
      <c r="AL553" s="1"/>
      <c r="AP553" s="1"/>
      <c r="AT553" s="16"/>
      <c r="AX553" s="16"/>
    </row>
    <row r="554" spans="2:50" x14ac:dyDescent="0.25">
      <c r="B554" s="1"/>
      <c r="F554" s="1"/>
      <c r="J554" s="1"/>
      <c r="N554" s="1"/>
      <c r="R554" s="1"/>
      <c r="V554" s="1"/>
      <c r="Z554" s="1"/>
      <c r="AD554" s="1"/>
      <c r="AH554" s="1"/>
      <c r="AL554" s="1"/>
      <c r="AP554" s="1"/>
      <c r="AT554" s="16"/>
      <c r="AX554" s="16"/>
    </row>
    <row r="555" spans="2:50" x14ac:dyDescent="0.25">
      <c r="B555" s="1"/>
      <c r="F555" s="1"/>
      <c r="J555" s="1"/>
      <c r="N555" s="1"/>
      <c r="R555" s="1"/>
      <c r="V555" s="1"/>
      <c r="Z555" s="1"/>
      <c r="AD555" s="1"/>
      <c r="AH555" s="1"/>
      <c r="AL555" s="1"/>
      <c r="AP555" s="1"/>
      <c r="AT555" s="16"/>
      <c r="AX555" s="16"/>
    </row>
    <row r="556" spans="2:50" x14ac:dyDescent="0.25">
      <c r="B556" s="1"/>
      <c r="F556" s="1"/>
      <c r="J556" s="1"/>
      <c r="N556" s="1"/>
      <c r="R556" s="1"/>
      <c r="V556" s="1"/>
      <c r="Z556" s="1"/>
      <c r="AD556" s="1"/>
      <c r="AH556" s="1"/>
      <c r="AL556" s="1"/>
      <c r="AP556" s="1"/>
      <c r="AT556" s="16"/>
      <c r="AX556" s="16"/>
    </row>
    <row r="557" spans="2:50" x14ac:dyDescent="0.25">
      <c r="B557" s="1"/>
      <c r="F557" s="1"/>
      <c r="J557" s="1"/>
      <c r="N557" s="1"/>
      <c r="R557" s="1"/>
      <c r="V557" s="1"/>
      <c r="Z557" s="1"/>
      <c r="AD557" s="1"/>
      <c r="AH557" s="1"/>
      <c r="AL557" s="1"/>
      <c r="AP557" s="1"/>
      <c r="AT557" s="16"/>
      <c r="AX557" s="16"/>
    </row>
    <row r="558" spans="2:50" x14ac:dyDescent="0.25">
      <c r="B558" s="1"/>
      <c r="F558" s="1"/>
      <c r="J558" s="1"/>
      <c r="N558" s="1"/>
      <c r="R558" s="1"/>
      <c r="V558" s="1"/>
      <c r="Z558" s="1"/>
      <c r="AD558" s="1"/>
      <c r="AH558" s="1"/>
      <c r="AL558" s="1"/>
      <c r="AP558" s="1"/>
      <c r="AT558" s="16"/>
      <c r="AX558" s="16"/>
    </row>
    <row r="559" spans="2:50" x14ac:dyDescent="0.25">
      <c r="B559" s="1"/>
      <c r="F559" s="1"/>
      <c r="J559" s="1"/>
      <c r="N559" s="1"/>
      <c r="R559" s="1"/>
      <c r="V559" s="1"/>
      <c r="Z559" s="1"/>
      <c r="AD559" s="1"/>
      <c r="AH559" s="1"/>
      <c r="AL559" s="1"/>
      <c r="AP559" s="1"/>
      <c r="AT559" s="16"/>
      <c r="AX559" s="16"/>
    </row>
    <row r="560" spans="2:50" x14ac:dyDescent="0.25">
      <c r="B560" s="1"/>
      <c r="F560" s="1"/>
      <c r="J560" s="1"/>
      <c r="N560" s="1"/>
      <c r="R560" s="1"/>
      <c r="V560" s="1"/>
      <c r="Z560" s="1"/>
      <c r="AD560" s="1"/>
      <c r="AH560" s="1"/>
      <c r="AL560" s="1"/>
      <c r="AP560" s="1"/>
      <c r="AT560" s="16"/>
      <c r="AX560" s="16"/>
    </row>
    <row r="561" spans="2:50" x14ac:dyDescent="0.25">
      <c r="B561" s="1"/>
      <c r="F561" s="1"/>
      <c r="J561" s="1"/>
      <c r="N561" s="1"/>
      <c r="R561" s="1"/>
      <c r="V561" s="1"/>
      <c r="Z561" s="1"/>
      <c r="AD561" s="1"/>
      <c r="AH561" s="1"/>
      <c r="AL561" s="1"/>
      <c r="AP561" s="1"/>
      <c r="AT561" s="16"/>
      <c r="AX561" s="16"/>
    </row>
    <row r="562" spans="2:50" x14ac:dyDescent="0.25">
      <c r="B562" s="1"/>
      <c r="F562" s="1"/>
      <c r="J562" s="1"/>
      <c r="N562" s="1"/>
      <c r="R562" s="1"/>
      <c r="V562" s="1"/>
      <c r="Z562" s="1"/>
      <c r="AD562" s="1"/>
      <c r="AH562" s="1"/>
      <c r="AL562" s="1"/>
      <c r="AP562" s="1"/>
      <c r="AT562" s="16"/>
      <c r="AX562" s="16"/>
    </row>
    <row r="563" spans="2:50" x14ac:dyDescent="0.25">
      <c r="B563" s="1"/>
      <c r="F563" s="1"/>
      <c r="J563" s="1"/>
      <c r="N563" s="1"/>
      <c r="R563" s="1"/>
      <c r="V563" s="1"/>
      <c r="Z563" s="1"/>
      <c r="AD563" s="1"/>
      <c r="AH563" s="1"/>
      <c r="AL563" s="1"/>
      <c r="AP563" s="1"/>
      <c r="AT563" s="16"/>
      <c r="AX563" s="16"/>
    </row>
    <row r="564" spans="2:50" x14ac:dyDescent="0.25">
      <c r="B564" s="1"/>
      <c r="F564" s="1"/>
      <c r="J564" s="1"/>
      <c r="N564" s="1"/>
      <c r="R564" s="1"/>
      <c r="V564" s="1"/>
      <c r="Z564" s="1"/>
      <c r="AD564" s="1"/>
      <c r="AH564" s="1"/>
      <c r="AL564" s="1"/>
      <c r="AP564" s="1"/>
      <c r="AT564" s="16"/>
      <c r="AX564" s="16"/>
    </row>
    <row r="565" spans="2:50" x14ac:dyDescent="0.25">
      <c r="B565" s="1"/>
      <c r="F565" s="1"/>
      <c r="J565" s="1"/>
      <c r="N565" s="1"/>
      <c r="R565" s="1"/>
      <c r="V565" s="1"/>
      <c r="Z565" s="1"/>
      <c r="AD565" s="1"/>
      <c r="AH565" s="1"/>
      <c r="AL565" s="1"/>
      <c r="AP565" s="1"/>
      <c r="AT565" s="16"/>
      <c r="AX565" s="16"/>
    </row>
    <row r="566" spans="2:50" x14ac:dyDescent="0.25">
      <c r="B566" s="1"/>
      <c r="F566" s="1"/>
      <c r="J566" s="1"/>
      <c r="N566" s="1"/>
      <c r="R566" s="1"/>
      <c r="V566" s="1"/>
      <c r="Z566" s="1"/>
      <c r="AD566" s="1"/>
      <c r="AH566" s="1"/>
      <c r="AL566" s="1"/>
      <c r="AP566" s="1"/>
      <c r="AT566" s="16"/>
      <c r="AX566" s="16"/>
    </row>
    <row r="567" spans="2:50" x14ac:dyDescent="0.25">
      <c r="B567" s="1"/>
      <c r="F567" s="1"/>
      <c r="J567" s="1"/>
      <c r="N567" s="1"/>
      <c r="R567" s="1"/>
      <c r="V567" s="1"/>
      <c r="Z567" s="1"/>
      <c r="AD567" s="1"/>
      <c r="AH567" s="1"/>
      <c r="AL567" s="1"/>
      <c r="AP567" s="1"/>
      <c r="AT567" s="16"/>
      <c r="AX567" s="16"/>
    </row>
    <row r="568" spans="2:50" x14ac:dyDescent="0.25">
      <c r="B568" s="1"/>
      <c r="F568" s="1"/>
      <c r="J568" s="1"/>
      <c r="N568" s="1"/>
      <c r="R568" s="1"/>
      <c r="V568" s="1"/>
      <c r="Z568" s="1"/>
      <c r="AD568" s="1"/>
      <c r="AH568" s="1"/>
      <c r="AL568" s="1"/>
      <c r="AP568" s="1"/>
      <c r="AT568" s="16"/>
      <c r="AX568" s="16"/>
    </row>
    <row r="569" spans="2:50" x14ac:dyDescent="0.25">
      <c r="B569" s="1"/>
      <c r="F569" s="1"/>
      <c r="J569" s="1"/>
      <c r="N569" s="1"/>
      <c r="R569" s="1"/>
      <c r="V569" s="1"/>
      <c r="Z569" s="1"/>
      <c r="AD569" s="1"/>
      <c r="AH569" s="1"/>
      <c r="AL569" s="1"/>
      <c r="AP569" s="1"/>
      <c r="AT569" s="16"/>
      <c r="AX569" s="16"/>
    </row>
    <row r="570" spans="2:50" x14ac:dyDescent="0.25">
      <c r="B570" s="1"/>
      <c r="F570" s="1"/>
      <c r="J570" s="1"/>
      <c r="N570" s="1"/>
      <c r="R570" s="1"/>
      <c r="V570" s="1"/>
      <c r="Z570" s="1"/>
      <c r="AD570" s="1"/>
      <c r="AH570" s="1"/>
      <c r="AL570" s="1"/>
      <c r="AP570" s="1"/>
      <c r="AT570" s="16"/>
      <c r="AX570" s="16"/>
    </row>
    <row r="571" spans="2:50" x14ac:dyDescent="0.25">
      <c r="B571" s="1"/>
      <c r="F571" s="1"/>
      <c r="J571" s="1"/>
      <c r="N571" s="1"/>
      <c r="R571" s="1"/>
      <c r="V571" s="1"/>
      <c r="Z571" s="1"/>
      <c r="AD571" s="1"/>
      <c r="AH571" s="1"/>
      <c r="AL571" s="1"/>
      <c r="AP571" s="1"/>
      <c r="AT571" s="16"/>
      <c r="AX571" s="16"/>
    </row>
    <row r="572" spans="2:50" x14ac:dyDescent="0.25">
      <c r="B572" s="1"/>
      <c r="F572" s="1"/>
      <c r="J572" s="1"/>
      <c r="N572" s="1"/>
      <c r="R572" s="1"/>
      <c r="V572" s="1"/>
      <c r="Z572" s="1"/>
      <c r="AD572" s="1"/>
      <c r="AH572" s="1"/>
      <c r="AL572" s="1"/>
      <c r="AP572" s="1"/>
      <c r="AT572" s="16"/>
      <c r="AX572" s="16"/>
    </row>
    <row r="573" spans="2:50" x14ac:dyDescent="0.25">
      <c r="B573" s="1"/>
      <c r="F573" s="1"/>
      <c r="J573" s="1"/>
      <c r="N573" s="1"/>
      <c r="R573" s="1"/>
      <c r="V573" s="1"/>
      <c r="Z573" s="1"/>
      <c r="AD573" s="1"/>
      <c r="AH573" s="1"/>
      <c r="AL573" s="1"/>
      <c r="AP573" s="1"/>
      <c r="AT573" s="16"/>
      <c r="AX573" s="16"/>
    </row>
    <row r="574" spans="2:50" x14ac:dyDescent="0.25">
      <c r="B574" s="1"/>
      <c r="F574" s="1"/>
      <c r="J574" s="1"/>
      <c r="N574" s="1"/>
      <c r="R574" s="1"/>
      <c r="V574" s="1"/>
      <c r="Z574" s="1"/>
      <c r="AD574" s="1"/>
      <c r="AH574" s="1"/>
      <c r="AL574" s="1"/>
      <c r="AP574" s="1"/>
      <c r="AT574" s="16"/>
      <c r="AX574" s="16"/>
    </row>
    <row r="575" spans="2:50" x14ac:dyDescent="0.25">
      <c r="B575" s="1"/>
      <c r="F575" s="1"/>
      <c r="J575" s="1"/>
      <c r="N575" s="1"/>
      <c r="R575" s="1"/>
      <c r="V575" s="1"/>
      <c r="Z575" s="1"/>
      <c r="AD575" s="1"/>
      <c r="AH575" s="1"/>
      <c r="AL575" s="1"/>
      <c r="AP575" s="1"/>
      <c r="AT575" s="16"/>
      <c r="AX575" s="16"/>
    </row>
    <row r="576" spans="2:50" x14ac:dyDescent="0.25">
      <c r="B576" s="1"/>
      <c r="F576" s="1"/>
      <c r="J576" s="1"/>
      <c r="N576" s="1"/>
      <c r="R576" s="1"/>
      <c r="V576" s="1"/>
      <c r="Z576" s="1"/>
      <c r="AD576" s="1"/>
      <c r="AH576" s="1"/>
      <c r="AL576" s="1"/>
      <c r="AP576" s="1"/>
      <c r="AT576" s="16"/>
      <c r="AX576" s="16"/>
    </row>
    <row r="577" spans="2:50" x14ac:dyDescent="0.25">
      <c r="B577" s="1"/>
      <c r="F577" s="1"/>
      <c r="J577" s="1"/>
      <c r="N577" s="1"/>
      <c r="R577" s="1"/>
      <c r="V577" s="1"/>
      <c r="Z577" s="1"/>
      <c r="AD577" s="1"/>
      <c r="AH577" s="1"/>
      <c r="AL577" s="1"/>
      <c r="AP577" s="1"/>
      <c r="AT577" s="16"/>
      <c r="AX577" s="16"/>
    </row>
    <row r="578" spans="2:50" x14ac:dyDescent="0.25">
      <c r="B578" s="1"/>
      <c r="F578" s="1"/>
      <c r="J578" s="1"/>
      <c r="N578" s="1"/>
      <c r="R578" s="1"/>
      <c r="V578" s="1"/>
      <c r="Z578" s="1"/>
      <c r="AD578" s="1"/>
      <c r="AH578" s="1"/>
      <c r="AL578" s="1"/>
      <c r="AP578" s="1"/>
      <c r="AT578" s="16"/>
      <c r="AX578" s="16"/>
    </row>
    <row r="579" spans="2:50" x14ac:dyDescent="0.25">
      <c r="B579" s="1"/>
      <c r="F579" s="1"/>
      <c r="J579" s="1"/>
      <c r="N579" s="1"/>
      <c r="R579" s="1"/>
      <c r="V579" s="1"/>
      <c r="Z579" s="1"/>
      <c r="AD579" s="1"/>
      <c r="AH579" s="1"/>
      <c r="AL579" s="1"/>
      <c r="AP579" s="1"/>
      <c r="AT579" s="16"/>
      <c r="AX579" s="16"/>
    </row>
    <row r="580" spans="2:50" x14ac:dyDescent="0.25">
      <c r="B580" s="1"/>
      <c r="F580" s="1"/>
      <c r="J580" s="1"/>
      <c r="N580" s="1"/>
      <c r="R580" s="1"/>
      <c r="V580" s="1"/>
      <c r="Z580" s="1"/>
      <c r="AD580" s="1"/>
      <c r="AH580" s="1"/>
      <c r="AL580" s="1"/>
      <c r="AP580" s="1"/>
      <c r="AT580" s="16"/>
      <c r="AX580" s="16"/>
    </row>
    <row r="581" spans="2:50" x14ac:dyDescent="0.25">
      <c r="B581" s="1"/>
      <c r="F581" s="1"/>
      <c r="J581" s="1"/>
      <c r="N581" s="1"/>
      <c r="R581" s="1"/>
      <c r="V581" s="1"/>
      <c r="Z581" s="1"/>
      <c r="AD581" s="1"/>
      <c r="AH581" s="1"/>
      <c r="AL581" s="1"/>
      <c r="AP581" s="1"/>
      <c r="AT581" s="16"/>
      <c r="AX581" s="16"/>
    </row>
    <row r="582" spans="2:50" x14ac:dyDescent="0.25">
      <c r="B582" s="1"/>
      <c r="F582" s="1"/>
      <c r="J582" s="1"/>
      <c r="N582" s="1"/>
      <c r="R582" s="1"/>
      <c r="V582" s="1"/>
      <c r="Z582" s="1"/>
      <c r="AD582" s="1"/>
      <c r="AH582" s="1"/>
      <c r="AL582" s="1"/>
      <c r="AP582" s="1"/>
      <c r="AT582" s="16"/>
      <c r="AX582" s="16"/>
    </row>
    <row r="583" spans="2:50" x14ac:dyDescent="0.25">
      <c r="B583" s="1"/>
      <c r="F583" s="1"/>
      <c r="J583" s="1"/>
      <c r="N583" s="1"/>
      <c r="R583" s="1"/>
      <c r="V583" s="1"/>
      <c r="Z583" s="1"/>
      <c r="AD583" s="1"/>
      <c r="AH583" s="1"/>
      <c r="AL583" s="1"/>
      <c r="AP583" s="1"/>
      <c r="AT583" s="16"/>
      <c r="AX583" s="16"/>
    </row>
    <row r="584" spans="2:50" x14ac:dyDescent="0.25">
      <c r="B584" s="1"/>
      <c r="F584" s="1"/>
      <c r="J584" s="1"/>
      <c r="N584" s="1"/>
      <c r="R584" s="1"/>
      <c r="V584" s="1"/>
      <c r="Z584" s="1"/>
      <c r="AD584" s="1"/>
      <c r="AH584" s="1"/>
      <c r="AL584" s="1"/>
      <c r="AP584" s="1"/>
      <c r="AT584" s="16"/>
      <c r="AX584" s="16"/>
    </row>
    <row r="585" spans="2:50" x14ac:dyDescent="0.25">
      <c r="B585" s="1"/>
      <c r="F585" s="1"/>
      <c r="J585" s="1"/>
      <c r="N585" s="1"/>
      <c r="R585" s="1"/>
      <c r="V585" s="1"/>
      <c r="Z585" s="1"/>
      <c r="AD585" s="1"/>
      <c r="AH585" s="1"/>
      <c r="AL585" s="1"/>
      <c r="AP585" s="1"/>
      <c r="AT585" s="16"/>
      <c r="AX585" s="16"/>
    </row>
    <row r="586" spans="2:50" x14ac:dyDescent="0.25">
      <c r="B586" s="1"/>
      <c r="F586" s="1"/>
      <c r="J586" s="1"/>
      <c r="N586" s="1"/>
      <c r="R586" s="1"/>
      <c r="V586" s="1"/>
      <c r="Z586" s="1"/>
      <c r="AD586" s="1"/>
      <c r="AH586" s="1"/>
      <c r="AL586" s="1"/>
      <c r="AP586" s="1"/>
      <c r="AT586" s="16"/>
      <c r="AX586" s="16"/>
    </row>
    <row r="587" spans="2:50" x14ac:dyDescent="0.25">
      <c r="B587" s="1"/>
      <c r="F587" s="1"/>
      <c r="J587" s="1"/>
      <c r="N587" s="1"/>
      <c r="R587" s="1"/>
      <c r="V587" s="1"/>
      <c r="Z587" s="1"/>
      <c r="AD587" s="1"/>
      <c r="AH587" s="1"/>
      <c r="AL587" s="1"/>
      <c r="AP587" s="1"/>
      <c r="AT587" s="16"/>
      <c r="AX587" s="16"/>
    </row>
    <row r="588" spans="2:50" x14ac:dyDescent="0.25">
      <c r="B588" s="1"/>
      <c r="F588" s="1"/>
      <c r="J588" s="1"/>
      <c r="N588" s="1"/>
      <c r="R588" s="1"/>
      <c r="V588" s="1"/>
      <c r="Z588" s="1"/>
      <c r="AD588" s="1"/>
      <c r="AH588" s="1"/>
      <c r="AL588" s="1"/>
      <c r="AP588" s="1"/>
      <c r="AT588" s="16"/>
      <c r="AX588" s="16"/>
    </row>
    <row r="589" spans="2:50" x14ac:dyDescent="0.25">
      <c r="B589" s="1"/>
      <c r="F589" s="1"/>
      <c r="J589" s="1"/>
      <c r="N589" s="1"/>
      <c r="R589" s="1"/>
      <c r="V589" s="1"/>
      <c r="Z589" s="1"/>
      <c r="AD589" s="1"/>
      <c r="AH589" s="1"/>
      <c r="AL589" s="1"/>
      <c r="AP589" s="1"/>
      <c r="AT589" s="16"/>
      <c r="AX589" s="16"/>
    </row>
    <row r="590" spans="2:50" x14ac:dyDescent="0.25">
      <c r="B590" s="1"/>
      <c r="F590" s="1"/>
      <c r="J590" s="1"/>
      <c r="N590" s="1"/>
      <c r="R590" s="1"/>
      <c r="V590" s="1"/>
      <c r="Z590" s="1"/>
      <c r="AD590" s="1"/>
      <c r="AH590" s="1"/>
      <c r="AL590" s="1"/>
      <c r="AP590" s="1"/>
      <c r="AT590" s="16"/>
      <c r="AX590" s="16"/>
    </row>
    <row r="591" spans="2:50" x14ac:dyDescent="0.25">
      <c r="B591" s="1"/>
      <c r="F591" s="1"/>
      <c r="J591" s="1"/>
      <c r="N591" s="1"/>
      <c r="R591" s="1"/>
      <c r="V591" s="1"/>
      <c r="Z591" s="1"/>
      <c r="AD591" s="1"/>
      <c r="AH591" s="1"/>
      <c r="AL591" s="1"/>
      <c r="AP591" s="1"/>
      <c r="AT591" s="16"/>
      <c r="AX591" s="16"/>
    </row>
    <row r="592" spans="2:50" x14ac:dyDescent="0.25">
      <c r="B592" s="1"/>
      <c r="F592" s="1"/>
      <c r="J592" s="1"/>
      <c r="N592" s="1"/>
      <c r="R592" s="1"/>
      <c r="V592" s="1"/>
      <c r="Z592" s="1"/>
      <c r="AD592" s="1"/>
      <c r="AH592" s="1"/>
      <c r="AL592" s="1"/>
      <c r="AP592" s="1"/>
      <c r="AT592" s="16"/>
      <c r="AX592" s="16"/>
    </row>
    <row r="593" spans="2:50" x14ac:dyDescent="0.25">
      <c r="B593" s="1"/>
      <c r="F593" s="1"/>
      <c r="J593" s="1"/>
      <c r="N593" s="1"/>
      <c r="R593" s="1"/>
      <c r="V593" s="1"/>
      <c r="Z593" s="1"/>
      <c r="AD593" s="1"/>
      <c r="AH593" s="1"/>
      <c r="AL593" s="1"/>
      <c r="AP593" s="1"/>
      <c r="AT593" s="16"/>
      <c r="AX593" s="16"/>
    </row>
    <row r="594" spans="2:50" x14ac:dyDescent="0.25">
      <c r="B594" s="1"/>
      <c r="F594" s="1"/>
      <c r="J594" s="1"/>
      <c r="N594" s="1"/>
      <c r="R594" s="1"/>
      <c r="V594" s="1"/>
      <c r="Z594" s="1"/>
      <c r="AD594" s="1"/>
      <c r="AH594" s="1"/>
      <c r="AL594" s="1"/>
      <c r="AP594" s="1"/>
      <c r="AT594" s="16"/>
      <c r="AX594" s="16"/>
    </row>
    <row r="595" spans="2:50" x14ac:dyDescent="0.25">
      <c r="B595" s="1"/>
      <c r="F595" s="1"/>
      <c r="J595" s="1"/>
      <c r="N595" s="1"/>
      <c r="R595" s="1"/>
      <c r="V595" s="1"/>
      <c r="Z595" s="1"/>
      <c r="AD595" s="1"/>
      <c r="AH595" s="1"/>
      <c r="AL595" s="1"/>
      <c r="AP595" s="1"/>
      <c r="AT595" s="16"/>
      <c r="AX595" s="16"/>
    </row>
    <row r="596" spans="2:50" x14ac:dyDescent="0.25">
      <c r="B596" s="1"/>
      <c r="F596" s="1"/>
      <c r="J596" s="1"/>
      <c r="N596" s="1"/>
      <c r="R596" s="1"/>
      <c r="V596" s="1"/>
      <c r="Z596" s="1"/>
      <c r="AD596" s="1"/>
      <c r="AH596" s="1"/>
      <c r="AL596" s="1"/>
      <c r="AP596" s="1"/>
      <c r="AT596" s="16"/>
      <c r="AX596" s="16"/>
    </row>
    <row r="597" spans="2:50" x14ac:dyDescent="0.25">
      <c r="B597" s="1"/>
      <c r="F597" s="1"/>
      <c r="J597" s="1"/>
      <c r="N597" s="1"/>
      <c r="R597" s="1"/>
      <c r="V597" s="1"/>
      <c r="Z597" s="1"/>
      <c r="AD597" s="1"/>
      <c r="AH597" s="1"/>
      <c r="AL597" s="1"/>
      <c r="AP597" s="1"/>
      <c r="AT597" s="16"/>
      <c r="AX597" s="16"/>
    </row>
    <row r="598" spans="2:50" x14ac:dyDescent="0.25">
      <c r="B598" s="1"/>
      <c r="F598" s="1"/>
      <c r="J598" s="1"/>
      <c r="N598" s="1"/>
      <c r="R598" s="1"/>
      <c r="V598" s="1"/>
      <c r="Z598" s="1"/>
      <c r="AD598" s="1"/>
      <c r="AH598" s="1"/>
      <c r="AL598" s="1"/>
      <c r="AP598" s="1"/>
      <c r="AT598" s="16"/>
      <c r="AX598" s="16"/>
    </row>
    <row r="599" spans="2:50" x14ac:dyDescent="0.25">
      <c r="B599" s="1"/>
      <c r="F599" s="1"/>
      <c r="J599" s="1"/>
      <c r="N599" s="1"/>
      <c r="R599" s="1"/>
      <c r="V599" s="1"/>
      <c r="Z599" s="1"/>
      <c r="AD599" s="1"/>
      <c r="AH599" s="1"/>
      <c r="AL599" s="1"/>
      <c r="AP599" s="1"/>
      <c r="AT599" s="16"/>
      <c r="AX599" s="16"/>
    </row>
    <row r="600" spans="2:50" x14ac:dyDescent="0.25">
      <c r="B600" s="1"/>
      <c r="F600" s="1"/>
      <c r="J600" s="1"/>
      <c r="N600" s="1"/>
      <c r="R600" s="1"/>
      <c r="V600" s="1"/>
      <c r="Z600" s="1"/>
      <c r="AD600" s="1"/>
      <c r="AH600" s="1"/>
      <c r="AL600" s="1"/>
      <c r="AP600" s="1"/>
      <c r="AT600" s="16"/>
      <c r="AX600" s="16"/>
    </row>
    <row r="601" spans="2:50" x14ac:dyDescent="0.25">
      <c r="B601" s="1"/>
      <c r="F601" s="1"/>
      <c r="J601" s="1"/>
      <c r="N601" s="1"/>
      <c r="R601" s="1"/>
      <c r="V601" s="1"/>
      <c r="Z601" s="1"/>
      <c r="AD601" s="1"/>
      <c r="AH601" s="1"/>
      <c r="AL601" s="1"/>
      <c r="AP601" s="1"/>
      <c r="AT601" s="16"/>
      <c r="AX601" s="16"/>
    </row>
    <row r="602" spans="2:50" x14ac:dyDescent="0.25">
      <c r="B602" s="1"/>
      <c r="F602" s="1"/>
      <c r="J602" s="1"/>
      <c r="N602" s="1"/>
      <c r="R602" s="1"/>
      <c r="V602" s="1"/>
      <c r="Z602" s="1"/>
      <c r="AD602" s="1"/>
      <c r="AH602" s="1"/>
      <c r="AL602" s="1"/>
      <c r="AP602" s="1"/>
      <c r="AT602" s="16"/>
      <c r="AX602" s="16"/>
    </row>
    <row r="603" spans="2:50" x14ac:dyDescent="0.25">
      <c r="B603" s="1"/>
      <c r="F603" s="1"/>
      <c r="J603" s="1"/>
      <c r="N603" s="1"/>
      <c r="R603" s="1"/>
      <c r="V603" s="1"/>
      <c r="Z603" s="1"/>
      <c r="AD603" s="1"/>
      <c r="AH603" s="1"/>
      <c r="AL603" s="1"/>
      <c r="AP603" s="1"/>
      <c r="AT603" s="16"/>
      <c r="AX603" s="16"/>
    </row>
    <row r="604" spans="2:50" x14ac:dyDescent="0.25">
      <c r="B604" s="1"/>
      <c r="F604" s="1"/>
      <c r="J604" s="1"/>
      <c r="N604" s="1"/>
      <c r="R604" s="1"/>
      <c r="V604" s="1"/>
      <c r="Z604" s="1"/>
      <c r="AD604" s="1"/>
      <c r="AH604" s="1"/>
      <c r="AL604" s="1"/>
      <c r="AP604" s="1"/>
      <c r="AT604" s="16"/>
      <c r="AX604" s="16"/>
    </row>
    <row r="605" spans="2:50" x14ac:dyDescent="0.25">
      <c r="B605" s="1"/>
      <c r="F605" s="1"/>
      <c r="J605" s="1"/>
      <c r="N605" s="1"/>
      <c r="R605" s="1"/>
      <c r="V605" s="1"/>
      <c r="Z605" s="1"/>
      <c r="AD605" s="1"/>
      <c r="AH605" s="1"/>
      <c r="AL605" s="1"/>
      <c r="AP605" s="1"/>
      <c r="AT605" s="16"/>
      <c r="AX605" s="16"/>
    </row>
    <row r="606" spans="2:50" x14ac:dyDescent="0.25">
      <c r="B606" s="1"/>
      <c r="F606" s="1"/>
      <c r="J606" s="1"/>
      <c r="N606" s="1"/>
      <c r="R606" s="1"/>
      <c r="V606" s="1"/>
      <c r="Z606" s="1"/>
      <c r="AD606" s="1"/>
      <c r="AH606" s="1"/>
      <c r="AL606" s="1"/>
      <c r="AP606" s="1"/>
      <c r="AT606" s="16"/>
      <c r="AX606" s="16"/>
    </row>
    <row r="607" spans="2:50" x14ac:dyDescent="0.25">
      <c r="B607" s="1"/>
      <c r="F607" s="1"/>
      <c r="J607" s="1"/>
      <c r="N607" s="1"/>
      <c r="R607" s="1"/>
      <c r="V607" s="1"/>
      <c r="Z607" s="1"/>
      <c r="AD607" s="1"/>
      <c r="AH607" s="1"/>
      <c r="AL607" s="1"/>
      <c r="AP607" s="1"/>
      <c r="AT607" s="16"/>
      <c r="AX607" s="16"/>
    </row>
    <row r="608" spans="2:50" x14ac:dyDescent="0.25">
      <c r="B608" s="1"/>
      <c r="F608" s="1"/>
      <c r="J608" s="1"/>
      <c r="N608" s="1"/>
      <c r="R608" s="1"/>
      <c r="V608" s="1"/>
      <c r="Z608" s="1"/>
      <c r="AD608" s="1"/>
      <c r="AH608" s="1"/>
      <c r="AL608" s="1"/>
      <c r="AP608" s="1"/>
      <c r="AT608" s="16"/>
      <c r="AX608" s="16"/>
    </row>
    <row r="609" spans="2:50" x14ac:dyDescent="0.25">
      <c r="B609" s="1"/>
      <c r="F609" s="1"/>
      <c r="J609" s="1"/>
      <c r="N609" s="1"/>
      <c r="R609" s="1"/>
      <c r="V609" s="1"/>
      <c r="Z609" s="1"/>
      <c r="AD609" s="1"/>
      <c r="AH609" s="1"/>
      <c r="AL609" s="1"/>
      <c r="AP609" s="1"/>
      <c r="AT609" s="16"/>
      <c r="AX609" s="16"/>
    </row>
    <row r="610" spans="2:50" x14ac:dyDescent="0.25">
      <c r="B610" s="1"/>
      <c r="F610" s="1"/>
      <c r="J610" s="1"/>
      <c r="N610" s="1"/>
      <c r="R610" s="1"/>
      <c r="V610" s="1"/>
      <c r="Z610" s="1"/>
      <c r="AD610" s="1"/>
      <c r="AH610" s="1"/>
      <c r="AL610" s="1"/>
      <c r="AP610" s="1"/>
      <c r="AT610" s="16"/>
      <c r="AX610" s="16"/>
    </row>
    <row r="611" spans="2:50" x14ac:dyDescent="0.25">
      <c r="B611" s="1"/>
      <c r="F611" s="1"/>
      <c r="J611" s="1"/>
      <c r="N611" s="1"/>
      <c r="R611" s="1"/>
      <c r="V611" s="1"/>
      <c r="Z611" s="1"/>
      <c r="AD611" s="1"/>
      <c r="AH611" s="1"/>
      <c r="AL611" s="1"/>
      <c r="AP611" s="1"/>
      <c r="AT611" s="16"/>
      <c r="AX611" s="16"/>
    </row>
    <row r="612" spans="2:50" x14ac:dyDescent="0.25">
      <c r="B612" s="1"/>
      <c r="F612" s="1"/>
      <c r="J612" s="1"/>
      <c r="N612" s="1"/>
      <c r="R612" s="1"/>
      <c r="V612" s="1"/>
      <c r="Z612" s="1"/>
      <c r="AD612" s="1"/>
      <c r="AH612" s="1"/>
      <c r="AL612" s="1"/>
      <c r="AP612" s="1"/>
      <c r="AT612" s="16"/>
      <c r="AX612" s="16"/>
    </row>
    <row r="613" spans="2:50" x14ac:dyDescent="0.25">
      <c r="B613" s="1"/>
      <c r="F613" s="1"/>
      <c r="J613" s="1"/>
      <c r="N613" s="1"/>
      <c r="R613" s="1"/>
      <c r="V613" s="1"/>
      <c r="Z613" s="1"/>
      <c r="AD613" s="1"/>
      <c r="AH613" s="1"/>
      <c r="AL613" s="1"/>
      <c r="AP613" s="1"/>
      <c r="AT613" s="16"/>
      <c r="AX613" s="16"/>
    </row>
    <row r="614" spans="2:50" x14ac:dyDescent="0.25">
      <c r="B614" s="1"/>
      <c r="F614" s="1"/>
      <c r="J614" s="1"/>
      <c r="N614" s="1"/>
      <c r="R614" s="1"/>
      <c r="V614" s="1"/>
      <c r="Z614" s="1"/>
      <c r="AD614" s="1"/>
      <c r="AH614" s="1"/>
      <c r="AL614" s="1"/>
      <c r="AP614" s="1"/>
      <c r="AT614" s="16"/>
      <c r="AX614" s="16"/>
    </row>
    <row r="615" spans="2:50" x14ac:dyDescent="0.25">
      <c r="B615" s="1"/>
      <c r="F615" s="1"/>
      <c r="J615" s="1"/>
      <c r="N615" s="1"/>
      <c r="R615" s="1"/>
      <c r="V615" s="1"/>
      <c r="Z615" s="1"/>
      <c r="AD615" s="1"/>
      <c r="AH615" s="1"/>
      <c r="AL615" s="1"/>
      <c r="AP615" s="1"/>
      <c r="AT615" s="16"/>
      <c r="AX615" s="16"/>
    </row>
    <row r="616" spans="2:50" x14ac:dyDescent="0.25">
      <c r="B616" s="1"/>
      <c r="F616" s="1"/>
      <c r="J616" s="1"/>
      <c r="N616" s="1"/>
      <c r="R616" s="1"/>
      <c r="V616" s="1"/>
      <c r="Z616" s="1"/>
      <c r="AD616" s="1"/>
      <c r="AH616" s="1"/>
      <c r="AL616" s="1"/>
      <c r="AP616" s="1"/>
      <c r="AT616" s="16"/>
      <c r="AX616" s="16"/>
    </row>
    <row r="617" spans="2:50" x14ac:dyDescent="0.25">
      <c r="B617" s="1"/>
      <c r="F617" s="1"/>
      <c r="J617" s="1"/>
      <c r="N617" s="1"/>
      <c r="R617" s="1"/>
      <c r="V617" s="1"/>
      <c r="Z617" s="1"/>
      <c r="AD617" s="1"/>
      <c r="AH617" s="1"/>
      <c r="AL617" s="1"/>
      <c r="AP617" s="1"/>
      <c r="AT617" s="16"/>
      <c r="AX617" s="16"/>
    </row>
    <row r="618" spans="2:50" x14ac:dyDescent="0.25">
      <c r="B618" s="1"/>
      <c r="F618" s="1"/>
      <c r="J618" s="1"/>
      <c r="N618" s="1"/>
      <c r="R618" s="1"/>
      <c r="V618" s="1"/>
      <c r="Z618" s="1"/>
      <c r="AD618" s="1"/>
      <c r="AH618" s="1"/>
      <c r="AL618" s="1"/>
      <c r="AP618" s="1"/>
      <c r="AT618" s="16"/>
      <c r="AX618" s="16"/>
    </row>
    <row r="619" spans="2:50" x14ac:dyDescent="0.25">
      <c r="B619" s="1"/>
      <c r="F619" s="1"/>
      <c r="J619" s="1"/>
      <c r="N619" s="1"/>
      <c r="R619" s="1"/>
      <c r="V619" s="1"/>
      <c r="Z619" s="1"/>
      <c r="AD619" s="1"/>
      <c r="AH619" s="1"/>
      <c r="AL619" s="1"/>
      <c r="AP619" s="1"/>
      <c r="AT619" s="16"/>
      <c r="AX619" s="16"/>
    </row>
    <row r="620" spans="2:50" x14ac:dyDescent="0.25">
      <c r="B620" s="1"/>
      <c r="F620" s="1"/>
      <c r="J620" s="1"/>
      <c r="N620" s="1"/>
      <c r="R620" s="1"/>
      <c r="V620" s="1"/>
      <c r="Z620" s="1"/>
      <c r="AD620" s="1"/>
      <c r="AH620" s="1"/>
      <c r="AL620" s="1"/>
      <c r="AP620" s="1"/>
      <c r="AT620" s="16"/>
      <c r="AX620" s="16"/>
    </row>
    <row r="621" spans="2:50" x14ac:dyDescent="0.25">
      <c r="B621" s="1"/>
      <c r="F621" s="1"/>
      <c r="J621" s="1"/>
      <c r="N621" s="1"/>
      <c r="R621" s="1"/>
      <c r="V621" s="1"/>
      <c r="Z621" s="1"/>
      <c r="AD621" s="1"/>
      <c r="AH621" s="1"/>
      <c r="AL621" s="1"/>
      <c r="AP621" s="1"/>
      <c r="AT621" s="16"/>
      <c r="AX621" s="16"/>
    </row>
    <row r="622" spans="2:50" x14ac:dyDescent="0.25">
      <c r="B622" s="1"/>
      <c r="F622" s="1"/>
      <c r="J622" s="1"/>
      <c r="N622" s="1"/>
      <c r="R622" s="1"/>
      <c r="V622" s="1"/>
      <c r="Z622" s="1"/>
      <c r="AD622" s="1"/>
      <c r="AH622" s="1"/>
      <c r="AL622" s="1"/>
      <c r="AP622" s="1"/>
      <c r="AT622" s="16"/>
      <c r="AX622" s="16"/>
    </row>
    <row r="623" spans="2:50" x14ac:dyDescent="0.25">
      <c r="B623" s="1"/>
      <c r="F623" s="1"/>
      <c r="J623" s="1"/>
      <c r="N623" s="1"/>
      <c r="R623" s="1"/>
      <c r="V623" s="1"/>
      <c r="Z623" s="1"/>
      <c r="AD623" s="1"/>
      <c r="AH623" s="1"/>
      <c r="AL623" s="1"/>
      <c r="AP623" s="1"/>
      <c r="AT623" s="16"/>
      <c r="AX623" s="16"/>
    </row>
    <row r="624" spans="2:50" x14ac:dyDescent="0.25">
      <c r="B624" s="1"/>
      <c r="F624" s="1"/>
      <c r="J624" s="1"/>
      <c r="N624" s="1"/>
      <c r="R624" s="1"/>
      <c r="V624" s="1"/>
      <c r="Z624" s="1"/>
      <c r="AD624" s="1"/>
      <c r="AH624" s="1"/>
      <c r="AL624" s="1"/>
      <c r="AP624" s="1"/>
      <c r="AT624" s="16"/>
      <c r="AX624" s="16"/>
    </row>
    <row r="625" spans="2:50" x14ac:dyDescent="0.25">
      <c r="B625" s="1"/>
      <c r="F625" s="1"/>
      <c r="J625" s="1"/>
      <c r="N625" s="1"/>
      <c r="R625" s="1"/>
      <c r="V625" s="1"/>
      <c r="Z625" s="1"/>
      <c r="AD625" s="1"/>
      <c r="AH625" s="1"/>
      <c r="AL625" s="1"/>
      <c r="AP625" s="1"/>
      <c r="AT625" s="16"/>
      <c r="AX625" s="16"/>
    </row>
    <row r="626" spans="2:50" x14ac:dyDescent="0.25">
      <c r="B626" s="1"/>
      <c r="F626" s="1"/>
      <c r="J626" s="1"/>
      <c r="N626" s="1"/>
      <c r="R626" s="1"/>
      <c r="V626" s="1"/>
      <c r="Z626" s="1"/>
      <c r="AD626" s="1"/>
      <c r="AH626" s="1"/>
      <c r="AL626" s="1"/>
      <c r="AP626" s="1"/>
      <c r="AT626" s="16"/>
      <c r="AX626" s="16"/>
    </row>
    <row r="627" spans="2:50" x14ac:dyDescent="0.25">
      <c r="B627" s="1"/>
      <c r="F627" s="1"/>
      <c r="J627" s="1"/>
      <c r="N627" s="1"/>
      <c r="R627" s="1"/>
      <c r="V627" s="1"/>
      <c r="Z627" s="1"/>
      <c r="AD627" s="1"/>
      <c r="AH627" s="1"/>
      <c r="AL627" s="1"/>
      <c r="AP627" s="1"/>
      <c r="AT627" s="16"/>
      <c r="AX627" s="16"/>
    </row>
    <row r="628" spans="2:50" x14ac:dyDescent="0.25">
      <c r="B628" s="1"/>
      <c r="F628" s="1"/>
      <c r="J628" s="1"/>
      <c r="N628" s="1"/>
      <c r="R628" s="1"/>
      <c r="V628" s="1"/>
      <c r="Z628" s="1"/>
      <c r="AD628" s="1"/>
      <c r="AH628" s="1"/>
      <c r="AL628" s="1"/>
      <c r="AP628" s="1"/>
      <c r="AT628" s="16"/>
      <c r="AX628" s="16"/>
    </row>
    <row r="629" spans="2:50" x14ac:dyDescent="0.25">
      <c r="B629" s="1"/>
      <c r="F629" s="1"/>
      <c r="J629" s="1"/>
      <c r="N629" s="1"/>
      <c r="R629" s="1"/>
      <c r="V629" s="1"/>
      <c r="Z629" s="1"/>
      <c r="AD629" s="1"/>
      <c r="AH629" s="1"/>
      <c r="AL629" s="1"/>
      <c r="AP629" s="1"/>
      <c r="AT629" s="16"/>
      <c r="AX629" s="16"/>
    </row>
    <row r="630" spans="2:50" x14ac:dyDescent="0.25">
      <c r="B630" s="1"/>
      <c r="F630" s="1"/>
      <c r="J630" s="1"/>
      <c r="N630" s="1"/>
      <c r="R630" s="1"/>
      <c r="V630" s="1"/>
      <c r="Z630" s="1"/>
      <c r="AD630" s="1"/>
      <c r="AH630" s="1"/>
      <c r="AL630" s="1"/>
      <c r="AP630" s="1"/>
      <c r="AT630" s="16"/>
      <c r="AX630" s="16"/>
    </row>
    <row r="631" spans="2:50" x14ac:dyDescent="0.25">
      <c r="B631" s="1"/>
      <c r="F631" s="1"/>
      <c r="J631" s="1"/>
      <c r="N631" s="1"/>
      <c r="R631" s="1"/>
      <c r="V631" s="1"/>
      <c r="Z631" s="1"/>
      <c r="AD631" s="1"/>
      <c r="AH631" s="1"/>
      <c r="AL631" s="1"/>
      <c r="AP631" s="1"/>
      <c r="AT631" s="16"/>
      <c r="AX631" s="16"/>
    </row>
    <row r="632" spans="2:50" x14ac:dyDescent="0.25">
      <c r="B632" s="1"/>
      <c r="F632" s="1"/>
      <c r="J632" s="1"/>
      <c r="N632" s="1"/>
      <c r="R632" s="1"/>
      <c r="V632" s="1"/>
      <c r="Z632" s="1"/>
      <c r="AD632" s="1"/>
      <c r="AH632" s="1"/>
      <c r="AL632" s="1"/>
      <c r="AP632" s="1"/>
      <c r="AT632" s="16"/>
      <c r="AX632" s="16"/>
    </row>
    <row r="633" spans="2:50" x14ac:dyDescent="0.25">
      <c r="B633" s="1"/>
      <c r="F633" s="1"/>
      <c r="J633" s="1"/>
      <c r="N633" s="1"/>
      <c r="R633" s="1"/>
      <c r="V633" s="1"/>
      <c r="Z633" s="1"/>
      <c r="AD633" s="1"/>
      <c r="AH633" s="1"/>
      <c r="AL633" s="1"/>
      <c r="AP633" s="1"/>
      <c r="AT633" s="16"/>
      <c r="AX633" s="16"/>
    </row>
    <row r="634" spans="2:50" x14ac:dyDescent="0.25">
      <c r="B634" s="1"/>
      <c r="F634" s="1"/>
      <c r="J634" s="1"/>
      <c r="N634" s="1"/>
      <c r="R634" s="1"/>
      <c r="V634" s="1"/>
      <c r="Z634" s="1"/>
      <c r="AD634" s="1"/>
      <c r="AH634" s="1"/>
      <c r="AL634" s="1"/>
      <c r="AP634" s="1"/>
      <c r="AT634" s="16"/>
      <c r="AX634" s="16"/>
    </row>
    <row r="635" spans="2:50" x14ac:dyDescent="0.25">
      <c r="B635" s="1"/>
      <c r="F635" s="1"/>
      <c r="J635" s="1"/>
      <c r="N635" s="1"/>
      <c r="R635" s="1"/>
      <c r="V635" s="1"/>
      <c r="Z635" s="1"/>
      <c r="AD635" s="1"/>
      <c r="AH635" s="1"/>
      <c r="AL635" s="1"/>
      <c r="AP635" s="1"/>
      <c r="AT635" s="16"/>
      <c r="AX635" s="16"/>
    </row>
    <row r="636" spans="2:50" x14ac:dyDescent="0.25">
      <c r="B636" s="1"/>
      <c r="F636" s="1"/>
      <c r="J636" s="1"/>
      <c r="N636" s="1"/>
      <c r="R636" s="1"/>
      <c r="V636" s="1"/>
      <c r="Z636" s="1"/>
      <c r="AD636" s="1"/>
      <c r="AH636" s="1"/>
      <c r="AL636" s="1"/>
      <c r="AP636" s="1"/>
      <c r="AT636" s="16"/>
      <c r="AX636" s="16"/>
    </row>
    <row r="637" spans="2:50" x14ac:dyDescent="0.25">
      <c r="B637" s="1"/>
      <c r="F637" s="1"/>
      <c r="J637" s="1"/>
      <c r="N637" s="1"/>
      <c r="R637" s="1"/>
      <c r="V637" s="1"/>
      <c r="Z637" s="1"/>
      <c r="AD637" s="1"/>
      <c r="AH637" s="1"/>
      <c r="AL637" s="1"/>
      <c r="AP637" s="1"/>
      <c r="AT637" s="16"/>
      <c r="AX637" s="16"/>
    </row>
    <row r="638" spans="2:50" x14ac:dyDescent="0.25">
      <c r="B638" s="1"/>
      <c r="F638" s="1"/>
      <c r="J638" s="1"/>
      <c r="N638" s="1"/>
      <c r="R638" s="1"/>
      <c r="V638" s="1"/>
      <c r="Z638" s="1"/>
      <c r="AD638" s="1"/>
      <c r="AH638" s="1"/>
      <c r="AL638" s="1"/>
      <c r="AP638" s="1"/>
      <c r="AT638" s="16"/>
      <c r="AX638" s="16"/>
    </row>
    <row r="639" spans="2:50" x14ac:dyDescent="0.25">
      <c r="B639" s="1"/>
      <c r="F639" s="1"/>
      <c r="J639" s="1"/>
      <c r="N639" s="1"/>
      <c r="R639" s="1"/>
      <c r="V639" s="1"/>
      <c r="Z639" s="1"/>
      <c r="AD639" s="1"/>
      <c r="AH639" s="1"/>
      <c r="AL639" s="1"/>
      <c r="AP639" s="1"/>
      <c r="AT639" s="16"/>
      <c r="AX639" s="16"/>
    </row>
    <row r="640" spans="2:50" x14ac:dyDescent="0.25">
      <c r="B640" s="1"/>
      <c r="F640" s="1"/>
      <c r="J640" s="1"/>
      <c r="N640" s="1"/>
      <c r="R640" s="1"/>
      <c r="V640" s="1"/>
      <c r="Z640" s="1"/>
      <c r="AD640" s="1"/>
      <c r="AH640" s="1"/>
      <c r="AL640" s="1"/>
      <c r="AP640" s="1"/>
      <c r="AT640" s="16"/>
      <c r="AX640" s="16"/>
    </row>
    <row r="641" spans="2:50" x14ac:dyDescent="0.25">
      <c r="B641" s="1"/>
      <c r="F641" s="1"/>
      <c r="J641" s="1"/>
      <c r="N641" s="1"/>
      <c r="R641" s="1"/>
      <c r="V641" s="1"/>
      <c r="Z641" s="1"/>
      <c r="AD641" s="1"/>
      <c r="AH641" s="1"/>
      <c r="AL641" s="1"/>
      <c r="AP641" s="1"/>
      <c r="AT641" s="16"/>
      <c r="AX641" s="16"/>
    </row>
    <row r="642" spans="2:50" x14ac:dyDescent="0.25">
      <c r="B642" s="1"/>
      <c r="F642" s="1"/>
      <c r="J642" s="1"/>
      <c r="N642" s="1"/>
      <c r="R642" s="1"/>
      <c r="V642" s="1"/>
      <c r="Z642" s="1"/>
      <c r="AD642" s="1"/>
      <c r="AH642" s="1"/>
      <c r="AL642" s="1"/>
      <c r="AP642" s="1"/>
      <c r="AT642" s="16"/>
      <c r="AX642" s="16"/>
    </row>
    <row r="643" spans="2:50" x14ac:dyDescent="0.25">
      <c r="B643" s="1"/>
      <c r="F643" s="1"/>
      <c r="J643" s="1"/>
      <c r="N643" s="1"/>
      <c r="R643" s="1"/>
      <c r="V643" s="1"/>
      <c r="Z643" s="1"/>
      <c r="AD643" s="1"/>
      <c r="AH643" s="1"/>
      <c r="AL643" s="1"/>
      <c r="AP643" s="1"/>
      <c r="AT643" s="16"/>
      <c r="AX643" s="16"/>
    </row>
    <row r="644" spans="2:50" x14ac:dyDescent="0.25">
      <c r="B644" s="1"/>
      <c r="F644" s="1"/>
      <c r="J644" s="1"/>
      <c r="N644" s="1"/>
      <c r="R644" s="1"/>
      <c r="V644" s="1"/>
      <c r="Z644" s="1"/>
      <c r="AD644" s="1"/>
      <c r="AH644" s="1"/>
      <c r="AL644" s="1"/>
      <c r="AP644" s="1"/>
      <c r="AT644" s="16"/>
      <c r="AX644" s="16"/>
    </row>
    <row r="645" spans="2:50" x14ac:dyDescent="0.25">
      <c r="B645" s="1"/>
      <c r="F645" s="1"/>
      <c r="J645" s="1"/>
      <c r="N645" s="1"/>
      <c r="R645" s="1"/>
      <c r="V645" s="1"/>
      <c r="Z645" s="1"/>
      <c r="AD645" s="1"/>
      <c r="AH645" s="1"/>
      <c r="AL645" s="1"/>
      <c r="AP645" s="1"/>
      <c r="AT645" s="16"/>
      <c r="AX645" s="16"/>
    </row>
    <row r="646" spans="2:50" x14ac:dyDescent="0.25">
      <c r="B646" s="1"/>
      <c r="F646" s="1"/>
      <c r="J646" s="1"/>
      <c r="N646" s="1"/>
      <c r="R646" s="1"/>
      <c r="V646" s="1"/>
      <c r="Z646" s="1"/>
      <c r="AD646" s="1"/>
      <c r="AH646" s="1"/>
      <c r="AL646" s="1"/>
      <c r="AP646" s="1"/>
      <c r="AT646" s="16"/>
      <c r="AX646" s="16"/>
    </row>
    <row r="647" spans="2:50" x14ac:dyDescent="0.25">
      <c r="B647" s="1"/>
      <c r="F647" s="1"/>
      <c r="J647" s="1"/>
      <c r="N647" s="1"/>
      <c r="R647" s="1"/>
      <c r="V647" s="1"/>
      <c r="Z647" s="1"/>
      <c r="AD647" s="1"/>
      <c r="AH647" s="1"/>
      <c r="AL647" s="1"/>
      <c r="AP647" s="1"/>
      <c r="AT647" s="16"/>
      <c r="AX647" s="16"/>
    </row>
    <row r="648" spans="2:50" x14ac:dyDescent="0.25">
      <c r="B648" s="1"/>
      <c r="F648" s="1"/>
      <c r="J648" s="1"/>
      <c r="N648" s="1"/>
      <c r="R648" s="1"/>
      <c r="V648" s="1"/>
      <c r="Z648" s="1"/>
      <c r="AD648" s="1"/>
      <c r="AH648" s="1"/>
      <c r="AL648" s="1"/>
      <c r="AP648" s="1"/>
      <c r="AT648" s="16"/>
      <c r="AX648" s="16"/>
    </row>
    <row r="649" spans="2:50" x14ac:dyDescent="0.25">
      <c r="B649" s="1"/>
      <c r="F649" s="1"/>
      <c r="J649" s="1"/>
      <c r="N649" s="1"/>
      <c r="R649" s="1"/>
      <c r="V649" s="1"/>
      <c r="Z649" s="1"/>
      <c r="AD649" s="1"/>
      <c r="AH649" s="1"/>
      <c r="AL649" s="1"/>
      <c r="AP649" s="1"/>
      <c r="AT649" s="16"/>
      <c r="AX649" s="16"/>
    </row>
    <row r="650" spans="2:50" x14ac:dyDescent="0.25">
      <c r="B650" s="1"/>
      <c r="F650" s="1"/>
      <c r="J650" s="1"/>
      <c r="N650" s="1"/>
      <c r="R650" s="1"/>
      <c r="V650" s="1"/>
      <c r="Z650" s="1"/>
      <c r="AD650" s="1"/>
      <c r="AH650" s="1"/>
      <c r="AL650" s="1"/>
      <c r="AP650" s="1"/>
      <c r="AT650" s="16"/>
      <c r="AX650" s="16"/>
    </row>
    <row r="651" spans="2:50" x14ac:dyDescent="0.25">
      <c r="B651" s="1"/>
      <c r="F651" s="1"/>
      <c r="J651" s="1"/>
      <c r="N651" s="1"/>
      <c r="R651" s="1"/>
      <c r="V651" s="1"/>
      <c r="Z651" s="1"/>
      <c r="AD651" s="1"/>
      <c r="AH651" s="1"/>
      <c r="AL651" s="1"/>
      <c r="AP651" s="1"/>
      <c r="AT651" s="16"/>
      <c r="AX651" s="16"/>
    </row>
    <row r="652" spans="2:50" x14ac:dyDescent="0.25">
      <c r="B652" s="1"/>
      <c r="F652" s="1"/>
      <c r="J652" s="1"/>
      <c r="N652" s="1"/>
      <c r="R652" s="1"/>
      <c r="V652" s="1"/>
      <c r="Z652" s="1"/>
      <c r="AD652" s="1"/>
      <c r="AH652" s="1"/>
      <c r="AL652" s="1"/>
      <c r="AP652" s="1"/>
      <c r="AT652" s="16"/>
      <c r="AX652" s="16"/>
    </row>
    <row r="653" spans="2:50" x14ac:dyDescent="0.25">
      <c r="B653" s="1"/>
      <c r="F653" s="1"/>
      <c r="J653" s="1"/>
      <c r="N653" s="1"/>
      <c r="R653" s="1"/>
      <c r="V653" s="1"/>
      <c r="Z653" s="1"/>
      <c r="AD653" s="1"/>
      <c r="AH653" s="1"/>
      <c r="AL653" s="1"/>
      <c r="AP653" s="1"/>
      <c r="AT653" s="16"/>
      <c r="AX653" s="16"/>
    </row>
    <row r="654" spans="2:50" x14ac:dyDescent="0.25">
      <c r="B654" s="1"/>
      <c r="F654" s="1"/>
      <c r="J654" s="1"/>
      <c r="N654" s="1"/>
      <c r="R654" s="1"/>
      <c r="V654" s="1"/>
      <c r="Z654" s="1"/>
      <c r="AD654" s="1"/>
      <c r="AH654" s="1"/>
      <c r="AL654" s="1"/>
      <c r="AP654" s="1"/>
      <c r="AT654" s="16"/>
      <c r="AX654" s="16"/>
    </row>
    <row r="655" spans="2:50" x14ac:dyDescent="0.25">
      <c r="B655" s="1"/>
      <c r="F655" s="1"/>
      <c r="J655" s="1"/>
      <c r="N655" s="1"/>
      <c r="R655" s="1"/>
      <c r="V655" s="1"/>
      <c r="Z655" s="1"/>
      <c r="AD655" s="1"/>
      <c r="AH655" s="1"/>
      <c r="AL655" s="1"/>
      <c r="AP655" s="1"/>
      <c r="AT655" s="16"/>
      <c r="AX655" s="16"/>
    </row>
    <row r="656" spans="2:50" x14ac:dyDescent="0.25">
      <c r="B656" s="1"/>
      <c r="F656" s="1"/>
      <c r="J656" s="1"/>
      <c r="N656" s="1"/>
      <c r="R656" s="1"/>
      <c r="V656" s="1"/>
      <c r="Z656" s="1"/>
      <c r="AD656" s="1"/>
      <c r="AH656" s="1"/>
      <c r="AL656" s="1"/>
      <c r="AP656" s="1"/>
      <c r="AT656" s="16"/>
      <c r="AX656" s="16"/>
    </row>
    <row r="657" spans="2:50" x14ac:dyDescent="0.25">
      <c r="B657" s="1"/>
      <c r="F657" s="1"/>
      <c r="J657" s="1"/>
      <c r="N657" s="1"/>
      <c r="R657" s="1"/>
      <c r="V657" s="1"/>
      <c r="Z657" s="1"/>
      <c r="AD657" s="1"/>
      <c r="AH657" s="1"/>
      <c r="AL657" s="1"/>
      <c r="AP657" s="1"/>
      <c r="AT657" s="16"/>
      <c r="AX657" s="16"/>
    </row>
    <row r="658" spans="2:50" x14ac:dyDescent="0.25">
      <c r="B658" s="1"/>
      <c r="F658" s="1"/>
      <c r="J658" s="1"/>
      <c r="N658" s="1"/>
      <c r="R658" s="1"/>
      <c r="V658" s="1"/>
      <c r="Z658" s="1"/>
      <c r="AD658" s="1"/>
      <c r="AH658" s="1"/>
      <c r="AL658" s="1"/>
      <c r="AP658" s="1"/>
      <c r="AT658" s="16"/>
      <c r="AX658" s="16"/>
    </row>
    <row r="659" spans="2:50" x14ac:dyDescent="0.25">
      <c r="B659" s="1"/>
      <c r="F659" s="1"/>
      <c r="J659" s="1"/>
      <c r="N659" s="1"/>
      <c r="R659" s="1"/>
      <c r="V659" s="1"/>
      <c r="Z659" s="1"/>
      <c r="AD659" s="1"/>
      <c r="AH659" s="1"/>
      <c r="AL659" s="1"/>
      <c r="AP659" s="1"/>
      <c r="AT659" s="16"/>
      <c r="AX659" s="16"/>
    </row>
    <row r="660" spans="2:50" x14ac:dyDescent="0.25">
      <c r="B660" s="1"/>
      <c r="F660" s="1"/>
      <c r="J660" s="1"/>
      <c r="N660" s="1"/>
      <c r="R660" s="1"/>
      <c r="V660" s="1"/>
      <c r="Z660" s="1"/>
      <c r="AD660" s="1"/>
      <c r="AH660" s="1"/>
      <c r="AL660" s="1"/>
      <c r="AP660" s="1"/>
      <c r="AT660" s="16"/>
      <c r="AX660" s="16"/>
    </row>
    <row r="661" spans="2:50" x14ac:dyDescent="0.25">
      <c r="B661" s="1"/>
      <c r="F661" s="1"/>
      <c r="J661" s="1"/>
      <c r="N661" s="1"/>
      <c r="R661" s="1"/>
      <c r="V661" s="1"/>
      <c r="Z661" s="1"/>
      <c r="AD661" s="1"/>
      <c r="AH661" s="1"/>
      <c r="AL661" s="1"/>
      <c r="AP661" s="1"/>
      <c r="AT661" s="16"/>
      <c r="AX661" s="16"/>
    </row>
    <row r="662" spans="2:50" x14ac:dyDescent="0.25">
      <c r="B662" s="1"/>
      <c r="F662" s="1"/>
      <c r="J662" s="1"/>
      <c r="N662" s="1"/>
      <c r="R662" s="1"/>
      <c r="V662" s="1"/>
      <c r="Z662" s="1"/>
      <c r="AD662" s="1"/>
      <c r="AH662" s="1"/>
      <c r="AL662" s="1"/>
      <c r="AP662" s="1"/>
      <c r="AT662" s="16"/>
      <c r="AX662" s="16"/>
    </row>
    <row r="663" spans="2:50" x14ac:dyDescent="0.25">
      <c r="B663" s="1"/>
      <c r="F663" s="1"/>
      <c r="J663" s="1"/>
      <c r="N663" s="1"/>
      <c r="R663" s="1"/>
      <c r="V663" s="1"/>
      <c r="Z663" s="1"/>
      <c r="AD663" s="1"/>
      <c r="AH663" s="1"/>
      <c r="AL663" s="1"/>
      <c r="AP663" s="1"/>
      <c r="AT663" s="16"/>
      <c r="AX663" s="16"/>
    </row>
    <row r="664" spans="2:50" x14ac:dyDescent="0.25">
      <c r="B664" s="1"/>
      <c r="F664" s="1"/>
      <c r="J664" s="1"/>
      <c r="N664" s="1"/>
      <c r="R664" s="1"/>
      <c r="V664" s="1"/>
      <c r="Z664" s="1"/>
      <c r="AD664" s="1"/>
      <c r="AH664" s="1"/>
      <c r="AL664" s="1"/>
      <c r="AP664" s="1"/>
      <c r="AT664" s="16"/>
      <c r="AX664" s="16"/>
    </row>
    <row r="665" spans="2:50" x14ac:dyDescent="0.25">
      <c r="B665" s="1"/>
      <c r="F665" s="1"/>
      <c r="J665" s="1"/>
      <c r="N665" s="1"/>
      <c r="R665" s="1"/>
      <c r="V665" s="1"/>
      <c r="Z665" s="1"/>
      <c r="AD665" s="1"/>
      <c r="AH665" s="1"/>
      <c r="AL665" s="1"/>
      <c r="AP665" s="1"/>
      <c r="AT665" s="16"/>
      <c r="AX665" s="16"/>
    </row>
    <row r="666" spans="2:50" x14ac:dyDescent="0.25">
      <c r="B666" s="1"/>
      <c r="F666" s="1"/>
      <c r="J666" s="1"/>
      <c r="N666" s="1"/>
      <c r="R666" s="1"/>
      <c r="V666" s="1"/>
      <c r="Z666" s="1"/>
      <c r="AD666" s="1"/>
      <c r="AH666" s="1"/>
      <c r="AL666" s="1"/>
      <c r="AP666" s="1"/>
      <c r="AT666" s="16"/>
      <c r="AX666" s="16"/>
    </row>
    <row r="667" spans="2:50" x14ac:dyDescent="0.25">
      <c r="B667" s="1"/>
      <c r="F667" s="1"/>
      <c r="J667" s="1"/>
      <c r="N667" s="1"/>
      <c r="R667" s="1"/>
      <c r="V667" s="1"/>
      <c r="Z667" s="1"/>
      <c r="AD667" s="1"/>
      <c r="AH667" s="1"/>
      <c r="AL667" s="1"/>
      <c r="AP667" s="1"/>
      <c r="AT667" s="16"/>
      <c r="AX667" s="16"/>
    </row>
    <row r="668" spans="2:50" x14ac:dyDescent="0.25">
      <c r="B668" s="1"/>
      <c r="F668" s="1"/>
      <c r="J668" s="1"/>
      <c r="N668" s="1"/>
      <c r="R668" s="1"/>
      <c r="V668" s="1"/>
      <c r="Z668" s="1"/>
      <c r="AD668" s="1"/>
      <c r="AH668" s="1"/>
      <c r="AL668" s="1"/>
      <c r="AP668" s="1"/>
      <c r="AT668" s="16"/>
      <c r="AX668" s="16"/>
    </row>
    <row r="669" spans="2:50" x14ac:dyDescent="0.25">
      <c r="B669" s="1"/>
      <c r="F669" s="1"/>
      <c r="J669" s="1"/>
      <c r="N669" s="1"/>
      <c r="R669" s="1"/>
      <c r="V669" s="1"/>
      <c r="Z669" s="1"/>
      <c r="AD669" s="1"/>
      <c r="AH669" s="1"/>
      <c r="AL669" s="1"/>
      <c r="AP669" s="1"/>
      <c r="AT669" s="16"/>
      <c r="AX669" s="16"/>
    </row>
    <row r="670" spans="2:50" x14ac:dyDescent="0.25">
      <c r="B670" s="1"/>
      <c r="F670" s="1"/>
      <c r="J670" s="1"/>
      <c r="N670" s="1"/>
      <c r="R670" s="1"/>
      <c r="V670" s="1"/>
      <c r="Z670" s="1"/>
      <c r="AD670" s="1"/>
      <c r="AH670" s="1"/>
      <c r="AL670" s="1"/>
      <c r="AP670" s="1"/>
      <c r="AT670" s="16"/>
      <c r="AX670" s="16"/>
    </row>
    <row r="671" spans="2:50" x14ac:dyDescent="0.25">
      <c r="B671" s="1"/>
      <c r="F671" s="1"/>
      <c r="J671" s="1"/>
      <c r="N671" s="1"/>
      <c r="R671" s="1"/>
      <c r="V671" s="1"/>
      <c r="Z671" s="1"/>
      <c r="AD671" s="1"/>
      <c r="AH671" s="1"/>
      <c r="AL671" s="1"/>
      <c r="AP671" s="1"/>
      <c r="AT671" s="16"/>
      <c r="AX671" s="16"/>
    </row>
    <row r="672" spans="2:50" x14ac:dyDescent="0.25">
      <c r="B672" s="1"/>
      <c r="F672" s="1"/>
      <c r="J672" s="1"/>
      <c r="N672" s="1"/>
      <c r="R672" s="1"/>
      <c r="V672" s="1"/>
      <c r="Z672" s="1"/>
      <c r="AD672" s="1"/>
      <c r="AH672" s="1"/>
      <c r="AL672" s="1"/>
      <c r="AP672" s="1"/>
      <c r="AT672" s="16"/>
      <c r="AX672" s="16"/>
    </row>
    <row r="673" spans="2:50" x14ac:dyDescent="0.25">
      <c r="B673" s="1"/>
      <c r="F673" s="1"/>
      <c r="J673" s="1"/>
      <c r="N673" s="1"/>
      <c r="R673" s="1"/>
      <c r="V673" s="1"/>
      <c r="Z673" s="1"/>
      <c r="AD673" s="1"/>
      <c r="AH673" s="1"/>
      <c r="AL673" s="1"/>
      <c r="AP673" s="1"/>
      <c r="AT673" s="16"/>
      <c r="AX673" s="16"/>
    </row>
    <row r="674" spans="2:50" x14ac:dyDescent="0.25">
      <c r="B674" s="1"/>
      <c r="F674" s="1"/>
      <c r="J674" s="1"/>
      <c r="N674" s="1"/>
      <c r="R674" s="1"/>
      <c r="V674" s="1"/>
      <c r="Z674" s="1"/>
      <c r="AD674" s="1"/>
      <c r="AH674" s="1"/>
      <c r="AL674" s="1"/>
      <c r="AP674" s="1"/>
      <c r="AT674" s="16"/>
      <c r="AX674" s="16"/>
    </row>
    <row r="675" spans="2:50" x14ac:dyDescent="0.25">
      <c r="B675" s="1"/>
      <c r="F675" s="1"/>
      <c r="J675" s="1"/>
      <c r="N675" s="1"/>
      <c r="R675" s="1"/>
      <c r="V675" s="1"/>
      <c r="Z675" s="1"/>
      <c r="AD675" s="1"/>
      <c r="AH675" s="1"/>
      <c r="AL675" s="1"/>
      <c r="AP675" s="1"/>
      <c r="AT675" s="16"/>
      <c r="AX675" s="16"/>
    </row>
    <row r="676" spans="2:50" x14ac:dyDescent="0.25">
      <c r="B676" s="1"/>
      <c r="F676" s="1"/>
      <c r="J676" s="1"/>
      <c r="N676" s="1"/>
      <c r="R676" s="1"/>
      <c r="V676" s="1"/>
      <c r="Z676" s="1"/>
      <c r="AD676" s="1"/>
      <c r="AH676" s="1"/>
      <c r="AL676" s="1"/>
      <c r="AP676" s="1"/>
      <c r="AT676" s="16"/>
      <c r="AX676" s="16"/>
    </row>
    <row r="677" spans="2:50" x14ac:dyDescent="0.25">
      <c r="B677" s="1"/>
      <c r="F677" s="1"/>
      <c r="J677" s="1"/>
      <c r="N677" s="1"/>
      <c r="R677" s="1"/>
      <c r="V677" s="1"/>
      <c r="Z677" s="1"/>
      <c r="AD677" s="1"/>
      <c r="AH677" s="1"/>
      <c r="AL677" s="1"/>
      <c r="AP677" s="1"/>
      <c r="AT677" s="16"/>
      <c r="AX677" s="16"/>
    </row>
    <row r="678" spans="2:50" x14ac:dyDescent="0.25">
      <c r="B678" s="1"/>
      <c r="F678" s="1"/>
      <c r="J678" s="1"/>
      <c r="N678" s="1"/>
      <c r="R678" s="1"/>
      <c r="V678" s="1"/>
      <c r="Z678" s="1"/>
      <c r="AD678" s="1"/>
      <c r="AH678" s="1"/>
      <c r="AL678" s="1"/>
      <c r="AP678" s="1"/>
      <c r="AT678" s="16"/>
      <c r="AX678" s="16"/>
    </row>
    <row r="679" spans="2:50" x14ac:dyDescent="0.25">
      <c r="B679" s="1"/>
      <c r="F679" s="1"/>
      <c r="J679" s="1"/>
      <c r="N679" s="1"/>
      <c r="R679" s="1"/>
      <c r="V679" s="1"/>
      <c r="Z679" s="1"/>
      <c r="AD679" s="1"/>
      <c r="AH679" s="1"/>
      <c r="AL679" s="1"/>
      <c r="AP679" s="1"/>
      <c r="AT679" s="16"/>
      <c r="AX679" s="16"/>
    </row>
    <row r="680" spans="2:50" x14ac:dyDescent="0.25">
      <c r="B680" s="1"/>
      <c r="F680" s="1"/>
      <c r="J680" s="1"/>
      <c r="N680" s="1"/>
      <c r="R680" s="1"/>
      <c r="V680" s="1"/>
      <c r="Z680" s="1"/>
      <c r="AD680" s="1"/>
      <c r="AH680" s="1"/>
      <c r="AL680" s="1"/>
      <c r="AP680" s="1"/>
      <c r="AT680" s="16"/>
      <c r="AX680" s="16"/>
    </row>
    <row r="681" spans="2:50" x14ac:dyDescent="0.25">
      <c r="B681" s="1"/>
      <c r="F681" s="1"/>
      <c r="J681" s="1"/>
      <c r="N681" s="1"/>
      <c r="R681" s="1"/>
      <c r="V681" s="1"/>
      <c r="Z681" s="1"/>
      <c r="AD681" s="1"/>
      <c r="AH681" s="1"/>
      <c r="AL681" s="1"/>
      <c r="AP681" s="1"/>
      <c r="AT681" s="16"/>
      <c r="AX681" s="16"/>
    </row>
    <row r="682" spans="2:50" x14ac:dyDescent="0.25">
      <c r="B682" s="1"/>
      <c r="F682" s="1"/>
      <c r="J682" s="1"/>
      <c r="N682" s="1"/>
      <c r="R682" s="1"/>
      <c r="V682" s="1"/>
      <c r="Z682" s="1"/>
      <c r="AD682" s="1"/>
      <c r="AH682" s="1"/>
      <c r="AL682" s="1"/>
      <c r="AP682" s="1"/>
      <c r="AT682" s="16"/>
      <c r="AX682" s="16"/>
    </row>
    <row r="683" spans="2:50" x14ac:dyDescent="0.25">
      <c r="B683" s="1"/>
      <c r="F683" s="1"/>
      <c r="J683" s="1"/>
      <c r="N683" s="1"/>
      <c r="R683" s="1"/>
      <c r="V683" s="1"/>
      <c r="Z683" s="1"/>
      <c r="AD683" s="1"/>
      <c r="AH683" s="1"/>
      <c r="AL683" s="1"/>
      <c r="AP683" s="1"/>
      <c r="AT683" s="16"/>
      <c r="AX683" s="16"/>
    </row>
    <row r="684" spans="2:50" x14ac:dyDescent="0.25">
      <c r="B684" s="1"/>
      <c r="F684" s="1"/>
      <c r="J684" s="1"/>
      <c r="N684" s="1"/>
      <c r="R684" s="1"/>
      <c r="V684" s="1"/>
      <c r="Z684" s="1"/>
      <c r="AD684" s="1"/>
      <c r="AH684" s="1"/>
      <c r="AL684" s="1"/>
      <c r="AP684" s="1"/>
      <c r="AT684" s="16"/>
      <c r="AX684" s="16"/>
    </row>
    <row r="685" spans="2:50" x14ac:dyDescent="0.25">
      <c r="B685" s="1"/>
      <c r="F685" s="1"/>
      <c r="J685" s="1"/>
      <c r="N685" s="1"/>
      <c r="R685" s="1"/>
      <c r="V685" s="1"/>
      <c r="Z685" s="1"/>
      <c r="AD685" s="1"/>
      <c r="AH685" s="1"/>
      <c r="AL685" s="1"/>
      <c r="AP685" s="1"/>
      <c r="AT685" s="16"/>
      <c r="AX685" s="16"/>
    </row>
    <row r="686" spans="2:50" x14ac:dyDescent="0.25">
      <c r="B686" s="1"/>
      <c r="F686" s="1"/>
      <c r="J686" s="1"/>
      <c r="N686" s="1"/>
      <c r="R686" s="1"/>
      <c r="V686" s="1"/>
      <c r="Z686" s="1"/>
      <c r="AD686" s="1"/>
      <c r="AH686" s="1"/>
      <c r="AL686" s="1"/>
      <c r="AP686" s="1"/>
      <c r="AT686" s="16"/>
      <c r="AX686" s="16"/>
    </row>
    <row r="687" spans="2:50" x14ac:dyDescent="0.25">
      <c r="B687" s="1"/>
      <c r="F687" s="1"/>
      <c r="J687" s="1"/>
      <c r="N687" s="1"/>
      <c r="R687" s="1"/>
      <c r="V687" s="1"/>
      <c r="Z687" s="1"/>
      <c r="AD687" s="1"/>
      <c r="AH687" s="1"/>
      <c r="AL687" s="1"/>
      <c r="AP687" s="1"/>
      <c r="AT687" s="16"/>
      <c r="AX687" s="16"/>
    </row>
    <row r="688" spans="2:50" x14ac:dyDescent="0.25">
      <c r="B688" s="1"/>
      <c r="F688" s="1"/>
      <c r="J688" s="1"/>
      <c r="N688" s="1"/>
      <c r="R688" s="1"/>
      <c r="V688" s="1"/>
      <c r="Z688" s="1"/>
      <c r="AD688" s="1"/>
      <c r="AH688" s="1"/>
      <c r="AL688" s="1"/>
      <c r="AP688" s="1"/>
      <c r="AT688" s="16"/>
      <c r="AX688" s="16"/>
    </row>
    <row r="689" spans="2:50" x14ac:dyDescent="0.25">
      <c r="B689" s="1"/>
      <c r="F689" s="1"/>
      <c r="J689" s="1"/>
      <c r="N689" s="1"/>
      <c r="R689" s="1"/>
      <c r="V689" s="1"/>
      <c r="Z689" s="1"/>
      <c r="AD689" s="1"/>
      <c r="AH689" s="1"/>
      <c r="AL689" s="1"/>
      <c r="AP689" s="1"/>
      <c r="AT689" s="16"/>
      <c r="AX689" s="16"/>
    </row>
    <row r="690" spans="2:50" x14ac:dyDescent="0.25">
      <c r="B690" s="1"/>
      <c r="F690" s="1"/>
      <c r="J690" s="1"/>
      <c r="N690" s="1"/>
      <c r="R690" s="1"/>
      <c r="V690" s="1"/>
      <c r="Z690" s="1"/>
      <c r="AD690" s="1"/>
      <c r="AH690" s="1"/>
      <c r="AL690" s="1"/>
      <c r="AP690" s="1"/>
      <c r="AT690" s="16"/>
      <c r="AX690" s="16"/>
    </row>
    <row r="691" spans="2:50" x14ac:dyDescent="0.25">
      <c r="B691" s="1"/>
      <c r="F691" s="1"/>
      <c r="J691" s="1"/>
      <c r="N691" s="1"/>
      <c r="R691" s="1"/>
      <c r="V691" s="1"/>
      <c r="Z691" s="1"/>
      <c r="AD691" s="1"/>
      <c r="AH691" s="1"/>
      <c r="AL691" s="1"/>
      <c r="AP691" s="1"/>
      <c r="AT691" s="16"/>
      <c r="AX691" s="16"/>
    </row>
    <row r="692" spans="2:50" x14ac:dyDescent="0.25">
      <c r="B692" s="1"/>
      <c r="F692" s="1"/>
      <c r="J692" s="1"/>
      <c r="N692" s="1"/>
      <c r="R692" s="1"/>
      <c r="V692" s="1"/>
      <c r="Z692" s="1"/>
      <c r="AD692" s="1"/>
      <c r="AH692" s="1"/>
      <c r="AL692" s="1"/>
      <c r="AP692" s="1"/>
      <c r="AT692" s="16"/>
      <c r="AX692" s="16"/>
    </row>
    <row r="693" spans="2:50" x14ac:dyDescent="0.25">
      <c r="B693" s="1"/>
      <c r="F693" s="1"/>
      <c r="J693" s="1"/>
      <c r="N693" s="1"/>
      <c r="R693" s="1"/>
      <c r="V693" s="1"/>
      <c r="Z693" s="1"/>
      <c r="AD693" s="1"/>
      <c r="AH693" s="1"/>
      <c r="AL693" s="1"/>
      <c r="AP693" s="1"/>
      <c r="AT693" s="16"/>
      <c r="AX693" s="16"/>
    </row>
    <row r="694" spans="2:50" x14ac:dyDescent="0.25">
      <c r="B694" s="1"/>
      <c r="F694" s="1"/>
      <c r="J694" s="1"/>
      <c r="N694" s="1"/>
      <c r="R694" s="1"/>
      <c r="V694" s="1"/>
      <c r="Z694" s="1"/>
      <c r="AD694" s="1"/>
      <c r="AH694" s="1"/>
      <c r="AL694" s="1"/>
      <c r="AP694" s="1"/>
      <c r="AT694" s="16"/>
      <c r="AX694" s="16"/>
    </row>
    <row r="695" spans="2:50" x14ac:dyDescent="0.25">
      <c r="B695" s="1"/>
      <c r="F695" s="1"/>
      <c r="J695" s="1"/>
      <c r="N695" s="1"/>
      <c r="R695" s="1"/>
      <c r="V695" s="1"/>
      <c r="Z695" s="1"/>
      <c r="AD695" s="1"/>
      <c r="AH695" s="1"/>
      <c r="AL695" s="1"/>
      <c r="AP695" s="1"/>
      <c r="AT695" s="16"/>
      <c r="AX695" s="16"/>
    </row>
    <row r="696" spans="2:50" x14ac:dyDescent="0.25">
      <c r="B696" s="1"/>
      <c r="F696" s="1"/>
      <c r="J696" s="1"/>
      <c r="N696" s="1"/>
      <c r="R696" s="1"/>
      <c r="V696" s="1"/>
      <c r="Z696" s="1"/>
      <c r="AD696" s="1"/>
      <c r="AH696" s="1"/>
      <c r="AL696" s="1"/>
      <c r="AP696" s="1"/>
      <c r="AT696" s="16"/>
      <c r="AX696" s="16"/>
    </row>
    <row r="697" spans="2:50" x14ac:dyDescent="0.25">
      <c r="B697" s="1"/>
      <c r="F697" s="1"/>
      <c r="J697" s="1"/>
      <c r="N697" s="1"/>
      <c r="R697" s="1"/>
      <c r="V697" s="1"/>
      <c r="Z697" s="1"/>
      <c r="AD697" s="1"/>
      <c r="AH697" s="1"/>
      <c r="AL697" s="1"/>
      <c r="AP697" s="1"/>
      <c r="AT697" s="16"/>
      <c r="AX697" s="16"/>
    </row>
    <row r="698" spans="2:50" x14ac:dyDescent="0.25">
      <c r="B698" s="1"/>
      <c r="F698" s="1"/>
      <c r="J698" s="1"/>
      <c r="N698" s="1"/>
      <c r="R698" s="1"/>
      <c r="V698" s="1"/>
      <c r="Z698" s="1"/>
      <c r="AD698" s="1"/>
      <c r="AH698" s="1"/>
      <c r="AL698" s="1"/>
      <c r="AP698" s="1"/>
      <c r="AT698" s="16"/>
      <c r="AX698" s="16"/>
    </row>
    <row r="699" spans="2:50" x14ac:dyDescent="0.25">
      <c r="B699" s="1"/>
      <c r="F699" s="1"/>
      <c r="J699" s="1"/>
      <c r="N699" s="1"/>
      <c r="R699" s="1"/>
      <c r="V699" s="1"/>
      <c r="Z699" s="1"/>
      <c r="AD699" s="1"/>
      <c r="AH699" s="1"/>
      <c r="AL699" s="1"/>
      <c r="AP699" s="1"/>
      <c r="AT699" s="16"/>
      <c r="AX699" s="16"/>
    </row>
    <row r="700" spans="2:50" x14ac:dyDescent="0.25">
      <c r="B700" s="1"/>
      <c r="F700" s="1"/>
      <c r="J700" s="1"/>
      <c r="N700" s="1"/>
      <c r="R700" s="1"/>
      <c r="V700" s="1"/>
      <c r="Z700" s="1"/>
      <c r="AD700" s="1"/>
      <c r="AH700" s="1"/>
      <c r="AL700" s="1"/>
      <c r="AP700" s="1"/>
      <c r="AT700" s="16"/>
      <c r="AX700" s="16"/>
    </row>
    <row r="701" spans="2:50" x14ac:dyDescent="0.25">
      <c r="B701" s="1"/>
      <c r="F701" s="1"/>
      <c r="J701" s="1"/>
      <c r="N701" s="1"/>
      <c r="R701" s="1"/>
      <c r="V701" s="1"/>
      <c r="Z701" s="1"/>
      <c r="AD701" s="1"/>
      <c r="AH701" s="1"/>
      <c r="AL701" s="1"/>
      <c r="AP701" s="1"/>
      <c r="AT701" s="16"/>
      <c r="AX701" s="16"/>
    </row>
    <row r="702" spans="2:50" x14ac:dyDescent="0.25">
      <c r="B702" s="1"/>
      <c r="F702" s="1"/>
      <c r="J702" s="1"/>
      <c r="N702" s="1"/>
      <c r="R702" s="1"/>
      <c r="V702" s="1"/>
      <c r="Z702" s="1"/>
      <c r="AD702" s="1"/>
      <c r="AH702" s="1"/>
      <c r="AL702" s="1"/>
      <c r="AP702" s="1"/>
      <c r="AT702" s="16"/>
      <c r="AX702" s="16"/>
    </row>
    <row r="703" spans="2:50" x14ac:dyDescent="0.25">
      <c r="B703" s="1"/>
      <c r="F703" s="1"/>
      <c r="J703" s="1"/>
      <c r="N703" s="1"/>
      <c r="R703" s="1"/>
      <c r="V703" s="1"/>
      <c r="Z703" s="1"/>
      <c r="AD703" s="1"/>
      <c r="AH703" s="1"/>
      <c r="AL703" s="1"/>
      <c r="AP703" s="1"/>
      <c r="AT703" s="16"/>
      <c r="AX703" s="16"/>
    </row>
    <row r="704" spans="2:50" x14ac:dyDescent="0.25">
      <c r="B704" s="1"/>
      <c r="F704" s="1"/>
      <c r="J704" s="1"/>
      <c r="N704" s="1"/>
      <c r="R704" s="1"/>
      <c r="V704" s="1"/>
      <c r="Z704" s="1"/>
      <c r="AD704" s="1"/>
      <c r="AH704" s="1"/>
      <c r="AL704" s="1"/>
      <c r="AP704" s="1"/>
      <c r="AT704" s="16"/>
      <c r="AX704" s="16"/>
    </row>
    <row r="705" spans="2:50" x14ac:dyDescent="0.25">
      <c r="B705" s="1"/>
      <c r="F705" s="1"/>
      <c r="J705" s="1"/>
      <c r="N705" s="1"/>
      <c r="R705" s="1"/>
      <c r="V705" s="1"/>
      <c r="Z705" s="1"/>
      <c r="AD705" s="1"/>
      <c r="AH705" s="1"/>
      <c r="AL705" s="1"/>
      <c r="AP705" s="1"/>
      <c r="AT705" s="16"/>
      <c r="AX705" s="16"/>
    </row>
    <row r="706" spans="2:50" x14ac:dyDescent="0.25">
      <c r="B706" s="1"/>
      <c r="F706" s="1"/>
      <c r="J706" s="1"/>
      <c r="N706" s="1"/>
      <c r="R706" s="1"/>
      <c r="V706" s="1"/>
      <c r="Z706" s="1"/>
      <c r="AD706" s="1"/>
      <c r="AH706" s="1"/>
      <c r="AL706" s="1"/>
      <c r="AP706" s="1"/>
      <c r="AT706" s="16"/>
      <c r="AX706" s="16"/>
    </row>
    <row r="707" spans="2:50" x14ac:dyDescent="0.25">
      <c r="B707" s="1"/>
      <c r="F707" s="1"/>
      <c r="J707" s="1"/>
      <c r="N707" s="1"/>
      <c r="R707" s="1"/>
      <c r="V707" s="1"/>
      <c r="Z707" s="1"/>
      <c r="AD707" s="1"/>
      <c r="AH707" s="1"/>
      <c r="AL707" s="1"/>
      <c r="AP707" s="1"/>
      <c r="AT707" s="16"/>
      <c r="AX707" s="16"/>
    </row>
    <row r="708" spans="2:50" x14ac:dyDescent="0.25">
      <c r="B708" s="1"/>
      <c r="F708" s="1"/>
      <c r="J708" s="1"/>
      <c r="N708" s="1"/>
      <c r="R708" s="1"/>
      <c r="V708" s="1"/>
      <c r="Z708" s="1"/>
      <c r="AD708" s="1"/>
      <c r="AH708" s="1"/>
      <c r="AL708" s="1"/>
      <c r="AP708" s="1"/>
      <c r="AT708" s="16"/>
      <c r="AX708" s="16"/>
    </row>
    <row r="709" spans="2:50" x14ac:dyDescent="0.25">
      <c r="B709" s="1"/>
      <c r="F709" s="1"/>
      <c r="J709" s="1"/>
      <c r="N709" s="1"/>
      <c r="R709" s="1"/>
      <c r="V709" s="1"/>
      <c r="Z709" s="1"/>
      <c r="AD709" s="1"/>
      <c r="AH709" s="1"/>
      <c r="AL709" s="1"/>
      <c r="AP709" s="1"/>
      <c r="AT709" s="16"/>
      <c r="AX709" s="16"/>
    </row>
    <row r="710" spans="2:50" x14ac:dyDescent="0.25">
      <c r="B710" s="1"/>
      <c r="F710" s="1"/>
      <c r="J710" s="1"/>
      <c r="N710" s="1"/>
      <c r="R710" s="1"/>
      <c r="V710" s="1"/>
      <c r="Z710" s="1"/>
      <c r="AD710" s="1"/>
      <c r="AH710" s="1"/>
      <c r="AL710" s="1"/>
      <c r="AP710" s="1"/>
      <c r="AT710" s="16"/>
      <c r="AX710" s="16"/>
    </row>
    <row r="711" spans="2:50" x14ac:dyDescent="0.25">
      <c r="B711" s="1"/>
      <c r="F711" s="1"/>
      <c r="J711" s="1"/>
      <c r="N711" s="1"/>
      <c r="R711" s="1"/>
      <c r="V711" s="1"/>
      <c r="Z711" s="1"/>
      <c r="AD711" s="1"/>
      <c r="AH711" s="1"/>
      <c r="AL711" s="1"/>
      <c r="AP711" s="1"/>
      <c r="AT711" s="16"/>
      <c r="AX711" s="16"/>
    </row>
    <row r="712" spans="2:50" x14ac:dyDescent="0.25">
      <c r="B712" s="1"/>
      <c r="F712" s="1"/>
      <c r="J712" s="1"/>
      <c r="N712" s="1"/>
      <c r="R712" s="1"/>
      <c r="V712" s="1"/>
      <c r="Z712" s="1"/>
      <c r="AD712" s="1"/>
      <c r="AH712" s="1"/>
      <c r="AL712" s="1"/>
      <c r="AP712" s="1"/>
      <c r="AT712" s="16"/>
      <c r="AX712" s="16"/>
    </row>
    <row r="713" spans="2:50" x14ac:dyDescent="0.25">
      <c r="B713" s="1"/>
      <c r="F713" s="1"/>
      <c r="J713" s="1"/>
      <c r="N713" s="1"/>
      <c r="R713" s="1"/>
      <c r="V713" s="1"/>
      <c r="Z713" s="1"/>
      <c r="AD713" s="1"/>
      <c r="AH713" s="1"/>
      <c r="AL713" s="1"/>
      <c r="AP713" s="1"/>
      <c r="AT713" s="16"/>
      <c r="AX713" s="16"/>
    </row>
    <row r="714" spans="2:50" x14ac:dyDescent="0.25">
      <c r="B714" s="1"/>
      <c r="F714" s="1"/>
      <c r="J714" s="1"/>
      <c r="N714" s="1"/>
      <c r="R714" s="1"/>
      <c r="V714" s="1"/>
      <c r="Z714" s="1"/>
      <c r="AD714" s="1"/>
      <c r="AH714" s="1"/>
      <c r="AL714" s="1"/>
      <c r="AP714" s="1"/>
      <c r="AT714" s="16"/>
      <c r="AX714" s="16"/>
    </row>
    <row r="715" spans="2:50" x14ac:dyDescent="0.25">
      <c r="B715" s="1"/>
      <c r="F715" s="1"/>
      <c r="J715" s="1"/>
      <c r="N715" s="1"/>
      <c r="R715" s="1"/>
      <c r="V715" s="1"/>
      <c r="Z715" s="1"/>
      <c r="AD715" s="1"/>
      <c r="AH715" s="1"/>
      <c r="AL715" s="1"/>
      <c r="AP715" s="1"/>
      <c r="AT715" s="16"/>
      <c r="AX715" s="16"/>
    </row>
    <row r="716" spans="2:50" x14ac:dyDescent="0.25">
      <c r="B716" s="1"/>
      <c r="F716" s="1"/>
      <c r="J716" s="1"/>
      <c r="N716" s="1"/>
      <c r="R716" s="1"/>
      <c r="V716" s="1"/>
      <c r="Z716" s="1"/>
      <c r="AD716" s="1"/>
      <c r="AH716" s="1"/>
      <c r="AL716" s="1"/>
      <c r="AP716" s="1"/>
      <c r="AT716" s="16"/>
      <c r="AX716" s="16"/>
    </row>
    <row r="717" spans="2:50" x14ac:dyDescent="0.25">
      <c r="B717" s="1"/>
      <c r="F717" s="1"/>
      <c r="J717" s="1"/>
      <c r="N717" s="1"/>
      <c r="R717" s="1"/>
      <c r="V717" s="1"/>
      <c r="Z717" s="1"/>
      <c r="AD717" s="1"/>
      <c r="AH717" s="1"/>
      <c r="AL717" s="1"/>
      <c r="AP717" s="1"/>
      <c r="AT717" s="16"/>
      <c r="AX717" s="16"/>
    </row>
    <row r="718" spans="2:50" x14ac:dyDescent="0.25">
      <c r="B718" s="1"/>
      <c r="F718" s="1"/>
      <c r="J718" s="1"/>
      <c r="N718" s="1"/>
      <c r="R718" s="1"/>
      <c r="V718" s="1"/>
      <c r="Z718" s="1"/>
      <c r="AD718" s="1"/>
      <c r="AH718" s="1"/>
      <c r="AL718" s="1"/>
      <c r="AP718" s="1"/>
      <c r="AT718" s="16"/>
      <c r="AX718" s="16"/>
    </row>
    <row r="719" spans="2:50" x14ac:dyDescent="0.25">
      <c r="B719" s="1"/>
      <c r="F719" s="1"/>
      <c r="J719" s="1"/>
      <c r="N719" s="1"/>
      <c r="R719" s="1"/>
      <c r="V719" s="1"/>
      <c r="Z719" s="1"/>
      <c r="AD719" s="1"/>
      <c r="AH719" s="1"/>
      <c r="AL719" s="1"/>
      <c r="AP719" s="1"/>
      <c r="AT719" s="16"/>
      <c r="AX719" s="16"/>
    </row>
    <row r="720" spans="2:50" x14ac:dyDescent="0.25">
      <c r="B720" s="1"/>
      <c r="F720" s="1"/>
      <c r="J720" s="1"/>
      <c r="N720" s="1"/>
      <c r="R720" s="1"/>
      <c r="V720" s="1"/>
      <c r="Z720" s="1"/>
      <c r="AD720" s="1"/>
      <c r="AH720" s="1"/>
      <c r="AL720" s="1"/>
      <c r="AP720" s="1"/>
      <c r="AT720" s="16"/>
      <c r="AX720" s="16"/>
    </row>
    <row r="721" spans="2:50" x14ac:dyDescent="0.25">
      <c r="B721" s="1"/>
      <c r="F721" s="1"/>
      <c r="J721" s="1"/>
      <c r="N721" s="1"/>
      <c r="R721" s="1"/>
      <c r="V721" s="1"/>
      <c r="Z721" s="1"/>
      <c r="AD721" s="1"/>
      <c r="AH721" s="1"/>
      <c r="AL721" s="1"/>
      <c r="AP721" s="1"/>
      <c r="AT721" s="16"/>
      <c r="AX721" s="16"/>
    </row>
    <row r="722" spans="2:50" x14ac:dyDescent="0.25">
      <c r="B722" s="1"/>
      <c r="F722" s="1"/>
      <c r="J722" s="1"/>
      <c r="N722" s="1"/>
      <c r="R722" s="1"/>
      <c r="V722" s="1"/>
      <c r="Z722" s="1"/>
      <c r="AD722" s="1"/>
      <c r="AH722" s="1"/>
      <c r="AL722" s="1"/>
      <c r="AP722" s="1"/>
      <c r="AT722" s="16"/>
      <c r="AX722" s="16"/>
    </row>
    <row r="723" spans="2:50" x14ac:dyDescent="0.25">
      <c r="B723" s="1"/>
      <c r="F723" s="1"/>
      <c r="J723" s="1"/>
      <c r="N723" s="1"/>
      <c r="R723" s="1"/>
      <c r="V723" s="1"/>
      <c r="Z723" s="1"/>
      <c r="AD723" s="1"/>
      <c r="AH723" s="1"/>
      <c r="AL723" s="1"/>
      <c r="AP723" s="1"/>
      <c r="AT723" s="16"/>
      <c r="AX723" s="16"/>
    </row>
    <row r="724" spans="2:50" x14ac:dyDescent="0.25">
      <c r="B724" s="1"/>
      <c r="F724" s="1"/>
      <c r="J724" s="1"/>
      <c r="N724" s="1"/>
      <c r="R724" s="1"/>
      <c r="V724" s="1"/>
      <c r="Z724" s="1"/>
      <c r="AD724" s="1"/>
      <c r="AH724" s="1"/>
      <c r="AL724" s="1"/>
      <c r="AP724" s="1"/>
      <c r="AT724" s="16"/>
      <c r="AX724" s="16"/>
    </row>
    <row r="725" spans="2:50" x14ac:dyDescent="0.25">
      <c r="B725" s="1"/>
      <c r="F725" s="1"/>
      <c r="J725" s="1"/>
      <c r="N725" s="1"/>
      <c r="R725" s="1"/>
      <c r="V725" s="1"/>
      <c r="Z725" s="1"/>
      <c r="AD725" s="1"/>
      <c r="AH725" s="1"/>
      <c r="AL725" s="1"/>
      <c r="AP725" s="1"/>
      <c r="AT725" s="16"/>
      <c r="AX725" s="16"/>
    </row>
    <row r="726" spans="2:50" x14ac:dyDescent="0.25">
      <c r="B726" s="1"/>
      <c r="F726" s="1"/>
      <c r="J726" s="1"/>
      <c r="N726" s="1"/>
      <c r="R726" s="1"/>
      <c r="V726" s="1"/>
      <c r="Z726" s="1"/>
      <c r="AD726" s="1"/>
      <c r="AH726" s="1"/>
      <c r="AL726" s="1"/>
      <c r="AP726" s="1"/>
      <c r="AT726" s="16"/>
      <c r="AX726" s="16"/>
    </row>
    <row r="727" spans="2:50" x14ac:dyDescent="0.25">
      <c r="B727" s="1"/>
      <c r="F727" s="1"/>
      <c r="J727" s="1"/>
      <c r="N727" s="1"/>
      <c r="R727" s="1"/>
      <c r="V727" s="1"/>
      <c r="Z727" s="1"/>
      <c r="AD727" s="1"/>
      <c r="AH727" s="1"/>
      <c r="AL727" s="1"/>
      <c r="AP727" s="1"/>
      <c r="AT727" s="16"/>
      <c r="AX727" s="16"/>
    </row>
    <row r="728" spans="2:50" x14ac:dyDescent="0.25">
      <c r="B728" s="1"/>
      <c r="F728" s="1"/>
      <c r="J728" s="1"/>
      <c r="N728" s="1"/>
      <c r="R728" s="1"/>
      <c r="V728" s="1"/>
      <c r="Z728" s="1"/>
      <c r="AD728" s="1"/>
      <c r="AH728" s="1"/>
      <c r="AL728" s="1"/>
      <c r="AP728" s="1"/>
      <c r="AT728" s="16"/>
      <c r="AX728" s="16"/>
    </row>
    <row r="729" spans="2:50" x14ac:dyDescent="0.25">
      <c r="B729" s="1"/>
      <c r="F729" s="1"/>
      <c r="J729" s="1"/>
      <c r="N729" s="1"/>
      <c r="R729" s="1"/>
      <c r="V729" s="1"/>
      <c r="Z729" s="1"/>
      <c r="AD729" s="1"/>
      <c r="AH729" s="1"/>
      <c r="AL729" s="1"/>
      <c r="AP729" s="1"/>
      <c r="AT729" s="16"/>
      <c r="AX729" s="16"/>
    </row>
    <row r="730" spans="2:50" x14ac:dyDescent="0.25">
      <c r="B730" s="1"/>
      <c r="F730" s="1"/>
      <c r="J730" s="1"/>
      <c r="N730" s="1"/>
      <c r="R730" s="1"/>
      <c r="V730" s="1"/>
      <c r="Z730" s="1"/>
      <c r="AD730" s="1"/>
      <c r="AH730" s="1"/>
      <c r="AL730" s="1"/>
      <c r="AP730" s="1"/>
      <c r="AT730" s="16"/>
      <c r="AX730" s="16"/>
    </row>
    <row r="731" spans="2:50" x14ac:dyDescent="0.25">
      <c r="B731" s="1"/>
      <c r="F731" s="1"/>
      <c r="J731" s="1"/>
      <c r="N731" s="1"/>
      <c r="R731" s="1"/>
      <c r="V731" s="1"/>
      <c r="Z731" s="1"/>
      <c r="AD731" s="1"/>
      <c r="AH731" s="1"/>
      <c r="AL731" s="1"/>
      <c r="AP731" s="1"/>
      <c r="AT731" s="16"/>
      <c r="AX731" s="16"/>
    </row>
    <row r="732" spans="2:50" x14ac:dyDescent="0.25">
      <c r="B732" s="1"/>
      <c r="F732" s="1"/>
      <c r="J732" s="1"/>
      <c r="N732" s="1"/>
      <c r="R732" s="1"/>
      <c r="V732" s="1"/>
      <c r="Z732" s="1"/>
      <c r="AD732" s="1"/>
      <c r="AH732" s="1"/>
      <c r="AL732" s="1"/>
      <c r="AP732" s="1"/>
      <c r="AT732" s="16"/>
      <c r="AX732" s="16"/>
    </row>
    <row r="733" spans="2:50" x14ac:dyDescent="0.25">
      <c r="B733" s="1"/>
      <c r="F733" s="1"/>
      <c r="J733" s="1"/>
      <c r="N733" s="1"/>
      <c r="R733" s="1"/>
      <c r="V733" s="1"/>
      <c r="Z733" s="1"/>
      <c r="AD733" s="1"/>
      <c r="AH733" s="1"/>
      <c r="AL733" s="1"/>
      <c r="AP733" s="1"/>
      <c r="AT733" s="16"/>
      <c r="AX733" s="16"/>
    </row>
    <row r="734" spans="2:50" x14ac:dyDescent="0.25">
      <c r="B734" s="1"/>
      <c r="F734" s="1"/>
      <c r="J734" s="1"/>
      <c r="N734" s="1"/>
      <c r="R734" s="1"/>
      <c r="V734" s="1"/>
      <c r="Z734" s="1"/>
      <c r="AD734" s="1"/>
      <c r="AH734" s="1"/>
      <c r="AL734" s="1"/>
      <c r="AP734" s="1"/>
      <c r="AT734" s="16"/>
      <c r="AX734" s="16"/>
    </row>
    <row r="735" spans="2:50" x14ac:dyDescent="0.25">
      <c r="B735" s="1"/>
      <c r="F735" s="1"/>
      <c r="J735" s="1"/>
      <c r="N735" s="1"/>
      <c r="R735" s="1"/>
      <c r="V735" s="1"/>
      <c r="Z735" s="1"/>
      <c r="AD735" s="1"/>
      <c r="AH735" s="1"/>
      <c r="AL735" s="1"/>
      <c r="AP735" s="1"/>
      <c r="AT735" s="16"/>
      <c r="AX735" s="16"/>
    </row>
    <row r="736" spans="2:50" x14ac:dyDescent="0.25">
      <c r="B736" s="1"/>
      <c r="F736" s="1"/>
      <c r="J736" s="1"/>
      <c r="N736" s="1"/>
      <c r="R736" s="1"/>
      <c r="V736" s="1"/>
      <c r="Z736" s="1"/>
      <c r="AD736" s="1"/>
      <c r="AH736" s="1"/>
      <c r="AL736" s="1"/>
      <c r="AP736" s="1"/>
      <c r="AT736" s="16"/>
      <c r="AX736" s="16"/>
    </row>
    <row r="737" spans="2:50" x14ac:dyDescent="0.25">
      <c r="B737" s="1"/>
      <c r="F737" s="1"/>
      <c r="J737" s="1"/>
      <c r="N737" s="1"/>
      <c r="R737" s="1"/>
      <c r="V737" s="1"/>
      <c r="Z737" s="1"/>
      <c r="AD737" s="1"/>
      <c r="AH737" s="1"/>
      <c r="AL737" s="1"/>
      <c r="AP737" s="1"/>
      <c r="AT737" s="16"/>
      <c r="AX737" s="16"/>
    </row>
    <row r="738" spans="2:50" x14ac:dyDescent="0.25">
      <c r="B738" s="1"/>
      <c r="F738" s="1"/>
      <c r="J738" s="1"/>
      <c r="N738" s="1"/>
      <c r="R738" s="1"/>
      <c r="V738" s="1"/>
      <c r="Z738" s="1"/>
      <c r="AD738" s="1"/>
      <c r="AH738" s="1"/>
      <c r="AL738" s="1"/>
      <c r="AP738" s="1"/>
      <c r="AT738" s="16"/>
      <c r="AX738" s="16"/>
    </row>
    <row r="739" spans="2:50" x14ac:dyDescent="0.25">
      <c r="B739" s="1"/>
      <c r="F739" s="1"/>
      <c r="J739" s="1"/>
      <c r="N739" s="1"/>
      <c r="R739" s="1"/>
      <c r="V739" s="1"/>
      <c r="Z739" s="1"/>
      <c r="AD739" s="1"/>
      <c r="AH739" s="1"/>
      <c r="AL739" s="1"/>
      <c r="AP739" s="1"/>
      <c r="AT739" s="16"/>
      <c r="AX739" s="16"/>
    </row>
    <row r="740" spans="2:50" x14ac:dyDescent="0.25">
      <c r="B740" s="1"/>
      <c r="F740" s="1"/>
      <c r="J740" s="1"/>
      <c r="N740" s="1"/>
      <c r="R740" s="1"/>
      <c r="V740" s="1"/>
      <c r="Z740" s="1"/>
      <c r="AD740" s="1"/>
      <c r="AH740" s="1"/>
      <c r="AL740" s="1"/>
      <c r="AP740" s="1"/>
      <c r="AT740" s="16"/>
      <c r="AX740" s="16"/>
    </row>
    <row r="741" spans="2:50" x14ac:dyDescent="0.25">
      <c r="B741" s="1"/>
      <c r="F741" s="1"/>
      <c r="J741" s="1"/>
      <c r="N741" s="1"/>
      <c r="R741" s="1"/>
      <c r="V741" s="1"/>
      <c r="Z741" s="1"/>
      <c r="AD741" s="1"/>
      <c r="AH741" s="1"/>
      <c r="AL741" s="1"/>
      <c r="AP741" s="1"/>
      <c r="AT741" s="16"/>
      <c r="AX741" s="16"/>
    </row>
    <row r="742" spans="2:50" x14ac:dyDescent="0.25">
      <c r="B742" s="1"/>
      <c r="F742" s="1"/>
      <c r="J742" s="1"/>
      <c r="N742" s="1"/>
      <c r="R742" s="1"/>
      <c r="V742" s="1"/>
      <c r="Z742" s="1"/>
      <c r="AD742" s="1"/>
      <c r="AH742" s="1"/>
      <c r="AL742" s="1"/>
      <c r="AP742" s="1"/>
      <c r="AT742" s="16"/>
      <c r="AX742" s="16"/>
    </row>
    <row r="743" spans="2:50" x14ac:dyDescent="0.25">
      <c r="B743" s="1"/>
      <c r="F743" s="1"/>
      <c r="J743" s="1"/>
      <c r="N743" s="1"/>
      <c r="R743" s="1"/>
      <c r="V743" s="1"/>
      <c r="Z743" s="1"/>
      <c r="AD743" s="1"/>
      <c r="AH743" s="1"/>
      <c r="AL743" s="1"/>
      <c r="AP743" s="1"/>
      <c r="AT743" s="16"/>
      <c r="AX743" s="16"/>
    </row>
    <row r="744" spans="2:50" x14ac:dyDescent="0.25">
      <c r="B744" s="1"/>
      <c r="F744" s="1"/>
      <c r="J744" s="1"/>
      <c r="N744" s="1"/>
      <c r="R744" s="1"/>
      <c r="V744" s="1"/>
      <c r="Z744" s="1"/>
      <c r="AD744" s="1"/>
      <c r="AH744" s="1"/>
      <c r="AL744" s="1"/>
      <c r="AP744" s="1"/>
      <c r="AT744" s="16"/>
      <c r="AX744" s="16"/>
    </row>
    <row r="745" spans="2:50" x14ac:dyDescent="0.25">
      <c r="B745" s="1"/>
      <c r="F745" s="1"/>
      <c r="J745" s="1"/>
      <c r="N745" s="1"/>
      <c r="R745" s="1"/>
      <c r="V745" s="1"/>
      <c r="Z745" s="1"/>
      <c r="AD745" s="1"/>
      <c r="AH745" s="1"/>
      <c r="AL745" s="1"/>
      <c r="AP745" s="1"/>
      <c r="AT745" s="16"/>
      <c r="AX745" s="16"/>
    </row>
    <row r="746" spans="2:50" x14ac:dyDescent="0.25">
      <c r="B746" s="1"/>
      <c r="F746" s="1"/>
      <c r="J746" s="1"/>
      <c r="N746" s="1"/>
      <c r="R746" s="1"/>
      <c r="V746" s="1"/>
      <c r="Z746" s="1"/>
      <c r="AD746" s="1"/>
      <c r="AH746" s="1"/>
      <c r="AL746" s="1"/>
      <c r="AP746" s="1"/>
      <c r="AT746" s="16"/>
      <c r="AX746" s="16"/>
    </row>
    <row r="747" spans="2:50" x14ac:dyDescent="0.25">
      <c r="B747" s="1"/>
      <c r="F747" s="1"/>
      <c r="J747" s="1"/>
      <c r="N747" s="1"/>
      <c r="R747" s="1"/>
      <c r="V747" s="1"/>
      <c r="Z747" s="1"/>
      <c r="AD747" s="1"/>
      <c r="AH747" s="1"/>
      <c r="AL747" s="1"/>
      <c r="AP747" s="1"/>
      <c r="AT747" s="16"/>
      <c r="AX747" s="16"/>
    </row>
    <row r="748" spans="2:50" x14ac:dyDescent="0.25">
      <c r="B748" s="1"/>
      <c r="F748" s="1"/>
      <c r="J748" s="1"/>
      <c r="N748" s="1"/>
      <c r="R748" s="1"/>
      <c r="V748" s="1"/>
      <c r="Z748" s="1"/>
      <c r="AD748" s="1"/>
      <c r="AH748" s="1"/>
      <c r="AL748" s="1"/>
      <c r="AP748" s="1"/>
      <c r="AT748" s="16"/>
      <c r="AX748" s="16"/>
    </row>
    <row r="749" spans="2:50" x14ac:dyDescent="0.25">
      <c r="B749" s="1"/>
      <c r="F749" s="1"/>
      <c r="J749" s="1"/>
      <c r="N749" s="1"/>
      <c r="R749" s="1"/>
      <c r="V749" s="1"/>
      <c r="Z749" s="1"/>
      <c r="AD749" s="1"/>
      <c r="AH749" s="1"/>
      <c r="AL749" s="1"/>
      <c r="AP749" s="1"/>
      <c r="AT749" s="16"/>
      <c r="AX749" s="16"/>
    </row>
    <row r="750" spans="2:50" x14ac:dyDescent="0.25">
      <c r="B750" s="1"/>
      <c r="F750" s="1"/>
      <c r="J750" s="1"/>
      <c r="N750" s="1"/>
      <c r="R750" s="1"/>
      <c r="V750" s="1"/>
      <c r="Z750" s="1"/>
      <c r="AD750" s="1"/>
      <c r="AH750" s="1"/>
      <c r="AL750" s="1"/>
      <c r="AP750" s="1"/>
      <c r="AT750" s="16"/>
      <c r="AX750" s="16"/>
    </row>
    <row r="751" spans="2:50" x14ac:dyDescent="0.25">
      <c r="B751" s="1"/>
      <c r="F751" s="1"/>
      <c r="J751" s="1"/>
      <c r="N751" s="1"/>
      <c r="R751" s="1"/>
      <c r="V751" s="1"/>
      <c r="Z751" s="1"/>
      <c r="AD751" s="1"/>
      <c r="AH751" s="1"/>
      <c r="AL751" s="1"/>
      <c r="AP751" s="1"/>
      <c r="AT751" s="16"/>
      <c r="AX751" s="16"/>
    </row>
    <row r="752" spans="2:50" x14ac:dyDescent="0.25">
      <c r="B752" s="1"/>
      <c r="F752" s="1"/>
      <c r="J752" s="1"/>
      <c r="N752" s="1"/>
      <c r="R752" s="1"/>
      <c r="V752" s="1"/>
      <c r="Z752" s="1"/>
      <c r="AD752" s="1"/>
      <c r="AH752" s="1"/>
      <c r="AL752" s="1"/>
      <c r="AP752" s="1"/>
      <c r="AT752" s="16"/>
      <c r="AX752" s="16"/>
    </row>
    <row r="753" spans="2:50" x14ac:dyDescent="0.25">
      <c r="B753" s="1"/>
      <c r="F753" s="1"/>
      <c r="J753" s="1"/>
      <c r="N753" s="1"/>
      <c r="R753" s="1"/>
      <c r="V753" s="1"/>
      <c r="Z753" s="1"/>
      <c r="AD753" s="1"/>
      <c r="AH753" s="1"/>
      <c r="AL753" s="1"/>
      <c r="AP753" s="1"/>
      <c r="AT753" s="16"/>
      <c r="AX753" s="16"/>
    </row>
    <row r="754" spans="2:50" x14ac:dyDescent="0.25">
      <c r="B754" s="1"/>
      <c r="F754" s="1"/>
      <c r="J754" s="1"/>
      <c r="N754" s="1"/>
      <c r="R754" s="1"/>
      <c r="V754" s="1"/>
      <c r="Z754" s="1"/>
      <c r="AD754" s="1"/>
      <c r="AH754" s="1"/>
      <c r="AL754" s="1"/>
      <c r="AP754" s="1"/>
      <c r="AT754" s="16"/>
      <c r="AX754" s="16"/>
    </row>
    <row r="755" spans="2:50" x14ac:dyDescent="0.25">
      <c r="B755" s="1"/>
      <c r="F755" s="1"/>
      <c r="J755" s="1"/>
      <c r="N755" s="1"/>
      <c r="R755" s="1"/>
      <c r="V755" s="1"/>
      <c r="Z755" s="1"/>
      <c r="AD755" s="1"/>
      <c r="AH755" s="1"/>
      <c r="AL755" s="1"/>
      <c r="AP755" s="1"/>
      <c r="AT755" s="16"/>
      <c r="AX755" s="16"/>
    </row>
    <row r="756" spans="2:50" x14ac:dyDescent="0.25">
      <c r="B756" s="1"/>
      <c r="F756" s="1"/>
      <c r="J756" s="1"/>
      <c r="N756" s="1"/>
      <c r="R756" s="1"/>
      <c r="V756" s="1"/>
      <c r="Z756" s="1"/>
      <c r="AD756" s="1"/>
      <c r="AH756" s="1"/>
      <c r="AL756" s="1"/>
      <c r="AP756" s="1"/>
      <c r="AT756" s="16"/>
      <c r="AX756" s="16"/>
    </row>
    <row r="757" spans="2:50" x14ac:dyDescent="0.25">
      <c r="B757" s="1"/>
      <c r="F757" s="1"/>
      <c r="J757" s="1"/>
      <c r="N757" s="1"/>
      <c r="R757" s="1"/>
      <c r="V757" s="1"/>
      <c r="Z757" s="1"/>
      <c r="AD757" s="1"/>
      <c r="AH757" s="1"/>
      <c r="AL757" s="1"/>
      <c r="AP757" s="1"/>
      <c r="AT757" s="16"/>
      <c r="AX757" s="16"/>
    </row>
    <row r="758" spans="2:50" x14ac:dyDescent="0.25">
      <c r="B758" s="1"/>
      <c r="F758" s="1"/>
      <c r="J758" s="1"/>
      <c r="N758" s="1"/>
      <c r="R758" s="1"/>
      <c r="V758" s="1"/>
      <c r="Z758" s="1"/>
      <c r="AD758" s="1"/>
      <c r="AH758" s="1"/>
      <c r="AL758" s="1"/>
      <c r="AP758" s="1"/>
      <c r="AT758" s="16"/>
      <c r="AX758" s="16"/>
    </row>
    <row r="759" spans="2:50" x14ac:dyDescent="0.25">
      <c r="B759" s="1"/>
      <c r="F759" s="1"/>
      <c r="J759" s="1"/>
      <c r="N759" s="1"/>
      <c r="R759" s="1"/>
      <c r="V759" s="1"/>
      <c r="Z759" s="1"/>
      <c r="AD759" s="1"/>
      <c r="AH759" s="1"/>
      <c r="AL759" s="1"/>
      <c r="AP759" s="1"/>
      <c r="AT759" s="16"/>
      <c r="AX759" s="16"/>
    </row>
    <row r="760" spans="2:50" x14ac:dyDescent="0.25">
      <c r="B760" s="1"/>
      <c r="F760" s="1"/>
      <c r="J760" s="1"/>
      <c r="N760" s="1"/>
      <c r="R760" s="1"/>
      <c r="V760" s="1"/>
      <c r="Z760" s="1"/>
      <c r="AD760" s="1"/>
      <c r="AH760" s="1"/>
      <c r="AL760" s="1"/>
      <c r="AP760" s="1"/>
      <c r="AT760" s="16"/>
      <c r="AX760" s="16"/>
    </row>
    <row r="761" spans="2:50" x14ac:dyDescent="0.25">
      <c r="B761" s="1"/>
      <c r="F761" s="1"/>
      <c r="J761" s="1"/>
      <c r="N761" s="1"/>
      <c r="R761" s="1"/>
      <c r="V761" s="1"/>
      <c r="Z761" s="1"/>
      <c r="AD761" s="1"/>
      <c r="AH761" s="1"/>
      <c r="AL761" s="1"/>
      <c r="AP761" s="1"/>
      <c r="AT761" s="16"/>
      <c r="AX761" s="16"/>
    </row>
    <row r="762" spans="2:50" x14ac:dyDescent="0.25">
      <c r="B762" s="1"/>
      <c r="F762" s="1"/>
      <c r="J762" s="1"/>
      <c r="N762" s="1"/>
      <c r="R762" s="1"/>
      <c r="V762" s="1"/>
      <c r="Z762" s="1"/>
      <c r="AD762" s="1"/>
      <c r="AH762" s="1"/>
      <c r="AL762" s="1"/>
      <c r="AP762" s="1"/>
      <c r="AT762" s="16"/>
      <c r="AX762" s="16"/>
    </row>
    <row r="763" spans="2:50" x14ac:dyDescent="0.25">
      <c r="B763" s="1"/>
      <c r="F763" s="1"/>
      <c r="J763" s="1"/>
      <c r="N763" s="1"/>
      <c r="R763" s="1"/>
      <c r="V763" s="1"/>
      <c r="Z763" s="1"/>
      <c r="AD763" s="1"/>
      <c r="AH763" s="1"/>
      <c r="AL763" s="1"/>
      <c r="AP763" s="1"/>
      <c r="AT763" s="16"/>
      <c r="AX763" s="16"/>
    </row>
    <row r="764" spans="2:50" x14ac:dyDescent="0.25">
      <c r="B764" s="1"/>
      <c r="F764" s="1"/>
      <c r="J764" s="1"/>
      <c r="N764" s="1"/>
      <c r="R764" s="1"/>
      <c r="V764" s="1"/>
      <c r="Z764" s="1"/>
      <c r="AD764" s="1"/>
      <c r="AH764" s="1"/>
      <c r="AL764" s="1"/>
      <c r="AP764" s="1"/>
      <c r="AT764" s="16"/>
      <c r="AX764" s="16"/>
    </row>
    <row r="765" spans="2:50" x14ac:dyDescent="0.25">
      <c r="B765" s="1"/>
      <c r="F765" s="1"/>
      <c r="J765" s="1"/>
      <c r="N765" s="1"/>
      <c r="R765" s="1"/>
      <c r="V765" s="1"/>
      <c r="Z765" s="1"/>
      <c r="AD765" s="1"/>
      <c r="AH765" s="1"/>
      <c r="AL765" s="1"/>
      <c r="AP765" s="1"/>
      <c r="AT765" s="16"/>
      <c r="AX765" s="16"/>
    </row>
    <row r="766" spans="2:50" x14ac:dyDescent="0.25">
      <c r="B766" s="1"/>
      <c r="F766" s="1"/>
      <c r="J766" s="1"/>
      <c r="N766" s="1"/>
      <c r="R766" s="1"/>
      <c r="V766" s="1"/>
      <c r="Z766" s="1"/>
      <c r="AD766" s="1"/>
      <c r="AH766" s="1"/>
      <c r="AL766" s="1"/>
      <c r="AP766" s="1"/>
      <c r="AT766" s="16"/>
      <c r="AX766" s="16"/>
    </row>
    <row r="767" spans="2:50" x14ac:dyDescent="0.25">
      <c r="B767" s="1"/>
      <c r="F767" s="1"/>
      <c r="J767" s="1"/>
      <c r="N767" s="1"/>
      <c r="R767" s="1"/>
      <c r="V767" s="1"/>
      <c r="Z767" s="1"/>
      <c r="AD767" s="1"/>
      <c r="AH767" s="1"/>
      <c r="AL767" s="1"/>
      <c r="AP767" s="1"/>
      <c r="AT767" s="16"/>
      <c r="AX767" s="16"/>
    </row>
    <row r="768" spans="2:50" x14ac:dyDescent="0.25">
      <c r="B768" s="1"/>
      <c r="F768" s="1"/>
      <c r="J768" s="1"/>
      <c r="N768" s="1"/>
      <c r="R768" s="1"/>
      <c r="V768" s="1"/>
      <c r="Z768" s="1"/>
      <c r="AD768" s="1"/>
      <c r="AH768" s="1"/>
      <c r="AL768" s="1"/>
      <c r="AP768" s="1"/>
      <c r="AT768" s="16"/>
      <c r="AX768" s="16"/>
    </row>
    <row r="769" spans="2:50" x14ac:dyDescent="0.25">
      <c r="B769" s="1"/>
      <c r="F769" s="1"/>
      <c r="J769" s="1"/>
      <c r="N769" s="1"/>
      <c r="R769" s="1"/>
      <c r="V769" s="1"/>
      <c r="Z769" s="1"/>
      <c r="AD769" s="1"/>
      <c r="AH769" s="1"/>
      <c r="AL769" s="1"/>
      <c r="AP769" s="1"/>
      <c r="AT769" s="16"/>
      <c r="AX769" s="16"/>
    </row>
    <row r="770" spans="2:50" x14ac:dyDescent="0.25">
      <c r="B770" s="1"/>
      <c r="F770" s="1"/>
      <c r="J770" s="1"/>
      <c r="N770" s="1"/>
      <c r="R770" s="1"/>
      <c r="V770" s="1"/>
      <c r="Z770" s="1"/>
      <c r="AD770" s="1"/>
      <c r="AH770" s="1"/>
      <c r="AL770" s="1"/>
      <c r="AP770" s="1"/>
      <c r="AT770" s="16"/>
      <c r="AX770" s="16"/>
    </row>
    <row r="771" spans="2:50" x14ac:dyDescent="0.25">
      <c r="B771" s="1"/>
      <c r="F771" s="1"/>
      <c r="J771" s="1"/>
      <c r="N771" s="1"/>
      <c r="R771" s="1"/>
      <c r="V771" s="1"/>
      <c r="Z771" s="1"/>
      <c r="AD771" s="1"/>
      <c r="AH771" s="1"/>
      <c r="AL771" s="1"/>
      <c r="AP771" s="1"/>
      <c r="AT771" s="16"/>
      <c r="AX771" s="16"/>
    </row>
    <row r="772" spans="2:50" x14ac:dyDescent="0.25">
      <c r="B772" s="1"/>
      <c r="F772" s="1"/>
      <c r="J772" s="1"/>
      <c r="N772" s="1"/>
      <c r="R772" s="1"/>
      <c r="V772" s="1"/>
      <c r="Z772" s="1"/>
      <c r="AD772" s="1"/>
      <c r="AH772" s="1"/>
      <c r="AL772" s="1"/>
      <c r="AP772" s="1"/>
      <c r="AT772" s="16"/>
      <c r="AX772" s="16"/>
    </row>
    <row r="773" spans="2:50" x14ac:dyDescent="0.25">
      <c r="B773" s="1"/>
      <c r="F773" s="1"/>
      <c r="J773" s="1"/>
      <c r="N773" s="1"/>
      <c r="R773" s="1"/>
      <c r="V773" s="1"/>
      <c r="Z773" s="1"/>
      <c r="AD773" s="1"/>
      <c r="AH773" s="1"/>
      <c r="AL773" s="1"/>
      <c r="AP773" s="1"/>
      <c r="AT773" s="16"/>
      <c r="AX773" s="16"/>
    </row>
    <row r="774" spans="2:50" x14ac:dyDescent="0.25">
      <c r="B774" s="1"/>
      <c r="F774" s="1"/>
      <c r="J774" s="1"/>
      <c r="N774" s="1"/>
      <c r="R774" s="1"/>
      <c r="V774" s="1"/>
      <c r="Z774" s="1"/>
      <c r="AD774" s="1"/>
      <c r="AH774" s="1"/>
      <c r="AL774" s="1"/>
      <c r="AP774" s="1"/>
      <c r="AT774" s="16"/>
      <c r="AX774" s="16"/>
    </row>
    <row r="775" spans="2:50" x14ac:dyDescent="0.25">
      <c r="B775" s="1"/>
      <c r="F775" s="1"/>
      <c r="J775" s="1"/>
      <c r="N775" s="1"/>
      <c r="R775" s="1"/>
      <c r="V775" s="1"/>
      <c r="Z775" s="1"/>
      <c r="AD775" s="1"/>
      <c r="AH775" s="1"/>
      <c r="AL775" s="1"/>
      <c r="AP775" s="1"/>
      <c r="AT775" s="16"/>
      <c r="AX775" s="16"/>
    </row>
    <row r="776" spans="2:50" x14ac:dyDescent="0.25">
      <c r="B776" s="1"/>
      <c r="F776" s="1"/>
      <c r="J776" s="1"/>
      <c r="N776" s="1"/>
      <c r="R776" s="1"/>
      <c r="V776" s="1"/>
      <c r="Z776" s="1"/>
      <c r="AD776" s="1"/>
      <c r="AH776" s="1"/>
      <c r="AL776" s="1"/>
      <c r="AP776" s="1"/>
      <c r="AT776" s="16"/>
      <c r="AX776" s="16"/>
    </row>
    <row r="777" spans="2:50" x14ac:dyDescent="0.25">
      <c r="B777" s="1"/>
      <c r="F777" s="1"/>
      <c r="J777" s="1"/>
      <c r="N777" s="1"/>
      <c r="R777" s="1"/>
      <c r="V777" s="1"/>
      <c r="Z777" s="1"/>
      <c r="AD777" s="1"/>
      <c r="AH777" s="1"/>
      <c r="AL777" s="1"/>
      <c r="AP777" s="1"/>
      <c r="AT777" s="16"/>
      <c r="AX777" s="16"/>
    </row>
    <row r="778" spans="2:50" x14ac:dyDescent="0.25">
      <c r="B778" s="1"/>
      <c r="F778" s="1"/>
      <c r="J778" s="1"/>
      <c r="N778" s="1"/>
      <c r="R778" s="1"/>
      <c r="V778" s="1"/>
      <c r="Z778" s="1"/>
      <c r="AD778" s="1"/>
      <c r="AH778" s="1"/>
      <c r="AL778" s="1"/>
      <c r="AP778" s="1"/>
      <c r="AT778" s="16"/>
      <c r="AX778" s="16"/>
    </row>
    <row r="779" spans="2:50" x14ac:dyDescent="0.25">
      <c r="B779" s="1"/>
      <c r="F779" s="1"/>
      <c r="J779" s="1"/>
      <c r="N779" s="1"/>
      <c r="R779" s="1"/>
      <c r="V779" s="1"/>
      <c r="Z779" s="1"/>
      <c r="AD779" s="1"/>
      <c r="AH779" s="1"/>
      <c r="AL779" s="1"/>
      <c r="AP779" s="1"/>
      <c r="AT779" s="16"/>
      <c r="AX779" s="16"/>
    </row>
    <row r="780" spans="2:50" x14ac:dyDescent="0.25">
      <c r="B780" s="1"/>
      <c r="F780" s="1"/>
      <c r="J780" s="1"/>
      <c r="N780" s="1"/>
      <c r="R780" s="1"/>
      <c r="V780" s="1"/>
      <c r="Z780" s="1"/>
      <c r="AD780" s="1"/>
      <c r="AH780" s="1"/>
      <c r="AL780" s="1"/>
      <c r="AP780" s="1"/>
      <c r="AT780" s="16"/>
      <c r="AX780" s="16"/>
    </row>
    <row r="781" spans="2:50" x14ac:dyDescent="0.25">
      <c r="B781" s="1"/>
      <c r="F781" s="1"/>
      <c r="J781" s="1"/>
      <c r="N781" s="1"/>
      <c r="R781" s="1"/>
      <c r="V781" s="1"/>
      <c r="Z781" s="1"/>
      <c r="AD781" s="1"/>
      <c r="AH781" s="1"/>
      <c r="AL781" s="1"/>
      <c r="AP781" s="1"/>
      <c r="AT781" s="16"/>
      <c r="AX781" s="16"/>
    </row>
    <row r="782" spans="2:50" x14ac:dyDescent="0.25">
      <c r="B782" s="1"/>
      <c r="F782" s="1"/>
      <c r="J782" s="1"/>
      <c r="N782" s="1"/>
      <c r="R782" s="1"/>
      <c r="V782" s="1"/>
      <c r="Z782" s="1"/>
      <c r="AD782" s="1"/>
      <c r="AH782" s="1"/>
      <c r="AL782" s="1"/>
      <c r="AP782" s="1"/>
      <c r="AT782" s="16"/>
      <c r="AX782" s="16"/>
    </row>
    <row r="783" spans="2:50" x14ac:dyDescent="0.25">
      <c r="B783" s="1"/>
      <c r="F783" s="1"/>
      <c r="J783" s="1"/>
      <c r="N783" s="1"/>
      <c r="R783" s="1"/>
      <c r="V783" s="1"/>
      <c r="Z783" s="1"/>
      <c r="AD783" s="1"/>
      <c r="AH783" s="1"/>
      <c r="AL783" s="1"/>
      <c r="AP783" s="1"/>
      <c r="AT783" s="16"/>
      <c r="AX783" s="16"/>
    </row>
    <row r="784" spans="2:50" x14ac:dyDescent="0.25">
      <c r="B784" s="1"/>
      <c r="F784" s="1"/>
      <c r="J784" s="1"/>
      <c r="N784" s="1"/>
      <c r="R784" s="1"/>
      <c r="V784" s="1"/>
      <c r="Z784" s="1"/>
      <c r="AD784" s="1"/>
      <c r="AH784" s="1"/>
      <c r="AL784" s="1"/>
      <c r="AP784" s="1"/>
      <c r="AT784" s="16"/>
      <c r="AX784" s="16"/>
    </row>
    <row r="785" spans="2:50" x14ac:dyDescent="0.25">
      <c r="B785" s="1"/>
      <c r="F785" s="1"/>
      <c r="J785" s="1"/>
      <c r="N785" s="1"/>
      <c r="R785" s="1"/>
      <c r="V785" s="1"/>
      <c r="Z785" s="1"/>
      <c r="AD785" s="1"/>
      <c r="AH785" s="1"/>
      <c r="AL785" s="1"/>
      <c r="AP785" s="1"/>
      <c r="AT785" s="16"/>
      <c r="AX785" s="16"/>
    </row>
    <row r="786" spans="2:50" x14ac:dyDescent="0.25">
      <c r="B786" s="1"/>
      <c r="F786" s="1"/>
      <c r="J786" s="1"/>
      <c r="N786" s="1"/>
      <c r="R786" s="1"/>
      <c r="V786" s="1"/>
      <c r="Z786" s="1"/>
      <c r="AD786" s="1"/>
      <c r="AH786" s="1"/>
      <c r="AL786" s="1"/>
      <c r="AP786" s="1"/>
      <c r="AT786" s="16"/>
      <c r="AX786" s="16"/>
    </row>
    <row r="787" spans="2:50" x14ac:dyDescent="0.25">
      <c r="B787" s="1"/>
      <c r="F787" s="1"/>
      <c r="J787" s="1"/>
      <c r="N787" s="1"/>
      <c r="R787" s="1"/>
      <c r="V787" s="1"/>
      <c r="Z787" s="1"/>
      <c r="AD787" s="1"/>
      <c r="AH787" s="1"/>
      <c r="AL787" s="1"/>
      <c r="AP787" s="1"/>
      <c r="AT787" s="16"/>
      <c r="AX787" s="16"/>
    </row>
    <row r="788" spans="2:50" x14ac:dyDescent="0.25">
      <c r="B788" s="1"/>
      <c r="F788" s="1"/>
      <c r="J788" s="1"/>
      <c r="N788" s="1"/>
      <c r="R788" s="1"/>
      <c r="V788" s="1"/>
      <c r="Z788" s="1"/>
      <c r="AD788" s="1"/>
      <c r="AH788" s="1"/>
      <c r="AL788" s="1"/>
      <c r="AP788" s="1"/>
      <c r="AT788" s="16"/>
      <c r="AX788" s="16"/>
    </row>
    <row r="789" spans="2:50" x14ac:dyDescent="0.25">
      <c r="B789" s="1"/>
      <c r="F789" s="1"/>
      <c r="J789" s="1"/>
      <c r="N789" s="1"/>
      <c r="R789" s="1"/>
      <c r="V789" s="1"/>
      <c r="Z789" s="1"/>
      <c r="AD789" s="1"/>
      <c r="AH789" s="1"/>
      <c r="AL789" s="1"/>
      <c r="AP789" s="1"/>
      <c r="AT789" s="16"/>
      <c r="AX789" s="16"/>
    </row>
    <row r="790" spans="2:50" x14ac:dyDescent="0.25">
      <c r="B790" s="1"/>
      <c r="F790" s="1"/>
      <c r="J790" s="1"/>
      <c r="N790" s="1"/>
      <c r="R790" s="1"/>
      <c r="V790" s="1"/>
      <c r="Z790" s="1"/>
      <c r="AD790" s="1"/>
      <c r="AH790" s="1"/>
      <c r="AL790" s="1"/>
      <c r="AP790" s="1"/>
      <c r="AT790" s="16"/>
      <c r="AX790" s="16"/>
    </row>
    <row r="791" spans="2:50" x14ac:dyDescent="0.25">
      <c r="B791" s="1"/>
      <c r="F791" s="1"/>
      <c r="J791" s="1"/>
      <c r="N791" s="1"/>
      <c r="R791" s="1"/>
      <c r="V791" s="1"/>
      <c r="Z791" s="1"/>
      <c r="AD791" s="1"/>
      <c r="AH791" s="1"/>
      <c r="AL791" s="1"/>
      <c r="AP791" s="1"/>
      <c r="AT791" s="16"/>
      <c r="AX791" s="16"/>
    </row>
    <row r="792" spans="2:50" x14ac:dyDescent="0.25">
      <c r="B792" s="1"/>
      <c r="F792" s="1"/>
      <c r="J792" s="1"/>
      <c r="N792" s="1"/>
      <c r="R792" s="1"/>
      <c r="V792" s="1"/>
      <c r="Z792" s="1"/>
      <c r="AD792" s="1"/>
      <c r="AH792" s="1"/>
      <c r="AL792" s="1"/>
      <c r="AP792" s="1"/>
      <c r="AT792" s="16"/>
      <c r="AX792" s="16"/>
    </row>
    <row r="793" spans="2:50" x14ac:dyDescent="0.25">
      <c r="B793" s="1"/>
      <c r="F793" s="1"/>
      <c r="J793" s="1"/>
      <c r="N793" s="1"/>
      <c r="R793" s="1"/>
      <c r="V793" s="1"/>
      <c r="Z793" s="1"/>
      <c r="AD793" s="1"/>
      <c r="AH793" s="1"/>
      <c r="AL793" s="1"/>
      <c r="AP793" s="1"/>
      <c r="AT793" s="16"/>
      <c r="AX793" s="16"/>
    </row>
    <row r="794" spans="2:50" x14ac:dyDescent="0.25">
      <c r="B794" s="1"/>
      <c r="F794" s="1"/>
      <c r="J794" s="1"/>
      <c r="N794" s="1"/>
      <c r="R794" s="1"/>
      <c r="V794" s="1"/>
      <c r="Z794" s="1"/>
      <c r="AD794" s="1"/>
      <c r="AH794" s="1"/>
      <c r="AL794" s="1"/>
      <c r="AP794" s="1"/>
      <c r="AT794" s="16"/>
      <c r="AX794" s="16"/>
    </row>
    <row r="795" spans="2:50" x14ac:dyDescent="0.25">
      <c r="B795" s="1"/>
      <c r="F795" s="1"/>
      <c r="J795" s="1"/>
      <c r="N795" s="1"/>
      <c r="R795" s="1"/>
      <c r="V795" s="1"/>
      <c r="Z795" s="1"/>
      <c r="AD795" s="1"/>
      <c r="AH795" s="1"/>
      <c r="AL795" s="1"/>
      <c r="AP795" s="1"/>
      <c r="AT795" s="16"/>
      <c r="AX795" s="16"/>
    </row>
    <row r="796" spans="2:50" x14ac:dyDescent="0.25">
      <c r="B796" s="1"/>
      <c r="F796" s="1"/>
      <c r="J796" s="1"/>
      <c r="N796" s="1"/>
      <c r="R796" s="1"/>
      <c r="V796" s="1"/>
      <c r="Z796" s="1"/>
      <c r="AD796" s="1"/>
      <c r="AH796" s="1"/>
      <c r="AL796" s="1"/>
      <c r="AP796" s="1"/>
      <c r="AT796" s="16"/>
      <c r="AX796" s="16"/>
    </row>
    <row r="797" spans="2:50" x14ac:dyDescent="0.25">
      <c r="B797" s="1"/>
      <c r="F797" s="1"/>
      <c r="J797" s="1"/>
      <c r="N797" s="1"/>
      <c r="R797" s="1"/>
      <c r="V797" s="1"/>
      <c r="Z797" s="1"/>
      <c r="AD797" s="1"/>
      <c r="AH797" s="1"/>
      <c r="AL797" s="1"/>
      <c r="AP797" s="1"/>
      <c r="AT797" s="16"/>
      <c r="AX797" s="16"/>
    </row>
    <row r="798" spans="2:50" x14ac:dyDescent="0.25">
      <c r="B798" s="1"/>
      <c r="F798" s="1"/>
      <c r="J798" s="1"/>
      <c r="N798" s="1"/>
      <c r="R798" s="1"/>
      <c r="V798" s="1"/>
      <c r="Z798" s="1"/>
      <c r="AD798" s="1"/>
      <c r="AH798" s="1"/>
      <c r="AL798" s="1"/>
      <c r="AP798" s="1"/>
      <c r="AT798" s="16"/>
      <c r="AX798" s="16"/>
    </row>
    <row r="799" spans="2:50" x14ac:dyDescent="0.25">
      <c r="B799" s="1"/>
      <c r="F799" s="1"/>
      <c r="J799" s="1"/>
      <c r="N799" s="1"/>
      <c r="R799" s="1"/>
      <c r="V799" s="1"/>
      <c r="Z799" s="1"/>
      <c r="AD799" s="1"/>
      <c r="AH799" s="1"/>
      <c r="AL799" s="1"/>
      <c r="AP799" s="1"/>
      <c r="AT799" s="16"/>
      <c r="AX799" s="16"/>
    </row>
    <row r="800" spans="2:50" x14ac:dyDescent="0.25">
      <c r="B800" s="1"/>
      <c r="F800" s="1"/>
      <c r="J800" s="1"/>
      <c r="N800" s="1"/>
      <c r="R800" s="1"/>
      <c r="V800" s="1"/>
      <c r="Z800" s="1"/>
      <c r="AD800" s="1"/>
      <c r="AH800" s="1"/>
      <c r="AL800" s="1"/>
      <c r="AP800" s="1"/>
      <c r="AT800" s="16"/>
      <c r="AX800" s="16"/>
    </row>
    <row r="801" spans="2:50" x14ac:dyDescent="0.25">
      <c r="B801" s="1"/>
      <c r="F801" s="1"/>
      <c r="J801" s="1"/>
      <c r="N801" s="1"/>
      <c r="R801" s="1"/>
      <c r="V801" s="1"/>
      <c r="Z801" s="1"/>
      <c r="AD801" s="1"/>
      <c r="AH801" s="1"/>
      <c r="AL801" s="1"/>
      <c r="AP801" s="1"/>
      <c r="AT801" s="16"/>
      <c r="AX801" s="16"/>
    </row>
    <row r="802" spans="2:50" x14ac:dyDescent="0.25">
      <c r="B802" s="1"/>
      <c r="F802" s="1"/>
      <c r="J802" s="1"/>
      <c r="N802" s="1"/>
      <c r="R802" s="1"/>
      <c r="V802" s="1"/>
      <c r="Z802" s="1"/>
      <c r="AD802" s="1"/>
      <c r="AH802" s="1"/>
      <c r="AL802" s="1"/>
      <c r="AP802" s="1"/>
      <c r="AT802" s="16"/>
      <c r="AX802" s="16"/>
    </row>
    <row r="803" spans="2:50" x14ac:dyDescent="0.25">
      <c r="B803" s="1"/>
      <c r="F803" s="1"/>
      <c r="J803" s="1"/>
      <c r="N803" s="1"/>
      <c r="R803" s="1"/>
      <c r="V803" s="1"/>
      <c r="Z803" s="1"/>
      <c r="AD803" s="1"/>
      <c r="AH803" s="1"/>
      <c r="AL803" s="1"/>
      <c r="AP803" s="1"/>
      <c r="AT803" s="16"/>
      <c r="AX803" s="16"/>
    </row>
    <row r="804" spans="2:50" x14ac:dyDescent="0.25">
      <c r="B804" s="1"/>
      <c r="F804" s="1"/>
      <c r="J804" s="1"/>
      <c r="N804" s="1"/>
      <c r="R804" s="1"/>
      <c r="V804" s="1"/>
      <c r="Z804" s="1"/>
      <c r="AD804" s="1"/>
      <c r="AH804" s="1"/>
      <c r="AL804" s="1"/>
      <c r="AP804" s="1"/>
      <c r="AT804" s="16"/>
      <c r="AX804" s="16"/>
    </row>
    <row r="805" spans="2:50" x14ac:dyDescent="0.25">
      <c r="B805" s="1"/>
      <c r="F805" s="1"/>
      <c r="J805" s="1"/>
      <c r="N805" s="1"/>
      <c r="R805" s="1"/>
      <c r="V805" s="1"/>
      <c r="Z805" s="1"/>
      <c r="AD805" s="1"/>
      <c r="AH805" s="1"/>
      <c r="AL805" s="1"/>
      <c r="AP805" s="1"/>
      <c r="AT805" s="16"/>
      <c r="AX805" s="16"/>
    </row>
    <row r="806" spans="2:50" x14ac:dyDescent="0.25">
      <c r="B806" s="1"/>
      <c r="F806" s="1"/>
      <c r="J806" s="1"/>
      <c r="N806" s="1"/>
      <c r="R806" s="1"/>
      <c r="V806" s="1"/>
      <c r="Z806" s="1"/>
      <c r="AD806" s="1"/>
      <c r="AH806" s="1"/>
      <c r="AL806" s="1"/>
      <c r="AP806" s="1"/>
      <c r="AT806" s="16"/>
      <c r="AX806" s="16"/>
    </row>
    <row r="807" spans="2:50" x14ac:dyDescent="0.25">
      <c r="B807" s="1"/>
      <c r="F807" s="1"/>
      <c r="J807" s="1"/>
      <c r="N807" s="1"/>
      <c r="R807" s="1"/>
      <c r="V807" s="1"/>
      <c r="Z807" s="1"/>
      <c r="AD807" s="1"/>
      <c r="AH807" s="1"/>
      <c r="AL807" s="1"/>
      <c r="AP807" s="1"/>
      <c r="AT807" s="16"/>
      <c r="AX807" s="16"/>
    </row>
    <row r="808" spans="2:50" x14ac:dyDescent="0.25">
      <c r="B808" s="1"/>
      <c r="F808" s="1"/>
      <c r="J808" s="1"/>
      <c r="N808" s="1"/>
      <c r="R808" s="1"/>
      <c r="V808" s="1"/>
      <c r="Z808" s="1"/>
      <c r="AD808" s="1"/>
      <c r="AH808" s="1"/>
      <c r="AL808" s="1"/>
      <c r="AP808" s="1"/>
      <c r="AT808" s="16"/>
      <c r="AX808" s="16"/>
    </row>
    <row r="809" spans="2:50" x14ac:dyDescent="0.25">
      <c r="B809" s="1"/>
      <c r="F809" s="1"/>
      <c r="J809" s="1"/>
      <c r="N809" s="1"/>
      <c r="R809" s="1"/>
      <c r="V809" s="1"/>
      <c r="Z809" s="1"/>
      <c r="AD809" s="1"/>
      <c r="AH809" s="1"/>
      <c r="AL809" s="1"/>
      <c r="AP809" s="1"/>
      <c r="AT809" s="16"/>
      <c r="AX809" s="16"/>
    </row>
    <row r="810" spans="2:50" x14ac:dyDescent="0.25">
      <c r="B810" s="1"/>
      <c r="F810" s="1"/>
      <c r="J810" s="1"/>
      <c r="N810" s="1"/>
      <c r="R810" s="1"/>
      <c r="V810" s="1"/>
      <c r="Z810" s="1"/>
      <c r="AD810" s="1"/>
      <c r="AH810" s="1"/>
      <c r="AL810" s="1"/>
      <c r="AP810" s="1"/>
      <c r="AT810" s="16"/>
      <c r="AX810" s="16"/>
    </row>
    <row r="811" spans="2:50" x14ac:dyDescent="0.25">
      <c r="B811" s="1"/>
      <c r="F811" s="1"/>
      <c r="J811" s="1"/>
      <c r="N811" s="1"/>
      <c r="R811" s="1"/>
      <c r="V811" s="1"/>
      <c r="Z811" s="1"/>
      <c r="AD811" s="1"/>
      <c r="AH811" s="1"/>
      <c r="AL811" s="1"/>
      <c r="AP811" s="1"/>
      <c r="AT811" s="16"/>
      <c r="AX811" s="16"/>
    </row>
    <row r="812" spans="2:50" x14ac:dyDescent="0.25">
      <c r="B812" s="1"/>
      <c r="F812" s="1"/>
      <c r="J812" s="1"/>
      <c r="N812" s="1"/>
      <c r="R812" s="1"/>
      <c r="V812" s="1"/>
      <c r="Z812" s="1"/>
      <c r="AD812" s="1"/>
      <c r="AH812" s="1"/>
      <c r="AL812" s="1"/>
      <c r="AP812" s="1"/>
      <c r="AT812" s="16"/>
      <c r="AX812" s="16"/>
    </row>
    <row r="813" spans="2:50" x14ac:dyDescent="0.25">
      <c r="B813" s="1"/>
      <c r="F813" s="1"/>
      <c r="J813" s="1"/>
      <c r="N813" s="1"/>
      <c r="R813" s="1"/>
      <c r="V813" s="1"/>
      <c r="Z813" s="1"/>
      <c r="AD813" s="1"/>
      <c r="AH813" s="1"/>
      <c r="AL813" s="1"/>
      <c r="AP813" s="1"/>
      <c r="AT813" s="16"/>
      <c r="AX813" s="16"/>
    </row>
    <row r="814" spans="2:50" x14ac:dyDescent="0.25">
      <c r="B814" s="1"/>
      <c r="F814" s="1"/>
      <c r="J814" s="1"/>
      <c r="N814" s="1"/>
      <c r="R814" s="1"/>
      <c r="V814" s="1"/>
      <c r="Z814" s="1"/>
      <c r="AD814" s="1"/>
      <c r="AH814" s="1"/>
      <c r="AL814" s="1"/>
      <c r="AP814" s="1"/>
      <c r="AT814" s="16"/>
      <c r="AX814" s="16"/>
    </row>
    <row r="815" spans="2:50" x14ac:dyDescent="0.25">
      <c r="B815" s="1"/>
      <c r="F815" s="1"/>
      <c r="J815" s="1"/>
      <c r="N815" s="1"/>
      <c r="R815" s="1"/>
      <c r="V815" s="1"/>
      <c r="Z815" s="1"/>
      <c r="AD815" s="1"/>
      <c r="AH815" s="1"/>
      <c r="AL815" s="1"/>
      <c r="AP815" s="1"/>
      <c r="AT815" s="16"/>
      <c r="AX815" s="16"/>
    </row>
    <row r="816" spans="2:50" x14ac:dyDescent="0.25">
      <c r="B816" s="1"/>
      <c r="F816" s="1"/>
      <c r="J816" s="1"/>
      <c r="N816" s="1"/>
      <c r="R816" s="1"/>
      <c r="V816" s="1"/>
      <c r="Z816" s="1"/>
      <c r="AD816" s="1"/>
      <c r="AH816" s="1"/>
      <c r="AL816" s="1"/>
      <c r="AP816" s="1"/>
      <c r="AT816" s="16"/>
      <c r="AX816" s="16"/>
    </row>
    <row r="817" spans="2:50" x14ac:dyDescent="0.25">
      <c r="B817" s="1"/>
      <c r="F817" s="1"/>
      <c r="J817" s="1"/>
      <c r="N817" s="1"/>
      <c r="R817" s="1"/>
      <c r="V817" s="1"/>
      <c r="Z817" s="1"/>
      <c r="AD817" s="1"/>
      <c r="AH817" s="1"/>
      <c r="AL817" s="1"/>
      <c r="AP817" s="1"/>
      <c r="AT817" s="16"/>
      <c r="AX817" s="16"/>
    </row>
    <row r="818" spans="2:50" x14ac:dyDescent="0.25">
      <c r="B818" s="1"/>
      <c r="F818" s="1"/>
      <c r="J818" s="1"/>
      <c r="N818" s="1"/>
      <c r="R818" s="1"/>
      <c r="V818" s="1"/>
      <c r="Z818" s="1"/>
      <c r="AD818" s="1"/>
      <c r="AH818" s="1"/>
      <c r="AL818" s="1"/>
      <c r="AP818" s="1"/>
      <c r="AT818" s="16"/>
      <c r="AX818" s="16"/>
    </row>
    <row r="819" spans="2:50" x14ac:dyDescent="0.25">
      <c r="B819" s="1"/>
      <c r="F819" s="1"/>
      <c r="J819" s="1"/>
      <c r="N819" s="1"/>
      <c r="R819" s="1"/>
      <c r="V819" s="1"/>
      <c r="Z819" s="1"/>
      <c r="AD819" s="1"/>
      <c r="AH819" s="1"/>
      <c r="AL819" s="1"/>
      <c r="AP819" s="1"/>
      <c r="AT819" s="16"/>
      <c r="AX819" s="16"/>
    </row>
    <row r="820" spans="2:50" x14ac:dyDescent="0.25">
      <c r="B820" s="1"/>
      <c r="F820" s="1"/>
      <c r="J820" s="1"/>
      <c r="N820" s="1"/>
      <c r="R820" s="1"/>
      <c r="V820" s="1"/>
      <c r="Z820" s="1"/>
      <c r="AD820" s="1"/>
      <c r="AH820" s="1"/>
      <c r="AL820" s="1"/>
      <c r="AP820" s="1"/>
      <c r="AT820" s="16"/>
      <c r="AX820" s="16"/>
    </row>
    <row r="821" spans="2:50" x14ac:dyDescent="0.25">
      <c r="B821" s="1"/>
      <c r="F821" s="1"/>
      <c r="J821" s="1"/>
      <c r="N821" s="1"/>
      <c r="R821" s="1"/>
      <c r="V821" s="1"/>
      <c r="Z821" s="1"/>
      <c r="AD821" s="1"/>
      <c r="AH821" s="1"/>
      <c r="AL821" s="1"/>
      <c r="AP821" s="1"/>
      <c r="AT821" s="16"/>
      <c r="AX821" s="16"/>
    </row>
    <row r="822" spans="2:50" x14ac:dyDescent="0.25">
      <c r="B822" s="1"/>
      <c r="F822" s="1"/>
      <c r="J822" s="1"/>
      <c r="N822" s="1"/>
      <c r="R822" s="1"/>
      <c r="V822" s="1"/>
      <c r="Z822" s="1"/>
      <c r="AD822" s="1"/>
      <c r="AH822" s="1"/>
      <c r="AL822" s="1"/>
      <c r="AP822" s="1"/>
      <c r="AT822" s="16"/>
      <c r="AX822" s="16"/>
    </row>
    <row r="823" spans="2:50" x14ac:dyDescent="0.25">
      <c r="B823" s="1"/>
      <c r="F823" s="1"/>
      <c r="J823" s="1"/>
      <c r="N823" s="1"/>
      <c r="R823" s="1"/>
      <c r="V823" s="1"/>
      <c r="Z823" s="1"/>
      <c r="AD823" s="1"/>
      <c r="AH823" s="1"/>
      <c r="AL823" s="1"/>
      <c r="AP823" s="1"/>
      <c r="AT823" s="16"/>
      <c r="AX823" s="16"/>
    </row>
    <row r="824" spans="2:50" x14ac:dyDescent="0.25">
      <c r="B824" s="1"/>
      <c r="F824" s="1"/>
      <c r="J824" s="1"/>
      <c r="N824" s="1"/>
      <c r="R824" s="1"/>
      <c r="V824" s="1"/>
      <c r="Z824" s="1"/>
      <c r="AD824" s="1"/>
      <c r="AH824" s="1"/>
      <c r="AL824" s="1"/>
      <c r="AP824" s="1"/>
      <c r="AT824" s="16"/>
      <c r="AX824" s="16"/>
    </row>
    <row r="825" spans="2:50" x14ac:dyDescent="0.25">
      <c r="B825" s="1"/>
      <c r="F825" s="1"/>
      <c r="J825" s="1"/>
      <c r="N825" s="1"/>
      <c r="R825" s="1"/>
      <c r="V825" s="1"/>
      <c r="Z825" s="1"/>
      <c r="AD825" s="1"/>
      <c r="AH825" s="1"/>
      <c r="AL825" s="1"/>
      <c r="AP825" s="1"/>
      <c r="AT825" s="16"/>
      <c r="AX825" s="16"/>
    </row>
    <row r="826" spans="2:50" x14ac:dyDescent="0.25">
      <c r="B826" s="1"/>
      <c r="F826" s="1"/>
      <c r="J826" s="1"/>
      <c r="N826" s="1"/>
      <c r="R826" s="1"/>
      <c r="V826" s="1"/>
      <c r="Z826" s="1"/>
      <c r="AD826" s="1"/>
      <c r="AH826" s="1"/>
      <c r="AL826" s="1"/>
      <c r="AP826" s="1"/>
      <c r="AT826" s="16"/>
      <c r="AX826" s="16"/>
    </row>
    <row r="827" spans="2:50" x14ac:dyDescent="0.25">
      <c r="B827" s="1"/>
      <c r="F827" s="1"/>
      <c r="J827" s="1"/>
      <c r="N827" s="1"/>
      <c r="R827" s="1"/>
      <c r="V827" s="1"/>
      <c r="Z827" s="1"/>
      <c r="AD827" s="1"/>
      <c r="AH827" s="1"/>
      <c r="AL827" s="1"/>
      <c r="AP827" s="1"/>
      <c r="AT827" s="16"/>
      <c r="AX827" s="16"/>
    </row>
    <row r="828" spans="2:50" x14ac:dyDescent="0.25">
      <c r="B828" s="1"/>
      <c r="F828" s="1"/>
      <c r="J828" s="1"/>
      <c r="N828" s="1"/>
      <c r="R828" s="1"/>
      <c r="V828" s="1"/>
      <c r="Z828" s="1"/>
      <c r="AD828" s="1"/>
      <c r="AH828" s="1"/>
      <c r="AL828" s="1"/>
      <c r="AP828" s="1"/>
      <c r="AT828" s="16"/>
      <c r="AX828" s="16"/>
    </row>
    <row r="829" spans="2:50" x14ac:dyDescent="0.25">
      <c r="B829" s="1"/>
      <c r="F829" s="1"/>
      <c r="J829" s="1"/>
      <c r="N829" s="1"/>
      <c r="R829" s="1"/>
      <c r="V829" s="1"/>
      <c r="Z829" s="1"/>
      <c r="AD829" s="1"/>
      <c r="AH829" s="1"/>
      <c r="AL829" s="1"/>
      <c r="AP829" s="1"/>
      <c r="AT829" s="16"/>
      <c r="AX829" s="16"/>
    </row>
    <row r="830" spans="2:50" x14ac:dyDescent="0.25">
      <c r="B830" s="1"/>
      <c r="F830" s="1"/>
      <c r="J830" s="1"/>
      <c r="N830" s="1"/>
      <c r="R830" s="1"/>
      <c r="V830" s="1"/>
      <c r="Z830" s="1"/>
      <c r="AD830" s="1"/>
      <c r="AH830" s="1"/>
      <c r="AL830" s="1"/>
      <c r="AP830" s="1"/>
      <c r="AT830" s="16"/>
      <c r="AX830" s="16"/>
    </row>
    <row r="831" spans="2:50" x14ac:dyDescent="0.25">
      <c r="B831" s="1"/>
      <c r="F831" s="1"/>
      <c r="J831" s="1"/>
      <c r="N831" s="1"/>
      <c r="R831" s="1"/>
      <c r="V831" s="1"/>
      <c r="Z831" s="1"/>
      <c r="AD831" s="1"/>
      <c r="AH831" s="1"/>
      <c r="AL831" s="1"/>
      <c r="AP831" s="1"/>
      <c r="AT831" s="16"/>
      <c r="AX831" s="16"/>
    </row>
    <row r="832" spans="2:50" x14ac:dyDescent="0.25">
      <c r="B832" s="1"/>
      <c r="F832" s="1"/>
      <c r="J832" s="1"/>
      <c r="N832" s="1"/>
      <c r="R832" s="1"/>
      <c r="V832" s="1"/>
      <c r="Z832" s="1"/>
      <c r="AD832" s="1"/>
      <c r="AH832" s="1"/>
      <c r="AL832" s="1"/>
      <c r="AP832" s="1"/>
      <c r="AT832" s="16"/>
      <c r="AX832" s="16"/>
    </row>
    <row r="833" spans="2:50" x14ac:dyDescent="0.25">
      <c r="B833" s="1"/>
      <c r="F833" s="1"/>
      <c r="J833" s="1"/>
      <c r="N833" s="1"/>
      <c r="R833" s="1"/>
      <c r="V833" s="1"/>
      <c r="Z833" s="1"/>
      <c r="AD833" s="1"/>
      <c r="AH833" s="1"/>
      <c r="AL833" s="1"/>
      <c r="AP833" s="1"/>
      <c r="AT833" s="16"/>
      <c r="AX833" s="16"/>
    </row>
    <row r="834" spans="2:50" x14ac:dyDescent="0.25">
      <c r="B834" s="1"/>
      <c r="F834" s="1"/>
      <c r="J834" s="1"/>
      <c r="N834" s="1"/>
      <c r="R834" s="1"/>
      <c r="V834" s="1"/>
      <c r="Z834" s="1"/>
      <c r="AD834" s="1"/>
      <c r="AH834" s="1"/>
      <c r="AL834" s="1"/>
      <c r="AP834" s="1"/>
      <c r="AT834" s="16"/>
      <c r="AX834" s="16"/>
    </row>
    <row r="835" spans="2:50" x14ac:dyDescent="0.25">
      <c r="B835" s="1"/>
      <c r="F835" s="1"/>
      <c r="J835" s="1"/>
      <c r="N835" s="1"/>
      <c r="R835" s="1"/>
      <c r="V835" s="1"/>
      <c r="Z835" s="1"/>
      <c r="AD835" s="1"/>
      <c r="AH835" s="1"/>
      <c r="AL835" s="1"/>
      <c r="AP835" s="1"/>
      <c r="AT835" s="16"/>
      <c r="AX835" s="16"/>
    </row>
    <row r="836" spans="2:50" x14ac:dyDescent="0.25">
      <c r="B836" s="1"/>
      <c r="F836" s="1"/>
      <c r="J836" s="1"/>
      <c r="N836" s="1"/>
      <c r="R836" s="1"/>
      <c r="V836" s="1"/>
      <c r="Z836" s="1"/>
      <c r="AD836" s="1"/>
      <c r="AH836" s="1"/>
      <c r="AL836" s="1"/>
      <c r="AP836" s="1"/>
      <c r="AT836" s="16"/>
      <c r="AX836" s="16"/>
    </row>
    <row r="837" spans="2:50" x14ac:dyDescent="0.25">
      <c r="B837" s="1"/>
      <c r="F837" s="1"/>
      <c r="J837" s="1"/>
      <c r="N837" s="1"/>
      <c r="R837" s="1"/>
      <c r="V837" s="1"/>
      <c r="Z837" s="1"/>
      <c r="AD837" s="1"/>
      <c r="AH837" s="1"/>
      <c r="AL837" s="1"/>
      <c r="AP837" s="1"/>
      <c r="AT837" s="16"/>
      <c r="AX837" s="16"/>
    </row>
    <row r="838" spans="2:50" x14ac:dyDescent="0.25">
      <c r="B838" s="1"/>
      <c r="F838" s="1"/>
      <c r="J838" s="1"/>
      <c r="N838" s="1"/>
      <c r="R838" s="1"/>
      <c r="V838" s="1"/>
      <c r="Z838" s="1"/>
      <c r="AD838" s="1"/>
      <c r="AH838" s="1"/>
      <c r="AL838" s="1"/>
      <c r="AP838" s="1"/>
      <c r="AT838" s="16"/>
      <c r="AX838" s="16"/>
    </row>
    <row r="839" spans="2:50" x14ac:dyDescent="0.25">
      <c r="B839" s="1"/>
      <c r="F839" s="1"/>
      <c r="J839" s="1"/>
      <c r="N839" s="1"/>
      <c r="R839" s="1"/>
      <c r="V839" s="1"/>
      <c r="Z839" s="1"/>
      <c r="AD839" s="1"/>
      <c r="AH839" s="1"/>
      <c r="AL839" s="1"/>
      <c r="AP839" s="1"/>
      <c r="AT839" s="16"/>
      <c r="AX839" s="16"/>
    </row>
    <row r="840" spans="2:50" x14ac:dyDescent="0.25">
      <c r="B840" s="1"/>
      <c r="F840" s="1"/>
      <c r="J840" s="1"/>
      <c r="N840" s="1"/>
      <c r="R840" s="1"/>
      <c r="V840" s="1"/>
      <c r="Z840" s="1"/>
      <c r="AD840" s="1"/>
      <c r="AH840" s="1"/>
      <c r="AL840" s="1"/>
      <c r="AP840" s="1"/>
      <c r="AT840" s="16"/>
      <c r="AX840" s="16"/>
    </row>
    <row r="841" spans="2:50" x14ac:dyDescent="0.25">
      <c r="B841" s="1"/>
      <c r="F841" s="1"/>
      <c r="J841" s="1"/>
      <c r="N841" s="1"/>
      <c r="R841" s="1"/>
      <c r="V841" s="1"/>
      <c r="Z841" s="1"/>
      <c r="AD841" s="1"/>
      <c r="AH841" s="1"/>
      <c r="AL841" s="1"/>
      <c r="AP841" s="1"/>
      <c r="AT841" s="16"/>
      <c r="AX841" s="16"/>
    </row>
    <row r="842" spans="2:50" x14ac:dyDescent="0.25">
      <c r="B842" s="1"/>
      <c r="F842" s="1"/>
      <c r="J842" s="1"/>
      <c r="N842" s="1"/>
      <c r="R842" s="1"/>
      <c r="V842" s="1"/>
      <c r="Z842" s="1"/>
      <c r="AD842" s="1"/>
      <c r="AH842" s="1"/>
      <c r="AL842" s="1"/>
      <c r="AP842" s="1"/>
      <c r="AT842" s="16"/>
      <c r="AX842" s="16"/>
    </row>
    <row r="843" spans="2:50" x14ac:dyDescent="0.25">
      <c r="B843" s="1"/>
      <c r="F843" s="1"/>
      <c r="J843" s="1"/>
      <c r="N843" s="1"/>
      <c r="R843" s="1"/>
      <c r="V843" s="1"/>
      <c r="Z843" s="1"/>
      <c r="AD843" s="1"/>
      <c r="AH843" s="1"/>
      <c r="AL843" s="1"/>
      <c r="AP843" s="1"/>
      <c r="AT843" s="16"/>
      <c r="AX843" s="16"/>
    </row>
    <row r="844" spans="2:50" x14ac:dyDescent="0.25">
      <c r="B844" s="1"/>
      <c r="F844" s="1"/>
      <c r="J844" s="1"/>
      <c r="N844" s="1"/>
      <c r="R844" s="1"/>
      <c r="V844" s="1"/>
      <c r="Z844" s="1"/>
      <c r="AD844" s="1"/>
      <c r="AH844" s="1"/>
      <c r="AL844" s="1"/>
      <c r="AP844" s="1"/>
      <c r="AT844" s="16"/>
      <c r="AX844" s="16"/>
    </row>
    <row r="845" spans="2:50" x14ac:dyDescent="0.25">
      <c r="B845" s="1"/>
      <c r="F845" s="1"/>
      <c r="J845" s="1"/>
      <c r="N845" s="1"/>
      <c r="R845" s="1"/>
      <c r="V845" s="1"/>
      <c r="Z845" s="1"/>
      <c r="AD845" s="1"/>
      <c r="AH845" s="1"/>
      <c r="AL845" s="1"/>
      <c r="AP845" s="1"/>
      <c r="AT845" s="16"/>
      <c r="AX845" s="16"/>
    </row>
    <row r="846" spans="2:50" x14ac:dyDescent="0.25">
      <c r="B846" s="1"/>
      <c r="F846" s="1"/>
      <c r="J846" s="1"/>
      <c r="N846" s="1"/>
      <c r="R846" s="1"/>
      <c r="V846" s="1"/>
      <c r="Z846" s="1"/>
      <c r="AD846" s="1"/>
      <c r="AH846" s="1"/>
      <c r="AL846" s="1"/>
      <c r="AP846" s="1"/>
      <c r="AT846" s="16"/>
      <c r="AX846" s="16"/>
    </row>
    <row r="847" spans="2:50" x14ac:dyDescent="0.25">
      <c r="B847" s="1"/>
      <c r="F847" s="1"/>
      <c r="J847" s="1"/>
      <c r="N847" s="1"/>
      <c r="R847" s="1"/>
      <c r="V847" s="1"/>
      <c r="Z847" s="1"/>
      <c r="AD847" s="1"/>
      <c r="AH847" s="1"/>
      <c r="AL847" s="1"/>
      <c r="AP847" s="1"/>
      <c r="AT847" s="16"/>
      <c r="AX847" s="16"/>
    </row>
    <row r="848" spans="2:50" x14ac:dyDescent="0.25">
      <c r="B848" s="1"/>
      <c r="F848" s="1"/>
      <c r="J848" s="1"/>
      <c r="N848" s="1"/>
      <c r="R848" s="1"/>
      <c r="V848" s="1"/>
      <c r="Z848" s="1"/>
      <c r="AD848" s="1"/>
      <c r="AH848" s="1"/>
      <c r="AL848" s="1"/>
      <c r="AP848" s="1"/>
      <c r="AT848" s="16"/>
      <c r="AX848" s="16"/>
    </row>
    <row r="849" spans="2:50" x14ac:dyDescent="0.25">
      <c r="B849" s="1"/>
      <c r="F849" s="1"/>
      <c r="J849" s="1"/>
      <c r="N849" s="1"/>
      <c r="R849" s="1"/>
      <c r="V849" s="1"/>
      <c r="Z849" s="1"/>
      <c r="AD849" s="1"/>
      <c r="AH849" s="1"/>
      <c r="AL849" s="1"/>
      <c r="AP849" s="1"/>
      <c r="AT849" s="16"/>
      <c r="AX849" s="16"/>
    </row>
    <row r="850" spans="2:50" x14ac:dyDescent="0.25">
      <c r="B850" s="1"/>
      <c r="F850" s="1"/>
      <c r="J850" s="1"/>
      <c r="N850" s="1"/>
      <c r="R850" s="1"/>
      <c r="V850" s="1"/>
      <c r="Z850" s="1"/>
      <c r="AD850" s="1"/>
      <c r="AH850" s="1"/>
      <c r="AL850" s="1"/>
      <c r="AP850" s="1"/>
      <c r="AT850" s="16"/>
      <c r="AX850" s="16"/>
    </row>
    <row r="851" spans="2:50" x14ac:dyDescent="0.25">
      <c r="B851" s="1"/>
      <c r="F851" s="1"/>
      <c r="J851" s="1"/>
      <c r="N851" s="1"/>
      <c r="R851" s="1"/>
      <c r="V851" s="1"/>
      <c r="Z851" s="1"/>
      <c r="AD851" s="1"/>
      <c r="AH851" s="1"/>
      <c r="AL851" s="1"/>
      <c r="AP851" s="1"/>
      <c r="AT851" s="16"/>
      <c r="AX851" s="16"/>
    </row>
    <row r="852" spans="2:50" x14ac:dyDescent="0.25">
      <c r="B852" s="1"/>
      <c r="F852" s="1"/>
      <c r="J852" s="1"/>
      <c r="N852" s="1"/>
      <c r="R852" s="1"/>
      <c r="V852" s="1"/>
      <c r="Z852" s="1"/>
      <c r="AD852" s="1"/>
      <c r="AH852" s="1"/>
      <c r="AL852" s="1"/>
      <c r="AP852" s="1"/>
      <c r="AT852" s="16"/>
      <c r="AX852" s="16"/>
    </row>
    <row r="853" spans="2:50" x14ac:dyDescent="0.25">
      <c r="B853" s="1"/>
      <c r="F853" s="1"/>
      <c r="J853" s="1"/>
      <c r="N853" s="1"/>
      <c r="R853" s="1"/>
      <c r="V853" s="1"/>
      <c r="Z853" s="1"/>
      <c r="AD853" s="1"/>
      <c r="AH853" s="1"/>
      <c r="AL853" s="1"/>
      <c r="AP853" s="1"/>
      <c r="AT853" s="16"/>
      <c r="AX853" s="16"/>
    </row>
    <row r="854" spans="2:50" x14ac:dyDescent="0.25">
      <c r="B854" s="1"/>
      <c r="F854" s="1"/>
      <c r="J854" s="1"/>
      <c r="N854" s="1"/>
      <c r="R854" s="1"/>
      <c r="V854" s="1"/>
      <c r="Z854" s="1"/>
      <c r="AD854" s="1"/>
      <c r="AH854" s="1"/>
      <c r="AL854" s="1"/>
      <c r="AP854" s="1"/>
      <c r="AT854" s="16"/>
      <c r="AX854" s="16"/>
    </row>
    <row r="855" spans="2:50" x14ac:dyDescent="0.25">
      <c r="B855" s="1"/>
      <c r="F855" s="1"/>
      <c r="J855" s="1"/>
      <c r="N855" s="1"/>
      <c r="R855" s="1"/>
      <c r="V855" s="1"/>
      <c r="Z855" s="1"/>
      <c r="AD855" s="1"/>
      <c r="AH855" s="1"/>
      <c r="AL855" s="1"/>
      <c r="AP855" s="1"/>
      <c r="AT855" s="16"/>
      <c r="AX855" s="16"/>
    </row>
    <row r="856" spans="2:50" x14ac:dyDescent="0.25">
      <c r="B856" s="1"/>
      <c r="F856" s="1"/>
      <c r="J856" s="1"/>
      <c r="N856" s="1"/>
      <c r="R856" s="1"/>
      <c r="V856" s="1"/>
      <c r="Z856" s="1"/>
      <c r="AD856" s="1"/>
      <c r="AH856" s="1"/>
      <c r="AL856" s="1"/>
      <c r="AP856" s="1"/>
      <c r="AT856" s="16"/>
      <c r="AX856" s="16"/>
    </row>
    <row r="857" spans="2:50" x14ac:dyDescent="0.25">
      <c r="B857" s="1"/>
      <c r="F857" s="1"/>
      <c r="J857" s="1"/>
      <c r="N857" s="1"/>
      <c r="R857" s="1"/>
      <c r="V857" s="1"/>
      <c r="Z857" s="1"/>
      <c r="AD857" s="1"/>
      <c r="AH857" s="1"/>
      <c r="AL857" s="1"/>
      <c r="AP857" s="1"/>
      <c r="AT857" s="16"/>
      <c r="AX857" s="16"/>
    </row>
    <row r="858" spans="2:50" x14ac:dyDescent="0.25">
      <c r="B858" s="1"/>
      <c r="F858" s="1"/>
      <c r="J858" s="1"/>
      <c r="N858" s="1"/>
      <c r="R858" s="1"/>
      <c r="V858" s="1"/>
      <c r="Z858" s="1"/>
      <c r="AD858" s="1"/>
      <c r="AH858" s="1"/>
      <c r="AL858" s="1"/>
      <c r="AP858" s="1"/>
      <c r="AT858" s="16"/>
      <c r="AX858" s="16"/>
    </row>
    <row r="859" spans="2:50" x14ac:dyDescent="0.25">
      <c r="B859" s="1"/>
      <c r="F859" s="1"/>
      <c r="J859" s="1"/>
      <c r="N859" s="1"/>
      <c r="R859" s="1"/>
      <c r="V859" s="1"/>
      <c r="Z859" s="1"/>
      <c r="AD859" s="1"/>
      <c r="AH859" s="1"/>
      <c r="AL859" s="1"/>
      <c r="AP859" s="1"/>
      <c r="AT859" s="16"/>
      <c r="AX859" s="16"/>
    </row>
    <row r="860" spans="2:50" x14ac:dyDescent="0.25">
      <c r="B860" s="1"/>
      <c r="F860" s="1"/>
      <c r="J860" s="1"/>
      <c r="N860" s="1"/>
      <c r="R860" s="1"/>
      <c r="V860" s="1"/>
      <c r="Z860" s="1"/>
      <c r="AD860" s="1"/>
      <c r="AH860" s="1"/>
      <c r="AL860" s="1"/>
      <c r="AP860" s="1"/>
      <c r="AT860" s="16"/>
      <c r="AX860" s="16"/>
    </row>
    <row r="861" spans="2:50" x14ac:dyDescent="0.25">
      <c r="B861" s="1"/>
      <c r="F861" s="1"/>
      <c r="J861" s="1"/>
      <c r="N861" s="1"/>
      <c r="R861" s="1"/>
      <c r="V861" s="1"/>
      <c r="Z861" s="1"/>
      <c r="AD861" s="1"/>
      <c r="AH861" s="1"/>
      <c r="AL861" s="1"/>
      <c r="AP861" s="1"/>
      <c r="AT861" s="16"/>
      <c r="AX861" s="16"/>
    </row>
    <row r="862" spans="2:50" x14ac:dyDescent="0.25">
      <c r="B862" s="1"/>
      <c r="F862" s="1"/>
      <c r="J862" s="1"/>
      <c r="N862" s="1"/>
      <c r="R862" s="1"/>
      <c r="V862" s="1"/>
      <c r="Z862" s="1"/>
      <c r="AD862" s="1"/>
      <c r="AH862" s="1"/>
      <c r="AL862" s="1"/>
      <c r="AP862" s="1"/>
      <c r="AT862" s="16"/>
      <c r="AX862" s="16"/>
    </row>
    <row r="863" spans="2:50" x14ac:dyDescent="0.25">
      <c r="B863" s="1"/>
      <c r="F863" s="1"/>
      <c r="J863" s="1"/>
      <c r="N863" s="1"/>
      <c r="R863" s="1"/>
      <c r="V863" s="1"/>
      <c r="Z863" s="1"/>
      <c r="AD863" s="1"/>
      <c r="AH863" s="1"/>
      <c r="AL863" s="1"/>
      <c r="AP863" s="1"/>
      <c r="AT863" s="16"/>
      <c r="AX863" s="16"/>
    </row>
    <row r="864" spans="2:50" x14ac:dyDescent="0.25">
      <c r="B864" s="1"/>
      <c r="F864" s="1"/>
      <c r="J864" s="1"/>
      <c r="N864" s="1"/>
      <c r="R864" s="1"/>
      <c r="V864" s="1"/>
      <c r="Z864" s="1"/>
      <c r="AD864" s="1"/>
      <c r="AH864" s="1"/>
      <c r="AL864" s="1"/>
      <c r="AP864" s="1"/>
      <c r="AT864" s="16"/>
      <c r="AX864" s="16"/>
    </row>
    <row r="865" spans="2:50" x14ac:dyDescent="0.25">
      <c r="B865" s="1"/>
      <c r="F865" s="1"/>
      <c r="J865" s="1"/>
      <c r="N865" s="1"/>
      <c r="R865" s="1"/>
      <c r="V865" s="1"/>
      <c r="Z865" s="1"/>
      <c r="AD865" s="1"/>
      <c r="AH865" s="1"/>
      <c r="AL865" s="1"/>
      <c r="AP865" s="1"/>
      <c r="AT865" s="16"/>
      <c r="AX865" s="16"/>
    </row>
    <row r="866" spans="2:50" x14ac:dyDescent="0.25">
      <c r="B866" s="1"/>
      <c r="F866" s="1"/>
      <c r="J866" s="1"/>
      <c r="N866" s="1"/>
      <c r="R866" s="1"/>
      <c r="V866" s="1"/>
      <c r="Z866" s="1"/>
      <c r="AD866" s="1"/>
      <c r="AH866" s="1"/>
      <c r="AL866" s="1"/>
      <c r="AP866" s="1"/>
      <c r="AT866" s="16"/>
      <c r="AX866" s="16"/>
    </row>
    <row r="867" spans="2:50" x14ac:dyDescent="0.25">
      <c r="B867" s="1"/>
      <c r="F867" s="1"/>
      <c r="J867" s="1"/>
      <c r="N867" s="1"/>
      <c r="R867" s="1"/>
      <c r="V867" s="1"/>
      <c r="Z867" s="1"/>
      <c r="AD867" s="1"/>
      <c r="AH867" s="1"/>
      <c r="AL867" s="1"/>
      <c r="AP867" s="1"/>
      <c r="AT867" s="16"/>
      <c r="AX867" s="16"/>
    </row>
    <row r="868" spans="2:50" x14ac:dyDescent="0.25">
      <c r="B868" s="1"/>
      <c r="F868" s="1"/>
      <c r="J868" s="1"/>
      <c r="N868" s="1"/>
      <c r="R868" s="1"/>
      <c r="V868" s="1"/>
      <c r="Z868" s="1"/>
      <c r="AD868" s="1"/>
      <c r="AH868" s="1"/>
      <c r="AL868" s="1"/>
      <c r="AP868" s="1"/>
      <c r="AT868" s="16"/>
      <c r="AX868" s="16"/>
    </row>
    <row r="869" spans="2:50" x14ac:dyDescent="0.25">
      <c r="B869" s="1"/>
      <c r="F869" s="1"/>
      <c r="J869" s="1"/>
      <c r="N869" s="1"/>
      <c r="R869" s="1"/>
      <c r="V869" s="1"/>
      <c r="Z869" s="1"/>
      <c r="AD869" s="1"/>
      <c r="AH869" s="1"/>
      <c r="AL869" s="1"/>
      <c r="AP869" s="1"/>
      <c r="AT869" s="16"/>
      <c r="AX869" s="16"/>
    </row>
    <row r="870" spans="2:50" x14ac:dyDescent="0.25">
      <c r="B870" s="1"/>
      <c r="F870" s="1"/>
      <c r="J870" s="1"/>
      <c r="N870" s="1"/>
      <c r="R870" s="1"/>
      <c r="V870" s="1"/>
      <c r="Z870" s="1"/>
      <c r="AD870" s="1"/>
      <c r="AH870" s="1"/>
      <c r="AL870" s="1"/>
      <c r="AP870" s="1"/>
      <c r="AT870" s="16"/>
      <c r="AX870" s="16"/>
    </row>
    <row r="871" spans="2:50" x14ac:dyDescent="0.25">
      <c r="B871" s="1"/>
      <c r="F871" s="1"/>
      <c r="J871" s="1"/>
      <c r="N871" s="1"/>
      <c r="R871" s="1"/>
      <c r="V871" s="1"/>
      <c r="Z871" s="1"/>
      <c r="AD871" s="1"/>
      <c r="AH871" s="1"/>
      <c r="AL871" s="1"/>
      <c r="AP871" s="1"/>
      <c r="AT871" s="16"/>
      <c r="AX871" s="16"/>
    </row>
    <row r="872" spans="2:50" x14ac:dyDescent="0.25">
      <c r="B872" s="1"/>
      <c r="F872" s="1"/>
      <c r="J872" s="1"/>
      <c r="N872" s="1"/>
      <c r="R872" s="1"/>
      <c r="V872" s="1"/>
      <c r="Z872" s="1"/>
      <c r="AD872" s="1"/>
      <c r="AH872" s="1"/>
      <c r="AL872" s="1"/>
      <c r="AP872" s="1"/>
      <c r="AT872" s="16"/>
      <c r="AX872" s="16"/>
    </row>
    <row r="873" spans="2:50" x14ac:dyDescent="0.25">
      <c r="B873" s="1"/>
      <c r="F873" s="1"/>
      <c r="J873" s="1"/>
      <c r="N873" s="1"/>
      <c r="R873" s="1"/>
      <c r="V873" s="1"/>
      <c r="Z873" s="1"/>
      <c r="AD873" s="1"/>
      <c r="AH873" s="1"/>
      <c r="AL873" s="1"/>
      <c r="AP873" s="1"/>
      <c r="AT873" s="16"/>
      <c r="AX873" s="16"/>
    </row>
    <row r="874" spans="2:50" x14ac:dyDescent="0.25">
      <c r="B874" s="1"/>
      <c r="F874" s="1"/>
      <c r="J874" s="1"/>
      <c r="N874" s="1"/>
      <c r="R874" s="1"/>
      <c r="V874" s="1"/>
      <c r="Z874" s="1"/>
      <c r="AD874" s="1"/>
      <c r="AH874" s="1"/>
      <c r="AL874" s="1"/>
      <c r="AP874" s="1"/>
      <c r="AT874" s="16"/>
      <c r="AX874" s="16"/>
    </row>
    <row r="875" spans="2:50" x14ac:dyDescent="0.25">
      <c r="B875" s="1"/>
      <c r="F875" s="1"/>
      <c r="J875" s="1"/>
      <c r="N875" s="1"/>
      <c r="R875" s="1"/>
      <c r="V875" s="1"/>
      <c r="Z875" s="1"/>
      <c r="AD875" s="1"/>
      <c r="AH875" s="1"/>
      <c r="AL875" s="1"/>
      <c r="AP875" s="1"/>
      <c r="AT875" s="16"/>
      <c r="AX875" s="16"/>
    </row>
    <row r="876" spans="2:50" x14ac:dyDescent="0.25">
      <c r="B876" s="1"/>
      <c r="F876" s="1"/>
      <c r="J876" s="1"/>
      <c r="N876" s="1"/>
      <c r="R876" s="1"/>
      <c r="V876" s="1"/>
      <c r="Z876" s="1"/>
      <c r="AD876" s="1"/>
      <c r="AH876" s="1"/>
      <c r="AL876" s="1"/>
      <c r="AP876" s="1"/>
      <c r="AT876" s="16"/>
      <c r="AX876" s="16"/>
    </row>
    <row r="877" spans="2:50" x14ac:dyDescent="0.25">
      <c r="B877" s="1"/>
      <c r="F877" s="1"/>
      <c r="J877" s="1"/>
      <c r="N877" s="1"/>
      <c r="R877" s="1"/>
      <c r="V877" s="1"/>
      <c r="Z877" s="1"/>
      <c r="AD877" s="1"/>
      <c r="AH877" s="1"/>
      <c r="AL877" s="1"/>
      <c r="AP877" s="1"/>
      <c r="AT877" s="16"/>
      <c r="AX877" s="16"/>
    </row>
    <row r="878" spans="2:50" x14ac:dyDescent="0.25">
      <c r="B878" s="1"/>
      <c r="F878" s="1"/>
      <c r="J878" s="1"/>
      <c r="N878" s="1"/>
      <c r="R878" s="1"/>
      <c r="V878" s="1"/>
      <c r="Z878" s="1"/>
      <c r="AD878" s="1"/>
      <c r="AH878" s="1"/>
      <c r="AL878" s="1"/>
      <c r="AP878" s="1"/>
      <c r="AT878" s="16"/>
      <c r="AX878" s="16"/>
    </row>
    <row r="879" spans="2:50" x14ac:dyDescent="0.25">
      <c r="B879" s="1"/>
      <c r="F879" s="1"/>
      <c r="J879" s="1"/>
      <c r="N879" s="1"/>
      <c r="R879" s="1"/>
      <c r="V879" s="1"/>
      <c r="Z879" s="1"/>
      <c r="AD879" s="1"/>
      <c r="AH879" s="1"/>
      <c r="AL879" s="1"/>
      <c r="AP879" s="1"/>
      <c r="AT879" s="16"/>
      <c r="AX879" s="16"/>
    </row>
    <row r="880" spans="2:50" x14ac:dyDescent="0.25">
      <c r="B880" s="1"/>
      <c r="F880" s="1"/>
      <c r="J880" s="1"/>
      <c r="N880" s="1"/>
      <c r="R880" s="1"/>
      <c r="V880" s="1"/>
      <c r="Z880" s="1"/>
      <c r="AD880" s="1"/>
      <c r="AH880" s="1"/>
      <c r="AL880" s="1"/>
      <c r="AP880" s="1"/>
      <c r="AT880" s="16"/>
      <c r="AX880" s="16"/>
    </row>
    <row r="881" spans="2:50" x14ac:dyDescent="0.25">
      <c r="B881" s="1"/>
      <c r="F881" s="1"/>
      <c r="J881" s="1"/>
      <c r="N881" s="1"/>
      <c r="R881" s="1"/>
      <c r="V881" s="1"/>
      <c r="Z881" s="1"/>
      <c r="AD881" s="1"/>
      <c r="AH881" s="1"/>
      <c r="AL881" s="1"/>
      <c r="AP881" s="1"/>
      <c r="AT881" s="16"/>
      <c r="AX881" s="16"/>
    </row>
    <row r="882" spans="2:50" x14ac:dyDescent="0.25">
      <c r="B882" s="1"/>
      <c r="F882" s="1"/>
      <c r="J882" s="1"/>
      <c r="N882" s="1"/>
      <c r="R882" s="1"/>
      <c r="V882" s="1"/>
      <c r="Z882" s="1"/>
      <c r="AD882" s="1"/>
      <c r="AH882" s="1"/>
      <c r="AL882" s="1"/>
      <c r="AP882" s="1"/>
      <c r="AT882" s="16"/>
      <c r="AX882" s="16"/>
    </row>
    <row r="883" spans="2:50" x14ac:dyDescent="0.25">
      <c r="B883" s="1"/>
      <c r="F883" s="1"/>
      <c r="J883" s="1"/>
      <c r="N883" s="1"/>
      <c r="R883" s="1"/>
      <c r="V883" s="1"/>
      <c r="Z883" s="1"/>
      <c r="AD883" s="1"/>
      <c r="AH883" s="1"/>
      <c r="AL883" s="1"/>
      <c r="AP883" s="1"/>
      <c r="AT883" s="16"/>
      <c r="AX883" s="16"/>
    </row>
    <row r="884" spans="2:50" x14ac:dyDescent="0.25">
      <c r="B884" s="1"/>
      <c r="F884" s="1"/>
      <c r="J884" s="1"/>
      <c r="N884" s="1"/>
      <c r="R884" s="1"/>
      <c r="V884" s="1"/>
      <c r="Z884" s="1"/>
      <c r="AD884" s="1"/>
      <c r="AH884" s="1"/>
      <c r="AL884" s="1"/>
      <c r="AP884" s="1"/>
      <c r="AT884" s="16"/>
      <c r="AX884" s="16"/>
    </row>
    <row r="885" spans="2:50" x14ac:dyDescent="0.25">
      <c r="B885" s="1"/>
      <c r="F885" s="1"/>
      <c r="J885" s="1"/>
      <c r="N885" s="1"/>
      <c r="R885" s="1"/>
      <c r="V885" s="1"/>
      <c r="Z885" s="1"/>
      <c r="AD885" s="1"/>
      <c r="AH885" s="1"/>
      <c r="AL885" s="1"/>
      <c r="AP885" s="1"/>
      <c r="AT885" s="16"/>
      <c r="AX885" s="16"/>
    </row>
    <row r="886" spans="2:50" x14ac:dyDescent="0.25">
      <c r="B886" s="1"/>
      <c r="F886" s="1"/>
      <c r="J886" s="1"/>
      <c r="N886" s="1"/>
      <c r="R886" s="1"/>
      <c r="V886" s="1"/>
      <c r="Z886" s="1"/>
      <c r="AD886" s="1"/>
      <c r="AH886" s="1"/>
      <c r="AL886" s="1"/>
      <c r="AP886" s="1"/>
      <c r="AT886" s="16"/>
      <c r="AX886" s="16"/>
    </row>
    <row r="887" spans="2:50" x14ac:dyDescent="0.25">
      <c r="B887" s="1"/>
      <c r="F887" s="1"/>
      <c r="J887" s="1"/>
      <c r="N887" s="1"/>
      <c r="R887" s="1"/>
      <c r="V887" s="1"/>
      <c r="Z887" s="1"/>
      <c r="AD887" s="1"/>
      <c r="AH887" s="1"/>
      <c r="AL887" s="1"/>
      <c r="AP887" s="1"/>
      <c r="AT887" s="16"/>
      <c r="AX887" s="16"/>
    </row>
    <row r="888" spans="2:50" x14ac:dyDescent="0.25">
      <c r="B888" s="1"/>
      <c r="F888" s="1"/>
      <c r="J888" s="1"/>
      <c r="N888" s="1"/>
      <c r="R888" s="1"/>
      <c r="V888" s="1"/>
      <c r="Z888" s="1"/>
      <c r="AD888" s="1"/>
      <c r="AH888" s="1"/>
      <c r="AL888" s="1"/>
      <c r="AP888" s="1"/>
      <c r="AT888" s="16"/>
      <c r="AX888" s="16"/>
    </row>
    <row r="889" spans="2:50" x14ac:dyDescent="0.25">
      <c r="B889" s="1"/>
      <c r="F889" s="1"/>
      <c r="J889" s="1"/>
      <c r="N889" s="1"/>
      <c r="R889" s="1"/>
      <c r="V889" s="1"/>
      <c r="Z889" s="1"/>
      <c r="AD889" s="1"/>
      <c r="AH889" s="1"/>
      <c r="AL889" s="1"/>
      <c r="AP889" s="1"/>
      <c r="AT889" s="16"/>
      <c r="AX889" s="16"/>
    </row>
    <row r="890" spans="2:50" x14ac:dyDescent="0.25">
      <c r="B890" s="1"/>
      <c r="F890" s="1"/>
      <c r="J890" s="1"/>
      <c r="N890" s="1"/>
      <c r="R890" s="1"/>
      <c r="V890" s="1"/>
      <c r="Z890" s="1"/>
      <c r="AD890" s="1"/>
      <c r="AH890" s="1"/>
      <c r="AL890" s="1"/>
      <c r="AP890" s="1"/>
      <c r="AT890" s="16"/>
      <c r="AX890" s="16"/>
    </row>
    <row r="891" spans="2:50" x14ac:dyDescent="0.25">
      <c r="B891" s="1"/>
      <c r="F891" s="1"/>
      <c r="J891" s="1"/>
      <c r="N891" s="1"/>
      <c r="R891" s="1"/>
      <c r="V891" s="1"/>
      <c r="Z891" s="1"/>
      <c r="AD891" s="1"/>
      <c r="AH891" s="1"/>
      <c r="AL891" s="1"/>
      <c r="AP891" s="1"/>
      <c r="AT891" s="16"/>
      <c r="AX891" s="16"/>
    </row>
    <row r="892" spans="2:50" x14ac:dyDescent="0.25">
      <c r="B892" s="1"/>
      <c r="F892" s="1"/>
      <c r="J892" s="1"/>
      <c r="N892" s="1"/>
      <c r="R892" s="1"/>
      <c r="V892" s="1"/>
      <c r="Z892" s="1"/>
      <c r="AD892" s="1"/>
      <c r="AH892" s="1"/>
      <c r="AL892" s="1"/>
      <c r="AP892" s="1"/>
      <c r="AT892" s="16"/>
      <c r="AX892" s="16"/>
    </row>
    <row r="893" spans="2:50" x14ac:dyDescent="0.25">
      <c r="B893" s="1"/>
      <c r="F893" s="1"/>
      <c r="J893" s="1"/>
      <c r="N893" s="1"/>
      <c r="R893" s="1"/>
      <c r="V893" s="1"/>
      <c r="Z893" s="1"/>
      <c r="AD893" s="1"/>
      <c r="AH893" s="1"/>
      <c r="AL893" s="1"/>
      <c r="AP893" s="1"/>
      <c r="AT893" s="16"/>
      <c r="AX893" s="16"/>
    </row>
    <row r="894" spans="2:50" x14ac:dyDescent="0.25">
      <c r="B894" s="1"/>
      <c r="F894" s="1"/>
      <c r="J894" s="1"/>
      <c r="N894" s="1"/>
      <c r="R894" s="1"/>
      <c r="V894" s="1"/>
      <c r="Z894" s="1"/>
      <c r="AD894" s="1"/>
      <c r="AH894" s="1"/>
      <c r="AL894" s="1"/>
      <c r="AP894" s="1"/>
      <c r="AT894" s="16"/>
      <c r="AX894" s="16"/>
    </row>
    <row r="895" spans="2:50" x14ac:dyDescent="0.25">
      <c r="B895" s="1"/>
      <c r="F895" s="1"/>
      <c r="J895" s="1"/>
      <c r="N895" s="1"/>
      <c r="R895" s="1"/>
      <c r="V895" s="1"/>
      <c r="Z895" s="1"/>
      <c r="AD895" s="1"/>
      <c r="AH895" s="1"/>
      <c r="AL895" s="1"/>
      <c r="AP895" s="1"/>
      <c r="AT895" s="16"/>
      <c r="AX895" s="16"/>
    </row>
    <row r="896" spans="2:50" x14ac:dyDescent="0.25">
      <c r="B896" s="1"/>
      <c r="F896" s="1"/>
      <c r="J896" s="1"/>
      <c r="N896" s="1"/>
      <c r="R896" s="1"/>
      <c r="V896" s="1"/>
      <c r="Z896" s="1"/>
      <c r="AD896" s="1"/>
      <c r="AH896" s="1"/>
      <c r="AL896" s="1"/>
      <c r="AP896" s="1"/>
      <c r="AT896" s="16"/>
      <c r="AX896" s="16"/>
    </row>
    <row r="897" spans="2:50" x14ac:dyDescent="0.25">
      <c r="B897" s="1"/>
      <c r="F897" s="1"/>
      <c r="J897" s="1"/>
      <c r="N897" s="1"/>
      <c r="R897" s="1"/>
      <c r="V897" s="1"/>
      <c r="Z897" s="1"/>
      <c r="AD897" s="1"/>
      <c r="AH897" s="1"/>
      <c r="AL897" s="1"/>
      <c r="AP897" s="1"/>
      <c r="AT897" s="16"/>
      <c r="AX897" s="16"/>
    </row>
    <row r="898" spans="2:50" x14ac:dyDescent="0.25">
      <c r="B898" s="1"/>
      <c r="F898" s="1"/>
      <c r="J898" s="1"/>
      <c r="N898" s="1"/>
      <c r="R898" s="1"/>
      <c r="V898" s="1"/>
      <c r="Z898" s="1"/>
      <c r="AD898" s="1"/>
      <c r="AH898" s="1"/>
      <c r="AL898" s="1"/>
      <c r="AP898" s="1"/>
      <c r="AT898" s="16"/>
      <c r="AX898" s="16"/>
    </row>
    <row r="899" spans="2:50" x14ac:dyDescent="0.25">
      <c r="B899" s="1"/>
      <c r="F899" s="1"/>
      <c r="J899" s="1"/>
      <c r="N899" s="1"/>
      <c r="R899" s="1"/>
      <c r="V899" s="1"/>
      <c r="Z899" s="1"/>
      <c r="AD899" s="1"/>
      <c r="AH899" s="1"/>
      <c r="AL899" s="1"/>
      <c r="AP899" s="1"/>
      <c r="AT899" s="16"/>
      <c r="AX899" s="16"/>
    </row>
    <row r="900" spans="2:50" x14ac:dyDescent="0.25">
      <c r="B900" s="1"/>
      <c r="F900" s="1"/>
      <c r="J900" s="1"/>
      <c r="N900" s="1"/>
      <c r="R900" s="1"/>
      <c r="V900" s="1"/>
      <c r="Z900" s="1"/>
      <c r="AD900" s="1"/>
      <c r="AH900" s="1"/>
      <c r="AL900" s="1"/>
      <c r="AP900" s="1"/>
      <c r="AT900" s="16"/>
      <c r="AX900" s="16"/>
    </row>
    <row r="901" spans="2:50" x14ac:dyDescent="0.25">
      <c r="B901" s="1"/>
      <c r="F901" s="1"/>
      <c r="J901" s="1"/>
      <c r="N901" s="1"/>
      <c r="R901" s="1"/>
      <c r="V901" s="1"/>
      <c r="Z901" s="1"/>
      <c r="AD901" s="1"/>
      <c r="AH901" s="1"/>
      <c r="AL901" s="1"/>
      <c r="AP901" s="1"/>
      <c r="AT901" s="16"/>
      <c r="AX901" s="16"/>
    </row>
    <row r="902" spans="2:50" x14ac:dyDescent="0.25">
      <c r="B902" s="1"/>
      <c r="F902" s="1"/>
      <c r="J902" s="1"/>
      <c r="N902" s="1"/>
      <c r="R902" s="1"/>
      <c r="V902" s="1"/>
      <c r="Z902" s="1"/>
      <c r="AD902" s="1"/>
      <c r="AH902" s="1"/>
      <c r="AL902" s="1"/>
      <c r="AP902" s="1"/>
      <c r="AT902" s="16"/>
      <c r="AX902" s="16"/>
    </row>
    <row r="903" spans="2:50" x14ac:dyDescent="0.25">
      <c r="B903" s="1"/>
      <c r="F903" s="1"/>
      <c r="J903" s="1"/>
      <c r="N903" s="1"/>
      <c r="R903" s="1"/>
      <c r="V903" s="1"/>
      <c r="Z903" s="1"/>
      <c r="AD903" s="1"/>
      <c r="AH903" s="1"/>
      <c r="AL903" s="1"/>
      <c r="AP903" s="1"/>
      <c r="AT903" s="16"/>
      <c r="AX903" s="16"/>
    </row>
    <row r="904" spans="2:50" x14ac:dyDescent="0.25">
      <c r="B904" s="1"/>
      <c r="F904" s="1"/>
      <c r="J904" s="1"/>
      <c r="N904" s="1"/>
      <c r="R904" s="1"/>
      <c r="V904" s="1"/>
      <c r="Z904" s="1"/>
      <c r="AD904" s="1"/>
      <c r="AH904" s="1"/>
      <c r="AL904" s="1"/>
      <c r="AP904" s="1"/>
      <c r="AT904" s="16"/>
      <c r="AX904" s="16"/>
    </row>
    <row r="905" spans="2:50" x14ac:dyDescent="0.25">
      <c r="B905" s="1"/>
      <c r="F905" s="1"/>
      <c r="J905" s="1"/>
      <c r="N905" s="1"/>
      <c r="R905" s="1"/>
      <c r="V905" s="1"/>
      <c r="Z905" s="1"/>
      <c r="AD905" s="1"/>
      <c r="AH905" s="1"/>
      <c r="AL905" s="1"/>
      <c r="AP905" s="1"/>
      <c r="AT905" s="16"/>
      <c r="AX905" s="16"/>
    </row>
    <row r="906" spans="2:50" x14ac:dyDescent="0.25">
      <c r="B906" s="1"/>
      <c r="F906" s="1"/>
      <c r="J906" s="1"/>
      <c r="N906" s="1"/>
      <c r="R906" s="1"/>
      <c r="V906" s="1"/>
      <c r="Z906" s="1"/>
      <c r="AD906" s="1"/>
      <c r="AH906" s="1"/>
      <c r="AL906" s="1"/>
      <c r="AP906" s="1"/>
      <c r="AT906" s="16"/>
      <c r="AX906" s="16"/>
    </row>
    <row r="907" spans="2:50" x14ac:dyDescent="0.25">
      <c r="B907" s="1"/>
      <c r="F907" s="1"/>
      <c r="J907" s="1"/>
      <c r="N907" s="1"/>
      <c r="R907" s="1"/>
      <c r="V907" s="1"/>
      <c r="Z907" s="1"/>
      <c r="AD907" s="1"/>
      <c r="AH907" s="1"/>
      <c r="AL907" s="1"/>
      <c r="AP907" s="1"/>
      <c r="AT907" s="16"/>
      <c r="AX907" s="16"/>
    </row>
    <row r="908" spans="2:50" x14ac:dyDescent="0.25">
      <c r="B908" s="1"/>
      <c r="F908" s="1"/>
      <c r="J908" s="1"/>
      <c r="N908" s="1"/>
      <c r="R908" s="1"/>
      <c r="V908" s="1"/>
      <c r="Z908" s="1"/>
      <c r="AD908" s="1"/>
      <c r="AH908" s="1"/>
      <c r="AL908" s="1"/>
      <c r="AP908" s="1"/>
      <c r="AT908" s="16"/>
      <c r="AX908" s="16"/>
    </row>
    <row r="909" spans="2:50" x14ac:dyDescent="0.25">
      <c r="B909" s="1"/>
      <c r="F909" s="1"/>
      <c r="J909" s="1"/>
      <c r="N909" s="1"/>
      <c r="R909" s="1"/>
      <c r="V909" s="1"/>
      <c r="Z909" s="1"/>
      <c r="AD909" s="1"/>
      <c r="AH909" s="1"/>
      <c r="AL909" s="1"/>
      <c r="AP909" s="1"/>
      <c r="AT909" s="16"/>
      <c r="AX909" s="16"/>
    </row>
    <row r="910" spans="2:50" x14ac:dyDescent="0.25">
      <c r="B910" s="1"/>
      <c r="F910" s="1"/>
      <c r="J910" s="1"/>
      <c r="N910" s="1"/>
      <c r="R910" s="1"/>
      <c r="V910" s="1"/>
      <c r="Z910" s="1"/>
      <c r="AD910" s="1"/>
      <c r="AH910" s="1"/>
      <c r="AL910" s="1"/>
      <c r="AP910" s="1"/>
      <c r="AT910" s="16"/>
      <c r="AX910" s="16"/>
    </row>
    <row r="911" spans="2:50" x14ac:dyDescent="0.25">
      <c r="B911" s="1"/>
      <c r="F911" s="1"/>
      <c r="J911" s="1"/>
      <c r="N911" s="1"/>
      <c r="R911" s="1"/>
      <c r="V911" s="1"/>
      <c r="Z911" s="1"/>
      <c r="AD911" s="1"/>
      <c r="AH911" s="1"/>
      <c r="AL911" s="1"/>
      <c r="AP911" s="1"/>
      <c r="AT911" s="16"/>
      <c r="AX911" s="16"/>
    </row>
    <row r="912" spans="2:50" x14ac:dyDescent="0.25">
      <c r="B912" s="1"/>
      <c r="F912" s="1"/>
      <c r="J912" s="1"/>
      <c r="N912" s="1"/>
      <c r="R912" s="1"/>
      <c r="V912" s="1"/>
      <c r="Z912" s="1"/>
      <c r="AD912" s="1"/>
      <c r="AH912" s="1"/>
      <c r="AL912" s="1"/>
      <c r="AP912" s="1"/>
      <c r="AT912" s="16"/>
      <c r="AX912" s="16"/>
    </row>
    <row r="913" spans="2:50" x14ac:dyDescent="0.25">
      <c r="B913" s="1"/>
      <c r="F913" s="1"/>
      <c r="J913" s="1"/>
      <c r="N913" s="1"/>
      <c r="R913" s="1"/>
      <c r="V913" s="1"/>
      <c r="Z913" s="1"/>
      <c r="AD913" s="1"/>
      <c r="AH913" s="1"/>
      <c r="AL913" s="1"/>
      <c r="AP913" s="1"/>
      <c r="AT913" s="16"/>
      <c r="AX913" s="16"/>
    </row>
    <row r="914" spans="2:50" x14ac:dyDescent="0.25">
      <c r="B914" s="1"/>
      <c r="F914" s="1"/>
      <c r="J914" s="1"/>
      <c r="N914" s="1"/>
      <c r="R914" s="1"/>
      <c r="V914" s="1"/>
      <c r="Z914" s="1"/>
      <c r="AD914" s="1"/>
      <c r="AH914" s="1"/>
      <c r="AL914" s="1"/>
      <c r="AP914" s="1"/>
      <c r="AT914" s="16"/>
      <c r="AX914" s="16"/>
    </row>
    <row r="915" spans="2:50" x14ac:dyDescent="0.25">
      <c r="B915" s="1"/>
      <c r="F915" s="1"/>
      <c r="J915" s="1"/>
      <c r="N915" s="1"/>
      <c r="R915" s="1"/>
      <c r="V915" s="1"/>
      <c r="Z915" s="1"/>
      <c r="AD915" s="1"/>
      <c r="AH915" s="1"/>
      <c r="AL915" s="1"/>
      <c r="AP915" s="1"/>
      <c r="AT915" s="16"/>
      <c r="AX915" s="16"/>
    </row>
    <row r="916" spans="2:50" x14ac:dyDescent="0.25">
      <c r="B916" s="1"/>
      <c r="F916" s="1"/>
      <c r="J916" s="1"/>
      <c r="N916" s="1"/>
      <c r="R916" s="1"/>
      <c r="V916" s="1"/>
      <c r="Z916" s="1"/>
      <c r="AD916" s="1"/>
      <c r="AH916" s="1"/>
      <c r="AL916" s="1"/>
      <c r="AP916" s="1"/>
      <c r="AT916" s="16"/>
      <c r="AX916" s="16"/>
    </row>
    <row r="917" spans="2:50" x14ac:dyDescent="0.25">
      <c r="B917" s="1"/>
      <c r="F917" s="1"/>
      <c r="J917" s="1"/>
      <c r="N917" s="1"/>
      <c r="R917" s="1"/>
      <c r="V917" s="1"/>
      <c r="Z917" s="1"/>
      <c r="AD917" s="1"/>
      <c r="AH917" s="1"/>
      <c r="AL917" s="1"/>
      <c r="AP917" s="1"/>
      <c r="AT917" s="16"/>
      <c r="AX917" s="16"/>
    </row>
    <row r="918" spans="2:50" x14ac:dyDescent="0.25">
      <c r="B918" s="1"/>
      <c r="F918" s="1"/>
      <c r="J918" s="1"/>
      <c r="N918" s="1"/>
      <c r="R918" s="1"/>
      <c r="V918" s="1"/>
      <c r="Z918" s="1"/>
      <c r="AD918" s="1"/>
      <c r="AH918" s="1"/>
      <c r="AL918" s="1"/>
      <c r="AP918" s="1"/>
      <c r="AT918" s="16"/>
      <c r="AX918" s="16"/>
    </row>
    <row r="919" spans="2:50" x14ac:dyDescent="0.25">
      <c r="B919" s="1"/>
      <c r="F919" s="1"/>
      <c r="J919" s="1"/>
      <c r="N919" s="1"/>
      <c r="R919" s="1"/>
      <c r="V919" s="1"/>
      <c r="Z919" s="1"/>
      <c r="AD919" s="1"/>
      <c r="AH919" s="1"/>
      <c r="AL919" s="1"/>
      <c r="AP919" s="1"/>
      <c r="AT919" s="16"/>
      <c r="AX919" s="16"/>
    </row>
    <row r="920" spans="2:50" x14ac:dyDescent="0.25">
      <c r="B920" s="1"/>
      <c r="F920" s="1"/>
      <c r="J920" s="1"/>
      <c r="N920" s="1"/>
      <c r="R920" s="1"/>
      <c r="V920" s="1"/>
      <c r="Z920" s="1"/>
      <c r="AD920" s="1"/>
      <c r="AH920" s="1"/>
      <c r="AL920" s="1"/>
      <c r="AP920" s="1"/>
      <c r="AT920" s="16"/>
      <c r="AX920" s="16"/>
    </row>
    <row r="921" spans="2:50" x14ac:dyDescent="0.25">
      <c r="B921" s="1"/>
      <c r="F921" s="1"/>
      <c r="J921" s="1"/>
      <c r="N921" s="1"/>
      <c r="R921" s="1"/>
      <c r="V921" s="1"/>
      <c r="Z921" s="1"/>
      <c r="AD921" s="1"/>
      <c r="AH921" s="1"/>
      <c r="AL921" s="1"/>
      <c r="AP921" s="1"/>
      <c r="AT921" s="16"/>
      <c r="AX921" s="16"/>
    </row>
    <row r="922" spans="2:50" x14ac:dyDescent="0.25">
      <c r="B922" s="1"/>
      <c r="F922" s="1"/>
      <c r="J922" s="1"/>
      <c r="N922" s="1"/>
      <c r="R922" s="1"/>
      <c r="V922" s="1"/>
      <c r="Z922" s="1"/>
      <c r="AD922" s="1"/>
      <c r="AH922" s="1"/>
      <c r="AL922" s="1"/>
      <c r="AP922" s="1"/>
      <c r="AT922" s="16"/>
      <c r="AX922" s="16"/>
    </row>
    <row r="923" spans="2:50" x14ac:dyDescent="0.25">
      <c r="B923" s="1"/>
      <c r="F923" s="1"/>
      <c r="J923" s="1"/>
      <c r="N923" s="1"/>
      <c r="R923" s="1"/>
      <c r="V923" s="1"/>
      <c r="Z923" s="1"/>
      <c r="AD923" s="1"/>
      <c r="AH923" s="1"/>
      <c r="AL923" s="1"/>
      <c r="AP923" s="1"/>
      <c r="AT923" s="16"/>
      <c r="AX923" s="16"/>
    </row>
    <row r="924" spans="2:50" x14ac:dyDescent="0.25">
      <c r="B924" s="1"/>
      <c r="F924" s="1"/>
      <c r="J924" s="1"/>
      <c r="N924" s="1"/>
      <c r="R924" s="1"/>
      <c r="V924" s="1"/>
      <c r="Z924" s="1"/>
      <c r="AD924" s="1"/>
      <c r="AH924" s="1"/>
      <c r="AL924" s="1"/>
      <c r="AP924" s="1"/>
      <c r="AT924" s="16"/>
      <c r="AX924" s="16"/>
    </row>
    <row r="925" spans="2:50" x14ac:dyDescent="0.25">
      <c r="B925" s="1"/>
      <c r="F925" s="1"/>
      <c r="J925" s="1"/>
      <c r="N925" s="1"/>
      <c r="R925" s="1"/>
      <c r="V925" s="1"/>
      <c r="Z925" s="1"/>
      <c r="AD925" s="1"/>
      <c r="AH925" s="1"/>
      <c r="AL925" s="1"/>
      <c r="AP925" s="1"/>
      <c r="AT925" s="16"/>
      <c r="AX925" s="16"/>
    </row>
    <row r="926" spans="2:50" x14ac:dyDescent="0.25">
      <c r="B926" s="1"/>
      <c r="F926" s="1"/>
      <c r="J926" s="1"/>
      <c r="N926" s="1"/>
      <c r="R926" s="1"/>
      <c r="V926" s="1"/>
      <c r="Z926" s="1"/>
      <c r="AD926" s="1"/>
      <c r="AH926" s="1"/>
      <c r="AL926" s="1"/>
      <c r="AP926" s="1"/>
      <c r="AT926" s="16"/>
      <c r="AX926" s="16"/>
    </row>
    <row r="927" spans="2:50" x14ac:dyDescent="0.25">
      <c r="B927" s="1"/>
      <c r="F927" s="1"/>
      <c r="J927" s="1"/>
      <c r="N927" s="1"/>
      <c r="R927" s="1"/>
      <c r="V927" s="1"/>
      <c r="Z927" s="1"/>
      <c r="AD927" s="1"/>
      <c r="AH927" s="1"/>
      <c r="AL927" s="1"/>
      <c r="AP927" s="1"/>
      <c r="AT927" s="16"/>
      <c r="AX927" s="16"/>
    </row>
    <row r="928" spans="2:50" x14ac:dyDescent="0.25">
      <c r="B928" s="1"/>
      <c r="F928" s="1"/>
      <c r="J928" s="1"/>
      <c r="N928" s="1"/>
      <c r="R928" s="1"/>
      <c r="V928" s="1"/>
      <c r="Z928" s="1"/>
      <c r="AD928" s="1"/>
      <c r="AH928" s="1"/>
      <c r="AL928" s="1"/>
      <c r="AP928" s="1"/>
      <c r="AT928" s="16"/>
      <c r="AX928" s="16"/>
    </row>
    <row r="929" spans="2:50" x14ac:dyDescent="0.25">
      <c r="B929" s="1"/>
      <c r="F929" s="1"/>
      <c r="J929" s="1"/>
      <c r="N929" s="1"/>
      <c r="R929" s="1"/>
      <c r="V929" s="1"/>
      <c r="Z929" s="1"/>
      <c r="AD929" s="1"/>
      <c r="AH929" s="1"/>
      <c r="AL929" s="1"/>
      <c r="AP929" s="1"/>
      <c r="AT929" s="16"/>
      <c r="AX929" s="16"/>
    </row>
    <row r="930" spans="2:50" x14ac:dyDescent="0.25">
      <c r="B930" s="1"/>
      <c r="F930" s="1"/>
      <c r="J930" s="1"/>
      <c r="N930" s="1"/>
      <c r="R930" s="1"/>
      <c r="V930" s="1"/>
      <c r="Z930" s="1"/>
      <c r="AD930" s="1"/>
      <c r="AH930" s="1"/>
      <c r="AL930" s="1"/>
      <c r="AP930" s="1"/>
      <c r="AT930" s="16"/>
      <c r="AX930" s="16"/>
    </row>
    <row r="931" spans="2:50" x14ac:dyDescent="0.25">
      <c r="B931" s="1"/>
      <c r="F931" s="1"/>
      <c r="J931" s="1"/>
      <c r="N931" s="1"/>
      <c r="R931" s="1"/>
      <c r="V931" s="1"/>
      <c r="Z931" s="1"/>
      <c r="AD931" s="1"/>
      <c r="AH931" s="1"/>
      <c r="AL931" s="1"/>
      <c r="AP931" s="1"/>
      <c r="AT931" s="16"/>
      <c r="AX931" s="16"/>
    </row>
    <row r="932" spans="2:50" x14ac:dyDescent="0.25">
      <c r="B932" s="1"/>
      <c r="F932" s="1"/>
      <c r="J932" s="1"/>
      <c r="N932" s="1"/>
      <c r="R932" s="1"/>
      <c r="V932" s="1"/>
      <c r="Z932" s="1"/>
      <c r="AD932" s="1"/>
      <c r="AH932" s="1"/>
      <c r="AL932" s="1"/>
      <c r="AP932" s="1"/>
      <c r="AT932" s="16"/>
      <c r="AX932" s="16"/>
    </row>
    <row r="933" spans="2:50" x14ac:dyDescent="0.25">
      <c r="B933" s="1"/>
      <c r="F933" s="1"/>
      <c r="J933" s="1"/>
      <c r="N933" s="1"/>
      <c r="R933" s="1"/>
      <c r="V933" s="1"/>
      <c r="Z933" s="1"/>
      <c r="AD933" s="1"/>
      <c r="AH933" s="1"/>
      <c r="AL933" s="1"/>
      <c r="AP933" s="1"/>
      <c r="AT933" s="16"/>
      <c r="AX933" s="16"/>
    </row>
    <row r="934" spans="2:50" x14ac:dyDescent="0.25">
      <c r="B934" s="1"/>
      <c r="F934" s="1"/>
      <c r="J934" s="1"/>
      <c r="N934" s="1"/>
      <c r="R934" s="1"/>
      <c r="V934" s="1"/>
      <c r="Z934" s="1"/>
      <c r="AD934" s="1"/>
      <c r="AH934" s="1"/>
      <c r="AL934" s="1"/>
      <c r="AP934" s="1"/>
      <c r="AT934" s="16"/>
      <c r="AX934" s="16"/>
    </row>
    <row r="935" spans="2:50" x14ac:dyDescent="0.25">
      <c r="B935" s="1"/>
      <c r="F935" s="1"/>
      <c r="J935" s="1"/>
      <c r="N935" s="1"/>
      <c r="R935" s="1"/>
      <c r="V935" s="1"/>
      <c r="Z935" s="1"/>
      <c r="AD935" s="1"/>
      <c r="AH935" s="1"/>
      <c r="AL935" s="1"/>
      <c r="AP935" s="1"/>
      <c r="AT935" s="16"/>
      <c r="AX935" s="16"/>
    </row>
    <row r="936" spans="2:50" x14ac:dyDescent="0.25">
      <c r="B936" s="1"/>
      <c r="F936" s="1"/>
      <c r="J936" s="1"/>
      <c r="N936" s="1"/>
      <c r="R936" s="1"/>
      <c r="V936" s="1"/>
      <c r="Z936" s="1"/>
      <c r="AD936" s="1"/>
      <c r="AH936" s="1"/>
      <c r="AL936" s="1"/>
      <c r="AP936" s="1"/>
      <c r="AT936" s="16"/>
      <c r="AX936" s="16"/>
    </row>
    <row r="937" spans="2:50" x14ac:dyDescent="0.25">
      <c r="B937" s="1"/>
      <c r="F937" s="1"/>
      <c r="J937" s="1"/>
      <c r="N937" s="1"/>
      <c r="R937" s="1"/>
      <c r="V937" s="1"/>
      <c r="Z937" s="1"/>
      <c r="AD937" s="1"/>
      <c r="AH937" s="1"/>
      <c r="AL937" s="1"/>
      <c r="AP937" s="1"/>
      <c r="AT937" s="16"/>
      <c r="AX937" s="16"/>
    </row>
    <row r="938" spans="2:50" x14ac:dyDescent="0.25">
      <c r="B938" s="1"/>
      <c r="F938" s="1"/>
      <c r="J938" s="1"/>
      <c r="N938" s="1"/>
      <c r="R938" s="1"/>
      <c r="V938" s="1"/>
      <c r="Z938" s="1"/>
      <c r="AD938" s="1"/>
      <c r="AH938" s="1"/>
      <c r="AL938" s="1"/>
      <c r="AP938" s="1"/>
      <c r="AT938" s="16"/>
      <c r="AX938" s="16"/>
    </row>
    <row r="939" spans="2:50" x14ac:dyDescent="0.25">
      <c r="B939" s="1"/>
      <c r="F939" s="1"/>
      <c r="J939" s="1"/>
      <c r="N939" s="1"/>
      <c r="R939" s="1"/>
      <c r="V939" s="1"/>
      <c r="Z939" s="1"/>
      <c r="AD939" s="1"/>
      <c r="AH939" s="1"/>
      <c r="AL939" s="1"/>
      <c r="AP939" s="1"/>
      <c r="AT939" s="16"/>
      <c r="AX939" s="16"/>
    </row>
    <row r="940" spans="2:50" x14ac:dyDescent="0.25">
      <c r="B940" s="1"/>
      <c r="F940" s="1"/>
      <c r="J940" s="1"/>
      <c r="N940" s="1"/>
      <c r="R940" s="1"/>
      <c r="V940" s="1"/>
      <c r="Z940" s="1"/>
      <c r="AD940" s="1"/>
      <c r="AH940" s="1"/>
      <c r="AL940" s="1"/>
      <c r="AP940" s="1"/>
      <c r="AT940" s="16"/>
      <c r="AX940" s="16"/>
    </row>
    <row r="941" spans="2:50" x14ac:dyDescent="0.25">
      <c r="B941" s="1"/>
      <c r="F941" s="1"/>
      <c r="J941" s="1"/>
      <c r="N941" s="1"/>
      <c r="R941" s="1"/>
      <c r="V941" s="1"/>
      <c r="Z941" s="1"/>
      <c r="AD941" s="1"/>
      <c r="AH941" s="1"/>
      <c r="AL941" s="1"/>
      <c r="AP941" s="1"/>
      <c r="AT941" s="16"/>
      <c r="AX941" s="16"/>
    </row>
    <row r="942" spans="2:50" x14ac:dyDescent="0.25">
      <c r="B942" s="1"/>
      <c r="F942" s="1"/>
      <c r="J942" s="1"/>
      <c r="N942" s="1"/>
      <c r="R942" s="1"/>
      <c r="V942" s="1"/>
      <c r="Z942" s="1"/>
      <c r="AD942" s="1"/>
      <c r="AH942" s="1"/>
      <c r="AL942" s="1"/>
      <c r="AP942" s="1"/>
      <c r="AT942" s="16"/>
      <c r="AX942" s="16"/>
    </row>
    <row r="943" spans="2:50" x14ac:dyDescent="0.25">
      <c r="B943" s="1"/>
      <c r="F943" s="1"/>
      <c r="J943" s="1"/>
      <c r="N943" s="1"/>
      <c r="R943" s="1"/>
      <c r="V943" s="1"/>
      <c r="Z943" s="1"/>
      <c r="AD943" s="1"/>
      <c r="AH943" s="1"/>
      <c r="AL943" s="1"/>
      <c r="AP943" s="1"/>
      <c r="AT943" s="16"/>
      <c r="AX943" s="16"/>
    </row>
    <row r="944" spans="2:50" x14ac:dyDescent="0.25">
      <c r="B944" s="1"/>
      <c r="F944" s="1"/>
      <c r="J944" s="1"/>
      <c r="N944" s="1"/>
      <c r="R944" s="1"/>
      <c r="V944" s="1"/>
      <c r="Z944" s="1"/>
      <c r="AD944" s="1"/>
      <c r="AH944" s="1"/>
      <c r="AL944" s="1"/>
      <c r="AP944" s="1"/>
      <c r="AT944" s="16"/>
      <c r="AX944" s="16"/>
    </row>
    <row r="945" spans="2:50" x14ac:dyDescent="0.25">
      <c r="B945" s="1"/>
      <c r="F945" s="1"/>
      <c r="J945" s="1"/>
      <c r="N945" s="1"/>
      <c r="R945" s="1"/>
      <c r="V945" s="1"/>
      <c r="Z945" s="1"/>
      <c r="AD945" s="1"/>
      <c r="AH945" s="1"/>
      <c r="AL945" s="1"/>
      <c r="AP945" s="1"/>
      <c r="AT945" s="16"/>
      <c r="AX945" s="16"/>
    </row>
    <row r="946" spans="2:50" x14ac:dyDescent="0.25">
      <c r="B946" s="1"/>
      <c r="F946" s="1"/>
      <c r="J946" s="1"/>
      <c r="N946" s="1"/>
      <c r="R946" s="1"/>
      <c r="V946" s="1"/>
      <c r="Z946" s="1"/>
      <c r="AD946" s="1"/>
      <c r="AH946" s="1"/>
      <c r="AL946" s="1"/>
      <c r="AP946" s="1"/>
      <c r="AT946" s="16"/>
      <c r="AX946" s="16"/>
    </row>
    <row r="947" spans="2:50" x14ac:dyDescent="0.25">
      <c r="B947" s="1"/>
      <c r="F947" s="1"/>
      <c r="J947" s="1"/>
      <c r="N947" s="1"/>
      <c r="R947" s="1"/>
      <c r="V947" s="1"/>
      <c r="Z947" s="1"/>
      <c r="AD947" s="1"/>
      <c r="AH947" s="1"/>
      <c r="AL947" s="1"/>
      <c r="AP947" s="1"/>
      <c r="AT947" s="16"/>
      <c r="AX947" s="16"/>
    </row>
    <row r="948" spans="2:50" x14ac:dyDescent="0.25">
      <c r="B948" s="1"/>
      <c r="F948" s="1"/>
      <c r="J948" s="1"/>
      <c r="N948" s="1"/>
      <c r="R948" s="1"/>
      <c r="V948" s="1"/>
      <c r="Z948" s="1"/>
      <c r="AD948" s="1"/>
      <c r="AH948" s="1"/>
      <c r="AL948" s="1"/>
      <c r="AP948" s="1"/>
      <c r="AT948" s="16"/>
      <c r="AX948" s="16"/>
    </row>
    <row r="949" spans="2:50" x14ac:dyDescent="0.25">
      <c r="B949" s="1"/>
      <c r="F949" s="1"/>
      <c r="J949" s="1"/>
      <c r="N949" s="1"/>
      <c r="R949" s="1"/>
      <c r="V949" s="1"/>
      <c r="Z949" s="1"/>
      <c r="AD949" s="1"/>
      <c r="AH949" s="1"/>
      <c r="AL949" s="1"/>
      <c r="AP949" s="1"/>
      <c r="AT949" s="16"/>
      <c r="AX949" s="16"/>
    </row>
    <row r="950" spans="2:50" x14ac:dyDescent="0.25">
      <c r="B950" s="1"/>
      <c r="F950" s="1"/>
      <c r="J950" s="1"/>
      <c r="N950" s="1"/>
      <c r="R950" s="1"/>
      <c r="V950" s="1"/>
      <c r="Z950" s="1"/>
      <c r="AD950" s="1"/>
      <c r="AH950" s="1"/>
      <c r="AL950" s="1"/>
      <c r="AP950" s="1"/>
      <c r="AT950" s="16"/>
      <c r="AX950" s="16"/>
    </row>
    <row r="951" spans="2:50" x14ac:dyDescent="0.25">
      <c r="B951" s="1"/>
      <c r="F951" s="1"/>
      <c r="J951" s="1"/>
      <c r="N951" s="1"/>
      <c r="R951" s="1"/>
      <c r="V951" s="1"/>
      <c r="Z951" s="1"/>
      <c r="AD951" s="1"/>
      <c r="AH951" s="1"/>
      <c r="AL951" s="1"/>
      <c r="AP951" s="1"/>
      <c r="AT951" s="16"/>
      <c r="AX951" s="16"/>
    </row>
    <row r="952" spans="2:50" x14ac:dyDescent="0.25">
      <c r="B952" s="1"/>
      <c r="F952" s="1"/>
      <c r="J952" s="1"/>
      <c r="N952" s="1"/>
      <c r="R952" s="1"/>
      <c r="V952" s="1"/>
      <c r="Z952" s="1"/>
      <c r="AD952" s="1"/>
      <c r="AH952" s="1"/>
      <c r="AL952" s="1"/>
      <c r="AP952" s="1"/>
      <c r="AT952" s="16"/>
      <c r="AX952" s="16"/>
    </row>
    <row r="953" spans="2:50" x14ac:dyDescent="0.25">
      <c r="B953" s="1"/>
      <c r="F953" s="1"/>
      <c r="J953" s="1"/>
      <c r="N953" s="1"/>
      <c r="R953" s="1"/>
      <c r="V953" s="1"/>
      <c r="Z953" s="1"/>
      <c r="AD953" s="1"/>
      <c r="AH953" s="1"/>
      <c r="AL953" s="1"/>
      <c r="AP953" s="1"/>
      <c r="AT953" s="16"/>
      <c r="AX953" s="16"/>
    </row>
    <row r="954" spans="2:50" x14ac:dyDescent="0.25">
      <c r="B954" s="1"/>
      <c r="F954" s="1"/>
      <c r="J954" s="1"/>
      <c r="N954" s="1"/>
      <c r="R954" s="1"/>
      <c r="V954" s="1"/>
      <c r="Z954" s="1"/>
      <c r="AD954" s="1"/>
      <c r="AH954" s="1"/>
      <c r="AL954" s="1"/>
      <c r="AP954" s="1"/>
      <c r="AT954" s="16"/>
      <c r="AX954" s="16"/>
    </row>
    <row r="955" spans="2:50" x14ac:dyDescent="0.25">
      <c r="B955" s="1"/>
      <c r="F955" s="1"/>
      <c r="J955" s="1"/>
      <c r="N955" s="1"/>
      <c r="R955" s="1"/>
      <c r="V955" s="1"/>
      <c r="Z955" s="1"/>
      <c r="AD955" s="1"/>
      <c r="AH955" s="1"/>
      <c r="AL955" s="1"/>
      <c r="AP955" s="1"/>
      <c r="AT955" s="16"/>
      <c r="AX955" s="16"/>
    </row>
    <row r="956" spans="2:50" x14ac:dyDescent="0.25">
      <c r="B956" s="1"/>
      <c r="F956" s="1"/>
      <c r="J956" s="1"/>
      <c r="N956" s="1"/>
      <c r="R956" s="1"/>
      <c r="V956" s="1"/>
      <c r="Z956" s="1"/>
      <c r="AD956" s="1"/>
      <c r="AH956" s="1"/>
      <c r="AL956" s="1"/>
      <c r="AP956" s="1"/>
      <c r="AT956" s="16"/>
      <c r="AX956" s="16"/>
    </row>
    <row r="957" spans="2:50" x14ac:dyDescent="0.25">
      <c r="B957" s="1"/>
      <c r="F957" s="1"/>
      <c r="J957" s="1"/>
      <c r="N957" s="1"/>
      <c r="R957" s="1"/>
      <c r="V957" s="1"/>
      <c r="Z957" s="1"/>
      <c r="AD957" s="1"/>
      <c r="AH957" s="1"/>
      <c r="AL957" s="1"/>
      <c r="AP957" s="1"/>
      <c r="AT957" s="16"/>
      <c r="AX957" s="16"/>
    </row>
    <row r="958" spans="2:50" x14ac:dyDescent="0.25">
      <c r="B958" s="1"/>
      <c r="F958" s="1"/>
      <c r="J958" s="1"/>
      <c r="N958" s="1"/>
      <c r="R958" s="1"/>
      <c r="V958" s="1"/>
      <c r="Z958" s="1"/>
      <c r="AD958" s="1"/>
      <c r="AH958" s="1"/>
      <c r="AL958" s="1"/>
      <c r="AP958" s="1"/>
      <c r="AT958" s="16"/>
      <c r="AX958" s="16"/>
    </row>
    <row r="959" spans="2:50" x14ac:dyDescent="0.25">
      <c r="B959" s="1"/>
      <c r="F959" s="1"/>
      <c r="J959" s="1"/>
      <c r="N959" s="1"/>
      <c r="R959" s="1"/>
      <c r="V959" s="1"/>
      <c r="Z959" s="1"/>
      <c r="AD959" s="1"/>
      <c r="AH959" s="1"/>
      <c r="AL959" s="1"/>
      <c r="AP959" s="1"/>
      <c r="AT959" s="16"/>
      <c r="AX959" s="16"/>
    </row>
    <row r="960" spans="2:50" x14ac:dyDescent="0.25">
      <c r="B960" s="1"/>
      <c r="F960" s="1"/>
      <c r="J960" s="1"/>
      <c r="N960" s="1"/>
      <c r="R960" s="1"/>
      <c r="V960" s="1"/>
      <c r="Z960" s="1"/>
      <c r="AD960" s="1"/>
      <c r="AH960" s="1"/>
      <c r="AL960" s="1"/>
      <c r="AP960" s="1"/>
      <c r="AT960" s="16"/>
      <c r="AX960" s="16"/>
    </row>
    <row r="961" spans="2:50" x14ac:dyDescent="0.25">
      <c r="B961" s="1"/>
      <c r="F961" s="1"/>
      <c r="J961" s="1"/>
      <c r="N961" s="1"/>
      <c r="R961" s="1"/>
      <c r="V961" s="1"/>
      <c r="Z961" s="1"/>
      <c r="AD961" s="1"/>
      <c r="AH961" s="1"/>
      <c r="AL961" s="1"/>
      <c r="AP961" s="1"/>
      <c r="AT961" s="16"/>
      <c r="AX961" s="16"/>
    </row>
    <row r="962" spans="2:50" x14ac:dyDescent="0.25">
      <c r="B962" s="1"/>
      <c r="F962" s="1"/>
      <c r="J962" s="1"/>
      <c r="N962" s="1"/>
      <c r="R962" s="1"/>
      <c r="V962" s="1"/>
      <c r="Z962" s="1"/>
      <c r="AD962" s="1"/>
      <c r="AH962" s="1"/>
      <c r="AL962" s="1"/>
      <c r="AP962" s="1"/>
      <c r="AT962" s="16"/>
      <c r="AX962" s="16"/>
    </row>
    <row r="963" spans="2:50" x14ac:dyDescent="0.25">
      <c r="B963" s="1"/>
      <c r="F963" s="1"/>
      <c r="J963" s="1"/>
      <c r="N963" s="1"/>
      <c r="R963" s="1"/>
      <c r="V963" s="1"/>
      <c r="Z963" s="1"/>
      <c r="AD963" s="1"/>
      <c r="AH963" s="1"/>
      <c r="AL963" s="1"/>
      <c r="AP963" s="1"/>
      <c r="AT963" s="16"/>
      <c r="AX963" s="16"/>
    </row>
    <row r="964" spans="2:50" x14ac:dyDescent="0.25">
      <c r="B964" s="1"/>
      <c r="F964" s="1"/>
      <c r="J964" s="1"/>
      <c r="N964" s="1"/>
      <c r="R964" s="1"/>
      <c r="V964" s="1"/>
      <c r="Z964" s="1"/>
      <c r="AD964" s="1"/>
      <c r="AH964" s="1"/>
      <c r="AL964" s="1"/>
      <c r="AP964" s="1"/>
      <c r="AT964" s="16"/>
      <c r="AX964" s="16"/>
    </row>
    <row r="965" spans="2:50" x14ac:dyDescent="0.25">
      <c r="B965" s="1"/>
      <c r="F965" s="1"/>
      <c r="J965" s="1"/>
      <c r="N965" s="1"/>
      <c r="R965" s="1"/>
      <c r="V965" s="1"/>
      <c r="Z965" s="1"/>
      <c r="AD965" s="1"/>
      <c r="AH965" s="1"/>
      <c r="AL965" s="1"/>
      <c r="AP965" s="1"/>
      <c r="AT965" s="16"/>
      <c r="AX965" s="16"/>
    </row>
    <row r="966" spans="2:50" x14ac:dyDescent="0.25">
      <c r="B966" s="1"/>
      <c r="F966" s="1"/>
      <c r="J966" s="1"/>
      <c r="N966" s="1"/>
      <c r="R966" s="1"/>
      <c r="V966" s="1"/>
      <c r="Z966" s="1"/>
      <c r="AD966" s="1"/>
      <c r="AH966" s="1"/>
      <c r="AL966" s="1"/>
      <c r="AP966" s="1"/>
      <c r="AT966" s="16"/>
      <c r="AX966" s="16"/>
    </row>
    <row r="967" spans="2:50" x14ac:dyDescent="0.25">
      <c r="B967" s="1"/>
      <c r="F967" s="1"/>
      <c r="J967" s="1"/>
      <c r="N967" s="1"/>
      <c r="R967" s="1"/>
      <c r="V967" s="1"/>
      <c r="Z967" s="1"/>
      <c r="AD967" s="1"/>
      <c r="AH967" s="1"/>
      <c r="AL967" s="1"/>
      <c r="AP967" s="1"/>
      <c r="AT967" s="16"/>
      <c r="AX967" s="16"/>
    </row>
    <row r="968" spans="2:50" x14ac:dyDescent="0.25">
      <c r="B968" s="1"/>
      <c r="F968" s="1"/>
      <c r="J968" s="1"/>
      <c r="N968" s="1"/>
      <c r="R968" s="1"/>
      <c r="V968" s="1"/>
      <c r="Z968" s="1"/>
      <c r="AD968" s="1"/>
      <c r="AH968" s="1"/>
      <c r="AL968" s="1"/>
      <c r="AP968" s="1"/>
      <c r="AT968" s="16"/>
      <c r="AX968" s="16"/>
    </row>
    <row r="969" spans="2:50" x14ac:dyDescent="0.25">
      <c r="B969" s="1"/>
      <c r="F969" s="1"/>
      <c r="J969" s="1"/>
      <c r="N969" s="1"/>
      <c r="R969" s="1"/>
      <c r="V969" s="1"/>
      <c r="Z969" s="1"/>
      <c r="AD969" s="1"/>
      <c r="AH969" s="1"/>
      <c r="AL969" s="1"/>
      <c r="AP969" s="1"/>
      <c r="AT969" s="16"/>
      <c r="AX969" s="16"/>
    </row>
    <row r="970" spans="2:50" x14ac:dyDescent="0.25">
      <c r="B970" s="1"/>
      <c r="F970" s="1"/>
      <c r="J970" s="1"/>
      <c r="N970" s="1"/>
      <c r="R970" s="1"/>
      <c r="V970" s="1"/>
      <c r="Z970" s="1"/>
      <c r="AD970" s="1"/>
      <c r="AH970" s="1"/>
      <c r="AL970" s="1"/>
      <c r="AP970" s="1"/>
      <c r="AT970" s="16"/>
      <c r="AX970" s="16"/>
    </row>
    <row r="971" spans="2:50" x14ac:dyDescent="0.25">
      <c r="B971" s="1"/>
      <c r="F971" s="1"/>
      <c r="J971" s="1"/>
      <c r="N971" s="1"/>
      <c r="R971" s="1"/>
      <c r="V971" s="1"/>
      <c r="Z971" s="1"/>
      <c r="AD971" s="1"/>
      <c r="AH971" s="1"/>
      <c r="AL971" s="1"/>
      <c r="AP971" s="1"/>
      <c r="AT971" s="16"/>
      <c r="AX971" s="16"/>
    </row>
    <row r="972" spans="2:50" x14ac:dyDescent="0.25">
      <c r="B972" s="1"/>
      <c r="F972" s="1"/>
      <c r="J972" s="1"/>
      <c r="N972" s="1"/>
      <c r="R972" s="1"/>
      <c r="V972" s="1"/>
      <c r="Z972" s="1"/>
      <c r="AD972" s="1"/>
      <c r="AH972" s="1"/>
      <c r="AL972" s="1"/>
      <c r="AP972" s="1"/>
      <c r="AT972" s="16"/>
      <c r="AX972" s="16"/>
    </row>
    <row r="973" spans="2:50" x14ac:dyDescent="0.25">
      <c r="B973" s="1"/>
      <c r="F973" s="1"/>
      <c r="J973" s="1"/>
      <c r="N973" s="1"/>
      <c r="R973" s="1"/>
      <c r="V973" s="1"/>
      <c r="Z973" s="1"/>
      <c r="AD973" s="1"/>
      <c r="AH973" s="1"/>
      <c r="AL973" s="1"/>
      <c r="AP973" s="1"/>
      <c r="AT973" s="16"/>
      <c r="AX973" s="16"/>
    </row>
    <row r="974" spans="2:50" x14ac:dyDescent="0.25">
      <c r="B974" s="1"/>
      <c r="F974" s="1"/>
      <c r="J974" s="1"/>
      <c r="N974" s="1"/>
      <c r="R974" s="1"/>
      <c r="V974" s="1"/>
      <c r="Z974" s="1"/>
      <c r="AD974" s="1"/>
      <c r="AH974" s="1"/>
      <c r="AL974" s="1"/>
      <c r="AP974" s="1"/>
      <c r="AT974" s="16"/>
      <c r="AX974" s="16"/>
    </row>
    <row r="975" spans="2:50" x14ac:dyDescent="0.25">
      <c r="B975" s="1"/>
      <c r="F975" s="1"/>
      <c r="J975" s="1"/>
      <c r="N975" s="1"/>
      <c r="R975" s="1"/>
      <c r="V975" s="1"/>
      <c r="Z975" s="1"/>
      <c r="AD975" s="1"/>
      <c r="AH975" s="1"/>
      <c r="AL975" s="1"/>
      <c r="AP975" s="1"/>
      <c r="AT975" s="16"/>
      <c r="AX975" s="16"/>
    </row>
    <row r="976" spans="2:50" x14ac:dyDescent="0.25">
      <c r="B976" s="1"/>
      <c r="F976" s="1"/>
      <c r="J976" s="1"/>
      <c r="N976" s="1"/>
      <c r="R976" s="1"/>
      <c r="V976" s="1"/>
      <c r="Z976" s="1"/>
      <c r="AD976" s="1"/>
      <c r="AH976" s="1"/>
      <c r="AL976" s="1"/>
      <c r="AP976" s="1"/>
      <c r="AT976" s="16"/>
      <c r="AX976" s="16"/>
    </row>
    <row r="977" spans="2:50" x14ac:dyDescent="0.25">
      <c r="B977" s="1"/>
      <c r="F977" s="1"/>
      <c r="J977" s="1"/>
      <c r="N977" s="1"/>
      <c r="R977" s="1"/>
      <c r="V977" s="1"/>
      <c r="Z977" s="1"/>
      <c r="AD977" s="1"/>
      <c r="AH977" s="1"/>
      <c r="AL977" s="1"/>
      <c r="AP977" s="1"/>
      <c r="AT977" s="16"/>
      <c r="AX977" s="16"/>
    </row>
    <row r="978" spans="2:50" x14ac:dyDescent="0.25">
      <c r="B978" s="1"/>
      <c r="F978" s="1"/>
      <c r="J978" s="1"/>
      <c r="N978" s="1"/>
      <c r="R978" s="1"/>
      <c r="V978" s="1"/>
      <c r="Z978" s="1"/>
      <c r="AD978" s="1"/>
      <c r="AH978" s="1"/>
      <c r="AL978" s="1"/>
      <c r="AP978" s="1"/>
      <c r="AT978" s="16"/>
      <c r="AX978" s="16"/>
    </row>
    <row r="979" spans="2:50" x14ac:dyDescent="0.25">
      <c r="B979" s="1"/>
      <c r="F979" s="1"/>
      <c r="J979" s="1"/>
      <c r="N979" s="1"/>
      <c r="R979" s="1"/>
      <c r="V979" s="1"/>
      <c r="Z979" s="1"/>
      <c r="AD979" s="1"/>
      <c r="AH979" s="1"/>
      <c r="AL979" s="1"/>
      <c r="AP979" s="1"/>
      <c r="AT979" s="16"/>
      <c r="AX979" s="16"/>
    </row>
    <row r="980" spans="2:50" x14ac:dyDescent="0.25">
      <c r="B980" s="1"/>
      <c r="F980" s="1"/>
      <c r="J980" s="1"/>
      <c r="N980" s="1"/>
      <c r="R980" s="1"/>
      <c r="V980" s="1"/>
      <c r="Z980" s="1"/>
      <c r="AD980" s="1"/>
      <c r="AH980" s="1"/>
      <c r="AL980" s="1"/>
      <c r="AP980" s="1"/>
      <c r="AT980" s="16"/>
      <c r="AX980" s="16"/>
    </row>
    <row r="981" spans="2:50" x14ac:dyDescent="0.25">
      <c r="B981" s="1"/>
      <c r="F981" s="1"/>
      <c r="J981" s="1"/>
      <c r="N981" s="1"/>
      <c r="R981" s="1"/>
      <c r="V981" s="1"/>
      <c r="Z981" s="1"/>
      <c r="AD981" s="1"/>
      <c r="AH981" s="1"/>
      <c r="AL981" s="1"/>
      <c r="AP981" s="1"/>
      <c r="AT981" s="16"/>
      <c r="AX981" s="16"/>
    </row>
    <row r="982" spans="2:50" x14ac:dyDescent="0.25">
      <c r="B982" s="1"/>
      <c r="F982" s="1"/>
      <c r="J982" s="1"/>
      <c r="N982" s="1"/>
      <c r="R982" s="1"/>
      <c r="V982" s="1"/>
      <c r="Z982" s="1"/>
      <c r="AD982" s="1"/>
      <c r="AH982" s="1"/>
      <c r="AL982" s="1"/>
      <c r="AP982" s="1"/>
      <c r="AT982" s="16"/>
      <c r="AX982" s="16"/>
    </row>
    <row r="983" spans="2:50" x14ac:dyDescent="0.25">
      <c r="B983" s="1"/>
      <c r="F983" s="1"/>
      <c r="J983" s="1"/>
      <c r="N983" s="1"/>
      <c r="R983" s="1"/>
      <c r="V983" s="1"/>
      <c r="Z983" s="1"/>
      <c r="AD983" s="1"/>
      <c r="AH983" s="1"/>
      <c r="AL983" s="1"/>
      <c r="AP983" s="1"/>
      <c r="AT983" s="16"/>
      <c r="AX983" s="16"/>
    </row>
    <row r="984" spans="2:50" x14ac:dyDescent="0.25">
      <c r="B984" s="1"/>
      <c r="F984" s="1"/>
      <c r="J984" s="1"/>
      <c r="N984" s="1"/>
      <c r="R984" s="1"/>
      <c r="V984" s="1"/>
      <c r="Z984" s="1"/>
      <c r="AD984" s="1"/>
      <c r="AH984" s="1"/>
      <c r="AL984" s="1"/>
      <c r="AP984" s="1"/>
      <c r="AT984" s="16"/>
      <c r="AX984" s="16"/>
    </row>
    <row r="985" spans="2:50" x14ac:dyDescent="0.25">
      <c r="B985" s="1"/>
      <c r="F985" s="1"/>
      <c r="J985" s="1"/>
      <c r="N985" s="1"/>
      <c r="R985" s="1"/>
      <c r="V985" s="1"/>
      <c r="Z985" s="1"/>
      <c r="AD985" s="1"/>
      <c r="AH985" s="1"/>
      <c r="AL985" s="1"/>
      <c r="AP985" s="1"/>
      <c r="AT985" s="16"/>
      <c r="AX985" s="16"/>
    </row>
    <row r="986" spans="2:50" x14ac:dyDescent="0.25">
      <c r="B986" s="1"/>
      <c r="F986" s="1"/>
      <c r="J986" s="1"/>
      <c r="N986" s="1"/>
      <c r="R986" s="1"/>
      <c r="V986" s="1"/>
      <c r="Z986" s="1"/>
      <c r="AD986" s="1"/>
      <c r="AH986" s="1"/>
      <c r="AL986" s="1"/>
      <c r="AP986" s="1"/>
      <c r="AT986" s="16"/>
      <c r="AX986" s="16"/>
    </row>
    <row r="987" spans="2:50" x14ac:dyDescent="0.25">
      <c r="B987" s="1"/>
      <c r="F987" s="1"/>
      <c r="J987" s="1"/>
      <c r="N987" s="1"/>
      <c r="R987" s="1"/>
      <c r="V987" s="1"/>
      <c r="Z987" s="1"/>
      <c r="AD987" s="1"/>
      <c r="AH987" s="1"/>
      <c r="AL987" s="1"/>
      <c r="AP987" s="1"/>
      <c r="AT987" s="16"/>
      <c r="AX987" s="16"/>
    </row>
    <row r="988" spans="2:50" x14ac:dyDescent="0.25">
      <c r="B988" s="1"/>
      <c r="F988" s="1"/>
      <c r="J988" s="1"/>
      <c r="N988" s="1"/>
      <c r="R988" s="1"/>
      <c r="V988" s="1"/>
      <c r="Z988" s="1"/>
      <c r="AD988" s="1"/>
      <c r="AH988" s="1"/>
      <c r="AL988" s="1"/>
      <c r="AP988" s="1"/>
      <c r="AT988" s="16"/>
      <c r="AX988" s="16"/>
    </row>
    <row r="989" spans="2:50" x14ac:dyDescent="0.25">
      <c r="B989" s="1"/>
      <c r="F989" s="1"/>
      <c r="J989" s="1"/>
      <c r="N989" s="1"/>
      <c r="R989" s="1"/>
      <c r="V989" s="1"/>
      <c r="Z989" s="1"/>
      <c r="AD989" s="1"/>
      <c r="AH989" s="1"/>
      <c r="AL989" s="1"/>
      <c r="AP989" s="1"/>
      <c r="AT989" s="16"/>
      <c r="AX989" s="16"/>
    </row>
    <row r="990" spans="2:50" x14ac:dyDescent="0.25">
      <c r="B990" s="1"/>
      <c r="F990" s="1"/>
      <c r="J990" s="1"/>
      <c r="N990" s="1"/>
      <c r="R990" s="1"/>
      <c r="V990" s="1"/>
      <c r="Z990" s="1"/>
      <c r="AD990" s="1"/>
      <c r="AH990" s="1"/>
      <c r="AL990" s="1"/>
      <c r="AP990" s="1"/>
      <c r="AT990" s="16"/>
      <c r="AX990" s="16"/>
    </row>
    <row r="991" spans="2:50" x14ac:dyDescent="0.25">
      <c r="B991" s="1"/>
      <c r="F991" s="1"/>
      <c r="J991" s="1"/>
      <c r="N991" s="1"/>
      <c r="R991" s="1"/>
      <c r="V991" s="1"/>
      <c r="Z991" s="1"/>
      <c r="AD991" s="1"/>
      <c r="AH991" s="1"/>
      <c r="AL991" s="1"/>
      <c r="AP991" s="1"/>
      <c r="AT991" s="16"/>
      <c r="AX991" s="16"/>
    </row>
    <row r="992" spans="2:50" x14ac:dyDescent="0.25">
      <c r="B992" s="1"/>
      <c r="F992" s="1"/>
      <c r="J992" s="1"/>
      <c r="N992" s="1"/>
      <c r="R992" s="1"/>
      <c r="V992" s="1"/>
      <c r="Z992" s="1"/>
      <c r="AD992" s="1"/>
      <c r="AH992" s="1"/>
      <c r="AL992" s="1"/>
      <c r="AP992" s="1"/>
      <c r="AT992" s="16"/>
      <c r="AX992" s="16"/>
    </row>
    <row r="993" spans="2:50" x14ac:dyDescent="0.25">
      <c r="B993" s="1"/>
      <c r="F993" s="1"/>
      <c r="J993" s="1"/>
      <c r="N993" s="1"/>
      <c r="R993" s="1"/>
      <c r="V993" s="1"/>
      <c r="Z993" s="1"/>
      <c r="AD993" s="1"/>
      <c r="AH993" s="1"/>
      <c r="AL993" s="1"/>
      <c r="AP993" s="1"/>
      <c r="AT993" s="16"/>
      <c r="AX993" s="16"/>
    </row>
    <row r="994" spans="2:50" x14ac:dyDescent="0.25">
      <c r="B994" s="1"/>
      <c r="F994" s="1"/>
      <c r="J994" s="1"/>
      <c r="N994" s="1"/>
      <c r="R994" s="1"/>
      <c r="V994" s="1"/>
      <c r="Z994" s="1"/>
      <c r="AD994" s="1"/>
      <c r="AH994" s="1"/>
      <c r="AL994" s="1"/>
      <c r="AP994" s="1"/>
      <c r="AT994" s="16"/>
      <c r="AX994" s="16"/>
    </row>
    <row r="995" spans="2:50" x14ac:dyDescent="0.25">
      <c r="B995" s="1"/>
      <c r="F995" s="1"/>
      <c r="J995" s="1"/>
      <c r="N995" s="1"/>
      <c r="R995" s="1"/>
      <c r="V995" s="1"/>
      <c r="Z995" s="1"/>
      <c r="AD995" s="1"/>
      <c r="AH995" s="1"/>
      <c r="AL995" s="1"/>
      <c r="AP995" s="1"/>
      <c r="AT995" s="16"/>
      <c r="AX995" s="16"/>
    </row>
    <row r="996" spans="2:50" x14ac:dyDescent="0.25">
      <c r="B996" s="1"/>
      <c r="F996" s="1"/>
      <c r="J996" s="1"/>
      <c r="N996" s="1"/>
      <c r="R996" s="1"/>
      <c r="V996" s="1"/>
      <c r="Z996" s="1"/>
      <c r="AD996" s="1"/>
      <c r="AH996" s="1"/>
      <c r="AL996" s="1"/>
      <c r="AP996" s="1"/>
      <c r="AT996" s="16"/>
      <c r="AX996" s="16"/>
    </row>
    <row r="997" spans="2:50" x14ac:dyDescent="0.25">
      <c r="B997" s="1"/>
      <c r="F997" s="1"/>
      <c r="J997" s="1"/>
      <c r="N997" s="1"/>
      <c r="R997" s="1"/>
      <c r="V997" s="1"/>
      <c r="Z997" s="1"/>
      <c r="AD997" s="1"/>
      <c r="AH997" s="1"/>
      <c r="AL997" s="1"/>
      <c r="AP997" s="1"/>
      <c r="AT997" s="16"/>
      <c r="AX997" s="16"/>
    </row>
    <row r="998" spans="2:50" x14ac:dyDescent="0.25">
      <c r="B998" s="1"/>
      <c r="F998" s="1"/>
      <c r="J998" s="1"/>
      <c r="N998" s="1"/>
      <c r="R998" s="1"/>
      <c r="V998" s="1"/>
      <c r="Z998" s="1"/>
      <c r="AD998" s="1"/>
      <c r="AH998" s="1"/>
      <c r="AL998" s="1"/>
      <c r="AP998" s="1"/>
      <c r="AT998" s="16"/>
      <c r="AX998" s="16"/>
    </row>
    <row r="999" spans="2:50" x14ac:dyDescent="0.25">
      <c r="B999" s="1"/>
      <c r="F999" s="1"/>
      <c r="J999" s="1"/>
      <c r="N999" s="1"/>
      <c r="R999" s="1"/>
      <c r="V999" s="1"/>
      <c r="Z999" s="1"/>
      <c r="AD999" s="1"/>
      <c r="AH999" s="1"/>
      <c r="AL999" s="1"/>
      <c r="AP999" s="1"/>
      <c r="AT999" s="16"/>
      <c r="AX999" s="16"/>
    </row>
    <row r="1000" spans="2:50" x14ac:dyDescent="0.25">
      <c r="B1000" s="1"/>
      <c r="F1000" s="1"/>
      <c r="J1000" s="1"/>
      <c r="N1000" s="1"/>
      <c r="R1000" s="1"/>
      <c r="V1000" s="1"/>
      <c r="Z1000" s="1"/>
      <c r="AD1000" s="1"/>
      <c r="AH1000" s="1"/>
      <c r="AL1000" s="1"/>
      <c r="AP1000" s="1"/>
      <c r="AT1000" s="16"/>
      <c r="AX1000" s="16"/>
    </row>
    <row r="1001" spans="2:50" x14ac:dyDescent="0.25">
      <c r="B1001" s="1"/>
      <c r="F1001" s="1"/>
      <c r="J1001" s="1"/>
      <c r="N1001" s="1"/>
      <c r="R1001" s="1"/>
      <c r="V1001" s="1"/>
      <c r="Z1001" s="1"/>
      <c r="AD1001" s="1"/>
      <c r="AH1001" s="1"/>
      <c r="AL1001" s="1"/>
      <c r="AP1001" s="1"/>
      <c r="AT1001" s="16"/>
      <c r="AX1001" s="16"/>
    </row>
    <row r="1002" spans="2:50" x14ac:dyDescent="0.25">
      <c r="B1002" s="1"/>
      <c r="F1002" s="1"/>
      <c r="J1002" s="1"/>
      <c r="N1002" s="1"/>
      <c r="R1002" s="1"/>
      <c r="V1002" s="1"/>
      <c r="Z1002" s="1"/>
      <c r="AD1002" s="1"/>
      <c r="AH1002" s="1"/>
      <c r="AL1002" s="1"/>
      <c r="AP1002" s="1"/>
      <c r="AT1002" s="16"/>
      <c r="AX1002" s="16"/>
    </row>
    <row r="1003" spans="2:50" x14ac:dyDescent="0.25">
      <c r="B1003" s="1"/>
      <c r="F1003" s="1"/>
      <c r="J1003" s="1"/>
      <c r="N1003" s="1"/>
      <c r="R1003" s="1"/>
      <c r="V1003" s="1"/>
      <c r="Z1003" s="1"/>
      <c r="AD1003" s="1"/>
      <c r="AH1003" s="1"/>
      <c r="AL1003" s="1"/>
      <c r="AP1003" s="1"/>
      <c r="AT1003" s="16"/>
      <c r="AX1003" s="16"/>
    </row>
    <row r="1004" spans="2:50" x14ac:dyDescent="0.25">
      <c r="B1004" s="1"/>
      <c r="F1004" s="1"/>
      <c r="J1004" s="1"/>
      <c r="N1004" s="1"/>
      <c r="R1004" s="1"/>
      <c r="V1004" s="1"/>
      <c r="Z1004" s="1"/>
      <c r="AD1004" s="1"/>
      <c r="AH1004" s="1"/>
      <c r="AL1004" s="1"/>
      <c r="AP1004" s="1"/>
      <c r="AT1004" s="16"/>
      <c r="AX1004" s="16"/>
    </row>
    <row r="1005" spans="2:50" x14ac:dyDescent="0.25">
      <c r="B1005" s="1"/>
      <c r="F1005" s="1"/>
      <c r="J1005" s="1"/>
      <c r="N1005" s="1"/>
      <c r="R1005" s="1"/>
      <c r="V1005" s="1"/>
      <c r="Z1005" s="1"/>
      <c r="AD1005" s="1"/>
      <c r="AH1005" s="1"/>
      <c r="AL1005" s="1"/>
      <c r="AP1005" s="1"/>
      <c r="AT1005" s="16"/>
      <c r="AX1005" s="16"/>
    </row>
    <row r="1006" spans="2:50" x14ac:dyDescent="0.25">
      <c r="B1006" s="1"/>
      <c r="F1006" s="1"/>
      <c r="J1006" s="1"/>
      <c r="N1006" s="1"/>
      <c r="R1006" s="1"/>
      <c r="V1006" s="1"/>
      <c r="Z1006" s="1"/>
      <c r="AD1006" s="1"/>
      <c r="AH1006" s="1"/>
      <c r="AL1006" s="1"/>
      <c r="AP1006" s="1"/>
      <c r="AT1006" s="16"/>
      <c r="AX1006" s="16"/>
    </row>
    <row r="1007" spans="2:50" x14ac:dyDescent="0.25">
      <c r="B1007" s="1"/>
      <c r="F1007" s="1"/>
      <c r="J1007" s="1"/>
      <c r="N1007" s="1"/>
      <c r="R1007" s="1"/>
      <c r="V1007" s="1"/>
      <c r="Z1007" s="1"/>
      <c r="AD1007" s="1"/>
      <c r="AH1007" s="1"/>
      <c r="AL1007" s="1"/>
      <c r="AP1007" s="1"/>
      <c r="AT1007" s="16"/>
      <c r="AX1007" s="16"/>
    </row>
    <row r="1008" spans="2:50" x14ac:dyDescent="0.25">
      <c r="B1008" s="1"/>
      <c r="F1008" s="1"/>
      <c r="J1008" s="1"/>
      <c r="N1008" s="1"/>
      <c r="R1008" s="1"/>
      <c r="V1008" s="1"/>
      <c r="Z1008" s="1"/>
      <c r="AD1008" s="1"/>
      <c r="AH1008" s="1"/>
      <c r="AL1008" s="1"/>
      <c r="AP1008" s="1"/>
      <c r="AT1008" s="16"/>
      <c r="AX1008" s="16"/>
    </row>
    <row r="1009" spans="2:50" x14ac:dyDescent="0.25">
      <c r="B1009" s="1"/>
      <c r="F1009" s="1"/>
      <c r="J1009" s="1"/>
      <c r="N1009" s="1"/>
      <c r="R1009" s="1"/>
      <c r="V1009" s="1"/>
      <c r="Z1009" s="1"/>
      <c r="AD1009" s="1"/>
      <c r="AH1009" s="1"/>
      <c r="AL1009" s="1"/>
      <c r="AP1009" s="1"/>
      <c r="AT1009" s="16"/>
      <c r="AX1009" s="16"/>
    </row>
    <row r="1010" spans="2:50" x14ac:dyDescent="0.25">
      <c r="B1010" s="1"/>
      <c r="F1010" s="1"/>
      <c r="J1010" s="1"/>
      <c r="N1010" s="1"/>
      <c r="R1010" s="1"/>
      <c r="V1010" s="1"/>
      <c r="Z1010" s="1"/>
      <c r="AD1010" s="1"/>
      <c r="AH1010" s="1"/>
      <c r="AL1010" s="1"/>
      <c r="AP1010" s="1"/>
      <c r="AT1010" s="16"/>
      <c r="AX1010" s="16"/>
    </row>
    <row r="1011" spans="2:50" x14ac:dyDescent="0.25">
      <c r="B1011" s="1"/>
      <c r="F1011" s="1"/>
      <c r="J1011" s="1"/>
      <c r="N1011" s="1"/>
      <c r="R1011" s="1"/>
      <c r="V1011" s="1"/>
      <c r="Z1011" s="1"/>
      <c r="AD1011" s="1"/>
      <c r="AH1011" s="1"/>
      <c r="AL1011" s="1"/>
      <c r="AP1011" s="1"/>
      <c r="AT1011" s="16"/>
      <c r="AX1011" s="16"/>
    </row>
    <row r="1012" spans="2:50" x14ac:dyDescent="0.25">
      <c r="B1012" s="1"/>
      <c r="F1012" s="1"/>
      <c r="J1012" s="1"/>
      <c r="N1012" s="1"/>
      <c r="R1012" s="1"/>
      <c r="V1012" s="1"/>
      <c r="Z1012" s="1"/>
      <c r="AD1012" s="1"/>
      <c r="AH1012" s="1"/>
      <c r="AL1012" s="1"/>
      <c r="AP1012" s="1"/>
      <c r="AT1012" s="16"/>
      <c r="AX1012" s="16"/>
    </row>
    <row r="1013" spans="2:50" x14ac:dyDescent="0.25">
      <c r="B1013" s="1"/>
      <c r="F1013" s="1"/>
      <c r="J1013" s="1"/>
      <c r="N1013" s="1"/>
      <c r="R1013" s="1"/>
      <c r="V1013" s="1"/>
      <c r="Z1013" s="1"/>
      <c r="AD1013" s="1"/>
      <c r="AH1013" s="1"/>
      <c r="AL1013" s="1"/>
      <c r="AP1013" s="1"/>
      <c r="AT1013" s="16"/>
      <c r="AX1013" s="16"/>
    </row>
    <row r="1014" spans="2:50" x14ac:dyDescent="0.25">
      <c r="B1014" s="1"/>
      <c r="F1014" s="1"/>
      <c r="J1014" s="1"/>
      <c r="N1014" s="1"/>
      <c r="R1014" s="1"/>
      <c r="V1014" s="1"/>
      <c r="Z1014" s="1"/>
      <c r="AD1014" s="1"/>
      <c r="AH1014" s="1"/>
      <c r="AL1014" s="1"/>
      <c r="AP1014" s="1"/>
      <c r="AT1014" s="16"/>
      <c r="AX1014" s="16"/>
    </row>
    <row r="1015" spans="2:50" x14ac:dyDescent="0.25">
      <c r="B1015" s="1"/>
      <c r="F1015" s="1"/>
      <c r="J1015" s="1"/>
      <c r="N1015" s="1"/>
      <c r="R1015" s="1"/>
      <c r="V1015" s="1"/>
      <c r="Z1015" s="1"/>
      <c r="AD1015" s="1"/>
      <c r="AH1015" s="1"/>
      <c r="AL1015" s="1"/>
      <c r="AP1015" s="1"/>
      <c r="AT1015" s="16"/>
      <c r="AX1015" s="16"/>
    </row>
    <row r="1016" spans="2:50" x14ac:dyDescent="0.25">
      <c r="B1016" s="1"/>
      <c r="F1016" s="1"/>
      <c r="J1016" s="1"/>
      <c r="N1016" s="1"/>
      <c r="R1016" s="1"/>
      <c r="V1016" s="1"/>
      <c r="Z1016" s="1"/>
      <c r="AD1016" s="1"/>
      <c r="AH1016" s="1"/>
      <c r="AL1016" s="1"/>
      <c r="AP1016" s="1"/>
      <c r="AT1016" s="16"/>
      <c r="AX1016" s="16"/>
    </row>
    <row r="1017" spans="2:50" x14ac:dyDescent="0.25">
      <c r="B1017" s="1"/>
      <c r="F1017" s="1"/>
      <c r="J1017" s="1"/>
      <c r="N1017" s="1"/>
      <c r="R1017" s="1"/>
      <c r="V1017" s="1"/>
      <c r="Z1017" s="1"/>
      <c r="AD1017" s="1"/>
      <c r="AH1017" s="1"/>
      <c r="AL1017" s="1"/>
      <c r="AP1017" s="1"/>
      <c r="AT1017" s="16"/>
      <c r="AX1017" s="16"/>
    </row>
    <row r="1018" spans="2:50" x14ac:dyDescent="0.25">
      <c r="B1018" s="1"/>
      <c r="F1018" s="1"/>
      <c r="J1018" s="1"/>
      <c r="N1018" s="1"/>
      <c r="R1018" s="1"/>
      <c r="V1018" s="1"/>
      <c r="Z1018" s="1"/>
      <c r="AD1018" s="1"/>
      <c r="AH1018" s="1"/>
      <c r="AL1018" s="1"/>
      <c r="AP1018" s="1"/>
      <c r="AT1018" s="16"/>
      <c r="AX1018" s="16"/>
    </row>
    <row r="1019" spans="2:50" x14ac:dyDescent="0.25">
      <c r="B1019" s="1"/>
      <c r="F1019" s="1"/>
      <c r="J1019" s="1"/>
      <c r="N1019" s="1"/>
      <c r="R1019" s="1"/>
      <c r="V1019" s="1"/>
      <c r="Z1019" s="1"/>
      <c r="AD1019" s="1"/>
      <c r="AH1019" s="1"/>
      <c r="AL1019" s="1"/>
      <c r="AP1019" s="1"/>
      <c r="AT1019" s="16"/>
      <c r="AX1019" s="16"/>
    </row>
    <row r="1020" spans="2:50" x14ac:dyDescent="0.25">
      <c r="B1020" s="1"/>
      <c r="F1020" s="1"/>
      <c r="J1020" s="1"/>
      <c r="N1020" s="1"/>
      <c r="R1020" s="1"/>
      <c r="V1020" s="1"/>
      <c r="Z1020" s="1"/>
      <c r="AD1020" s="1"/>
      <c r="AH1020" s="1"/>
      <c r="AL1020" s="1"/>
      <c r="AP1020" s="1"/>
      <c r="AT1020" s="16"/>
      <c r="AX1020" s="16"/>
    </row>
    <row r="1021" spans="2:50" x14ac:dyDescent="0.25">
      <c r="B1021" s="1"/>
      <c r="F1021" s="1"/>
      <c r="J1021" s="1"/>
      <c r="N1021" s="1"/>
      <c r="R1021" s="1"/>
      <c r="V1021" s="1"/>
      <c r="Z1021" s="1"/>
      <c r="AD1021" s="1"/>
      <c r="AH1021" s="1"/>
      <c r="AL1021" s="1"/>
      <c r="AP1021" s="1"/>
      <c r="AT1021" s="16"/>
      <c r="AX1021" s="16"/>
    </row>
    <row r="1022" spans="2:50" x14ac:dyDescent="0.25">
      <c r="B1022" s="1"/>
      <c r="F1022" s="1"/>
      <c r="J1022" s="1"/>
      <c r="N1022" s="1"/>
      <c r="R1022" s="1"/>
      <c r="V1022" s="1"/>
      <c r="Z1022" s="1"/>
      <c r="AD1022" s="1"/>
      <c r="AH1022" s="1"/>
      <c r="AL1022" s="1"/>
      <c r="AP1022" s="1"/>
      <c r="AT1022" s="16"/>
      <c r="AX1022" s="16"/>
    </row>
    <row r="1023" spans="2:50" x14ac:dyDescent="0.25">
      <c r="B1023" s="1"/>
      <c r="F1023" s="1"/>
      <c r="J1023" s="1"/>
      <c r="N1023" s="1"/>
      <c r="R1023" s="1"/>
      <c r="V1023" s="1"/>
      <c r="Z1023" s="1"/>
      <c r="AD1023" s="1"/>
      <c r="AH1023" s="1"/>
      <c r="AL1023" s="1"/>
      <c r="AP1023" s="1"/>
      <c r="AT1023" s="16"/>
      <c r="AX1023" s="16"/>
    </row>
    <row r="1024" spans="2:50" x14ac:dyDescent="0.25">
      <c r="B1024" s="1"/>
      <c r="F1024" s="1"/>
      <c r="J1024" s="1"/>
      <c r="N1024" s="1"/>
      <c r="R1024" s="1"/>
      <c r="V1024" s="1"/>
      <c r="Z1024" s="1"/>
      <c r="AD1024" s="1"/>
      <c r="AH1024" s="1"/>
      <c r="AL1024" s="1"/>
      <c r="AP1024" s="1"/>
      <c r="AT1024" s="16"/>
      <c r="AX1024" s="16"/>
    </row>
    <row r="1025" spans="2:50" x14ac:dyDescent="0.25">
      <c r="B1025" s="1"/>
      <c r="F1025" s="1"/>
      <c r="J1025" s="1"/>
      <c r="N1025" s="1"/>
      <c r="R1025" s="1"/>
      <c r="V1025" s="1"/>
      <c r="Z1025" s="1"/>
      <c r="AD1025" s="1"/>
      <c r="AH1025" s="1"/>
      <c r="AL1025" s="1"/>
      <c r="AP1025" s="1"/>
      <c r="AT1025" s="16"/>
      <c r="AX1025" s="16"/>
    </row>
    <row r="1026" spans="2:50" x14ac:dyDescent="0.25">
      <c r="B1026" s="1"/>
      <c r="F1026" s="1"/>
      <c r="J1026" s="1"/>
      <c r="N1026" s="1"/>
      <c r="R1026" s="1"/>
      <c r="V1026" s="1"/>
      <c r="Z1026" s="1"/>
      <c r="AD1026" s="1"/>
      <c r="AH1026" s="1"/>
      <c r="AL1026" s="1"/>
      <c r="AP1026" s="1"/>
      <c r="AT1026" s="16"/>
      <c r="AX1026" s="16"/>
    </row>
    <row r="1027" spans="2:50" x14ac:dyDescent="0.25">
      <c r="B1027" s="1"/>
      <c r="F1027" s="1"/>
      <c r="J1027" s="1"/>
      <c r="N1027" s="1"/>
      <c r="R1027" s="1"/>
      <c r="V1027" s="1"/>
      <c r="Z1027" s="1"/>
      <c r="AD1027" s="1"/>
      <c r="AH1027" s="1"/>
      <c r="AL1027" s="1"/>
      <c r="AP1027" s="1"/>
      <c r="AT1027" s="16"/>
      <c r="AX1027" s="16"/>
    </row>
    <row r="1028" spans="2:50" x14ac:dyDescent="0.25">
      <c r="B1028" s="1"/>
      <c r="F1028" s="1"/>
      <c r="J1028" s="1"/>
      <c r="N1028" s="1"/>
      <c r="R1028" s="1"/>
      <c r="V1028" s="1"/>
      <c r="Z1028" s="1"/>
      <c r="AD1028" s="1"/>
      <c r="AH1028" s="1"/>
      <c r="AL1028" s="1"/>
      <c r="AP1028" s="1"/>
      <c r="AT1028" s="16"/>
      <c r="AX1028" s="16"/>
    </row>
    <row r="1029" spans="2:50" x14ac:dyDescent="0.25">
      <c r="B1029" s="1"/>
      <c r="F1029" s="1"/>
      <c r="J1029" s="1"/>
      <c r="N1029" s="1"/>
      <c r="R1029" s="1"/>
      <c r="V1029" s="1"/>
      <c r="Z1029" s="1"/>
      <c r="AD1029" s="1"/>
      <c r="AH1029" s="1"/>
      <c r="AL1029" s="1"/>
      <c r="AP1029" s="1"/>
      <c r="AT1029" s="16"/>
      <c r="AX1029" s="16"/>
    </row>
    <row r="1030" spans="2:50" x14ac:dyDescent="0.25">
      <c r="B1030" s="1"/>
      <c r="F1030" s="1"/>
      <c r="J1030" s="1"/>
      <c r="N1030" s="1"/>
      <c r="R1030" s="1"/>
      <c r="V1030" s="1"/>
      <c r="Z1030" s="1"/>
      <c r="AD1030" s="1"/>
      <c r="AH1030" s="1"/>
      <c r="AL1030" s="1"/>
      <c r="AP1030" s="1"/>
      <c r="AT1030" s="16"/>
      <c r="AX1030" s="16"/>
    </row>
    <row r="1031" spans="2:50" x14ac:dyDescent="0.25">
      <c r="B1031" s="1"/>
      <c r="F1031" s="1"/>
      <c r="J1031" s="1"/>
      <c r="N1031" s="1"/>
      <c r="R1031" s="1"/>
      <c r="V1031" s="1"/>
      <c r="Z1031" s="1"/>
      <c r="AD1031" s="1"/>
      <c r="AH1031" s="1"/>
      <c r="AL1031" s="1"/>
      <c r="AP1031" s="1"/>
      <c r="AT1031" s="16"/>
      <c r="AX1031" s="16"/>
    </row>
    <row r="1032" spans="2:50" x14ac:dyDescent="0.25">
      <c r="B1032" s="1"/>
      <c r="F1032" s="1"/>
      <c r="J1032" s="1"/>
      <c r="N1032" s="1"/>
      <c r="R1032" s="1"/>
      <c r="V1032" s="1"/>
      <c r="Z1032" s="1"/>
      <c r="AD1032" s="1"/>
      <c r="AH1032" s="1"/>
      <c r="AL1032" s="1"/>
      <c r="AP1032" s="1"/>
      <c r="AT1032" s="16"/>
      <c r="AX1032" s="16"/>
    </row>
    <row r="1033" spans="2:50" x14ac:dyDescent="0.25">
      <c r="B1033" s="1"/>
      <c r="F1033" s="1"/>
      <c r="J1033" s="1"/>
      <c r="N1033" s="1"/>
      <c r="R1033" s="1"/>
      <c r="V1033" s="1"/>
      <c r="Z1033" s="1"/>
      <c r="AD1033" s="1"/>
      <c r="AH1033" s="1"/>
      <c r="AL1033" s="1"/>
      <c r="AP1033" s="1"/>
      <c r="AT1033" s="16"/>
      <c r="AX1033" s="16"/>
    </row>
    <row r="1034" spans="2:50" x14ac:dyDescent="0.25">
      <c r="B1034" s="1"/>
      <c r="F1034" s="1"/>
      <c r="J1034" s="1"/>
      <c r="N1034" s="1"/>
      <c r="R1034" s="1"/>
      <c r="V1034" s="1"/>
      <c r="Z1034" s="1"/>
      <c r="AD1034" s="1"/>
      <c r="AH1034" s="1"/>
      <c r="AL1034" s="1"/>
      <c r="AP1034" s="1"/>
      <c r="AT1034" s="16"/>
      <c r="AX1034" s="16"/>
    </row>
    <row r="1035" spans="2:50" x14ac:dyDescent="0.25">
      <c r="B1035" s="1"/>
      <c r="F1035" s="1"/>
      <c r="J1035" s="1"/>
      <c r="N1035" s="1"/>
      <c r="R1035" s="1"/>
      <c r="V1035" s="1"/>
      <c r="Z1035" s="1"/>
      <c r="AD1035" s="1"/>
      <c r="AH1035" s="1"/>
      <c r="AL1035" s="1"/>
      <c r="AP1035" s="1"/>
      <c r="AT1035" s="16"/>
      <c r="AX1035" s="16"/>
    </row>
    <row r="1036" spans="2:50" x14ac:dyDescent="0.25">
      <c r="B1036" s="1"/>
      <c r="F1036" s="1"/>
      <c r="J1036" s="1"/>
      <c r="N1036" s="1"/>
      <c r="R1036" s="1"/>
      <c r="V1036" s="1"/>
      <c r="Z1036" s="1"/>
      <c r="AD1036" s="1"/>
      <c r="AH1036" s="1"/>
      <c r="AL1036" s="1"/>
      <c r="AP1036" s="1"/>
      <c r="AT1036" s="16"/>
      <c r="AX1036" s="16"/>
    </row>
    <row r="1037" spans="2:50" x14ac:dyDescent="0.25">
      <c r="B1037" s="1"/>
      <c r="F1037" s="1"/>
      <c r="J1037" s="1"/>
      <c r="N1037" s="1"/>
      <c r="R1037" s="1"/>
      <c r="V1037" s="1"/>
      <c r="Z1037" s="1"/>
      <c r="AD1037" s="1"/>
      <c r="AH1037" s="1"/>
      <c r="AL1037" s="1"/>
      <c r="AP1037" s="1"/>
      <c r="AT1037" s="16"/>
      <c r="AX1037" s="16"/>
    </row>
    <row r="1038" spans="2:50" x14ac:dyDescent="0.25">
      <c r="B1038" s="1"/>
      <c r="F1038" s="1"/>
      <c r="J1038" s="1"/>
      <c r="N1038" s="1"/>
      <c r="R1038" s="1"/>
      <c r="V1038" s="1"/>
      <c r="Z1038" s="1"/>
      <c r="AD1038" s="1"/>
      <c r="AH1038" s="1"/>
      <c r="AL1038" s="1"/>
      <c r="AP1038" s="1"/>
      <c r="AT1038" s="16"/>
      <c r="AX1038" s="16"/>
    </row>
    <row r="1039" spans="2:50" x14ac:dyDescent="0.25">
      <c r="B1039" s="1"/>
      <c r="F1039" s="1"/>
      <c r="J1039" s="1"/>
      <c r="N1039" s="1"/>
      <c r="R1039" s="1"/>
      <c r="V1039" s="1"/>
      <c r="Z1039" s="1"/>
      <c r="AD1039" s="1"/>
      <c r="AH1039" s="1"/>
      <c r="AL1039" s="1"/>
      <c r="AP1039" s="1"/>
      <c r="AT1039" s="16"/>
      <c r="AX1039" s="16"/>
    </row>
    <row r="1040" spans="2:50" x14ac:dyDescent="0.25">
      <c r="B1040" s="1"/>
      <c r="F1040" s="1"/>
      <c r="J1040" s="1"/>
      <c r="N1040" s="1"/>
      <c r="R1040" s="1"/>
      <c r="V1040" s="1"/>
      <c r="Z1040" s="1"/>
      <c r="AD1040" s="1"/>
      <c r="AH1040" s="1"/>
      <c r="AL1040" s="1"/>
      <c r="AP1040" s="1"/>
      <c r="AT1040" s="16"/>
      <c r="AX1040" s="16"/>
    </row>
    <row r="1041" spans="2:50" x14ac:dyDescent="0.25">
      <c r="B1041" s="1"/>
      <c r="F1041" s="1"/>
      <c r="J1041" s="1"/>
      <c r="N1041" s="1"/>
      <c r="R1041" s="1"/>
      <c r="V1041" s="1"/>
      <c r="Z1041" s="1"/>
      <c r="AD1041" s="1"/>
      <c r="AH1041" s="1"/>
      <c r="AL1041" s="1"/>
      <c r="AP1041" s="1"/>
      <c r="AT1041" s="16"/>
      <c r="AX1041" s="16"/>
    </row>
    <row r="1042" spans="2:50" x14ac:dyDescent="0.25">
      <c r="B1042" s="1"/>
      <c r="F1042" s="1"/>
      <c r="J1042" s="1"/>
      <c r="N1042" s="1"/>
      <c r="R1042" s="1"/>
      <c r="V1042" s="1"/>
      <c r="Z1042" s="1"/>
      <c r="AD1042" s="1"/>
      <c r="AH1042" s="1"/>
      <c r="AL1042" s="1"/>
      <c r="AP1042" s="1"/>
      <c r="AT1042" s="16"/>
      <c r="AX1042" s="16"/>
    </row>
    <row r="1043" spans="2:50" x14ac:dyDescent="0.25">
      <c r="B1043" s="1"/>
      <c r="F1043" s="1"/>
      <c r="J1043" s="1"/>
      <c r="N1043" s="1"/>
      <c r="R1043" s="1"/>
      <c r="V1043" s="1"/>
      <c r="Z1043" s="1"/>
      <c r="AD1043" s="1"/>
      <c r="AH1043" s="1"/>
      <c r="AL1043" s="1"/>
      <c r="AP1043" s="1"/>
      <c r="AT1043" s="16"/>
      <c r="AX1043" s="16"/>
    </row>
    <row r="1044" spans="2:50" x14ac:dyDescent="0.25">
      <c r="B1044" s="1"/>
      <c r="F1044" s="1"/>
      <c r="J1044" s="1"/>
      <c r="N1044" s="1"/>
      <c r="R1044" s="1"/>
      <c r="V1044" s="1"/>
      <c r="Z1044" s="1"/>
      <c r="AD1044" s="1"/>
      <c r="AH1044" s="1"/>
      <c r="AL1044" s="1"/>
      <c r="AP1044" s="1"/>
      <c r="AT1044" s="16"/>
      <c r="AX1044" s="16"/>
    </row>
    <row r="1045" spans="2:50" x14ac:dyDescent="0.25">
      <c r="B1045" s="1"/>
      <c r="F1045" s="1"/>
      <c r="J1045" s="1"/>
      <c r="N1045" s="1"/>
      <c r="R1045" s="1"/>
      <c r="V1045" s="1"/>
      <c r="Z1045" s="1"/>
      <c r="AD1045" s="1"/>
      <c r="AH1045" s="1"/>
      <c r="AL1045" s="1"/>
      <c r="AP1045" s="1"/>
      <c r="AT1045" s="16"/>
      <c r="AX1045" s="16"/>
    </row>
    <row r="1046" spans="2:50" x14ac:dyDescent="0.25">
      <c r="B1046" s="1"/>
      <c r="F1046" s="1"/>
      <c r="J1046" s="1"/>
      <c r="N1046" s="1"/>
      <c r="R1046" s="1"/>
      <c r="V1046" s="1"/>
      <c r="Z1046" s="1"/>
      <c r="AD1046" s="1"/>
      <c r="AH1046" s="1"/>
      <c r="AL1046" s="1"/>
      <c r="AP1046" s="1"/>
      <c r="AT1046" s="16"/>
      <c r="AX1046" s="16"/>
    </row>
    <row r="1047" spans="2:50" x14ac:dyDescent="0.25">
      <c r="B1047" s="1"/>
      <c r="F1047" s="1"/>
      <c r="J1047" s="1"/>
      <c r="N1047" s="1"/>
      <c r="R1047" s="1"/>
      <c r="V1047" s="1"/>
      <c r="Z1047" s="1"/>
      <c r="AD1047" s="1"/>
      <c r="AH1047" s="1"/>
      <c r="AL1047" s="1"/>
      <c r="AP1047" s="1"/>
      <c r="AT1047" s="16"/>
      <c r="AX1047" s="16"/>
    </row>
    <row r="1048" spans="2:50" x14ac:dyDescent="0.25">
      <c r="B1048" s="1"/>
      <c r="F1048" s="1"/>
      <c r="J1048" s="1"/>
      <c r="N1048" s="1"/>
      <c r="R1048" s="1"/>
      <c r="V1048" s="1"/>
      <c r="Z1048" s="1"/>
      <c r="AD1048" s="1"/>
      <c r="AH1048" s="1"/>
      <c r="AL1048" s="1"/>
      <c r="AP1048" s="1"/>
      <c r="AT1048" s="16"/>
      <c r="AX1048" s="16"/>
    </row>
    <row r="1049" spans="2:50" x14ac:dyDescent="0.25">
      <c r="B1049" s="1"/>
      <c r="F1049" s="1"/>
      <c r="J1049" s="1"/>
      <c r="N1049" s="1"/>
      <c r="R1049" s="1"/>
      <c r="V1049" s="1"/>
      <c r="Z1049" s="1"/>
      <c r="AD1049" s="1"/>
      <c r="AH1049" s="1"/>
      <c r="AL1049" s="1"/>
      <c r="AP1049" s="1"/>
      <c r="AT1049" s="16"/>
      <c r="AX1049" s="16"/>
    </row>
    <row r="1050" spans="2:50" x14ac:dyDescent="0.25">
      <c r="B1050" s="1"/>
      <c r="F1050" s="1"/>
      <c r="J1050" s="1"/>
      <c r="N1050" s="1"/>
      <c r="R1050" s="1"/>
      <c r="V1050" s="1"/>
      <c r="Z1050" s="1"/>
      <c r="AD1050" s="1"/>
      <c r="AH1050" s="1"/>
      <c r="AL1050" s="1"/>
      <c r="AP1050" s="1"/>
      <c r="AT1050" s="16"/>
      <c r="AX1050" s="16"/>
    </row>
    <row r="1051" spans="2:50" x14ac:dyDescent="0.25">
      <c r="B1051" s="1"/>
      <c r="F1051" s="1"/>
      <c r="J1051" s="1"/>
      <c r="N1051" s="1"/>
      <c r="R1051" s="1"/>
      <c r="V1051" s="1"/>
      <c r="Z1051" s="1"/>
      <c r="AD1051" s="1"/>
      <c r="AH1051" s="1"/>
      <c r="AL1051" s="1"/>
      <c r="AP1051" s="1"/>
      <c r="AT1051" s="16"/>
      <c r="AX1051" s="16"/>
    </row>
    <row r="1052" spans="2:50" x14ac:dyDescent="0.25">
      <c r="B1052" s="1"/>
      <c r="F1052" s="1"/>
      <c r="J1052" s="1"/>
      <c r="N1052" s="1"/>
      <c r="R1052" s="1"/>
      <c r="V1052" s="1"/>
      <c r="Z1052" s="1"/>
      <c r="AD1052" s="1"/>
      <c r="AH1052" s="1"/>
      <c r="AL1052" s="1"/>
      <c r="AP1052" s="1"/>
      <c r="AT1052" s="16"/>
      <c r="AX1052" s="16"/>
    </row>
    <row r="1053" spans="2:50" x14ac:dyDescent="0.25">
      <c r="B1053" s="1"/>
      <c r="F1053" s="1"/>
      <c r="J1053" s="1"/>
      <c r="N1053" s="1"/>
      <c r="R1053" s="1"/>
      <c r="V1053" s="1"/>
      <c r="Z1053" s="1"/>
      <c r="AD1053" s="1"/>
      <c r="AH1053" s="1"/>
      <c r="AL1053" s="1"/>
      <c r="AP1053" s="1"/>
      <c r="AT1053" s="16"/>
      <c r="AX1053" s="16"/>
    </row>
    <row r="1054" spans="2:50" x14ac:dyDescent="0.25">
      <c r="B1054" s="1"/>
      <c r="F1054" s="1"/>
      <c r="J1054" s="1"/>
      <c r="N1054" s="1"/>
      <c r="R1054" s="1"/>
      <c r="V1054" s="1"/>
      <c r="Z1054" s="1"/>
      <c r="AD1054" s="1"/>
      <c r="AH1054" s="1"/>
      <c r="AL1054" s="1"/>
      <c r="AP1054" s="1"/>
      <c r="AT1054" s="16"/>
      <c r="AX1054" s="16"/>
    </row>
    <row r="1055" spans="2:50" x14ac:dyDescent="0.25">
      <c r="B1055" s="1"/>
      <c r="F1055" s="1"/>
      <c r="J1055" s="1"/>
      <c r="N1055" s="1"/>
      <c r="R1055" s="1"/>
      <c r="V1055" s="1"/>
      <c r="Z1055" s="1"/>
      <c r="AD1055" s="1"/>
      <c r="AH1055" s="1"/>
      <c r="AL1055" s="1"/>
      <c r="AP1055" s="1"/>
      <c r="AT1055" s="16"/>
      <c r="AX1055" s="16"/>
    </row>
    <row r="1056" spans="2:50" x14ac:dyDescent="0.25">
      <c r="B1056" s="1"/>
      <c r="F1056" s="1"/>
      <c r="J1056" s="1"/>
      <c r="N1056" s="1"/>
      <c r="R1056" s="1"/>
      <c r="V1056" s="1"/>
      <c r="Z1056" s="1"/>
      <c r="AD1056" s="1"/>
      <c r="AH1056" s="1"/>
      <c r="AL1056" s="1"/>
      <c r="AP1056" s="1"/>
      <c r="AT1056" s="16"/>
      <c r="AX1056" s="16"/>
    </row>
    <row r="1057" spans="2:50" x14ac:dyDescent="0.25">
      <c r="B1057" s="1"/>
      <c r="F1057" s="1"/>
      <c r="J1057" s="1"/>
      <c r="N1057" s="1"/>
      <c r="R1057" s="1"/>
      <c r="V1057" s="1"/>
      <c r="Z1057" s="1"/>
      <c r="AD1057" s="1"/>
      <c r="AH1057" s="1"/>
      <c r="AL1057" s="1"/>
      <c r="AP1057" s="1"/>
      <c r="AT1057" s="16"/>
      <c r="AX1057" s="16"/>
    </row>
    <row r="1058" spans="2:50" x14ac:dyDescent="0.25">
      <c r="B1058" s="1"/>
      <c r="F1058" s="1"/>
      <c r="J1058" s="1"/>
      <c r="N1058" s="1"/>
      <c r="R1058" s="1"/>
      <c r="V1058" s="1"/>
      <c r="Z1058" s="1"/>
      <c r="AD1058" s="1"/>
      <c r="AH1058" s="1"/>
      <c r="AL1058" s="1"/>
      <c r="AP1058" s="1"/>
      <c r="AT1058" s="16"/>
      <c r="AX1058" s="16"/>
    </row>
    <row r="1059" spans="2:50" x14ac:dyDescent="0.25">
      <c r="B1059" s="1"/>
      <c r="F1059" s="1"/>
      <c r="J1059" s="1"/>
      <c r="N1059" s="1"/>
      <c r="R1059" s="1"/>
      <c r="V1059" s="1"/>
      <c r="Z1059" s="1"/>
      <c r="AD1059" s="1"/>
      <c r="AH1059" s="1"/>
      <c r="AL1059" s="1"/>
      <c r="AP1059" s="1"/>
      <c r="AT1059" s="16"/>
      <c r="AX1059" s="16"/>
    </row>
    <row r="1060" spans="2:50" x14ac:dyDescent="0.25">
      <c r="B1060" s="1"/>
      <c r="F1060" s="1"/>
      <c r="J1060" s="1"/>
      <c r="N1060" s="1"/>
      <c r="R1060" s="1"/>
      <c r="V1060" s="1"/>
      <c r="Z1060" s="1"/>
      <c r="AD1060" s="1"/>
      <c r="AH1060" s="1"/>
      <c r="AL1060" s="1"/>
      <c r="AP1060" s="1"/>
      <c r="AT1060" s="16"/>
      <c r="AX1060" s="16"/>
    </row>
    <row r="1061" spans="2:50" x14ac:dyDescent="0.25">
      <c r="B1061" s="1"/>
      <c r="F1061" s="1"/>
      <c r="J1061" s="1"/>
      <c r="N1061" s="1"/>
      <c r="R1061" s="1"/>
      <c r="V1061" s="1"/>
      <c r="Z1061" s="1"/>
      <c r="AD1061" s="1"/>
      <c r="AH1061" s="1"/>
      <c r="AL1061" s="1"/>
      <c r="AP1061" s="1"/>
      <c r="AT1061" s="16"/>
      <c r="AX1061" s="16"/>
    </row>
    <row r="1062" spans="2:50" x14ac:dyDescent="0.25">
      <c r="B1062" s="1"/>
      <c r="F1062" s="1"/>
      <c r="J1062" s="1"/>
      <c r="N1062" s="1"/>
      <c r="R1062" s="1"/>
      <c r="V1062" s="1"/>
      <c r="Z1062" s="1"/>
      <c r="AD1062" s="1"/>
      <c r="AH1062" s="1"/>
      <c r="AL1062" s="1"/>
      <c r="AP1062" s="1"/>
      <c r="AT1062" s="16"/>
      <c r="AX1062" s="16"/>
    </row>
    <row r="1063" spans="2:50" x14ac:dyDescent="0.25">
      <c r="B1063" s="1"/>
      <c r="F1063" s="1"/>
      <c r="J1063" s="1"/>
      <c r="N1063" s="1"/>
      <c r="R1063" s="1"/>
      <c r="V1063" s="1"/>
      <c r="Z1063" s="1"/>
      <c r="AD1063" s="1"/>
      <c r="AH1063" s="1"/>
      <c r="AL1063" s="1"/>
      <c r="AP1063" s="1"/>
      <c r="AT1063" s="16"/>
      <c r="AX1063" s="16"/>
    </row>
    <row r="1064" spans="2:50" x14ac:dyDescent="0.25">
      <c r="B1064" s="1"/>
      <c r="F1064" s="1"/>
      <c r="J1064" s="1"/>
      <c r="N1064" s="1"/>
      <c r="R1064" s="1"/>
      <c r="V1064" s="1"/>
      <c r="Z1064" s="1"/>
      <c r="AD1064" s="1"/>
      <c r="AH1064" s="1"/>
      <c r="AL1064" s="1"/>
      <c r="AP1064" s="1"/>
      <c r="AT1064" s="16"/>
      <c r="AX1064" s="16"/>
    </row>
    <row r="1065" spans="2:50" x14ac:dyDescent="0.25">
      <c r="B1065" s="1"/>
      <c r="F1065" s="1"/>
      <c r="J1065" s="1"/>
      <c r="N1065" s="1"/>
      <c r="R1065" s="1"/>
      <c r="V1065" s="1"/>
      <c r="Z1065" s="1"/>
      <c r="AD1065" s="1"/>
      <c r="AH1065" s="1"/>
      <c r="AL1065" s="1"/>
      <c r="AP1065" s="1"/>
      <c r="AT1065" s="16"/>
      <c r="AX1065" s="16"/>
    </row>
    <row r="1066" spans="2:50" x14ac:dyDescent="0.25">
      <c r="B1066" s="1"/>
      <c r="F1066" s="1"/>
      <c r="J1066" s="1"/>
      <c r="N1066" s="1"/>
      <c r="R1066" s="1"/>
      <c r="V1066" s="1"/>
      <c r="Z1066" s="1"/>
      <c r="AD1066" s="1"/>
      <c r="AH1066" s="1"/>
      <c r="AL1066" s="1"/>
      <c r="AP1066" s="1"/>
      <c r="AT1066" s="16"/>
      <c r="AX1066" s="16"/>
    </row>
    <row r="1067" spans="2:50" x14ac:dyDescent="0.25">
      <c r="B1067" s="1"/>
      <c r="F1067" s="1"/>
      <c r="J1067" s="1"/>
      <c r="N1067" s="1"/>
      <c r="R1067" s="1"/>
      <c r="V1067" s="1"/>
      <c r="Z1067" s="1"/>
      <c r="AD1067" s="1"/>
      <c r="AH1067" s="1"/>
      <c r="AL1067" s="1"/>
      <c r="AP1067" s="1"/>
      <c r="AT1067" s="16"/>
      <c r="AX1067" s="16"/>
    </row>
    <row r="1068" spans="2:50" x14ac:dyDescent="0.25">
      <c r="B1068" s="1"/>
      <c r="F1068" s="1"/>
      <c r="J1068" s="1"/>
      <c r="N1068" s="1"/>
      <c r="R1068" s="1"/>
      <c r="V1068" s="1"/>
      <c r="Z1068" s="1"/>
      <c r="AD1068" s="1"/>
      <c r="AH1068" s="1"/>
      <c r="AL1068" s="1"/>
      <c r="AP1068" s="1"/>
      <c r="AT1068" s="16"/>
      <c r="AX1068" s="16"/>
    </row>
    <row r="1069" spans="2:50" x14ac:dyDescent="0.25">
      <c r="B1069" s="1"/>
      <c r="F1069" s="1"/>
      <c r="J1069" s="1"/>
      <c r="N1069" s="1"/>
      <c r="R1069" s="1"/>
      <c r="V1069" s="1"/>
      <c r="Z1069" s="1"/>
      <c r="AD1069" s="1"/>
      <c r="AH1069" s="1"/>
      <c r="AL1069" s="1"/>
      <c r="AP1069" s="1"/>
      <c r="AT1069" s="16"/>
      <c r="AX1069" s="16"/>
    </row>
    <row r="1070" spans="2:50" x14ac:dyDescent="0.25">
      <c r="B1070" s="1"/>
      <c r="F1070" s="1"/>
      <c r="J1070" s="1"/>
      <c r="N1070" s="1"/>
      <c r="R1070" s="1"/>
      <c r="V1070" s="1"/>
      <c r="Z1070" s="1"/>
      <c r="AD1070" s="1"/>
      <c r="AH1070" s="1"/>
      <c r="AL1070" s="1"/>
      <c r="AP1070" s="1"/>
      <c r="AT1070" s="16"/>
      <c r="AX1070" s="16"/>
    </row>
    <row r="1071" spans="2:50" x14ac:dyDescent="0.25">
      <c r="B1071" s="1"/>
      <c r="F1071" s="1"/>
      <c r="J1071" s="1"/>
      <c r="N1071" s="1"/>
      <c r="R1071" s="1"/>
      <c r="V1071" s="1"/>
      <c r="Z1071" s="1"/>
      <c r="AD1071" s="1"/>
      <c r="AH1071" s="1"/>
      <c r="AL1071" s="1"/>
      <c r="AP1071" s="1"/>
      <c r="AT1071" s="16"/>
      <c r="AX1071" s="16"/>
    </row>
    <row r="1072" spans="2:50" x14ac:dyDescent="0.25">
      <c r="B1072" s="1"/>
      <c r="F1072" s="1"/>
      <c r="J1072" s="1"/>
      <c r="N1072" s="1"/>
      <c r="R1072" s="1"/>
      <c r="V1072" s="1"/>
      <c r="Z1072" s="1"/>
      <c r="AD1072" s="1"/>
      <c r="AH1072" s="1"/>
      <c r="AL1072" s="1"/>
      <c r="AP1072" s="1"/>
      <c r="AT1072" s="16"/>
      <c r="AX1072" s="16"/>
    </row>
    <row r="1073" spans="2:50" x14ac:dyDescent="0.25">
      <c r="B1073" s="1"/>
      <c r="F1073" s="1"/>
      <c r="J1073" s="1"/>
      <c r="N1073" s="1"/>
      <c r="R1073" s="1"/>
      <c r="V1073" s="1"/>
      <c r="Z1073" s="1"/>
      <c r="AD1073" s="1"/>
      <c r="AH1073" s="1"/>
      <c r="AL1073" s="1"/>
      <c r="AP1073" s="1"/>
      <c r="AT1073" s="16"/>
      <c r="AX1073" s="16"/>
    </row>
    <row r="1074" spans="2:50" x14ac:dyDescent="0.25">
      <c r="B1074" s="1"/>
      <c r="F1074" s="1"/>
      <c r="J1074" s="1"/>
      <c r="N1074" s="1"/>
      <c r="R1074" s="1"/>
      <c r="V1074" s="1"/>
      <c r="Z1074" s="1"/>
      <c r="AD1074" s="1"/>
      <c r="AH1074" s="1"/>
      <c r="AL1074" s="1"/>
      <c r="AP1074" s="1"/>
      <c r="AT1074" s="16"/>
      <c r="AX1074" s="16"/>
    </row>
    <row r="1075" spans="2:50" x14ac:dyDescent="0.25">
      <c r="B1075" s="1"/>
      <c r="F1075" s="1"/>
      <c r="J1075" s="1"/>
      <c r="N1075" s="1"/>
      <c r="R1075" s="1"/>
      <c r="V1075" s="1"/>
      <c r="Z1075" s="1"/>
      <c r="AD1075" s="1"/>
      <c r="AH1075" s="1"/>
      <c r="AL1075" s="1"/>
      <c r="AP1075" s="1"/>
      <c r="AT1075" s="16"/>
      <c r="AX1075" s="16"/>
    </row>
    <row r="1076" spans="2:50" x14ac:dyDescent="0.25">
      <c r="B1076" s="1"/>
      <c r="F1076" s="1"/>
      <c r="J1076" s="1"/>
      <c r="N1076" s="1"/>
      <c r="R1076" s="1"/>
      <c r="V1076" s="1"/>
      <c r="Z1076" s="1"/>
      <c r="AD1076" s="1"/>
      <c r="AH1076" s="1"/>
      <c r="AL1076" s="1"/>
      <c r="AP1076" s="1"/>
      <c r="AT1076" s="16"/>
      <c r="AX1076" s="16"/>
    </row>
    <row r="1077" spans="2:50" x14ac:dyDescent="0.25">
      <c r="B1077" s="1"/>
      <c r="F1077" s="1"/>
      <c r="J1077" s="1"/>
      <c r="N1077" s="1"/>
      <c r="R1077" s="1"/>
      <c r="V1077" s="1"/>
      <c r="Z1077" s="1"/>
      <c r="AD1077" s="1"/>
      <c r="AH1077" s="1"/>
      <c r="AL1077" s="1"/>
      <c r="AP1077" s="1"/>
      <c r="AT1077" s="16"/>
      <c r="AX1077" s="16"/>
    </row>
    <row r="1078" spans="2:50" x14ac:dyDescent="0.25">
      <c r="B1078" s="1"/>
      <c r="F1078" s="1"/>
      <c r="J1078" s="1"/>
      <c r="N1078" s="1"/>
      <c r="R1078" s="1"/>
      <c r="V1078" s="1"/>
      <c r="Z1078" s="1"/>
      <c r="AD1078" s="1"/>
      <c r="AH1078" s="1"/>
      <c r="AL1078" s="1"/>
      <c r="AP1078" s="1"/>
      <c r="AT1078" s="16"/>
      <c r="AX1078" s="16"/>
    </row>
    <row r="1079" spans="2:50" x14ac:dyDescent="0.25">
      <c r="B1079" s="1"/>
      <c r="F1079" s="1"/>
      <c r="J1079" s="1"/>
      <c r="N1079" s="1"/>
      <c r="R1079" s="1"/>
      <c r="V1079" s="1"/>
      <c r="Z1079" s="1"/>
      <c r="AD1079" s="1"/>
      <c r="AH1079" s="1"/>
      <c r="AL1079" s="1"/>
      <c r="AP1079" s="1"/>
      <c r="AT1079" s="16"/>
      <c r="AX1079" s="16"/>
    </row>
    <row r="1080" spans="2:50" x14ac:dyDescent="0.25">
      <c r="B1080" s="1"/>
      <c r="F1080" s="1"/>
      <c r="J1080" s="1"/>
      <c r="N1080" s="1"/>
      <c r="R1080" s="1"/>
      <c r="V1080" s="1"/>
      <c r="Z1080" s="1"/>
      <c r="AD1080" s="1"/>
      <c r="AH1080" s="1"/>
      <c r="AL1080" s="1"/>
      <c r="AP1080" s="1"/>
      <c r="AT1080" s="16"/>
      <c r="AX1080" s="16"/>
    </row>
    <row r="1081" spans="2:50" x14ac:dyDescent="0.25">
      <c r="B1081" s="1"/>
      <c r="F1081" s="1"/>
      <c r="J1081" s="1"/>
      <c r="N1081" s="1"/>
      <c r="R1081" s="1"/>
      <c r="V1081" s="1"/>
      <c r="Z1081" s="1"/>
      <c r="AD1081" s="1"/>
      <c r="AH1081" s="1"/>
      <c r="AL1081" s="1"/>
      <c r="AP1081" s="1"/>
      <c r="AT1081" s="16"/>
      <c r="AX1081" s="16"/>
    </row>
    <row r="1082" spans="2:50" x14ac:dyDescent="0.25">
      <c r="B1082" s="1"/>
      <c r="F1082" s="1"/>
      <c r="J1082" s="1"/>
      <c r="N1082" s="1"/>
      <c r="R1082" s="1"/>
      <c r="V1082" s="1"/>
      <c r="Z1082" s="1"/>
      <c r="AD1082" s="1"/>
      <c r="AH1082" s="1"/>
      <c r="AL1082" s="1"/>
      <c r="AP1082" s="1"/>
      <c r="AT1082" s="16"/>
      <c r="AX1082" s="16"/>
    </row>
    <row r="1083" spans="2:50" x14ac:dyDescent="0.25">
      <c r="B1083" s="1"/>
      <c r="F1083" s="1"/>
      <c r="J1083" s="1"/>
      <c r="N1083" s="1"/>
      <c r="R1083" s="1"/>
      <c r="V1083" s="1"/>
      <c r="Z1083" s="1"/>
      <c r="AD1083" s="1"/>
      <c r="AH1083" s="1"/>
      <c r="AL1083" s="1"/>
      <c r="AP1083" s="1"/>
      <c r="AT1083" s="16"/>
      <c r="AX1083" s="16"/>
    </row>
    <row r="1084" spans="2:50" x14ac:dyDescent="0.25">
      <c r="B1084" s="1"/>
      <c r="F1084" s="1"/>
      <c r="J1084" s="1"/>
      <c r="N1084" s="1"/>
      <c r="R1084" s="1"/>
      <c r="V1084" s="1"/>
      <c r="Z1084" s="1"/>
      <c r="AD1084" s="1"/>
      <c r="AH1084" s="1"/>
      <c r="AL1084" s="1"/>
      <c r="AP1084" s="1"/>
      <c r="AT1084" s="16"/>
      <c r="AX1084" s="16"/>
    </row>
    <row r="1085" spans="2:50" x14ac:dyDescent="0.25">
      <c r="B1085" s="1"/>
      <c r="F1085" s="1"/>
      <c r="J1085" s="1"/>
      <c r="N1085" s="1"/>
      <c r="R1085" s="1"/>
      <c r="V1085" s="1"/>
      <c r="Z1085" s="1"/>
      <c r="AD1085" s="1"/>
      <c r="AH1085" s="1"/>
      <c r="AL1085" s="1"/>
      <c r="AP1085" s="1"/>
      <c r="AT1085" s="16"/>
      <c r="AX1085" s="16"/>
    </row>
    <row r="1086" spans="2:50" x14ac:dyDescent="0.25">
      <c r="B1086" s="1"/>
      <c r="F1086" s="1"/>
      <c r="J1086" s="1"/>
      <c r="N1086" s="1"/>
      <c r="R1086" s="1"/>
      <c r="V1086" s="1"/>
      <c r="Z1086" s="1"/>
      <c r="AD1086" s="1"/>
      <c r="AH1086" s="1"/>
      <c r="AL1086" s="1"/>
      <c r="AP1086" s="1"/>
      <c r="AT1086" s="16"/>
      <c r="AX1086" s="16"/>
    </row>
    <row r="1087" spans="2:50" x14ac:dyDescent="0.25">
      <c r="B1087" s="1"/>
      <c r="F1087" s="1"/>
      <c r="J1087" s="1"/>
      <c r="N1087" s="1"/>
      <c r="R1087" s="1"/>
      <c r="V1087" s="1"/>
      <c r="Z1087" s="1"/>
      <c r="AD1087" s="1"/>
      <c r="AH1087" s="1"/>
      <c r="AL1087" s="1"/>
      <c r="AP1087" s="1"/>
      <c r="AT1087" s="16"/>
      <c r="AX1087" s="16"/>
    </row>
    <row r="1088" spans="2:50" x14ac:dyDescent="0.25">
      <c r="B1088" s="1"/>
      <c r="F1088" s="1"/>
      <c r="J1088" s="1"/>
      <c r="N1088" s="1"/>
      <c r="R1088" s="1"/>
      <c r="V1088" s="1"/>
      <c r="Z1088" s="1"/>
      <c r="AD1088" s="1"/>
      <c r="AH1088" s="1"/>
      <c r="AL1088" s="1"/>
      <c r="AP1088" s="1"/>
      <c r="AT1088" s="16"/>
      <c r="AX1088" s="16"/>
    </row>
    <row r="1089" spans="2:50" x14ac:dyDescent="0.25">
      <c r="B1089" s="1"/>
      <c r="F1089" s="1"/>
      <c r="J1089" s="1"/>
      <c r="N1089" s="1"/>
      <c r="R1089" s="1"/>
      <c r="V1089" s="1"/>
      <c r="Z1089" s="1"/>
      <c r="AD1089" s="1"/>
      <c r="AH1089" s="1"/>
      <c r="AL1089" s="1"/>
      <c r="AP1089" s="1"/>
      <c r="AT1089" s="16"/>
      <c r="AX1089" s="16"/>
    </row>
    <row r="1090" spans="2:50" x14ac:dyDescent="0.25">
      <c r="B1090" s="1"/>
      <c r="F1090" s="1"/>
      <c r="J1090" s="1"/>
      <c r="N1090" s="1"/>
      <c r="R1090" s="1"/>
      <c r="V1090" s="1"/>
      <c r="Z1090" s="1"/>
      <c r="AD1090" s="1"/>
      <c r="AH1090" s="1"/>
      <c r="AL1090" s="1"/>
      <c r="AP1090" s="1"/>
      <c r="AT1090" s="16"/>
      <c r="AX1090" s="16"/>
    </row>
    <row r="1091" spans="2:50" x14ac:dyDescent="0.25">
      <c r="B1091" s="1"/>
      <c r="F1091" s="1"/>
      <c r="J1091" s="1"/>
      <c r="N1091" s="1"/>
      <c r="R1091" s="1"/>
      <c r="V1091" s="1"/>
      <c r="Z1091" s="1"/>
      <c r="AD1091" s="1"/>
      <c r="AH1091" s="1"/>
      <c r="AL1091" s="1"/>
      <c r="AP1091" s="1"/>
      <c r="AT1091" s="16"/>
      <c r="AX1091" s="16"/>
    </row>
    <row r="1092" spans="2:50" x14ac:dyDescent="0.25">
      <c r="B1092" s="1"/>
      <c r="F1092" s="1"/>
      <c r="J1092" s="1"/>
      <c r="N1092" s="1"/>
      <c r="R1092" s="1"/>
      <c r="V1092" s="1"/>
      <c r="Z1092" s="1"/>
      <c r="AD1092" s="1"/>
      <c r="AH1092" s="1"/>
      <c r="AL1092" s="1"/>
      <c r="AP1092" s="1"/>
      <c r="AT1092" s="16"/>
      <c r="AX1092" s="16"/>
    </row>
    <row r="1093" spans="2:50" x14ac:dyDescent="0.25">
      <c r="B1093" s="1"/>
      <c r="F1093" s="1"/>
      <c r="J1093" s="1"/>
      <c r="N1093" s="1"/>
      <c r="R1093" s="1"/>
      <c r="V1093" s="1"/>
      <c r="Z1093" s="1"/>
      <c r="AD1093" s="1"/>
      <c r="AH1093" s="1"/>
      <c r="AL1093" s="1"/>
      <c r="AP1093" s="1"/>
      <c r="AT1093" s="16"/>
      <c r="AX1093" s="16"/>
    </row>
    <row r="1094" spans="2:50" x14ac:dyDescent="0.25">
      <c r="B1094" s="1"/>
      <c r="F1094" s="1"/>
      <c r="J1094" s="1"/>
      <c r="N1094" s="1"/>
      <c r="R1094" s="1"/>
      <c r="V1094" s="1"/>
      <c r="Z1094" s="1"/>
      <c r="AD1094" s="1"/>
      <c r="AH1094" s="1"/>
      <c r="AL1094" s="1"/>
      <c r="AP1094" s="1"/>
      <c r="AT1094" s="16"/>
      <c r="AX1094" s="16"/>
    </row>
    <row r="1095" spans="2:50" x14ac:dyDescent="0.25">
      <c r="B1095" s="1"/>
      <c r="F1095" s="1"/>
      <c r="J1095" s="1"/>
      <c r="N1095" s="1"/>
      <c r="R1095" s="1"/>
      <c r="V1095" s="1"/>
      <c r="Z1095" s="1"/>
      <c r="AD1095" s="1"/>
      <c r="AH1095" s="1"/>
      <c r="AL1095" s="1"/>
      <c r="AP1095" s="1"/>
      <c r="AT1095" s="16"/>
      <c r="AX1095" s="16"/>
    </row>
    <row r="1096" spans="2:50" x14ac:dyDescent="0.25">
      <c r="B1096" s="1"/>
      <c r="F1096" s="1"/>
      <c r="J1096" s="1"/>
      <c r="N1096" s="1"/>
      <c r="R1096" s="1"/>
      <c r="V1096" s="1"/>
      <c r="Z1096" s="1"/>
      <c r="AD1096" s="1"/>
      <c r="AH1096" s="1"/>
      <c r="AL1096" s="1"/>
      <c r="AP1096" s="1"/>
      <c r="AT1096" s="16"/>
      <c r="AX1096" s="16"/>
    </row>
    <row r="1097" spans="2:50" x14ac:dyDescent="0.25">
      <c r="B1097" s="1"/>
      <c r="F1097" s="1"/>
      <c r="J1097" s="1"/>
      <c r="N1097" s="1"/>
      <c r="R1097" s="1"/>
      <c r="V1097" s="1"/>
      <c r="Z1097" s="1"/>
      <c r="AD1097" s="1"/>
      <c r="AH1097" s="1"/>
      <c r="AL1097" s="1"/>
      <c r="AP1097" s="1"/>
      <c r="AT1097" s="16"/>
      <c r="AX1097" s="16"/>
    </row>
    <row r="1098" spans="2:50" x14ac:dyDescent="0.25">
      <c r="B1098" s="1"/>
      <c r="F1098" s="1"/>
      <c r="J1098" s="1"/>
      <c r="N1098" s="1"/>
      <c r="R1098" s="1"/>
      <c r="V1098" s="1"/>
      <c r="Z1098" s="1"/>
      <c r="AD1098" s="1"/>
      <c r="AH1098" s="1"/>
      <c r="AL1098" s="1"/>
      <c r="AP1098" s="1"/>
      <c r="AT1098" s="16"/>
      <c r="AX1098" s="16"/>
    </row>
    <row r="1099" spans="2:50" x14ac:dyDescent="0.25">
      <c r="B1099" s="1"/>
      <c r="F1099" s="1"/>
      <c r="J1099" s="1"/>
      <c r="N1099" s="1"/>
      <c r="R1099" s="1"/>
      <c r="V1099" s="1"/>
      <c r="Z1099" s="1"/>
      <c r="AD1099" s="1"/>
      <c r="AH1099" s="1"/>
      <c r="AL1099" s="1"/>
      <c r="AP1099" s="1"/>
      <c r="AT1099" s="16"/>
      <c r="AX1099" s="16"/>
    </row>
    <row r="1100" spans="2:50" x14ac:dyDescent="0.25">
      <c r="B1100" s="1"/>
      <c r="F1100" s="1"/>
      <c r="J1100" s="1"/>
      <c r="N1100" s="1"/>
      <c r="R1100" s="1"/>
      <c r="V1100" s="1"/>
      <c r="Z1100" s="1"/>
      <c r="AD1100" s="1"/>
      <c r="AH1100" s="1"/>
      <c r="AL1100" s="1"/>
      <c r="AP1100" s="1"/>
      <c r="AT1100" s="16"/>
      <c r="AX1100" s="16"/>
    </row>
    <row r="1101" spans="2:50" x14ac:dyDescent="0.25">
      <c r="B1101" s="1"/>
      <c r="F1101" s="1"/>
      <c r="J1101" s="1"/>
      <c r="N1101" s="1"/>
      <c r="R1101" s="1"/>
      <c r="V1101" s="1"/>
      <c r="Z1101" s="1"/>
      <c r="AD1101" s="1"/>
      <c r="AH1101" s="1"/>
      <c r="AL1101" s="1"/>
      <c r="AP1101" s="1"/>
      <c r="AT1101" s="16"/>
      <c r="AX1101" s="16"/>
    </row>
    <row r="1102" spans="2:50" x14ac:dyDescent="0.25">
      <c r="B1102" s="1"/>
      <c r="F1102" s="1"/>
      <c r="J1102" s="1"/>
      <c r="N1102" s="1"/>
      <c r="R1102" s="1"/>
      <c r="V1102" s="1"/>
      <c r="Z1102" s="1"/>
      <c r="AD1102" s="1"/>
      <c r="AH1102" s="1"/>
      <c r="AL1102" s="1"/>
      <c r="AP1102" s="1"/>
      <c r="AT1102" s="16"/>
      <c r="AX1102" s="16"/>
    </row>
    <row r="1103" spans="2:50" x14ac:dyDescent="0.25">
      <c r="B1103" s="1"/>
      <c r="F1103" s="1"/>
      <c r="J1103" s="1"/>
      <c r="N1103" s="1"/>
      <c r="R1103" s="1"/>
      <c r="V1103" s="1"/>
      <c r="Z1103" s="1"/>
      <c r="AD1103" s="1"/>
      <c r="AH1103" s="1"/>
      <c r="AL1103" s="1"/>
      <c r="AP1103" s="1"/>
      <c r="AT1103" s="16"/>
      <c r="AX1103" s="16"/>
    </row>
    <row r="1104" spans="2:50" x14ac:dyDescent="0.25">
      <c r="B1104" s="1"/>
      <c r="F1104" s="1"/>
      <c r="J1104" s="1"/>
      <c r="N1104" s="1"/>
      <c r="R1104" s="1"/>
      <c r="V1104" s="1"/>
      <c r="Z1104" s="1"/>
      <c r="AD1104" s="1"/>
      <c r="AH1104" s="1"/>
      <c r="AL1104" s="1"/>
      <c r="AP1104" s="1"/>
      <c r="AT1104" s="16"/>
      <c r="AX1104" s="16"/>
    </row>
    <row r="1105" spans="2:50" x14ac:dyDescent="0.25">
      <c r="B1105" s="1"/>
      <c r="F1105" s="1"/>
      <c r="J1105" s="1"/>
      <c r="N1105" s="1"/>
      <c r="R1105" s="1"/>
      <c r="V1105" s="1"/>
      <c r="Z1105" s="1"/>
      <c r="AD1105" s="1"/>
      <c r="AH1105" s="1"/>
      <c r="AL1105" s="1"/>
      <c r="AP1105" s="1"/>
      <c r="AT1105" s="16"/>
      <c r="AX1105" s="16"/>
    </row>
    <row r="1106" spans="2:50" x14ac:dyDescent="0.25">
      <c r="B1106" s="1"/>
      <c r="F1106" s="1"/>
      <c r="J1106" s="1"/>
      <c r="N1106" s="1"/>
      <c r="R1106" s="1"/>
      <c r="V1106" s="1"/>
      <c r="Z1106" s="1"/>
      <c r="AD1106" s="1"/>
      <c r="AH1106" s="1"/>
      <c r="AL1106" s="1"/>
      <c r="AP1106" s="1"/>
      <c r="AT1106" s="16"/>
      <c r="AX1106" s="16"/>
    </row>
    <row r="1107" spans="2:50" x14ac:dyDescent="0.25">
      <c r="B1107" s="1"/>
      <c r="F1107" s="1"/>
      <c r="J1107" s="1"/>
      <c r="N1107" s="1"/>
      <c r="R1107" s="1"/>
      <c r="V1107" s="1"/>
      <c r="Z1107" s="1"/>
      <c r="AD1107" s="1"/>
      <c r="AH1107" s="1"/>
      <c r="AL1107" s="1"/>
      <c r="AP1107" s="1"/>
      <c r="AT1107" s="16"/>
      <c r="AX1107" s="16"/>
    </row>
    <row r="1108" spans="2:50" x14ac:dyDescent="0.25">
      <c r="B1108" s="1"/>
      <c r="F1108" s="1"/>
      <c r="J1108" s="1"/>
      <c r="N1108" s="1"/>
      <c r="R1108" s="1"/>
      <c r="V1108" s="1"/>
      <c r="Z1108" s="1"/>
      <c r="AD1108" s="1"/>
      <c r="AH1108" s="1"/>
      <c r="AL1108" s="1"/>
      <c r="AP1108" s="1"/>
      <c r="AT1108" s="16"/>
      <c r="AX1108" s="16"/>
    </row>
    <row r="1109" spans="2:50" x14ac:dyDescent="0.25">
      <c r="B1109" s="1"/>
      <c r="F1109" s="1"/>
      <c r="J1109" s="1"/>
      <c r="N1109" s="1"/>
      <c r="R1109" s="1"/>
      <c r="V1109" s="1"/>
      <c r="Z1109" s="1"/>
      <c r="AD1109" s="1"/>
      <c r="AH1109" s="1"/>
      <c r="AL1109" s="1"/>
      <c r="AP1109" s="1"/>
      <c r="AT1109" s="16"/>
      <c r="AX1109" s="16"/>
    </row>
    <row r="1110" spans="2:50" x14ac:dyDescent="0.25">
      <c r="B1110" s="1"/>
      <c r="F1110" s="1"/>
      <c r="J1110" s="1"/>
      <c r="N1110" s="1"/>
      <c r="R1110" s="1"/>
      <c r="V1110" s="1"/>
      <c r="Z1110" s="1"/>
      <c r="AD1110" s="1"/>
      <c r="AH1110" s="1"/>
      <c r="AL1110" s="1"/>
      <c r="AP1110" s="1"/>
      <c r="AT1110" s="16"/>
      <c r="AX1110" s="16"/>
    </row>
    <row r="1111" spans="2:50" x14ac:dyDescent="0.25">
      <c r="B1111" s="1"/>
      <c r="F1111" s="1"/>
      <c r="J1111" s="1"/>
      <c r="N1111" s="1"/>
      <c r="R1111" s="1"/>
      <c r="V1111" s="1"/>
      <c r="Z1111" s="1"/>
      <c r="AD1111" s="1"/>
      <c r="AH1111" s="1"/>
      <c r="AL1111" s="1"/>
      <c r="AP1111" s="1"/>
      <c r="AT1111" s="16"/>
      <c r="AX1111" s="16"/>
    </row>
    <row r="1112" spans="2:50" x14ac:dyDescent="0.25">
      <c r="B1112" s="1"/>
      <c r="F1112" s="1"/>
      <c r="J1112" s="1"/>
      <c r="N1112" s="1"/>
      <c r="R1112" s="1"/>
      <c r="V1112" s="1"/>
      <c r="Z1112" s="1"/>
      <c r="AD1112" s="1"/>
      <c r="AH1112" s="1"/>
      <c r="AL1112" s="1"/>
      <c r="AP1112" s="1"/>
      <c r="AT1112" s="16"/>
      <c r="AX1112" s="16"/>
    </row>
    <row r="1113" spans="2:50" x14ac:dyDescent="0.25">
      <c r="B1113" s="1"/>
      <c r="F1113" s="1"/>
      <c r="J1113" s="1"/>
      <c r="N1113" s="1"/>
      <c r="R1113" s="1"/>
      <c r="V1113" s="1"/>
      <c r="Z1113" s="1"/>
      <c r="AD1113" s="1"/>
      <c r="AH1113" s="1"/>
      <c r="AL1113" s="1"/>
      <c r="AP1113" s="1"/>
      <c r="AT1113" s="16"/>
      <c r="AX1113" s="16"/>
    </row>
    <row r="1114" spans="2:50" x14ac:dyDescent="0.25">
      <c r="B1114" s="1"/>
      <c r="F1114" s="1"/>
      <c r="J1114" s="1"/>
      <c r="N1114" s="1"/>
      <c r="R1114" s="1"/>
      <c r="V1114" s="1"/>
      <c r="Z1114" s="1"/>
      <c r="AD1114" s="1"/>
      <c r="AH1114" s="1"/>
      <c r="AL1114" s="1"/>
      <c r="AP1114" s="1"/>
      <c r="AT1114" s="16"/>
      <c r="AX1114" s="16"/>
    </row>
    <row r="1115" spans="2:50" x14ac:dyDescent="0.25">
      <c r="B1115" s="1"/>
      <c r="F1115" s="1"/>
      <c r="J1115" s="1"/>
      <c r="N1115" s="1"/>
      <c r="R1115" s="1"/>
      <c r="V1115" s="1"/>
      <c r="Z1115" s="1"/>
      <c r="AD1115" s="1"/>
      <c r="AH1115" s="1"/>
      <c r="AL1115" s="1"/>
      <c r="AP1115" s="1"/>
      <c r="AT1115" s="16"/>
      <c r="AX1115" s="16"/>
    </row>
    <row r="1116" spans="2:50" x14ac:dyDescent="0.25">
      <c r="B1116" s="1"/>
      <c r="F1116" s="1"/>
      <c r="J1116" s="1"/>
      <c r="N1116" s="1"/>
      <c r="R1116" s="1"/>
      <c r="V1116" s="1"/>
      <c r="Z1116" s="1"/>
      <c r="AD1116" s="1"/>
      <c r="AH1116" s="1"/>
      <c r="AL1116" s="1"/>
      <c r="AP1116" s="1"/>
      <c r="AT1116" s="16"/>
      <c r="AX1116" s="16"/>
    </row>
    <row r="1117" spans="2:50" x14ac:dyDescent="0.25">
      <c r="B1117" s="1"/>
      <c r="F1117" s="1"/>
      <c r="J1117" s="1"/>
      <c r="N1117" s="1"/>
      <c r="R1117" s="1"/>
      <c r="V1117" s="1"/>
      <c r="Z1117" s="1"/>
      <c r="AD1117" s="1"/>
      <c r="AH1117" s="1"/>
      <c r="AL1117" s="1"/>
      <c r="AP1117" s="1"/>
      <c r="AT1117" s="16"/>
      <c r="AX1117" s="16"/>
    </row>
    <row r="1118" spans="2:50" x14ac:dyDescent="0.25">
      <c r="B1118" s="1"/>
      <c r="F1118" s="1"/>
      <c r="J1118" s="1"/>
      <c r="N1118" s="1"/>
      <c r="R1118" s="1"/>
      <c r="V1118" s="1"/>
      <c r="Z1118" s="1"/>
      <c r="AD1118" s="1"/>
      <c r="AH1118" s="1"/>
      <c r="AL1118" s="1"/>
      <c r="AP1118" s="1"/>
      <c r="AT1118" s="16"/>
      <c r="AX1118" s="16"/>
    </row>
    <row r="1119" spans="2:50" x14ac:dyDescent="0.25">
      <c r="B1119" s="1"/>
      <c r="F1119" s="1"/>
      <c r="J1119" s="1"/>
      <c r="N1119" s="1"/>
      <c r="R1119" s="1"/>
      <c r="V1119" s="1"/>
      <c r="Z1119" s="1"/>
      <c r="AD1119" s="1"/>
      <c r="AH1119" s="1"/>
      <c r="AL1119" s="1"/>
      <c r="AP1119" s="1"/>
      <c r="AT1119" s="16"/>
      <c r="AX1119" s="16"/>
    </row>
    <row r="1120" spans="2:50" x14ac:dyDescent="0.25">
      <c r="B1120" s="1"/>
      <c r="F1120" s="1"/>
      <c r="J1120" s="1"/>
      <c r="N1120" s="1"/>
      <c r="R1120" s="1"/>
      <c r="V1120" s="1"/>
      <c r="Z1120" s="1"/>
      <c r="AD1120" s="1"/>
      <c r="AH1120" s="1"/>
      <c r="AL1120" s="1"/>
      <c r="AP1120" s="1"/>
      <c r="AT1120" s="16"/>
      <c r="AX1120" s="16"/>
    </row>
    <row r="1121" spans="2:50" x14ac:dyDescent="0.25">
      <c r="B1121" s="1"/>
      <c r="F1121" s="1"/>
      <c r="J1121" s="1"/>
      <c r="N1121" s="1"/>
      <c r="R1121" s="1"/>
      <c r="V1121" s="1"/>
      <c r="Z1121" s="1"/>
      <c r="AD1121" s="1"/>
      <c r="AH1121" s="1"/>
      <c r="AL1121" s="1"/>
      <c r="AP1121" s="1"/>
      <c r="AT1121" s="16"/>
      <c r="AX1121" s="16"/>
    </row>
    <row r="1122" spans="2:50" x14ac:dyDescent="0.25">
      <c r="B1122" s="1"/>
      <c r="F1122" s="1"/>
      <c r="J1122" s="1"/>
      <c r="N1122" s="1"/>
      <c r="R1122" s="1"/>
      <c r="V1122" s="1"/>
      <c r="Z1122" s="1"/>
      <c r="AD1122" s="1"/>
      <c r="AH1122" s="1"/>
      <c r="AL1122" s="1"/>
      <c r="AP1122" s="1"/>
      <c r="AT1122" s="16"/>
      <c r="AX1122" s="16"/>
    </row>
    <row r="1123" spans="2:50" x14ac:dyDescent="0.25">
      <c r="B1123" s="1"/>
      <c r="F1123" s="1"/>
      <c r="J1123" s="1"/>
      <c r="N1123" s="1"/>
      <c r="R1123" s="1"/>
      <c r="V1123" s="1"/>
      <c r="Z1123" s="1"/>
      <c r="AD1123" s="1"/>
      <c r="AH1123" s="1"/>
      <c r="AL1123" s="1"/>
      <c r="AP1123" s="1"/>
      <c r="AT1123" s="16"/>
      <c r="AX1123" s="16"/>
    </row>
    <row r="1124" spans="2:50" x14ac:dyDescent="0.25">
      <c r="B1124" s="1"/>
      <c r="F1124" s="1"/>
      <c r="J1124" s="1"/>
      <c r="N1124" s="1"/>
      <c r="R1124" s="1"/>
      <c r="V1124" s="1"/>
      <c r="Z1124" s="1"/>
      <c r="AD1124" s="1"/>
      <c r="AH1124" s="1"/>
      <c r="AL1124" s="1"/>
      <c r="AP1124" s="1"/>
      <c r="AT1124" s="16"/>
      <c r="AX1124" s="16"/>
    </row>
    <row r="1125" spans="2:50" x14ac:dyDescent="0.25">
      <c r="B1125" s="1"/>
      <c r="F1125" s="1"/>
      <c r="J1125" s="1"/>
      <c r="N1125" s="1"/>
      <c r="R1125" s="1"/>
      <c r="V1125" s="1"/>
      <c r="Z1125" s="1"/>
      <c r="AD1125" s="1"/>
      <c r="AH1125" s="1"/>
      <c r="AL1125" s="1"/>
      <c r="AP1125" s="1"/>
      <c r="AT1125" s="16"/>
      <c r="AX1125" s="16"/>
    </row>
    <row r="1126" spans="2:50" x14ac:dyDescent="0.25">
      <c r="B1126" s="1"/>
      <c r="F1126" s="1"/>
      <c r="J1126" s="1"/>
      <c r="N1126" s="1"/>
      <c r="R1126" s="1"/>
      <c r="V1126" s="1"/>
      <c r="Z1126" s="1"/>
      <c r="AD1126" s="1"/>
      <c r="AH1126" s="1"/>
      <c r="AL1126" s="1"/>
      <c r="AP1126" s="1"/>
      <c r="AT1126" s="16"/>
      <c r="AX1126" s="16"/>
    </row>
    <row r="1127" spans="2:50" x14ac:dyDescent="0.25">
      <c r="B1127" s="1"/>
      <c r="F1127" s="1"/>
      <c r="J1127" s="1"/>
      <c r="N1127" s="1"/>
      <c r="R1127" s="1"/>
      <c r="V1127" s="1"/>
      <c r="Z1127" s="1"/>
      <c r="AD1127" s="1"/>
      <c r="AH1127" s="1"/>
      <c r="AL1127" s="1"/>
      <c r="AP1127" s="1"/>
      <c r="AT1127" s="16"/>
      <c r="AX1127" s="16"/>
    </row>
    <row r="1128" spans="2:50" x14ac:dyDescent="0.25">
      <c r="B1128" s="1"/>
      <c r="F1128" s="1"/>
      <c r="J1128" s="1"/>
      <c r="N1128" s="1"/>
      <c r="R1128" s="1"/>
      <c r="V1128" s="1"/>
      <c r="Z1128" s="1"/>
      <c r="AD1128" s="1"/>
      <c r="AH1128" s="1"/>
      <c r="AL1128" s="1"/>
      <c r="AP1128" s="1"/>
      <c r="AT1128" s="16"/>
      <c r="AX1128" s="16"/>
    </row>
    <row r="1129" spans="2:50" x14ac:dyDescent="0.25">
      <c r="B1129" s="1"/>
      <c r="F1129" s="1"/>
      <c r="J1129" s="1"/>
      <c r="N1129" s="1"/>
      <c r="R1129" s="1"/>
      <c r="V1129" s="1"/>
      <c r="Z1129" s="1"/>
      <c r="AD1129" s="1"/>
      <c r="AH1129" s="1"/>
      <c r="AL1129" s="1"/>
      <c r="AP1129" s="1"/>
      <c r="AT1129" s="16"/>
      <c r="AX1129" s="16"/>
    </row>
    <row r="1130" spans="2:50" x14ac:dyDescent="0.25">
      <c r="B1130" s="1"/>
      <c r="F1130" s="1"/>
      <c r="J1130" s="1"/>
      <c r="N1130" s="1"/>
      <c r="R1130" s="1"/>
      <c r="V1130" s="1"/>
      <c r="Z1130" s="1"/>
      <c r="AD1130" s="1"/>
      <c r="AH1130" s="1"/>
      <c r="AL1130" s="1"/>
      <c r="AP1130" s="1"/>
      <c r="AT1130" s="16"/>
      <c r="AX1130" s="16"/>
    </row>
    <row r="1131" spans="2:50" x14ac:dyDescent="0.25">
      <c r="B1131" s="1"/>
      <c r="F1131" s="1"/>
      <c r="J1131" s="1"/>
      <c r="N1131" s="1"/>
      <c r="R1131" s="1"/>
      <c r="V1131" s="1"/>
      <c r="Z1131" s="1"/>
      <c r="AD1131" s="1"/>
      <c r="AH1131" s="1"/>
      <c r="AL1131" s="1"/>
      <c r="AP1131" s="1"/>
      <c r="AT1131" s="16"/>
      <c r="AX1131" s="16"/>
    </row>
    <row r="1132" spans="2:50" x14ac:dyDescent="0.25">
      <c r="B1132" s="1"/>
      <c r="F1132" s="1"/>
      <c r="J1132" s="1"/>
      <c r="N1132" s="1"/>
      <c r="R1132" s="1"/>
      <c r="V1132" s="1"/>
      <c r="Z1132" s="1"/>
      <c r="AD1132" s="1"/>
      <c r="AH1132" s="1"/>
      <c r="AL1132" s="1"/>
      <c r="AP1132" s="1"/>
      <c r="AT1132" s="16"/>
      <c r="AX1132" s="16"/>
    </row>
    <row r="1133" spans="2:50" x14ac:dyDescent="0.25">
      <c r="B1133" s="1"/>
      <c r="F1133" s="1"/>
      <c r="J1133" s="1"/>
      <c r="N1133" s="1"/>
      <c r="R1133" s="1"/>
      <c r="V1133" s="1"/>
      <c r="Z1133" s="1"/>
      <c r="AD1133" s="1"/>
      <c r="AH1133" s="1"/>
      <c r="AL1133" s="1"/>
      <c r="AP1133" s="1"/>
      <c r="AT1133" s="16"/>
      <c r="AX1133" s="16"/>
    </row>
    <row r="1134" spans="2:50" x14ac:dyDescent="0.25">
      <c r="B1134" s="1"/>
      <c r="F1134" s="1"/>
      <c r="J1134" s="1"/>
      <c r="N1134" s="1"/>
      <c r="R1134" s="1"/>
      <c r="V1134" s="1"/>
      <c r="Z1134" s="1"/>
      <c r="AD1134" s="1"/>
      <c r="AH1134" s="1"/>
      <c r="AL1134" s="1"/>
      <c r="AP1134" s="1"/>
      <c r="AT1134" s="16"/>
      <c r="AX1134" s="16"/>
    </row>
    <row r="1135" spans="2:50" x14ac:dyDescent="0.25">
      <c r="B1135" s="1"/>
      <c r="F1135" s="1"/>
      <c r="J1135" s="1"/>
      <c r="N1135" s="1"/>
      <c r="R1135" s="1"/>
      <c r="V1135" s="1"/>
      <c r="Z1135" s="1"/>
      <c r="AD1135" s="1"/>
      <c r="AH1135" s="1"/>
      <c r="AL1135" s="1"/>
      <c r="AP1135" s="1"/>
      <c r="AT1135" s="16"/>
      <c r="AX1135" s="16"/>
    </row>
    <row r="1136" spans="2:50" x14ac:dyDescent="0.25">
      <c r="B1136" s="1"/>
      <c r="F1136" s="1"/>
      <c r="J1136" s="1"/>
      <c r="N1136" s="1"/>
      <c r="R1136" s="1"/>
      <c r="V1136" s="1"/>
      <c r="Z1136" s="1"/>
      <c r="AD1136" s="1"/>
      <c r="AH1136" s="1"/>
      <c r="AL1136" s="1"/>
      <c r="AP1136" s="1"/>
      <c r="AT1136" s="16"/>
      <c r="AX1136" s="16"/>
    </row>
    <row r="1137" spans="2:50" x14ac:dyDescent="0.25">
      <c r="B1137" s="1"/>
      <c r="F1137" s="1"/>
      <c r="J1137" s="1"/>
      <c r="N1137" s="1"/>
      <c r="R1137" s="1"/>
      <c r="V1137" s="1"/>
      <c r="Z1137" s="1"/>
      <c r="AD1137" s="1"/>
      <c r="AH1137" s="1"/>
      <c r="AL1137" s="1"/>
      <c r="AP1137" s="1"/>
      <c r="AT1137" s="16"/>
      <c r="AX1137" s="16"/>
    </row>
    <row r="1138" spans="2:50" x14ac:dyDescent="0.25">
      <c r="B1138" s="1"/>
      <c r="F1138" s="1"/>
      <c r="J1138" s="1"/>
      <c r="N1138" s="1"/>
      <c r="R1138" s="1"/>
      <c r="V1138" s="1"/>
      <c r="Z1138" s="1"/>
      <c r="AD1138" s="1"/>
      <c r="AH1138" s="1"/>
      <c r="AL1138" s="1"/>
      <c r="AP1138" s="1"/>
      <c r="AT1138" s="16"/>
      <c r="AX1138" s="16"/>
    </row>
    <row r="1139" spans="2:50" x14ac:dyDescent="0.25">
      <c r="B1139" s="1"/>
      <c r="F1139" s="1"/>
      <c r="J1139" s="1"/>
      <c r="N1139" s="1"/>
      <c r="R1139" s="1"/>
      <c r="V1139" s="1"/>
      <c r="Z1139" s="1"/>
      <c r="AD1139" s="1"/>
      <c r="AH1139" s="1"/>
      <c r="AL1139" s="1"/>
      <c r="AP1139" s="1"/>
      <c r="AT1139" s="16"/>
      <c r="AX1139" s="16"/>
    </row>
    <row r="1140" spans="2:50" x14ac:dyDescent="0.25">
      <c r="B1140" s="1"/>
      <c r="F1140" s="1"/>
      <c r="J1140" s="1"/>
      <c r="N1140" s="1"/>
      <c r="R1140" s="1"/>
      <c r="V1140" s="1"/>
      <c r="Z1140" s="1"/>
      <c r="AD1140" s="1"/>
      <c r="AH1140" s="1"/>
      <c r="AL1140" s="1"/>
      <c r="AP1140" s="1"/>
      <c r="AT1140" s="16"/>
      <c r="AX1140" s="16"/>
    </row>
    <row r="1141" spans="2:50" x14ac:dyDescent="0.25">
      <c r="B1141" s="1"/>
      <c r="F1141" s="1"/>
      <c r="J1141" s="1"/>
      <c r="N1141" s="1"/>
      <c r="R1141" s="1"/>
      <c r="V1141" s="1"/>
      <c r="Z1141" s="1"/>
      <c r="AD1141" s="1"/>
      <c r="AH1141" s="1"/>
      <c r="AL1141" s="1"/>
      <c r="AP1141" s="1"/>
      <c r="AT1141" s="16"/>
      <c r="AX1141" s="16"/>
    </row>
    <row r="1142" spans="2:50" x14ac:dyDescent="0.25">
      <c r="B1142" s="1"/>
      <c r="F1142" s="1"/>
      <c r="J1142" s="1"/>
      <c r="N1142" s="1"/>
      <c r="R1142" s="1"/>
      <c r="V1142" s="1"/>
      <c r="Z1142" s="1"/>
      <c r="AD1142" s="1"/>
      <c r="AH1142" s="1"/>
      <c r="AL1142" s="1"/>
      <c r="AP1142" s="1"/>
      <c r="AT1142" s="16"/>
      <c r="AX1142" s="16"/>
    </row>
    <row r="1143" spans="2:50" x14ac:dyDescent="0.25">
      <c r="B1143" s="1"/>
      <c r="F1143" s="1"/>
      <c r="J1143" s="1"/>
      <c r="N1143" s="1"/>
      <c r="R1143" s="1"/>
      <c r="V1143" s="1"/>
      <c r="Z1143" s="1"/>
      <c r="AD1143" s="1"/>
      <c r="AH1143" s="1"/>
      <c r="AL1143" s="1"/>
      <c r="AP1143" s="1"/>
      <c r="AT1143" s="16"/>
      <c r="AX1143" s="16"/>
    </row>
    <row r="1144" spans="2:50" x14ac:dyDescent="0.25">
      <c r="B1144" s="1"/>
      <c r="F1144" s="1"/>
      <c r="J1144" s="1"/>
      <c r="N1144" s="1"/>
      <c r="R1144" s="1"/>
      <c r="V1144" s="1"/>
      <c r="Z1144" s="1"/>
      <c r="AD1144" s="1"/>
      <c r="AH1144" s="1"/>
      <c r="AL1144" s="1"/>
      <c r="AP1144" s="1"/>
      <c r="AT1144" s="16"/>
      <c r="AX1144" s="16"/>
    </row>
    <row r="1145" spans="2:50" x14ac:dyDescent="0.25">
      <c r="B1145" s="1"/>
      <c r="F1145" s="1"/>
      <c r="J1145" s="1"/>
      <c r="N1145" s="1"/>
      <c r="R1145" s="1"/>
      <c r="V1145" s="1"/>
      <c r="Z1145" s="1"/>
      <c r="AD1145" s="1"/>
      <c r="AH1145" s="1"/>
      <c r="AL1145" s="1"/>
      <c r="AP1145" s="1"/>
      <c r="AT1145" s="16"/>
      <c r="AX1145" s="16"/>
    </row>
    <row r="1146" spans="2:50" x14ac:dyDescent="0.25">
      <c r="B1146" s="1"/>
      <c r="F1146" s="1"/>
      <c r="J1146" s="1"/>
      <c r="N1146" s="1"/>
      <c r="R1146" s="1"/>
      <c r="V1146" s="1"/>
      <c r="Z1146" s="1"/>
      <c r="AD1146" s="1"/>
      <c r="AH1146" s="1"/>
      <c r="AL1146" s="1"/>
      <c r="AP1146" s="1"/>
      <c r="AT1146" s="16"/>
      <c r="AX1146" s="16"/>
    </row>
    <row r="1147" spans="2:50" x14ac:dyDescent="0.25">
      <c r="B1147" s="1"/>
      <c r="F1147" s="1"/>
      <c r="J1147" s="1"/>
      <c r="N1147" s="1"/>
      <c r="R1147" s="1"/>
      <c r="V1147" s="1"/>
      <c r="Z1147" s="1"/>
      <c r="AD1147" s="1"/>
      <c r="AH1147" s="1"/>
      <c r="AL1147" s="1"/>
      <c r="AP1147" s="1"/>
      <c r="AT1147" s="16"/>
      <c r="AX1147" s="16"/>
    </row>
    <row r="1148" spans="2:50" x14ac:dyDescent="0.25">
      <c r="B1148" s="1"/>
      <c r="F1148" s="1"/>
      <c r="J1148" s="1"/>
      <c r="N1148" s="1"/>
      <c r="R1148" s="1"/>
      <c r="V1148" s="1"/>
      <c r="Z1148" s="1"/>
      <c r="AD1148" s="1"/>
      <c r="AH1148" s="1"/>
      <c r="AL1148" s="1"/>
      <c r="AP1148" s="1"/>
      <c r="AT1148" s="16"/>
      <c r="AX1148" s="16"/>
    </row>
    <row r="1149" spans="2:50" x14ac:dyDescent="0.25">
      <c r="B1149" s="1"/>
      <c r="F1149" s="1"/>
      <c r="J1149" s="1"/>
      <c r="N1149" s="1"/>
      <c r="R1149" s="1"/>
      <c r="V1149" s="1"/>
      <c r="Z1149" s="1"/>
      <c r="AD1149" s="1"/>
      <c r="AH1149" s="1"/>
      <c r="AL1149" s="1"/>
      <c r="AP1149" s="1"/>
      <c r="AT1149" s="16"/>
      <c r="AX1149" s="16"/>
    </row>
    <row r="1150" spans="2:50" x14ac:dyDescent="0.25">
      <c r="B1150" s="1"/>
      <c r="F1150" s="1"/>
      <c r="J1150" s="1"/>
      <c r="N1150" s="1"/>
      <c r="R1150" s="1"/>
      <c r="V1150" s="1"/>
      <c r="Z1150" s="1"/>
      <c r="AD1150" s="1"/>
      <c r="AH1150" s="1"/>
      <c r="AL1150" s="1"/>
      <c r="AP1150" s="1"/>
      <c r="AT1150" s="16"/>
      <c r="AX1150" s="16"/>
    </row>
    <row r="1151" spans="2:50" x14ac:dyDescent="0.25">
      <c r="B1151" s="1"/>
      <c r="F1151" s="1"/>
      <c r="J1151" s="1"/>
      <c r="N1151" s="1"/>
      <c r="R1151" s="1"/>
      <c r="V1151" s="1"/>
      <c r="Z1151" s="1"/>
      <c r="AD1151" s="1"/>
      <c r="AH1151" s="1"/>
      <c r="AL1151" s="1"/>
      <c r="AP1151" s="1"/>
      <c r="AT1151" s="16"/>
      <c r="AX1151" s="16"/>
    </row>
    <row r="1152" spans="2:50" x14ac:dyDescent="0.25">
      <c r="B1152" s="1"/>
      <c r="F1152" s="1"/>
      <c r="J1152" s="1"/>
      <c r="N1152" s="1"/>
      <c r="R1152" s="1"/>
      <c r="V1152" s="1"/>
      <c r="Z1152" s="1"/>
      <c r="AD1152" s="1"/>
      <c r="AH1152" s="1"/>
      <c r="AL1152" s="1"/>
      <c r="AP1152" s="1"/>
      <c r="AT1152" s="16"/>
      <c r="AX1152" s="16"/>
    </row>
    <row r="1153" spans="2:50" x14ac:dyDescent="0.25">
      <c r="B1153" s="1"/>
      <c r="F1153" s="1"/>
      <c r="J1153" s="1"/>
      <c r="N1153" s="1"/>
      <c r="R1153" s="1"/>
      <c r="V1153" s="1"/>
      <c r="Z1153" s="1"/>
      <c r="AD1153" s="1"/>
      <c r="AH1153" s="1"/>
      <c r="AL1153" s="1"/>
      <c r="AP1153" s="1"/>
      <c r="AT1153" s="16"/>
      <c r="AX1153" s="16"/>
    </row>
    <row r="1154" spans="2:50" x14ac:dyDescent="0.25">
      <c r="B1154" s="1"/>
      <c r="F1154" s="1"/>
      <c r="J1154" s="1"/>
      <c r="N1154" s="1"/>
      <c r="R1154" s="1"/>
      <c r="V1154" s="1"/>
      <c r="Z1154" s="1"/>
      <c r="AD1154" s="1"/>
      <c r="AH1154" s="1"/>
      <c r="AL1154" s="1"/>
      <c r="AP1154" s="1"/>
      <c r="AT1154" s="16"/>
      <c r="AX1154" s="16"/>
    </row>
    <row r="1155" spans="2:50" x14ac:dyDescent="0.25">
      <c r="B1155" s="1"/>
      <c r="F1155" s="1"/>
      <c r="J1155" s="1"/>
      <c r="N1155" s="1"/>
      <c r="R1155" s="1"/>
      <c r="V1155" s="1"/>
      <c r="Z1155" s="1"/>
      <c r="AD1155" s="1"/>
      <c r="AH1155" s="1"/>
      <c r="AL1155" s="1"/>
      <c r="AP1155" s="1"/>
      <c r="AT1155" s="16"/>
      <c r="AX1155" s="16"/>
    </row>
    <row r="1156" spans="2:50" x14ac:dyDescent="0.25">
      <c r="B1156" s="1"/>
      <c r="F1156" s="1"/>
      <c r="J1156" s="1"/>
      <c r="N1156" s="1"/>
      <c r="R1156" s="1"/>
      <c r="V1156" s="1"/>
      <c r="Z1156" s="1"/>
      <c r="AD1156" s="1"/>
      <c r="AH1156" s="1"/>
      <c r="AL1156" s="1"/>
      <c r="AP1156" s="1"/>
      <c r="AT1156" s="16"/>
      <c r="AX1156" s="16"/>
    </row>
    <row r="1157" spans="2:50" x14ac:dyDescent="0.25">
      <c r="B1157" s="1"/>
      <c r="F1157" s="1"/>
      <c r="J1157" s="1"/>
      <c r="N1157" s="1"/>
      <c r="R1157" s="1"/>
      <c r="V1157" s="1"/>
      <c r="Z1157" s="1"/>
      <c r="AD1157" s="1"/>
      <c r="AH1157" s="1"/>
      <c r="AL1157" s="1"/>
      <c r="AP1157" s="1"/>
      <c r="AT1157" s="16"/>
      <c r="AX1157" s="16"/>
    </row>
    <row r="1158" spans="2:50" x14ac:dyDescent="0.25">
      <c r="B1158" s="1"/>
      <c r="F1158" s="1"/>
      <c r="J1158" s="1"/>
      <c r="N1158" s="1"/>
      <c r="R1158" s="1"/>
      <c r="V1158" s="1"/>
      <c r="Z1158" s="1"/>
      <c r="AD1158" s="1"/>
      <c r="AH1158" s="1"/>
      <c r="AL1158" s="1"/>
      <c r="AP1158" s="1"/>
      <c r="AT1158" s="16"/>
      <c r="AX1158" s="16"/>
    </row>
    <row r="1159" spans="2:50" x14ac:dyDescent="0.25">
      <c r="B1159" s="1"/>
      <c r="F1159" s="1"/>
      <c r="J1159" s="1"/>
      <c r="N1159" s="1"/>
      <c r="R1159" s="1"/>
      <c r="V1159" s="1"/>
      <c r="Z1159" s="1"/>
      <c r="AD1159" s="1"/>
      <c r="AH1159" s="1"/>
      <c r="AL1159" s="1"/>
      <c r="AP1159" s="1"/>
      <c r="AT1159" s="16"/>
      <c r="AX1159" s="16"/>
    </row>
    <row r="1160" spans="2:50" x14ac:dyDescent="0.25">
      <c r="B1160" s="1"/>
      <c r="F1160" s="1"/>
      <c r="J1160" s="1"/>
      <c r="N1160" s="1"/>
      <c r="R1160" s="1"/>
      <c r="V1160" s="1"/>
      <c r="Z1160" s="1"/>
      <c r="AD1160" s="1"/>
      <c r="AH1160" s="1"/>
      <c r="AL1160" s="1"/>
      <c r="AP1160" s="1"/>
      <c r="AT1160" s="16"/>
      <c r="AX1160" s="16"/>
    </row>
    <row r="1161" spans="2:50" x14ac:dyDescent="0.25">
      <c r="B1161" s="1"/>
      <c r="F1161" s="1"/>
      <c r="J1161" s="1"/>
      <c r="N1161" s="1"/>
      <c r="R1161" s="1"/>
      <c r="V1161" s="1"/>
      <c r="Z1161" s="1"/>
      <c r="AD1161" s="1"/>
      <c r="AH1161" s="1"/>
      <c r="AL1161" s="1"/>
      <c r="AP1161" s="1"/>
      <c r="AT1161" s="16"/>
      <c r="AX1161" s="16"/>
    </row>
    <row r="1162" spans="2:50" x14ac:dyDescent="0.25">
      <c r="B1162" s="1"/>
      <c r="F1162" s="1"/>
      <c r="J1162" s="1"/>
      <c r="N1162" s="1"/>
      <c r="R1162" s="1"/>
      <c r="V1162" s="1"/>
      <c r="Z1162" s="1"/>
      <c r="AD1162" s="1"/>
      <c r="AH1162" s="1"/>
      <c r="AL1162" s="1"/>
      <c r="AP1162" s="1"/>
      <c r="AT1162" s="16"/>
      <c r="AX1162" s="16"/>
    </row>
    <row r="1163" spans="2:50" x14ac:dyDescent="0.25">
      <c r="B1163" s="1"/>
      <c r="F1163" s="1"/>
      <c r="J1163" s="1"/>
      <c r="N1163" s="1"/>
      <c r="R1163" s="1"/>
      <c r="V1163" s="1"/>
      <c r="Z1163" s="1"/>
      <c r="AD1163" s="1"/>
      <c r="AH1163" s="1"/>
      <c r="AL1163" s="1"/>
      <c r="AP1163" s="1"/>
      <c r="AT1163" s="16"/>
      <c r="AX1163" s="16"/>
    </row>
    <row r="1164" spans="2:50" x14ac:dyDescent="0.25">
      <c r="B1164" s="1"/>
      <c r="F1164" s="1"/>
      <c r="J1164" s="1"/>
      <c r="N1164" s="1"/>
      <c r="R1164" s="1"/>
      <c r="V1164" s="1"/>
      <c r="Z1164" s="1"/>
      <c r="AD1164" s="1"/>
      <c r="AH1164" s="1"/>
      <c r="AL1164" s="1"/>
      <c r="AP1164" s="1"/>
      <c r="AT1164" s="16"/>
      <c r="AX1164" s="16"/>
    </row>
    <row r="1165" spans="2:50" x14ac:dyDescent="0.25">
      <c r="B1165" s="1"/>
      <c r="F1165" s="1"/>
      <c r="J1165" s="1"/>
      <c r="N1165" s="1"/>
      <c r="R1165" s="1"/>
      <c r="V1165" s="1"/>
      <c r="Z1165" s="1"/>
      <c r="AD1165" s="1"/>
      <c r="AH1165" s="1"/>
      <c r="AL1165" s="1"/>
      <c r="AP1165" s="1"/>
      <c r="AT1165" s="16"/>
      <c r="AX1165" s="16"/>
    </row>
    <row r="1166" spans="2:50" x14ac:dyDescent="0.25">
      <c r="B1166" s="1"/>
      <c r="F1166" s="1"/>
      <c r="J1166" s="1"/>
      <c r="N1166" s="1"/>
      <c r="R1166" s="1"/>
      <c r="V1166" s="1"/>
      <c r="Z1166" s="1"/>
      <c r="AD1166" s="1"/>
      <c r="AH1166" s="1"/>
      <c r="AL1166" s="1"/>
      <c r="AP1166" s="1"/>
      <c r="AT1166" s="16"/>
      <c r="AX1166" s="16"/>
    </row>
    <row r="1167" spans="2:50" x14ac:dyDescent="0.25">
      <c r="B1167" s="1"/>
      <c r="F1167" s="1"/>
      <c r="J1167" s="1"/>
      <c r="N1167" s="1"/>
      <c r="R1167" s="1"/>
      <c r="V1167" s="1"/>
      <c r="Z1167" s="1"/>
      <c r="AD1167" s="1"/>
      <c r="AH1167" s="1"/>
      <c r="AL1167" s="1"/>
      <c r="AP1167" s="1"/>
      <c r="AT1167" s="16"/>
      <c r="AX1167" s="16"/>
    </row>
    <row r="1168" spans="2:50" x14ac:dyDescent="0.25">
      <c r="B1168" s="1"/>
      <c r="F1168" s="1"/>
      <c r="J1168" s="1"/>
      <c r="N1168" s="1"/>
      <c r="R1168" s="1"/>
      <c r="V1168" s="1"/>
      <c r="Z1168" s="1"/>
      <c r="AD1168" s="1"/>
      <c r="AH1168" s="1"/>
      <c r="AL1168" s="1"/>
      <c r="AP1168" s="1"/>
      <c r="AT1168" s="16"/>
      <c r="AX1168" s="16"/>
    </row>
    <row r="1169" spans="2:50" x14ac:dyDescent="0.25">
      <c r="B1169" s="1"/>
      <c r="F1169" s="1"/>
      <c r="J1169" s="1"/>
      <c r="N1169" s="1"/>
      <c r="R1169" s="1"/>
      <c r="V1169" s="1"/>
      <c r="Z1169" s="1"/>
      <c r="AD1169" s="1"/>
      <c r="AH1169" s="1"/>
      <c r="AL1169" s="1"/>
      <c r="AP1169" s="1"/>
      <c r="AT1169" s="16"/>
      <c r="AX1169" s="16"/>
    </row>
    <row r="1170" spans="2:50" x14ac:dyDescent="0.25">
      <c r="B1170" s="1"/>
      <c r="F1170" s="1"/>
      <c r="J1170" s="1"/>
      <c r="N1170" s="1"/>
      <c r="R1170" s="1"/>
      <c r="V1170" s="1"/>
      <c r="Z1170" s="1"/>
      <c r="AD1170" s="1"/>
      <c r="AH1170" s="1"/>
      <c r="AL1170" s="1"/>
      <c r="AP1170" s="1"/>
      <c r="AT1170" s="16"/>
      <c r="AX1170" s="16"/>
    </row>
    <row r="1171" spans="2:50" x14ac:dyDescent="0.25">
      <c r="B1171" s="1"/>
      <c r="F1171" s="1"/>
      <c r="J1171" s="1"/>
      <c r="N1171" s="1"/>
      <c r="R1171" s="1"/>
      <c r="V1171" s="1"/>
      <c r="Z1171" s="1"/>
      <c r="AD1171" s="1"/>
      <c r="AH1171" s="1"/>
      <c r="AL1171" s="1"/>
      <c r="AP1171" s="1"/>
      <c r="AT1171" s="16"/>
      <c r="AX1171" s="16"/>
    </row>
    <row r="1172" spans="2:50" x14ac:dyDescent="0.25">
      <c r="B1172" s="1"/>
      <c r="F1172" s="1"/>
      <c r="J1172" s="1"/>
      <c r="N1172" s="1"/>
      <c r="R1172" s="1"/>
      <c r="V1172" s="1"/>
      <c r="Z1172" s="1"/>
      <c r="AD1172" s="1"/>
      <c r="AH1172" s="1"/>
      <c r="AL1172" s="1"/>
      <c r="AP1172" s="1"/>
      <c r="AT1172" s="16"/>
      <c r="AX1172" s="16"/>
    </row>
    <row r="1173" spans="2:50" x14ac:dyDescent="0.25">
      <c r="B1173" s="1"/>
      <c r="F1173" s="1"/>
      <c r="J1173" s="1"/>
      <c r="N1173" s="1"/>
      <c r="R1173" s="1"/>
      <c r="V1173" s="1"/>
      <c r="Z1173" s="1"/>
      <c r="AD1173" s="1"/>
      <c r="AH1173" s="1"/>
      <c r="AL1173" s="1"/>
      <c r="AP1173" s="1"/>
      <c r="AT1173" s="16"/>
      <c r="AX1173" s="16"/>
    </row>
    <row r="1174" spans="2:50" x14ac:dyDescent="0.25">
      <c r="B1174" s="1"/>
      <c r="F1174" s="1"/>
      <c r="J1174" s="1"/>
      <c r="N1174" s="1"/>
      <c r="R1174" s="1"/>
      <c r="V1174" s="1"/>
      <c r="Z1174" s="1"/>
      <c r="AD1174" s="1"/>
      <c r="AH1174" s="1"/>
      <c r="AL1174" s="1"/>
      <c r="AP1174" s="1"/>
      <c r="AT1174" s="16"/>
      <c r="AX1174" s="16"/>
    </row>
    <row r="1175" spans="2:50" x14ac:dyDescent="0.25">
      <c r="B1175" s="1"/>
      <c r="F1175" s="1"/>
      <c r="J1175" s="1"/>
      <c r="N1175" s="1"/>
      <c r="R1175" s="1"/>
      <c r="V1175" s="1"/>
      <c r="Z1175" s="1"/>
      <c r="AD1175" s="1"/>
      <c r="AH1175" s="1"/>
      <c r="AL1175" s="1"/>
      <c r="AP1175" s="1"/>
      <c r="AT1175" s="16"/>
      <c r="AX1175" s="16"/>
    </row>
    <row r="1176" spans="2:50" x14ac:dyDescent="0.25">
      <c r="B1176" s="1"/>
      <c r="F1176" s="1"/>
      <c r="J1176" s="1"/>
      <c r="N1176" s="1"/>
      <c r="R1176" s="1"/>
      <c r="V1176" s="1"/>
      <c r="Z1176" s="1"/>
      <c r="AD1176" s="1"/>
      <c r="AH1176" s="1"/>
      <c r="AL1176" s="1"/>
      <c r="AP1176" s="1"/>
      <c r="AT1176" s="16"/>
      <c r="AX1176" s="16"/>
    </row>
    <row r="1177" spans="2:50" x14ac:dyDescent="0.25">
      <c r="B1177" s="1"/>
      <c r="F1177" s="1"/>
      <c r="J1177" s="1"/>
      <c r="N1177" s="1"/>
      <c r="R1177" s="1"/>
      <c r="V1177" s="1"/>
      <c r="Z1177" s="1"/>
      <c r="AD1177" s="1"/>
      <c r="AH1177" s="1"/>
      <c r="AL1177" s="1"/>
      <c r="AP1177" s="1"/>
      <c r="AT1177" s="16"/>
      <c r="AX1177" s="16"/>
    </row>
    <row r="1178" spans="2:50" x14ac:dyDescent="0.25">
      <c r="B1178" s="1"/>
      <c r="F1178" s="1"/>
      <c r="J1178" s="1"/>
      <c r="N1178" s="1"/>
      <c r="R1178" s="1"/>
      <c r="V1178" s="1"/>
      <c r="Z1178" s="1"/>
      <c r="AD1178" s="1"/>
      <c r="AH1178" s="1"/>
      <c r="AL1178" s="1"/>
      <c r="AP1178" s="1"/>
      <c r="AT1178" s="16"/>
      <c r="AX1178" s="16"/>
    </row>
    <row r="1179" spans="2:50" x14ac:dyDescent="0.25">
      <c r="B1179" s="1"/>
      <c r="F1179" s="1"/>
      <c r="J1179" s="1"/>
      <c r="N1179" s="1"/>
      <c r="R1179" s="1"/>
      <c r="V1179" s="1"/>
      <c r="Z1179" s="1"/>
      <c r="AD1179" s="1"/>
      <c r="AH1179" s="1"/>
      <c r="AL1179" s="1"/>
      <c r="AP1179" s="1"/>
      <c r="AT1179" s="16"/>
      <c r="AX1179" s="16"/>
    </row>
    <row r="1180" spans="2:50" x14ac:dyDescent="0.25">
      <c r="B1180" s="1"/>
      <c r="F1180" s="1"/>
      <c r="J1180" s="1"/>
      <c r="N1180" s="1"/>
      <c r="R1180" s="1"/>
      <c r="V1180" s="1"/>
      <c r="Z1180" s="1"/>
      <c r="AD1180" s="1"/>
      <c r="AH1180" s="1"/>
      <c r="AL1180" s="1"/>
      <c r="AP1180" s="1"/>
      <c r="AT1180" s="16"/>
      <c r="AX1180" s="16"/>
    </row>
    <row r="1181" spans="2:50" x14ac:dyDescent="0.25">
      <c r="B1181" s="1"/>
      <c r="F1181" s="1"/>
      <c r="J1181" s="1"/>
      <c r="N1181" s="1"/>
      <c r="R1181" s="1"/>
      <c r="V1181" s="1"/>
      <c r="Z1181" s="1"/>
      <c r="AD1181" s="1"/>
      <c r="AH1181" s="1"/>
      <c r="AL1181" s="1"/>
      <c r="AP1181" s="1"/>
      <c r="AT1181" s="16"/>
      <c r="AX1181" s="16"/>
    </row>
    <row r="1182" spans="2:50" x14ac:dyDescent="0.25">
      <c r="B1182" s="1"/>
      <c r="F1182" s="1"/>
      <c r="J1182" s="1"/>
      <c r="N1182" s="1"/>
      <c r="R1182" s="1"/>
      <c r="V1182" s="1"/>
      <c r="Z1182" s="1"/>
      <c r="AD1182" s="1"/>
      <c r="AH1182" s="1"/>
      <c r="AL1182" s="1"/>
      <c r="AP1182" s="1"/>
      <c r="AT1182" s="16"/>
      <c r="AX1182" s="16"/>
    </row>
    <row r="1183" spans="2:50" x14ac:dyDescent="0.25">
      <c r="B1183" s="1"/>
      <c r="F1183" s="1"/>
      <c r="J1183" s="1"/>
      <c r="N1183" s="1"/>
      <c r="R1183" s="1"/>
      <c r="V1183" s="1"/>
      <c r="Z1183" s="1"/>
      <c r="AD1183" s="1"/>
      <c r="AH1183" s="1"/>
      <c r="AL1183" s="1"/>
      <c r="AP1183" s="1"/>
      <c r="AT1183" s="16"/>
      <c r="AX1183" s="16"/>
    </row>
    <row r="1184" spans="2:50" x14ac:dyDescent="0.25">
      <c r="B1184" s="1"/>
      <c r="F1184" s="1"/>
      <c r="J1184" s="1"/>
      <c r="N1184" s="1"/>
      <c r="R1184" s="1"/>
      <c r="V1184" s="1"/>
      <c r="Z1184" s="1"/>
      <c r="AD1184" s="1"/>
      <c r="AH1184" s="1"/>
      <c r="AL1184" s="1"/>
      <c r="AP1184" s="1"/>
      <c r="AT1184" s="16"/>
      <c r="AX1184" s="16"/>
    </row>
    <row r="1185" spans="2:50" x14ac:dyDescent="0.25">
      <c r="B1185" s="1"/>
      <c r="F1185" s="1"/>
      <c r="J1185" s="1"/>
      <c r="N1185" s="1"/>
      <c r="R1185" s="1"/>
      <c r="V1185" s="1"/>
      <c r="Z1185" s="1"/>
      <c r="AD1185" s="1"/>
      <c r="AH1185" s="1"/>
      <c r="AL1185" s="1"/>
      <c r="AP1185" s="1"/>
      <c r="AT1185" s="16"/>
      <c r="AX1185" s="16"/>
    </row>
    <row r="1186" spans="2:50" x14ac:dyDescent="0.25">
      <c r="B1186" s="1"/>
      <c r="F1186" s="1"/>
      <c r="J1186" s="1"/>
      <c r="N1186" s="1"/>
      <c r="R1186" s="1"/>
      <c r="V1186" s="1"/>
      <c r="Z1186" s="1"/>
      <c r="AD1186" s="1"/>
      <c r="AH1186" s="1"/>
      <c r="AL1186" s="1"/>
      <c r="AP1186" s="1"/>
      <c r="AT1186" s="16"/>
      <c r="AX1186" s="16"/>
    </row>
    <row r="1187" spans="2:50" x14ac:dyDescent="0.25">
      <c r="B1187" s="1"/>
      <c r="F1187" s="1"/>
      <c r="J1187" s="1"/>
      <c r="N1187" s="1"/>
      <c r="R1187" s="1"/>
      <c r="V1187" s="1"/>
      <c r="Z1187" s="1"/>
      <c r="AD1187" s="1"/>
      <c r="AH1187" s="1"/>
      <c r="AL1187" s="1"/>
      <c r="AP1187" s="1"/>
      <c r="AT1187" s="16"/>
      <c r="AX1187" s="16"/>
    </row>
    <row r="1188" spans="2:50" x14ac:dyDescent="0.25">
      <c r="B1188" s="1"/>
      <c r="F1188" s="1"/>
      <c r="J1188" s="1"/>
      <c r="N1188" s="1"/>
      <c r="R1188" s="1"/>
      <c r="V1188" s="1"/>
      <c r="Z1188" s="1"/>
      <c r="AD1188" s="1"/>
      <c r="AH1188" s="1"/>
      <c r="AL1188" s="1"/>
      <c r="AP1188" s="1"/>
      <c r="AT1188" s="16"/>
      <c r="AX1188" s="16"/>
    </row>
    <row r="1189" spans="2:50" x14ac:dyDescent="0.25">
      <c r="B1189" s="1"/>
      <c r="F1189" s="1"/>
      <c r="J1189" s="1"/>
      <c r="N1189" s="1"/>
      <c r="R1189" s="1"/>
      <c r="V1189" s="1"/>
      <c r="Z1189" s="1"/>
      <c r="AD1189" s="1"/>
      <c r="AH1189" s="1"/>
      <c r="AL1189" s="1"/>
      <c r="AP1189" s="1"/>
      <c r="AT1189" s="16"/>
      <c r="AX1189" s="16"/>
    </row>
    <row r="1190" spans="2:50" x14ac:dyDescent="0.25">
      <c r="B1190" s="1"/>
      <c r="F1190" s="1"/>
      <c r="J1190" s="1"/>
      <c r="N1190" s="1"/>
      <c r="R1190" s="1"/>
      <c r="V1190" s="1"/>
      <c r="Z1190" s="1"/>
      <c r="AD1190" s="1"/>
      <c r="AH1190" s="1"/>
      <c r="AL1190" s="1"/>
      <c r="AP1190" s="1"/>
      <c r="AT1190" s="16"/>
      <c r="AX1190" s="16"/>
    </row>
    <row r="1191" spans="2:50" x14ac:dyDescent="0.25">
      <c r="B1191" s="1"/>
      <c r="F1191" s="1"/>
      <c r="J1191" s="1"/>
      <c r="N1191" s="1"/>
      <c r="R1191" s="1"/>
      <c r="V1191" s="1"/>
      <c r="Z1191" s="1"/>
      <c r="AD1191" s="1"/>
      <c r="AH1191" s="1"/>
      <c r="AL1191" s="1"/>
      <c r="AP1191" s="1"/>
      <c r="AT1191" s="16"/>
      <c r="AX1191" s="16"/>
    </row>
    <row r="1192" spans="2:50" x14ac:dyDescent="0.25">
      <c r="B1192" s="1"/>
      <c r="F1192" s="1"/>
      <c r="J1192" s="1"/>
      <c r="N1192" s="1"/>
      <c r="R1192" s="1"/>
      <c r="V1192" s="1"/>
      <c r="Z1192" s="1"/>
      <c r="AD1192" s="1"/>
      <c r="AH1192" s="1"/>
      <c r="AL1192" s="1"/>
      <c r="AP1192" s="1"/>
      <c r="AT1192" s="16"/>
      <c r="AX1192" s="16"/>
    </row>
    <row r="1193" spans="2:50" x14ac:dyDescent="0.25">
      <c r="B1193" s="1"/>
      <c r="F1193" s="1"/>
      <c r="J1193" s="1"/>
      <c r="N1193" s="1"/>
      <c r="R1193" s="1"/>
      <c r="V1193" s="1"/>
      <c r="Z1193" s="1"/>
      <c r="AD1193" s="1"/>
      <c r="AH1193" s="1"/>
      <c r="AL1193" s="1"/>
      <c r="AP1193" s="1"/>
      <c r="AT1193" s="16"/>
      <c r="AX1193" s="16"/>
    </row>
    <row r="1194" spans="2:50" x14ac:dyDescent="0.25">
      <c r="B1194" s="1"/>
      <c r="F1194" s="1"/>
      <c r="J1194" s="1"/>
      <c r="N1194" s="1"/>
      <c r="R1194" s="1"/>
      <c r="V1194" s="1"/>
      <c r="Z1194" s="1"/>
      <c r="AD1194" s="1"/>
      <c r="AH1194" s="1"/>
      <c r="AL1194" s="1"/>
      <c r="AP1194" s="1"/>
      <c r="AT1194" s="16"/>
      <c r="AX1194" s="16"/>
    </row>
    <row r="1195" spans="2:50" x14ac:dyDescent="0.25">
      <c r="B1195" s="1"/>
      <c r="F1195" s="1"/>
      <c r="J1195" s="1"/>
      <c r="N1195" s="1"/>
      <c r="R1195" s="1"/>
      <c r="V1195" s="1"/>
      <c r="Z1195" s="1"/>
      <c r="AD1195" s="1"/>
      <c r="AH1195" s="1"/>
      <c r="AL1195" s="1"/>
      <c r="AP1195" s="1"/>
      <c r="AT1195" s="16"/>
      <c r="AX1195" s="16"/>
    </row>
    <row r="1196" spans="2:50" x14ac:dyDescent="0.25">
      <c r="B1196" s="1"/>
      <c r="F1196" s="1"/>
      <c r="J1196" s="1"/>
      <c r="N1196" s="1"/>
      <c r="R1196" s="1"/>
      <c r="V1196" s="1"/>
      <c r="Z1196" s="1"/>
      <c r="AD1196" s="1"/>
      <c r="AH1196" s="1"/>
      <c r="AL1196" s="1"/>
      <c r="AP1196" s="1"/>
      <c r="AT1196" s="16"/>
      <c r="AX1196" s="16"/>
    </row>
    <row r="1197" spans="2:50" x14ac:dyDescent="0.25">
      <c r="B1197" s="1"/>
      <c r="F1197" s="1"/>
      <c r="J1197" s="1"/>
      <c r="N1197" s="1"/>
      <c r="R1197" s="1"/>
      <c r="V1197" s="1"/>
      <c r="Z1197" s="1"/>
      <c r="AD1197" s="1"/>
      <c r="AH1197" s="1"/>
      <c r="AL1197" s="1"/>
      <c r="AP1197" s="1"/>
      <c r="AT1197" s="16"/>
      <c r="AX1197" s="16"/>
    </row>
    <row r="1198" spans="2:50" x14ac:dyDescent="0.25">
      <c r="B1198" s="1"/>
      <c r="F1198" s="1"/>
      <c r="J1198" s="1"/>
      <c r="N1198" s="1"/>
      <c r="R1198" s="1"/>
      <c r="V1198" s="1"/>
      <c r="Z1198" s="1"/>
      <c r="AD1198" s="1"/>
      <c r="AH1198" s="1"/>
      <c r="AL1198" s="1"/>
      <c r="AP1198" s="1"/>
      <c r="AT1198" s="16"/>
      <c r="AX1198" s="16"/>
    </row>
    <row r="1199" spans="2:50" x14ac:dyDescent="0.25">
      <c r="B1199" s="1"/>
      <c r="F1199" s="1"/>
      <c r="J1199" s="1"/>
      <c r="N1199" s="1"/>
      <c r="R1199" s="1"/>
      <c r="V1199" s="1"/>
      <c r="Z1199" s="1"/>
      <c r="AD1199" s="1"/>
      <c r="AH1199" s="1"/>
      <c r="AL1199" s="1"/>
      <c r="AP1199" s="1"/>
      <c r="AT1199" s="16"/>
      <c r="AX1199" s="16"/>
    </row>
    <row r="1200" spans="2:50" x14ac:dyDescent="0.25">
      <c r="B1200" s="1"/>
      <c r="F1200" s="1"/>
      <c r="J1200" s="1"/>
      <c r="N1200" s="1"/>
      <c r="R1200" s="1"/>
      <c r="V1200" s="1"/>
      <c r="Z1200" s="1"/>
      <c r="AD1200" s="1"/>
      <c r="AH1200" s="1"/>
      <c r="AL1200" s="1"/>
      <c r="AP1200" s="1"/>
      <c r="AT1200" s="16"/>
      <c r="AX1200" s="16"/>
    </row>
    <row r="1201" spans="2:50" x14ac:dyDescent="0.25">
      <c r="B1201" s="1"/>
      <c r="F1201" s="1"/>
      <c r="J1201" s="1"/>
      <c r="N1201" s="1"/>
      <c r="R1201" s="1"/>
      <c r="V1201" s="1"/>
      <c r="Z1201" s="1"/>
      <c r="AD1201" s="1"/>
      <c r="AH1201" s="1"/>
      <c r="AL1201" s="1"/>
      <c r="AP1201" s="1"/>
      <c r="AT1201" s="16"/>
      <c r="AX1201" s="16"/>
    </row>
    <row r="1202" spans="2:50" x14ac:dyDescent="0.25">
      <c r="B1202" s="1"/>
      <c r="F1202" s="1"/>
      <c r="J1202" s="1"/>
      <c r="N1202" s="1"/>
      <c r="R1202" s="1"/>
      <c r="V1202" s="1"/>
      <c r="Z1202" s="1"/>
      <c r="AD1202" s="1"/>
      <c r="AH1202" s="1"/>
      <c r="AL1202" s="1"/>
      <c r="AP1202" s="1"/>
      <c r="AT1202" s="16"/>
      <c r="AX1202" s="16"/>
    </row>
    <row r="1203" spans="2:50" x14ac:dyDescent="0.25">
      <c r="B1203" s="1"/>
      <c r="F1203" s="1"/>
      <c r="J1203" s="1"/>
      <c r="N1203" s="1"/>
      <c r="R1203" s="1"/>
      <c r="V1203" s="1"/>
      <c r="Z1203" s="1"/>
      <c r="AD1203" s="1"/>
      <c r="AH1203" s="1"/>
      <c r="AL1203" s="1"/>
      <c r="AP1203" s="1"/>
      <c r="AT1203" s="16"/>
      <c r="AX1203" s="16"/>
    </row>
    <row r="1204" spans="2:50" x14ac:dyDescent="0.25">
      <c r="B1204" s="1"/>
      <c r="F1204" s="1"/>
      <c r="J1204" s="1"/>
      <c r="N1204" s="1"/>
      <c r="R1204" s="1"/>
      <c r="V1204" s="1"/>
      <c r="Z1204" s="1"/>
      <c r="AD1204" s="1"/>
      <c r="AH1204" s="1"/>
      <c r="AL1204" s="1"/>
      <c r="AP1204" s="1"/>
      <c r="AT1204" s="16"/>
      <c r="AX1204" s="16"/>
    </row>
    <row r="1205" spans="2:50" x14ac:dyDescent="0.25">
      <c r="B1205" s="1"/>
      <c r="F1205" s="1"/>
      <c r="J1205" s="1"/>
      <c r="N1205" s="1"/>
      <c r="R1205" s="1"/>
      <c r="V1205" s="1"/>
      <c r="Z1205" s="1"/>
      <c r="AD1205" s="1"/>
      <c r="AH1205" s="1"/>
      <c r="AL1205" s="1"/>
      <c r="AP1205" s="1"/>
      <c r="AT1205" s="16"/>
      <c r="AX1205" s="16"/>
    </row>
    <row r="1206" spans="2:50" x14ac:dyDescent="0.25">
      <c r="B1206" s="1"/>
      <c r="F1206" s="1"/>
      <c r="J1206" s="1"/>
      <c r="N1206" s="1"/>
      <c r="R1206" s="1"/>
      <c r="V1206" s="1"/>
      <c r="Z1206" s="1"/>
      <c r="AD1206" s="1"/>
      <c r="AH1206" s="1"/>
      <c r="AL1206" s="1"/>
      <c r="AP1206" s="1"/>
      <c r="AT1206" s="16"/>
      <c r="AX1206" s="16"/>
    </row>
    <row r="1207" spans="2:50" x14ac:dyDescent="0.25">
      <c r="B1207" s="1"/>
      <c r="F1207" s="1"/>
      <c r="J1207" s="1"/>
      <c r="N1207" s="1"/>
      <c r="R1207" s="1"/>
      <c r="V1207" s="1"/>
      <c r="Z1207" s="1"/>
      <c r="AD1207" s="1"/>
      <c r="AH1207" s="1"/>
      <c r="AL1207" s="1"/>
      <c r="AP1207" s="1"/>
      <c r="AT1207" s="16"/>
      <c r="AX1207" s="16"/>
    </row>
    <row r="1208" spans="2:50" x14ac:dyDescent="0.25">
      <c r="B1208" s="1"/>
      <c r="F1208" s="1"/>
      <c r="J1208" s="1"/>
      <c r="N1208" s="1"/>
      <c r="R1208" s="1"/>
      <c r="V1208" s="1"/>
      <c r="Z1208" s="1"/>
      <c r="AD1208" s="1"/>
      <c r="AH1208" s="1"/>
      <c r="AL1208" s="1"/>
      <c r="AP1208" s="1"/>
      <c r="AT1208" s="16"/>
      <c r="AX1208" s="16"/>
    </row>
    <row r="1209" spans="2:50" x14ac:dyDescent="0.25">
      <c r="B1209" s="1"/>
      <c r="F1209" s="1"/>
      <c r="J1209" s="1"/>
      <c r="N1209" s="1"/>
      <c r="R1209" s="1"/>
      <c r="V1209" s="1"/>
      <c r="Z1209" s="1"/>
      <c r="AD1209" s="1"/>
      <c r="AH1209" s="1"/>
      <c r="AL1209" s="1"/>
      <c r="AP1209" s="1"/>
      <c r="AT1209" s="16"/>
      <c r="AX1209" s="16"/>
    </row>
    <row r="1210" spans="2:50" x14ac:dyDescent="0.25">
      <c r="B1210" s="1"/>
      <c r="F1210" s="1"/>
      <c r="J1210" s="1"/>
      <c r="N1210" s="1"/>
      <c r="R1210" s="1"/>
      <c r="V1210" s="1"/>
      <c r="Z1210" s="1"/>
      <c r="AD1210" s="1"/>
      <c r="AH1210" s="1"/>
      <c r="AL1210" s="1"/>
      <c r="AP1210" s="1"/>
      <c r="AT1210" s="16"/>
      <c r="AX1210" s="16"/>
    </row>
    <row r="1211" spans="2:50" x14ac:dyDescent="0.25">
      <c r="B1211" s="1"/>
      <c r="F1211" s="1"/>
      <c r="J1211" s="1"/>
      <c r="N1211" s="1"/>
      <c r="R1211" s="1"/>
      <c r="V1211" s="1"/>
      <c r="Z1211" s="1"/>
      <c r="AD1211" s="1"/>
      <c r="AH1211" s="1"/>
      <c r="AL1211" s="1"/>
      <c r="AP1211" s="1"/>
      <c r="AT1211" s="16"/>
      <c r="AX1211" s="16"/>
    </row>
    <row r="1212" spans="2:50" x14ac:dyDescent="0.25">
      <c r="B1212" s="1"/>
      <c r="F1212" s="1"/>
      <c r="J1212" s="1"/>
      <c r="N1212" s="1"/>
      <c r="R1212" s="1"/>
      <c r="V1212" s="1"/>
      <c r="Z1212" s="1"/>
      <c r="AD1212" s="1"/>
      <c r="AH1212" s="1"/>
      <c r="AL1212" s="1"/>
      <c r="AP1212" s="1"/>
      <c r="AT1212" s="16"/>
      <c r="AX1212" s="16"/>
    </row>
    <row r="1213" spans="2:50" x14ac:dyDescent="0.25">
      <c r="B1213" s="1"/>
      <c r="F1213" s="1"/>
      <c r="J1213" s="1"/>
      <c r="N1213" s="1"/>
      <c r="R1213" s="1"/>
      <c r="V1213" s="1"/>
      <c r="Z1213" s="1"/>
      <c r="AD1213" s="1"/>
      <c r="AH1213" s="1"/>
      <c r="AL1213" s="1"/>
      <c r="AP1213" s="1"/>
      <c r="AT1213" s="16"/>
      <c r="AX1213" s="16"/>
    </row>
    <row r="1214" spans="2:50" x14ac:dyDescent="0.25">
      <c r="B1214" s="1"/>
      <c r="F1214" s="1"/>
      <c r="J1214" s="1"/>
      <c r="N1214" s="1"/>
      <c r="R1214" s="1"/>
      <c r="V1214" s="1"/>
      <c r="Z1214" s="1"/>
      <c r="AD1214" s="1"/>
      <c r="AH1214" s="1"/>
      <c r="AL1214" s="1"/>
      <c r="AP1214" s="1"/>
      <c r="AT1214" s="16"/>
      <c r="AX1214" s="16"/>
    </row>
    <row r="1215" spans="2:50" x14ac:dyDescent="0.25">
      <c r="B1215" s="1"/>
      <c r="F1215" s="1"/>
      <c r="J1215" s="1"/>
      <c r="N1215" s="1"/>
      <c r="R1215" s="1"/>
      <c r="V1215" s="1"/>
      <c r="Z1215" s="1"/>
      <c r="AD1215" s="1"/>
      <c r="AH1215" s="1"/>
      <c r="AL1215" s="1"/>
      <c r="AP1215" s="1"/>
      <c r="AT1215" s="16"/>
      <c r="AX1215" s="16"/>
    </row>
    <row r="1216" spans="2:50" x14ac:dyDescent="0.25">
      <c r="B1216" s="1"/>
      <c r="F1216" s="1"/>
      <c r="J1216" s="1"/>
      <c r="N1216" s="1"/>
      <c r="R1216" s="1"/>
      <c r="V1216" s="1"/>
      <c r="Z1216" s="1"/>
      <c r="AD1216" s="1"/>
      <c r="AH1216" s="1"/>
      <c r="AL1216" s="1"/>
      <c r="AP1216" s="1"/>
      <c r="AT1216" s="16"/>
      <c r="AX1216" s="16"/>
    </row>
    <row r="1217" spans="2:50" x14ac:dyDescent="0.25">
      <c r="B1217" s="1"/>
      <c r="F1217" s="1"/>
      <c r="J1217" s="1"/>
      <c r="N1217" s="1"/>
      <c r="R1217" s="1"/>
      <c r="V1217" s="1"/>
      <c r="Z1217" s="1"/>
      <c r="AD1217" s="1"/>
      <c r="AH1217" s="1"/>
      <c r="AL1217" s="1"/>
      <c r="AP1217" s="1"/>
      <c r="AT1217" s="16"/>
      <c r="AX1217" s="16"/>
    </row>
    <row r="1218" spans="2:50" x14ac:dyDescent="0.25">
      <c r="B1218" s="1"/>
      <c r="F1218" s="1"/>
      <c r="J1218" s="1"/>
      <c r="N1218" s="1"/>
      <c r="R1218" s="1"/>
      <c r="V1218" s="1"/>
      <c r="Z1218" s="1"/>
      <c r="AD1218" s="1"/>
      <c r="AH1218" s="1"/>
      <c r="AL1218" s="1"/>
      <c r="AP1218" s="1"/>
      <c r="AT1218" s="16"/>
      <c r="AX1218" s="16"/>
    </row>
    <row r="1219" spans="2:50" x14ac:dyDescent="0.25">
      <c r="B1219" s="1"/>
      <c r="F1219" s="1"/>
      <c r="J1219" s="1"/>
      <c r="N1219" s="1"/>
      <c r="R1219" s="1"/>
      <c r="V1219" s="1"/>
      <c r="Z1219" s="1"/>
      <c r="AD1219" s="1"/>
      <c r="AH1219" s="1"/>
      <c r="AL1219" s="1"/>
      <c r="AP1219" s="1"/>
      <c r="AT1219" s="16"/>
      <c r="AX1219" s="16"/>
    </row>
    <row r="1220" spans="2:50" x14ac:dyDescent="0.25">
      <c r="B1220" s="1"/>
      <c r="F1220" s="1"/>
      <c r="J1220" s="1"/>
      <c r="N1220" s="1"/>
      <c r="R1220" s="1"/>
      <c r="V1220" s="1"/>
      <c r="Z1220" s="1"/>
      <c r="AD1220" s="1"/>
      <c r="AH1220" s="1"/>
      <c r="AL1220" s="1"/>
      <c r="AP1220" s="1"/>
      <c r="AT1220" s="16"/>
      <c r="AX1220" s="16"/>
    </row>
    <row r="1221" spans="2:50" x14ac:dyDescent="0.25">
      <c r="B1221" s="1"/>
      <c r="F1221" s="1"/>
      <c r="J1221" s="1"/>
      <c r="N1221" s="1"/>
      <c r="R1221" s="1"/>
      <c r="V1221" s="1"/>
      <c r="Z1221" s="1"/>
      <c r="AD1221" s="1"/>
      <c r="AH1221" s="1"/>
      <c r="AL1221" s="1"/>
      <c r="AP1221" s="1"/>
      <c r="AT1221" s="16"/>
      <c r="AX1221" s="16"/>
    </row>
    <row r="1222" spans="2:50" x14ac:dyDescent="0.25">
      <c r="B1222" s="1"/>
      <c r="F1222" s="1"/>
      <c r="J1222" s="1"/>
      <c r="N1222" s="1"/>
      <c r="R1222" s="1"/>
      <c r="V1222" s="1"/>
      <c r="Z1222" s="1"/>
      <c r="AD1222" s="1"/>
      <c r="AH1222" s="1"/>
      <c r="AL1222" s="1"/>
      <c r="AP1222" s="1"/>
      <c r="AT1222" s="16"/>
      <c r="AX1222" s="16"/>
    </row>
    <row r="1223" spans="2:50" x14ac:dyDescent="0.25">
      <c r="B1223" s="1"/>
      <c r="F1223" s="1"/>
      <c r="J1223" s="1"/>
      <c r="N1223" s="1"/>
      <c r="R1223" s="1"/>
      <c r="V1223" s="1"/>
      <c r="Z1223" s="1"/>
      <c r="AD1223" s="1"/>
      <c r="AH1223" s="1"/>
      <c r="AL1223" s="1"/>
      <c r="AP1223" s="1"/>
      <c r="AT1223" s="16"/>
      <c r="AX1223" s="16"/>
    </row>
    <row r="1224" spans="2:50" x14ac:dyDescent="0.25">
      <c r="B1224" s="1"/>
      <c r="F1224" s="1"/>
      <c r="J1224" s="1"/>
      <c r="N1224" s="1"/>
      <c r="R1224" s="1"/>
      <c r="V1224" s="1"/>
      <c r="Z1224" s="1"/>
      <c r="AD1224" s="1"/>
      <c r="AH1224" s="1"/>
      <c r="AL1224" s="1"/>
      <c r="AP1224" s="1"/>
      <c r="AT1224" s="16"/>
      <c r="AX1224" s="16"/>
    </row>
    <row r="1225" spans="2:50" x14ac:dyDescent="0.25">
      <c r="B1225" s="1"/>
      <c r="F1225" s="1"/>
      <c r="J1225" s="1"/>
      <c r="N1225" s="1"/>
      <c r="R1225" s="1"/>
      <c r="V1225" s="1"/>
      <c r="Z1225" s="1"/>
      <c r="AD1225" s="1"/>
      <c r="AH1225" s="1"/>
      <c r="AL1225" s="1"/>
      <c r="AP1225" s="1"/>
      <c r="AT1225" s="16"/>
      <c r="AX1225" s="16"/>
    </row>
    <row r="1226" spans="2:50" x14ac:dyDescent="0.25">
      <c r="B1226" s="1"/>
      <c r="F1226" s="1"/>
      <c r="J1226" s="1"/>
      <c r="N1226" s="1"/>
      <c r="R1226" s="1"/>
      <c r="V1226" s="1"/>
      <c r="Z1226" s="1"/>
      <c r="AD1226" s="1"/>
      <c r="AH1226" s="1"/>
      <c r="AL1226" s="1"/>
      <c r="AP1226" s="1"/>
      <c r="AT1226" s="16"/>
      <c r="AX1226" s="16"/>
    </row>
    <row r="1227" spans="2:50" x14ac:dyDescent="0.25">
      <c r="B1227" s="1"/>
      <c r="F1227" s="1"/>
      <c r="J1227" s="1"/>
      <c r="N1227" s="1"/>
      <c r="R1227" s="1"/>
      <c r="V1227" s="1"/>
      <c r="Z1227" s="1"/>
      <c r="AD1227" s="1"/>
      <c r="AH1227" s="1"/>
      <c r="AL1227" s="1"/>
      <c r="AP1227" s="1"/>
      <c r="AT1227" s="16"/>
      <c r="AX1227" s="16"/>
    </row>
    <row r="1228" spans="2:50" x14ac:dyDescent="0.25">
      <c r="B1228" s="1"/>
      <c r="F1228" s="1"/>
      <c r="J1228" s="1"/>
      <c r="N1228" s="1"/>
      <c r="R1228" s="1"/>
      <c r="V1228" s="1"/>
      <c r="Z1228" s="1"/>
      <c r="AD1228" s="1"/>
      <c r="AH1228" s="1"/>
      <c r="AL1228" s="1"/>
      <c r="AP1228" s="1"/>
      <c r="AT1228" s="16"/>
      <c r="AX1228" s="16"/>
    </row>
    <row r="1229" spans="2:50" x14ac:dyDescent="0.25">
      <c r="B1229" s="1"/>
      <c r="F1229" s="1"/>
      <c r="J1229" s="1"/>
      <c r="N1229" s="1"/>
      <c r="R1229" s="1"/>
      <c r="V1229" s="1"/>
      <c r="Z1229" s="1"/>
      <c r="AD1229" s="1"/>
      <c r="AH1229" s="1"/>
      <c r="AL1229" s="1"/>
      <c r="AP1229" s="1"/>
      <c r="AT1229" s="16"/>
      <c r="AX1229" s="16"/>
    </row>
    <row r="1230" spans="2:50" x14ac:dyDescent="0.25">
      <c r="B1230" s="1"/>
      <c r="F1230" s="1"/>
      <c r="J1230" s="1"/>
      <c r="N1230" s="1"/>
      <c r="R1230" s="1"/>
      <c r="V1230" s="1"/>
      <c r="Z1230" s="1"/>
      <c r="AD1230" s="1"/>
      <c r="AH1230" s="1"/>
      <c r="AL1230" s="1"/>
      <c r="AP1230" s="1"/>
      <c r="AT1230" s="16"/>
      <c r="AX1230" s="16"/>
    </row>
    <row r="1231" spans="2:50" x14ac:dyDescent="0.25">
      <c r="B1231" s="1"/>
      <c r="F1231" s="1"/>
      <c r="J1231" s="1"/>
      <c r="N1231" s="1"/>
      <c r="R1231" s="1"/>
      <c r="V1231" s="1"/>
      <c r="Z1231" s="1"/>
      <c r="AD1231" s="1"/>
      <c r="AH1231" s="1"/>
      <c r="AL1231" s="1"/>
      <c r="AP1231" s="1"/>
      <c r="AT1231" s="16"/>
      <c r="AX1231" s="16"/>
    </row>
    <row r="1232" spans="2:50" x14ac:dyDescent="0.25">
      <c r="B1232" s="1"/>
      <c r="F1232" s="1"/>
      <c r="J1232" s="1"/>
      <c r="N1232" s="1"/>
      <c r="R1232" s="1"/>
      <c r="V1232" s="1"/>
      <c r="Z1232" s="1"/>
      <c r="AD1232" s="1"/>
      <c r="AH1232" s="1"/>
      <c r="AL1232" s="1"/>
      <c r="AP1232" s="1"/>
      <c r="AT1232" s="16"/>
      <c r="AX1232" s="16"/>
    </row>
    <row r="1233" spans="2:50" x14ac:dyDescent="0.25">
      <c r="B1233" s="1"/>
      <c r="F1233" s="1"/>
      <c r="J1233" s="1"/>
      <c r="N1233" s="1"/>
      <c r="R1233" s="1"/>
      <c r="V1233" s="1"/>
      <c r="Z1233" s="1"/>
      <c r="AD1233" s="1"/>
      <c r="AH1233" s="1"/>
      <c r="AL1233" s="1"/>
      <c r="AP1233" s="1"/>
      <c r="AT1233" s="16"/>
      <c r="AX1233" s="16"/>
    </row>
    <row r="1234" spans="2:50" x14ac:dyDescent="0.25">
      <c r="B1234" s="1"/>
      <c r="F1234" s="1"/>
      <c r="J1234" s="1"/>
      <c r="N1234" s="1"/>
      <c r="R1234" s="1"/>
      <c r="V1234" s="1"/>
      <c r="Z1234" s="1"/>
      <c r="AD1234" s="1"/>
      <c r="AH1234" s="1"/>
      <c r="AL1234" s="1"/>
      <c r="AP1234" s="1"/>
      <c r="AT1234" s="16"/>
      <c r="AX1234" s="16"/>
    </row>
    <row r="1235" spans="2:50" x14ac:dyDescent="0.25">
      <c r="B1235" s="1"/>
      <c r="F1235" s="1"/>
      <c r="J1235" s="1"/>
      <c r="N1235" s="1"/>
      <c r="R1235" s="1"/>
      <c r="V1235" s="1"/>
      <c r="Z1235" s="1"/>
      <c r="AD1235" s="1"/>
      <c r="AH1235" s="1"/>
      <c r="AL1235" s="1"/>
      <c r="AP1235" s="1"/>
      <c r="AT1235" s="16"/>
      <c r="AX1235" s="16"/>
    </row>
    <row r="1236" spans="2:50" x14ac:dyDescent="0.25">
      <c r="B1236" s="1"/>
      <c r="F1236" s="1"/>
      <c r="J1236" s="1"/>
      <c r="N1236" s="1"/>
      <c r="R1236" s="1"/>
      <c r="V1236" s="1"/>
      <c r="Z1236" s="1"/>
      <c r="AD1236" s="1"/>
      <c r="AH1236" s="1"/>
      <c r="AL1236" s="1"/>
      <c r="AP1236" s="1"/>
      <c r="AT1236" s="16"/>
      <c r="AX1236" s="16"/>
    </row>
    <row r="1237" spans="2:50" x14ac:dyDescent="0.25">
      <c r="B1237" s="1"/>
      <c r="F1237" s="1"/>
      <c r="J1237" s="1"/>
      <c r="N1237" s="1"/>
      <c r="R1237" s="1"/>
      <c r="V1237" s="1"/>
      <c r="Z1237" s="1"/>
      <c r="AD1237" s="1"/>
      <c r="AH1237" s="1"/>
      <c r="AL1237" s="1"/>
      <c r="AP1237" s="1"/>
      <c r="AT1237" s="16"/>
      <c r="AX1237" s="16"/>
    </row>
    <row r="1238" spans="2:50" x14ac:dyDescent="0.25">
      <c r="B1238" s="1"/>
      <c r="F1238" s="1"/>
      <c r="J1238" s="1"/>
      <c r="N1238" s="1"/>
      <c r="R1238" s="1"/>
      <c r="V1238" s="1"/>
      <c r="Z1238" s="1"/>
      <c r="AD1238" s="1"/>
      <c r="AH1238" s="1"/>
      <c r="AL1238" s="1"/>
      <c r="AP1238" s="1"/>
      <c r="AT1238" s="16"/>
      <c r="AX1238" s="16"/>
    </row>
    <row r="1239" spans="2:50" x14ac:dyDescent="0.25">
      <c r="B1239" s="1"/>
      <c r="F1239" s="1"/>
      <c r="J1239" s="1"/>
      <c r="N1239" s="1"/>
      <c r="R1239" s="1"/>
      <c r="V1239" s="1"/>
      <c r="Z1239" s="1"/>
      <c r="AD1239" s="1"/>
      <c r="AH1239" s="1"/>
      <c r="AL1239" s="1"/>
      <c r="AP1239" s="1"/>
      <c r="AT1239" s="16"/>
      <c r="AX1239" s="16"/>
    </row>
    <row r="1240" spans="2:50" x14ac:dyDescent="0.25">
      <c r="B1240" s="1"/>
      <c r="F1240" s="1"/>
      <c r="J1240" s="1"/>
      <c r="N1240" s="1"/>
      <c r="R1240" s="1"/>
      <c r="V1240" s="1"/>
      <c r="Z1240" s="1"/>
      <c r="AD1240" s="1"/>
      <c r="AH1240" s="1"/>
      <c r="AL1240" s="1"/>
      <c r="AP1240" s="1"/>
      <c r="AT1240" s="16"/>
      <c r="AX1240" s="16"/>
    </row>
    <row r="1241" spans="2:50" x14ac:dyDescent="0.25">
      <c r="B1241" s="1"/>
      <c r="F1241" s="1"/>
      <c r="J1241" s="1"/>
      <c r="N1241" s="1"/>
      <c r="R1241" s="1"/>
      <c r="V1241" s="1"/>
      <c r="Z1241" s="1"/>
      <c r="AD1241" s="1"/>
      <c r="AH1241" s="1"/>
      <c r="AL1241" s="1"/>
      <c r="AP1241" s="1"/>
      <c r="AT1241" s="16"/>
      <c r="AX1241" s="16"/>
    </row>
    <row r="1242" spans="2:50" x14ac:dyDescent="0.25">
      <c r="B1242" s="1"/>
      <c r="F1242" s="1"/>
      <c r="J1242" s="1"/>
      <c r="N1242" s="1"/>
      <c r="R1242" s="1"/>
      <c r="V1242" s="1"/>
      <c r="Z1242" s="1"/>
      <c r="AD1242" s="1"/>
      <c r="AH1242" s="1"/>
      <c r="AL1242" s="1"/>
      <c r="AP1242" s="1"/>
      <c r="AT1242" s="16"/>
      <c r="AX1242" s="16"/>
    </row>
    <row r="1243" spans="2:50" x14ac:dyDescent="0.25">
      <c r="B1243" s="1"/>
      <c r="F1243" s="1"/>
      <c r="J1243" s="1"/>
      <c r="N1243" s="1"/>
      <c r="R1243" s="1"/>
      <c r="V1243" s="1"/>
      <c r="Z1243" s="1"/>
      <c r="AD1243" s="1"/>
      <c r="AH1243" s="1"/>
      <c r="AL1243" s="1"/>
      <c r="AP1243" s="1"/>
      <c r="AT1243" s="16"/>
      <c r="AX1243" s="16"/>
    </row>
    <row r="1244" spans="2:50" x14ac:dyDescent="0.25">
      <c r="B1244" s="1"/>
      <c r="F1244" s="1"/>
      <c r="J1244" s="1"/>
      <c r="N1244" s="1"/>
      <c r="R1244" s="1"/>
      <c r="V1244" s="1"/>
      <c r="Z1244" s="1"/>
      <c r="AD1244" s="1"/>
      <c r="AH1244" s="1"/>
      <c r="AL1244" s="1"/>
      <c r="AP1244" s="1"/>
      <c r="AT1244" s="16"/>
      <c r="AX1244" s="16"/>
    </row>
    <row r="1245" spans="2:50" x14ac:dyDescent="0.25">
      <c r="B1245" s="1"/>
      <c r="F1245" s="1"/>
      <c r="J1245" s="1"/>
      <c r="N1245" s="1"/>
      <c r="R1245" s="1"/>
      <c r="V1245" s="1"/>
      <c r="Z1245" s="1"/>
      <c r="AD1245" s="1"/>
      <c r="AH1245" s="1"/>
      <c r="AL1245" s="1"/>
      <c r="AP1245" s="1"/>
      <c r="AT1245" s="16"/>
      <c r="AX1245" s="16"/>
    </row>
    <row r="1246" spans="2:50" x14ac:dyDescent="0.25">
      <c r="B1246" s="1"/>
      <c r="F1246" s="1"/>
      <c r="J1246" s="1"/>
      <c r="N1246" s="1"/>
      <c r="R1246" s="1"/>
      <c r="V1246" s="1"/>
      <c r="Z1246" s="1"/>
      <c r="AD1246" s="1"/>
      <c r="AH1246" s="1"/>
      <c r="AL1246" s="1"/>
      <c r="AP1246" s="1"/>
      <c r="AT1246" s="16"/>
      <c r="AX1246" s="16"/>
    </row>
    <row r="1247" spans="2:50" x14ac:dyDescent="0.25">
      <c r="B1247" s="1"/>
      <c r="F1247" s="1"/>
      <c r="J1247" s="1"/>
      <c r="N1247" s="1"/>
      <c r="R1247" s="1"/>
      <c r="V1247" s="1"/>
      <c r="Z1247" s="1"/>
      <c r="AD1247" s="1"/>
      <c r="AH1247" s="1"/>
      <c r="AL1247" s="1"/>
      <c r="AP1247" s="1"/>
      <c r="AT1247" s="16"/>
      <c r="AX1247" s="16"/>
    </row>
    <row r="1248" spans="2:50" x14ac:dyDescent="0.25">
      <c r="B1248" s="1"/>
      <c r="F1248" s="1"/>
      <c r="J1248" s="1"/>
      <c r="N1248" s="1"/>
      <c r="R1248" s="1"/>
      <c r="V1248" s="1"/>
      <c r="Z1248" s="1"/>
      <c r="AD1248" s="1"/>
      <c r="AH1248" s="1"/>
      <c r="AL1248" s="1"/>
      <c r="AP1248" s="1"/>
      <c r="AT1248" s="16"/>
      <c r="AX1248" s="16"/>
    </row>
    <row r="1249" spans="2:50" x14ac:dyDescent="0.25">
      <c r="B1249" s="1"/>
      <c r="F1249" s="1"/>
      <c r="J1249" s="1"/>
      <c r="N1249" s="1"/>
      <c r="R1249" s="1"/>
      <c r="V1249" s="1"/>
      <c r="Z1249" s="1"/>
      <c r="AD1249" s="1"/>
      <c r="AH1249" s="1"/>
      <c r="AL1249" s="1"/>
      <c r="AP1249" s="1"/>
      <c r="AT1249" s="16"/>
      <c r="AX1249" s="16"/>
    </row>
    <row r="1250" spans="2:50" x14ac:dyDescent="0.25">
      <c r="B1250" s="1"/>
      <c r="F1250" s="1"/>
      <c r="J1250" s="1"/>
      <c r="N1250" s="1"/>
      <c r="R1250" s="1"/>
      <c r="V1250" s="1"/>
      <c r="Z1250" s="1"/>
      <c r="AD1250" s="1"/>
      <c r="AH1250" s="1"/>
      <c r="AL1250" s="1"/>
      <c r="AP1250" s="1"/>
      <c r="AT1250" s="16"/>
      <c r="AX1250" s="16"/>
    </row>
    <row r="1251" spans="2:50" x14ac:dyDescent="0.25">
      <c r="B1251" s="1"/>
      <c r="F1251" s="1"/>
      <c r="J1251" s="1"/>
      <c r="N1251" s="1"/>
      <c r="R1251" s="1"/>
      <c r="V1251" s="1"/>
      <c r="Z1251" s="1"/>
      <c r="AD1251" s="1"/>
      <c r="AH1251" s="1"/>
      <c r="AL1251" s="1"/>
      <c r="AP1251" s="1"/>
      <c r="AT1251" s="16"/>
      <c r="AX1251" s="16"/>
    </row>
    <row r="1252" spans="2:50" x14ac:dyDescent="0.25">
      <c r="B1252" s="1"/>
      <c r="F1252" s="1"/>
      <c r="J1252" s="1"/>
      <c r="N1252" s="1"/>
      <c r="R1252" s="1"/>
      <c r="V1252" s="1"/>
      <c r="Z1252" s="1"/>
      <c r="AD1252" s="1"/>
      <c r="AH1252" s="1"/>
      <c r="AL1252" s="1"/>
      <c r="AP1252" s="1"/>
      <c r="AT1252" s="16"/>
      <c r="AX1252" s="16"/>
    </row>
    <row r="1253" spans="2:50" x14ac:dyDescent="0.25">
      <c r="B1253" s="1"/>
      <c r="F1253" s="1"/>
      <c r="J1253" s="1"/>
      <c r="N1253" s="1"/>
      <c r="R1253" s="1"/>
      <c r="V1253" s="1"/>
      <c r="Z1253" s="1"/>
      <c r="AD1253" s="1"/>
      <c r="AH1253" s="1"/>
      <c r="AL1253" s="1"/>
      <c r="AP1253" s="1"/>
      <c r="AT1253" s="16"/>
      <c r="AX1253" s="16"/>
    </row>
    <row r="1254" spans="2:50" x14ac:dyDescent="0.25">
      <c r="B1254" s="1"/>
      <c r="F1254" s="1"/>
      <c r="J1254" s="1"/>
      <c r="N1254" s="1"/>
      <c r="R1254" s="1"/>
      <c r="V1254" s="1"/>
      <c r="Z1254" s="1"/>
      <c r="AD1254" s="1"/>
      <c r="AH1254" s="1"/>
      <c r="AL1254" s="1"/>
      <c r="AP1254" s="1"/>
      <c r="AT1254" s="16"/>
      <c r="AX1254" s="16"/>
    </row>
    <row r="1255" spans="2:50" x14ac:dyDescent="0.25">
      <c r="B1255" s="1"/>
      <c r="F1255" s="1"/>
      <c r="J1255" s="1"/>
      <c r="N1255" s="1"/>
      <c r="R1255" s="1"/>
      <c r="V1255" s="1"/>
      <c r="Z1255" s="1"/>
      <c r="AD1255" s="1"/>
      <c r="AH1255" s="1"/>
      <c r="AL1255" s="1"/>
      <c r="AP1255" s="1"/>
      <c r="AT1255" s="16"/>
      <c r="AX1255" s="16"/>
    </row>
    <row r="1256" spans="2:50" x14ac:dyDescent="0.25">
      <c r="B1256" s="1"/>
      <c r="F1256" s="1"/>
      <c r="J1256" s="1"/>
      <c r="N1256" s="1"/>
      <c r="R1256" s="1"/>
      <c r="V1256" s="1"/>
      <c r="Z1256" s="1"/>
      <c r="AD1256" s="1"/>
      <c r="AH1256" s="1"/>
      <c r="AL1256" s="1"/>
      <c r="AP1256" s="1"/>
      <c r="AT1256" s="16"/>
      <c r="AX1256" s="16"/>
    </row>
    <row r="1257" spans="2:50" x14ac:dyDescent="0.25">
      <c r="B1257" s="1"/>
      <c r="F1257" s="1"/>
      <c r="J1257" s="1"/>
      <c r="N1257" s="1"/>
      <c r="R1257" s="1"/>
      <c r="V1257" s="1"/>
      <c r="Z1257" s="1"/>
      <c r="AD1257" s="1"/>
      <c r="AH1257" s="1"/>
      <c r="AL1257" s="1"/>
      <c r="AP1257" s="1"/>
      <c r="AT1257" s="16"/>
      <c r="AX1257" s="16"/>
    </row>
    <row r="1258" spans="2:50" x14ac:dyDescent="0.25">
      <c r="B1258" s="1"/>
      <c r="F1258" s="1"/>
      <c r="J1258" s="1"/>
      <c r="N1258" s="1"/>
      <c r="R1258" s="1"/>
      <c r="V1258" s="1"/>
      <c r="Z1258" s="1"/>
      <c r="AD1258" s="1"/>
      <c r="AH1258" s="1"/>
      <c r="AL1258" s="1"/>
      <c r="AP1258" s="1"/>
      <c r="AT1258" s="16"/>
      <c r="AX1258" s="16"/>
    </row>
    <row r="1259" spans="2:50" x14ac:dyDescent="0.25">
      <c r="B1259" s="1"/>
      <c r="F1259" s="1"/>
      <c r="J1259" s="1"/>
      <c r="N1259" s="1"/>
      <c r="R1259" s="1"/>
      <c r="V1259" s="1"/>
      <c r="Z1259" s="1"/>
      <c r="AD1259" s="1"/>
      <c r="AH1259" s="1"/>
      <c r="AL1259" s="1"/>
      <c r="AP1259" s="1"/>
      <c r="AT1259" s="16"/>
      <c r="AX1259" s="16"/>
    </row>
    <row r="1260" spans="2:50" x14ac:dyDescent="0.25">
      <c r="B1260" s="1"/>
      <c r="F1260" s="1"/>
      <c r="J1260" s="1"/>
      <c r="N1260" s="1"/>
      <c r="R1260" s="1"/>
      <c r="V1260" s="1"/>
      <c r="Z1260" s="1"/>
      <c r="AD1260" s="1"/>
      <c r="AH1260" s="1"/>
      <c r="AL1260" s="1"/>
      <c r="AP1260" s="1"/>
      <c r="AT1260" s="16"/>
      <c r="AX1260" s="16"/>
    </row>
    <row r="1261" spans="2:50" x14ac:dyDescent="0.25">
      <c r="B1261" s="1"/>
      <c r="F1261" s="1"/>
      <c r="J1261" s="1"/>
      <c r="N1261" s="1"/>
      <c r="R1261" s="1"/>
      <c r="V1261" s="1"/>
      <c r="Z1261" s="1"/>
      <c r="AD1261" s="1"/>
      <c r="AH1261" s="1"/>
      <c r="AL1261" s="1"/>
      <c r="AP1261" s="1"/>
      <c r="AT1261" s="16"/>
      <c r="AX1261" s="16"/>
    </row>
    <row r="1262" spans="2:50" x14ac:dyDescent="0.25">
      <c r="B1262" s="1"/>
      <c r="F1262" s="1"/>
      <c r="J1262" s="1"/>
      <c r="N1262" s="1"/>
      <c r="R1262" s="1"/>
      <c r="V1262" s="1"/>
      <c r="Z1262" s="1"/>
      <c r="AD1262" s="1"/>
      <c r="AH1262" s="1"/>
      <c r="AL1262" s="1"/>
      <c r="AP1262" s="1"/>
      <c r="AT1262" s="16"/>
      <c r="AX1262" s="16"/>
    </row>
    <row r="1263" spans="2:50" x14ac:dyDescent="0.25">
      <c r="B1263" s="1"/>
      <c r="F1263" s="1"/>
      <c r="J1263" s="1"/>
      <c r="N1263" s="1"/>
      <c r="R1263" s="1"/>
      <c r="V1263" s="1"/>
      <c r="Z1263" s="1"/>
      <c r="AD1263" s="1"/>
      <c r="AH1263" s="1"/>
      <c r="AL1263" s="1"/>
      <c r="AP1263" s="1"/>
      <c r="AT1263" s="16"/>
      <c r="AX1263" s="16"/>
    </row>
    <row r="1264" spans="2:50" x14ac:dyDescent="0.25">
      <c r="B1264" s="1"/>
      <c r="F1264" s="1"/>
      <c r="J1264" s="1"/>
      <c r="N1264" s="1"/>
      <c r="R1264" s="1"/>
      <c r="V1264" s="1"/>
      <c r="Z1264" s="1"/>
      <c r="AD1264" s="1"/>
      <c r="AH1264" s="1"/>
      <c r="AL1264" s="1"/>
      <c r="AP1264" s="1"/>
      <c r="AT1264" s="16"/>
      <c r="AX1264" s="16"/>
    </row>
    <row r="1265" spans="2:50" x14ac:dyDescent="0.25">
      <c r="B1265" s="1"/>
      <c r="F1265" s="1"/>
      <c r="J1265" s="1"/>
      <c r="N1265" s="1"/>
      <c r="R1265" s="1"/>
      <c r="V1265" s="1"/>
      <c r="Z1265" s="1"/>
      <c r="AD1265" s="1"/>
      <c r="AH1265" s="1"/>
      <c r="AL1265" s="1"/>
      <c r="AP1265" s="1"/>
      <c r="AT1265" s="16"/>
      <c r="AX1265" s="16"/>
    </row>
    <row r="1266" spans="2:50" x14ac:dyDescent="0.25">
      <c r="B1266" s="1"/>
      <c r="F1266" s="1"/>
      <c r="J1266" s="1"/>
      <c r="N1266" s="1"/>
      <c r="R1266" s="1"/>
      <c r="V1266" s="1"/>
      <c r="Z1266" s="1"/>
      <c r="AD1266" s="1"/>
      <c r="AH1266" s="1"/>
      <c r="AL1266" s="1"/>
      <c r="AP1266" s="1"/>
      <c r="AT1266" s="16"/>
      <c r="AX1266" s="16"/>
    </row>
    <row r="1267" spans="2:50" x14ac:dyDescent="0.25">
      <c r="B1267" s="1"/>
      <c r="F1267" s="1"/>
      <c r="J1267" s="1"/>
      <c r="N1267" s="1"/>
      <c r="R1267" s="1"/>
      <c r="V1267" s="1"/>
      <c r="Z1267" s="1"/>
      <c r="AD1267" s="1"/>
      <c r="AH1267" s="1"/>
      <c r="AL1267" s="1"/>
      <c r="AP1267" s="1"/>
      <c r="AT1267" s="16"/>
      <c r="AX1267" s="16"/>
    </row>
    <row r="1268" spans="2:50" x14ac:dyDescent="0.25">
      <c r="B1268" s="1"/>
      <c r="F1268" s="1"/>
      <c r="J1268" s="1"/>
      <c r="N1268" s="1"/>
      <c r="R1268" s="1"/>
      <c r="V1268" s="1"/>
      <c r="Z1268" s="1"/>
      <c r="AD1268" s="1"/>
      <c r="AH1268" s="1"/>
      <c r="AL1268" s="1"/>
      <c r="AP1268" s="1"/>
      <c r="AT1268" s="16"/>
      <c r="AX1268" s="16"/>
    </row>
    <row r="1269" spans="2:50" x14ac:dyDescent="0.25">
      <c r="B1269" s="1"/>
      <c r="F1269" s="1"/>
      <c r="J1269" s="1"/>
      <c r="N1269" s="1"/>
      <c r="R1269" s="1"/>
      <c r="V1269" s="1"/>
      <c r="Z1269" s="1"/>
      <c r="AD1269" s="1"/>
      <c r="AH1269" s="1"/>
      <c r="AL1269" s="1"/>
      <c r="AP1269" s="1"/>
      <c r="AX1269" s="16"/>
    </row>
    <row r="1270" spans="2:50" x14ac:dyDescent="0.25">
      <c r="B1270" s="1"/>
      <c r="F1270" s="1"/>
      <c r="J1270" s="1"/>
      <c r="N1270" s="1"/>
      <c r="R1270" s="1"/>
      <c r="V1270" s="1"/>
      <c r="Z1270" s="1"/>
      <c r="AD1270" s="1"/>
      <c r="AH1270" s="1"/>
      <c r="AL1270" s="1"/>
      <c r="AP1270" s="1"/>
      <c r="AX1270" s="16"/>
    </row>
    <row r="1271" spans="2:50" x14ac:dyDescent="0.25">
      <c r="B1271" s="1"/>
      <c r="F1271" s="1"/>
      <c r="J1271" s="1"/>
      <c r="N1271" s="1"/>
      <c r="R1271" s="1"/>
      <c r="V1271" s="1"/>
      <c r="Z1271" s="1"/>
      <c r="AD1271" s="1"/>
      <c r="AH1271" s="1"/>
      <c r="AL1271" s="1"/>
      <c r="AP1271" s="1"/>
      <c r="AX1271" s="16"/>
    </row>
    <row r="1272" spans="2:50" x14ac:dyDescent="0.25">
      <c r="B1272" s="1"/>
      <c r="F1272" s="1"/>
      <c r="J1272" s="1"/>
      <c r="N1272" s="1"/>
      <c r="R1272" s="1"/>
      <c r="V1272" s="1"/>
      <c r="Z1272" s="1"/>
      <c r="AD1272" s="1"/>
      <c r="AH1272" s="1"/>
      <c r="AL1272" s="1"/>
      <c r="AP1272" s="1"/>
      <c r="AX1272" s="16"/>
    </row>
    <row r="1273" spans="2:50" x14ac:dyDescent="0.25">
      <c r="B1273" s="1"/>
      <c r="F1273" s="1"/>
      <c r="J1273" s="1"/>
      <c r="N1273" s="1"/>
      <c r="R1273" s="1"/>
      <c r="V1273" s="1"/>
      <c r="Z1273" s="1"/>
      <c r="AD1273" s="1"/>
      <c r="AH1273" s="1"/>
      <c r="AL1273" s="1"/>
      <c r="AP1273" s="1"/>
      <c r="AX1273" s="16"/>
    </row>
    <row r="1274" spans="2:50" x14ac:dyDescent="0.25">
      <c r="B1274" s="1"/>
      <c r="F1274" s="1"/>
      <c r="J1274" s="1"/>
      <c r="N1274" s="1"/>
      <c r="R1274" s="1"/>
      <c r="V1274" s="1"/>
      <c r="Z1274" s="1"/>
      <c r="AD1274" s="1"/>
      <c r="AH1274" s="1"/>
      <c r="AL1274" s="1"/>
      <c r="AP1274" s="1"/>
      <c r="AX1274" s="16"/>
    </row>
    <row r="1275" spans="2:50" x14ac:dyDescent="0.25">
      <c r="B1275" s="1"/>
      <c r="F1275" s="1"/>
      <c r="J1275" s="1"/>
      <c r="N1275" s="1"/>
      <c r="R1275" s="1"/>
      <c r="V1275" s="1"/>
      <c r="Z1275" s="1"/>
      <c r="AD1275" s="1"/>
      <c r="AH1275" s="1"/>
      <c r="AL1275" s="1"/>
      <c r="AP1275" s="1"/>
      <c r="AX1275" s="16"/>
    </row>
    <row r="1276" spans="2:50" x14ac:dyDescent="0.25">
      <c r="B1276" s="1"/>
      <c r="F1276" s="1"/>
      <c r="J1276" s="1"/>
      <c r="N1276" s="1"/>
      <c r="R1276" s="1"/>
      <c r="V1276" s="1"/>
      <c r="Z1276" s="1"/>
      <c r="AD1276" s="1"/>
      <c r="AH1276" s="1"/>
      <c r="AL1276" s="1"/>
      <c r="AP1276" s="1"/>
      <c r="AX1276" s="16"/>
    </row>
    <row r="1277" spans="2:50" x14ac:dyDescent="0.25">
      <c r="B1277" s="1"/>
      <c r="F1277" s="1"/>
      <c r="J1277" s="1"/>
      <c r="N1277" s="1"/>
      <c r="R1277" s="1"/>
      <c r="V1277" s="1"/>
      <c r="Z1277" s="1"/>
      <c r="AD1277" s="1"/>
      <c r="AH1277" s="1"/>
      <c r="AL1277" s="1"/>
      <c r="AP1277" s="1"/>
      <c r="AX1277" s="16"/>
    </row>
    <row r="1278" spans="2:50" x14ac:dyDescent="0.25">
      <c r="B1278" s="1"/>
      <c r="F1278" s="1"/>
      <c r="J1278" s="1"/>
      <c r="N1278" s="1"/>
      <c r="R1278" s="1"/>
      <c r="V1278" s="1"/>
      <c r="Z1278" s="1"/>
      <c r="AD1278" s="1"/>
      <c r="AH1278" s="1"/>
      <c r="AL1278" s="1"/>
      <c r="AP1278" s="1"/>
      <c r="AX1278" s="16"/>
    </row>
    <row r="1279" spans="2:50" x14ac:dyDescent="0.25">
      <c r="B1279" s="1"/>
      <c r="F1279" s="1"/>
      <c r="J1279" s="1"/>
      <c r="N1279" s="1"/>
      <c r="R1279" s="1"/>
      <c r="V1279" s="1"/>
      <c r="Z1279" s="1"/>
      <c r="AD1279" s="1"/>
      <c r="AH1279" s="1"/>
      <c r="AL1279" s="1"/>
      <c r="AP1279" s="1"/>
      <c r="AX1279" s="16"/>
    </row>
    <row r="1280" spans="2:50" x14ac:dyDescent="0.25">
      <c r="B1280" s="1"/>
      <c r="F1280" s="1"/>
      <c r="J1280" s="1"/>
      <c r="N1280" s="1"/>
      <c r="R1280" s="1"/>
      <c r="V1280" s="1"/>
      <c r="Z1280" s="1"/>
      <c r="AD1280" s="1"/>
      <c r="AH1280" s="1"/>
      <c r="AL1280" s="1"/>
      <c r="AP1280" s="1"/>
      <c r="AX1280" s="16"/>
    </row>
    <row r="1281" spans="2:50" x14ac:dyDescent="0.25">
      <c r="B1281" s="1"/>
      <c r="F1281" s="1"/>
      <c r="J1281" s="1"/>
      <c r="N1281" s="1"/>
      <c r="R1281" s="1"/>
      <c r="V1281" s="1"/>
      <c r="Z1281" s="1"/>
      <c r="AD1281" s="1"/>
      <c r="AH1281" s="1"/>
      <c r="AL1281" s="1"/>
      <c r="AP1281" s="1"/>
      <c r="AX1281" s="16"/>
    </row>
    <row r="1282" spans="2:50" x14ac:dyDescent="0.25">
      <c r="B1282" s="1"/>
      <c r="F1282" s="1"/>
      <c r="J1282" s="1"/>
      <c r="N1282" s="1"/>
      <c r="R1282" s="1"/>
      <c r="V1282" s="1"/>
      <c r="Z1282" s="1"/>
      <c r="AD1282" s="1"/>
      <c r="AH1282" s="1"/>
      <c r="AL1282" s="1"/>
      <c r="AP1282" s="1"/>
      <c r="AX1282" s="16"/>
    </row>
    <row r="1283" spans="2:50" x14ac:dyDescent="0.25">
      <c r="B1283" s="1"/>
      <c r="F1283" s="1"/>
      <c r="J1283" s="1"/>
      <c r="N1283" s="1"/>
      <c r="R1283" s="1"/>
      <c r="V1283" s="1"/>
      <c r="Z1283" s="1"/>
      <c r="AD1283" s="1"/>
      <c r="AH1283" s="1"/>
      <c r="AL1283" s="1"/>
      <c r="AP1283" s="1"/>
      <c r="AX1283" s="16"/>
    </row>
    <row r="1284" spans="2:50" x14ac:dyDescent="0.25">
      <c r="B1284" s="1"/>
      <c r="F1284" s="1"/>
      <c r="J1284" s="1"/>
      <c r="N1284" s="1"/>
      <c r="R1284" s="1"/>
      <c r="V1284" s="1"/>
      <c r="Z1284" s="1"/>
      <c r="AD1284" s="1"/>
      <c r="AH1284" s="1"/>
      <c r="AL1284" s="1"/>
      <c r="AP1284" s="1"/>
      <c r="AX1284" s="16"/>
    </row>
    <row r="1285" spans="2:50" x14ac:dyDescent="0.25">
      <c r="B1285" s="1"/>
      <c r="F1285" s="1"/>
      <c r="J1285" s="1"/>
      <c r="N1285" s="1"/>
      <c r="R1285" s="1"/>
      <c r="V1285" s="1"/>
      <c r="Z1285" s="1"/>
      <c r="AD1285" s="1"/>
      <c r="AH1285" s="1"/>
      <c r="AL1285" s="1"/>
      <c r="AP1285" s="1"/>
      <c r="AX1285" s="16"/>
    </row>
    <row r="1286" spans="2:50" x14ac:dyDescent="0.25">
      <c r="B1286" s="1"/>
      <c r="F1286" s="1"/>
      <c r="J1286" s="1"/>
      <c r="N1286" s="1"/>
      <c r="R1286" s="1"/>
      <c r="V1286" s="1"/>
      <c r="Z1286" s="1"/>
      <c r="AD1286" s="1"/>
      <c r="AH1286" s="1"/>
      <c r="AL1286" s="1"/>
      <c r="AP1286" s="1"/>
      <c r="AX1286" s="16"/>
    </row>
    <row r="1287" spans="2:50" x14ac:dyDescent="0.25">
      <c r="B1287" s="1"/>
      <c r="F1287" s="1"/>
      <c r="J1287" s="1"/>
      <c r="N1287" s="1"/>
      <c r="R1287" s="1"/>
      <c r="V1287" s="1"/>
      <c r="Z1287" s="1"/>
      <c r="AD1287" s="1"/>
      <c r="AH1287" s="1"/>
      <c r="AL1287" s="1"/>
      <c r="AP1287" s="1"/>
      <c r="AX1287" s="16"/>
    </row>
    <row r="1288" spans="2:50" x14ac:dyDescent="0.25">
      <c r="B1288" s="1"/>
      <c r="F1288" s="1"/>
      <c r="J1288" s="1"/>
      <c r="N1288" s="1"/>
      <c r="R1288" s="1"/>
      <c r="V1288" s="1"/>
      <c r="Z1288" s="1"/>
      <c r="AD1288" s="1"/>
      <c r="AH1288" s="1"/>
      <c r="AL1288" s="1"/>
      <c r="AP1288" s="1"/>
      <c r="AX1288" s="16"/>
    </row>
    <row r="1289" spans="2:50" x14ac:dyDescent="0.25">
      <c r="B1289" s="12"/>
      <c r="F1289" s="12"/>
      <c r="J1289" s="12"/>
      <c r="N1289" s="12"/>
      <c r="AD1289" s="12"/>
      <c r="AH1289" s="12"/>
      <c r="AL1289" s="12"/>
    </row>
    <row r="1290" spans="2:50" x14ac:dyDescent="0.25">
      <c r="B1290" s="12"/>
      <c r="F1290" s="12"/>
      <c r="J1290" s="12"/>
      <c r="N1290" s="12"/>
      <c r="AD1290" s="12"/>
      <c r="AH1290" s="12"/>
      <c r="AL1290" s="12"/>
    </row>
    <row r="1291" spans="2:50" x14ac:dyDescent="0.25">
      <c r="B1291" s="12"/>
      <c r="F1291" s="12"/>
      <c r="J1291" s="12"/>
      <c r="N1291" s="12"/>
      <c r="AD1291" s="12"/>
      <c r="AH1291" s="12"/>
      <c r="AL1291" s="12"/>
    </row>
    <row r="1292" spans="2:50" x14ac:dyDescent="0.25">
      <c r="B1292" s="12"/>
      <c r="F1292" s="12"/>
      <c r="J1292" s="12"/>
      <c r="N1292" s="12"/>
      <c r="AD1292" s="12"/>
      <c r="AH1292" s="12"/>
      <c r="AL1292" s="12"/>
    </row>
    <row r="1293" spans="2:50" x14ac:dyDescent="0.25">
      <c r="B1293" s="12"/>
      <c r="F1293" s="12"/>
      <c r="J1293" s="12"/>
      <c r="N1293" s="12"/>
      <c r="AD1293" s="12"/>
      <c r="AL1293" s="12"/>
    </row>
    <row r="1294" spans="2:50" x14ac:dyDescent="0.25">
      <c r="B1294" s="12"/>
      <c r="F1294" s="12"/>
      <c r="J1294" s="12"/>
      <c r="N1294" s="12"/>
      <c r="AD1294" s="12"/>
      <c r="AL1294" s="12"/>
    </row>
    <row r="1295" spans="2:50" x14ac:dyDescent="0.25">
      <c r="B1295" s="12"/>
      <c r="F1295" s="12"/>
      <c r="J1295" s="12"/>
      <c r="N1295" s="12"/>
      <c r="AD1295" s="12"/>
      <c r="AL1295" s="12"/>
    </row>
    <row r="1296" spans="2:50" x14ac:dyDescent="0.25">
      <c r="B1296" s="12"/>
      <c r="F1296" s="12"/>
      <c r="J1296" s="12"/>
      <c r="N1296" s="12"/>
      <c r="AD1296" s="12"/>
      <c r="AL1296" s="12"/>
    </row>
    <row r="1297" spans="2:38" x14ac:dyDescent="0.25">
      <c r="B1297" s="12"/>
      <c r="J1297" s="12"/>
      <c r="N1297" s="12"/>
      <c r="AD1297" s="12"/>
      <c r="AL1297" s="12"/>
    </row>
    <row r="1298" spans="2:38" x14ac:dyDescent="0.25">
      <c r="B1298" s="12"/>
      <c r="J1298" s="12"/>
      <c r="N1298" s="12"/>
      <c r="AD1298" s="12"/>
      <c r="AL129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EquityFinBloomberg">
    <tabColor theme="1" tint="0.499984740745262"/>
  </sheetPr>
  <dimension ref="B2:KZ14"/>
  <sheetViews>
    <sheetView showGridLines="0" topLeftCell="FN1" workbookViewId="0">
      <selection activeCell="FN1" sqref="A1:XFD1048576"/>
    </sheetView>
  </sheetViews>
  <sheetFormatPr defaultColWidth="11.5703125" defaultRowHeight="15" x14ac:dyDescent="0.25"/>
  <cols>
    <col min="1" max="1" width="2.7109375" customWidth="1"/>
  </cols>
  <sheetData>
    <row r="2" spans="2:312" x14ac:dyDescent="0.25">
      <c r="C2" s="12"/>
      <c r="D2" s="12"/>
      <c r="Q2" s="12"/>
      <c r="R2" s="12"/>
      <c r="AE2" s="12"/>
      <c r="AF2" s="12"/>
      <c r="AS2" s="12"/>
      <c r="AT2" s="12"/>
      <c r="BG2" s="12"/>
      <c r="BH2" s="12"/>
      <c r="BU2" s="12"/>
      <c r="BV2" s="12"/>
      <c r="CI2" s="12"/>
      <c r="CJ2" s="12"/>
      <c r="CW2" s="12"/>
      <c r="CX2" s="12"/>
      <c r="DK2" s="12"/>
      <c r="DL2" s="12"/>
      <c r="DY2" s="12"/>
      <c r="DZ2" s="12"/>
      <c r="EM2" s="12"/>
      <c r="EN2" s="12"/>
      <c r="FA2" s="16"/>
      <c r="FB2" s="16"/>
      <c r="FO2" s="16"/>
      <c r="FP2" s="16"/>
      <c r="GC2" s="16"/>
      <c r="GD2" s="16"/>
      <c r="GQ2" s="16"/>
      <c r="GR2" s="16"/>
      <c r="HE2" s="16"/>
      <c r="HF2" s="16"/>
      <c r="HS2" s="16"/>
      <c r="HT2" s="16"/>
      <c r="IG2" s="16"/>
      <c r="IH2" s="16"/>
      <c r="IU2" s="16"/>
      <c r="IV2" s="16"/>
      <c r="JI2" s="16"/>
      <c r="JJ2" s="16"/>
      <c r="JW2" s="16"/>
      <c r="JX2" s="16"/>
      <c r="KK2" s="16"/>
      <c r="KL2" s="16"/>
      <c r="KY2" s="16"/>
      <c r="KZ2" s="16"/>
    </row>
    <row r="3" spans="2:312" x14ac:dyDescent="0.25">
      <c r="C3" s="12"/>
      <c r="D3" s="12"/>
      <c r="Q3" s="12"/>
      <c r="R3" s="12"/>
      <c r="AE3" s="12"/>
      <c r="AF3" s="12"/>
      <c r="AS3" s="12"/>
      <c r="AT3" s="12"/>
      <c r="BG3" s="12"/>
      <c r="BH3" s="12"/>
      <c r="BU3" s="12"/>
      <c r="BV3" s="12"/>
      <c r="CI3" s="12"/>
      <c r="CJ3" s="12"/>
      <c r="CW3" s="12"/>
      <c r="CX3" s="12"/>
      <c r="DK3" s="12"/>
      <c r="DL3" s="12"/>
      <c r="DY3" s="12"/>
      <c r="DZ3" s="12"/>
      <c r="EM3" s="12"/>
      <c r="EN3" s="12"/>
      <c r="FA3" s="16"/>
      <c r="FB3" s="16"/>
      <c r="FO3" s="16"/>
      <c r="FP3" s="16"/>
      <c r="GC3" s="16"/>
      <c r="GD3" s="16"/>
      <c r="GQ3" s="16"/>
      <c r="GR3" s="16"/>
      <c r="HE3" s="16"/>
      <c r="HF3" s="16"/>
      <c r="HS3" s="16"/>
      <c r="HT3" s="16"/>
      <c r="IG3" s="16"/>
      <c r="IH3" s="16"/>
      <c r="IU3" s="16"/>
      <c r="IV3" s="16"/>
      <c r="JI3" s="16"/>
      <c r="JJ3" s="16"/>
      <c r="JW3" s="16"/>
      <c r="JX3" s="16"/>
      <c r="KK3" s="16"/>
      <c r="KL3" s="16"/>
      <c r="KY3" s="16"/>
      <c r="KZ3" s="16"/>
    </row>
    <row r="9" spans="2:312" x14ac:dyDescent="0.25">
      <c r="B9" s="10"/>
      <c r="C9" s="10"/>
      <c r="D9" s="10"/>
      <c r="P9" s="10"/>
      <c r="Q9" s="10"/>
      <c r="R9" s="10"/>
      <c r="AD9" s="10"/>
      <c r="AE9" s="10"/>
      <c r="AF9" s="10"/>
      <c r="AR9" s="10"/>
      <c r="AS9" s="10"/>
      <c r="AT9" s="10"/>
      <c r="BF9" s="10"/>
      <c r="BG9" s="10"/>
      <c r="BH9" s="10"/>
      <c r="BT9" s="10"/>
      <c r="BU9" s="10"/>
      <c r="BV9" s="10"/>
      <c r="CH9" s="10"/>
      <c r="CI9" s="10"/>
      <c r="CJ9" s="10"/>
      <c r="CV9" s="10"/>
      <c r="CW9" s="10"/>
      <c r="CX9" s="10"/>
      <c r="DJ9" s="10"/>
      <c r="DK9" s="10"/>
      <c r="DL9" s="10"/>
      <c r="DX9" s="10"/>
      <c r="DY9" s="10"/>
      <c r="DZ9" s="10"/>
      <c r="EL9" s="10"/>
      <c r="EM9" s="10"/>
      <c r="EN9" s="10"/>
      <c r="EZ9" s="10"/>
      <c r="FA9" s="10"/>
      <c r="FB9" s="10"/>
      <c r="FN9" s="10"/>
      <c r="FO9" s="10"/>
      <c r="FP9" s="10"/>
      <c r="GB9" s="10"/>
      <c r="GC9" s="10"/>
      <c r="GD9" s="10"/>
      <c r="GP9" s="10"/>
      <c r="GQ9" s="10"/>
      <c r="GR9" s="10"/>
      <c r="HD9" s="10"/>
      <c r="HE9" s="10"/>
      <c r="HF9" s="10"/>
      <c r="HR9" s="10"/>
      <c r="HS9" s="10"/>
      <c r="HT9" s="10"/>
      <c r="IF9" s="10"/>
      <c r="IG9" s="10"/>
      <c r="IH9" s="10"/>
      <c r="IT9" s="10"/>
      <c r="IU9" s="10"/>
      <c r="IV9" s="10"/>
      <c r="JH9" s="10"/>
      <c r="JI9" s="10"/>
      <c r="JJ9" s="10"/>
      <c r="JV9" s="10"/>
      <c r="JW9" s="10"/>
      <c r="JX9" s="10"/>
      <c r="KJ9" s="10"/>
      <c r="KK9" s="10"/>
      <c r="KL9" s="10"/>
      <c r="KX9" s="10"/>
      <c r="KY9" s="10"/>
      <c r="KZ9" s="10"/>
    </row>
    <row r="10" spans="2:312" x14ac:dyDescent="0.25">
      <c r="B10" s="12"/>
      <c r="P10" s="12"/>
      <c r="AD10" s="12"/>
      <c r="AR10" s="12"/>
      <c r="BF10" s="12"/>
      <c r="BT10" s="12"/>
      <c r="CH10" s="12"/>
      <c r="CV10" s="12"/>
      <c r="DJ10" s="12"/>
      <c r="DX10" s="12"/>
      <c r="EL10" s="12"/>
      <c r="EZ10" s="16"/>
      <c r="FN10" s="16"/>
      <c r="GB10" s="16"/>
      <c r="GP10" s="16"/>
      <c r="HD10" s="16"/>
      <c r="HR10" s="16"/>
      <c r="IF10" s="16"/>
      <c r="IT10" s="16"/>
      <c r="JH10" s="16"/>
      <c r="JV10" s="16"/>
      <c r="KJ10" s="16"/>
      <c r="KX10" s="16"/>
    </row>
    <row r="11" spans="2:312" x14ac:dyDescent="0.25">
      <c r="B11" s="12"/>
      <c r="P11" s="12"/>
      <c r="AD11" s="12"/>
      <c r="AR11" s="12"/>
      <c r="BF11" s="12"/>
      <c r="BT11" s="12"/>
      <c r="CH11" s="12"/>
      <c r="CV11" s="12"/>
      <c r="DJ11" s="12"/>
      <c r="DX11" s="12"/>
      <c r="EL11" s="12"/>
      <c r="EZ11" s="16"/>
      <c r="FN11" s="16"/>
    </row>
    <row r="12" spans="2:312" x14ac:dyDescent="0.25">
      <c r="B12" s="12"/>
      <c r="P12" s="12"/>
      <c r="AD12" s="12"/>
      <c r="AR12" s="12"/>
      <c r="BF12" s="12"/>
      <c r="BT12" s="12"/>
      <c r="CH12" s="12"/>
      <c r="CV12" s="12"/>
      <c r="DJ12" s="12"/>
      <c r="DX12" s="12"/>
      <c r="EL12" s="12"/>
      <c r="EZ12" s="16"/>
      <c r="FN12" s="16"/>
    </row>
    <row r="13" spans="2:312" x14ac:dyDescent="0.25">
      <c r="B13" s="12"/>
      <c r="P13" s="12"/>
      <c r="AD13" s="12"/>
      <c r="AR13" s="12"/>
      <c r="BF13" s="12"/>
      <c r="BT13" s="12"/>
      <c r="CH13" s="12"/>
      <c r="CV13" s="12"/>
      <c r="DJ13" s="12"/>
      <c r="DX13" s="12"/>
      <c r="EL13" s="12"/>
      <c r="EZ13" s="16"/>
      <c r="FN13" s="16"/>
    </row>
    <row r="14" spans="2:312" x14ac:dyDescent="0.25">
      <c r="B14" s="12"/>
      <c r="P14" s="12"/>
      <c r="AD14" s="12"/>
      <c r="AR14" s="12"/>
      <c r="BF14" s="12"/>
      <c r="BT14" s="12"/>
      <c r="CH14" s="12"/>
      <c r="CV14" s="12"/>
      <c r="DJ14" s="12"/>
      <c r="DX14" s="12"/>
      <c r="EL14" s="12"/>
      <c r="EZ14" s="16"/>
      <c r="FN14" s="1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ondsDataBloomberg">
    <tabColor theme="1" tint="0.499984740745262"/>
  </sheetPr>
  <dimension ref="A1:I1"/>
  <sheetViews>
    <sheetView showGridLines="0" workbookViewId="0">
      <selection activeCell="A2" sqref="A2:I11"/>
    </sheetView>
  </sheetViews>
  <sheetFormatPr defaultColWidth="11.5703125" defaultRowHeight="15" x14ac:dyDescent="0.25"/>
  <cols>
    <col min="1" max="1" width="16.5703125" bestFit="1" customWidth="1"/>
    <col min="2" max="2" width="26.140625" bestFit="1" customWidth="1"/>
    <col min="3" max="3" width="7.85546875" bestFit="1" customWidth="1"/>
    <col min="4" max="4" width="10.7109375" bestFit="1" customWidth="1"/>
    <col min="5" max="5" width="10.5703125" bestFit="1" customWidth="1"/>
    <col min="6" max="6" width="10.28515625" bestFit="1" customWidth="1"/>
    <col min="7" max="7" width="8" bestFit="1" customWidth="1"/>
    <col min="8" max="8" width="16.85546875" bestFit="1" customWidth="1"/>
  </cols>
  <sheetData>
    <row r="1" spans="1:9" x14ac:dyDescent="0.25">
      <c r="A1" s="13" t="s">
        <v>109</v>
      </c>
      <c r="B1" s="13" t="s">
        <v>110</v>
      </c>
      <c r="C1" s="13" t="s">
        <v>111</v>
      </c>
      <c r="D1" s="13" t="s">
        <v>112</v>
      </c>
      <c r="E1" s="13" t="s">
        <v>113</v>
      </c>
      <c r="F1" s="13" t="s">
        <v>114</v>
      </c>
      <c r="G1" s="13" t="s">
        <v>115</v>
      </c>
      <c r="H1" s="13" t="s">
        <v>116</v>
      </c>
      <c r="I1" s="13" t="s">
        <v>117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odule_x0020_1_x0020_du_x0020_groupe_x0020_2 xmlns="35484e38-9a5f-47b4-a722-908db32a304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435C24CE575D4B871810B5C33AFDB5" ma:contentTypeVersion="9" ma:contentTypeDescription="Crée un document." ma:contentTypeScope="" ma:versionID="eedda0c99ee087c77eb203d5f7fdafa1">
  <xsd:schema xmlns:xsd="http://www.w3.org/2001/XMLSchema" xmlns:xs="http://www.w3.org/2001/XMLSchema" xmlns:p="http://schemas.microsoft.com/office/2006/metadata/properties" xmlns:ns2="35484e38-9a5f-47b4-a722-908db32a3048" xmlns:ns3="1ff1b014-14bd-4031-b7fc-c492a8067662" targetNamespace="http://schemas.microsoft.com/office/2006/metadata/properties" ma:root="true" ma:fieldsID="8187d01fa64804d9a56eeb7a32b3ab0f" ns2:_="" ns3:_="">
    <xsd:import namespace="35484e38-9a5f-47b4-a722-908db32a3048"/>
    <xsd:import namespace="1ff1b014-14bd-4031-b7fc-c492a80676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odule_x0020_1_x0020_du_x0020_groupe_x0020_2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484e38-9a5f-47b4-a722-908db32a30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odule_x0020_1_x0020_du_x0020_groupe_x0020_2" ma:index="15" nillable="true" ma:displayName="Module 1 du groupe 2" ma:format="Dropdown" ma:internalName="Module_x0020_1_x0020_du_x0020_groupe_x0020_2">
      <xsd:simpleType>
        <xsd:restriction base="dms:Text">
          <xsd:maxLength value="255"/>
        </xsd:restriction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f1b014-14bd-4031-b7fc-c492a806766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4ED7D6-9B5B-4182-8D1B-F978FA61A9AC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www.w3.org/XML/1998/namespace"/>
    <ds:schemaRef ds:uri="35484e38-9a5f-47b4-a722-908db32a3048"/>
    <ds:schemaRef ds:uri="http://schemas.microsoft.com/office/2006/documentManagement/types"/>
    <ds:schemaRef ds:uri="1ff1b014-14bd-4031-b7fc-c492a8067662"/>
    <ds:schemaRef ds:uri="http://schemas.microsoft.com/office/infopath/2007/PartnerControl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58AA835-99C5-49B2-BA17-06975594A4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1D361A-701B-4E17-91DD-C3EF539CE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484e38-9a5f-47b4-a722-908db32a3048"/>
    <ds:schemaRef ds:uri="1ff1b014-14bd-4031-b7fc-c492a80676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WELCOME</vt:lpstr>
      <vt:lpstr>MASTER SHEET</vt:lpstr>
      <vt:lpstr>EQUITY Portfolio</vt:lpstr>
      <vt:lpstr>EquityAnalysis</vt:lpstr>
      <vt:lpstr>PF Efficients</vt:lpstr>
      <vt:lpstr>BondPortfolio</vt:lpstr>
      <vt:lpstr>BondAnalysis</vt:lpstr>
      <vt:lpstr>BondComparison</vt:lpstr>
      <vt:lpstr>OptionPortfolio</vt:lpstr>
      <vt:lpstr>OptionAnalysis</vt:lpstr>
      <vt:lpstr>RECAP</vt:lpstr>
      <vt:lpstr>RETURN</vt:lpstr>
      <vt:lpstr>GaussCurveBuild</vt:lpstr>
      <vt:lpstr>EquityDataValues</vt:lpstr>
      <vt:lpstr>EquityFinValues</vt:lpstr>
      <vt:lpstr>BondsDataValue</vt:lpstr>
      <vt:lpstr>EquityDataBloomberg</vt:lpstr>
      <vt:lpstr>EquityFinBloomberg</vt:lpstr>
      <vt:lpstr>BondsDataBloomberg</vt:lpstr>
      <vt:lpstr>Bond_Comp_1</vt:lpstr>
      <vt:lpstr>Bond_Comp_2</vt:lpstr>
      <vt:lpstr>BondName</vt:lpstr>
      <vt:lpstr>Com_Original_Yield</vt:lpstr>
      <vt:lpstr>Discount_C</vt:lpstr>
      <vt:lpstr>Discount_C_Comp</vt:lpstr>
      <vt:lpstr>dISCOUNT8c</vt:lpstr>
      <vt:lpstr>end_date</vt:lpstr>
      <vt:lpstr>Original_Yield</vt:lpstr>
      <vt:lpstr>Premium_C</vt:lpstr>
      <vt:lpstr>Premium_C_Comp</vt:lpstr>
      <vt:lpstr>start_date</vt:lpstr>
      <vt:lpstr>Step_Analysis</vt:lpstr>
      <vt:lpstr>Step_Analysis_Comp</vt:lpstr>
      <vt:lpstr>str_stock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2018-04-13T16:10:00Z</dcterms:created>
  <dcterms:modified xsi:type="dcterms:W3CDTF">2020-09-09T06:51:13Z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0x010100E2435C24CE575D4B871810B5C33AFDB5</vt:lpwstr>
  </property>
</Properties>
</file>