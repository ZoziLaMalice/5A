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4.xml.rels" ContentType="application/vnd.openxmlformats-package.relationships+xml"/>
  <Override PartName="/xl/worksheets/_rels/sheet35.xml.rels" ContentType="application/vnd.openxmlformats-package.relationships+xml"/>
  <Override PartName="/xl/worksheets/_rels/sheet2.xml.rels" ContentType="application/vnd.openxmlformats-package.relationships+xml"/>
  <Override PartName="/xl/worksheets/_rels/sheet46.xml.rels" ContentType="application/vnd.openxmlformats-package.relationships+xml"/>
  <Override PartName="/xl/worksheets/sheet1.xml" ContentType="application/vnd.openxmlformats-officedocument.spreadsheetml.worksheet+xml"/>
  <Override PartName="/xl/worksheets/sheet46.xml" ContentType="application/vnd.openxmlformats-officedocument.spreadsheetml.worksheet+xml"/>
  <Override PartName="/xl/worksheets/sheet2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24.xml" ContentType="application/vnd.openxmlformats-officedocument.spreadsheetml.worksheet+xml"/>
  <Override PartName="/xl/worksheets/sheet5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MIRR" sheetId="1" state="visible" r:id="rId3"/>
    <sheet name="HEP Control Panel" sheetId="2" state="visible" r:id="rId4"/>
    <sheet name="HEP expansion" sheetId="13" state="visible" r:id="rId5"/>
    <sheet name="Monte Carlo linear" sheetId="24" state="visible" r:id="rId6"/>
    <sheet name="Monte Carlo correlated" sheetId="35" state="visible" r:id="rId7"/>
    <sheet name="Monte Carlo Cholesky" sheetId="46" state="visible" r:id="rId8"/>
    <sheet name="temp" sheetId="57" state="visible" r:id="rId9"/>
  </sheets>
  <definedNames>
    <definedName function="false" hidden="false" name="_xlchart.v1.0" vbProcedure="false">'Monte Carlo linear'!$A$125:$A$147</definedName>
    <definedName function="false" hidden="false" name="_xlchart.v1.1" vbProcedure="false">'Monte Carlo linear'!$B$112:$ALM$112</definedName>
    <definedName function="false" hidden="false" localSheetId="12" name="solver_adj" vbProcedure="false">'HEP expansion'!$D$9</definedName>
    <definedName function="false" hidden="false" localSheetId="12" name="solver_cvg" vbProcedure="false">0.0001</definedName>
    <definedName function="false" hidden="false" localSheetId="12" name="solver_drv" vbProcedure="false">2</definedName>
    <definedName function="false" hidden="false" localSheetId="12" name="solver_eng" vbProcedure="false">1</definedName>
    <definedName function="false" hidden="false" localSheetId="12" name="solver_est" vbProcedure="false">1</definedName>
    <definedName function="false" hidden="false" localSheetId="12" name="solver_itr" vbProcedure="false">2147483647</definedName>
    <definedName function="false" hidden="false" localSheetId="12" name="solver_lhs1" vbProcedure="false">'HEP expansion'!$C$48:$F$48</definedName>
    <definedName function="false" hidden="false" localSheetId="12" name="solver_mip" vbProcedure="false">2147483647</definedName>
    <definedName function="false" hidden="false" localSheetId="12" name="solver_mni" vbProcedure="false">30</definedName>
    <definedName function="false" hidden="false" localSheetId="12" name="solver_mrt" vbProcedure="false">0.075</definedName>
    <definedName function="false" hidden="false" localSheetId="12" name="solver_msl" vbProcedure="false">2</definedName>
    <definedName function="false" hidden="false" localSheetId="12" name="solver_neg" vbProcedure="false">1</definedName>
    <definedName function="false" hidden="false" localSheetId="12" name="solver_nod" vbProcedure="false">2147483647</definedName>
    <definedName function="false" hidden="false" localSheetId="12" name="solver_num" vbProcedure="false">0</definedName>
    <definedName function="false" hidden="false" localSheetId="12" name="solver_nwt" vbProcedure="false">1</definedName>
    <definedName function="false" hidden="false" localSheetId="12" name="solver_opt" vbProcedure="false">'HEP expansion'!$B$50</definedName>
    <definedName function="false" hidden="false" localSheetId="12" name="solver_pre" vbProcedure="false">0.000001</definedName>
    <definedName function="false" hidden="false" localSheetId="12" name="solver_rbv" vbProcedure="false">2</definedName>
    <definedName function="false" hidden="false" localSheetId="12" name="solver_rel1" vbProcedure="false">2</definedName>
    <definedName function="false" hidden="false" localSheetId="12" name="solver_rhs1" vbProcedure="false">'HEP expansion'!$C$42:$F$42</definedName>
    <definedName function="false" hidden="false" localSheetId="12" name="solver_rlx" vbProcedure="false">2</definedName>
    <definedName function="false" hidden="false" localSheetId="12" name="solver_rsd" vbProcedure="false">0</definedName>
    <definedName function="false" hidden="false" localSheetId="12" name="solver_scl" vbProcedure="false">2</definedName>
    <definedName function="false" hidden="false" localSheetId="12" name="solver_sho" vbProcedure="false">2</definedName>
    <definedName function="false" hidden="false" localSheetId="12" name="solver_ssz" vbProcedure="false">100</definedName>
    <definedName function="false" hidden="false" localSheetId="12" name="solver_tim" vbProcedure="false">2147483647</definedName>
    <definedName function="false" hidden="false" localSheetId="12" name="solver_tol" vbProcedure="false">0.01</definedName>
    <definedName function="false" hidden="false" localSheetId="12" name="solver_typ" vbProcedure="false">3</definedName>
    <definedName function="false" hidden="false" localSheetId="12" name="solver_val" vbProcedure="false">0</definedName>
    <definedName function="false" hidden="false" localSheetId="12" name="solver_ver" vbProcedure="false">3</definedName>
    <definedName function="false" hidden="false" name="solver_adj" vbProcedure="false">'units -10%_1'!$D$9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-10%_1'!$C$48:$F$48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-10%_1'!$B$50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-10%_1'!$C$42:$F$42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-5_1'!$D$9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-5_1'!$C$48:$F$48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-5_1'!$B$50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-5_1'!$C$42:$F$42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0_1'!$D$9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0_1'!$C$48:$F$48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0_1'!$B$50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0_1'!$C$42:$F$42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5%_1'!$D$9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5%_1'!$C$48:$F$48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5%_1'!$B$50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5%_1'!$C$42:$F$42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10%_1'!$D$9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10%_1'!$C$48:$F$48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10%_1'!$B$50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10%_1'!$C$42:$F$42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-10_1'!$D$9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-10_1'!$C$48:$F$48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-10_1'!$B$50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-10_1'!$C$42:$F$42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-5_1'!$D$9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-5_1'!$C$48:$F$48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-5_1'!$B$50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-5_1'!$C$42:$F$42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0_1'!$D$9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0_1'!$C$48:$F$48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0_1'!$B$50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0_1'!$C$42:$F$42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5_1'!$D$9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5_1'!$C$48:$F$48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5_1'!$B$50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5_1'!$C$42:$F$42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10%_1'!$D$9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10%_1'!$C$48:$F$48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10%_1'!$B$50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10%_1'!$C$42:$F$42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localSheetId="23" name="solver_adj" vbProcedure="false">'Monte Carlo linear'!$D$9</definedName>
    <definedName function="false" hidden="false" localSheetId="23" name="solver_cvg" vbProcedure="false">0.0001</definedName>
    <definedName function="false" hidden="false" localSheetId="23" name="solver_drv" vbProcedure="false">2</definedName>
    <definedName function="false" hidden="false" localSheetId="23" name="solver_eng" vbProcedure="false">1</definedName>
    <definedName function="false" hidden="false" localSheetId="23" name="solver_est" vbProcedure="false">1</definedName>
    <definedName function="false" hidden="false" localSheetId="23" name="solver_itr" vbProcedure="false">2147483647</definedName>
    <definedName function="false" hidden="false" localSheetId="23" name="solver_lhs1" vbProcedure="false">'Monte Carlo linear'!$C$48:$F$48</definedName>
    <definedName function="false" hidden="false" localSheetId="23" name="solver_mip" vbProcedure="false">2147483647</definedName>
    <definedName function="false" hidden="false" localSheetId="23" name="solver_mni" vbProcedure="false">30</definedName>
    <definedName function="false" hidden="false" localSheetId="23" name="solver_mrt" vbProcedure="false">0.075</definedName>
    <definedName function="false" hidden="false" localSheetId="23" name="solver_msl" vbProcedure="false">2</definedName>
    <definedName function="false" hidden="false" localSheetId="23" name="solver_neg" vbProcedure="false">1</definedName>
    <definedName function="false" hidden="false" localSheetId="23" name="solver_nod" vbProcedure="false">2147483647</definedName>
    <definedName function="false" hidden="false" localSheetId="23" name="solver_num" vbProcedure="false">0</definedName>
    <definedName function="false" hidden="false" localSheetId="23" name="solver_nwt" vbProcedure="false">1</definedName>
    <definedName function="false" hidden="false" localSheetId="23" name="solver_opt" vbProcedure="false">'Monte Carlo linear'!$B$50</definedName>
    <definedName function="false" hidden="false" localSheetId="23" name="solver_pre" vbProcedure="false">0.000001</definedName>
    <definedName function="false" hidden="false" localSheetId="23" name="solver_rbv" vbProcedure="false">2</definedName>
    <definedName function="false" hidden="false" localSheetId="23" name="solver_rel1" vbProcedure="false">2</definedName>
    <definedName function="false" hidden="false" localSheetId="23" name="solver_rhs1" vbProcedure="false">'Monte Carlo linear'!$C$42:$F$42</definedName>
    <definedName function="false" hidden="false" localSheetId="23" name="solver_rlx" vbProcedure="false">2</definedName>
    <definedName function="false" hidden="false" localSheetId="23" name="solver_rsd" vbProcedure="false">0</definedName>
    <definedName function="false" hidden="false" localSheetId="23" name="solver_scl" vbProcedure="false">2</definedName>
    <definedName function="false" hidden="false" localSheetId="23" name="solver_sho" vbProcedure="false">2</definedName>
    <definedName function="false" hidden="false" localSheetId="23" name="solver_ssz" vbProcedure="false">100</definedName>
    <definedName function="false" hidden="false" localSheetId="23" name="solver_tim" vbProcedure="false">2147483647</definedName>
    <definedName function="false" hidden="false" localSheetId="23" name="solver_tol" vbProcedure="false">0.01</definedName>
    <definedName function="false" hidden="false" localSheetId="23" name="solver_typ" vbProcedure="false">3</definedName>
    <definedName function="false" hidden="false" localSheetId="23" name="solver_val" vbProcedure="false">0</definedName>
    <definedName function="false" hidden="false" localSheetId="23" name="solver_ver" vbProcedure="false">3</definedName>
    <definedName function="false" hidden="false" name="solver_adj" vbProcedure="false">'units -10%_0'!$D$9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-10%_0'!$C$48:$F$48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-10%_0'!$B$50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-10%_0'!$C$42:$F$42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'units -10%_0'!$A$125:$A$147</definedName>
    <definedName function="false" hidden="false" name="_xlchart.v1.1" vbProcedure="false">'units -10%_0'!$B$112:$ALM$112</definedName>
    <definedName function="false" hidden="false" name="solver_adj" vbProcedure="false">'units -5_0'!$D$9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-5_0'!$C$48:$F$48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-5_0'!$B$50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-5_0'!$C$42:$F$42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'units -5_0'!$A$125:$A$147</definedName>
    <definedName function="false" hidden="false" name="_xlchart.v1.1" vbProcedure="false">'units -5_0'!$B$112:$ALM$112</definedName>
    <definedName function="false" hidden="false" name="solver_adj" vbProcedure="false">'units 0_0'!$D$9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0_0'!$C$48:$F$48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0_0'!$B$50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0_0'!$C$42:$F$42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'units 0_0'!$A$125:$A$147</definedName>
    <definedName function="false" hidden="false" name="_xlchart.v1.1" vbProcedure="false">'units 0_0'!$B$112:$ALM$112</definedName>
    <definedName function="false" hidden="false" name="solver_adj" vbProcedure="false">'units 5%_0'!$D$9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5%_0'!$C$48:$F$48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5%_0'!$B$50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5%_0'!$C$42:$F$42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'units 5%_0'!$A$125:$A$147</definedName>
    <definedName function="false" hidden="false" name="_xlchart.v1.1" vbProcedure="false">'units 5%_0'!$B$112:$ALM$112</definedName>
    <definedName function="false" hidden="false" name="solver_adj" vbProcedure="false">'units 10%_0'!$D$9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10%_0'!$C$48:$F$48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10%_0'!$B$50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10%_0'!$C$42:$F$42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'units 10%_0'!$A$125:$A$147</definedName>
    <definedName function="false" hidden="false" name="_xlchart.v1.1" vbProcedure="false">'units 10%_0'!$B$112:$ALM$112</definedName>
    <definedName function="false" hidden="false" name="solver_adj" vbProcedure="false">'price -10_0'!$D$9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-10_0'!$C$48:$F$48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-10_0'!$B$50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-10_0'!$C$42:$F$42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'price -10_0'!$A$125:$A$147</definedName>
    <definedName function="false" hidden="false" name="_xlchart.v1.1" vbProcedure="false">'price -10_0'!$B$112:$ALM$112</definedName>
    <definedName function="false" hidden="false" name="solver_adj" vbProcedure="false">'price -5_0'!$D$9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-5_0'!$C$48:$F$48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-5_0'!$B$50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-5_0'!$C$42:$F$42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'price -5_0'!$A$125:$A$147</definedName>
    <definedName function="false" hidden="false" name="_xlchart.v1.1" vbProcedure="false">'price -5_0'!$B$112:$ALM$112</definedName>
    <definedName function="false" hidden="false" name="solver_adj" vbProcedure="false">'price 0_0'!$D$9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0_0'!$C$48:$F$48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0_0'!$B$50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0_0'!$C$42:$F$42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'price 0_0'!$A$125:$A$147</definedName>
    <definedName function="false" hidden="false" name="_xlchart.v1.1" vbProcedure="false">'price 0_0'!$B$112:$ALM$112</definedName>
    <definedName function="false" hidden="false" name="solver_adj" vbProcedure="false">'price 5_0'!$D$9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5_0'!$C$48:$F$48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5_0'!$B$50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5_0'!$C$42:$F$42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'price 5_0'!$A$125:$A$147</definedName>
    <definedName function="false" hidden="false" name="_xlchart.v1.1" vbProcedure="false">'price 5_0'!$B$112:$ALM$112</definedName>
    <definedName function="false" hidden="false" name="solver_adj" vbProcedure="false">'price 10%_0'!$D$9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10%_0'!$C$48:$F$48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10%_0'!$B$50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10%_0'!$C$42:$F$42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_xlchart.v1.0" vbProcedure="false">'price 10%_0'!$A$125:$A$147</definedName>
    <definedName function="false" hidden="false" name="_xlchart.v1.1" vbProcedure="false">'price 10%_0'!$B$112:$ALM$112</definedName>
    <definedName function="false" hidden="false" localSheetId="34" name="solver_adj" vbProcedure="false">'Monte Carlo correlated'!$D$9</definedName>
    <definedName function="false" hidden="false" localSheetId="34" name="solver_cvg" vbProcedure="false">0.0001</definedName>
    <definedName function="false" hidden="false" localSheetId="34" name="solver_drv" vbProcedure="false">2</definedName>
    <definedName function="false" hidden="false" localSheetId="34" name="solver_eng" vbProcedure="false">1</definedName>
    <definedName function="false" hidden="false" localSheetId="34" name="solver_est" vbProcedure="false">1</definedName>
    <definedName function="false" hidden="false" localSheetId="34" name="solver_itr" vbProcedure="false">2147483647</definedName>
    <definedName function="false" hidden="false" localSheetId="34" name="solver_lhs1" vbProcedure="false">'Monte Carlo correlated'!$C$48:$F$48</definedName>
    <definedName function="false" hidden="false" localSheetId="34" name="solver_mip" vbProcedure="false">2147483647</definedName>
    <definedName function="false" hidden="false" localSheetId="34" name="solver_mni" vbProcedure="false">30</definedName>
    <definedName function="false" hidden="false" localSheetId="34" name="solver_mrt" vbProcedure="false">0.075</definedName>
    <definedName function="false" hidden="false" localSheetId="34" name="solver_msl" vbProcedure="false">2</definedName>
    <definedName function="false" hidden="false" localSheetId="34" name="solver_neg" vbProcedure="false">1</definedName>
    <definedName function="false" hidden="false" localSheetId="34" name="solver_nod" vbProcedure="false">2147483647</definedName>
    <definedName function="false" hidden="false" localSheetId="34" name="solver_num" vbProcedure="false">0</definedName>
    <definedName function="false" hidden="false" localSheetId="34" name="solver_nwt" vbProcedure="false">1</definedName>
    <definedName function="false" hidden="false" localSheetId="34" name="solver_opt" vbProcedure="false">'Monte Carlo correlated'!$B$50</definedName>
    <definedName function="false" hidden="false" localSheetId="34" name="solver_pre" vbProcedure="false">0.000001</definedName>
    <definedName function="false" hidden="false" localSheetId="34" name="solver_rbv" vbProcedure="false">2</definedName>
    <definedName function="false" hidden="false" localSheetId="34" name="solver_rel1" vbProcedure="false">2</definedName>
    <definedName function="false" hidden="false" localSheetId="34" name="solver_rhs1" vbProcedure="false">'Monte Carlo correlated'!$C$42:$F$42</definedName>
    <definedName function="false" hidden="false" localSheetId="34" name="solver_rlx" vbProcedure="false">2</definedName>
    <definedName function="false" hidden="false" localSheetId="34" name="solver_rsd" vbProcedure="false">0</definedName>
    <definedName function="false" hidden="false" localSheetId="34" name="solver_scl" vbProcedure="false">2</definedName>
    <definedName function="false" hidden="false" localSheetId="34" name="solver_sho" vbProcedure="false">2</definedName>
    <definedName function="false" hidden="false" localSheetId="34" name="solver_ssz" vbProcedure="false">100</definedName>
    <definedName function="false" hidden="false" localSheetId="34" name="solver_tim" vbProcedure="false">2147483647</definedName>
    <definedName function="false" hidden="false" localSheetId="34" name="solver_tol" vbProcedure="false">0.01</definedName>
    <definedName function="false" hidden="false" localSheetId="34" name="solver_typ" vbProcedure="false">3</definedName>
    <definedName function="false" hidden="false" localSheetId="34" name="solver_val" vbProcedure="false">0</definedName>
    <definedName function="false" hidden="false" localSheetId="34" name="solver_ver" vbProcedure="false">3</definedName>
    <definedName function="false" hidden="false" name="solver_adj" vbProcedure="false">'units -10%_-1'!$D$9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-10%_-1'!$C$48:$F$48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-10%_-1'!$B$50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-10%_-1'!$C$42:$F$42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-5_-1'!$D$9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-5_-1'!$C$48:$F$48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-5_-1'!$B$50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-5_-1'!$C$42:$F$42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0_-1'!$D$9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0_-1'!$C$48:$F$48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0_-1'!$B$50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0_-1'!$C$42:$F$42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5%_-1'!$D$9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5%_-1'!$C$48:$F$48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5%_-1'!$B$50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5%_-1'!$C$42:$F$42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10%_-1'!$D$9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10%_-1'!$C$48:$F$48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10%_-1'!$B$50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10%_-1'!$C$42:$F$42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-10_-1'!$D$9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-10_-1'!$C$48:$F$48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-10_-1'!$B$50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-10_-1'!$C$42:$F$42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-5_-1'!$D$9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-5_-1'!$C$48:$F$48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-5_-1'!$B$50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-5_-1'!$C$42:$F$42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0_-1'!$D$9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0_-1'!$C$48:$F$48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0_-1'!$B$50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0_-1'!$C$42:$F$42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5_-1'!$D$9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5_-1'!$C$48:$F$48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5_-1'!$B$50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5_-1'!$C$42:$F$42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10%_-1'!$D$9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10%_-1'!$C$48:$F$48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10%_-1'!$B$50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10%_-1'!$C$42:$F$42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localSheetId="45" name="solver_adj" vbProcedure="false">'Monte Carlo Cholesky'!$D$9</definedName>
    <definedName function="false" hidden="false" localSheetId="45" name="solver_cvg" vbProcedure="false">0.0001</definedName>
    <definedName function="false" hidden="false" localSheetId="45" name="solver_drv" vbProcedure="false">2</definedName>
    <definedName function="false" hidden="false" localSheetId="45" name="solver_eng" vbProcedure="false">1</definedName>
    <definedName function="false" hidden="false" localSheetId="45" name="solver_est" vbProcedure="false">1</definedName>
    <definedName function="false" hidden="false" localSheetId="45" name="solver_itr" vbProcedure="false">2147483647</definedName>
    <definedName function="false" hidden="false" localSheetId="45" name="solver_lhs1" vbProcedure="false">'Monte Carlo Cholesky'!$C$48:$F$48</definedName>
    <definedName function="false" hidden="false" localSheetId="45" name="solver_mip" vbProcedure="false">2147483647</definedName>
    <definedName function="false" hidden="false" localSheetId="45" name="solver_mni" vbProcedure="false">30</definedName>
    <definedName function="false" hidden="false" localSheetId="45" name="solver_mrt" vbProcedure="false">0.075</definedName>
    <definedName function="false" hidden="false" localSheetId="45" name="solver_msl" vbProcedure="false">2</definedName>
    <definedName function="false" hidden="false" localSheetId="45" name="solver_neg" vbProcedure="false">1</definedName>
    <definedName function="false" hidden="false" localSheetId="45" name="solver_nod" vbProcedure="false">2147483647</definedName>
    <definedName function="false" hidden="false" localSheetId="45" name="solver_num" vbProcedure="false">0</definedName>
    <definedName function="false" hidden="false" localSheetId="45" name="solver_nwt" vbProcedure="false">1</definedName>
    <definedName function="false" hidden="false" localSheetId="45" name="solver_opt" vbProcedure="false">'Monte Carlo Cholesky'!$B$50</definedName>
    <definedName function="false" hidden="false" localSheetId="45" name="solver_pre" vbProcedure="false">0.000001</definedName>
    <definedName function="false" hidden="false" localSheetId="45" name="solver_rbv" vbProcedure="false">2</definedName>
    <definedName function="false" hidden="false" localSheetId="45" name="solver_rel1" vbProcedure="false">2</definedName>
    <definedName function="false" hidden="false" localSheetId="45" name="solver_rhs1" vbProcedure="false">'Monte Carlo Cholesky'!$C$42:$F$42</definedName>
    <definedName function="false" hidden="false" localSheetId="45" name="solver_rlx" vbProcedure="false">2</definedName>
    <definedName function="false" hidden="false" localSheetId="45" name="solver_rsd" vbProcedure="false">0</definedName>
    <definedName function="false" hidden="false" localSheetId="45" name="solver_scl" vbProcedure="false">2</definedName>
    <definedName function="false" hidden="false" localSheetId="45" name="solver_sho" vbProcedure="false">2</definedName>
    <definedName function="false" hidden="false" localSheetId="45" name="solver_ssz" vbProcedure="false">100</definedName>
    <definedName function="false" hidden="false" localSheetId="45" name="solver_tim" vbProcedure="false">2147483647</definedName>
    <definedName function="false" hidden="false" localSheetId="45" name="solver_tol" vbProcedure="false">0.01</definedName>
    <definedName function="false" hidden="false" localSheetId="45" name="solver_typ" vbProcedure="false">3</definedName>
    <definedName function="false" hidden="false" localSheetId="45" name="solver_val" vbProcedure="false">0</definedName>
    <definedName function="false" hidden="false" localSheetId="45" name="solver_ver" vbProcedure="false">3</definedName>
    <definedName function="false" hidden="false" name="solver_adj" vbProcedure="false">'units -10%'!$D$9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-10%'!$C$48:$F$48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-10%'!$B$50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-10%'!$C$42:$F$42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-5'!$D$9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-5'!$C$48:$F$48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-5'!$B$50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-5'!$C$42:$F$42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5%'!$D$9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5%'!$C$48:$F$48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5%'!$B$50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5%'!$C$42:$F$42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'units 10%'!$D$9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'units 10%'!$C$48:$F$48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'units 10%'!$B$50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'units 10%'!$C$42:$F$42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-10'!$D$9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-10'!$C$48:$F$48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-10'!$B$50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-10'!$C$42:$F$42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-5'!$D$9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-5'!$C$48:$F$48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-5'!$B$50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-5'!$C$42:$F$42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0'!$D$9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0'!$C$48:$F$48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0'!$B$50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0'!$C$42:$F$42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5'!$D$9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5'!$C$48:$F$48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5'!$B$50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5'!$C$42:$F$42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false" hidden="false" name="solver_adj" vbProcedure="false">'price 10%'!$D$9</definedName>
    <definedName function="false" hidden="false" name="solver_cvg" vbProcedure="false">0.0001</definedName>
    <definedName function="false" hidden="false" name="solver_drv" vbProcedure="false">2</definedName>
    <definedName function="false" hidden="false" name="solver_eng" vbProcedure="false">1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'price 10%'!$C$48:$F$48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0</definedName>
    <definedName function="false" hidden="false" name="solver_nwt" vbProcedure="false">1</definedName>
    <definedName function="false" hidden="false" name="solver_opt" vbProcedure="false">'price 10%'!$B$50</definedName>
    <definedName function="false" hidden="false" name="solver_pre" vbProcedure="false">0.000001</definedName>
    <definedName function="false" hidden="false" name="solver_rbv" vbProcedure="false">2</definedName>
    <definedName function="false" hidden="false" name="solver_rel1" vbProcedure="false">2</definedName>
    <definedName function="false" hidden="false" name="solver_rhs1" vbProcedure="false">'price 10%'!$C$42:$F$42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2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3</definedName>
    <definedName function="false" hidden="false" name="solver_val" vbProcedure="false">0</definedName>
    <definedName function="false" hidden="false" name="solver_ver" vbProcedure="false">3</definedName>
    <definedName function="true" hidden="false" name="Module4.Sensitivity" vbProcedure="true"/>
    <definedName function="true" hidden="false" name="Module4.Simulate" vbProcedure="true"/>
    <definedName function="true" hidden="false" name="Module3.recalculate" vbProcedure="true"/>
    <definedName function="true" hidden="false" name="Module5.Sim_Chol" vbProcedure="true"/>
    <definedName function="true" hidden="false" name="Sheet1.M_snb" vbProcedure="true"/>
  </definedNames>
  <calcPr iterateCount="100" refMode="A1" iterate="true" iterateDelta="0.000999999999999945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<sst xmlns="http://schemas.openxmlformats.org/spreadsheetml/2006/main" count="575" uniqueCount="142">
  <si>
    <t xml:space="preserve">irr</t>
  </si>
  <si>
    <t xml:space="preserve">npv</t>
  </si>
  <si>
    <t xml:space="preserve">finance rate</t>
  </si>
  <si>
    <t xml:space="preserve">reinvest rate</t>
  </si>
  <si>
    <t xml:space="preserve">MIRR</t>
  </si>
  <si>
    <t xml:space="preserve">manual</t>
  </si>
  <si>
    <t xml:space="preserve">finance</t>
  </si>
  <si>
    <t xml:space="preserve">reinvest</t>
  </si>
  <si>
    <t xml:space="preserve">MNPV</t>
  </si>
  <si>
    <t xml:space="preserve">for MNPV</t>
  </si>
  <si>
    <t xml:space="preserve">Model Assumptions</t>
  </si>
  <si>
    <t xml:space="preserve">Sensitivity Panel</t>
  </si>
  <si>
    <t xml:space="preserve">Base level</t>
  </si>
  <si>
    <t xml:space="preserve">Deviation</t>
  </si>
  <si>
    <t xml:space="preserve">Asset Value</t>
  </si>
  <si>
    <t xml:space="preserve">Shipping and Installation</t>
  </si>
  <si>
    <t xml:space="preserve">Salvage value</t>
  </si>
  <si>
    <t xml:space="preserve">Increase in NWK</t>
  </si>
  <si>
    <t xml:space="preserve">Projected sales (units)</t>
  </si>
  <si>
    <t xml:space="preserve">Price </t>
  </si>
  <si>
    <t xml:space="preserve">Variable costs</t>
  </si>
  <si>
    <t xml:space="preserve">of sales</t>
  </si>
  <si>
    <t xml:space="preserve">Fixed overheads</t>
  </si>
  <si>
    <t xml:space="preserve">Tax rate</t>
  </si>
  <si>
    <t xml:space="preserve">inflation</t>
  </si>
  <si>
    <t xml:space="preserve">Cost of capital</t>
  </si>
  <si>
    <t xml:space="preserve">We will later allow for capital structure</t>
  </si>
  <si>
    <t xml:space="preserve">Reinvestment rate</t>
  </si>
  <si>
    <t xml:space="preserve">changes in our model. For now we are </t>
  </si>
  <si>
    <t xml:space="preserve">assuming 100% equity for simplicity</t>
  </si>
  <si>
    <t xml:space="preserve">Project Analysis</t>
  </si>
  <si>
    <t xml:space="preserve">Break Even Analysis</t>
  </si>
  <si>
    <t xml:space="preserve">Net Present Value</t>
  </si>
  <si>
    <t xml:space="preserve">Sales</t>
  </si>
  <si>
    <t xml:space="preserve">Internal Rate of Return</t>
  </si>
  <si>
    <t xml:space="preserve">Safety margin</t>
  </si>
  <si>
    <t xml:space="preserve">To speed up the sheet, I have deactivated automatic updating of Data Tables. You can recalculate the sheet after every change of parameters by pressing F9.</t>
  </si>
  <si>
    <t xml:space="preserve">Modified IRR</t>
  </si>
  <si>
    <t xml:space="preserve">Price</t>
  </si>
  <si>
    <t xml:space="preserve">Sensitivity analysis with Data Tables</t>
  </si>
  <si>
    <t xml:space="preserve">Payback Period</t>
  </si>
  <si>
    <t xml:space="preserve">Units sold</t>
  </si>
  <si>
    <t xml:space="preserve">Variable Costs</t>
  </si>
  <si>
    <t xml:space="preserve">NPV sensitivity for price-volume combinations</t>
  </si>
  <si>
    <t xml:space="preserve">Discounted Payback Period</t>
  </si>
  <si>
    <t xml:space="preserve">NPV</t>
  </si>
  <si>
    <t xml:space="preserve">IRR</t>
  </si>
  <si>
    <t xml:space="preserve">PB</t>
  </si>
  <si>
    <t xml:space="preserve">DPB</t>
  </si>
  <si>
    <t xml:space="preserve">Note: for break even analysis to work, you will need to link the sales and price cells to the</t>
  </si>
  <si>
    <t xml:space="preserve">respective ones at the sensitivity panel and then run a goal search.</t>
  </si>
  <si>
    <t xml:space="preserve">Quantity</t>
  </si>
  <si>
    <t xml:space="preserve">Sensitivity to units sold</t>
  </si>
  <si>
    <t xml:space="preserve">Press the button for a sensitivity analysis.</t>
  </si>
  <si>
    <t xml:space="preserve">Make sure that all deviations are set to zero</t>
  </si>
  <si>
    <t xml:space="preserve">and feel free to experiment with the deviations</t>
  </si>
  <si>
    <t xml:space="preserve">on the panel to the left.</t>
  </si>
  <si>
    <t xml:space="preserve">Sensitivity to variable costs</t>
  </si>
  <si>
    <t xml:space="preserve">You can create your own macro to include </t>
  </si>
  <si>
    <t xml:space="preserve">other variables of interest too.</t>
  </si>
  <si>
    <t xml:space="preserve">A bit more detailed</t>
  </si>
  <si>
    <t xml:space="preserve">Scenario</t>
  </si>
  <si>
    <t xml:space="preserve">Prob</t>
  </si>
  <si>
    <t xml:space="preserve">NPV x Prob</t>
  </si>
  <si>
    <t xml:space="preserve">Best Case</t>
  </si>
  <si>
    <t xml:space="preserve">Normal</t>
  </si>
  <si>
    <t xml:space="preserve">Worst Case</t>
  </si>
  <si>
    <t xml:space="preserve">Expected NPV</t>
  </si>
  <si>
    <t xml:space="preserve">Stand. Dev</t>
  </si>
  <si>
    <t xml:space="preserve">Coeff. Var.</t>
  </si>
  <si>
    <t xml:space="preserve">Press the button and please be patient. </t>
  </si>
  <si>
    <t xml:space="preserve">Monte Carlo Simulations</t>
  </si>
  <si>
    <t xml:space="preserve">You can try to program this in a programming language for faster calculations</t>
  </si>
  <si>
    <t xml:space="preserve">Trials</t>
  </si>
  <si>
    <t xml:space="preserve">Standard deviations</t>
  </si>
  <si>
    <t xml:space="preserve">Results</t>
  </si>
  <si>
    <t xml:space="preserve">Prob of success</t>
  </si>
  <si>
    <t xml:space="preserve">Simulated NPV</t>
  </si>
  <si>
    <t xml:space="preserve">All values are in 000s</t>
  </si>
  <si>
    <t xml:space="preserve">Req.rate</t>
  </si>
  <si>
    <t xml:space="preserve">We have not changed it</t>
  </si>
  <si>
    <t xml:space="preserve">or adjuested for inflation</t>
  </si>
  <si>
    <t xml:space="preserve">Try different values </t>
  </si>
  <si>
    <t xml:space="preserve">Rf</t>
  </si>
  <si>
    <t xml:space="preserve">Flows affected by inflation</t>
  </si>
  <si>
    <t xml:space="preserve">Initial Investment</t>
  </si>
  <si>
    <t xml:space="preserve">Investment Outlay</t>
  </si>
  <si>
    <t xml:space="preserve">Supplemental Cash Flows</t>
  </si>
  <si>
    <t xml:space="preserve">EBITDA</t>
  </si>
  <si>
    <t xml:space="preserve">Depreciation*</t>
  </si>
  <si>
    <t xml:space="preserve">EBT</t>
  </si>
  <si>
    <t xml:space="preserve">Losses carried forward</t>
  </si>
  <si>
    <t xml:space="preserve">Tax</t>
  </si>
  <si>
    <t xml:space="preserve">Net Income</t>
  </si>
  <si>
    <t xml:space="preserve">add depreciation</t>
  </si>
  <si>
    <t xml:space="preserve">Supplemental CF</t>
  </si>
  <si>
    <t xml:space="preserve">Terminal Cash flow</t>
  </si>
  <si>
    <t xml:space="preserve">Asset salvage</t>
  </si>
  <si>
    <t xml:space="preserve">Tax from capital gains/losses</t>
  </si>
  <si>
    <t xml:space="preserve">Return of NWC</t>
  </si>
  <si>
    <t xml:space="preserve">Terminal CF</t>
  </si>
  <si>
    <t xml:space="preserve">Total Net Cash Flow</t>
  </si>
  <si>
    <t xml:space="preserve">PV</t>
  </si>
  <si>
    <t xml:space="preserve">Total CF</t>
  </si>
  <si>
    <t xml:space="preserve">Cum. NCF</t>
  </si>
  <si>
    <t xml:space="preserve">CEQ</t>
  </si>
  <si>
    <t xml:space="preserve">Cum. Disc. NCF</t>
  </si>
  <si>
    <t xml:space="preserve">Certain Equivalent CF</t>
  </si>
  <si>
    <t xml:space="preserve">Haircut</t>
  </si>
  <si>
    <t xml:space="preserve">TVM comp.</t>
  </si>
  <si>
    <t xml:space="preserve">TVM compensation</t>
  </si>
  <si>
    <t xml:space="preserve">Total CEQ Decomposition</t>
  </si>
  <si>
    <t xml:space="preserve">*Depreciation rates</t>
  </si>
  <si>
    <t xml:space="preserve">5-Year MARCS</t>
  </si>
  <si>
    <t xml:space="preserve">Note: Book value of asset</t>
  </si>
  <si>
    <t xml:space="preserve">5-Year straight line</t>
  </si>
  <si>
    <t xml:space="preserve">Uncertainty factor</t>
  </si>
  <si>
    <t xml:space="preserve">Expected Value</t>
  </si>
  <si>
    <t xml:space="preserve">st deviation</t>
  </si>
  <si>
    <t xml:space="preserve">Correlation sales - price</t>
  </si>
  <si>
    <t xml:space="preserve">Trial</t>
  </si>
  <si>
    <t xml:space="preserve">Random St Normal</t>
  </si>
  <si>
    <t xml:space="preserve">Correlated st normal</t>
  </si>
  <si>
    <t xml:space="preserve">Salvage Value</t>
  </si>
  <si>
    <t xml:space="preserve">min</t>
  </si>
  <si>
    <t xml:space="preserve">max</t>
  </si>
  <si>
    <t xml:space="preserve">mean</t>
  </si>
  <si>
    <t xml:space="preserve">median</t>
  </si>
  <si>
    <t xml:space="preserve">bins</t>
  </si>
  <si>
    <t xml:space="preserve">step</t>
  </si>
  <si>
    <t xml:space="preserve">Bins</t>
  </si>
  <si>
    <t xml:space="preserve">Frequency</t>
  </si>
  <si>
    <t xml:space="preserve">Bin</t>
  </si>
  <si>
    <t xml:space="preserve">frequency</t>
  </si>
  <si>
    <t xml:space="preserve">Correlation Matrix</t>
  </si>
  <si>
    <t xml:space="preserve">NWK</t>
  </si>
  <si>
    <t xml:space="preserve">diag(S)</t>
  </si>
  <si>
    <t xml:space="preserve">Variance - Covariance Matrix</t>
  </si>
  <si>
    <t xml:space="preserve"> --&gt; uses diag(S)*R*diag(S)</t>
  </si>
  <si>
    <t xml:space="preserve">Initial Value</t>
  </si>
  <si>
    <t xml:space="preserve">Random Gausian</t>
  </si>
  <si>
    <t xml:space="preserve">Simulated Value</t>
  </si>
</sst>
</file>

<file path=xl/styles.xml><?xml version="1.0" encoding="utf-8"?>
<styleSheet xmlns="http://schemas.openxmlformats.org/spreadsheetml/2006/main">
  <numFmts count="18">
    <numFmt numFmtId="164" formatCode="General"/>
    <numFmt numFmtId="165" formatCode="0.00%"/>
    <numFmt numFmtId="166" formatCode="_-* #,##0.00_-;\-* #,##0.00_-;_-* \-??_-;_-@_-"/>
    <numFmt numFmtId="167" formatCode="0%"/>
    <numFmt numFmtId="168" formatCode="0.0%"/>
    <numFmt numFmtId="169" formatCode="\£#,##0.00;[RED]&quot;-£&quot;#,##0.00"/>
    <numFmt numFmtId="170" formatCode="General"/>
    <numFmt numFmtId="171" formatCode="_-* #,##0_-;\-* #,##0_-;_-* \-??_-;_-@_-"/>
    <numFmt numFmtId="172" formatCode="_-\£* #,##0.00_-;&quot;-£&quot;* #,##0.00_-;_-\£* \-??_-;_-@_-"/>
    <numFmt numFmtId="173" formatCode="0.00"/>
    <numFmt numFmtId="174" formatCode="_-\£* #,##0_-;&quot;-£&quot;* #,##0_-;_-\£* \-??_-;_-@_-"/>
    <numFmt numFmtId="175" formatCode="_-[$£-809]* #,##0_-;\-[$£-809]* #,##0_-;_-[$£-809]* \-??_-;_-@_-"/>
    <numFmt numFmtId="176" formatCode="\£#,##0_);&quot;(£&quot;#,##0\)"/>
    <numFmt numFmtId="177" formatCode="0"/>
    <numFmt numFmtId="178" formatCode="_-\£* #,##0.0_-;&quot;-£&quot;* #,##0.0_-;_-\£* \-??_-;_-@_-"/>
    <numFmt numFmtId="179" formatCode="#,##0"/>
    <numFmt numFmtId="180" formatCode="\£#,##0.00;&quot;-£&quot;#,##0.00"/>
    <numFmt numFmtId="181" formatCode="0.0"/>
  </numFmts>
  <fonts count="2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F2F2F2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i val="true"/>
      <u val="single"/>
      <sz val="11"/>
      <color rgb="FF000000"/>
      <name val="Calibri"/>
      <family val="2"/>
      <charset val="1"/>
    </font>
    <font>
      <b val="true"/>
      <i val="true"/>
      <u val="single"/>
      <sz val="11"/>
      <color rgb="FF000000"/>
      <name val="Calibri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b val="true"/>
      <sz val="14"/>
      <color rgb="FF002060"/>
      <name val="Calibri"/>
      <family val="2"/>
    </font>
    <font>
      <sz val="10"/>
      <color rgb="FF595959"/>
      <name val="Calibri"/>
      <family val="2"/>
    </font>
    <font>
      <sz val="11"/>
      <color rgb="FF000000"/>
      <name val="Calibri"/>
      <family val="0"/>
      <charset val="1"/>
    </font>
    <font>
      <b val="true"/>
      <sz val="11"/>
      <color rgb="FF000000"/>
      <name val="Calibri"/>
      <family val="0"/>
      <charset val="1"/>
    </font>
    <font>
      <b val="true"/>
      <u val="single"/>
      <sz val="11"/>
      <color rgb="FF000000"/>
      <name val="Calibri"/>
      <family val="2"/>
      <charset val="1"/>
    </font>
    <font>
      <u val="single"/>
      <sz val="11"/>
      <color rgb="FF000000"/>
      <name val="Calibri"/>
      <family val="2"/>
      <charset val="1"/>
    </font>
    <font>
      <sz val="1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002060"/>
        <bgColor rgb="FF000080"/>
      </patternFill>
    </fill>
    <fill>
      <patternFill patternType="solid">
        <fgColor rgb="FFFFFFFF"/>
        <bgColor rgb="FFF2F2F2"/>
      </patternFill>
    </fill>
    <fill>
      <patternFill patternType="solid">
        <fgColor rgb="FFDDDDDD"/>
        <bgColor rgb="FFD9D9D9"/>
      </patternFill>
    </fill>
    <fill>
      <patternFill patternType="solid">
        <fgColor rgb="FFFFF2CC"/>
        <bgColor rgb="FFF2F2F2"/>
      </patternFill>
    </fill>
    <fill>
      <patternFill patternType="solid">
        <fgColor rgb="FFDAE3F3"/>
        <bgColor rgb="FFDEEBF7"/>
      </patternFill>
    </fill>
    <fill>
      <patternFill patternType="solid">
        <fgColor rgb="FFE2F0D9"/>
        <bgColor rgb="FFE7E6E6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BFBFBF"/>
      </patternFill>
    </fill>
    <fill>
      <patternFill patternType="solid">
        <fgColor rgb="FFF2F2F2"/>
        <bgColor rgb="FFE7E6E6"/>
      </patternFill>
    </fill>
    <fill>
      <patternFill patternType="solid">
        <fgColor rgb="FF92D050"/>
        <bgColor rgb="FFBFBFBF"/>
      </patternFill>
    </fill>
    <fill>
      <patternFill patternType="solid">
        <fgColor rgb="FFFFE699"/>
        <bgColor rgb="FFFFF2CC"/>
      </patternFill>
    </fill>
    <fill>
      <patternFill patternType="solid">
        <fgColor rgb="FFFFFF00"/>
        <bgColor rgb="FFFFCC00"/>
      </patternFill>
    </fill>
    <fill>
      <patternFill patternType="solid">
        <fgColor rgb="FFFF0000"/>
        <bgColor rgb="FF993300"/>
      </patternFill>
    </fill>
    <fill>
      <patternFill patternType="solid">
        <fgColor rgb="FFE7E6E6"/>
        <bgColor rgb="FFDEEBF7"/>
      </patternFill>
    </fill>
  </fills>
  <borders count="20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5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6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5" fillId="4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6" fillId="4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4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5" fillId="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5" fillId="4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5" fillId="0" borderId="0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6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0" fillId="4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0" fontId="5" fillId="4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4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4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5" fontId="0" fillId="4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9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9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9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9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9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9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9" fillId="6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5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8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9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19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5" fillId="6" borderId="11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5" fillId="4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0" fillId="4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5" fillId="8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12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13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13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16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16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16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16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16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16" borderId="1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16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16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16" borderId="19" xfId="0" applyFont="fals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FBFBF"/>
      <rgbColor rgb="FF808080"/>
      <rgbColor rgb="FF5B9BD5"/>
      <rgbColor rgb="FF993366"/>
      <rgbColor rgb="FFFFF2CC"/>
      <rgbColor rgb="FFDEEBF7"/>
      <rgbColor rgb="FF660066"/>
      <rgbColor rgb="FFFF8080"/>
      <rgbColor rgb="FF0066CC"/>
      <rgbColor rgb="FFD9D9D9"/>
      <rgbColor rgb="FF000080"/>
      <rgbColor rgb="FFFF00FF"/>
      <rgbColor rgb="FFF2F2F2"/>
      <rgbColor rgb="FF00FFFF"/>
      <rgbColor rgb="FF800080"/>
      <rgbColor rgb="FF800000"/>
      <rgbColor rgb="FF008080"/>
      <rgbColor rgb="FF0000FF"/>
      <rgbColor rgb="FF00CCFF"/>
      <rgbColor rgb="FFE2F0D9"/>
      <rgbColor rgb="FFC6EFCE"/>
      <rgbColor rgb="FFFFE699"/>
      <rgbColor rgb="FFDAE3F3"/>
      <rgbColor rgb="FFE7E6E6"/>
      <rgbColor rgb="FFDDDDDD"/>
      <rgbColor rgb="FFF4B183"/>
      <rgbColor rgb="FF3366FF"/>
      <rgbColor rgb="FF33CCCC"/>
      <rgbColor rgb="FF92D050"/>
      <rgbColor rgb="FFFFCC00"/>
      <rgbColor rgb="FFFF9900"/>
      <rgbColor rgb="FFED7D31"/>
      <rgbColor rgb="FF595959"/>
      <rgbColor rgb="FF969696"/>
      <rgbColor rgb="FF002060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13.xml"/><Relationship Id="rId6" Type="http://schemas.openxmlformats.org/officeDocument/2006/relationships/worksheet" Target="worksheets/sheet24.xml"/><Relationship Id="rId7" Type="http://schemas.openxmlformats.org/officeDocument/2006/relationships/worksheet" Target="worksheets/sheet35.xml"/><Relationship Id="rId8" Type="http://schemas.openxmlformats.org/officeDocument/2006/relationships/worksheet" Target="worksheets/sheet46.xml"/><Relationship Id="rId9" Type="http://schemas.openxmlformats.org/officeDocument/2006/relationships/worksheet" Target="worksheets/sheet5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NPV - sens units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'HEP Control Panel'!$F$34</c:f>
              <c:strCache>
                <c:ptCount val="1"/>
                <c:pt idx="0">
                  <c:v>NPV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'HEP Control Panel'!$G$33:$K$33</c:f>
              <c:strCache>
                <c:ptCount val="5"/>
                <c:pt idx="0">
                  <c:v>-10%</c:v>
                </c:pt>
                <c:pt idx="1">
                  <c:v>-5%</c:v>
                </c:pt>
                <c:pt idx="2">
                  <c:v>0%</c:v>
                </c:pt>
                <c:pt idx="3">
                  <c:v>5%</c:v>
                </c:pt>
                <c:pt idx="4">
                  <c:v>10%</c:v>
                </c:pt>
              </c:strCache>
            </c:strRef>
          </c:cat>
          <c:val>
            <c:numRef>
              <c:f>'HEP Control Panel'!$G$34:$K$34</c:f>
              <c:numCache>
                <c:formatCode>General</c:formatCode>
                <c:ptCount val="5"/>
                <c:pt idx="0">
                  <c:v>1735.58985280928</c:v>
                </c:pt>
                <c:pt idx="1">
                  <c:v>2763.382063386</c:v>
                </c:pt>
                <c:pt idx="2">
                  <c:v>3791.17427396272</c:v>
                </c:pt>
                <c:pt idx="3">
                  <c:v>4818.96648453944</c:v>
                </c:pt>
                <c:pt idx="4">
                  <c:v>5846.75869511616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28189310"/>
        <c:axId val="41368606"/>
      </c:lineChart>
      <c:catAx>
        <c:axId val="2818931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1368606"/>
        <c:crosses val="autoZero"/>
        <c:auto val="1"/>
        <c:lblAlgn val="ctr"/>
        <c:lblOffset val="100"/>
        <c:noMultiLvlLbl val="0"/>
      </c:catAx>
      <c:valAx>
        <c:axId val="41368606"/>
        <c:scaling>
          <c:orientation val="minMax"/>
          <c:max val="8000"/>
        </c:scaling>
        <c:delete val="0"/>
        <c:axPos val="l"/>
        <c:numFmt formatCode="_-\£* #,##0_-;&quot;-£&quot;* #,##0_-;_-\£* \-??_-;_-@_-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8189310"/>
        <c:crosses val="autoZero"/>
        <c:crossBetween val="between"/>
        <c:majorUnit val="2000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IRR - sens units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'HEP Control Panel'!$F$35</c:f>
              <c:strCache>
                <c:ptCount val="1"/>
                <c:pt idx="0">
                  <c:v>IRR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'HEP Control Panel'!$G$33:$K$33</c:f>
              <c:strCache>
                <c:ptCount val="5"/>
                <c:pt idx="0">
                  <c:v>-10%</c:v>
                </c:pt>
                <c:pt idx="1">
                  <c:v>-5%</c:v>
                </c:pt>
                <c:pt idx="2">
                  <c:v>0%</c:v>
                </c:pt>
                <c:pt idx="3">
                  <c:v>5%</c:v>
                </c:pt>
                <c:pt idx="4">
                  <c:v>10%</c:v>
                </c:pt>
              </c:strCache>
            </c:strRef>
          </c:cat>
          <c:val>
            <c:numRef>
              <c:f>'HEP Control Panel'!$G$35:$K$35</c:f>
              <c:numCache>
                <c:formatCode>General</c:formatCode>
                <c:ptCount val="5"/>
                <c:pt idx="0">
                  <c:v>0.202377859989382</c:v>
                </c:pt>
                <c:pt idx="1">
                  <c:v>0.232960921888872</c:v>
                </c:pt>
                <c:pt idx="2">
                  <c:v>0.263252513417561</c:v>
                </c:pt>
                <c:pt idx="3">
                  <c:v>0.293275319047929</c:v>
                </c:pt>
                <c:pt idx="4">
                  <c:v>0.323049783913924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32272588"/>
        <c:axId val="11955901"/>
      </c:lineChart>
      <c:catAx>
        <c:axId val="3227258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1955901"/>
        <c:crosses val="autoZero"/>
        <c:auto val="1"/>
        <c:lblAlgn val="ctr"/>
        <c:lblOffset val="100"/>
        <c:noMultiLvlLbl val="0"/>
      </c:catAx>
      <c:valAx>
        <c:axId val="11955901"/>
        <c:scaling>
          <c:orientation val="minMax"/>
          <c:max val="0.4"/>
        </c:scaling>
        <c:delete val="0"/>
        <c:axPos val="l"/>
        <c:numFmt formatCode="0.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2272588"/>
        <c:crosses val="autoZero"/>
        <c:crossBetween val="between"/>
        <c:majorUnit val="0.1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NPV - sens VC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'HEP Control Panel'!$F$42</c:f>
              <c:strCache>
                <c:ptCount val="1"/>
                <c:pt idx="0">
                  <c:v>NPV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'HEP Control Panel'!$G$41:$K$41</c:f>
              <c:strCache>
                <c:ptCount val="5"/>
                <c:pt idx="0">
                  <c:v>-10%</c:v>
                </c:pt>
                <c:pt idx="1">
                  <c:v>-5%</c:v>
                </c:pt>
                <c:pt idx="2">
                  <c:v>0%</c:v>
                </c:pt>
                <c:pt idx="3">
                  <c:v>5%</c:v>
                </c:pt>
                <c:pt idx="4">
                  <c:v>10%</c:v>
                </c:pt>
              </c:strCache>
            </c:strRef>
          </c:cat>
          <c:val>
            <c:numRef>
              <c:f>'HEP Control Panel'!$G$42:$K$42</c:f>
              <c:numCache>
                <c:formatCode>General</c:formatCode>
                <c:ptCount val="5"/>
                <c:pt idx="0">
                  <c:v>6874.55090569287</c:v>
                </c:pt>
                <c:pt idx="1">
                  <c:v>5332.8625898278</c:v>
                </c:pt>
                <c:pt idx="2">
                  <c:v>3791.17427396272</c:v>
                </c:pt>
                <c:pt idx="3">
                  <c:v>2249.48595809764</c:v>
                </c:pt>
                <c:pt idx="4">
                  <c:v>707.797642232557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89604962"/>
        <c:axId val="24354287"/>
      </c:lineChart>
      <c:catAx>
        <c:axId val="8960496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4354287"/>
        <c:crosses val="autoZero"/>
        <c:auto val="1"/>
        <c:lblAlgn val="ctr"/>
        <c:lblOffset val="100"/>
        <c:noMultiLvlLbl val="0"/>
      </c:catAx>
      <c:valAx>
        <c:axId val="24354287"/>
        <c:scaling>
          <c:orientation val="minMax"/>
        </c:scaling>
        <c:delete val="0"/>
        <c:axPos val="l"/>
        <c:numFmt formatCode="_-\£* #,##0_-;&quot;-£&quot;* #,##0_-;_-\£* \-??_-;_-@_-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960496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IRR - sens VC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'HEP Control Panel'!$F$43</c:f>
              <c:strCache>
                <c:ptCount val="1"/>
                <c:pt idx="0">
                  <c:v>IRR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'HEP Control Panel'!$G$41:$K$41</c:f>
              <c:strCache>
                <c:ptCount val="5"/>
                <c:pt idx="0">
                  <c:v>-10%</c:v>
                </c:pt>
                <c:pt idx="1">
                  <c:v>-5%</c:v>
                </c:pt>
                <c:pt idx="2">
                  <c:v>0%</c:v>
                </c:pt>
                <c:pt idx="3">
                  <c:v>5%</c:v>
                </c:pt>
                <c:pt idx="4">
                  <c:v>10%</c:v>
                </c:pt>
              </c:strCache>
            </c:strRef>
          </c:cat>
          <c:val>
            <c:numRef>
              <c:f>'HEP Control Panel'!$G$43:$K$43</c:f>
              <c:numCache>
                <c:formatCode>General</c:formatCode>
                <c:ptCount val="5"/>
                <c:pt idx="0">
                  <c:v>0.352594384609743</c:v>
                </c:pt>
                <c:pt idx="1">
                  <c:v>0.308192396044598</c:v>
                </c:pt>
                <c:pt idx="2">
                  <c:v>0.263252513417561</c:v>
                </c:pt>
                <c:pt idx="3">
                  <c:v>0.217707338305492</c:v>
                </c:pt>
                <c:pt idx="4">
                  <c:v>0.171478086814484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5049932"/>
        <c:axId val="47865791"/>
      </c:lineChart>
      <c:catAx>
        <c:axId val="504993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7865791"/>
        <c:crosses val="autoZero"/>
        <c:auto val="1"/>
        <c:lblAlgn val="ctr"/>
        <c:lblOffset val="100"/>
        <c:noMultiLvlLbl val="0"/>
      </c:catAx>
      <c:valAx>
        <c:axId val="47865791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04993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GB" sz="1400" spc="-1" strike="noStrike">
                <a:solidFill>
                  <a:srgbClr val="002060"/>
                </a:solidFill>
                <a:latin typeface="Calibri"/>
              </a:defRPr>
            </a:pPr>
            <a:r>
              <a:rPr b="1" lang="en-GB" sz="1400" spc="-1" strike="noStrike">
                <a:solidFill>
                  <a:srgbClr val="002060"/>
                </a:solidFill>
                <a:latin typeface="Calibri"/>
              </a:rPr>
              <a:t>NPV Sensitivity</a:t>
            </a:r>
          </a:p>
        </c:rich>
      </c:tx>
      <c:layout>
        <c:manualLayout>
          <c:xMode val="edge"/>
          <c:yMode val="edge"/>
          <c:x val="0.389273477379204"/>
          <c:y val="0.0381878557874763"/>
        </c:manualLayout>
      </c:layout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"Sens. Units"</c:f>
              <c:strCache>
                <c:ptCount val="1"/>
                <c:pt idx="0">
                  <c:v>Sens. Units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multiLvlStrRef>
              <c:f>'HEP Control Panel'!$G$41:$K$41</c:f>
              <c:multiLvlStrCache>
                <c:ptCount val="1"/>
                <c:lvl>
                  <c:pt idx="0">
                    <c:v>10%</c:v>
                  </c:pt>
                </c:lvl>
                <c:lvl>
                  <c:pt idx="0">
                    <c:v>5%</c:v>
                  </c:pt>
                </c:lvl>
                <c:lvl>
                  <c:pt idx="0">
                    <c:v>0%</c:v>
                  </c:pt>
                </c:lvl>
                <c:lvl>
                  <c:pt idx="0">
                    <c:v>-5%</c:v>
                  </c:pt>
                </c:lvl>
                <c:lvl>
                  <c:pt idx="0">
                    <c:v>-10%</c:v>
                  </c:pt>
                </c:lvl>
              </c:multiLvlStrCache>
            </c:multiLvlStrRef>
          </c:cat>
          <c:val>
            <c:numRef>
              <c:f>'HEP Control Panel'!$G$34:$K$34</c:f>
              <c:numCache>
                <c:formatCode>General</c:formatCode>
                <c:ptCount val="5"/>
                <c:pt idx="0">
                  <c:v>1735.58985280928</c:v>
                </c:pt>
                <c:pt idx="1">
                  <c:v>2763.382063386</c:v>
                </c:pt>
                <c:pt idx="2">
                  <c:v>3791.17427396272</c:v>
                </c:pt>
                <c:pt idx="3">
                  <c:v>4818.96648453944</c:v>
                </c:pt>
                <c:pt idx="4">
                  <c:v>5846.75869511616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"Sens. Var. Costs"</c:f>
              <c:strCache>
                <c:ptCount val="1"/>
                <c:pt idx="0">
                  <c:v>Sens. Var. Costs</c:v>
                </c:pt>
              </c:strCache>
            </c:strRef>
          </c:tx>
          <c:spPr>
            <a:solidFill>
              <a:srgbClr val="ed7d31"/>
            </a:solidFill>
            <a:ln w="2844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multiLvlStrRef>
              <c:f>'HEP Control Panel'!$G$41:$K$41</c:f>
              <c:multiLvlStrCache>
                <c:ptCount val="1"/>
                <c:lvl>
                  <c:pt idx="0">
                    <c:v>10%</c:v>
                  </c:pt>
                </c:lvl>
                <c:lvl>
                  <c:pt idx="0">
                    <c:v>5%</c:v>
                  </c:pt>
                </c:lvl>
                <c:lvl>
                  <c:pt idx="0">
                    <c:v>0%</c:v>
                  </c:pt>
                </c:lvl>
                <c:lvl>
                  <c:pt idx="0">
                    <c:v>-5%</c:v>
                  </c:pt>
                </c:lvl>
                <c:lvl>
                  <c:pt idx="0">
                    <c:v>-10%</c:v>
                  </c:pt>
                </c:lvl>
              </c:multiLvlStrCache>
            </c:multiLvlStrRef>
          </c:cat>
          <c:val>
            <c:numRef>
              <c:f>'HEP Control Panel'!$G$42:$K$42</c:f>
              <c:numCache>
                <c:formatCode>General</c:formatCode>
                <c:ptCount val="5"/>
                <c:pt idx="0">
                  <c:v>6874.55090569287</c:v>
                </c:pt>
                <c:pt idx="1">
                  <c:v>5332.8625898278</c:v>
                </c:pt>
                <c:pt idx="2">
                  <c:v>3791.17427396272</c:v>
                </c:pt>
                <c:pt idx="3">
                  <c:v>2249.48595809764</c:v>
                </c:pt>
                <c:pt idx="4">
                  <c:v>707.797642232557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27551212"/>
        <c:axId val="61724484"/>
      </c:lineChart>
      <c:catAx>
        <c:axId val="275512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1724484"/>
        <c:crosses val="autoZero"/>
        <c:auto val="1"/>
        <c:lblAlgn val="ctr"/>
        <c:lblOffset val="100"/>
        <c:noMultiLvlLbl val="0"/>
      </c:catAx>
      <c:valAx>
        <c:axId val="61724484"/>
        <c:scaling>
          <c:orientation val="minMax"/>
        </c:scaling>
        <c:delete val="0"/>
        <c:axPos val="l"/>
        <c:numFmt formatCode="_-\£* #,##0_-;&quot;-£&quot;* #,##0_-;_-\£* \-??_-;_-@_-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7551212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GB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GB" sz="1400" spc="-1" strike="noStrike">
                <a:solidFill>
                  <a:srgbClr val="595959"/>
                </a:solidFill>
                <a:latin typeface="Calibri"/>
              </a:rPr>
              <a:t>NPV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'Monte Carlo correlated'!$E$134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000000"/>
            </a:solidFill>
            <a:ln w="19080">
              <a:solidFill>
                <a:srgbClr val="00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'Monte Carlo correlated'!$D$135:$D$156</c:f>
              <c:numCache>
                <c:formatCode>General</c:formatCode>
                <c:ptCount val="22"/>
                <c:pt idx="0">
                  <c:v>-18968.240433444</c:v>
                </c:pt>
                <c:pt idx="1">
                  <c:v>-17411.7805741371</c:v>
                </c:pt>
                <c:pt idx="2">
                  <c:v>-15855.3207148301</c:v>
                </c:pt>
                <c:pt idx="3">
                  <c:v>-14298.8608555232</c:v>
                </c:pt>
                <c:pt idx="4">
                  <c:v>-12742.4009962163</c:v>
                </c:pt>
                <c:pt idx="5">
                  <c:v>-11185.9411369093</c:v>
                </c:pt>
                <c:pt idx="6">
                  <c:v>-9629.48127760239</c:v>
                </c:pt>
                <c:pt idx="7">
                  <c:v>-8073.02141829545</c:v>
                </c:pt>
                <c:pt idx="8">
                  <c:v>-6516.56155898851</c:v>
                </c:pt>
                <c:pt idx="9">
                  <c:v>-4960.10169968158</c:v>
                </c:pt>
                <c:pt idx="10">
                  <c:v>-3403.64184037464</c:v>
                </c:pt>
                <c:pt idx="11">
                  <c:v>-1847.1819810677</c:v>
                </c:pt>
                <c:pt idx="12">
                  <c:v>-290.722121760763</c:v>
                </c:pt>
                <c:pt idx="13">
                  <c:v>1265.73773754617</c:v>
                </c:pt>
                <c:pt idx="14">
                  <c:v>2822.19759685311</c:v>
                </c:pt>
                <c:pt idx="15">
                  <c:v>4378.65745616005</c:v>
                </c:pt>
                <c:pt idx="16">
                  <c:v>5935.11731546699</c:v>
                </c:pt>
                <c:pt idx="17">
                  <c:v>7491.57717477393</c:v>
                </c:pt>
                <c:pt idx="18">
                  <c:v>9048.03703408086</c:v>
                </c:pt>
                <c:pt idx="19">
                  <c:v>10604.4968933878</c:v>
                </c:pt>
                <c:pt idx="20">
                  <c:v>12160.9567526947</c:v>
                </c:pt>
              </c:numCache>
            </c:numRef>
          </c:xVal>
          <c:yVal>
            <c:numRef>
              <c:f>'Monte Carlo correlated'!$E$135:$E$156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9</c:v>
                </c:pt>
                <c:pt idx="10">
                  <c:v>21</c:v>
                </c:pt>
                <c:pt idx="11">
                  <c:v>42</c:v>
                </c:pt>
                <c:pt idx="12">
                  <c:v>72</c:v>
                </c:pt>
                <c:pt idx="13">
                  <c:v>123</c:v>
                </c:pt>
                <c:pt idx="14">
                  <c:v>145</c:v>
                </c:pt>
                <c:pt idx="15">
                  <c:v>147</c:v>
                </c:pt>
                <c:pt idx="16">
                  <c:v>153</c:v>
                </c:pt>
                <c:pt idx="17">
                  <c:v>129</c:v>
                </c:pt>
                <c:pt idx="18">
                  <c:v>93</c:v>
                </c:pt>
                <c:pt idx="19">
                  <c:v>29</c:v>
                </c:pt>
                <c:pt idx="20">
                  <c:v>16</c:v>
                </c:pt>
              </c:numCache>
            </c:numRef>
          </c:yVal>
          <c:smooth val="0"/>
        </c:ser>
        <c:axId val="88519633"/>
        <c:axId val="20129206"/>
      </c:scatterChart>
      <c:valAx>
        <c:axId val="88519633"/>
        <c:scaling>
          <c:orientation val="minMax"/>
        </c:scaling>
        <c:delete val="0"/>
        <c:axPos val="b"/>
        <c:numFmt formatCode="\£#,##0_);&quot;(£&quot;#,##0\)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0129206"/>
        <c:crosses val="autoZero"/>
        <c:crossBetween val="midCat"/>
      </c:valAx>
      <c:valAx>
        <c:axId val="2012920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8519633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GB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GB" sz="1400" spc="-1" strike="noStrike">
                <a:solidFill>
                  <a:srgbClr val="595959"/>
                </a:solidFill>
                <a:latin typeface="Calibri"/>
              </a:rPr>
              <a:t>NPV</a:t>
            </a:r>
          </a:p>
        </c:rich>
      </c:tx>
      <c:layout>
        <c:manualLayout>
          <c:xMode val="edge"/>
          <c:yMode val="edge"/>
          <c:x val="0.42754671868118"/>
          <c:y val="0.0278215223097113"/>
        </c:manualLayout>
      </c:layout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'Monte Carlo linear'!$A$125:$A$147</c:f>
              <c:strCache>
                <c:ptCount val="23"/>
                <c:pt idx="0">
                  <c:v>-4,772 </c:v>
                </c:pt>
                <c:pt idx="1">
                  <c:v>-4,208 </c:v>
                </c:pt>
                <c:pt idx="2">
                  <c:v>-3,644 </c:v>
                </c:pt>
                <c:pt idx="3">
                  <c:v>-3,080 </c:v>
                </c:pt>
                <c:pt idx="4">
                  <c:v>-2,516 </c:v>
                </c:pt>
                <c:pt idx="5">
                  <c:v>-1,952 </c:v>
                </c:pt>
                <c:pt idx="6">
                  <c:v>-1,388 </c:v>
                </c:pt>
                <c:pt idx="7">
                  <c:v>-824 </c:v>
                </c:pt>
                <c:pt idx="8">
                  <c:v>-260 </c:v>
                </c:pt>
                <c:pt idx="9">
                  <c:v> 304 </c:v>
                </c:pt>
                <c:pt idx="10">
                  <c:v> 868 </c:v>
                </c:pt>
                <c:pt idx="11">
                  <c:v> 1,432 </c:v>
                </c:pt>
                <c:pt idx="12">
                  <c:v> 1,996 </c:v>
                </c:pt>
                <c:pt idx="13">
                  <c:v> 2,560 </c:v>
                </c:pt>
                <c:pt idx="14">
                  <c:v> 3,124 </c:v>
                </c:pt>
                <c:pt idx="15">
                  <c:v> 3,688 </c:v>
                </c:pt>
                <c:pt idx="16">
                  <c:v> 4,252 </c:v>
                </c:pt>
                <c:pt idx="17">
                  <c:v> 4,816 </c:v>
                </c:pt>
                <c:pt idx="18">
                  <c:v> 5,380 </c:v>
                </c:pt>
                <c:pt idx="19">
                  <c:v> 5,944 </c:v>
                </c:pt>
                <c:pt idx="20">
                  <c:v> 6,508 </c:v>
                </c:pt>
                <c:pt idx="21">
                  <c:v> 7,072 </c:v>
                </c:pt>
                <c:pt idx="22">
                  <c:v> 7,636 </c:v>
                </c:pt>
              </c:strCache>
            </c:strRef>
          </c:cat>
          <c:val>
            <c:numRef>
              <c:f>'Monte Carlo linear'!$B$125:$B$147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12</c:v>
                </c:pt>
                <c:pt idx="9">
                  <c:v>23</c:v>
                </c:pt>
                <c:pt idx="10">
                  <c:v>32</c:v>
                </c:pt>
                <c:pt idx="11">
                  <c:v>44</c:v>
                </c:pt>
                <c:pt idx="12">
                  <c:v>48</c:v>
                </c:pt>
                <c:pt idx="13">
                  <c:v>78</c:v>
                </c:pt>
                <c:pt idx="14">
                  <c:v>126</c:v>
                </c:pt>
                <c:pt idx="15">
                  <c:v>148</c:v>
                </c:pt>
                <c:pt idx="16">
                  <c:v>167</c:v>
                </c:pt>
                <c:pt idx="17">
                  <c:v>148</c:v>
                </c:pt>
                <c:pt idx="18">
                  <c:v>94</c:v>
                </c:pt>
                <c:pt idx="19">
                  <c:v>43</c:v>
                </c:pt>
                <c:pt idx="20">
                  <c:v>20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</c:ser>
        <c:gapWidth val="219"/>
        <c:overlap val="-27"/>
        <c:axId val="83558178"/>
        <c:axId val="56283554"/>
      </c:barChart>
      <c:catAx>
        <c:axId val="83558178"/>
        <c:scaling>
          <c:orientation val="minMax"/>
        </c:scaling>
        <c:delete val="0"/>
        <c:axPos val="b"/>
        <c:numFmt formatCode="_-* #,##0_-;\-* #,##0_-;_-* \-??_-;_-@_-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6283554"/>
        <c:crosses val="autoZero"/>
        <c:auto val="1"/>
        <c:lblAlgn val="ctr"/>
        <c:lblOffset val="100"/>
        <c:noMultiLvlLbl val="0"/>
      </c:catAx>
      <c:valAx>
        <c:axId val="56283554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355817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GB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GB" sz="1400" spc="-1" strike="noStrike">
                <a:solidFill>
                  <a:srgbClr val="595959"/>
                </a:solidFill>
                <a:latin typeface="Calibri"/>
              </a:rPr>
              <a:t>NPV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'Monte Carlo linear'!$A$125:$A$147</c:f>
              <c:numCache>
                <c:formatCode>General</c:formatCode>
                <c:ptCount val="23"/>
                <c:pt idx="0">
                  <c:v>-4771.94226147313</c:v>
                </c:pt>
                <c:pt idx="1">
                  <c:v>-4207.96064595428</c:v>
                </c:pt>
                <c:pt idx="2">
                  <c:v>-3643.97903043543</c:v>
                </c:pt>
                <c:pt idx="3">
                  <c:v>-3079.99741491657</c:v>
                </c:pt>
                <c:pt idx="4">
                  <c:v>-2516.01579939772</c:v>
                </c:pt>
                <c:pt idx="5">
                  <c:v>-1952.03418387887</c:v>
                </c:pt>
                <c:pt idx="6">
                  <c:v>-1388.05256836002</c:v>
                </c:pt>
                <c:pt idx="7">
                  <c:v>-824.070952841163</c:v>
                </c:pt>
                <c:pt idx="8">
                  <c:v>-260.089337322311</c:v>
                </c:pt>
                <c:pt idx="9">
                  <c:v>303.892278196541</c:v>
                </c:pt>
                <c:pt idx="10">
                  <c:v>867.873893715394</c:v>
                </c:pt>
                <c:pt idx="11">
                  <c:v>1431.85550923425</c:v>
                </c:pt>
                <c:pt idx="12">
                  <c:v>1995.8371247531</c:v>
                </c:pt>
                <c:pt idx="13">
                  <c:v>2559.81874027195</c:v>
                </c:pt>
                <c:pt idx="14">
                  <c:v>3123.8003557908</c:v>
                </c:pt>
                <c:pt idx="15">
                  <c:v>3687.78197130966</c:v>
                </c:pt>
                <c:pt idx="16">
                  <c:v>4251.76358682851</c:v>
                </c:pt>
                <c:pt idx="17">
                  <c:v>4815.74520234736</c:v>
                </c:pt>
                <c:pt idx="18">
                  <c:v>5379.72681786621</c:v>
                </c:pt>
                <c:pt idx="19">
                  <c:v>5943.70843338507</c:v>
                </c:pt>
                <c:pt idx="20">
                  <c:v>6507.69004890392</c:v>
                </c:pt>
                <c:pt idx="21">
                  <c:v>7071.67166442277</c:v>
                </c:pt>
                <c:pt idx="22">
                  <c:v>7635.65327994162</c:v>
                </c:pt>
              </c:numCache>
            </c:numRef>
          </c:xVal>
          <c:yVal>
            <c:numRef>
              <c:f>'Monte Carlo linear'!$B$125:$B$147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12</c:v>
                </c:pt>
                <c:pt idx="9">
                  <c:v>23</c:v>
                </c:pt>
                <c:pt idx="10">
                  <c:v>32</c:v>
                </c:pt>
                <c:pt idx="11">
                  <c:v>44</c:v>
                </c:pt>
                <c:pt idx="12">
                  <c:v>48</c:v>
                </c:pt>
                <c:pt idx="13">
                  <c:v>78</c:v>
                </c:pt>
                <c:pt idx="14">
                  <c:v>126</c:v>
                </c:pt>
                <c:pt idx="15">
                  <c:v>148</c:v>
                </c:pt>
                <c:pt idx="16">
                  <c:v>167</c:v>
                </c:pt>
                <c:pt idx="17">
                  <c:v>148</c:v>
                </c:pt>
                <c:pt idx="18">
                  <c:v>94</c:v>
                </c:pt>
                <c:pt idx="19">
                  <c:v>43</c:v>
                </c:pt>
                <c:pt idx="20">
                  <c:v>20</c:v>
                </c:pt>
                <c:pt idx="21">
                  <c:v>1</c:v>
                </c:pt>
                <c:pt idx="22">
                  <c:v>1</c:v>
                </c:pt>
              </c:numCache>
            </c:numRef>
          </c:yVal>
          <c:smooth val="0"/>
        </c:ser>
        <c:axId val="59587570"/>
        <c:axId val="86255463"/>
      </c:scatterChart>
      <c:valAx>
        <c:axId val="59587570"/>
        <c:scaling>
          <c:orientation val="minMax"/>
        </c:scaling>
        <c:delete val="0"/>
        <c:axPos val="b"/>
        <c:numFmt formatCode="_-* #,##0_-;\-* #,##0_-;_-* \-??_-;_-@_-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6255463"/>
        <c:crosses val="autoZero"/>
        <c:crossBetween val="midCat"/>
      </c:valAx>
      <c:valAx>
        <c:axId val="86255463"/>
        <c:scaling>
          <c:orientation val="minMax"/>
        </c:scaling>
        <c:delete val="0"/>
        <c:axPos val="l"/>
        <c:numFmt formatCode="_-* #,##0_-;\-* #,##0_-;_-* \-??_-;_-@_-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9587570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GB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GB" sz="1400" spc="-1" strike="noStrike">
                <a:solidFill>
                  <a:srgbClr val="595959"/>
                </a:solidFill>
                <a:latin typeface="Calibri"/>
              </a:rPr>
              <a:t>NPV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'Monte Carlo correlated'!$E$134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000000"/>
            </a:solidFill>
            <a:ln w="19080">
              <a:solidFill>
                <a:srgbClr val="00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'Monte Carlo correlated'!$D$135:$D$156</c:f>
              <c:numCache>
                <c:formatCode>General</c:formatCode>
                <c:ptCount val="22"/>
                <c:pt idx="0">
                  <c:v>-18968.240433444</c:v>
                </c:pt>
                <c:pt idx="1">
                  <c:v>-17411.7805741371</c:v>
                </c:pt>
                <c:pt idx="2">
                  <c:v>-15855.3207148301</c:v>
                </c:pt>
                <c:pt idx="3">
                  <c:v>-14298.8608555232</c:v>
                </c:pt>
                <c:pt idx="4">
                  <c:v>-12742.4009962163</c:v>
                </c:pt>
                <c:pt idx="5">
                  <c:v>-11185.9411369093</c:v>
                </c:pt>
                <c:pt idx="6">
                  <c:v>-9629.48127760239</c:v>
                </c:pt>
                <c:pt idx="7">
                  <c:v>-8073.02141829545</c:v>
                </c:pt>
                <c:pt idx="8">
                  <c:v>-6516.56155898851</c:v>
                </c:pt>
                <c:pt idx="9">
                  <c:v>-4960.10169968158</c:v>
                </c:pt>
                <c:pt idx="10">
                  <c:v>-3403.64184037464</c:v>
                </c:pt>
                <c:pt idx="11">
                  <c:v>-1847.1819810677</c:v>
                </c:pt>
                <c:pt idx="12">
                  <c:v>-290.722121760763</c:v>
                </c:pt>
                <c:pt idx="13">
                  <c:v>1265.73773754617</c:v>
                </c:pt>
                <c:pt idx="14">
                  <c:v>2822.19759685311</c:v>
                </c:pt>
                <c:pt idx="15">
                  <c:v>4378.65745616005</c:v>
                </c:pt>
                <c:pt idx="16">
                  <c:v>5935.11731546699</c:v>
                </c:pt>
                <c:pt idx="17">
                  <c:v>7491.57717477393</c:v>
                </c:pt>
                <c:pt idx="18">
                  <c:v>9048.03703408086</c:v>
                </c:pt>
                <c:pt idx="19">
                  <c:v>10604.4968933878</c:v>
                </c:pt>
                <c:pt idx="20">
                  <c:v>12160.9567526947</c:v>
                </c:pt>
              </c:numCache>
            </c:numRef>
          </c:xVal>
          <c:yVal>
            <c:numRef>
              <c:f>'Monte Carlo correlated'!$E$135:$E$156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9</c:v>
                </c:pt>
                <c:pt idx="10">
                  <c:v>21</c:v>
                </c:pt>
                <c:pt idx="11">
                  <c:v>42</c:v>
                </c:pt>
                <c:pt idx="12">
                  <c:v>72</c:v>
                </c:pt>
                <c:pt idx="13">
                  <c:v>123</c:v>
                </c:pt>
                <c:pt idx="14">
                  <c:v>145</c:v>
                </c:pt>
                <c:pt idx="15">
                  <c:v>147</c:v>
                </c:pt>
                <c:pt idx="16">
                  <c:v>153</c:v>
                </c:pt>
                <c:pt idx="17">
                  <c:v>129</c:v>
                </c:pt>
                <c:pt idx="18">
                  <c:v>93</c:v>
                </c:pt>
                <c:pt idx="19">
                  <c:v>29</c:v>
                </c:pt>
                <c:pt idx="20">
                  <c:v>16</c:v>
                </c:pt>
              </c:numCache>
            </c:numRef>
          </c:yVal>
          <c:smooth val="0"/>
        </c:ser>
        <c:axId val="12431958"/>
        <c:axId val="62081408"/>
      </c:scatterChart>
      <c:valAx>
        <c:axId val="12431958"/>
        <c:scaling>
          <c:orientation val="minMax"/>
        </c:scaling>
        <c:delete val="0"/>
        <c:axPos val="b"/>
        <c:numFmt formatCode="\£#,##0_);&quot;(£&quot;#,##0\)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2081408"/>
        <c:crosses val="autoZero"/>
        <c:crossBetween val="midCat"/>
      </c:valAx>
      <c:valAx>
        <c:axId val="6208140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2431958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GB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GB" sz="1400" spc="-1" strike="noStrike">
                <a:solidFill>
                  <a:srgbClr val="595959"/>
                </a:solidFill>
                <a:latin typeface="Calibri"/>
              </a:rPr>
              <a:t>NPV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'Monte Carlo Cholesky'!$E$149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000000"/>
            </a:solidFill>
            <a:ln w="19080">
              <a:solidFill>
                <a:srgbClr val="00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'Monte Carlo Cholesky'!$D$150:$D$171</c:f>
              <c:numCache>
                <c:formatCode>General</c:formatCode>
                <c:ptCount val="22"/>
                <c:pt idx="0">
                  <c:v>-15477.4566562437</c:v>
                </c:pt>
                <c:pt idx="1">
                  <c:v>-13752.4918895911</c:v>
                </c:pt>
                <c:pt idx="2">
                  <c:v>-12027.5271229384</c:v>
                </c:pt>
                <c:pt idx="3">
                  <c:v>-10302.5623562857</c:v>
                </c:pt>
                <c:pt idx="4">
                  <c:v>-8577.597589633</c:v>
                </c:pt>
                <c:pt idx="5">
                  <c:v>-6852.63282298032</c:v>
                </c:pt>
                <c:pt idx="6">
                  <c:v>-5127.66805632763</c:v>
                </c:pt>
                <c:pt idx="7">
                  <c:v>-3402.70328967495</c:v>
                </c:pt>
                <c:pt idx="8">
                  <c:v>-1677.73852302227</c:v>
                </c:pt>
                <c:pt idx="9">
                  <c:v>47.2262436304159</c:v>
                </c:pt>
                <c:pt idx="10">
                  <c:v>1772.1910102831</c:v>
                </c:pt>
                <c:pt idx="11">
                  <c:v>3497.15577693578</c:v>
                </c:pt>
                <c:pt idx="12">
                  <c:v>5222.12054358847</c:v>
                </c:pt>
                <c:pt idx="13">
                  <c:v>6947.08531024115</c:v>
                </c:pt>
                <c:pt idx="14">
                  <c:v>8672.05007689383</c:v>
                </c:pt>
                <c:pt idx="15">
                  <c:v>10397.0148435465</c:v>
                </c:pt>
                <c:pt idx="16">
                  <c:v>12121.9796101992</c:v>
                </c:pt>
                <c:pt idx="17">
                  <c:v>13846.9443768519</c:v>
                </c:pt>
                <c:pt idx="18">
                  <c:v>15571.9091435046</c:v>
                </c:pt>
                <c:pt idx="19">
                  <c:v>17296.8739101572</c:v>
                </c:pt>
                <c:pt idx="20">
                  <c:v>19021.8386768099</c:v>
                </c:pt>
              </c:numCache>
            </c:numRef>
          </c:xVal>
          <c:yVal>
            <c:numRef>
              <c:f>'Monte Carlo Cholesky'!$E$150:$E$171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9</c:v>
                </c:pt>
                <c:pt idx="4">
                  <c:v>9</c:v>
                </c:pt>
                <c:pt idx="5">
                  <c:v>14</c:v>
                </c:pt>
                <c:pt idx="6">
                  <c:v>17</c:v>
                </c:pt>
                <c:pt idx="7">
                  <c:v>34</c:v>
                </c:pt>
                <c:pt idx="8">
                  <c:v>71</c:v>
                </c:pt>
                <c:pt idx="9">
                  <c:v>101</c:v>
                </c:pt>
                <c:pt idx="10">
                  <c:v>110</c:v>
                </c:pt>
                <c:pt idx="11">
                  <c:v>122</c:v>
                </c:pt>
                <c:pt idx="12">
                  <c:v>127</c:v>
                </c:pt>
                <c:pt idx="13">
                  <c:v>113</c:v>
                </c:pt>
                <c:pt idx="14">
                  <c:v>93</c:v>
                </c:pt>
                <c:pt idx="15">
                  <c:v>65</c:v>
                </c:pt>
                <c:pt idx="16">
                  <c:v>56</c:v>
                </c:pt>
                <c:pt idx="17">
                  <c:v>31</c:v>
                </c:pt>
                <c:pt idx="18">
                  <c:v>15</c:v>
                </c:pt>
                <c:pt idx="19">
                  <c:v>6</c:v>
                </c:pt>
                <c:pt idx="20">
                  <c:v>3</c:v>
                </c:pt>
              </c:numCache>
            </c:numRef>
          </c:yVal>
          <c:smooth val="0"/>
        </c:ser>
        <c:axId val="80046974"/>
        <c:axId val="97959555"/>
      </c:scatterChart>
      <c:valAx>
        <c:axId val="80046974"/>
        <c:scaling>
          <c:orientation val="minMax"/>
        </c:scaling>
        <c:delete val="0"/>
        <c:axPos val="b"/>
        <c:numFmt formatCode="\£#,##0_);&quot;(£&quot;#,##0\)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7959555"/>
        <c:crosses val="autoZero"/>
        <c:crossBetween val="midCat"/>
      </c:valAx>
      <c:valAx>
        <c:axId val="9795955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004697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9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1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95400</xdr:colOff>
      <xdr:row>48</xdr:row>
      <xdr:rowOff>108000</xdr:rowOff>
    </xdr:from>
    <xdr:to>
      <xdr:col>5</xdr:col>
      <xdr:colOff>831600</xdr:colOff>
      <xdr:row>59</xdr:row>
      <xdr:rowOff>88560</xdr:rowOff>
    </xdr:to>
    <xdr:graphicFrame>
      <xdr:nvGraphicFramePr>
        <xdr:cNvPr id="0" name="Chart 1"/>
        <xdr:cNvGraphicFramePr/>
      </xdr:nvGraphicFramePr>
      <xdr:xfrm>
        <a:off x="2948760" y="8972280"/>
        <a:ext cx="3508920" cy="2006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935640</xdr:colOff>
      <xdr:row>48</xdr:row>
      <xdr:rowOff>109440</xdr:rowOff>
    </xdr:from>
    <xdr:to>
      <xdr:col>8</xdr:col>
      <xdr:colOff>640800</xdr:colOff>
      <xdr:row>59</xdr:row>
      <xdr:rowOff>126720</xdr:rowOff>
    </xdr:to>
    <xdr:graphicFrame>
      <xdr:nvGraphicFramePr>
        <xdr:cNvPr id="1" name="Chart 2"/>
        <xdr:cNvGraphicFramePr/>
      </xdr:nvGraphicFramePr>
      <xdr:xfrm>
        <a:off x="6561720" y="8973720"/>
        <a:ext cx="3657240" cy="204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101520</xdr:colOff>
      <xdr:row>60</xdr:row>
      <xdr:rowOff>82800</xdr:rowOff>
    </xdr:from>
    <xdr:to>
      <xdr:col>5</xdr:col>
      <xdr:colOff>863280</xdr:colOff>
      <xdr:row>70</xdr:row>
      <xdr:rowOff>63000</xdr:rowOff>
    </xdr:to>
    <xdr:graphicFrame>
      <xdr:nvGraphicFramePr>
        <xdr:cNvPr id="2" name="Chart 3"/>
        <xdr:cNvGraphicFramePr/>
      </xdr:nvGraphicFramePr>
      <xdr:xfrm>
        <a:off x="2954880" y="11157120"/>
        <a:ext cx="3534480" cy="1821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936000</xdr:colOff>
      <xdr:row>60</xdr:row>
      <xdr:rowOff>75240</xdr:rowOff>
    </xdr:from>
    <xdr:to>
      <xdr:col>8</xdr:col>
      <xdr:colOff>647280</xdr:colOff>
      <xdr:row>70</xdr:row>
      <xdr:rowOff>82440</xdr:rowOff>
    </xdr:to>
    <xdr:graphicFrame>
      <xdr:nvGraphicFramePr>
        <xdr:cNvPr id="3" name="Chart 4"/>
        <xdr:cNvGraphicFramePr/>
      </xdr:nvGraphicFramePr>
      <xdr:xfrm>
        <a:off x="6562080" y="11149560"/>
        <a:ext cx="3663360" cy="1848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30</xdr:row>
      <xdr:rowOff>177840</xdr:rowOff>
    </xdr:from>
    <xdr:to>
      <xdr:col>4</xdr:col>
      <xdr:colOff>387000</xdr:colOff>
      <xdr:row>47</xdr:row>
      <xdr:rowOff>63360</xdr:rowOff>
    </xdr:to>
    <xdr:graphicFrame>
      <xdr:nvGraphicFramePr>
        <xdr:cNvPr id="4" name="Chart 5"/>
        <xdr:cNvGraphicFramePr/>
      </xdr:nvGraphicFramePr>
      <xdr:xfrm>
        <a:off x="0" y="5708520"/>
        <a:ext cx="5148000" cy="3035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266760</xdr:colOff>
      <xdr:row>86</xdr:row>
      <xdr:rowOff>44280</xdr:rowOff>
    </xdr:from>
    <xdr:to>
      <xdr:col>8</xdr:col>
      <xdr:colOff>526680</xdr:colOff>
      <xdr:row>101</xdr:row>
      <xdr:rowOff>24840</xdr:rowOff>
    </xdr:to>
    <xdr:graphicFrame>
      <xdr:nvGraphicFramePr>
        <xdr:cNvPr id="5" name="Chart 12"/>
        <xdr:cNvGraphicFramePr/>
      </xdr:nvGraphicFramePr>
      <xdr:xfrm>
        <a:off x="5027760" y="15995160"/>
        <a:ext cx="5077080" cy="2653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6" descr="Sensitivity Analysi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Sensitivity Analysis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8" descr="Simul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Simulate</a:t>
              </a:r>
            </a:p>
          </xdr:txBody>
        </xdr:sp>
        <xdr:clientData/>
      </xdr:twoCellAnchor>
    </mc:Choice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108000</xdr:colOff>
      <xdr:row>122</xdr:row>
      <xdr:rowOff>127080</xdr:rowOff>
    </xdr:from>
    <xdr:to>
      <xdr:col>7</xdr:col>
      <xdr:colOff>114120</xdr:colOff>
      <xdr:row>137</xdr:row>
      <xdr:rowOff>107640</xdr:rowOff>
    </xdr:to>
    <xdr:graphicFrame>
      <xdr:nvGraphicFramePr>
        <xdr:cNvPr id="6" name="Chart 2"/>
        <xdr:cNvGraphicFramePr/>
      </xdr:nvGraphicFramePr>
      <xdr:xfrm>
        <a:off x="5151600" y="22402080"/>
        <a:ext cx="57211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184320</xdr:colOff>
      <xdr:row>138</xdr:row>
      <xdr:rowOff>76320</xdr:rowOff>
    </xdr:from>
    <xdr:to>
      <xdr:col>7</xdr:col>
      <xdr:colOff>95040</xdr:colOff>
      <xdr:row>153</xdr:row>
      <xdr:rowOff>56880</xdr:rowOff>
    </xdr:to>
    <xdr:graphicFrame>
      <xdr:nvGraphicFramePr>
        <xdr:cNvPr id="7" name="Chart 1"/>
        <xdr:cNvGraphicFramePr/>
      </xdr:nvGraphicFramePr>
      <xdr:xfrm>
        <a:off x="5227920" y="25297560"/>
        <a:ext cx="56257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twoCell">
    <xdr:from>
      <xdr:col>8</xdr:col>
      <xdr:colOff>654120</xdr:colOff>
      <xdr:row>122</xdr:row>
      <xdr:rowOff>120600</xdr:rowOff>
    </xdr:from>
    <xdr:to>
      <xdr:col>15</xdr:col>
      <xdr:colOff>463320</xdr:colOff>
      <xdr:row>144</xdr:row>
      <xdr:rowOff>94680</xdr:rowOff>
    </xdr:to>
    <xdr:sp>
      <xdr:nvSpPr>
        <xdr:cNvPr id="8" name="CustomShape 1"/>
        <xdr:cNvSpPr/>
      </xdr:nvSpPr>
      <xdr:spPr>
        <a:xfrm>
          <a:off x="12778560" y="22395600"/>
          <a:ext cx="5785200" cy="4025520"/>
        </a:xfrm>
        <a:prstGeom prst="rect">
          <a:avLst/>
        </a:prstGeom>
        <a:solidFill>
          <a:srgbClr val="ffffff"/>
        </a:solidFill>
        <a:ln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r>
            <a:rPr b="0" lang="en-GB" sz="1100" spc="-1" strike="noStrike">
              <a:latin typeface="Times New Roman"/>
            </a:rPr>
            <a:t>This chart isn't available in your version of Excel.</a:t>
          </a:r>
          <a:endParaRPr b="0" lang="en-US" sz="1100" spc="-1" strike="noStrike">
            <a:latin typeface="Times New Roman"/>
          </a:endParaRPr>
        </a:p>
        <a:p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GB" sz="1100" spc="-1" strike="noStrike">
              <a:latin typeface="Times New Roman"/>
            </a:rPr>
            <a:t>Editing this shape or saving this workbook into a different file format will permanently break the chart.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363240</xdr:colOff>
      <xdr:row>65</xdr:row>
      <xdr:rowOff>43920</xdr:rowOff>
    </xdr:from>
    <xdr:to>
      <xdr:col>13</xdr:col>
      <xdr:colOff>271800</xdr:colOff>
      <xdr:row>80</xdr:row>
      <xdr:rowOff>24480</xdr:rowOff>
    </xdr:to>
    <xdr:graphicFrame>
      <xdr:nvGraphicFramePr>
        <xdr:cNvPr id="9" name="Chart 6"/>
        <xdr:cNvGraphicFramePr/>
      </xdr:nvGraphicFramePr>
      <xdr:xfrm>
        <a:off x="11202480" y="11822400"/>
        <a:ext cx="573264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10" descr="Simul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Simulate</a:t>
              </a:r>
            </a:p>
          </xdr:txBody>
        </xdr:sp>
        <xdr:clientData/>
      </xdr:twoCellAnchor>
    </mc:Choice>
  </mc:AlternateContent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165240</xdr:colOff>
      <xdr:row>93</xdr:row>
      <xdr:rowOff>31680</xdr:rowOff>
    </xdr:from>
    <xdr:to>
      <xdr:col>14</xdr:col>
      <xdr:colOff>583920</xdr:colOff>
      <xdr:row>108</xdr:row>
      <xdr:rowOff>18720</xdr:rowOff>
    </xdr:to>
    <xdr:graphicFrame>
      <xdr:nvGraphicFramePr>
        <xdr:cNvPr id="10" name="Chart 1"/>
        <xdr:cNvGraphicFramePr/>
      </xdr:nvGraphicFramePr>
      <xdr:xfrm>
        <a:off x="12370320" y="16979040"/>
        <a:ext cx="5635800" cy="2749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1" descr="Simul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Simulate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8" descr="Cholesky Decompositio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Cholesky Decomposition</a:t>
              </a:r>
            </a:p>
          </xdr:txBody>
        </xdr:sp>
        <xdr:clientData/>
      </xdr:twoCellAnchor>
    </mc:Choice>
  </mc:AlternateContent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F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3" activeCellId="1" sqref="F92 E23"/>
    </sheetView>
  </sheetViews>
  <sheetFormatPr defaultColWidth="8.5390625" defaultRowHeight="14.5" zeroHeight="false" outlineLevelRow="0" outlineLevelCol="0"/>
  <cols>
    <col collapsed="false" customWidth="true" hidden="false" outlineLevel="0" max="2" min="2" style="0" width="12.63"/>
    <col collapsed="false" customWidth="true" hidden="false" outlineLevel="0" max="3" min="3" style="0" width="9.63"/>
    <col collapsed="false" customWidth="true" hidden="false" outlineLevel="0" max="4" min="4" style="0" width="12.09"/>
    <col collapsed="false" customWidth="true" hidden="false" outlineLevel="0" max="5" min="5" style="0" width="10.18"/>
  </cols>
  <sheetData>
    <row r="2" customFormat="false" ht="14.5" hidden="false" customHeight="false" outlineLevel="0" collapsed="false">
      <c r="B2" s="0" t="n">
        <v>-3000</v>
      </c>
      <c r="C2" s="0" t="n">
        <v>1500</v>
      </c>
      <c r="D2" s="0" t="n">
        <v>1200</v>
      </c>
      <c r="E2" s="0" t="n">
        <v>-200</v>
      </c>
      <c r="F2" s="0" t="n">
        <v>1500</v>
      </c>
    </row>
    <row r="4" customFormat="false" ht="14.5" hidden="false" customHeight="false" outlineLevel="0" collapsed="false">
      <c r="A4" s="0" t="s">
        <v>0</v>
      </c>
      <c r="B4" s="1" t="n">
        <f aca="false">IRR(B2:F2)</f>
        <v>0.13860793532009</v>
      </c>
    </row>
    <row r="5" customFormat="false" ht="14.5" hidden="false" customHeight="false" outlineLevel="0" collapsed="false">
      <c r="A5" s="0" t="s">
        <v>1</v>
      </c>
      <c r="B5" s="2" t="n">
        <f aca="false">NPV($C$8,C2:F2)+B2</f>
        <v>361.473804241674</v>
      </c>
    </row>
    <row r="6" customFormat="false" ht="14.5" hidden="false" customHeight="false" outlineLevel="0" collapsed="false">
      <c r="B6" s="3"/>
    </row>
    <row r="8" customFormat="false" ht="14.5" hidden="false" customHeight="false" outlineLevel="0" collapsed="false">
      <c r="B8" s="0" t="s">
        <v>2</v>
      </c>
      <c r="C8" s="3" t="n">
        <v>0.08</v>
      </c>
    </row>
    <row r="9" customFormat="false" ht="14.5" hidden="false" customHeight="false" outlineLevel="0" collapsed="false">
      <c r="B9" s="0" t="s">
        <v>3</v>
      </c>
      <c r="C9" s="3" t="n">
        <v>0.09</v>
      </c>
    </row>
    <row r="11" customFormat="false" ht="14.5" hidden="false" customHeight="false" outlineLevel="0" collapsed="false">
      <c r="B11" s="0" t="s">
        <v>4</v>
      </c>
      <c r="C11" s="4" t="n">
        <f aca="false">MIRR($B$2:$F$2,C8,C9)</f>
        <v>0.114202529613868</v>
      </c>
    </row>
    <row r="13" customFormat="false" ht="14.5" hidden="false" customHeight="false" outlineLevel="0" collapsed="false">
      <c r="A13" s="0" t="s">
        <v>5</v>
      </c>
      <c r="B13" s="0" t="n">
        <v>0</v>
      </c>
      <c r="C13" s="0" t="n">
        <v>1</v>
      </c>
      <c r="D13" s="0" t="n">
        <v>2</v>
      </c>
      <c r="E13" s="0" t="n">
        <v>3</v>
      </c>
      <c r="F13" s="0" t="n">
        <v>4</v>
      </c>
    </row>
    <row r="14" customFormat="false" ht="14.5" hidden="false" customHeight="false" outlineLevel="0" collapsed="false">
      <c r="B14" s="0" t="n">
        <v>-3000</v>
      </c>
      <c r="C14" s="0" t="n">
        <v>1500</v>
      </c>
      <c r="D14" s="0" t="n">
        <v>1200</v>
      </c>
      <c r="E14" s="0" t="n">
        <v>-200</v>
      </c>
      <c r="F14" s="0" t="n">
        <v>1500</v>
      </c>
    </row>
    <row r="15" customFormat="false" ht="14.5" hidden="false" customHeight="false" outlineLevel="0" collapsed="false">
      <c r="A15" s="0" t="s">
        <v>6</v>
      </c>
      <c r="B15" s="5" t="n">
        <f aca="false">IF(B14&lt;0,-B14/(1+$C$8)^B13,0)</f>
        <v>3000</v>
      </c>
      <c r="C15" s="5" t="n">
        <f aca="false">IF(C14&lt;0,-C14/(1+$C$8)^C13,0)</f>
        <v>0</v>
      </c>
      <c r="D15" s="5" t="n">
        <f aca="false">IF(D14&lt;0,-D14/(1+$C$8)^D13,0)</f>
        <v>0</v>
      </c>
      <c r="E15" s="5" t="n">
        <f aca="false">IF(E14&lt;0,-E14/(1+$C$8)^E13,0)</f>
        <v>158.766448204034</v>
      </c>
      <c r="F15" s="5" t="n">
        <f aca="false">IF(F14&lt;0,-F14/(1+$C$8)^F13,0)</f>
        <v>0</v>
      </c>
    </row>
    <row r="16" customFormat="false" ht="14.5" hidden="false" customHeight="false" outlineLevel="0" collapsed="false">
      <c r="A16" s="0" t="s">
        <v>7</v>
      </c>
      <c r="B16" s="5" t="n">
        <f aca="false">IF(B14&gt;0,B14*(1+$C$9)^($F$13-B13),0)</f>
        <v>0</v>
      </c>
      <c r="C16" s="5" t="n">
        <f aca="false">IF(C14&gt;0,C14*(1+$C$9)^($F$13-C13),0)</f>
        <v>1942.5435</v>
      </c>
      <c r="D16" s="5" t="n">
        <f aca="false">IF(D14&gt;0,D14*(1+$C$9)^($F$13-D13),0)</f>
        <v>1425.72</v>
      </c>
      <c r="E16" s="5" t="n">
        <f aca="false">IF(E14&gt;0,E14*(1+$C$9)^($F$13-E13),0)</f>
        <v>0</v>
      </c>
      <c r="F16" s="5" t="n">
        <f aca="false">IF(F14&gt;0,F14*(1+$C$9)^($F$13-F13),0)</f>
        <v>1500</v>
      </c>
    </row>
    <row r="18" customFormat="false" ht="14.5" hidden="false" customHeight="false" outlineLevel="0" collapsed="false">
      <c r="A18" s="0" t="s">
        <v>4</v>
      </c>
      <c r="B18" s="6" t="n">
        <f aca="false">POWER(SUM(B16:F16)/SUM(B15:F15),1/$F$13)-1</f>
        <v>0.114202529613868</v>
      </c>
    </row>
    <row r="19" customFormat="false" ht="14.5" hidden="false" customHeight="false" outlineLevel="0" collapsed="false">
      <c r="A19" s="0" t="s">
        <v>8</v>
      </c>
      <c r="B19" s="5" t="n">
        <f aca="false">SUM(B16:F16)/(1+$C$8)^$F$13-SUM(B15:F15)</f>
        <v>419.552555575313</v>
      </c>
    </row>
    <row r="21" customFormat="false" ht="14.5" hidden="false" customHeight="false" outlineLevel="0" collapsed="false">
      <c r="A21" s="0" t="s">
        <v>9</v>
      </c>
      <c r="B21" s="5"/>
      <c r="C21" s="5"/>
      <c r="D21" s="5"/>
      <c r="E21" s="5"/>
      <c r="F21" s="5"/>
    </row>
    <row r="22" customFormat="false" ht="14.5" hidden="false" customHeight="false" outlineLevel="0" collapsed="false">
      <c r="A22" s="0" t="s">
        <v>5</v>
      </c>
      <c r="B22" s="0" t="n">
        <v>0</v>
      </c>
      <c r="C22" s="0" t="n">
        <v>1</v>
      </c>
      <c r="D22" s="0" t="n">
        <v>2</v>
      </c>
      <c r="E22" s="0" t="n">
        <v>3</v>
      </c>
      <c r="F22" s="0" t="n">
        <v>4</v>
      </c>
    </row>
    <row r="23" customFormat="false" ht="14.5" hidden="false" customHeight="false" outlineLevel="0" collapsed="false">
      <c r="B23" s="0" t="n">
        <v>-3000</v>
      </c>
      <c r="C23" s="0" t="n">
        <v>1500</v>
      </c>
      <c r="D23" s="0" t="n">
        <v>1200</v>
      </c>
      <c r="E23" s="0" t="n">
        <v>-200</v>
      </c>
      <c r="F23" s="0" t="n">
        <v>1500</v>
      </c>
    </row>
    <row r="24" customFormat="false" ht="14.5" hidden="false" customHeight="false" outlineLevel="0" collapsed="false">
      <c r="A24" s="0" t="s">
        <v>6</v>
      </c>
      <c r="B24" s="5" t="n">
        <f aca="false">IF(B23&lt;0,-B23/(1+$C$8)^B22,0)</f>
        <v>3000</v>
      </c>
      <c r="C24" s="5" t="n">
        <f aca="false">IF(C23&lt;0,-C23/(1+$C$8)^C22,0)</f>
        <v>0</v>
      </c>
      <c r="D24" s="5" t="n">
        <f aca="false">IF(D23&lt;0,-D23/(1+$C$8)^D22,0)</f>
        <v>0</v>
      </c>
      <c r="E24" s="5" t="n">
        <f aca="false">IF(E23&lt;0,-E23/(1+$C$8)^E22,0)</f>
        <v>158.766448204034</v>
      </c>
      <c r="F24" s="5" t="n">
        <f aca="false">IF(F23&lt;0,-F23/(1+$C$8)^F22,0)</f>
        <v>0</v>
      </c>
    </row>
    <row r="25" customFormat="false" ht="14.5" hidden="false" customHeight="false" outlineLevel="0" collapsed="false">
      <c r="A25" s="0" t="s">
        <v>7</v>
      </c>
      <c r="B25" s="5" t="n">
        <f aca="false">IF(B23&gt;0,B23*(1+$C$9)^($F$13-B22),0)</f>
        <v>0</v>
      </c>
      <c r="C25" s="5" t="n">
        <f aca="false">$C$23*(1+$C$9)</f>
        <v>1635</v>
      </c>
      <c r="D25" s="5" t="n">
        <f aca="false">C25*(1+$C$9)</f>
        <v>1782.15</v>
      </c>
      <c r="E25" s="5" t="n">
        <f aca="false">D25*(1+$C$9)</f>
        <v>1942.5435</v>
      </c>
      <c r="F25" s="5" t="n">
        <f aca="false">E25*(1+$C$9)</f>
        <v>2117.372415</v>
      </c>
    </row>
    <row r="26" customFormat="false" ht="14.5" hidden="false" customHeight="false" outlineLevel="0" collapsed="false">
      <c r="D26" s="5"/>
      <c r="E26" s="5"/>
      <c r="F26" s="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0000"/>
    <pageSetUpPr fitToPage="false"/>
  </sheetPr>
  <dimension ref="A1:BD10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6" activeCellId="1" sqref="F92 C16"/>
    </sheetView>
  </sheetViews>
  <sheetFormatPr defaultColWidth="8.73046875" defaultRowHeight="14.5" zeroHeight="true" outlineLevelRow="0" outlineLevelCol="1"/>
  <cols>
    <col collapsed="false" customWidth="false" hidden="false" outlineLevel="0" max="1" min="1" style="7" width="8.72"/>
    <col collapsed="false" customWidth="true" hidden="false" outlineLevel="0" max="2" min="2" style="7" width="23.36"/>
    <col collapsed="false" customWidth="true" hidden="false" outlineLevel="0" max="3" min="3" style="7" width="12.72"/>
    <col collapsed="false" customWidth="false" hidden="false" outlineLevel="0" max="4" min="4" style="7" width="8.72"/>
    <col collapsed="false" customWidth="true" hidden="false" outlineLevel="0" max="5" min="5" style="7" width="9.72"/>
    <col collapsed="false" customWidth="true" hidden="false" outlineLevel="0" max="6" min="6" style="7" width="22.09"/>
    <col collapsed="false" customWidth="true" hidden="false" outlineLevel="0" max="7" min="7" style="7" width="11.45"/>
    <col collapsed="false" customWidth="true" hidden="false" outlineLevel="0" max="8" min="8" style="7" width="10.9"/>
    <col collapsed="false" customWidth="true" hidden="false" outlineLevel="0" max="9" min="9" style="7" width="10.82"/>
    <col collapsed="false" customWidth="true" hidden="false" outlineLevel="0" max="10" min="10" style="7" width="10.18"/>
    <col collapsed="false" customWidth="true" hidden="false" outlineLevel="0" max="11" min="11" style="7" width="11.27"/>
    <col collapsed="false" customWidth="true" hidden="false" outlineLevel="0" max="12" min="12" style="7" width="9.82"/>
    <col collapsed="false" customWidth="true" hidden="false" outlineLevel="0" max="14" min="13" style="7" width="14.27"/>
    <col collapsed="false" customWidth="true" hidden="false" outlineLevel="0" max="15" min="15" style="7" width="12.36"/>
    <col collapsed="false" customWidth="false" hidden="true" outlineLevel="1" max="18" min="16" style="7" width="8.72"/>
    <col collapsed="false" customWidth="true" hidden="true" outlineLevel="1" max="19" min="19" style="7" width="11.9"/>
    <col collapsed="false" customWidth="false" hidden="true" outlineLevel="1" max="25" min="20" style="7" width="8.72"/>
    <col collapsed="false" customWidth="true" hidden="true" outlineLevel="1" max="26" min="26" style="7" width="11.17"/>
    <col collapsed="false" customWidth="false" hidden="true" outlineLevel="1" max="31" min="27" style="7" width="8.72"/>
    <col collapsed="false" customWidth="true" hidden="true" outlineLevel="1" max="32" min="32" style="7" width="10.09"/>
    <col collapsed="false" customWidth="true" hidden="true" outlineLevel="1" max="33" min="33" style="7" width="8.45"/>
    <col collapsed="false" customWidth="true" hidden="true" outlineLevel="1" max="41" min="34" style="7" width="11.54"/>
    <col collapsed="false" customWidth="true" hidden="true" outlineLevel="1" max="53" min="42" style="7" width="8.45"/>
    <col collapsed="false" customWidth="true" hidden="true" outlineLevel="1" max="54" min="54" style="7" width="11.09"/>
    <col collapsed="false" customWidth="false" hidden="true" outlineLevel="1" max="55" min="55" style="7" width="8.72"/>
    <col collapsed="false" customWidth="false" hidden="false" outlineLevel="0" max="56" min="56" style="7" width="8.72"/>
    <col collapsed="false" customWidth="false" hidden="true" outlineLevel="0" max="1024" min="57" style="7" width="8.72"/>
  </cols>
  <sheetData>
    <row r="1" customFormat="false" ht="14.5" hidden="false" customHeight="false" outlineLevel="0" collapsed="false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BD1" s="8"/>
    </row>
    <row r="2" customFormat="false" ht="14.5" hidden="false" customHeight="false" outlineLevel="0" collapsed="false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BD2" s="8"/>
    </row>
    <row r="3" customFormat="false" ht="14.5" hidden="false" customHeight="true" outlineLevel="0" collapsed="false">
      <c r="A3" s="8"/>
      <c r="B3" s="9" t="s">
        <v>10</v>
      </c>
      <c r="C3" s="9"/>
      <c r="D3" s="8"/>
      <c r="E3" s="8"/>
      <c r="F3" s="9" t="s">
        <v>11</v>
      </c>
      <c r="G3" s="9"/>
      <c r="H3" s="9"/>
      <c r="I3" s="8"/>
      <c r="J3" s="8"/>
      <c r="K3" s="8"/>
      <c r="L3" s="8"/>
      <c r="M3" s="8"/>
      <c r="N3" s="8"/>
      <c r="O3" s="8"/>
      <c r="BD3" s="8"/>
    </row>
    <row r="4" customFormat="false" ht="14.5" hidden="false" customHeight="false" outlineLevel="0" collapsed="false">
      <c r="A4" s="8"/>
      <c r="B4" s="10"/>
      <c r="C4" s="10"/>
      <c r="D4" s="8"/>
      <c r="E4" s="8"/>
      <c r="F4" s="10"/>
      <c r="G4" s="11" t="s">
        <v>12</v>
      </c>
      <c r="H4" s="11" t="s">
        <v>13</v>
      </c>
      <c r="I4" s="8"/>
      <c r="J4" s="8"/>
      <c r="K4" s="8"/>
      <c r="L4" s="8"/>
      <c r="M4" s="8"/>
      <c r="N4" s="8"/>
      <c r="O4" s="8"/>
      <c r="BD4" s="8"/>
    </row>
    <row r="5" customFormat="false" ht="14.5" hidden="false" customHeight="false" outlineLevel="0" collapsed="false">
      <c r="A5" s="8"/>
      <c r="B5" s="10" t="s">
        <v>14</v>
      </c>
      <c r="C5" s="12" t="n">
        <f aca="false">G5*(100%+H5)</f>
        <v>9500</v>
      </c>
      <c r="D5" s="8"/>
      <c r="E5" s="8"/>
      <c r="F5" s="10" t="s">
        <v>14</v>
      </c>
      <c r="G5" s="13" t="n">
        <v>9500</v>
      </c>
      <c r="H5" s="14" t="n">
        <v>0</v>
      </c>
      <c r="I5" s="8"/>
      <c r="J5" s="8"/>
      <c r="K5" s="8"/>
      <c r="L5" s="8"/>
      <c r="M5" s="8"/>
      <c r="N5" s="8"/>
      <c r="O5" s="8"/>
      <c r="BD5" s="8"/>
    </row>
    <row r="6" customFormat="false" ht="14.5" hidden="false" customHeight="false" outlineLevel="0" collapsed="false">
      <c r="A6" s="8"/>
      <c r="B6" s="10" t="s">
        <v>15</v>
      </c>
      <c r="C6" s="12" t="n">
        <f aca="false">G6*(100%+H6)</f>
        <v>500</v>
      </c>
      <c r="D6" s="8"/>
      <c r="E6" s="8"/>
      <c r="F6" s="10" t="s">
        <v>15</v>
      </c>
      <c r="G6" s="13" t="n">
        <v>500</v>
      </c>
      <c r="H6" s="14" t="n">
        <v>0</v>
      </c>
      <c r="I6" s="8"/>
      <c r="J6" s="8"/>
      <c r="K6" s="8"/>
      <c r="L6" s="8"/>
      <c r="M6" s="8"/>
      <c r="N6" s="8"/>
      <c r="O6" s="8"/>
      <c r="BD6" s="8"/>
    </row>
    <row r="7" customFormat="false" ht="14.5" hidden="false" customHeight="false" outlineLevel="0" collapsed="false">
      <c r="A7" s="8"/>
      <c r="B7" s="10" t="s">
        <v>16</v>
      </c>
      <c r="C7" s="12" t="n">
        <f aca="false">G7*(100%+H7)</f>
        <v>2000</v>
      </c>
      <c r="D7" s="8"/>
      <c r="E7" s="8"/>
      <c r="F7" s="10" t="s">
        <v>16</v>
      </c>
      <c r="G7" s="13" t="n">
        <v>2000</v>
      </c>
      <c r="H7" s="14" t="n">
        <v>0</v>
      </c>
      <c r="I7" s="8"/>
      <c r="J7" s="8"/>
      <c r="K7" s="8"/>
      <c r="L7" s="8"/>
      <c r="M7" s="8"/>
      <c r="N7" s="8"/>
      <c r="O7" s="8"/>
      <c r="BD7" s="8"/>
    </row>
    <row r="8" customFormat="false" ht="14.5" hidden="false" customHeight="false" outlineLevel="0" collapsed="false">
      <c r="A8" s="8"/>
      <c r="B8" s="10"/>
      <c r="C8" s="12"/>
      <c r="D8" s="8"/>
      <c r="E8" s="8"/>
      <c r="F8" s="10"/>
      <c r="G8" s="13"/>
      <c r="H8" s="14"/>
      <c r="I8" s="8"/>
      <c r="J8" s="8"/>
      <c r="K8" s="8"/>
      <c r="L8" s="8"/>
      <c r="M8" s="8"/>
      <c r="N8" s="8"/>
      <c r="O8" s="8"/>
      <c r="BD8" s="8"/>
    </row>
    <row r="9" customFormat="false" ht="14.5" hidden="false" customHeight="false" outlineLevel="0" collapsed="false">
      <c r="A9" s="8"/>
      <c r="B9" s="10" t="s">
        <v>17</v>
      </c>
      <c r="C9" s="12" t="n">
        <f aca="false">G9*(100%+H9)</f>
        <v>4000</v>
      </c>
      <c r="D9" s="8"/>
      <c r="E9" s="8"/>
      <c r="F9" s="10" t="s">
        <v>17</v>
      </c>
      <c r="G9" s="13" t="n">
        <v>4000</v>
      </c>
      <c r="H9" s="14" t="n">
        <v>0</v>
      </c>
      <c r="I9" s="8"/>
      <c r="J9" s="8"/>
      <c r="K9" s="8"/>
      <c r="L9" s="8"/>
      <c r="M9" s="8"/>
      <c r="N9" s="8"/>
      <c r="O9" s="8"/>
      <c r="BD9" s="8"/>
    </row>
    <row r="10" customFormat="false" ht="14.5" hidden="false" customHeight="false" outlineLevel="0" collapsed="false">
      <c r="A10" s="8"/>
      <c r="B10" s="10" t="s">
        <v>18</v>
      </c>
      <c r="C10" s="12" t="n">
        <f aca="false">G10*(100%+H10)</f>
        <v>15000</v>
      </c>
      <c r="D10" s="8"/>
      <c r="E10" s="8"/>
      <c r="F10" s="10" t="s">
        <v>18</v>
      </c>
      <c r="G10" s="13" t="n">
        <v>15000</v>
      </c>
      <c r="H10" s="14" t="n">
        <v>0</v>
      </c>
      <c r="I10" s="8"/>
      <c r="J10" s="8"/>
      <c r="K10" s="8"/>
      <c r="L10" s="8"/>
      <c r="M10" s="8"/>
      <c r="N10" s="8"/>
      <c r="O10" s="8"/>
      <c r="BD10" s="8"/>
    </row>
    <row r="11" customFormat="false" ht="14.5" hidden="false" customHeight="false" outlineLevel="0" collapsed="false">
      <c r="A11" s="8"/>
      <c r="B11" s="10" t="s">
        <v>19</v>
      </c>
      <c r="C11" s="12" t="n">
        <f aca="false">G11*(100%+H11)</f>
        <v>2</v>
      </c>
      <c r="D11" s="8"/>
      <c r="E11" s="8"/>
      <c r="F11" s="10" t="s">
        <v>19</v>
      </c>
      <c r="G11" s="13" t="n">
        <v>2</v>
      </c>
      <c r="H11" s="14" t="n">
        <v>0</v>
      </c>
      <c r="I11" s="8"/>
      <c r="J11" s="8"/>
      <c r="K11" s="8"/>
      <c r="L11" s="8"/>
      <c r="M11" s="8"/>
      <c r="N11" s="8"/>
      <c r="O11" s="8"/>
      <c r="BD11" s="8"/>
    </row>
    <row r="12" customFormat="false" ht="14.5" hidden="false" customHeight="false" outlineLevel="0" collapsed="false">
      <c r="A12" s="8"/>
      <c r="B12" s="10" t="s">
        <v>20</v>
      </c>
      <c r="C12" s="15" t="n">
        <f aca="false">G12*(100%+H12)</f>
        <v>0.6</v>
      </c>
      <c r="D12" s="8" t="s">
        <v>21</v>
      </c>
      <c r="E12" s="8"/>
      <c r="F12" s="10" t="s">
        <v>20</v>
      </c>
      <c r="G12" s="16" t="n">
        <v>0.6</v>
      </c>
      <c r="H12" s="14" t="n">
        <v>0</v>
      </c>
      <c r="I12" s="8"/>
      <c r="J12" s="8"/>
      <c r="K12" s="8"/>
      <c r="L12" s="8"/>
      <c r="M12" s="8"/>
      <c r="N12" s="8"/>
      <c r="O12" s="8"/>
      <c r="BD12" s="8"/>
    </row>
    <row r="13" customFormat="false" ht="14.5" hidden="false" customHeight="false" outlineLevel="0" collapsed="false">
      <c r="A13" s="8"/>
      <c r="B13" s="10" t="s">
        <v>22</v>
      </c>
      <c r="C13" s="17" t="n">
        <f aca="false">G13*(100%+H13)</f>
        <v>5000</v>
      </c>
      <c r="D13" s="8"/>
      <c r="E13" s="8"/>
      <c r="F13" s="10" t="s">
        <v>22</v>
      </c>
      <c r="G13" s="18" t="n">
        <v>5000</v>
      </c>
      <c r="H13" s="14" t="n">
        <v>0</v>
      </c>
      <c r="I13" s="8"/>
      <c r="J13" s="8"/>
      <c r="K13" s="8"/>
      <c r="L13" s="8"/>
      <c r="M13" s="8"/>
      <c r="N13" s="8"/>
      <c r="O13" s="8"/>
      <c r="BD13" s="8"/>
    </row>
    <row r="14" customFormat="false" ht="14.5" hidden="false" customHeight="false" outlineLevel="0" collapsed="false">
      <c r="A14" s="8"/>
      <c r="B14" s="10" t="s">
        <v>23</v>
      </c>
      <c r="C14" s="15" t="n">
        <f aca="false">G14*(100%+H14)</f>
        <v>0.4</v>
      </c>
      <c r="D14" s="8"/>
      <c r="E14" s="8"/>
      <c r="F14" s="10" t="s">
        <v>23</v>
      </c>
      <c r="G14" s="16" t="n">
        <v>0.4</v>
      </c>
      <c r="H14" s="14" t="n">
        <v>0</v>
      </c>
      <c r="I14" s="8"/>
      <c r="J14" s="8"/>
      <c r="K14" s="8"/>
      <c r="L14" s="8"/>
      <c r="M14" s="8"/>
      <c r="N14" s="8"/>
      <c r="O14" s="8"/>
      <c r="BD14" s="8"/>
    </row>
    <row r="15" customFormat="false" ht="14.5" hidden="false" customHeight="false" outlineLevel="0" collapsed="false">
      <c r="A15" s="8"/>
      <c r="B15" s="10" t="s">
        <v>24</v>
      </c>
      <c r="C15" s="15" t="n">
        <f aca="false">G15*(100%+H15)</f>
        <v>0</v>
      </c>
      <c r="D15" s="8"/>
      <c r="E15" s="8"/>
      <c r="F15" s="10" t="s">
        <v>24</v>
      </c>
      <c r="G15" s="16" t="n">
        <v>0</v>
      </c>
      <c r="H15" s="14" t="n">
        <v>0</v>
      </c>
      <c r="I15" s="8"/>
      <c r="J15" s="8"/>
      <c r="K15" s="8"/>
      <c r="L15" s="8"/>
      <c r="M15" s="8"/>
      <c r="N15" s="8"/>
      <c r="O15" s="8"/>
      <c r="BD15" s="8"/>
    </row>
    <row r="16" customFormat="false" ht="14.5" hidden="false" customHeight="false" outlineLevel="0" collapsed="false">
      <c r="A16" s="8"/>
      <c r="B16" s="10"/>
      <c r="C16" s="12"/>
      <c r="D16" s="8"/>
      <c r="E16" s="8"/>
      <c r="F16" s="10"/>
      <c r="G16" s="16"/>
      <c r="H16" s="14"/>
      <c r="I16" s="8"/>
      <c r="J16" s="8"/>
      <c r="K16" s="8"/>
      <c r="L16" s="8"/>
      <c r="M16" s="8"/>
      <c r="N16" s="8"/>
      <c r="O16" s="8"/>
      <c r="BD16" s="8"/>
    </row>
    <row r="17" customFormat="false" ht="14.5" hidden="false" customHeight="false" outlineLevel="0" collapsed="false">
      <c r="A17" s="8"/>
      <c r="B17" s="10" t="s">
        <v>25</v>
      </c>
      <c r="C17" s="15" t="n">
        <f aca="false">G17*(100%+H17)</f>
        <v>0.15</v>
      </c>
      <c r="D17" s="8"/>
      <c r="E17" s="8"/>
      <c r="F17" s="10" t="s">
        <v>25</v>
      </c>
      <c r="G17" s="16" t="n">
        <v>0.15</v>
      </c>
      <c r="H17" s="14" t="n">
        <v>0</v>
      </c>
      <c r="I17" s="8"/>
      <c r="J17" s="19" t="s">
        <v>26</v>
      </c>
      <c r="K17" s="19"/>
      <c r="L17" s="19"/>
      <c r="M17" s="19"/>
      <c r="N17" s="19"/>
      <c r="O17" s="8"/>
      <c r="BD17" s="8"/>
    </row>
    <row r="18" customFormat="false" ht="14.5" hidden="false" customHeight="false" outlineLevel="0" collapsed="false">
      <c r="A18" s="8"/>
      <c r="B18" s="10" t="s">
        <v>27</v>
      </c>
      <c r="C18" s="15" t="n">
        <f aca="false">G18*(100%+H18)</f>
        <v>0.15</v>
      </c>
      <c r="D18" s="8"/>
      <c r="E18" s="8"/>
      <c r="F18" s="10" t="s">
        <v>27</v>
      </c>
      <c r="G18" s="16" t="n">
        <v>0.15</v>
      </c>
      <c r="H18" s="14" t="n">
        <v>0</v>
      </c>
      <c r="I18" s="8"/>
      <c r="J18" s="19" t="s">
        <v>28</v>
      </c>
      <c r="K18" s="19"/>
      <c r="L18" s="19"/>
      <c r="M18" s="19"/>
      <c r="N18" s="19"/>
      <c r="O18" s="8"/>
      <c r="BD18" s="8"/>
    </row>
    <row r="19" customFormat="false" ht="14.5" hidden="false" customHeight="false" outlineLevel="0" collapsed="false">
      <c r="A19" s="8"/>
      <c r="B19" s="8"/>
      <c r="C19" s="8"/>
      <c r="D19" s="8"/>
      <c r="E19" s="8"/>
      <c r="F19" s="8"/>
      <c r="G19" s="8"/>
      <c r="H19" s="8"/>
      <c r="I19" s="8"/>
      <c r="J19" s="19" t="s">
        <v>29</v>
      </c>
      <c r="K19" s="19"/>
      <c r="L19" s="19"/>
      <c r="M19" s="19"/>
      <c r="N19" s="19"/>
      <c r="O19" s="8"/>
      <c r="BD19" s="8"/>
    </row>
    <row r="20" customFormat="false" ht="14.5" hidden="false" customHeight="false" outlineLevel="0" collapsed="false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BD20" s="8"/>
    </row>
    <row r="21" customFormat="false" ht="14.5" hidden="false" customHeight="false" outlineLevel="0" collapsed="false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BD21" s="8"/>
    </row>
    <row r="22" customFormat="false" ht="14.5" hidden="false" customHeight="false" outlineLevel="0" collapsed="false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BD22" s="8"/>
    </row>
    <row r="23" customFormat="false" ht="14.5" hidden="false" customHeight="true" outlineLevel="0" collapsed="false">
      <c r="A23" s="8"/>
      <c r="B23" s="9" t="s">
        <v>30</v>
      </c>
      <c r="C23" s="9"/>
      <c r="D23" s="8"/>
      <c r="E23" s="8"/>
      <c r="F23" s="9" t="s">
        <v>31</v>
      </c>
      <c r="G23" s="9"/>
      <c r="H23" s="8"/>
      <c r="I23" s="8"/>
      <c r="J23" s="8"/>
      <c r="K23" s="8"/>
      <c r="L23" s="8"/>
      <c r="M23" s="8"/>
      <c r="N23" s="8"/>
      <c r="O23" s="8"/>
      <c r="BD23" s="8"/>
    </row>
    <row r="24" customFormat="false" ht="14.5" hidden="false" customHeight="false" outlineLevel="0" collapsed="false">
      <c r="A24" s="8"/>
      <c r="B24" s="20" t="s">
        <v>32</v>
      </c>
      <c r="C24" s="21" t="n">
        <f aca="false">'HEP expansion'!B50</f>
        <v>3791.17427396271</v>
      </c>
      <c r="D24" s="8"/>
      <c r="E24" s="8"/>
      <c r="F24" s="10" t="s">
        <v>33</v>
      </c>
      <c r="G24" s="22" t="n">
        <v>12233.5062708088</v>
      </c>
      <c r="H24" s="8"/>
      <c r="I24" s="8"/>
      <c r="J24" s="8"/>
      <c r="K24" s="8"/>
      <c r="L24" s="8"/>
      <c r="M24" s="8"/>
      <c r="N24" s="8"/>
      <c r="O24" s="8"/>
      <c r="BD24" s="8"/>
    </row>
    <row r="25" customFormat="false" ht="14.5" hidden="false" customHeight="false" outlineLevel="0" collapsed="false">
      <c r="A25" s="8"/>
      <c r="B25" s="20" t="s">
        <v>34</v>
      </c>
      <c r="C25" s="23" t="n">
        <f aca="false">'HEP expansion'!B51</f>
        <v>0.263252513417561</v>
      </c>
      <c r="D25" s="8"/>
      <c r="E25" s="8"/>
      <c r="F25" s="24" t="s">
        <v>35</v>
      </c>
      <c r="G25" s="25" t="n">
        <f aca="false">G10-G24</f>
        <v>2766.4937291912</v>
      </c>
      <c r="H25" s="8"/>
      <c r="I25" s="8"/>
      <c r="J25" s="8"/>
      <c r="K25" s="8"/>
      <c r="L25" s="8"/>
      <c r="M25" s="8"/>
      <c r="N25" s="8"/>
      <c r="O25" s="8"/>
      <c r="S25" s="7" t="s">
        <v>36</v>
      </c>
      <c r="BD25" s="8"/>
    </row>
    <row r="26" customFormat="false" ht="14.5" hidden="false" customHeight="false" outlineLevel="0" collapsed="false">
      <c r="A26" s="8"/>
      <c r="B26" s="20" t="s">
        <v>37</v>
      </c>
      <c r="C26" s="23" t="n">
        <f aca="false">'HEP expansion'!B52</f>
        <v>0.221003713799454</v>
      </c>
      <c r="D26" s="8"/>
      <c r="E26" s="8"/>
      <c r="F26" s="10" t="s">
        <v>38</v>
      </c>
      <c r="G26" s="26" t="n">
        <v>1.63113416934388</v>
      </c>
      <c r="H26" s="8"/>
      <c r="I26" s="8"/>
      <c r="J26" s="8"/>
      <c r="K26" s="8"/>
      <c r="L26" s="8"/>
      <c r="M26" s="8"/>
      <c r="N26" s="8"/>
      <c r="O26" s="8"/>
      <c r="P26" s="27" t="s">
        <v>39</v>
      </c>
      <c r="BD26" s="8"/>
    </row>
    <row r="27" customFormat="false" ht="14.5" hidden="false" customHeight="false" outlineLevel="0" collapsed="false">
      <c r="A27" s="8"/>
      <c r="B27" s="20" t="s">
        <v>40</v>
      </c>
      <c r="C27" s="28" t="n">
        <f aca="false">'HEP expansion'!B53</f>
        <v>2.7085346215781</v>
      </c>
      <c r="D27" s="8"/>
      <c r="E27" s="8"/>
      <c r="F27" s="24" t="s">
        <v>35</v>
      </c>
      <c r="G27" s="29" t="n">
        <f aca="false">G11-G26</f>
        <v>0.36886583065612</v>
      </c>
      <c r="H27" s="8"/>
      <c r="I27" s="8"/>
      <c r="J27" s="8"/>
      <c r="K27" s="8"/>
      <c r="L27" s="8"/>
      <c r="M27" s="8"/>
      <c r="N27" s="8"/>
      <c r="O27" s="8"/>
      <c r="R27" s="30" t="s">
        <v>41</v>
      </c>
      <c r="S27" s="30"/>
      <c r="T27" s="30"/>
      <c r="U27" s="30"/>
      <c r="V27" s="30"/>
      <c r="W27" s="30"/>
      <c r="Y27" s="30" t="s">
        <v>42</v>
      </c>
      <c r="Z27" s="30"/>
      <c r="AA27" s="30"/>
      <c r="AB27" s="30"/>
      <c r="AC27" s="30"/>
      <c r="AD27" s="30"/>
      <c r="AF27" s="30" t="s">
        <v>43</v>
      </c>
      <c r="AG27" s="30"/>
      <c r="AH27" s="30"/>
      <c r="AI27" s="30"/>
      <c r="AJ27" s="30"/>
      <c r="AK27" s="30"/>
      <c r="AL27" s="30"/>
      <c r="AM27" s="30"/>
      <c r="AN27" s="30"/>
      <c r="AO27" s="30"/>
      <c r="BD27" s="8"/>
    </row>
    <row r="28" customFormat="false" ht="14.5" hidden="false" customHeight="false" outlineLevel="0" collapsed="false">
      <c r="A28" s="8"/>
      <c r="B28" s="20" t="s">
        <v>44</v>
      </c>
      <c r="C28" s="28" t="n">
        <f aca="false">'HEP expansion'!B54</f>
        <v>3.37160846285064</v>
      </c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S28" s="31" t="s">
        <v>45</v>
      </c>
      <c r="T28" s="31" t="s">
        <v>46</v>
      </c>
      <c r="U28" s="31" t="s">
        <v>4</v>
      </c>
      <c r="V28" s="31" t="s">
        <v>47</v>
      </c>
      <c r="W28" s="31" t="s">
        <v>48</v>
      </c>
      <c r="Z28" s="31" t="s">
        <v>45</v>
      </c>
      <c r="AA28" s="31" t="s">
        <v>46</v>
      </c>
      <c r="AB28" s="31" t="s">
        <v>4</v>
      </c>
      <c r="AC28" s="31" t="s">
        <v>47</v>
      </c>
      <c r="AD28" s="31" t="s">
        <v>48</v>
      </c>
      <c r="BD28" s="8"/>
    </row>
    <row r="29" customFormat="false" ht="15" hidden="false" customHeight="false" outlineLevel="0" collapsed="false">
      <c r="A29" s="8"/>
      <c r="B29" s="8"/>
      <c r="C29" s="8"/>
      <c r="D29" s="8"/>
      <c r="E29" s="8"/>
      <c r="F29" s="19" t="s">
        <v>49</v>
      </c>
      <c r="G29" s="8"/>
      <c r="H29" s="8"/>
      <c r="I29" s="8"/>
      <c r="J29" s="8"/>
      <c r="K29" s="8"/>
      <c r="L29" s="8"/>
      <c r="M29" s="8"/>
      <c r="N29" s="8"/>
      <c r="O29" s="8"/>
      <c r="Q29" s="32" t="n">
        <v>0</v>
      </c>
      <c r="R29" s="32" t="n">
        <v>15000</v>
      </c>
      <c r="S29" s="33" t="n">
        <f aca="false">$C$24</f>
        <v>3791.17427396271</v>
      </c>
      <c r="T29" s="4" t="n">
        <f aca="false">$C$25</f>
        <v>0.263252513417561</v>
      </c>
      <c r="U29" s="4" t="n">
        <f aca="false">$C$26</f>
        <v>0.221003713799454</v>
      </c>
      <c r="V29" s="34" t="n">
        <f aca="false">$C$27</f>
        <v>2.7085346215781</v>
      </c>
      <c r="W29" s="34" t="n">
        <f aca="false">$C$28</f>
        <v>3.37160846285064</v>
      </c>
      <c r="Y29" s="32" t="n">
        <v>0.6</v>
      </c>
      <c r="Z29" s="33" t="n">
        <f aca="false">$C$24</f>
        <v>3791.17427396271</v>
      </c>
      <c r="AA29" s="4" t="n">
        <f aca="false">$C$25</f>
        <v>0.263252513417561</v>
      </c>
      <c r="AB29" s="4" t="n">
        <f aca="false">$C$26</f>
        <v>0.221003713799454</v>
      </c>
      <c r="AC29" s="34" t="n">
        <f aca="false">$C$27</f>
        <v>2.7085346215781</v>
      </c>
      <c r="AD29" s="34" t="n">
        <f aca="false">$C$28</f>
        <v>3.37160846285064</v>
      </c>
      <c r="AF29" s="35"/>
      <c r="AG29" s="10"/>
      <c r="AH29" s="36" t="s">
        <v>38</v>
      </c>
      <c r="AI29" s="36"/>
      <c r="AJ29" s="36"/>
      <c r="AK29" s="36"/>
      <c r="AL29" s="36"/>
      <c r="AM29" s="36"/>
      <c r="AN29" s="36"/>
      <c r="AO29" s="36"/>
      <c r="BD29" s="8"/>
    </row>
    <row r="30" customFormat="false" ht="14.5" hidden="false" customHeight="false" outlineLevel="0" collapsed="false">
      <c r="A30" s="8"/>
      <c r="B30" s="8"/>
      <c r="C30" s="8"/>
      <c r="D30" s="8"/>
      <c r="E30" s="8"/>
      <c r="F30" s="19" t="s">
        <v>50</v>
      </c>
      <c r="G30" s="8"/>
      <c r="H30" s="8"/>
      <c r="I30" s="8"/>
      <c r="J30" s="8"/>
      <c r="K30" s="8"/>
      <c r="L30" s="8"/>
      <c r="M30" s="8"/>
      <c r="N30" s="8"/>
      <c r="O30" s="8"/>
      <c r="Q30" s="37" t="n">
        <v>-0.5</v>
      </c>
      <c r="R30" s="32" t="n">
        <f aca="false">$R$29*(1+$Q30)</f>
        <v>7500</v>
      </c>
      <c r="S30" s="33" t="n">
        <f aca="true">TABLE(S$29,$G$10,$R30)</f>
        <v>-7776.70891684921</v>
      </c>
      <c r="T30" s="4" t="n">
        <f aca="true">TABLE(T$29,$G$10,$R30)</f>
        <v>-0.0959614717185567</v>
      </c>
      <c r="U30" s="4" t="n">
        <v>-0.0609886101314103</v>
      </c>
      <c r="V30" s="34" t="e">
        <f aca="false">#REF!</f>
        <v>#REF!</v>
      </c>
      <c r="W30" s="34" t="e">
        <f aca="false">#REF!</f>
        <v>#REF!</v>
      </c>
      <c r="Y30" s="32" t="n">
        <f aca="false">$Y$29*(1+$Q30)</f>
        <v>0.3</v>
      </c>
      <c r="Z30" s="33" t="n">
        <f aca="true">TABLE(Z$29,$G$12,$Y30)</f>
        <v>19208.0574326135</v>
      </c>
      <c r="AA30" s="4" t="n">
        <f aca="true">TABLE(AA$29,$G$12,$Y30)</f>
        <v>0.694042666506926</v>
      </c>
      <c r="AB30" s="4" t="n">
        <v>0.427173257641494</v>
      </c>
      <c r="AC30" s="34" t="n">
        <v>1.33088235294118</v>
      </c>
      <c r="AD30" s="34" t="n">
        <v>1.60248161764706</v>
      </c>
      <c r="AF30" s="10"/>
      <c r="AG30" s="38" t="n">
        <f aca="false">$C$24</f>
        <v>3791.17427396271</v>
      </c>
      <c r="AH30" s="39" t="n">
        <v>0.5</v>
      </c>
      <c r="AI30" s="39" t="n">
        <f aca="false">AH30+0.5</f>
        <v>1</v>
      </c>
      <c r="AJ30" s="39" t="n">
        <f aca="false">AI30+0.5</f>
        <v>1.5</v>
      </c>
      <c r="AK30" s="40" t="n">
        <f aca="false">AJ30+0.5</f>
        <v>2</v>
      </c>
      <c r="AL30" s="39" t="n">
        <f aca="false">AK30+0.5</f>
        <v>2.5</v>
      </c>
      <c r="AM30" s="39" t="n">
        <f aca="false">AL30+0.5</f>
        <v>3</v>
      </c>
      <c r="AN30" s="39" t="n">
        <f aca="false">AM30+0.5</f>
        <v>3.5</v>
      </c>
      <c r="AO30" s="39" t="n">
        <f aca="false">AN30+0.5</f>
        <v>4</v>
      </c>
      <c r="BD30" s="8"/>
    </row>
    <row r="31" customFormat="false" ht="14.5" hidden="false" customHeight="false" outlineLevel="0" collapsed="false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Q31" s="37" t="n">
        <f aca="false">Q30+5%</f>
        <v>-0.45</v>
      </c>
      <c r="R31" s="32" t="n">
        <f aca="false">$R$29*(1+$Q31)</f>
        <v>8250</v>
      </c>
      <c r="S31" s="33" t="n">
        <f aca="true">TABLE(S$29,$G$10,$R31)</f>
        <v>-6063.72189922135</v>
      </c>
      <c r="T31" s="4" t="n">
        <f aca="true">TABLE(T$29,$G$10,$R31)</f>
        <v>-0.0393459681139908</v>
      </c>
      <c r="U31" s="4" t="n">
        <v>-0.00213899603185552</v>
      </c>
      <c r="V31" s="34" t="e">
        <f aca="false">#REF!</f>
        <v>#REF!</v>
      </c>
      <c r="W31" s="34" t="e">
        <f aca="false">#REF!</f>
        <v>#REF!</v>
      </c>
      <c r="Y31" s="32" t="n">
        <f aca="false">$Y$29*(1+$Q31)</f>
        <v>0.33</v>
      </c>
      <c r="Z31" s="33" t="n">
        <f aca="true">TABLE(Z$29,$G$12,$Y31)</f>
        <v>17666.3691167484</v>
      </c>
      <c r="AA31" s="4" t="n">
        <f aca="true">TABLE(AA$29,$G$12,$Y31)</f>
        <v>0.652377726062903</v>
      </c>
      <c r="AB31" s="4" t="n">
        <v>0.410312641843499</v>
      </c>
      <c r="AC31" s="34" t="n">
        <v>1.40038684719536</v>
      </c>
      <c r="AD31" s="34" t="n">
        <v>1.69400386847195</v>
      </c>
      <c r="AF31" s="41" t="s">
        <v>51</v>
      </c>
      <c r="AG31" s="42" t="n">
        <v>10000</v>
      </c>
      <c r="AH31" s="43" t="n">
        <f aca="true">TABLE($AG$30,$G$10,$AG31,$G$11,AH$30)</f>
        <v>-19196.6223677017</v>
      </c>
      <c r="AI31" s="43" t="n">
        <f aca="true">TABLE($AG$30,$G$10,$AG31,$G$11,AI$30)</f>
        <v>-13486.6656422754</v>
      </c>
      <c r="AJ31" s="43" t="n">
        <f aca="true">TABLE($AG$30,$G$10,$AG31,$G$11,AJ$30)</f>
        <v>-7776.70891684921</v>
      </c>
      <c r="AK31" s="44" t="n">
        <f aca="true">TABLE($AG$30,$G$10,$AG31,$G$11,AK$30)</f>
        <v>-3068.66399133794</v>
      </c>
      <c r="AL31" s="43" t="n">
        <f aca="true">TABLE($AG$30,$G$10,$AG31,$G$11,AL$30)</f>
        <v>365.200238706982</v>
      </c>
      <c r="AM31" s="43" t="n">
        <f aca="true">TABLE($AG$30,$G$10,$AG31,$G$11,AM$30)</f>
        <v>3791.17427396271</v>
      </c>
      <c r="AN31" s="43" t="n">
        <f aca="true">TABLE($AG$30,$G$10,$AG31,$G$11,AN$30)</f>
        <v>7217.14830921845</v>
      </c>
      <c r="AO31" s="43" t="n">
        <f aca="true">TABLE($AG$30,$G$10,$AG31,$G$11,AO$30)</f>
        <v>10643.1223444742</v>
      </c>
      <c r="BD31" s="8"/>
    </row>
    <row r="32" customFormat="false" ht="14.5" hidden="false" customHeight="false" outlineLevel="0" collapsed="false">
      <c r="A32" s="8"/>
      <c r="B32" s="8"/>
      <c r="C32" s="8"/>
      <c r="D32" s="8"/>
      <c r="E32" s="8"/>
      <c r="F32" s="45" t="s">
        <v>52</v>
      </c>
      <c r="G32" s="45"/>
      <c r="H32" s="45"/>
      <c r="I32" s="45"/>
      <c r="J32" s="45"/>
      <c r="K32" s="45"/>
      <c r="L32" s="8"/>
      <c r="M32" s="8"/>
      <c r="N32" s="8"/>
      <c r="O32" s="8"/>
      <c r="Q32" s="37" t="n">
        <f aca="false">Q31+5%</f>
        <v>-0.4</v>
      </c>
      <c r="R32" s="32" t="n">
        <f aca="false">$R$29*(1+$Q32)</f>
        <v>9000</v>
      </c>
      <c r="S32" s="33" t="n">
        <f aca="true">TABLE(S$29,$G$10,$R32)</f>
        <v>-4495.31412480659</v>
      </c>
      <c r="T32" s="4" t="n">
        <f aca="true">TABLE(T$29,$G$10,$R32)</f>
        <v>0.0109409555222583</v>
      </c>
      <c r="U32" s="4" t="n">
        <v>0.0438792707465154</v>
      </c>
      <c r="V32" s="34" t="n">
        <v>3.93969849246231</v>
      </c>
      <c r="W32" s="34" t="e">
        <f aca="false">#REF!</f>
        <v>#REF!</v>
      </c>
      <c r="Y32" s="32" t="n">
        <f aca="false">$Y$29*(1+$Q32)</f>
        <v>0.36</v>
      </c>
      <c r="Z32" s="33" t="n">
        <f aca="true">TABLE(Z$29,$G$12,$Y32)</f>
        <v>16124.6808008834</v>
      </c>
      <c r="AA32" s="4" t="n">
        <f aca="true">TABLE(AA$29,$G$12,$Y32)</f>
        <v>0.610477204398966</v>
      </c>
      <c r="AB32" s="4" t="n">
        <v>0.392824652057874</v>
      </c>
      <c r="AC32" s="34" t="n">
        <v>1.47755102040816</v>
      </c>
      <c r="AD32" s="34" t="n">
        <v>1.79561224489796</v>
      </c>
      <c r="AF32" s="41"/>
      <c r="AG32" s="42" t="n">
        <f aca="false">AG31+1000</f>
        <v>11000</v>
      </c>
      <c r="AH32" s="43" t="n">
        <f aca="true">TABLE($AG$30,$G$10,$AG32,$G$11,AH$30)</f>
        <v>-18625.626695159</v>
      </c>
      <c r="AI32" s="43" t="n">
        <f aca="true">TABLE($AG$30,$G$10,$AG32,$G$11,AI$30)</f>
        <v>-12344.6742971902</v>
      </c>
      <c r="AJ32" s="43" t="n">
        <f aca="true">TABLE($AG$30,$G$10,$AG32,$G$11,AJ$30)</f>
        <v>-6063.72189922135</v>
      </c>
      <c r="AK32" s="44" t="n">
        <f aca="true">TABLE($AG$30,$G$10,$AG32,$G$11,AK$30)</f>
        <v>-1690.38418244646</v>
      </c>
      <c r="AL32" s="43" t="n">
        <f aca="true">TABLE($AG$30,$G$10,$AG32,$G$11,AL$30)</f>
        <v>2078.18725633484</v>
      </c>
      <c r="AM32" s="43" t="n">
        <f aca="true">TABLE($AG$30,$G$10,$AG32,$G$11,AM$30)</f>
        <v>5846.75869511616</v>
      </c>
      <c r="AN32" s="43" t="n">
        <f aca="true">TABLE($AG$30,$G$10,$AG32,$G$11,AN$30)</f>
        <v>9615.33013389746</v>
      </c>
      <c r="AO32" s="43" t="n">
        <f aca="true">TABLE($AG$30,$G$10,$AG32,$G$11,AO$30)</f>
        <v>13383.9015726788</v>
      </c>
      <c r="BD32" s="8"/>
    </row>
    <row r="33" customFormat="false" ht="14.5" hidden="false" customHeight="false" outlineLevel="0" collapsed="false">
      <c r="A33" s="8"/>
      <c r="B33" s="8"/>
      <c r="C33" s="8"/>
      <c r="D33" s="8"/>
      <c r="E33" s="8"/>
      <c r="F33" s="46" t="s">
        <v>13</v>
      </c>
      <c r="G33" s="47" t="n">
        <v>-0.1</v>
      </c>
      <c r="H33" s="47" t="n">
        <v>-0.05</v>
      </c>
      <c r="I33" s="47" t="n">
        <v>0</v>
      </c>
      <c r="J33" s="47" t="n">
        <v>0.05</v>
      </c>
      <c r="K33" s="47" t="n">
        <v>0.1</v>
      </c>
      <c r="L33" s="8"/>
      <c r="M33" s="8"/>
      <c r="N33" s="8"/>
      <c r="O33" s="8"/>
      <c r="Q33" s="37" t="n">
        <f aca="false">Q32+5%</f>
        <v>-0.35</v>
      </c>
      <c r="R33" s="32" t="n">
        <f aca="false">$R$29*(1+$Q33)</f>
        <v>9750</v>
      </c>
      <c r="S33" s="33" t="n">
        <f aca="true">TABLE(S$29,$G$10,$R33)</f>
        <v>-3419.1515896527</v>
      </c>
      <c r="T33" s="4" t="n">
        <f aca="true">TABLE(T$29,$G$10,$R33)</f>
        <v>0.0439385224839312</v>
      </c>
      <c r="U33" s="4" t="n">
        <v>0.0722497521641829</v>
      </c>
      <c r="V33" s="34" t="n">
        <v>3.7609561752988</v>
      </c>
      <c r="W33" s="34" t="e">
        <f aca="false">#REF!</f>
        <v>#REF!</v>
      </c>
      <c r="Y33" s="32" t="n">
        <f aca="false">$Y$29*(1+$Q33)</f>
        <v>0.39</v>
      </c>
      <c r="Z33" s="33" t="n">
        <f aca="true">TABLE(Z$29,$G$12,$Y33)</f>
        <v>14582.9924850183</v>
      </c>
      <c r="AA33" s="4" t="n">
        <f aca="true">TABLE(AA$29,$G$12,$Y33)</f>
        <v>0.568317928431664</v>
      </c>
      <c r="AB33" s="4" t="n">
        <v>0.374651958679228</v>
      </c>
      <c r="AC33" s="34" t="n">
        <v>1.56371490280778</v>
      </c>
      <c r="AD33" s="34" t="n">
        <v>1.90907127429806</v>
      </c>
      <c r="AF33" s="41"/>
      <c r="AG33" s="42" t="n">
        <f aca="false">AG32+1000</f>
        <v>12000</v>
      </c>
      <c r="AH33" s="43" t="n">
        <f aca="true">TABLE($AG$30,$G$10,$AG33,$G$11,AH$30)</f>
        <v>-18054.6310226164</v>
      </c>
      <c r="AI33" s="43" t="n">
        <f aca="true">TABLE($AG$30,$G$10,$AG33,$G$11,AI$30)</f>
        <v>-11202.6829521049</v>
      </c>
      <c r="AJ33" s="43" t="n">
        <f aca="true">TABLE($AG$30,$G$10,$AG33,$G$11,AJ$30)</f>
        <v>-4495.31412480659</v>
      </c>
      <c r="AK33" s="44" t="n">
        <f aca="true">TABLE($AG$30,$G$10,$AG33,$G$11,AK$30)</f>
        <v>-319.994568344164</v>
      </c>
      <c r="AL33" s="43" t="n">
        <f aca="true">TABLE($AG$30,$G$10,$AG33,$G$11,AL$30)</f>
        <v>3791.17427396271</v>
      </c>
      <c r="AM33" s="43" t="n">
        <f aca="true">TABLE($AG$30,$G$10,$AG33,$G$11,AM$30)</f>
        <v>7902.3431162696</v>
      </c>
      <c r="AN33" s="43" t="n">
        <f aca="true">TABLE($AG$30,$G$10,$AG33,$G$11,AN$30)</f>
        <v>12013.5119585765</v>
      </c>
      <c r="AO33" s="43" t="n">
        <f aca="true">TABLE($AG$30,$G$10,$AG33,$G$11,AO$30)</f>
        <v>16124.6808008834</v>
      </c>
      <c r="BD33" s="8"/>
    </row>
    <row r="34" customFormat="false" ht="14.5" hidden="false" customHeight="false" outlineLevel="0" collapsed="false">
      <c r="A34" s="8"/>
      <c r="B34" s="8"/>
      <c r="C34" s="8"/>
      <c r="D34" s="8"/>
      <c r="E34" s="8"/>
      <c r="F34" s="20" t="s">
        <v>45</v>
      </c>
      <c r="G34" s="48" t="n">
        <v>1735.58985280928</v>
      </c>
      <c r="H34" s="48" t="n">
        <v>2763.382063386</v>
      </c>
      <c r="I34" s="48" t="n">
        <v>3791.17427396272</v>
      </c>
      <c r="J34" s="48" t="n">
        <v>4818.96648453944</v>
      </c>
      <c r="K34" s="48" t="n">
        <v>5846.75869511616</v>
      </c>
      <c r="L34" s="8"/>
      <c r="M34" s="8"/>
      <c r="N34" s="8"/>
      <c r="O34" s="8"/>
      <c r="Q34" s="37" t="n">
        <f aca="false">Q33+5%</f>
        <v>-0.3</v>
      </c>
      <c r="R34" s="32" t="n">
        <f aca="false">$R$29*(1+$Q34)</f>
        <v>10500</v>
      </c>
      <c r="S34" s="33" t="n">
        <f aca="true">TABLE(S$29,$G$10,$R34)</f>
        <v>-2375.5789894976</v>
      </c>
      <c r="T34" s="4" t="n">
        <f aca="true">TABLE(T$29,$G$10,$R34)</f>
        <v>0.0765794317986015</v>
      </c>
      <c r="U34" s="4" t="n">
        <v>0.0977631902951261</v>
      </c>
      <c r="V34" s="34" t="n">
        <v>3.59961868446139</v>
      </c>
      <c r="W34" s="34" t="e">
        <f aca="false">#REF!</f>
        <v>#REF!</v>
      </c>
      <c r="Y34" s="32" t="n">
        <f aca="false">$Y$29*(1+$Q34)</f>
        <v>0.42</v>
      </c>
      <c r="Z34" s="33" t="n">
        <f aca="true">TABLE(Z$29,$G$12,$Y34)</f>
        <v>13041.3041691532</v>
      </c>
      <c r="AA34" s="4" t="n">
        <f aca="true">TABLE(AA$29,$G$12,$Y34)</f>
        <v>0.525873790925385</v>
      </c>
      <c r="AB34" s="4" t="n">
        <v>0.35572854340891</v>
      </c>
      <c r="AC34" s="34" t="n">
        <v>1.6605504587156</v>
      </c>
      <c r="AD34" s="34" t="n">
        <v>2.04469420077973</v>
      </c>
      <c r="AF34" s="41"/>
      <c r="AG34" s="42" t="n">
        <f aca="false">AG33+1000</f>
        <v>13000</v>
      </c>
      <c r="AH34" s="43" t="n">
        <f aca="true">TABLE($AG$30,$G$10,$AG34,$G$11,AH$30)</f>
        <v>-17483.6353500738</v>
      </c>
      <c r="AI34" s="43" t="n">
        <f aca="true">TABLE($AG$30,$G$10,$AG34,$G$11,AI$30)</f>
        <v>-10060.6916070197</v>
      </c>
      <c r="AJ34" s="43" t="n">
        <f aca="true">TABLE($AG$30,$G$10,$AG34,$G$11,AJ$30)</f>
        <v>-3419.15158965269</v>
      </c>
      <c r="AK34" s="44" t="n">
        <f aca="true">TABLE($AG$30,$G$10,$AG34,$G$11,AK$30)</f>
        <v>1050.39504575813</v>
      </c>
      <c r="AL34" s="43" t="n">
        <f aca="true">TABLE($AG$30,$G$10,$AG34,$G$11,AL$30)</f>
        <v>5504.16129159058</v>
      </c>
      <c r="AM34" s="43" t="n">
        <f aca="true">TABLE($AG$30,$G$10,$AG34,$G$11,AM$30)</f>
        <v>9957.92753742303</v>
      </c>
      <c r="AN34" s="43" t="n">
        <f aca="true">TABLE($AG$30,$G$10,$AG34,$G$11,AN$30)</f>
        <v>14411.6937832555</v>
      </c>
      <c r="AO34" s="43" t="n">
        <f aca="true">TABLE($AG$30,$G$10,$AG34,$G$11,AO$30)</f>
        <v>18865.460029088</v>
      </c>
      <c r="BD34" s="8"/>
    </row>
    <row r="35" customFormat="false" ht="15" hidden="false" customHeight="false" outlineLevel="0" collapsed="false">
      <c r="A35" s="8"/>
      <c r="B35" s="8"/>
      <c r="C35" s="8"/>
      <c r="D35" s="8"/>
      <c r="E35" s="8"/>
      <c r="F35" s="20" t="s">
        <v>46</v>
      </c>
      <c r="G35" s="49" t="n">
        <v>0.202377859989382</v>
      </c>
      <c r="H35" s="49" t="n">
        <v>0.232960921888872</v>
      </c>
      <c r="I35" s="49" t="n">
        <v>0.263252513417561</v>
      </c>
      <c r="J35" s="49" t="n">
        <v>0.293275319047929</v>
      </c>
      <c r="K35" s="49" t="n">
        <v>0.323049783913924</v>
      </c>
      <c r="L35" s="8"/>
      <c r="M35" s="8" t="s">
        <v>53</v>
      </c>
      <c r="N35" s="8"/>
      <c r="O35" s="8"/>
      <c r="Q35" s="37" t="n">
        <f aca="false">Q34+5%</f>
        <v>-0.25</v>
      </c>
      <c r="R35" s="32" t="n">
        <f aca="false">$R$29*(1+$Q35)</f>
        <v>11250</v>
      </c>
      <c r="S35" s="33" t="n">
        <f aca="true">TABLE(S$29,$G$10,$R35)</f>
        <v>-1347.78677892088</v>
      </c>
      <c r="T35" s="4" t="n">
        <f aca="true">TABLE(T$29,$G$10,$R35)</f>
        <v>0.108612357195377</v>
      </c>
      <c r="U35" s="4" t="n">
        <v>0.121262911374636</v>
      </c>
      <c r="V35" s="34" t="n">
        <v>3.45155393053016</v>
      </c>
      <c r="W35" s="34" t="e">
        <f aca="false">#REF!</f>
        <v>#REF!</v>
      </c>
      <c r="Y35" s="32" t="n">
        <f aca="false">$Y$29*(1+$Q35)</f>
        <v>0.45</v>
      </c>
      <c r="Z35" s="33" t="n">
        <f aca="true">TABLE(Z$29,$G$12,$Y35)</f>
        <v>11499.6158532881</v>
      </c>
      <c r="AA35" s="4" t="n">
        <f aca="true">TABLE(AA$29,$G$12,$Y35)</f>
        <v>0.483115276893713</v>
      </c>
      <c r="AB35" s="4" t="n">
        <v>0.33597779816959</v>
      </c>
      <c r="AC35" s="34" t="n">
        <v>1.77017114914425</v>
      </c>
      <c r="AD35" s="34" t="n">
        <v>2.22196139801774</v>
      </c>
      <c r="AF35" s="41"/>
      <c r="AG35" s="42" t="n">
        <f aca="false">AG34+1000</f>
        <v>14000</v>
      </c>
      <c r="AH35" s="43" t="n">
        <f aca="true">TABLE($AG$30,$G$10,$AG35,$G$11,AH$30)</f>
        <v>-16912.6396775312</v>
      </c>
      <c r="AI35" s="43" t="n">
        <f aca="true">TABLE($AG$30,$G$10,$AG35,$G$11,AI$30)</f>
        <v>-8918.70026193446</v>
      </c>
      <c r="AJ35" s="43" t="n">
        <f aca="true">TABLE($AG$30,$G$10,$AG35,$G$11,AJ$30)</f>
        <v>-2375.5789894976</v>
      </c>
      <c r="AK35" s="44" t="n">
        <f aca="true">TABLE($AG$30,$G$10,$AG35,$G$11,AK$30)</f>
        <v>2420.78465986042</v>
      </c>
      <c r="AL35" s="43" t="n">
        <f aca="true">TABLE($AG$30,$G$10,$AG35,$G$11,AL$30)</f>
        <v>7217.14830921845</v>
      </c>
      <c r="AM35" s="43" t="n">
        <f aca="true">TABLE($AG$30,$G$10,$AG35,$G$11,AM$30)</f>
        <v>12013.5119585765</v>
      </c>
      <c r="AN35" s="43" t="n">
        <f aca="true">TABLE($AG$30,$G$10,$AG35,$G$11,AN$30)</f>
        <v>16809.8756079345</v>
      </c>
      <c r="AO35" s="43" t="n">
        <f aca="true">TABLE($AG$30,$G$10,$AG35,$G$11,AO$30)</f>
        <v>21606.2392572925</v>
      </c>
      <c r="BD35" s="8"/>
    </row>
    <row r="36" customFormat="false" ht="15" hidden="false" customHeight="false" outlineLevel="0" collapsed="false">
      <c r="A36" s="8"/>
      <c r="B36" s="8"/>
      <c r="C36" s="8"/>
      <c r="D36" s="8"/>
      <c r="E36" s="8"/>
      <c r="F36" s="20" t="s">
        <v>4</v>
      </c>
      <c r="G36" s="49" t="n">
        <v>0.184095111735545</v>
      </c>
      <c r="H36" s="49" t="n">
        <v>0.20297400356206</v>
      </c>
      <c r="I36" s="49" t="n">
        <v>0.221003713799454</v>
      </c>
      <c r="J36" s="49" t="n">
        <v>0.238268353101172</v>
      </c>
      <c r="K36" s="49" t="n">
        <v>0.254839638010491</v>
      </c>
      <c r="L36" s="8"/>
      <c r="M36" s="8" t="s">
        <v>54</v>
      </c>
      <c r="N36" s="8"/>
      <c r="O36" s="8"/>
      <c r="Q36" s="37" t="n">
        <f aca="false">Q35+5%</f>
        <v>-0.2</v>
      </c>
      <c r="R36" s="32" t="n">
        <f aca="false">$R$29*(1+$Q36)</f>
        <v>12000</v>
      </c>
      <c r="S36" s="33" t="n">
        <f aca="true">TABLE(S$29,$G$10,$R36)</f>
        <v>-319.994568344171</v>
      </c>
      <c r="T36" s="4" t="n">
        <f aca="true">TABLE(T$29,$G$10,$R36)</f>
        <v>0.14023343228821</v>
      </c>
      <c r="U36" s="4" t="n">
        <v>0.143371595363897</v>
      </c>
      <c r="V36" s="34" t="n">
        <v>3.31518876207199</v>
      </c>
      <c r="W36" s="34" t="e">
        <f aca="false">#REF!</f>
        <v>#REF!</v>
      </c>
      <c r="Y36" s="32" t="n">
        <f aca="false">$Y$29*(1+$Q36)</f>
        <v>0.48</v>
      </c>
      <c r="Z36" s="33" t="n">
        <f aca="true">TABLE(Z$29,$G$12,$Y36)</f>
        <v>9957.92753742304</v>
      </c>
      <c r="AA36" s="4" t="n">
        <f aca="true">TABLE(AA$29,$G$12,$Y36)</f>
        <v>0.440008894192892</v>
      </c>
      <c r="AB36" s="4" t="n">
        <v>0.315310064271021</v>
      </c>
      <c r="AC36" s="34" t="n">
        <v>1.89528795811518</v>
      </c>
      <c r="AD36" s="34" t="n">
        <v>2.42608726150393</v>
      </c>
      <c r="AF36" s="41"/>
      <c r="AG36" s="50" t="n">
        <f aca="false">AG35+1000</f>
        <v>15000</v>
      </c>
      <c r="AH36" s="51" t="n">
        <f aca="true">TABLE($AG$30,$G$10,$AG36,$G$11,AH$30)</f>
        <v>-16341.6440049885</v>
      </c>
      <c r="AI36" s="51" t="n">
        <f aca="true">TABLE($AG$30,$G$10,$AG36,$G$11,AI$30)</f>
        <v>-7776.70891684921</v>
      </c>
      <c r="AJ36" s="51" t="n">
        <f aca="true">TABLE($AG$30,$G$10,$AG36,$G$11,AJ$30)</f>
        <v>-1347.78677892088</v>
      </c>
      <c r="AK36" s="52" t="n">
        <f aca="true">TABLE($AG$30,$G$10,$AG36,$G$11,AK$30)</f>
        <v>3791.17427396271</v>
      </c>
      <c r="AL36" s="51" t="n">
        <f aca="true">TABLE($AG$30,$G$10,$AG36,$G$11,AL$30)</f>
        <v>8930.13532684631</v>
      </c>
      <c r="AM36" s="51" t="n">
        <f aca="true">TABLE($AG$30,$G$10,$AG36,$G$11,AM$30)</f>
        <v>14069.0963797299</v>
      </c>
      <c r="AN36" s="51" t="n">
        <f aca="true">TABLE($AG$30,$G$10,$AG36,$G$11,AN$30)</f>
        <v>19208.0574326135</v>
      </c>
      <c r="AO36" s="53" t="n">
        <f aca="true">TABLE($AG$30,$G$10,$AG36,$G$11,AO$30)</f>
        <v>24347.0184854971</v>
      </c>
      <c r="BD36" s="8"/>
    </row>
    <row r="37" customFormat="false" ht="14.5" hidden="false" customHeight="false" outlineLevel="0" collapsed="false">
      <c r="A37" s="8"/>
      <c r="B37" s="8"/>
      <c r="C37" s="8"/>
      <c r="D37" s="8"/>
      <c r="E37" s="8"/>
      <c r="F37" s="20" t="s">
        <v>47</v>
      </c>
      <c r="G37" s="54" t="n">
        <v>3.07241659886086</v>
      </c>
      <c r="H37" s="54" t="n">
        <v>2.92013888888889</v>
      </c>
      <c r="I37" s="54" t="n">
        <v>2.7085346215781</v>
      </c>
      <c r="J37" s="54" t="n">
        <v>2.52552552552553</v>
      </c>
      <c r="K37" s="54" t="n">
        <v>2.36568213783404</v>
      </c>
      <c r="L37" s="8"/>
      <c r="M37" s="8" t="s">
        <v>55</v>
      </c>
      <c r="N37" s="8"/>
      <c r="O37" s="8"/>
      <c r="Q37" s="37" t="n">
        <f aca="false">Q36+5%</f>
        <v>-0.15</v>
      </c>
      <c r="R37" s="32" t="n">
        <f aca="false">$R$29*(1+$Q37)</f>
        <v>12750</v>
      </c>
      <c r="S37" s="33" t="n">
        <f aca="true">TABLE(S$29,$G$10,$R37)</f>
        <v>707.797642232548</v>
      </c>
      <c r="T37" s="4" t="n">
        <f aca="true">TABLE(T$29,$G$10,$R37)</f>
        <v>0.171478086814483</v>
      </c>
      <c r="U37" s="4" t="n">
        <v>0.164267415377997</v>
      </c>
      <c r="V37" s="34" t="n">
        <v>3.18918918918919</v>
      </c>
      <c r="W37" s="34" t="n">
        <v>3.86930505701013</v>
      </c>
      <c r="Y37" s="32" t="n">
        <f aca="false">$Y$29*(1+$Q37)</f>
        <v>0.51</v>
      </c>
      <c r="Z37" s="33" t="n">
        <f aca="true">TABLE(Z$29,$G$12,$Y37)</f>
        <v>8416.23922155796</v>
      </c>
      <c r="AA37" s="4" t="n">
        <f aca="true">TABLE(AA$29,$G$12,$Y37)</f>
        <v>0.3965164845915</v>
      </c>
      <c r="AB37" s="4" t="n">
        <v>0.29361939903932</v>
      </c>
      <c r="AC37" s="34" t="n">
        <v>2.04250151791135</v>
      </c>
      <c r="AD37" s="34" t="n">
        <v>2.66367638129933</v>
      </c>
      <c r="AF37" s="41"/>
      <c r="AG37" s="42" t="n">
        <f aca="false">AG36+1000</f>
        <v>16000</v>
      </c>
      <c r="AH37" s="43" t="n">
        <f aca="true">TABLE($AG$30,$G$10,$AG37,$G$11,AH$30)</f>
        <v>-15770.6483324459</v>
      </c>
      <c r="AI37" s="43" t="n">
        <f aca="true">TABLE($AG$30,$G$10,$AG37,$G$11,AI$30)</f>
        <v>-6634.71757176397</v>
      </c>
      <c r="AJ37" s="43" t="n">
        <f aca="true">TABLE($AG$30,$G$10,$AG37,$G$11,AJ$30)</f>
        <v>-319.994568344164</v>
      </c>
      <c r="AK37" s="44" t="n">
        <f aca="true">TABLE($AG$30,$G$10,$AG37,$G$11,AK$30)</f>
        <v>5161.56388806501</v>
      </c>
      <c r="AL37" s="43" t="n">
        <f aca="true">TABLE($AG$30,$G$10,$AG37,$G$11,AL$30)</f>
        <v>10643.1223444742</v>
      </c>
      <c r="AM37" s="43" t="n">
        <f aca="true">TABLE($AG$30,$G$10,$AG37,$G$11,AM$30)</f>
        <v>16124.6808008834</v>
      </c>
      <c r="AN37" s="43" t="n">
        <f aca="true">TABLE($AG$30,$G$10,$AG37,$G$11,AN$30)</f>
        <v>21606.2392572925</v>
      </c>
      <c r="AO37" s="43" t="n">
        <f aca="true">TABLE($AG$30,$G$10,$AG37,$G$11,AO$30)</f>
        <v>27087.7977137017</v>
      </c>
      <c r="BD37" s="8"/>
    </row>
    <row r="38" customFormat="false" ht="14.5" hidden="false" customHeight="false" outlineLevel="0" collapsed="false">
      <c r="A38" s="8"/>
      <c r="B38" s="8"/>
      <c r="C38" s="8"/>
      <c r="D38" s="8"/>
      <c r="E38" s="8"/>
      <c r="F38" s="20" t="s">
        <v>48</v>
      </c>
      <c r="G38" s="54" t="n">
        <v>3.6912573738812</v>
      </c>
      <c r="H38" s="54" t="n">
        <v>3.52578762755102</v>
      </c>
      <c r="I38" s="54" t="n">
        <v>3.37160846285064</v>
      </c>
      <c r="J38" s="54" t="n">
        <v>3.22760241019062</v>
      </c>
      <c r="K38" s="54" t="n">
        <v>3.0927947569198</v>
      </c>
      <c r="L38" s="8"/>
      <c r="M38" s="8" t="s">
        <v>56</v>
      </c>
      <c r="N38" s="8"/>
      <c r="O38" s="8"/>
      <c r="Q38" s="37" t="n">
        <f aca="false">Q37+5%</f>
        <v>-0.1</v>
      </c>
      <c r="R38" s="32" t="n">
        <f aca="false">$R$29*(1+$Q38)</f>
        <v>13500</v>
      </c>
      <c r="S38" s="33" t="n">
        <f aca="true">TABLE(S$29,$G$10,$R38)</f>
        <v>1735.58985280927</v>
      </c>
      <c r="T38" s="4" t="n">
        <f aca="true">TABLE(T$29,$G$10,$R38)</f>
        <v>0.202377859989444</v>
      </c>
      <c r="U38" s="4" t="n">
        <v>0.184095111735545</v>
      </c>
      <c r="V38" s="34" t="n">
        <v>3.07241659886086</v>
      </c>
      <c r="W38" s="34" t="n">
        <v>3.6912573738812</v>
      </c>
      <c r="Y38" s="32" t="n">
        <f aca="false">$Y$29*(1+$Q38)</f>
        <v>0.54</v>
      </c>
      <c r="Z38" s="33" t="n">
        <f aca="true">TABLE(Z$29,$G$12,$Y38)</f>
        <v>6874.55090569288</v>
      </c>
      <c r="AA38" s="4" t="n">
        <f aca="true">TABLE(AA$29,$G$12,$Y38)</f>
        <v>0.352594384609745</v>
      </c>
      <c r="AB38" s="4" t="n">
        <v>0.270779255388108</v>
      </c>
      <c r="AC38" s="34" t="n">
        <v>2.22486772486772</v>
      </c>
      <c r="AD38" s="34" t="n">
        <v>2.94369212962963</v>
      </c>
      <c r="AF38" s="41"/>
      <c r="AG38" s="42" t="n">
        <f aca="false">AG37+1000</f>
        <v>17000</v>
      </c>
      <c r="AH38" s="43" t="n">
        <f aca="true">TABLE($AG$30,$G$10,$AG38,$G$11,AH$30)</f>
        <v>-15199.6526599033</v>
      </c>
      <c r="AI38" s="43" t="n">
        <f aca="true">TABLE($AG$30,$G$10,$AG38,$G$11,AI$30)</f>
        <v>-5492.72622667872</v>
      </c>
      <c r="AJ38" s="43" t="n">
        <f aca="true">TABLE($AG$30,$G$10,$AG38,$G$11,AJ$30)</f>
        <v>707.797642232556</v>
      </c>
      <c r="AK38" s="44" t="n">
        <f aca="true">TABLE($AG$30,$G$10,$AG38,$G$11,AK$30)</f>
        <v>6531.9535021673</v>
      </c>
      <c r="AL38" s="43" t="n">
        <f aca="true">TABLE($AG$30,$G$10,$AG38,$G$11,AL$30)</f>
        <v>12356.109362102</v>
      </c>
      <c r="AM38" s="43" t="n">
        <f aca="true">TABLE($AG$30,$G$10,$AG38,$G$11,AM$30)</f>
        <v>18180.2652220368</v>
      </c>
      <c r="AN38" s="43" t="n">
        <f aca="true">TABLE($AG$30,$G$10,$AG38,$G$11,AN$30)</f>
        <v>24004.4210819715</v>
      </c>
      <c r="AO38" s="43" t="n">
        <f aca="true">TABLE($AG$30,$G$10,$AG38,$G$11,AO$30)</f>
        <v>29828.5769419063</v>
      </c>
      <c r="BD38" s="8"/>
    </row>
    <row r="39" customFormat="false" ht="14.5" hidden="false" customHeight="false" outlineLevel="0" collapsed="false">
      <c r="A39" s="8"/>
      <c r="B39" s="8"/>
      <c r="C39" s="8"/>
      <c r="D39" s="8"/>
      <c r="E39" s="8"/>
      <c r="F39" s="8"/>
      <c r="G39" s="55"/>
      <c r="H39" s="55"/>
      <c r="I39" s="55"/>
      <c r="J39" s="55"/>
      <c r="K39" s="55"/>
      <c r="L39" s="8"/>
      <c r="M39" s="8"/>
      <c r="N39" s="8"/>
      <c r="O39" s="8"/>
      <c r="Q39" s="37" t="n">
        <f aca="false">Q38+5%</f>
        <v>-0.0500000000000001</v>
      </c>
      <c r="R39" s="32" t="n">
        <f aca="false">$R$29*(1+$Q39)</f>
        <v>14250</v>
      </c>
      <c r="S39" s="33" t="n">
        <f aca="true">TABLE(S$29,$G$10,$R39)</f>
        <v>2763.38206338599</v>
      </c>
      <c r="T39" s="4" t="n">
        <f aca="true">TABLE(T$29,$G$10,$R39)</f>
        <v>0.232960921890081</v>
      </c>
      <c r="U39" s="4" t="n">
        <v>0.20297400356206</v>
      </c>
      <c r="V39" s="34" t="n">
        <v>2.92013888888889</v>
      </c>
      <c r="W39" s="34" t="n">
        <v>3.52578762755102</v>
      </c>
      <c r="Y39" s="32" t="n">
        <f aca="false">$Y$29*(1+$Q39)</f>
        <v>0.57</v>
      </c>
      <c r="Z39" s="33" t="n">
        <f aca="true">TABLE(Z$29,$G$12,$Y39)</f>
        <v>5332.86258982779</v>
      </c>
      <c r="AA39" s="4" t="n">
        <f aca="true">TABLE(AA$29,$G$12,$Y39)</f>
        <v>0.308192396044598</v>
      </c>
      <c r="AB39" s="4" t="n">
        <v>0.246636597937904</v>
      </c>
      <c r="AC39" s="34" t="n">
        <v>2.44299201161946</v>
      </c>
      <c r="AD39" s="34" t="n">
        <v>3.15910476018752</v>
      </c>
      <c r="AF39" s="41"/>
      <c r="AG39" s="42" t="n">
        <f aca="false">AG38+1000</f>
        <v>18000</v>
      </c>
      <c r="AH39" s="43" t="n">
        <f aca="true">TABLE($AG$30,$G$10,$AG39,$G$11,AH$30)</f>
        <v>-14628.6569873607</v>
      </c>
      <c r="AI39" s="43" t="n">
        <f aca="true">TABLE($AG$30,$G$10,$AG39,$G$11,AI$30)</f>
        <v>-4495.31412480659</v>
      </c>
      <c r="AJ39" s="43" t="n">
        <f aca="true">TABLE($AG$30,$G$10,$AG39,$G$11,AJ$30)</f>
        <v>1735.58985280928</v>
      </c>
      <c r="AK39" s="44" t="n">
        <f aca="true">TABLE($AG$30,$G$10,$AG39,$G$11,AK$30)</f>
        <v>7902.3431162696</v>
      </c>
      <c r="AL39" s="43" t="n">
        <f aca="true">TABLE($AG$30,$G$10,$AG39,$G$11,AL$30)</f>
        <v>14069.0963797299</v>
      </c>
      <c r="AM39" s="43" t="n">
        <f aca="true">TABLE($AG$30,$G$10,$AG39,$G$11,AM$30)</f>
        <v>20235.8496431902</v>
      </c>
      <c r="AN39" s="43" t="n">
        <f aca="true">TABLE($AG$30,$G$10,$AG39,$G$11,AN$30)</f>
        <v>26402.6029066506</v>
      </c>
      <c r="AO39" s="43" t="n">
        <f aca="true">TABLE($AG$30,$G$10,$AG39,$G$11,AO$30)</f>
        <v>32569.3561701109</v>
      </c>
      <c r="BD39" s="8"/>
    </row>
    <row r="40" customFormat="false" ht="14.5" hidden="false" customHeight="false" outlineLevel="0" collapsed="false">
      <c r="A40" s="8"/>
      <c r="B40" s="8"/>
      <c r="C40" s="8"/>
      <c r="D40" s="8"/>
      <c r="E40" s="8"/>
      <c r="F40" s="45" t="s">
        <v>57</v>
      </c>
      <c r="G40" s="45"/>
      <c r="H40" s="45"/>
      <c r="I40" s="45"/>
      <c r="J40" s="45"/>
      <c r="K40" s="45"/>
      <c r="L40" s="8"/>
      <c r="M40" s="8" t="s">
        <v>58</v>
      </c>
      <c r="N40" s="8"/>
      <c r="O40" s="8"/>
      <c r="Q40" s="37" t="n">
        <f aca="false">Q39+5%</f>
        <v>0</v>
      </c>
      <c r="R40" s="32" t="n">
        <f aca="false">$R$29*(1+$Q40)</f>
        <v>15000</v>
      </c>
      <c r="S40" s="33" t="n">
        <f aca="true">TABLE(S$29,$G$10,$R40)</f>
        <v>3791.17427396271</v>
      </c>
      <c r="T40" s="4" t="n">
        <f aca="true">TABLE(T$29,$G$10,$R40)</f>
        <v>0.263252513417561</v>
      </c>
      <c r="U40" s="4" t="n">
        <v>0.221003713799454</v>
      </c>
      <c r="V40" s="34" t="n">
        <v>2.7085346215781</v>
      </c>
      <c r="W40" s="34" t="n">
        <v>3.37160846285064</v>
      </c>
      <c r="Y40" s="32" t="n">
        <f aca="false">$Y$29*(1+$Q40)</f>
        <v>0.6</v>
      </c>
      <c r="Z40" s="33" t="n">
        <f aca="true">TABLE(Z$29,$G$12,$Y40)</f>
        <v>3791.17427396271</v>
      </c>
      <c r="AA40" s="4" t="n">
        <f aca="true">TABLE(AA$29,$G$12,$Y40)</f>
        <v>0.263252513417561</v>
      </c>
      <c r="AB40" s="4" t="n">
        <v>0.221003713799454</v>
      </c>
      <c r="AC40" s="34" t="n">
        <v>2.7085346215781</v>
      </c>
      <c r="AD40" s="34" t="n">
        <v>3.37160846285064</v>
      </c>
      <c r="AF40" s="41"/>
      <c r="AG40" s="42" t="n">
        <f aca="false">AG39+1000</f>
        <v>19000</v>
      </c>
      <c r="AH40" s="43" t="n">
        <f aca="true">TABLE($AG$30,$G$10,$AG40,$G$11,AH$30)</f>
        <v>-14057.6613148181</v>
      </c>
      <c r="AI40" s="43" t="n">
        <f aca="true">TABLE($AG$30,$G$10,$AG40,$G$11,AI$30)</f>
        <v>-3769.63918796745</v>
      </c>
      <c r="AJ40" s="43" t="n">
        <f aca="true">TABLE($AG$30,$G$10,$AG40,$G$11,AJ$30)</f>
        <v>2763.38206338599</v>
      </c>
      <c r="AK40" s="44" t="n">
        <f aca="true">TABLE($AG$30,$G$10,$AG40,$G$11,AK$30)</f>
        <v>9272.73273037189</v>
      </c>
      <c r="AL40" s="43" t="n">
        <f aca="true">TABLE($AG$30,$G$10,$AG40,$G$11,AL$30)</f>
        <v>15782.0833973578</v>
      </c>
      <c r="AM40" s="43" t="n">
        <f aca="true">TABLE($AG$30,$G$10,$AG40,$G$11,AM$30)</f>
        <v>22291.4340643437</v>
      </c>
      <c r="AN40" s="43" t="n">
        <f aca="true">TABLE($AG$30,$G$10,$AG40,$G$11,AN$30)</f>
        <v>28800.7847313296</v>
      </c>
      <c r="AO40" s="43" t="n">
        <f aca="true">TABLE($AG$30,$G$10,$AG40,$G$11,AO$30)</f>
        <v>35310.1353983155</v>
      </c>
      <c r="BD40" s="8"/>
    </row>
    <row r="41" customFormat="false" ht="15" hidden="false" customHeight="false" outlineLevel="0" collapsed="false">
      <c r="A41" s="8"/>
      <c r="B41" s="8"/>
      <c r="C41" s="8"/>
      <c r="D41" s="8"/>
      <c r="E41" s="8"/>
      <c r="F41" s="46" t="s">
        <v>13</v>
      </c>
      <c r="G41" s="47" t="n">
        <f aca="false">G33</f>
        <v>-0.1</v>
      </c>
      <c r="H41" s="47" t="n">
        <f aca="false">H33</f>
        <v>-0.05</v>
      </c>
      <c r="I41" s="47" t="n">
        <f aca="false">I33</f>
        <v>0</v>
      </c>
      <c r="J41" s="47" t="n">
        <f aca="false">J33</f>
        <v>0.05</v>
      </c>
      <c r="K41" s="47" t="n">
        <v>0.1</v>
      </c>
      <c r="L41" s="8"/>
      <c r="M41" s="8" t="s">
        <v>59</v>
      </c>
      <c r="N41" s="8"/>
      <c r="O41" s="8"/>
      <c r="Q41" s="37" t="n">
        <f aca="false">Q40+5%</f>
        <v>0.05</v>
      </c>
      <c r="R41" s="32" t="n">
        <f aca="false">$R$29*(1+$Q41)</f>
        <v>15750</v>
      </c>
      <c r="S41" s="33" t="n">
        <f aca="true">TABLE(S$29,$G$10,$R41)</f>
        <v>4818.96648453943</v>
      </c>
      <c r="T41" s="4" t="n">
        <f aca="true">TABLE(T$29,$G$10,$R41)</f>
        <v>0.293275319047929</v>
      </c>
      <c r="U41" s="4" t="n">
        <v>0.238268353101172</v>
      </c>
      <c r="V41" s="34" t="n">
        <v>2.52552552552553</v>
      </c>
      <c r="W41" s="34" t="n">
        <v>3.22760241019062</v>
      </c>
      <c r="Y41" s="32" t="n">
        <f aca="false">$Y$29*(1+$Q41)</f>
        <v>0.63</v>
      </c>
      <c r="Z41" s="33" t="n">
        <f aca="true">TABLE(Z$29,$G$12,$Y41)</f>
        <v>2249.48595809763</v>
      </c>
      <c r="AA41" s="4" t="n">
        <f aca="true">TABLE(AA$29,$G$12,$Y41)</f>
        <v>0.217707338305797</v>
      </c>
      <c r="AB41" s="4" t="n">
        <v>0.193646525329073</v>
      </c>
      <c r="AC41" s="34" t="n">
        <v>3.01717938473831</v>
      </c>
      <c r="AD41" s="34" t="n">
        <v>3.60703505793048</v>
      </c>
      <c r="AF41" s="41"/>
      <c r="AG41" s="42" t="n">
        <f aca="false">AG40+1000</f>
        <v>20000</v>
      </c>
      <c r="AH41" s="43" t="n">
        <f aca="true">TABLE($AG$30,$G$10,$AG41,$G$11,AH$30)</f>
        <v>-13486.6656422754</v>
      </c>
      <c r="AI41" s="43" t="n">
        <f aca="true">TABLE($AG$30,$G$10,$AG41,$G$11,AI$30)</f>
        <v>-3068.66399133794</v>
      </c>
      <c r="AJ41" s="43" t="n">
        <f aca="true">TABLE($AG$30,$G$10,$AG41,$G$11,AJ$30)</f>
        <v>3791.17427396271</v>
      </c>
      <c r="AK41" s="56" t="n">
        <f aca="true">TABLE($AG$30,$G$10,$AG41,$G$11,AK$30)</f>
        <v>10643.1223444742</v>
      </c>
      <c r="AL41" s="43" t="n">
        <f aca="true">TABLE($AG$30,$G$10,$AG41,$G$11,AL$30)</f>
        <v>17495.0704149857</v>
      </c>
      <c r="AM41" s="43" t="n">
        <f aca="true">TABLE($AG$30,$G$10,$AG41,$G$11,AM$30)</f>
        <v>24347.0184854971</v>
      </c>
      <c r="AN41" s="43" t="n">
        <f aca="true">TABLE($AG$30,$G$10,$AG41,$G$11,AN$30)</f>
        <v>31198.9665560086</v>
      </c>
      <c r="AO41" s="43" t="n">
        <f aca="true">TABLE($AG$30,$G$10,$AG41,$G$11,AO$30)</f>
        <v>38050.9146265201</v>
      </c>
      <c r="BD41" s="8"/>
    </row>
    <row r="42" customFormat="false" ht="14.5" hidden="false" customHeight="false" outlineLevel="0" collapsed="false">
      <c r="A42" s="8"/>
      <c r="B42" s="8"/>
      <c r="C42" s="8"/>
      <c r="D42" s="8"/>
      <c r="E42" s="8"/>
      <c r="F42" s="20" t="s">
        <v>45</v>
      </c>
      <c r="G42" s="48" t="n">
        <v>6874.55090569287</v>
      </c>
      <c r="H42" s="48" t="n">
        <v>5332.8625898278</v>
      </c>
      <c r="I42" s="48" t="n">
        <v>3791.17427396272</v>
      </c>
      <c r="J42" s="26" t="n">
        <v>2249.48595809764</v>
      </c>
      <c r="K42" s="48" t="n">
        <v>707.797642232557</v>
      </c>
      <c r="L42" s="8"/>
      <c r="M42" s="8"/>
      <c r="N42" s="8"/>
      <c r="O42" s="8"/>
      <c r="Q42" s="37" t="n">
        <f aca="false">Q41+5%</f>
        <v>0.1</v>
      </c>
      <c r="R42" s="32" t="n">
        <f aca="false">$R$29*(1+$Q42)</f>
        <v>16500</v>
      </c>
      <c r="S42" s="33" t="n">
        <f aca="true">TABLE(S$29,$G$10,$R42)</f>
        <v>5846.75869511616</v>
      </c>
      <c r="T42" s="4" t="n">
        <f aca="true">TABLE(T$29,$G$10,$R42)</f>
        <v>0.323049783913924</v>
      </c>
      <c r="U42" s="4" t="n">
        <v>0.254839638010491</v>
      </c>
      <c r="V42" s="34" t="n">
        <v>2.36568213783404</v>
      </c>
      <c r="W42" s="34" t="n">
        <v>3.0927947569198</v>
      </c>
      <c r="Y42" s="32" t="n">
        <f aca="false">$Y$29*(1+$Q42)</f>
        <v>0.66</v>
      </c>
      <c r="Z42" s="33" t="n">
        <f aca="true">TABLE(Z$29,$G$12,$Y42)</f>
        <v>707.797642232548</v>
      </c>
      <c r="AA42" s="4" t="n">
        <f aca="true">TABLE(AA$29,$G$12,$Y42)</f>
        <v>0.171478086814483</v>
      </c>
      <c r="AB42" s="4" t="n">
        <v>0.164267415377997</v>
      </c>
      <c r="AC42" s="34" t="n">
        <v>3.18918918918919</v>
      </c>
      <c r="AD42" s="34" t="n">
        <v>3.86930505701013</v>
      </c>
      <c r="BD42" s="8"/>
    </row>
    <row r="43" customFormat="false" ht="14.5" hidden="false" customHeight="false" outlineLevel="0" collapsed="false">
      <c r="A43" s="8"/>
      <c r="B43" s="8"/>
      <c r="C43" s="8"/>
      <c r="D43" s="8"/>
      <c r="E43" s="8"/>
      <c r="F43" s="20" t="s">
        <v>46</v>
      </c>
      <c r="G43" s="49" t="n">
        <v>0.352594384609743</v>
      </c>
      <c r="H43" s="49" t="n">
        <v>0.308192396044598</v>
      </c>
      <c r="I43" s="49" t="n">
        <v>0.263252513417561</v>
      </c>
      <c r="J43" s="57" t="n">
        <v>0.217707338305492</v>
      </c>
      <c r="K43" s="49" t="n">
        <v>0.171478086814484</v>
      </c>
      <c r="L43" s="8"/>
      <c r="M43" s="8"/>
      <c r="N43" s="8"/>
      <c r="O43" s="8"/>
      <c r="Q43" s="37" t="n">
        <f aca="false">Q42+5%</f>
        <v>0.15</v>
      </c>
      <c r="R43" s="32" t="n">
        <f aca="false">$R$29*(1+$Q43)</f>
        <v>17250</v>
      </c>
      <c r="S43" s="33" t="n">
        <f aca="true">TABLE(S$29,$G$10,$R43)</f>
        <v>6874.55090569287</v>
      </c>
      <c r="T43" s="4" t="n">
        <f aca="true">TABLE(T$29,$G$10,$R43)</f>
        <v>0.352594384609744</v>
      </c>
      <c r="U43" s="4" t="n">
        <v>0.270779255388108</v>
      </c>
      <c r="V43" s="34" t="n">
        <v>2.22486772486772</v>
      </c>
      <c r="W43" s="34" t="n">
        <v>2.94369212962963</v>
      </c>
      <c r="Y43" s="32" t="n">
        <f aca="false">$Y$29*(1+$Q43)</f>
        <v>0.69</v>
      </c>
      <c r="Z43" s="33" t="n">
        <f aca="true">TABLE(Z$29,$G$12,$Y43)</f>
        <v>-833.890673632524</v>
      </c>
      <c r="AA43" s="4" t="n">
        <f aca="true">TABLE(AA$29,$G$12,$Y43)</f>
        <v>0.124472063748725</v>
      </c>
      <c r="AB43" s="4" t="n">
        <v>0.132479099646368</v>
      </c>
      <c r="AC43" s="34" t="n">
        <v>3.3819973130318</v>
      </c>
      <c r="AD43" s="34" t="e">
        <f aca="false">#REF!</f>
        <v>#REF!</v>
      </c>
      <c r="BD43" s="8"/>
    </row>
    <row r="44" customFormat="false" ht="14.5" hidden="false" customHeight="false" outlineLevel="0" collapsed="false">
      <c r="A44" s="8"/>
      <c r="B44" s="8"/>
      <c r="C44" s="8"/>
      <c r="D44" s="8"/>
      <c r="E44" s="8"/>
      <c r="F44" s="20" t="s">
        <v>4</v>
      </c>
      <c r="G44" s="49" t="n">
        <v>0.270779255388108</v>
      </c>
      <c r="H44" s="49" t="n">
        <v>0.246636597937904</v>
      </c>
      <c r="I44" s="49" t="n">
        <v>0.221003713799454</v>
      </c>
      <c r="J44" s="57" t="n">
        <v>0.193646525329073</v>
      </c>
      <c r="K44" s="49" t="n">
        <v>0.164267415377997</v>
      </c>
      <c r="L44" s="8"/>
      <c r="M44" s="8"/>
      <c r="N44" s="8"/>
      <c r="O44" s="8"/>
      <c r="Q44" s="37" t="n">
        <f aca="false">Q43+5%</f>
        <v>0.2</v>
      </c>
      <c r="R44" s="32" t="n">
        <f aca="false">$R$29*(1+$Q44)</f>
        <v>18000</v>
      </c>
      <c r="S44" s="33" t="n">
        <f aca="true">TABLE(S$29,$G$10,$R44)</f>
        <v>7902.3431162696</v>
      </c>
      <c r="T44" s="4" t="n">
        <f aca="true">TABLE(T$29,$G$10,$R44)</f>
        <v>0.381925861379339</v>
      </c>
      <c r="U44" s="4" t="n">
        <v>0.286140683020197</v>
      </c>
      <c r="V44" s="34" t="n">
        <v>2.09987515605493</v>
      </c>
      <c r="W44" s="34" t="n">
        <v>2.75177122347066</v>
      </c>
      <c r="Y44" s="32" t="n">
        <f aca="false">$Y$29*(1+$Q44)</f>
        <v>0.72</v>
      </c>
      <c r="Z44" s="33" t="n">
        <f aca="true">TABLE(Z$29,$G$12,$Y44)</f>
        <v>-2375.57898949761</v>
      </c>
      <c r="AA44" s="4" t="n">
        <f aca="true">TABLE(AA$29,$G$12,$Y44)</f>
        <v>0.0765794317986013</v>
      </c>
      <c r="AB44" s="4" t="n">
        <v>0.0977631902951261</v>
      </c>
      <c r="AC44" s="34" t="n">
        <v>3.59961868446139</v>
      </c>
      <c r="AD44" s="34" t="e">
        <f aca="false">#REF!</f>
        <v>#REF!</v>
      </c>
      <c r="AG44" s="7" t="s">
        <v>60</v>
      </c>
      <c r="BD44" s="8"/>
    </row>
    <row r="45" customFormat="false" ht="14.5" hidden="false" customHeight="false" outlineLevel="0" collapsed="false">
      <c r="A45" s="8"/>
      <c r="B45" s="8"/>
      <c r="C45" s="8"/>
      <c r="D45" s="8"/>
      <c r="E45" s="8"/>
      <c r="F45" s="20" t="s">
        <v>47</v>
      </c>
      <c r="G45" s="54" t="n">
        <v>2.22486772486773</v>
      </c>
      <c r="H45" s="54" t="n">
        <v>2.44299201161946</v>
      </c>
      <c r="I45" s="54" t="n">
        <v>2.7085346215781</v>
      </c>
      <c r="J45" s="58" t="n">
        <v>3.01717938473831</v>
      </c>
      <c r="K45" s="54" t="n">
        <v>3.18918918918919</v>
      </c>
      <c r="L45" s="8"/>
      <c r="M45" s="8"/>
      <c r="N45" s="8"/>
      <c r="O45" s="8"/>
      <c r="Q45" s="37" t="n">
        <f aca="false">Q44+5%</f>
        <v>0.25</v>
      </c>
      <c r="R45" s="32" t="n">
        <f aca="false">$R$29*(1+$Q45)</f>
        <v>18750</v>
      </c>
      <c r="S45" s="33" t="n">
        <f aca="true">TABLE(S$29,$G$10,$R45)</f>
        <v>8930.13532684631</v>
      </c>
      <c r="T45" s="4" t="n">
        <f aca="true">TABLE(T$29,$G$10,$R45)</f>
        <v>0.411059417955325</v>
      </c>
      <c r="U45" s="4" t="n">
        <v>0.300970610857101</v>
      </c>
      <c r="V45" s="34" t="n">
        <v>1.98901098901099</v>
      </c>
      <c r="W45" s="34" t="n">
        <v>2.58026743498818</v>
      </c>
      <c r="Y45" s="32" t="n">
        <f aca="false">$Y$29*(1+$Q45)</f>
        <v>0.75</v>
      </c>
      <c r="Z45" s="33" t="n">
        <f aca="true">TABLE(Z$29,$G$12,$Y45)</f>
        <v>-3948.9996104931</v>
      </c>
      <c r="AA45" s="4" t="n">
        <f aca="true">TABLE(AA$29,$G$12,$Y45)</f>
        <v>0.0274663697779776</v>
      </c>
      <c r="AB45" s="4" t="n">
        <v>0.0585665193705589</v>
      </c>
      <c r="AC45" s="34" t="n">
        <v>3.84810126582278</v>
      </c>
      <c r="AD45" s="34" t="e">
        <f aca="false">#REF!</f>
        <v>#REF!</v>
      </c>
      <c r="AG45" s="38" t="n">
        <f aca="false">$C$24</f>
        <v>3791.17427396271</v>
      </c>
      <c r="AH45" s="7" t="n">
        <v>1</v>
      </c>
      <c r="AI45" s="7" t="n">
        <v>1.1</v>
      </c>
      <c r="AJ45" s="7" t="n">
        <v>1.2</v>
      </c>
      <c r="AK45" s="7" t="n">
        <v>1.3</v>
      </c>
      <c r="AL45" s="7" t="n">
        <v>1.4</v>
      </c>
      <c r="AM45" s="7" t="n">
        <v>1.5</v>
      </c>
      <c r="AN45" s="7" t="n">
        <v>1.6</v>
      </c>
      <c r="AO45" s="7" t="n">
        <v>1.7</v>
      </c>
      <c r="AP45" s="7" t="n">
        <v>1.8</v>
      </c>
      <c r="AQ45" s="7" t="n">
        <v>1.9</v>
      </c>
      <c r="AR45" s="7" t="n">
        <v>2</v>
      </c>
      <c r="AS45" s="7" t="n">
        <v>2.1</v>
      </c>
      <c r="AT45" s="7" t="n">
        <v>2.2</v>
      </c>
      <c r="AU45" s="7" t="n">
        <v>2.3</v>
      </c>
      <c r="AV45" s="7" t="n">
        <v>2.4</v>
      </c>
      <c r="AW45" s="7" t="n">
        <v>2.5</v>
      </c>
      <c r="AX45" s="7" t="n">
        <v>2.6</v>
      </c>
      <c r="AY45" s="7" t="n">
        <v>2.7</v>
      </c>
      <c r="AZ45" s="7" t="n">
        <v>2.8</v>
      </c>
      <c r="BA45" s="7" t="n">
        <v>2.9</v>
      </c>
      <c r="BB45" s="7" t="n">
        <v>3</v>
      </c>
      <c r="BD45" s="8"/>
    </row>
    <row r="46" customFormat="false" ht="14.5" hidden="false" customHeight="false" outlineLevel="0" collapsed="false">
      <c r="A46" s="8"/>
      <c r="B46" s="8"/>
      <c r="C46" s="8"/>
      <c r="D46" s="8"/>
      <c r="E46" s="8"/>
      <c r="F46" s="20" t="s">
        <v>48</v>
      </c>
      <c r="G46" s="54" t="n">
        <v>2.94369212962963</v>
      </c>
      <c r="H46" s="54" t="n">
        <v>3.15910476018752</v>
      </c>
      <c r="I46" s="54" t="n">
        <v>3.37160846285064</v>
      </c>
      <c r="J46" s="58" t="n">
        <v>3.60703505793048</v>
      </c>
      <c r="K46" s="54" t="n">
        <v>3.86930505701013</v>
      </c>
      <c r="L46" s="8"/>
      <c r="M46" s="8"/>
      <c r="N46" s="8"/>
      <c r="O46" s="8"/>
      <c r="Q46" s="37" t="n">
        <f aca="false">Q45+5%</f>
        <v>0.3</v>
      </c>
      <c r="R46" s="32" t="n">
        <f aca="false">$R$29*(1+$Q46)</f>
        <v>19500</v>
      </c>
      <c r="S46" s="33" t="n">
        <f aca="true">TABLE(S$29,$G$10,$R46)</f>
        <v>9957.92753742303</v>
      </c>
      <c r="T46" s="4" t="n">
        <f aca="true">TABLE(T$29,$G$10,$R46)</f>
        <v>0.440008894192891</v>
      </c>
      <c r="U46" s="4" t="n">
        <v>0.315310064271021</v>
      </c>
      <c r="V46" s="34" t="n">
        <v>1.89528795811518</v>
      </c>
      <c r="W46" s="34" t="n">
        <v>2.42608726150393</v>
      </c>
      <c r="Y46" s="32" t="n">
        <f aca="false">$Y$29*(1+$Q46)</f>
        <v>0.78</v>
      </c>
      <c r="Z46" s="33" t="n">
        <f aca="true">TABLE(Z$29,$G$12,$Y46)</f>
        <v>-6063.72189922135</v>
      </c>
      <c r="AA46" s="4" t="n">
        <f aca="true">TABLE(AA$29,$G$12,$Y46)</f>
        <v>-0.0393459681139909</v>
      </c>
      <c r="AB46" s="4" t="n">
        <v>-0.00213899603185519</v>
      </c>
      <c r="AC46" s="34" t="e">
        <f aca="false">#REF!</f>
        <v>#REF!</v>
      </c>
      <c r="AD46" s="34" t="e">
        <f aca="false">#REF!</f>
        <v>#REF!</v>
      </c>
      <c r="AG46" s="32" t="n">
        <f aca="false">$R$29*(1+$Q30)</f>
        <v>7500</v>
      </c>
      <c r="AH46" s="59" t="n">
        <f aca="true">TABLE($AG$45,$G$10,$AG46,$G$11,AH$45)</f>
        <v>-16341.6440049885</v>
      </c>
      <c r="AI46" s="60" t="n">
        <f aca="true">TABLE($AG$45,$G$10,$AG46,$G$11,AI$45)</f>
        <v>-15485.1504961746</v>
      </c>
      <c r="AJ46" s="60" t="n">
        <f aca="true">TABLE($AG$45,$G$10,$AG46,$G$11,AJ$45)</f>
        <v>-14628.6569873607</v>
      </c>
      <c r="AK46" s="60" t="n">
        <f aca="true">TABLE($AG$45,$G$10,$AG46,$G$11,AK$45)</f>
        <v>-13772.1634785468</v>
      </c>
      <c r="AL46" s="60" t="n">
        <f aca="true">TABLE($AG$45,$G$10,$AG46,$G$11,AL$45)</f>
        <v>-12915.6699697328</v>
      </c>
      <c r="AM46" s="60" t="n">
        <f aca="true">TABLE($AG$45,$G$10,$AG46,$G$11,AM$45)</f>
        <v>-12059.1764609189</v>
      </c>
      <c r="AN46" s="60" t="n">
        <f aca="true">TABLE($AG$45,$G$10,$AG46,$G$11,AN$45)</f>
        <v>-11202.682952105</v>
      </c>
      <c r="AO46" s="60" t="n">
        <f aca="true">TABLE($AG$45,$G$10,$AG46,$G$11,AO$45)</f>
        <v>-10346.189443291</v>
      </c>
      <c r="AP46" s="60" t="n">
        <f aca="true">TABLE($AG$45,$G$10,$AG46,$G$11,AP$45)</f>
        <v>-9489.69593447708</v>
      </c>
      <c r="AQ46" s="60" t="n">
        <f aca="true">TABLE($AG$45,$G$10,$AG46,$G$11,AQ$45)</f>
        <v>-8633.20242566315</v>
      </c>
      <c r="AR46" s="60" t="n">
        <f aca="true">TABLE($AG$45,$G$10,$AG46,$G$11,AR$45)</f>
        <v>-7776.70891684921</v>
      </c>
      <c r="AS46" s="60" t="n">
        <f aca="true">TABLE($AG$45,$G$10,$AG46,$G$11,AS$45)</f>
        <v>-6920.21540803528</v>
      </c>
      <c r="AT46" s="60" t="n">
        <f aca="true">TABLE($AG$45,$G$10,$AG46,$G$11,AT$45)</f>
        <v>-6063.72189922135</v>
      </c>
      <c r="AU46" s="60" t="n">
        <f aca="true">TABLE($AG$45,$G$10,$AG46,$G$11,AU$45)</f>
        <v>-5207.22839040741</v>
      </c>
      <c r="AV46" s="60" t="n">
        <f aca="true">TABLE($AG$45,$G$10,$AG46,$G$11,AV$45)</f>
        <v>-4495.31412480659</v>
      </c>
      <c r="AW46" s="60" t="n">
        <f aca="true">TABLE($AG$45,$G$10,$AG46,$G$11,AW$45)</f>
        <v>-3948.9996104931</v>
      </c>
      <c r="AX46" s="60" t="n">
        <f aca="true">TABLE($AG$45,$G$10,$AG46,$G$11,AX$45)</f>
        <v>-3419.1515896527</v>
      </c>
      <c r="AY46" s="60" t="n">
        <f aca="true">TABLE($AG$45,$G$10,$AG46,$G$11,AY$45)</f>
        <v>-2893.42019218057</v>
      </c>
      <c r="AZ46" s="60" t="n">
        <f aca="true">TABLE($AG$45,$G$10,$AG46,$G$11,AZ$45)</f>
        <v>-2375.5789894976</v>
      </c>
      <c r="BA46" s="60" t="n">
        <f aca="true">TABLE($AG$45,$G$10,$AG46,$G$11,BA$45)</f>
        <v>-1861.68288420925</v>
      </c>
      <c r="BB46" s="60" t="n">
        <f aca="true">TABLE($AG$45,$G$10,$AG46,$G$11,BB$45)</f>
        <v>-1347.78677892088</v>
      </c>
      <c r="BD46" s="8"/>
    </row>
    <row r="47" customFormat="false" ht="14.5" hidden="false" customHeight="false" outlineLevel="0" collapsed="false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Q47" s="37" t="n">
        <f aca="false">Q46+5%</f>
        <v>0.35</v>
      </c>
      <c r="R47" s="32" t="n">
        <f aca="false">$R$29*(1+$Q47)</f>
        <v>20250</v>
      </c>
      <c r="S47" s="33" t="n">
        <f aca="true">TABLE(S$29,$G$10,$R47)</f>
        <v>10985.7197479998</v>
      </c>
      <c r="T47" s="4" t="n">
        <f aca="true">TABLE(T$29,$G$10,$R47)</f>
        <v>0.468786915736341</v>
      </c>
      <c r="U47" s="4" t="n">
        <v>0.329195301777353</v>
      </c>
      <c r="V47" s="34" t="n">
        <v>1.81</v>
      </c>
      <c r="W47" s="34" t="n">
        <v>2.28673210470085</v>
      </c>
      <c r="Y47" s="32" t="n">
        <f aca="false">$Y$29*(1+$Q47)</f>
        <v>0.81</v>
      </c>
      <c r="Z47" s="33" t="n">
        <f aca="true">TABLE(Z$29,$G$12,$Y47)</f>
        <v>-8633.20242566315</v>
      </c>
      <c r="AA47" s="4" t="n">
        <f aca="true">TABLE(AA$29,$G$12,$Y47)</f>
        <v>-0.124939980800377</v>
      </c>
      <c r="AB47" s="4" t="n">
        <v>-0.0951124037991703</v>
      </c>
      <c r="AC47" s="34" t="e">
        <f aca="false">#REF!</f>
        <v>#REF!</v>
      </c>
      <c r="AD47" s="34" t="e">
        <f aca="false">#REF!</f>
        <v>#REF!</v>
      </c>
      <c r="AG47" s="32" t="n">
        <f aca="false">$R$29*(1+$Q31)</f>
        <v>8250</v>
      </c>
      <c r="AH47" s="59" t="n">
        <f aca="true">TABLE($AG$45,$G$10,$AG47,$G$11,AH$45)</f>
        <v>-15485.1504961746</v>
      </c>
      <c r="AI47" s="60" t="n">
        <f aca="true">TABLE($AG$45,$G$10,$AG47,$G$11,AI$45)</f>
        <v>-14543.0076364793</v>
      </c>
      <c r="AJ47" s="60" t="n">
        <f aca="true">TABLE($AG$45,$G$10,$AG47,$G$11,AJ$45)</f>
        <v>-13600.864776784</v>
      </c>
      <c r="AK47" s="60" t="n">
        <f aca="true">TABLE($AG$45,$G$10,$AG47,$G$11,AK$45)</f>
        <v>-12658.7219170886</v>
      </c>
      <c r="AL47" s="60" t="n">
        <f aca="true">TABLE($AG$45,$G$10,$AG47,$G$11,AL$45)</f>
        <v>-11716.5790573933</v>
      </c>
      <c r="AM47" s="60" t="n">
        <f aca="true">TABLE($AG$45,$G$10,$AG47,$G$11,AM$45)</f>
        <v>-10774.436197698</v>
      </c>
      <c r="AN47" s="60" t="n">
        <f aca="true">TABLE($AG$45,$G$10,$AG47,$G$11,AN$45)</f>
        <v>-9832.29333800266</v>
      </c>
      <c r="AO47" s="60" t="n">
        <f aca="true">TABLE($AG$45,$G$10,$AG47,$G$11,AO$45)</f>
        <v>-8890.15047830733</v>
      </c>
      <c r="AP47" s="60" t="n">
        <f aca="true">TABLE($AG$45,$G$10,$AG47,$G$11,AP$45)</f>
        <v>-7948.007618612</v>
      </c>
      <c r="AQ47" s="60" t="n">
        <f aca="true">TABLE($AG$45,$G$10,$AG47,$G$11,AQ$45)</f>
        <v>-7005.86475891667</v>
      </c>
      <c r="AR47" s="60" t="n">
        <f aca="true">TABLE($AG$45,$G$10,$AG47,$G$11,AR$45)</f>
        <v>-6063.72189922135</v>
      </c>
      <c r="AS47" s="60" t="n">
        <f aca="true">TABLE($AG$45,$G$10,$AG47,$G$11,AS$45)</f>
        <v>-5121.57903952603</v>
      </c>
      <c r="AT47" s="60" t="n">
        <f aca="true">TABLE($AG$45,$G$10,$AG47,$G$11,AT$45)</f>
        <v>-4386.05122194389</v>
      </c>
      <c r="AU47" s="60" t="n">
        <f aca="true">TABLE($AG$45,$G$10,$AG47,$G$11,AU$45)</f>
        <v>-3787.16356788319</v>
      </c>
      <c r="AV47" s="60" t="n">
        <f aca="true">TABLE($AG$45,$G$10,$AG47,$G$11,AV$45)</f>
        <v>-3208.85903066384</v>
      </c>
      <c r="AW47" s="60" t="n">
        <f aca="true">TABLE($AG$45,$G$10,$AG47,$G$11,AW$45)</f>
        <v>-2632.52704214178</v>
      </c>
      <c r="AX47" s="60" t="n">
        <f aca="true">TABLE($AG$45,$G$10,$AG47,$G$11,AX$45)</f>
        <v>-2067.24132632459</v>
      </c>
      <c r="AY47" s="60" t="n">
        <f aca="true">TABLE($AG$45,$G$10,$AG47,$G$11,AY$45)</f>
        <v>-1501.9556105074</v>
      </c>
      <c r="AZ47" s="60" t="n">
        <f aca="true">TABLE($AG$45,$G$10,$AG47,$G$11,AZ$45)</f>
        <v>-936.669894690196</v>
      </c>
      <c r="BA47" s="60" t="n">
        <f aca="true">TABLE($AG$45,$G$10,$AG47,$G$11,BA$45)</f>
        <v>-371.384178873001</v>
      </c>
      <c r="BB47" s="60" t="n">
        <f aca="true">TABLE($AG$45,$G$10,$AG47,$G$11,BB$45)</f>
        <v>193.901536944197</v>
      </c>
      <c r="BD47" s="8"/>
    </row>
    <row r="48" customFormat="false" ht="14.5" hidden="false" customHeight="false" outlineLevel="0" collapsed="false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Q48" s="37" t="n">
        <f aca="false">Q47+5%</f>
        <v>0.4</v>
      </c>
      <c r="R48" s="32" t="n">
        <f aca="false">$R$29*(1+$Q48)</f>
        <v>21000</v>
      </c>
      <c r="S48" s="33" t="n">
        <f aca="true">TABLE(S$29,$G$10,$R48)</f>
        <v>12013.5119585765</v>
      </c>
      <c r="T48" s="4" t="n">
        <f aca="true">TABLE(T$29,$G$10,$R48)</f>
        <v>0.497405024222027</v>
      </c>
      <c r="U48" s="4" t="n">
        <v>0.342658539823993</v>
      </c>
      <c r="V48" s="34" t="n">
        <v>1.73205741626794</v>
      </c>
      <c r="W48" s="34" t="n">
        <v>2.1601618246687</v>
      </c>
      <c r="Y48" s="32" t="n">
        <f aca="false">$Y$29*(1+$Q48)</f>
        <v>0.84</v>
      </c>
      <c r="Z48" s="33" t="n">
        <f aca="true">TABLE(Z$29,$G$12,$Y48)</f>
        <v>-11202.682952105</v>
      </c>
      <c r="AA48" s="4" t="n">
        <f aca="true">TABLE(AA$29,$G$12,$Y48)</f>
        <v>-0.215073575183331</v>
      </c>
      <c r="AB48" s="4" t="n">
        <v>-0.207892577949975</v>
      </c>
      <c r="AC48" s="34" t="e">
        <f aca="false">#REF!</f>
        <v>#REF!</v>
      </c>
      <c r="AD48" s="34" t="e">
        <f aca="false">#REF!</f>
        <v>#REF!</v>
      </c>
      <c r="AG48" s="32" t="n">
        <f aca="false">$R$29*(1+$Q32)</f>
        <v>9000</v>
      </c>
      <c r="AH48" s="59" t="n">
        <f aca="true">TABLE($AG$45,$G$10,$AG48,$G$11,AH$45)</f>
        <v>-14628.6569873607</v>
      </c>
      <c r="AI48" s="60" t="n">
        <f aca="true">TABLE($AG$45,$G$10,$AG48,$G$11,AI$45)</f>
        <v>-13600.864776784</v>
      </c>
      <c r="AJ48" s="60" t="n">
        <f aca="true">TABLE($AG$45,$G$10,$AG48,$G$11,AJ$45)</f>
        <v>-12573.0725662072</v>
      </c>
      <c r="AK48" s="60" t="n">
        <f aca="true">TABLE($AG$45,$G$10,$AG48,$G$11,AK$45)</f>
        <v>-11545.2803556305</v>
      </c>
      <c r="AL48" s="60" t="n">
        <f aca="true">TABLE($AG$45,$G$10,$AG48,$G$11,AL$45)</f>
        <v>-10517.4881450538</v>
      </c>
      <c r="AM48" s="60" t="n">
        <f aca="true">TABLE($AG$45,$G$10,$AG48,$G$11,AM$45)</f>
        <v>-9489.69593447708</v>
      </c>
      <c r="AN48" s="60" t="n">
        <f aca="true">TABLE($AG$45,$G$10,$AG48,$G$11,AN$45)</f>
        <v>-8461.90372390036</v>
      </c>
      <c r="AO48" s="60" t="n">
        <f aca="true">TABLE($AG$45,$G$10,$AG48,$G$11,AO$45)</f>
        <v>-7434.11151332364</v>
      </c>
      <c r="AP48" s="60" t="n">
        <f aca="true">TABLE($AG$45,$G$10,$AG48,$G$11,AP$45)</f>
        <v>-6406.31930274692</v>
      </c>
      <c r="AQ48" s="60" t="n">
        <f aca="true">TABLE($AG$45,$G$10,$AG48,$G$11,AQ$45)</f>
        <v>-5378.5270921702</v>
      </c>
      <c r="AR48" s="60" t="n">
        <f aca="true">TABLE($AG$45,$G$10,$AG48,$G$11,AR$45)</f>
        <v>-4495.31412480659</v>
      </c>
      <c r="AS48" s="60" t="n">
        <f aca="true">TABLE($AG$45,$G$10,$AG48,$G$11,AS$45)</f>
        <v>-3839.73670763041</v>
      </c>
      <c r="AT48" s="60" t="n">
        <f aca="true">TABLE($AG$45,$G$10,$AG48,$G$11,AT$45)</f>
        <v>-3208.85903066385</v>
      </c>
      <c r="AU48" s="60" t="n">
        <f aca="true">TABLE($AG$45,$G$10,$AG48,$G$11,AU$45)</f>
        <v>-2581.13743161295</v>
      </c>
      <c r="AV48" s="60" t="n">
        <f aca="true">TABLE($AG$45,$G$10,$AG48,$G$11,AV$45)</f>
        <v>-1964.46210526692</v>
      </c>
      <c r="AW48" s="60" t="n">
        <f aca="true">TABLE($AG$45,$G$10,$AG48,$G$11,AW$45)</f>
        <v>-1347.78677892088</v>
      </c>
      <c r="AX48" s="60" t="n">
        <f aca="true">TABLE($AG$45,$G$10,$AG48,$G$11,AX$45)</f>
        <v>-731.11145257486</v>
      </c>
      <c r="AY48" s="60" t="n">
        <f aca="true">TABLE($AG$45,$G$10,$AG48,$G$11,AY$45)</f>
        <v>-114.436126228826</v>
      </c>
      <c r="AZ48" s="60" t="n">
        <f aca="true">TABLE($AG$45,$G$10,$AG48,$G$11,AZ$45)</f>
        <v>502.239200117212</v>
      </c>
      <c r="BA48" s="60" t="n">
        <f aca="true">TABLE($AG$45,$G$10,$AG48,$G$11,BA$45)</f>
        <v>1118.91452646325</v>
      </c>
      <c r="BB48" s="60" t="n">
        <f aca="true">TABLE($AG$45,$G$10,$AG48,$G$11,BB$45)</f>
        <v>1735.58985280928</v>
      </c>
      <c r="BD48" s="8"/>
    </row>
    <row r="49" customFormat="false" ht="14.5" hidden="false" customHeight="false" outlineLevel="0" collapsed="false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Q49" s="37" t="n">
        <f aca="false">Q48+5%</f>
        <v>0.45</v>
      </c>
      <c r="R49" s="32" t="n">
        <f aca="false">$R$29*(1+$Q49)</f>
        <v>21750</v>
      </c>
      <c r="S49" s="33" t="n">
        <f aca="true">TABLE(S$29,$G$10,$R49)</f>
        <v>13041.3041691532</v>
      </c>
      <c r="T49" s="4" t="n">
        <f aca="true">TABLE(T$29,$G$10,$R49)</f>
        <v>0.525873790925385</v>
      </c>
      <c r="U49" s="4" t="n">
        <v>0.35572854340891</v>
      </c>
      <c r="V49" s="34" t="n">
        <v>1.6605504587156</v>
      </c>
      <c r="W49" s="34" t="n">
        <v>2.04469420077973</v>
      </c>
      <c r="Y49" s="32" t="n">
        <f aca="false">$Y$29*(1+$Q49)</f>
        <v>0.87</v>
      </c>
      <c r="Z49" s="33" t="n">
        <f aca="true">TABLE(Z$29,$G$12,$Y49)</f>
        <v>-13772.1634785468</v>
      </c>
      <c r="AA49" s="4" t="n">
        <f aca="true">TABLE(AA$29,$G$12,$Y49)</f>
        <v>-1.79239526773353</v>
      </c>
      <c r="AB49" s="4" t="n">
        <v>-0.266053963343241</v>
      </c>
      <c r="AC49" s="34" t="e">
        <f aca="false">#REF!</f>
        <v>#REF!</v>
      </c>
      <c r="AD49" s="34" t="e">
        <f aca="false">#REF!</f>
        <v>#REF!</v>
      </c>
      <c r="AG49" s="32" t="n">
        <f aca="false">$R$29*(1+$Q33)</f>
        <v>9750</v>
      </c>
      <c r="AH49" s="59" t="n">
        <f aca="true">TABLE($AG$45,$G$10,$AG49,$G$11,AH$45)</f>
        <v>-13772.1634785468</v>
      </c>
      <c r="AI49" s="60" t="n">
        <f aca="true">TABLE($AG$45,$G$10,$AG49,$G$11,AI$45)</f>
        <v>-12658.7219170886</v>
      </c>
      <c r="AJ49" s="60" t="n">
        <f aca="true">TABLE($AG$45,$G$10,$AG49,$G$11,AJ$45)</f>
        <v>-11545.2803556305</v>
      </c>
      <c r="AK49" s="60" t="n">
        <f aca="true">TABLE($AG$45,$G$10,$AG49,$G$11,AK$45)</f>
        <v>-10431.8387941724</v>
      </c>
      <c r="AL49" s="60" t="n">
        <f aca="true">TABLE($AG$45,$G$10,$AG49,$G$11,AL$45)</f>
        <v>-9318.3972327143</v>
      </c>
      <c r="AM49" s="60" t="n">
        <f aca="true">TABLE($AG$45,$G$10,$AG49,$G$11,AM$45)</f>
        <v>-8204.95567125619</v>
      </c>
      <c r="AN49" s="60" t="n">
        <f aca="true">TABLE($AG$45,$G$10,$AG49,$G$11,AN$45)</f>
        <v>-7091.51410979807</v>
      </c>
      <c r="AO49" s="60" t="n">
        <f aca="true">TABLE($AG$45,$G$10,$AG49,$G$11,AO$45)</f>
        <v>-5978.07254833996</v>
      </c>
      <c r="AP49" s="60" t="n">
        <f aca="true">TABLE($AG$45,$G$10,$AG49,$G$11,AP$45)</f>
        <v>-4871.58750862097</v>
      </c>
      <c r="AQ49" s="60" t="n">
        <f aca="true">TABLE($AG$45,$G$10,$AG49,$G$11,AQ$45)</f>
        <v>-4112.89396478715</v>
      </c>
      <c r="AR49" s="60" t="n">
        <f aca="true">TABLE($AG$45,$G$10,$AG49,$G$11,AR$45)</f>
        <v>-3419.15158965271</v>
      </c>
      <c r="AS49" s="60" t="n">
        <f aca="true">TABLE($AG$45,$G$10,$AG49,$G$11,AS$45)</f>
        <v>-2735.70077293893</v>
      </c>
      <c r="AT49" s="60" t="n">
        <f aca="true">TABLE($AG$45,$G$10,$AG49,$G$11,AT$45)</f>
        <v>-2067.2413263246</v>
      </c>
      <c r="AU49" s="60" t="n">
        <f aca="true">TABLE($AG$45,$G$10,$AG49,$G$11,AU$45)</f>
        <v>-1399.17638944973</v>
      </c>
      <c r="AV49" s="60" t="n">
        <f aca="true">TABLE($AG$45,$G$10,$AG49,$G$11,AV$45)</f>
        <v>-731.11145257486</v>
      </c>
      <c r="AW49" s="60" t="n">
        <f aca="true">TABLE($AG$45,$G$10,$AG49,$G$11,AW$45)</f>
        <v>-63.046515699989</v>
      </c>
      <c r="AX49" s="60" t="n">
        <f aca="true">TABLE($AG$45,$G$10,$AG49,$G$11,AX$45)</f>
        <v>605.018421174871</v>
      </c>
      <c r="AY49" s="60" t="n">
        <f aca="true">TABLE($AG$45,$G$10,$AG49,$G$11,AY$45)</f>
        <v>1273.08335804974</v>
      </c>
      <c r="AZ49" s="60" t="n">
        <f aca="true">TABLE($AG$45,$G$10,$AG49,$G$11,AZ$45)</f>
        <v>1941.14829492461</v>
      </c>
      <c r="BA49" s="60" t="n">
        <f aca="true">TABLE($AG$45,$G$10,$AG49,$G$11,BA$45)</f>
        <v>2609.21323179948</v>
      </c>
      <c r="BB49" s="60" t="n">
        <f aca="true">TABLE($AG$45,$G$10,$AG49,$G$11,BB$45)</f>
        <v>3277.27816867435</v>
      </c>
      <c r="BD49" s="8"/>
    </row>
    <row r="50" customFormat="false" ht="14.5" hidden="false" customHeight="false" outlineLevel="0" collapsed="false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Q50" s="37" t="n">
        <f aca="false">Q49+5%</f>
        <v>0.5</v>
      </c>
      <c r="R50" s="32" t="n">
        <f aca="false">$R$29*(1+$Q50)</f>
        <v>22500</v>
      </c>
      <c r="S50" s="33" t="n">
        <f aca="true">TABLE(S$29,$G$10,$R50)</f>
        <v>14069.0963797299</v>
      </c>
      <c r="T50" s="4" t="n">
        <f aca="true">TABLE(T$29,$G$10,$R50)</f>
        <v>0.554202916274167</v>
      </c>
      <c r="U50" s="4" t="n">
        <v>0.368431111469015</v>
      </c>
      <c r="V50" s="34" t="n">
        <v>1.59471365638767</v>
      </c>
      <c r="W50" s="34" t="n">
        <v>1.94988986784141</v>
      </c>
      <c r="Y50" s="32" t="n">
        <f aca="false">$Y$29*(1+$Q50)</f>
        <v>0.9</v>
      </c>
      <c r="Z50" s="33" t="n">
        <f aca="true">TABLE(Z$29,$G$12,$Y50)</f>
        <v>-16341.6440049886</v>
      </c>
      <c r="AA50" s="4" t="e">
        <f aca="true">TABLE(AA$29,$G$12,$Y50)</f>
        <v>#N/A</v>
      </c>
      <c r="AB50" s="4" t="n">
        <v>-0.323389600115058</v>
      </c>
      <c r="AC50" s="34" t="e">
        <f aca="false">#REF!</f>
        <v>#REF!</v>
      </c>
      <c r="AD50" s="34" t="e">
        <f aca="false">#REF!</f>
        <v>#REF!</v>
      </c>
      <c r="AG50" s="32" t="n">
        <f aca="false">$R$29*(1+$Q34)</f>
        <v>10500</v>
      </c>
      <c r="AH50" s="59" t="n">
        <f aca="true">TABLE($AG$45,$G$10,$AG50,$G$11,AH$45)</f>
        <v>-12915.6699697328</v>
      </c>
      <c r="AI50" s="60" t="n">
        <f aca="true">TABLE($AG$45,$G$10,$AG50,$G$11,AI$45)</f>
        <v>-11716.5790573933</v>
      </c>
      <c r="AJ50" s="60" t="n">
        <f aca="true">TABLE($AG$45,$G$10,$AG50,$G$11,AJ$45)</f>
        <v>-10517.4881450538</v>
      </c>
      <c r="AK50" s="60" t="n">
        <f aca="true">TABLE($AG$45,$G$10,$AG50,$G$11,AK$45)</f>
        <v>-9318.3972327143</v>
      </c>
      <c r="AL50" s="60" t="n">
        <f aca="true">TABLE($AG$45,$G$10,$AG50,$G$11,AL$45)</f>
        <v>-8119.30632037479</v>
      </c>
      <c r="AM50" s="60" t="n">
        <f aca="true">TABLE($AG$45,$G$10,$AG50,$G$11,AM$45)</f>
        <v>-6920.21540803528</v>
      </c>
      <c r="AN50" s="60" t="n">
        <f aca="true">TABLE($AG$45,$G$10,$AG50,$G$11,AN$45)</f>
        <v>-5721.12449569578</v>
      </c>
      <c r="AO50" s="60" t="n">
        <f aca="true">TABLE($AG$45,$G$10,$AG50,$G$11,AO$45)</f>
        <v>-4604.57702766929</v>
      </c>
      <c r="AP50" s="60" t="n">
        <f aca="true">TABLE($AG$45,$G$10,$AG50,$G$11,AP$45)</f>
        <v>-3839.73670763041</v>
      </c>
      <c r="AQ50" s="60" t="n">
        <f aca="true">TABLE($AG$45,$G$10,$AG50,$G$11,AQ$45)</f>
        <v>-3103.71275116941</v>
      </c>
      <c r="AR50" s="60" t="n">
        <f aca="true">TABLE($AG$45,$G$10,$AG50,$G$11,AR$45)</f>
        <v>-2375.57898949761</v>
      </c>
      <c r="AS50" s="60" t="n">
        <f aca="true">TABLE($AG$45,$G$10,$AG50,$G$11,AS$45)</f>
        <v>-1656.12444209391</v>
      </c>
      <c r="AT50" s="60" t="n">
        <f aca="true">TABLE($AG$45,$G$10,$AG50,$G$11,AT$45)</f>
        <v>-936.669894690203</v>
      </c>
      <c r="AU50" s="60" t="n">
        <f aca="true">TABLE($AG$45,$G$10,$AG50,$G$11,AU$45)</f>
        <v>-217.215347286499</v>
      </c>
      <c r="AV50" s="60" t="n">
        <f aca="true">TABLE($AG$45,$G$10,$AG50,$G$11,AV$45)</f>
        <v>502.239200117212</v>
      </c>
      <c r="AW50" s="60" t="n">
        <f aca="true">TABLE($AG$45,$G$10,$AG50,$G$11,AW$45)</f>
        <v>1221.69374752092</v>
      </c>
      <c r="AX50" s="60" t="n">
        <f aca="true">TABLE($AG$45,$G$10,$AG50,$G$11,AX$45)</f>
        <v>1941.14829492461</v>
      </c>
      <c r="AY50" s="60" t="n">
        <f aca="true">TABLE($AG$45,$G$10,$AG50,$G$11,AY$45)</f>
        <v>2660.60284232832</v>
      </c>
      <c r="AZ50" s="60" t="n">
        <f aca="true">TABLE($AG$45,$G$10,$AG50,$G$11,AZ$45)</f>
        <v>3380.05738973202</v>
      </c>
      <c r="BA50" s="60" t="n">
        <f aca="true">TABLE($AG$45,$G$10,$AG50,$G$11,BA$45)</f>
        <v>4099.51193713573</v>
      </c>
      <c r="BB50" s="60" t="n">
        <f aca="true">TABLE($AG$45,$G$10,$AG50,$G$11,BB$45)</f>
        <v>4818.96648453943</v>
      </c>
      <c r="BD50" s="8"/>
    </row>
    <row r="51" customFormat="false" ht="14.5" hidden="false" customHeight="false" outlineLevel="0" collapsed="false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AG51" s="32" t="n">
        <f aca="false">$R$29*(1+$Q35)</f>
        <v>11250</v>
      </c>
      <c r="AH51" s="59" t="n">
        <f aca="true">TABLE($AG$45,$G$10,$AG51,$G$11,AH$45)</f>
        <v>-12059.1764609189</v>
      </c>
      <c r="AI51" s="60" t="n">
        <f aca="true">TABLE($AG$45,$G$10,$AG51,$G$11,AI$45)</f>
        <v>-10774.436197698</v>
      </c>
      <c r="AJ51" s="60" t="n">
        <f aca="true">TABLE($AG$45,$G$10,$AG51,$G$11,AJ$45)</f>
        <v>-9489.69593447708</v>
      </c>
      <c r="AK51" s="60" t="n">
        <f aca="true">TABLE($AG$45,$G$10,$AG51,$G$11,AK$45)</f>
        <v>-8204.95567125618</v>
      </c>
      <c r="AL51" s="60" t="n">
        <f aca="true">TABLE($AG$45,$G$10,$AG51,$G$11,AL$45)</f>
        <v>-6920.21540803528</v>
      </c>
      <c r="AM51" s="60" t="n">
        <f aca="true">TABLE($AG$45,$G$10,$AG51,$G$11,AM$45)</f>
        <v>-5635.47514481438</v>
      </c>
      <c r="AN51" s="60" t="n">
        <f aca="true">TABLE($AG$45,$G$10,$AG51,$G$11,AN$45)</f>
        <v>-4495.31412480659</v>
      </c>
      <c r="AO51" s="60" t="n">
        <f aca="true">TABLE($AG$45,$G$10,$AG51,$G$11,AO$45)</f>
        <v>-3682.01728838877</v>
      </c>
      <c r="AP51" s="60" t="n">
        <f aca="true">TABLE($AG$45,$G$10,$AG51,$G$11,AP$45)</f>
        <v>-2893.42019218057</v>
      </c>
      <c r="AQ51" s="60" t="n">
        <f aca="true">TABLE($AG$45,$G$10,$AG51,$G$11,AQ$45)</f>
        <v>-2118.63093685342</v>
      </c>
      <c r="AR51" s="60" t="n">
        <f aca="true">TABLE($AG$45,$G$10,$AG51,$G$11,AR$45)</f>
        <v>-1347.78677892089</v>
      </c>
      <c r="AS51" s="60" t="n">
        <f aca="true">TABLE($AG$45,$G$10,$AG51,$G$11,AS$45)</f>
        <v>-576.94262098835</v>
      </c>
      <c r="AT51" s="60" t="n">
        <f aca="true">TABLE($AG$45,$G$10,$AG51,$G$11,AT$45)</f>
        <v>193.901536944191</v>
      </c>
      <c r="AU51" s="60" t="n">
        <f aca="true">TABLE($AG$45,$G$10,$AG51,$G$11,AU$45)</f>
        <v>964.745694876729</v>
      </c>
      <c r="AV51" s="60" t="n">
        <f aca="true">TABLE($AG$45,$G$10,$AG51,$G$11,AV$45)</f>
        <v>1735.58985280928</v>
      </c>
      <c r="AW51" s="60" t="n">
        <f aca="true">TABLE($AG$45,$G$10,$AG51,$G$11,AW$45)</f>
        <v>2506.43401074181</v>
      </c>
      <c r="AX51" s="60" t="n">
        <f aca="true">TABLE($AG$45,$G$10,$AG51,$G$11,AX$45)</f>
        <v>3277.27816867435</v>
      </c>
      <c r="AY51" s="60" t="n">
        <f aca="true">TABLE($AG$45,$G$10,$AG51,$G$11,AY$45)</f>
        <v>4048.12232660689</v>
      </c>
      <c r="AZ51" s="60" t="n">
        <f aca="true">TABLE($AG$45,$G$10,$AG51,$G$11,AZ$45)</f>
        <v>4818.96648453943</v>
      </c>
      <c r="BA51" s="60" t="n">
        <f aca="true">TABLE($AG$45,$G$10,$AG51,$G$11,BA$45)</f>
        <v>5589.81064247197</v>
      </c>
      <c r="BB51" s="60" t="n">
        <f aca="true">TABLE($AG$45,$G$10,$AG51,$G$11,BB$45)</f>
        <v>6360.65480040451</v>
      </c>
      <c r="BD51" s="8"/>
    </row>
    <row r="52" customFormat="false" ht="14.5" hidden="false" customHeight="false" outlineLevel="0" collapsed="false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AG52" s="32" t="n">
        <f aca="false">$R$29*(1+$Q36)</f>
        <v>12000</v>
      </c>
      <c r="AH52" s="59" t="n">
        <f aca="true">TABLE($AG$45,$G$10,$AG52,$G$11,AH$45)</f>
        <v>-11202.682952105</v>
      </c>
      <c r="AI52" s="60" t="n">
        <f aca="true">TABLE($AG$45,$G$10,$AG52,$G$11,AI$45)</f>
        <v>-9832.29333800266</v>
      </c>
      <c r="AJ52" s="60" t="n">
        <f aca="true">TABLE($AG$45,$G$10,$AG52,$G$11,AJ$45)</f>
        <v>-8461.90372390036</v>
      </c>
      <c r="AK52" s="60" t="n">
        <f aca="true">TABLE($AG$45,$G$10,$AG52,$G$11,AK$45)</f>
        <v>-7091.51410979807</v>
      </c>
      <c r="AL52" s="60" t="n">
        <f aca="true">TABLE($AG$45,$G$10,$AG52,$G$11,AL$45)</f>
        <v>-5721.12449569578</v>
      </c>
      <c r="AM52" s="60" t="n">
        <f aca="true">TABLE($AG$45,$G$10,$AG52,$G$11,AM$45)</f>
        <v>-4495.31412480659</v>
      </c>
      <c r="AN52" s="60" t="n">
        <f aca="true">TABLE($AG$45,$G$10,$AG52,$G$11,AN$45)</f>
        <v>-3629.44414864155</v>
      </c>
      <c r="AO52" s="60" t="n">
        <f aca="true">TABLE($AG$45,$G$10,$AG52,$G$11,AO$45)</f>
        <v>-2788.27391268614</v>
      </c>
      <c r="AP52" s="60" t="n">
        <f aca="true">TABLE($AG$45,$G$10,$AG52,$G$11,AP$45)</f>
        <v>-1964.46210526692</v>
      </c>
      <c r="AQ52" s="60" t="n">
        <f aca="true">TABLE($AG$45,$G$10,$AG52,$G$11,AQ$45)</f>
        <v>-1142.22833680555</v>
      </c>
      <c r="AR52" s="60" t="n">
        <f aca="true">TABLE($AG$45,$G$10,$AG52,$G$11,AR$45)</f>
        <v>-319.994568344176</v>
      </c>
      <c r="AS52" s="60" t="n">
        <f aca="true">TABLE($AG$45,$G$10,$AG52,$G$11,AS$45)</f>
        <v>502.239200117199</v>
      </c>
      <c r="AT52" s="60" t="n">
        <f aca="true">TABLE($AG$45,$G$10,$AG52,$G$11,AT$45)</f>
        <v>1324.47296857858</v>
      </c>
      <c r="AU52" s="60" t="n">
        <f aca="true">TABLE($AG$45,$G$10,$AG52,$G$11,AU$45)</f>
        <v>2146.70673703996</v>
      </c>
      <c r="AV52" s="60" t="n">
        <f aca="true">TABLE($AG$45,$G$10,$AG52,$G$11,AV$45)</f>
        <v>2968.94050550134</v>
      </c>
      <c r="AW52" s="60" t="n">
        <f aca="true">TABLE($AG$45,$G$10,$AG52,$G$11,AW$45)</f>
        <v>3791.17427396271</v>
      </c>
      <c r="AX52" s="60" t="n">
        <f aca="true">TABLE($AG$45,$G$10,$AG52,$G$11,AX$45)</f>
        <v>4613.40804242408</v>
      </c>
      <c r="AY52" s="60" t="n">
        <f aca="true">TABLE($AG$45,$G$10,$AG52,$G$11,AY$45)</f>
        <v>5435.64181088546</v>
      </c>
      <c r="AZ52" s="60" t="n">
        <f aca="true">TABLE($AG$45,$G$10,$AG52,$G$11,AZ$45)</f>
        <v>6257.87557934683</v>
      </c>
      <c r="BA52" s="60" t="n">
        <f aca="true">TABLE($AG$45,$G$10,$AG52,$G$11,BA$45)</f>
        <v>7080.10934780821</v>
      </c>
      <c r="BB52" s="60" t="n">
        <f aca="true">TABLE($AG$45,$G$10,$AG52,$G$11,BB$45)</f>
        <v>7902.34311626959</v>
      </c>
      <c r="BD52" s="8"/>
    </row>
    <row r="53" customFormat="false" ht="14.5" hidden="false" customHeight="false" outlineLevel="0" collapsed="false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AG53" s="32" t="n">
        <f aca="false">$R$29*(1+$Q37)</f>
        <v>12750</v>
      </c>
      <c r="AH53" s="59" t="n">
        <f aca="true">TABLE($AG$45,$G$10,$AG53,$G$11,AH$45)</f>
        <v>-10346.189443291</v>
      </c>
      <c r="AI53" s="60" t="n">
        <f aca="true">TABLE($AG$45,$G$10,$AG53,$G$11,AI$45)</f>
        <v>-8890.15047830733</v>
      </c>
      <c r="AJ53" s="60" t="n">
        <f aca="true">TABLE($AG$45,$G$10,$AG53,$G$11,AJ$45)</f>
        <v>-7434.11151332365</v>
      </c>
      <c r="AK53" s="60" t="n">
        <f aca="true">TABLE($AG$45,$G$10,$AG53,$G$11,AK$45)</f>
        <v>-5978.07254833996</v>
      </c>
      <c r="AL53" s="60" t="n">
        <f aca="true">TABLE($AG$45,$G$10,$AG53,$G$11,AL$45)</f>
        <v>-4604.57702766929</v>
      </c>
      <c r="AM53" s="60" t="n">
        <f aca="true">TABLE($AG$45,$G$10,$AG53,$G$11,AM$45)</f>
        <v>-3682.01728838877</v>
      </c>
      <c r="AN53" s="60" t="n">
        <f aca="true">TABLE($AG$45,$G$10,$AG53,$G$11,AN$45)</f>
        <v>-2788.27391268614</v>
      </c>
      <c r="AO53" s="60" t="n">
        <f aca="true">TABLE($AG$45,$G$10,$AG53,$G$11,AO$45)</f>
        <v>-1913.07249473809</v>
      </c>
      <c r="AP53" s="60" t="n">
        <f aca="true">TABLE($AG$45,$G$10,$AG53,$G$11,AP$45)</f>
        <v>-1039.44911574788</v>
      </c>
      <c r="AQ53" s="60" t="n">
        <f aca="true">TABLE($AG$45,$G$10,$AG53,$G$11,AQ$45)</f>
        <v>-165.825736757663</v>
      </c>
      <c r="AR53" s="60" t="n">
        <f aca="true">TABLE($AG$45,$G$10,$AG53,$G$11,AR$45)</f>
        <v>707.797642232545</v>
      </c>
      <c r="AS53" s="60" t="n">
        <f aca="true">TABLE($AG$45,$G$10,$AG53,$G$11,AS$45)</f>
        <v>1581.42102122276</v>
      </c>
      <c r="AT53" s="60" t="n">
        <f aca="true">TABLE($AG$45,$G$10,$AG53,$G$11,AT$45)</f>
        <v>2455.04440021297</v>
      </c>
      <c r="AU53" s="60" t="n">
        <f aca="true">TABLE($AG$45,$G$10,$AG53,$G$11,AU$45)</f>
        <v>3328.66777920318</v>
      </c>
      <c r="AV53" s="60" t="n">
        <f aca="true">TABLE($AG$45,$G$10,$AG53,$G$11,AV$45)</f>
        <v>4202.2911581934</v>
      </c>
      <c r="AW53" s="60" t="n">
        <f aca="true">TABLE($AG$45,$G$10,$AG53,$G$11,AW$45)</f>
        <v>5075.91453718361</v>
      </c>
      <c r="AX53" s="60" t="n">
        <f aca="true">TABLE($AG$45,$G$10,$AG53,$G$11,AX$45)</f>
        <v>5949.53791617382</v>
      </c>
      <c r="AY53" s="60" t="n">
        <f aca="true">TABLE($AG$45,$G$10,$AG53,$G$11,AY$45)</f>
        <v>6823.16129516403</v>
      </c>
      <c r="AZ53" s="60" t="n">
        <f aca="true">TABLE($AG$45,$G$10,$AG53,$G$11,AZ$45)</f>
        <v>7696.78467415424</v>
      </c>
      <c r="BA53" s="60" t="n">
        <f aca="true">TABLE($AG$45,$G$10,$AG53,$G$11,BA$45)</f>
        <v>8570.40805314446</v>
      </c>
      <c r="BB53" s="60" t="n">
        <f aca="true">TABLE($AG$45,$G$10,$AG53,$G$11,BB$45)</f>
        <v>9444.03143213467</v>
      </c>
      <c r="BD53" s="8"/>
    </row>
    <row r="54" customFormat="false" ht="14.5" hidden="false" customHeight="false" outlineLevel="0" collapsed="false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AG54" s="32" t="n">
        <f aca="false">$R$29*(1+$Q38)</f>
        <v>13500</v>
      </c>
      <c r="AH54" s="59" t="n">
        <f aca="true">TABLE($AG$45,$G$10,$AG54,$G$11,AH$45)</f>
        <v>-9489.69593447708</v>
      </c>
      <c r="AI54" s="60" t="n">
        <f aca="true">TABLE($AG$45,$G$10,$AG54,$G$11,AI$45)</f>
        <v>-7948.007618612</v>
      </c>
      <c r="AJ54" s="60" t="n">
        <f aca="true">TABLE($AG$45,$G$10,$AG54,$G$11,AJ$45)</f>
        <v>-6406.31930274693</v>
      </c>
      <c r="AK54" s="60" t="n">
        <f aca="true">TABLE($AG$45,$G$10,$AG54,$G$11,AK$45)</f>
        <v>-4871.58750862097</v>
      </c>
      <c r="AL54" s="60" t="n">
        <f aca="true">TABLE($AG$45,$G$10,$AG54,$G$11,AL$45)</f>
        <v>-3839.73670763041</v>
      </c>
      <c r="AM54" s="60" t="n">
        <f aca="true">TABLE($AG$45,$G$10,$AG54,$G$11,AM$45)</f>
        <v>-2893.42019218057</v>
      </c>
      <c r="AN54" s="60" t="n">
        <f aca="true">TABLE($AG$45,$G$10,$AG54,$G$11,AN$45)</f>
        <v>-1964.46210526692</v>
      </c>
      <c r="AO54" s="60" t="n">
        <f aca="true">TABLE($AG$45,$G$10,$AG54,$G$11,AO$45)</f>
        <v>-1039.44911574788</v>
      </c>
      <c r="AP54" s="60" t="n">
        <f aca="true">TABLE($AG$45,$G$10,$AG54,$G$11,AP$45)</f>
        <v>-114.436126228833</v>
      </c>
      <c r="AQ54" s="60" t="n">
        <f aca="true">TABLE($AG$45,$G$10,$AG54,$G$11,AQ$45)</f>
        <v>810.576863290222</v>
      </c>
      <c r="AR54" s="60" t="n">
        <f aca="true">TABLE($AG$45,$G$10,$AG54,$G$11,AR$45)</f>
        <v>1735.58985280927</v>
      </c>
      <c r="AS54" s="60" t="n">
        <f aca="true">TABLE($AG$45,$G$10,$AG54,$G$11,AS$45)</f>
        <v>2660.60284232832</v>
      </c>
      <c r="AT54" s="60" t="n">
        <f aca="true">TABLE($AG$45,$G$10,$AG54,$G$11,AT$45)</f>
        <v>3585.61583184736</v>
      </c>
      <c r="AU54" s="60" t="n">
        <f aca="true">TABLE($AG$45,$G$10,$AG54,$G$11,AU$45)</f>
        <v>4510.62882136641</v>
      </c>
      <c r="AV54" s="60" t="n">
        <f aca="true">TABLE($AG$45,$G$10,$AG54,$G$11,AV$45)</f>
        <v>5435.64181088546</v>
      </c>
      <c r="AW54" s="60" t="n">
        <f aca="true">TABLE($AG$45,$G$10,$AG54,$G$11,AW$45)</f>
        <v>6360.65480040451</v>
      </c>
      <c r="AX54" s="60" t="n">
        <f aca="true">TABLE($AG$45,$G$10,$AG54,$G$11,AX$45)</f>
        <v>7285.66778992355</v>
      </c>
      <c r="AY54" s="60" t="n">
        <f aca="true">TABLE($AG$45,$G$10,$AG54,$G$11,AY$45)</f>
        <v>8210.6807794426</v>
      </c>
      <c r="AZ54" s="60" t="n">
        <f aca="true">TABLE($AG$45,$G$10,$AG54,$G$11,AZ$45)</f>
        <v>9135.69376896165</v>
      </c>
      <c r="BA54" s="60" t="n">
        <f aca="true">TABLE($AG$45,$G$10,$AG54,$G$11,BA$45)</f>
        <v>10060.7067584807</v>
      </c>
      <c r="BB54" s="60" t="n">
        <f aca="true">TABLE($AG$45,$G$10,$AG54,$G$11,BB$45)</f>
        <v>10985.7197479998</v>
      </c>
      <c r="BD54" s="8"/>
    </row>
    <row r="55" customFormat="false" ht="14.5" hidden="false" customHeight="false" outlineLevel="0" collapsed="false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AG55" s="32" t="n">
        <f aca="false">$R$29*(1+$Q39)</f>
        <v>14250</v>
      </c>
      <c r="AH55" s="59" t="n">
        <f aca="true">TABLE($AG$45,$G$10,$AG55,$G$11,AH$45)</f>
        <v>-8633.20242566315</v>
      </c>
      <c r="AI55" s="60" t="n">
        <f aca="true">TABLE($AG$45,$G$10,$AG55,$G$11,AI$45)</f>
        <v>-7005.86475891667</v>
      </c>
      <c r="AJ55" s="60" t="n">
        <f aca="true">TABLE($AG$45,$G$10,$AG55,$G$11,AJ$45)</f>
        <v>-5378.5270921702</v>
      </c>
      <c r="AK55" s="60" t="n">
        <f aca="true">TABLE($AG$45,$G$10,$AG55,$G$11,AK$45)</f>
        <v>-4112.89396478715</v>
      </c>
      <c r="AL55" s="60" t="n">
        <f aca="true">TABLE($AG$45,$G$10,$AG55,$G$11,AL$45)</f>
        <v>-3103.71275116941</v>
      </c>
      <c r="AM55" s="60" t="n">
        <f aca="true">TABLE($AG$45,$G$10,$AG55,$G$11,AM$45)</f>
        <v>-2118.63093685342</v>
      </c>
      <c r="AN55" s="60" t="n">
        <f aca="true">TABLE($AG$45,$G$10,$AG55,$G$11,AN$45)</f>
        <v>-1142.22833680555</v>
      </c>
      <c r="AO55" s="60" t="n">
        <f aca="true">TABLE($AG$45,$G$10,$AG55,$G$11,AO$45)</f>
        <v>-165.825736757663</v>
      </c>
      <c r="AP55" s="60" t="n">
        <f aca="true">TABLE($AG$45,$G$10,$AG55,$G$11,AP$45)</f>
        <v>810.576863290222</v>
      </c>
      <c r="AQ55" s="60" t="n">
        <f aca="true">TABLE($AG$45,$G$10,$AG55,$G$11,AQ$45)</f>
        <v>1786.97946333811</v>
      </c>
      <c r="AR55" s="60" t="n">
        <f aca="true">TABLE($AG$45,$G$10,$AG55,$G$11,AR$45)</f>
        <v>2763.38206338599</v>
      </c>
      <c r="AS55" s="60" t="n">
        <f aca="true">TABLE($AG$45,$G$10,$AG55,$G$11,AS$45)</f>
        <v>3739.78466343387</v>
      </c>
      <c r="AT55" s="60" t="n">
        <f aca="true">TABLE($AG$45,$G$10,$AG55,$G$11,AT$45)</f>
        <v>4716.18726348176</v>
      </c>
      <c r="AU55" s="60" t="n">
        <f aca="true">TABLE($AG$45,$G$10,$AG55,$G$11,AU$45)</f>
        <v>5692.58986352965</v>
      </c>
      <c r="AV55" s="60" t="n">
        <f aca="true">TABLE($AG$45,$G$10,$AG55,$G$11,AV$45)</f>
        <v>6668.99246357753</v>
      </c>
      <c r="AW55" s="60" t="n">
        <f aca="true">TABLE($AG$45,$G$10,$AG55,$G$11,AW$45)</f>
        <v>7645.39506362541</v>
      </c>
      <c r="AX55" s="60" t="n">
        <f aca="true">TABLE($AG$45,$G$10,$AG55,$G$11,AX$45)</f>
        <v>8621.79766367329</v>
      </c>
      <c r="AY55" s="60" t="n">
        <f aca="true">TABLE($AG$45,$G$10,$AG55,$G$11,AY$45)</f>
        <v>9598.20026372118</v>
      </c>
      <c r="AZ55" s="60" t="n">
        <f aca="true">TABLE($AG$45,$G$10,$AG55,$G$11,AZ$45)</f>
        <v>10574.6028637691</v>
      </c>
      <c r="BA55" s="60" t="n">
        <f aca="true">TABLE($AG$45,$G$10,$AG55,$G$11,BA$45)</f>
        <v>11551.005463817</v>
      </c>
      <c r="BB55" s="60" t="n">
        <f aca="true">TABLE($AG$45,$G$10,$AG55,$G$11,BB$45)</f>
        <v>12527.4080638648</v>
      </c>
      <c r="BD55" s="8"/>
    </row>
    <row r="56" customFormat="false" ht="14.5" hidden="false" customHeight="false" outlineLevel="0" collapsed="false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AG56" s="32" t="n">
        <f aca="false">$R$29*(1+$Q40)</f>
        <v>15000</v>
      </c>
      <c r="AH56" s="59" t="n">
        <f aca="true">TABLE($AG$45,$G$10,$AG56,$G$11,AH$45)</f>
        <v>-7776.70891684921</v>
      </c>
      <c r="AI56" s="60" t="n">
        <f aca="true">TABLE($AG$45,$G$10,$AG56,$G$11,AI$45)</f>
        <v>-6063.72189922135</v>
      </c>
      <c r="AJ56" s="60" t="n">
        <f aca="true">TABLE($AG$45,$G$10,$AG56,$G$11,AJ$45)</f>
        <v>-4495.31412480659</v>
      </c>
      <c r="AK56" s="60" t="n">
        <f aca="true">TABLE($AG$45,$G$10,$AG56,$G$11,AK$45)</f>
        <v>-3419.1515896527</v>
      </c>
      <c r="AL56" s="60" t="n">
        <f aca="true">TABLE($AG$45,$G$10,$AG56,$G$11,AL$45)</f>
        <v>-2375.5789894976</v>
      </c>
      <c r="AM56" s="60" t="n">
        <f aca="true">TABLE($AG$45,$G$10,$AG56,$G$11,AM$45)</f>
        <v>-1347.78677892088</v>
      </c>
      <c r="AN56" s="60" t="n">
        <f aca="true">TABLE($AG$45,$G$10,$AG56,$G$11,AN$45)</f>
        <v>-319.994568344171</v>
      </c>
      <c r="AO56" s="60" t="n">
        <f aca="true">TABLE($AG$45,$G$10,$AG56,$G$11,AO$45)</f>
        <v>707.797642232548</v>
      </c>
      <c r="AP56" s="60" t="n">
        <f aca="true">TABLE($AG$45,$G$10,$AG56,$G$11,AP$45)</f>
        <v>1735.58985280927</v>
      </c>
      <c r="AQ56" s="60" t="n">
        <f aca="true">TABLE($AG$45,$G$10,$AG56,$G$11,AQ$45)</f>
        <v>2763.38206338599</v>
      </c>
      <c r="AR56" s="60" t="n">
        <f aca="true">TABLE($AG$45,$G$10,$AG56,$G$11,AR$45)</f>
        <v>3791.17427396271</v>
      </c>
      <c r="AS56" s="60" t="n">
        <f aca="true">TABLE($AG$45,$G$10,$AG56,$G$11,AS$45)</f>
        <v>4818.96648453943</v>
      </c>
      <c r="AT56" s="60" t="n">
        <f aca="true">TABLE($AG$45,$G$10,$AG56,$G$11,AT$45)</f>
        <v>5846.75869511614</v>
      </c>
      <c r="AU56" s="60" t="n">
        <f aca="true">TABLE($AG$45,$G$10,$AG56,$G$11,AU$45)</f>
        <v>6874.55090569287</v>
      </c>
      <c r="AV56" s="60" t="n">
        <f aca="true">TABLE($AG$45,$G$10,$AG56,$G$11,AV$45)</f>
        <v>7902.3431162696</v>
      </c>
      <c r="AW56" s="60" t="n">
        <f aca="true">TABLE($AG$45,$G$10,$AG56,$G$11,AW$45)</f>
        <v>8930.13532684631</v>
      </c>
      <c r="AX56" s="60" t="n">
        <f aca="true">TABLE($AG$45,$G$10,$AG56,$G$11,AX$45)</f>
        <v>9957.92753742303</v>
      </c>
      <c r="AY56" s="60" t="n">
        <f aca="true">TABLE($AG$45,$G$10,$AG56,$G$11,AY$45)</f>
        <v>10985.7197479998</v>
      </c>
      <c r="AZ56" s="60" t="n">
        <f aca="true">TABLE($AG$45,$G$10,$AG56,$G$11,AZ$45)</f>
        <v>12013.5119585765</v>
      </c>
      <c r="BA56" s="60" t="n">
        <f aca="true">TABLE($AG$45,$G$10,$AG56,$G$11,BA$45)</f>
        <v>13041.3041691532</v>
      </c>
      <c r="BB56" s="60" t="n">
        <f aca="true">TABLE($AG$45,$G$10,$AG56,$G$11,BB$45)</f>
        <v>14069.0963797299</v>
      </c>
      <c r="BD56" s="8"/>
    </row>
    <row r="57" customFormat="false" ht="14.5" hidden="false" customHeight="false" outlineLevel="0" collapsed="false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AG57" s="32" t="n">
        <f aca="false">$R$29*(1+$Q41)</f>
        <v>15750</v>
      </c>
      <c r="AH57" s="59" t="n">
        <f aca="true">TABLE($AG$45,$G$10,$AG57,$G$11,AH$45)</f>
        <v>-6920.21540803528</v>
      </c>
      <c r="AI57" s="60" t="n">
        <f aca="true">TABLE($AG$45,$G$10,$AG57,$G$11,AI$45)</f>
        <v>-5121.57903952602</v>
      </c>
      <c r="AJ57" s="60" t="n">
        <f aca="true">TABLE($AG$45,$G$10,$AG57,$G$11,AJ$45)</f>
        <v>-3839.7367076304</v>
      </c>
      <c r="AK57" s="60" t="n">
        <f aca="true">TABLE($AG$45,$G$10,$AG57,$G$11,AK$45)</f>
        <v>-2735.70077293892</v>
      </c>
      <c r="AL57" s="60" t="n">
        <f aca="true">TABLE($AG$45,$G$10,$AG57,$G$11,AL$45)</f>
        <v>-1656.1244420939</v>
      </c>
      <c r="AM57" s="60" t="n">
        <f aca="true">TABLE($AG$45,$G$10,$AG57,$G$11,AM$45)</f>
        <v>-576.942620988344</v>
      </c>
      <c r="AN57" s="60" t="n">
        <f aca="true">TABLE($AG$45,$G$10,$AG57,$G$11,AN$45)</f>
        <v>502.239200117205</v>
      </c>
      <c r="AO57" s="60" t="n">
        <f aca="true">TABLE($AG$45,$G$10,$AG57,$G$11,AO$45)</f>
        <v>1581.42102122276</v>
      </c>
      <c r="AP57" s="60" t="n">
        <f aca="true">TABLE($AG$45,$G$10,$AG57,$G$11,AP$45)</f>
        <v>2660.60284232832</v>
      </c>
      <c r="AQ57" s="60" t="n">
        <f aca="true">TABLE($AG$45,$G$10,$AG57,$G$11,AQ$45)</f>
        <v>3739.78466343387</v>
      </c>
      <c r="AR57" s="60" t="n">
        <f aca="true">TABLE($AG$45,$G$10,$AG57,$G$11,AR$45)</f>
        <v>4818.96648453943</v>
      </c>
      <c r="AS57" s="60" t="n">
        <f aca="true">TABLE($AG$45,$G$10,$AG57,$G$11,AS$45)</f>
        <v>5898.14830564498</v>
      </c>
      <c r="AT57" s="60" t="n">
        <f aca="true">TABLE($AG$45,$G$10,$AG57,$G$11,AT$45)</f>
        <v>6977.33012675054</v>
      </c>
      <c r="AU57" s="60" t="n">
        <f aca="true">TABLE($AG$45,$G$10,$AG57,$G$11,AU$45)</f>
        <v>8056.5119478561</v>
      </c>
      <c r="AV57" s="60" t="n">
        <f aca="true">TABLE($AG$45,$G$10,$AG57,$G$11,AV$45)</f>
        <v>9135.69376896166</v>
      </c>
      <c r="AW57" s="60" t="n">
        <f aca="true">TABLE($AG$45,$G$10,$AG57,$G$11,AW$45)</f>
        <v>10214.8755900672</v>
      </c>
      <c r="AX57" s="60" t="n">
        <f aca="true">TABLE($AG$45,$G$10,$AG57,$G$11,AX$45)</f>
        <v>11294.0574111728</v>
      </c>
      <c r="AY57" s="60" t="n">
        <f aca="true">TABLE($AG$45,$G$10,$AG57,$G$11,AY$45)</f>
        <v>12373.2392322783</v>
      </c>
      <c r="AZ57" s="60" t="n">
        <f aca="true">TABLE($AG$45,$G$10,$AG57,$G$11,AZ$45)</f>
        <v>13452.4210533839</v>
      </c>
      <c r="BA57" s="60" t="n">
        <f aca="true">TABLE($AG$45,$G$10,$AG57,$G$11,BA$45)</f>
        <v>14531.6028744894</v>
      </c>
      <c r="BB57" s="60" t="n">
        <f aca="true">TABLE($AG$45,$G$10,$AG57,$G$11,BB$45)</f>
        <v>15610.784695595</v>
      </c>
      <c r="BD57" s="8"/>
    </row>
    <row r="58" customFormat="false" ht="14.5" hidden="false" customHeight="false" outlineLevel="0" collapsed="false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AG58" s="32" t="n">
        <f aca="false">$R$29*(1+$Q42)</f>
        <v>16500</v>
      </c>
      <c r="AH58" s="59" t="n">
        <f aca="true">TABLE($AG$45,$G$10,$AG58,$G$11,AH$45)</f>
        <v>-6063.72189922135</v>
      </c>
      <c r="AI58" s="60" t="n">
        <f aca="true">TABLE($AG$45,$G$10,$AG58,$G$11,AI$45)</f>
        <v>-4386.05122194389</v>
      </c>
      <c r="AJ58" s="60" t="n">
        <f aca="true">TABLE($AG$45,$G$10,$AG58,$G$11,AJ$45)</f>
        <v>-3208.85903066384</v>
      </c>
      <c r="AK58" s="60" t="n">
        <f aca="true">TABLE($AG$45,$G$10,$AG58,$G$11,AK$45)</f>
        <v>-2067.24132632459</v>
      </c>
      <c r="AL58" s="60" t="n">
        <f aca="true">TABLE($AG$45,$G$10,$AG58,$G$11,AL$45)</f>
        <v>-936.669894690196</v>
      </c>
      <c r="AM58" s="60" t="n">
        <f aca="true">TABLE($AG$45,$G$10,$AG58,$G$11,AM$45)</f>
        <v>193.901536944197</v>
      </c>
      <c r="AN58" s="60" t="n">
        <f aca="true">TABLE($AG$45,$G$10,$AG58,$G$11,AN$45)</f>
        <v>1324.47296857858</v>
      </c>
      <c r="AO58" s="60" t="n">
        <f aca="true">TABLE($AG$45,$G$10,$AG58,$G$11,AO$45)</f>
        <v>2455.04440021297</v>
      </c>
      <c r="AP58" s="60" t="n">
        <f aca="true">TABLE($AG$45,$G$10,$AG58,$G$11,AP$45)</f>
        <v>3585.61583184737</v>
      </c>
      <c r="AQ58" s="60" t="n">
        <f aca="true">TABLE($AG$45,$G$10,$AG58,$G$11,AQ$45)</f>
        <v>4716.18726348176</v>
      </c>
      <c r="AR58" s="60" t="n">
        <f aca="true">TABLE($AG$45,$G$10,$AG58,$G$11,AR$45)</f>
        <v>5846.75869511614</v>
      </c>
      <c r="AS58" s="60" t="n">
        <f aca="true">TABLE($AG$45,$G$10,$AG58,$G$11,AS$45)</f>
        <v>6977.33012675054</v>
      </c>
      <c r="AT58" s="60" t="n">
        <f aca="true">TABLE($AG$45,$G$10,$AG58,$G$11,AT$45)</f>
        <v>8107.90155838493</v>
      </c>
      <c r="AU58" s="60" t="n">
        <f aca="true">TABLE($AG$45,$G$10,$AG58,$G$11,AU$45)</f>
        <v>9238.47299001933</v>
      </c>
      <c r="AV58" s="60" t="n">
        <f aca="true">TABLE($AG$45,$G$10,$AG58,$G$11,AV$45)</f>
        <v>10369.0444216537</v>
      </c>
      <c r="AW58" s="60" t="n">
        <f aca="true">TABLE($AG$45,$G$10,$AG58,$G$11,AW$45)</f>
        <v>11499.6158532881</v>
      </c>
      <c r="AX58" s="60" t="n">
        <f aca="true">TABLE($AG$45,$G$10,$AG58,$G$11,AX$45)</f>
        <v>12630.1872849225</v>
      </c>
      <c r="AY58" s="60" t="n">
        <f aca="true">TABLE($AG$45,$G$10,$AG58,$G$11,AY$45)</f>
        <v>13760.7587165569</v>
      </c>
      <c r="AZ58" s="60" t="n">
        <f aca="true">TABLE($AG$45,$G$10,$AG58,$G$11,AZ$45)</f>
        <v>14891.3301481913</v>
      </c>
      <c r="BA58" s="60" t="n">
        <f aca="true">TABLE($AG$45,$G$10,$AG58,$G$11,BA$45)</f>
        <v>16021.9015798257</v>
      </c>
      <c r="BB58" s="60" t="n">
        <f aca="true">TABLE($AG$45,$G$10,$AG58,$G$11,BB$45)</f>
        <v>17152.4730114601</v>
      </c>
      <c r="BD58" s="8"/>
    </row>
    <row r="59" customFormat="false" ht="14.5" hidden="false" customHeight="false" outlineLevel="0" collapsed="false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AG59" s="32" t="n">
        <f aca="false">$R$29*(1+$Q43)</f>
        <v>17250</v>
      </c>
      <c r="AH59" s="59" t="n">
        <f aca="true">TABLE($AG$45,$G$10,$AG59,$G$11,AH$45)</f>
        <v>-5207.22839040741</v>
      </c>
      <c r="AI59" s="60" t="n">
        <f aca="true">TABLE($AG$45,$G$10,$AG59,$G$11,AI$45)</f>
        <v>-3787.16356788319</v>
      </c>
      <c r="AJ59" s="60" t="n">
        <f aca="true">TABLE($AG$45,$G$10,$AG59,$G$11,AJ$45)</f>
        <v>-2581.13743161295</v>
      </c>
      <c r="AK59" s="60" t="n">
        <f aca="true">TABLE($AG$45,$G$10,$AG59,$G$11,AK$45)</f>
        <v>-1399.17638944973</v>
      </c>
      <c r="AL59" s="60" t="n">
        <f aca="true">TABLE($AG$45,$G$10,$AG59,$G$11,AL$45)</f>
        <v>-217.215347286492</v>
      </c>
      <c r="AM59" s="60" t="n">
        <f aca="true">TABLE($AG$45,$G$10,$AG59,$G$11,AM$45)</f>
        <v>964.745694876736</v>
      </c>
      <c r="AN59" s="60" t="n">
        <f aca="true">TABLE($AG$45,$G$10,$AG59,$G$11,AN$45)</f>
        <v>2146.70673703996</v>
      </c>
      <c r="AO59" s="60" t="n">
        <f aca="true">TABLE($AG$45,$G$10,$AG59,$G$11,AO$45)</f>
        <v>3328.66777920319</v>
      </c>
      <c r="AP59" s="60" t="n">
        <f aca="true">TABLE($AG$45,$G$10,$AG59,$G$11,AP$45)</f>
        <v>4510.62882136642</v>
      </c>
      <c r="AQ59" s="60" t="n">
        <f aca="true">TABLE($AG$45,$G$10,$AG59,$G$11,AQ$45)</f>
        <v>5692.58986352965</v>
      </c>
      <c r="AR59" s="60" t="n">
        <f aca="true">TABLE($AG$45,$G$10,$AG59,$G$11,AR$45)</f>
        <v>6874.55090569287</v>
      </c>
      <c r="AS59" s="60" t="n">
        <f aca="true">TABLE($AG$45,$G$10,$AG59,$G$11,AS$45)</f>
        <v>8056.5119478561</v>
      </c>
      <c r="AT59" s="60" t="n">
        <f aca="true">TABLE($AG$45,$G$10,$AG59,$G$11,AT$45)</f>
        <v>9238.47299001933</v>
      </c>
      <c r="AU59" s="60" t="n">
        <f aca="true">TABLE($AG$45,$G$10,$AG59,$G$11,AU$45)</f>
        <v>10420.4340321826</v>
      </c>
      <c r="AV59" s="60" t="n">
        <f aca="true">TABLE($AG$45,$G$10,$AG59,$G$11,AV$45)</f>
        <v>11602.3950743458</v>
      </c>
      <c r="AW59" s="60" t="n">
        <f aca="true">TABLE($AG$45,$G$10,$AG59,$G$11,AW$45)</f>
        <v>12784.356116509</v>
      </c>
      <c r="AX59" s="60" t="n">
        <f aca="true">TABLE($AG$45,$G$10,$AG59,$G$11,AX$45)</f>
        <v>13966.3171586722</v>
      </c>
      <c r="AY59" s="60" t="n">
        <f aca="true">TABLE($AG$45,$G$10,$AG59,$G$11,AY$45)</f>
        <v>15148.2782008355</v>
      </c>
      <c r="AZ59" s="60" t="n">
        <f aca="true">TABLE($AG$45,$G$10,$AG59,$G$11,AZ$45)</f>
        <v>16330.2392429987</v>
      </c>
      <c r="BA59" s="60" t="n">
        <f aca="true">TABLE($AG$45,$G$10,$AG59,$G$11,BA$45)</f>
        <v>17512.2002851619</v>
      </c>
      <c r="BB59" s="60" t="n">
        <f aca="true">TABLE($AG$45,$G$10,$AG59,$G$11,BB$45)</f>
        <v>18694.1613273252</v>
      </c>
      <c r="BD59" s="8"/>
    </row>
    <row r="60" customFormat="false" ht="14.5" hidden="false" customHeight="false" outlineLevel="0" collapsed="false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AG60" s="32" t="n">
        <f aca="false">$R$29*(1+$Q44)</f>
        <v>18000</v>
      </c>
      <c r="AH60" s="59" t="n">
        <f aca="true">TABLE($AG$45,$G$10,$AG60,$G$11,AH$45)</f>
        <v>-4495.31412480659</v>
      </c>
      <c r="AI60" s="60" t="n">
        <f aca="true">TABLE($AG$45,$G$10,$AG60,$G$11,AI$45)</f>
        <v>-3208.85903066384</v>
      </c>
      <c r="AJ60" s="60" t="n">
        <f aca="true">TABLE($AG$45,$G$10,$AG60,$G$11,AJ$45)</f>
        <v>-1964.46210526692</v>
      </c>
      <c r="AK60" s="60" t="n">
        <f aca="true">TABLE($AG$45,$G$10,$AG60,$G$11,AK$45)</f>
        <v>-731.11145257486</v>
      </c>
      <c r="AL60" s="60" t="n">
        <f aca="true">TABLE($AG$45,$G$10,$AG60,$G$11,AL$45)</f>
        <v>502.239200117212</v>
      </c>
      <c r="AM60" s="60" t="n">
        <f aca="true">TABLE($AG$45,$G$10,$AG60,$G$11,AM$45)</f>
        <v>1735.58985280928</v>
      </c>
      <c r="AN60" s="60" t="n">
        <f aca="true">TABLE($AG$45,$G$10,$AG60,$G$11,AN$45)</f>
        <v>2968.94050550134</v>
      </c>
      <c r="AO60" s="60" t="n">
        <f aca="true">TABLE($AG$45,$G$10,$AG60,$G$11,AO$45)</f>
        <v>4202.2911581934</v>
      </c>
      <c r="AP60" s="60" t="n">
        <f aca="true">TABLE($AG$45,$G$10,$AG60,$G$11,AP$45)</f>
        <v>5435.64181088546</v>
      </c>
      <c r="AQ60" s="60" t="n">
        <f aca="true">TABLE($AG$45,$G$10,$AG60,$G$11,AQ$45)</f>
        <v>6668.99246357753</v>
      </c>
      <c r="AR60" s="60" t="n">
        <f aca="true">TABLE($AG$45,$G$10,$AG60,$G$11,AR$45)</f>
        <v>7902.34311626959</v>
      </c>
      <c r="AS60" s="60" t="n">
        <f aca="true">TABLE($AG$45,$G$10,$AG60,$G$11,AS$45)</f>
        <v>9135.69376896165</v>
      </c>
      <c r="AT60" s="60" t="n">
        <f aca="true">TABLE($AG$45,$G$10,$AG60,$G$11,AT$45)</f>
        <v>10369.0444216537</v>
      </c>
      <c r="AU60" s="60" t="n">
        <f aca="true">TABLE($AG$45,$G$10,$AG60,$G$11,AU$45)</f>
        <v>11602.3950743458</v>
      </c>
      <c r="AV60" s="60" t="n">
        <f aca="true">TABLE($AG$45,$G$10,$AG60,$G$11,AV$45)</f>
        <v>12835.7457270379</v>
      </c>
      <c r="AW60" s="60" t="n">
        <f aca="true">TABLE($AG$45,$G$10,$AG60,$G$11,AW$45)</f>
        <v>14069.0963797299</v>
      </c>
      <c r="AX60" s="60" t="n">
        <f aca="true">TABLE($AG$45,$G$10,$AG60,$G$11,AX$45)</f>
        <v>15302.447032422</v>
      </c>
      <c r="AY60" s="60" t="n">
        <f aca="true">TABLE($AG$45,$G$10,$AG60,$G$11,AY$45)</f>
        <v>16535.797685114</v>
      </c>
      <c r="AZ60" s="60" t="n">
        <f aca="true">TABLE($AG$45,$G$10,$AG60,$G$11,AZ$45)</f>
        <v>17769.1483378061</v>
      </c>
      <c r="BA60" s="60" t="n">
        <f aca="true">TABLE($AG$45,$G$10,$AG60,$G$11,BA$45)</f>
        <v>19002.4989904982</v>
      </c>
      <c r="BB60" s="60" t="n">
        <f aca="true">TABLE($AG$45,$G$10,$AG60,$G$11,BB$45)</f>
        <v>20235.8496431902</v>
      </c>
      <c r="BD60" s="8"/>
    </row>
    <row r="61" customFormat="false" ht="14.5" hidden="false" customHeight="false" outlineLevel="0" collapsed="false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AG61" s="32" t="n">
        <f aca="false">$R$29*(1+$Q45)</f>
        <v>18750</v>
      </c>
      <c r="AH61" s="59" t="n">
        <f aca="true">TABLE($AG$45,$G$10,$AG61,$G$11,AH$45)</f>
        <v>-3948.9996104931</v>
      </c>
      <c r="AI61" s="60" t="n">
        <f aca="true">TABLE($AG$45,$G$10,$AG61,$G$11,AI$45)</f>
        <v>-2632.52704214178</v>
      </c>
      <c r="AJ61" s="60" t="n">
        <f aca="true">TABLE($AG$45,$G$10,$AG61,$G$11,AJ$45)</f>
        <v>-1347.78677892088</v>
      </c>
      <c r="AK61" s="60" t="n">
        <f aca="true">TABLE($AG$45,$G$10,$AG61,$G$11,AK$45)</f>
        <v>-63.046515699989</v>
      </c>
      <c r="AL61" s="60" t="n">
        <f aca="true">TABLE($AG$45,$G$10,$AG61,$G$11,AL$45)</f>
        <v>1221.69374752092</v>
      </c>
      <c r="AM61" s="60" t="n">
        <f aca="true">TABLE($AG$45,$G$10,$AG61,$G$11,AM$45)</f>
        <v>2506.43401074181</v>
      </c>
      <c r="AN61" s="60" t="n">
        <f aca="true">TABLE($AG$45,$G$10,$AG61,$G$11,AN$45)</f>
        <v>3791.17427396271</v>
      </c>
      <c r="AO61" s="60" t="n">
        <f aca="true">TABLE($AG$45,$G$10,$AG61,$G$11,AO$45)</f>
        <v>5075.91453718361</v>
      </c>
      <c r="AP61" s="60" t="n">
        <f aca="true">TABLE($AG$45,$G$10,$AG61,$G$11,AP$45)</f>
        <v>6360.65480040451</v>
      </c>
      <c r="AQ61" s="60" t="n">
        <f aca="true">TABLE($AG$45,$G$10,$AG61,$G$11,AQ$45)</f>
        <v>7645.39506362541</v>
      </c>
      <c r="AR61" s="60" t="n">
        <f aca="true">TABLE($AG$45,$G$10,$AG61,$G$11,AR$45)</f>
        <v>8930.13532684631</v>
      </c>
      <c r="AS61" s="60" t="n">
        <f aca="true">TABLE($AG$45,$G$10,$AG61,$G$11,AS$45)</f>
        <v>10214.8755900672</v>
      </c>
      <c r="AT61" s="60" t="n">
        <f aca="true">TABLE($AG$45,$G$10,$AG61,$G$11,AT$45)</f>
        <v>11499.6158532881</v>
      </c>
      <c r="AU61" s="60" t="n">
        <f aca="true">TABLE($AG$45,$G$10,$AG61,$G$11,AU$45)</f>
        <v>12784.356116509</v>
      </c>
      <c r="AV61" s="60" t="n">
        <f aca="true">TABLE($AG$45,$G$10,$AG61,$G$11,AV$45)</f>
        <v>14069.0963797299</v>
      </c>
      <c r="AW61" s="60" t="n">
        <f aca="true">TABLE($AG$45,$G$10,$AG61,$G$11,AW$45)</f>
        <v>15353.8366429508</v>
      </c>
      <c r="AX61" s="60" t="n">
        <f aca="true">TABLE($AG$45,$G$10,$AG61,$G$11,AX$45)</f>
        <v>16638.5769061717</v>
      </c>
      <c r="AY61" s="60" t="n">
        <f aca="true">TABLE($AG$45,$G$10,$AG61,$G$11,AY$45)</f>
        <v>17923.3171693926</v>
      </c>
      <c r="AZ61" s="60" t="n">
        <f aca="true">TABLE($AG$45,$G$10,$AG61,$G$11,AZ$45)</f>
        <v>19208.0574326135</v>
      </c>
      <c r="BA61" s="60" t="n">
        <f aca="true">TABLE($AG$45,$G$10,$AG61,$G$11,BA$45)</f>
        <v>20492.7976958344</v>
      </c>
      <c r="BB61" s="60" t="n">
        <f aca="true">TABLE($AG$45,$G$10,$AG61,$G$11,BB$45)</f>
        <v>21777.5379590553</v>
      </c>
      <c r="BD61" s="8"/>
    </row>
    <row r="62" customFormat="false" ht="14.5" hidden="false" customHeight="false" outlineLevel="0" collapsed="false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AG62" s="32" t="n">
        <f aca="false">$R$29*(1+$Q46)</f>
        <v>19500</v>
      </c>
      <c r="AH62" s="59" t="n">
        <f aca="true">TABLE($AG$45,$G$10,$AG62,$G$11,AH$45)</f>
        <v>-3419.15158965269</v>
      </c>
      <c r="AI62" s="60" t="n">
        <f aca="true">TABLE($AG$45,$G$10,$AG62,$G$11,AI$45)</f>
        <v>-2067.24132632459</v>
      </c>
      <c r="AJ62" s="60" t="n">
        <f aca="true">TABLE($AG$45,$G$10,$AG62,$G$11,AJ$45)</f>
        <v>-731.111452574853</v>
      </c>
      <c r="AK62" s="60" t="n">
        <f aca="true">TABLE($AG$45,$G$10,$AG62,$G$11,AK$45)</f>
        <v>605.018421174878</v>
      </c>
      <c r="AL62" s="60" t="n">
        <f aca="true">TABLE($AG$45,$G$10,$AG62,$G$11,AL$45)</f>
        <v>1941.14829492462</v>
      </c>
      <c r="AM62" s="60" t="n">
        <f aca="true">TABLE($AG$45,$G$10,$AG62,$G$11,AM$45)</f>
        <v>3277.27816867435</v>
      </c>
      <c r="AN62" s="60" t="n">
        <f aca="true">TABLE($AG$45,$G$10,$AG62,$G$11,AN$45)</f>
        <v>4613.40804242409</v>
      </c>
      <c r="AO62" s="60" t="n">
        <f aca="true">TABLE($AG$45,$G$10,$AG62,$G$11,AO$45)</f>
        <v>5949.53791617382</v>
      </c>
      <c r="AP62" s="60" t="n">
        <f aca="true">TABLE($AG$45,$G$10,$AG62,$G$11,AP$45)</f>
        <v>7285.66778992356</v>
      </c>
      <c r="AQ62" s="60" t="n">
        <f aca="true">TABLE($AG$45,$G$10,$AG62,$G$11,AQ$45)</f>
        <v>8621.7976636733</v>
      </c>
      <c r="AR62" s="60" t="n">
        <f aca="true">TABLE($AG$45,$G$10,$AG62,$G$11,AR$45)</f>
        <v>9957.92753742303</v>
      </c>
      <c r="AS62" s="60" t="n">
        <f aca="true">TABLE($AG$45,$G$10,$AG62,$G$11,AS$45)</f>
        <v>11294.0574111728</v>
      </c>
      <c r="AT62" s="60" t="n">
        <f aca="true">TABLE($AG$45,$G$10,$AG62,$G$11,AT$45)</f>
        <v>12630.1872849225</v>
      </c>
      <c r="AU62" s="60" t="n">
        <f aca="true">TABLE($AG$45,$G$10,$AG62,$G$11,AU$45)</f>
        <v>13966.3171586722</v>
      </c>
      <c r="AV62" s="60" t="n">
        <f aca="true">TABLE($AG$45,$G$10,$AG62,$G$11,AV$45)</f>
        <v>15302.447032422</v>
      </c>
      <c r="AW62" s="60" t="n">
        <f aca="true">TABLE($AG$45,$G$10,$AG62,$G$11,AW$45)</f>
        <v>16638.5769061717</v>
      </c>
      <c r="AX62" s="60" t="n">
        <f aca="true">TABLE($AG$45,$G$10,$AG62,$G$11,AX$45)</f>
        <v>17974.7067799215</v>
      </c>
      <c r="AY62" s="60" t="n">
        <f aca="true">TABLE($AG$45,$G$10,$AG62,$G$11,AY$45)</f>
        <v>19310.8366536712</v>
      </c>
      <c r="AZ62" s="60" t="n">
        <f aca="true">TABLE($AG$45,$G$10,$AG62,$G$11,AZ$45)</f>
        <v>20646.9665274209</v>
      </c>
      <c r="BA62" s="60" t="n">
        <f aca="true">TABLE($AG$45,$G$10,$AG62,$G$11,BA$45)</f>
        <v>21983.0964011707</v>
      </c>
      <c r="BB62" s="60" t="n">
        <f aca="true">TABLE($AG$45,$G$10,$AG62,$G$11,BB$45)</f>
        <v>23319.2262749204</v>
      </c>
      <c r="BD62" s="8"/>
    </row>
    <row r="63" customFormat="false" ht="14.5" hidden="false" customHeight="false" outlineLevel="0" collapsed="false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AG63" s="32" t="n">
        <f aca="false">$R$29*(1+$Q47)</f>
        <v>20250</v>
      </c>
      <c r="AH63" s="59" t="n">
        <f aca="true">TABLE($AG$45,$G$10,$AG63,$G$11,AH$45)</f>
        <v>-2893.42019218056</v>
      </c>
      <c r="AI63" s="60" t="n">
        <f aca="true">TABLE($AG$45,$G$10,$AG63,$G$11,AI$45)</f>
        <v>-1501.95561050739</v>
      </c>
      <c r="AJ63" s="60" t="n">
        <f aca="true">TABLE($AG$45,$G$10,$AG63,$G$11,AJ$45)</f>
        <v>-114.436126228818</v>
      </c>
      <c r="AK63" s="60" t="n">
        <f aca="true">TABLE($AG$45,$G$10,$AG63,$G$11,AK$45)</f>
        <v>1273.08335804975</v>
      </c>
      <c r="AL63" s="60" t="n">
        <f aca="true">TABLE($AG$45,$G$10,$AG63,$G$11,AL$45)</f>
        <v>2660.60284232832</v>
      </c>
      <c r="AM63" s="60" t="n">
        <f aca="true">TABLE($AG$45,$G$10,$AG63,$G$11,AM$45)</f>
        <v>4048.12232660689</v>
      </c>
      <c r="AN63" s="60" t="n">
        <f aca="true">TABLE($AG$45,$G$10,$AG63,$G$11,AN$45)</f>
        <v>5435.64181088546</v>
      </c>
      <c r="AO63" s="60" t="n">
        <f aca="true">TABLE($AG$45,$G$10,$AG63,$G$11,AO$45)</f>
        <v>6823.16129516403</v>
      </c>
      <c r="AP63" s="60" t="n">
        <f aca="true">TABLE($AG$45,$G$10,$AG63,$G$11,AP$45)</f>
        <v>8210.68077944261</v>
      </c>
      <c r="AQ63" s="60" t="n">
        <f aca="true">TABLE($AG$45,$G$10,$AG63,$G$11,AQ$45)</f>
        <v>9598.20026372118</v>
      </c>
      <c r="AR63" s="60" t="n">
        <f aca="true">TABLE($AG$45,$G$10,$AG63,$G$11,AR$45)</f>
        <v>10985.7197479998</v>
      </c>
      <c r="AS63" s="60" t="n">
        <f aca="true">TABLE($AG$45,$G$10,$AG63,$G$11,AS$45)</f>
        <v>12373.2392322783</v>
      </c>
      <c r="AT63" s="60" t="n">
        <f aca="true">TABLE($AG$45,$G$10,$AG63,$G$11,AT$45)</f>
        <v>13760.7587165569</v>
      </c>
      <c r="AU63" s="60" t="n">
        <f aca="true">TABLE($AG$45,$G$10,$AG63,$G$11,AU$45)</f>
        <v>15148.2782008355</v>
      </c>
      <c r="AV63" s="60" t="n">
        <f aca="true">TABLE($AG$45,$G$10,$AG63,$G$11,AV$45)</f>
        <v>16535.7976851141</v>
      </c>
      <c r="AW63" s="60" t="n">
        <f aca="true">TABLE($AG$45,$G$10,$AG63,$G$11,AW$45)</f>
        <v>17923.3171693926</v>
      </c>
      <c r="AX63" s="60" t="n">
        <f aca="true">TABLE($AG$45,$G$10,$AG63,$G$11,AX$45)</f>
        <v>19310.8366536712</v>
      </c>
      <c r="AY63" s="60" t="n">
        <f aca="true">TABLE($AG$45,$G$10,$AG63,$G$11,AY$45)</f>
        <v>20698.3561379498</v>
      </c>
      <c r="AZ63" s="60" t="n">
        <f aca="true">TABLE($AG$45,$G$10,$AG63,$G$11,AZ$45)</f>
        <v>22085.8756222283</v>
      </c>
      <c r="BA63" s="60" t="n">
        <f aca="true">TABLE($AG$45,$G$10,$AG63,$G$11,BA$45)</f>
        <v>23473.3951065069</v>
      </c>
      <c r="BB63" s="60" t="n">
        <f aca="true">TABLE($AG$45,$G$10,$AG63,$G$11,BB$45)</f>
        <v>24860.9145907855</v>
      </c>
      <c r="BD63" s="8"/>
    </row>
    <row r="64" customFormat="false" ht="14.5" hidden="false" customHeight="false" outlineLevel="0" collapsed="false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AG64" s="32" t="n">
        <f aca="false">$R$29*(1+$Q48)</f>
        <v>21000</v>
      </c>
      <c r="AH64" s="59" t="n">
        <f aca="true">TABLE($AG$45,$G$10,$AG64,$G$11,AH$45)</f>
        <v>-2375.5789894976</v>
      </c>
      <c r="AI64" s="60" t="n">
        <f aca="true">TABLE($AG$45,$G$10,$AG64,$G$11,AI$45)</f>
        <v>-936.669894690196</v>
      </c>
      <c r="AJ64" s="60" t="n">
        <f aca="true">TABLE($AG$45,$G$10,$AG64,$G$11,AJ$45)</f>
        <v>502.239200117212</v>
      </c>
      <c r="AK64" s="60" t="n">
        <f aca="true">TABLE($AG$45,$G$10,$AG64,$G$11,AK$45)</f>
        <v>1941.14829492461</v>
      </c>
      <c r="AL64" s="60" t="n">
        <f aca="true">TABLE($AG$45,$G$10,$AG64,$G$11,AL$45)</f>
        <v>3380.05738973202</v>
      </c>
      <c r="AM64" s="60" t="n">
        <f aca="true">TABLE($AG$45,$G$10,$AG64,$G$11,AM$45)</f>
        <v>4818.96648453943</v>
      </c>
      <c r="AN64" s="60" t="n">
        <f aca="true">TABLE($AG$45,$G$10,$AG64,$G$11,AN$45)</f>
        <v>6257.87557934684</v>
      </c>
      <c r="AO64" s="60" t="n">
        <f aca="true">TABLE($AG$45,$G$10,$AG64,$G$11,AO$45)</f>
        <v>7696.78467415424</v>
      </c>
      <c r="AP64" s="60" t="n">
        <f aca="true">TABLE($AG$45,$G$10,$AG64,$G$11,AP$45)</f>
        <v>9135.69376896165</v>
      </c>
      <c r="AQ64" s="60" t="n">
        <f aca="true">TABLE($AG$45,$G$10,$AG64,$G$11,AQ$45)</f>
        <v>10574.6028637691</v>
      </c>
      <c r="AR64" s="60" t="n">
        <f aca="true">TABLE($AG$45,$G$10,$AG64,$G$11,AR$45)</f>
        <v>12013.5119585765</v>
      </c>
      <c r="AS64" s="60" t="n">
        <f aca="true">TABLE($AG$45,$G$10,$AG64,$G$11,AS$45)</f>
        <v>13452.4210533839</v>
      </c>
      <c r="AT64" s="60" t="n">
        <f aca="true">TABLE($AG$45,$G$10,$AG64,$G$11,AT$45)</f>
        <v>14891.3301481913</v>
      </c>
      <c r="AU64" s="60" t="n">
        <f aca="true">TABLE($AG$45,$G$10,$AG64,$G$11,AU$45)</f>
        <v>16330.2392429987</v>
      </c>
      <c r="AV64" s="60" t="n">
        <f aca="true">TABLE($AG$45,$G$10,$AG64,$G$11,AV$45)</f>
        <v>17769.1483378061</v>
      </c>
      <c r="AW64" s="60" t="n">
        <f aca="true">TABLE($AG$45,$G$10,$AG64,$G$11,AW$45)</f>
        <v>19208.0574326135</v>
      </c>
      <c r="AX64" s="60" t="n">
        <f aca="true">TABLE($AG$45,$G$10,$AG64,$G$11,AX$45)</f>
        <v>20646.9665274209</v>
      </c>
      <c r="AY64" s="60" t="n">
        <f aca="true">TABLE($AG$45,$G$10,$AG64,$G$11,AY$45)</f>
        <v>22085.8756222283</v>
      </c>
      <c r="AZ64" s="60" t="n">
        <f aca="true">TABLE($AG$45,$G$10,$AG64,$G$11,AZ$45)</f>
        <v>23524.7847170357</v>
      </c>
      <c r="BA64" s="60" t="n">
        <f aca="true">TABLE($AG$45,$G$10,$AG64,$G$11,BA$45)</f>
        <v>24963.6938118431</v>
      </c>
      <c r="BB64" s="60" t="n">
        <f aca="true">TABLE($AG$45,$G$10,$AG64,$G$11,BB$45)</f>
        <v>26402.6029066506</v>
      </c>
      <c r="BD64" s="8"/>
    </row>
    <row r="65" customFormat="false" ht="14.5" hidden="false" customHeight="false" outlineLevel="0" collapsed="false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AG65" s="32" t="n">
        <f aca="false">$R$29*(1+$Q49)</f>
        <v>21750</v>
      </c>
      <c r="AH65" s="59" t="n">
        <f aca="true">TABLE($AG$45,$G$10,$AG65,$G$11,AH$45)</f>
        <v>-1861.68288420925</v>
      </c>
      <c r="AI65" s="60" t="n">
        <f aca="true">TABLE($AG$45,$G$10,$AG65,$G$11,AI$45)</f>
        <v>-371.384178873001</v>
      </c>
      <c r="AJ65" s="60" t="n">
        <f aca="true">TABLE($AG$45,$G$10,$AG65,$G$11,AJ$45)</f>
        <v>1118.91452646325</v>
      </c>
      <c r="AK65" s="60" t="n">
        <f aca="true">TABLE($AG$45,$G$10,$AG65,$G$11,AK$45)</f>
        <v>2609.21323179948</v>
      </c>
      <c r="AL65" s="60" t="n">
        <f aca="true">TABLE($AG$45,$G$10,$AG65,$G$11,AL$45)</f>
        <v>4099.51193713573</v>
      </c>
      <c r="AM65" s="60" t="n">
        <f aca="true">TABLE($AG$45,$G$10,$AG65,$G$11,AM$45)</f>
        <v>5589.81064247197</v>
      </c>
      <c r="AN65" s="60" t="n">
        <f aca="true">TABLE($AG$45,$G$10,$AG65,$G$11,AN$45)</f>
        <v>7080.10934780822</v>
      </c>
      <c r="AO65" s="60" t="n">
        <f aca="true">TABLE($AG$45,$G$10,$AG65,$G$11,AO$45)</f>
        <v>8570.40805314446</v>
      </c>
      <c r="AP65" s="60" t="n">
        <f aca="true">TABLE($AG$45,$G$10,$AG65,$G$11,AP$45)</f>
        <v>10060.7067584807</v>
      </c>
      <c r="AQ65" s="60" t="n">
        <f aca="true">TABLE($AG$45,$G$10,$AG65,$G$11,AQ$45)</f>
        <v>11551.005463817</v>
      </c>
      <c r="AR65" s="60" t="n">
        <f aca="true">TABLE($AG$45,$G$10,$AG65,$G$11,AR$45)</f>
        <v>13041.3041691532</v>
      </c>
      <c r="AS65" s="60" t="n">
        <f aca="true">TABLE($AG$45,$G$10,$AG65,$G$11,AS$45)</f>
        <v>14531.6028744894</v>
      </c>
      <c r="AT65" s="60" t="n">
        <f aca="true">TABLE($AG$45,$G$10,$AG65,$G$11,AT$45)</f>
        <v>16021.9015798257</v>
      </c>
      <c r="AU65" s="60" t="n">
        <f aca="true">TABLE($AG$45,$G$10,$AG65,$G$11,AU$45)</f>
        <v>17512.2002851619</v>
      </c>
      <c r="AV65" s="60" t="n">
        <f aca="true">TABLE($AG$45,$G$10,$AG65,$G$11,AV$45)</f>
        <v>19002.4989904982</v>
      </c>
      <c r="AW65" s="60" t="n">
        <f aca="true">TABLE($AG$45,$G$10,$AG65,$G$11,AW$45)</f>
        <v>20492.7976958344</v>
      </c>
      <c r="AX65" s="60" t="n">
        <f aca="true">TABLE($AG$45,$G$10,$AG65,$G$11,AX$45)</f>
        <v>21983.0964011707</v>
      </c>
      <c r="AY65" s="60" t="n">
        <f aca="true">TABLE($AG$45,$G$10,$AG65,$G$11,AY$45)</f>
        <v>23473.3951065069</v>
      </c>
      <c r="AZ65" s="60" t="n">
        <f aca="true">TABLE($AG$45,$G$10,$AG65,$G$11,AZ$45)</f>
        <v>24963.6938118431</v>
      </c>
      <c r="BA65" s="60" t="n">
        <f aca="true">TABLE($AG$45,$G$10,$AG65,$G$11,BA$45)</f>
        <v>26453.9925171794</v>
      </c>
      <c r="BB65" s="60" t="n">
        <f aca="true">TABLE($AG$45,$G$10,$AG65,$G$11,BB$45)</f>
        <v>27944.2912225156</v>
      </c>
      <c r="BD65" s="8"/>
    </row>
    <row r="66" customFormat="false" ht="14.5" hidden="false" customHeight="false" outlineLevel="0" collapsed="false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AG66" s="32" t="n">
        <f aca="false">$R$29*(1+$Q50)</f>
        <v>22500</v>
      </c>
      <c r="AH66" s="59" t="n">
        <f aca="true">TABLE($AG$45,$G$10,$AG66,$G$11,AH$45)</f>
        <v>-1347.78677892088</v>
      </c>
      <c r="AI66" s="60" t="n">
        <f aca="true">TABLE($AG$45,$G$10,$AG66,$G$11,AI$45)</f>
        <v>193.901536944197</v>
      </c>
      <c r="AJ66" s="60" t="n">
        <f aca="true">TABLE($AG$45,$G$10,$AG66,$G$11,AJ$45)</f>
        <v>1735.58985280928</v>
      </c>
      <c r="AK66" s="60" t="n">
        <f aca="true">TABLE($AG$45,$G$10,$AG66,$G$11,AK$45)</f>
        <v>3277.27816867435</v>
      </c>
      <c r="AL66" s="60" t="n">
        <f aca="true">TABLE($AG$45,$G$10,$AG66,$G$11,AL$45)</f>
        <v>4818.96648453943</v>
      </c>
      <c r="AM66" s="60" t="n">
        <f aca="true">TABLE($AG$45,$G$10,$AG66,$G$11,AM$45)</f>
        <v>6360.65480040451</v>
      </c>
      <c r="AN66" s="60" t="n">
        <f aca="true">TABLE($AG$45,$G$10,$AG66,$G$11,AN$45)</f>
        <v>7902.3431162696</v>
      </c>
      <c r="AO66" s="60" t="n">
        <f aca="true">TABLE($AG$45,$G$10,$AG66,$G$11,AO$45)</f>
        <v>9444.03143213467</v>
      </c>
      <c r="AP66" s="60" t="n">
        <f aca="true">TABLE($AG$45,$G$10,$AG66,$G$11,AP$45)</f>
        <v>10985.7197479998</v>
      </c>
      <c r="AQ66" s="60" t="n">
        <f aca="true">TABLE($AG$45,$G$10,$AG66,$G$11,AQ$45)</f>
        <v>12527.4080638648</v>
      </c>
      <c r="AR66" s="60" t="n">
        <f aca="true">TABLE($AG$45,$G$10,$AG66,$G$11,AR$45)</f>
        <v>14069.0963797299</v>
      </c>
      <c r="AS66" s="60" t="n">
        <f aca="true">TABLE($AG$45,$G$10,$AG66,$G$11,AS$45)</f>
        <v>15610.784695595</v>
      </c>
      <c r="AT66" s="60" t="n">
        <f aca="true">TABLE($AG$45,$G$10,$AG66,$G$11,AT$45)</f>
        <v>17152.4730114601</v>
      </c>
      <c r="AU66" s="60" t="n">
        <f aca="true">TABLE($AG$45,$G$10,$AG66,$G$11,AU$45)</f>
        <v>18694.1613273252</v>
      </c>
      <c r="AV66" s="60" t="n">
        <f aca="true">TABLE($AG$45,$G$10,$AG66,$G$11,AV$45)</f>
        <v>20235.8496431902</v>
      </c>
      <c r="AW66" s="60" t="n">
        <f aca="true">TABLE($AG$45,$G$10,$AG66,$G$11,AW$45)</f>
        <v>21777.5379590553</v>
      </c>
      <c r="AX66" s="60" t="n">
        <f aca="true">TABLE($AG$45,$G$10,$AG66,$G$11,AX$45)</f>
        <v>23319.2262749204</v>
      </c>
      <c r="AY66" s="60" t="n">
        <f aca="true">TABLE($AG$45,$G$10,$AG66,$G$11,AY$45)</f>
        <v>24860.9145907855</v>
      </c>
      <c r="AZ66" s="60" t="n">
        <f aca="true">TABLE($AG$45,$G$10,$AG66,$G$11,AZ$45)</f>
        <v>26402.6029066506</v>
      </c>
      <c r="BA66" s="60" t="n">
        <f aca="true">TABLE($AG$45,$G$10,$AG66,$G$11,BA$45)</f>
        <v>27944.2912225156</v>
      </c>
      <c r="BB66" s="60" t="n">
        <f aca="true">TABLE($AG$45,$G$10,$AG66,$G$11,BB$45)</f>
        <v>29485.9795383807</v>
      </c>
      <c r="BD66" s="8"/>
    </row>
    <row r="67" customFormat="false" ht="14.5" hidden="false" customHeight="false" outlineLevel="0" collapsed="false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BD67" s="8"/>
    </row>
    <row r="68" customFormat="false" ht="14.5" hidden="false" customHeight="false" outlineLevel="0" collapsed="false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BD68" s="8"/>
    </row>
    <row r="69" customFormat="false" ht="14.5" hidden="false" customHeight="false" outlineLevel="0" collapsed="false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BD69" s="8"/>
    </row>
    <row r="70" customFormat="false" ht="14.5" hidden="false" customHeight="false" outlineLevel="0" collapsed="false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BD70" s="8"/>
    </row>
    <row r="71" customFormat="false" ht="14.5" hidden="false" customHeight="false" outlineLevel="0" collapsed="false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BD71" s="8"/>
    </row>
    <row r="72" customFormat="false" ht="14.5" hidden="false" customHeight="false" outlineLevel="0" collapsed="false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BD72" s="8"/>
    </row>
    <row r="73" customFormat="false" ht="14.5" hidden="false" customHeight="false" outlineLevel="0" collapsed="false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BD73" s="8"/>
    </row>
    <row r="74" customFormat="false" ht="15.5" hidden="false" customHeight="false" outlineLevel="0" collapsed="false">
      <c r="A74" s="8"/>
      <c r="B74" s="61" t="s">
        <v>61</v>
      </c>
      <c r="C74" s="62" t="s">
        <v>41</v>
      </c>
      <c r="D74" s="62" t="s">
        <v>38</v>
      </c>
      <c r="E74" s="62" t="s">
        <v>45</v>
      </c>
      <c r="F74" s="62" t="s">
        <v>62</v>
      </c>
      <c r="G74" s="62" t="s">
        <v>63</v>
      </c>
      <c r="H74" s="8"/>
      <c r="I74" s="8"/>
      <c r="J74" s="8"/>
      <c r="K74" s="8"/>
      <c r="L74" s="8"/>
      <c r="M74" s="8"/>
      <c r="N74" s="8"/>
      <c r="O74" s="8"/>
      <c r="BD74" s="8"/>
    </row>
    <row r="75" customFormat="false" ht="15.5" hidden="false" customHeight="false" outlineLevel="0" collapsed="false">
      <c r="A75" s="8"/>
      <c r="B75" s="63" t="s">
        <v>64</v>
      </c>
      <c r="C75" s="64" t="n">
        <v>20000</v>
      </c>
      <c r="D75" s="64" t="n">
        <v>2500</v>
      </c>
      <c r="E75" s="65" t="n">
        <v>17495.0704149857</v>
      </c>
      <c r="F75" s="64" t="n">
        <v>0.2</v>
      </c>
      <c r="G75" s="66" t="n">
        <f aca="false">E75*F75</f>
        <v>3499.01408299714</v>
      </c>
      <c r="H75" s="8"/>
      <c r="I75" s="8"/>
      <c r="J75" s="8"/>
      <c r="K75" s="8"/>
      <c r="L75" s="8"/>
      <c r="M75" s="8"/>
      <c r="N75" s="8"/>
      <c r="O75" s="8"/>
      <c r="BD75" s="8"/>
    </row>
    <row r="76" customFormat="false" ht="15.5" hidden="false" customHeight="false" outlineLevel="0" collapsed="false">
      <c r="A76" s="8"/>
      <c r="B76" s="63" t="s">
        <v>65</v>
      </c>
      <c r="C76" s="64" t="n">
        <v>15000</v>
      </c>
      <c r="D76" s="64" t="n">
        <v>2000</v>
      </c>
      <c r="E76" s="65" t="n">
        <v>3791.17427396272</v>
      </c>
      <c r="F76" s="64" t="n">
        <v>0.6</v>
      </c>
      <c r="G76" s="66" t="n">
        <f aca="false">E76*F76</f>
        <v>2274.70456437763</v>
      </c>
      <c r="H76" s="8"/>
      <c r="I76" s="8"/>
      <c r="J76" s="8"/>
      <c r="K76" s="8"/>
      <c r="L76" s="8"/>
      <c r="M76" s="8"/>
      <c r="N76" s="8"/>
      <c r="O76" s="8"/>
      <c r="BD76" s="8"/>
    </row>
    <row r="77" customFormat="false" ht="15.5" hidden="false" customHeight="false" outlineLevel="0" collapsed="false">
      <c r="A77" s="8"/>
      <c r="B77" s="67" t="s">
        <v>66</v>
      </c>
      <c r="C77" s="68" t="n">
        <v>10000</v>
      </c>
      <c r="D77" s="68" t="n">
        <v>1500</v>
      </c>
      <c r="E77" s="69" t="n">
        <v>-7776.70891684921</v>
      </c>
      <c r="F77" s="68" t="n">
        <v>0.2</v>
      </c>
      <c r="G77" s="70" t="n">
        <f aca="false">E77*F77</f>
        <v>-1555.34178336984</v>
      </c>
      <c r="H77" s="8"/>
      <c r="I77" s="8"/>
      <c r="J77" s="8"/>
      <c r="K77" s="8"/>
      <c r="L77" s="8"/>
      <c r="M77" s="8"/>
      <c r="N77" s="8"/>
      <c r="O77" s="8"/>
      <c r="BD77" s="8"/>
    </row>
    <row r="78" customFormat="false" ht="15.5" hidden="false" customHeight="false" outlineLevel="0" collapsed="false">
      <c r="A78" s="8"/>
      <c r="B78" s="63"/>
      <c r="C78" s="63"/>
      <c r="D78" s="63"/>
      <c r="E78" s="63"/>
      <c r="F78" s="71" t="s">
        <v>67</v>
      </c>
      <c r="G78" s="72" t="n">
        <f aca="false">SUM(G75:G77)</f>
        <v>4218.37686400493</v>
      </c>
      <c r="H78" s="8"/>
      <c r="I78" s="8"/>
      <c r="J78" s="8"/>
      <c r="K78" s="8"/>
      <c r="L78" s="8"/>
      <c r="M78" s="8"/>
      <c r="N78" s="8"/>
      <c r="O78" s="8"/>
      <c r="BD78" s="8"/>
    </row>
    <row r="79" customFormat="false" ht="15.5" hidden="false" customHeight="false" outlineLevel="0" collapsed="false">
      <c r="A79" s="8"/>
      <c r="B79" s="63"/>
      <c r="C79" s="63"/>
      <c r="D79" s="63"/>
      <c r="E79" s="63"/>
      <c r="F79" s="71" t="s">
        <v>68</v>
      </c>
      <c r="G79" s="73" t="n">
        <f aca="false">SQRT((F75*(E75-G78)^2+F76*(E76-G78)^2+F77*(E77-G78)^2))</f>
        <v>8008.74747629765</v>
      </c>
      <c r="H79" s="8"/>
      <c r="I79" s="8"/>
      <c r="J79" s="8"/>
      <c r="K79" s="8"/>
      <c r="L79" s="8"/>
      <c r="M79" s="8"/>
      <c r="N79" s="8"/>
      <c r="O79" s="8"/>
      <c r="BD79" s="8"/>
    </row>
    <row r="80" customFormat="false" ht="15.5" hidden="false" customHeight="false" outlineLevel="0" collapsed="false">
      <c r="A80" s="8"/>
      <c r="B80" s="63"/>
      <c r="C80" s="63"/>
      <c r="D80" s="63"/>
      <c r="E80" s="63"/>
      <c r="F80" s="71" t="s">
        <v>69</v>
      </c>
      <c r="G80" s="74" t="n">
        <f aca="false">G79/G78</f>
        <v>1.89853769221893</v>
      </c>
      <c r="H80" s="8"/>
      <c r="I80" s="8"/>
      <c r="J80" s="8"/>
      <c r="K80" s="8"/>
      <c r="L80" s="8"/>
      <c r="M80" s="8"/>
      <c r="N80" s="8"/>
      <c r="O80" s="8"/>
      <c r="BD80" s="8"/>
    </row>
    <row r="81" customFormat="false" ht="14.5" hidden="false" customHeight="false" outlineLevel="0" collapsed="false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BD81" s="8"/>
    </row>
    <row r="82" customFormat="false" ht="14.5" hidden="false" customHeight="false" outlineLevel="0" collapsed="false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BD82" s="8"/>
    </row>
    <row r="83" customFormat="false" ht="14.5" hidden="false" customHeight="false" outlineLevel="0" collapsed="false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BD83" s="8"/>
    </row>
    <row r="84" customFormat="false" ht="14.5" hidden="false" customHeight="false" outlineLevel="0" collapsed="false">
      <c r="A84" s="8"/>
      <c r="B84" s="8"/>
      <c r="C84" s="8"/>
      <c r="D84" s="8"/>
      <c r="E84" s="8"/>
      <c r="F84" s="8"/>
      <c r="G84" s="8"/>
      <c r="H84" s="8"/>
      <c r="I84" s="8"/>
      <c r="J84" s="8" t="s">
        <v>70</v>
      </c>
      <c r="K84" s="8"/>
      <c r="L84" s="8"/>
      <c r="M84" s="8"/>
      <c r="N84" s="8"/>
      <c r="O84" s="8"/>
      <c r="BD84" s="8"/>
    </row>
    <row r="85" customFormat="false" ht="14.5" hidden="false" customHeight="false" outlineLevel="0" collapsed="false">
      <c r="A85" s="8"/>
      <c r="B85" s="45" t="s">
        <v>71</v>
      </c>
      <c r="C85" s="45"/>
      <c r="D85" s="8"/>
      <c r="E85" s="8"/>
      <c r="F85" s="8"/>
      <c r="G85" s="8"/>
      <c r="H85" s="8"/>
      <c r="I85" s="8"/>
      <c r="J85" s="8" t="s">
        <v>72</v>
      </c>
      <c r="K85" s="8"/>
      <c r="L85" s="8"/>
      <c r="M85" s="8"/>
      <c r="N85" s="8"/>
      <c r="O85" s="8"/>
      <c r="BD85" s="8"/>
    </row>
    <row r="86" customFormat="false" ht="14.5" hidden="false" customHeight="false" outlineLevel="0" collapsed="false">
      <c r="A86" s="8"/>
      <c r="B86" s="10" t="s">
        <v>73</v>
      </c>
      <c r="C86" s="13" t="n">
        <v>1000</v>
      </c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BD86" s="8"/>
    </row>
    <row r="87" customFormat="false" ht="14.5" hidden="false" customHeight="false" outlineLevel="0" collapsed="false">
      <c r="A87" s="8"/>
      <c r="B87" s="75" t="s">
        <v>74</v>
      </c>
      <c r="C87" s="7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BD87" s="8"/>
    </row>
    <row r="88" customFormat="false" ht="14.5" hidden="false" customHeight="false" outlineLevel="0" collapsed="false">
      <c r="A88" s="8"/>
      <c r="B88" s="10" t="s">
        <v>14</v>
      </c>
      <c r="C88" s="13" t="n">
        <v>0</v>
      </c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BD88" s="8"/>
    </row>
    <row r="89" customFormat="false" ht="14.5" hidden="false" customHeight="false" outlineLevel="0" collapsed="false">
      <c r="A89" s="8"/>
      <c r="B89" s="10" t="s">
        <v>15</v>
      </c>
      <c r="C89" s="13" t="n">
        <v>0</v>
      </c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BD89" s="8"/>
    </row>
    <row r="90" customFormat="false" ht="14.5" hidden="false" customHeight="false" outlineLevel="0" collapsed="false">
      <c r="A90" s="8"/>
      <c r="B90" s="10" t="s">
        <v>16</v>
      </c>
      <c r="C90" s="13" t="n">
        <v>200</v>
      </c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BD90" s="8"/>
    </row>
    <row r="91" customFormat="false" ht="7.5" hidden="false" customHeight="true" outlineLevel="0" collapsed="false">
      <c r="A91" s="8"/>
      <c r="B91" s="10"/>
      <c r="C91" s="13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BD91" s="8"/>
    </row>
    <row r="92" customFormat="false" ht="14.5" hidden="false" customHeight="false" outlineLevel="0" collapsed="false">
      <c r="A92" s="8"/>
      <c r="B92" s="10" t="s">
        <v>17</v>
      </c>
      <c r="C92" s="13" t="n">
        <v>0</v>
      </c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BD92" s="8"/>
    </row>
    <row r="93" customFormat="false" ht="14.5" hidden="false" customHeight="false" outlineLevel="0" collapsed="false">
      <c r="A93" s="8"/>
      <c r="B93" s="10" t="s">
        <v>18</v>
      </c>
      <c r="C93" s="13" t="n">
        <v>4000</v>
      </c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BD93" s="8"/>
    </row>
    <row r="94" customFormat="false" ht="14.5" hidden="false" customHeight="false" outlineLevel="0" collapsed="false">
      <c r="A94" s="8"/>
      <c r="B94" s="10" t="s">
        <v>19</v>
      </c>
      <c r="C94" s="13" t="n">
        <v>0.2</v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BD94" s="8"/>
    </row>
    <row r="95" customFormat="false" ht="14.5" hidden="false" customHeight="false" outlineLevel="0" collapsed="false">
      <c r="A95" s="8"/>
      <c r="B95" s="10" t="s">
        <v>20</v>
      </c>
      <c r="C95" s="13" t="n">
        <v>0.05</v>
      </c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BD95" s="8"/>
    </row>
    <row r="96" customFormat="false" ht="14.5" hidden="false" customHeight="false" outlineLevel="0" collapsed="false">
      <c r="A96" s="8"/>
      <c r="B96" s="10" t="s">
        <v>22</v>
      </c>
      <c r="C96" s="13" t="n">
        <v>0</v>
      </c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BD96" s="8"/>
    </row>
    <row r="97" customFormat="false" ht="14.5" hidden="false" customHeight="false" outlineLevel="0" collapsed="false">
      <c r="A97" s="8"/>
      <c r="B97" s="10" t="s">
        <v>23</v>
      </c>
      <c r="C97" s="13" t="n">
        <v>0</v>
      </c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BD97" s="8"/>
    </row>
    <row r="98" customFormat="false" ht="14.5" hidden="false" customHeight="false" outlineLevel="0" collapsed="false">
      <c r="A98" s="8"/>
      <c r="B98" s="10" t="s">
        <v>24</v>
      </c>
      <c r="C98" s="13" t="n">
        <v>0.005</v>
      </c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BD98" s="8"/>
    </row>
    <row r="99" customFormat="false" ht="14.5" hidden="false" customHeight="false" outlineLevel="0" collapsed="false">
      <c r="A99" s="8"/>
      <c r="B99" s="10"/>
      <c r="C99" s="10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BD99" s="8"/>
    </row>
    <row r="100" customFormat="false" ht="14.5" hidden="false" customHeight="false" outlineLevel="0" collapsed="false">
      <c r="A100" s="8"/>
      <c r="B100" s="76" t="s">
        <v>75</v>
      </c>
      <c r="C100" s="76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BD100" s="8"/>
    </row>
    <row r="101" customFormat="false" ht="14.5" hidden="false" customHeight="false" outlineLevel="0" collapsed="false">
      <c r="A101" s="8"/>
      <c r="B101" s="20" t="s">
        <v>76</v>
      </c>
      <c r="C101" s="77" t="n">
        <f aca="false">'Monte Carlo correlated'!E83</f>
        <v>0.813</v>
      </c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BD101" s="8"/>
    </row>
    <row r="102" customFormat="false" ht="14.5" hidden="false" customHeight="false" outlineLevel="0" collapsed="false">
      <c r="A102" s="8"/>
      <c r="B102" s="20" t="s">
        <v>77</v>
      </c>
      <c r="C102" s="21" t="n">
        <f aca="false">'Monte Carlo correlated'!E84</f>
        <v>3224.43087259801</v>
      </c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BD102" s="8"/>
    </row>
    <row r="103" customFormat="false" ht="14.5" hidden="false" customHeight="false" outlineLevel="0" collapsed="false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BD103" s="8"/>
    </row>
    <row r="104" customFormat="false" ht="14.5" hidden="false" customHeight="false" outlineLevel="0" collapsed="false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BD104" s="8"/>
    </row>
    <row r="105" customFormat="false" ht="14.5" hidden="false" customHeight="false" outlineLevel="0" collapsed="false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BD105" s="8"/>
    </row>
    <row r="106" customFormat="false" ht="14.5" hidden="false" customHeight="false" outlineLevel="0" collapsed="false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BD106" s="8"/>
    </row>
  </sheetData>
  <scenarios current="4" show="4">
    <scenario name="Volume -10%" locked="true" count="1" user="Calc" comment="Created by Panos Tziogkidis on 18/8/2020&#10;Modified by Panos Tziogkidis on 18/8/2020">
      <inputCells r="H10" val="-0,1"/>
    </scenario>
    <scenario name="Volume -5%" locked="true" count="1" user="Calc" comment="Created by Panos Tziogkidis on 18/8/2020&#10;Modified by Panos Tziogkidis on 18/8/2020">
      <inputCells r="H10" val="-0,05"/>
    </scenario>
    <scenario name="Volume 0%" locked="true" count="1" user="Calc" comment="Created by Panos Tziogkidis on 18/8/2020&#10;Modified by Panos Tziogkidis on 18/8/2020">
      <inputCells r="H10" val="0"/>
    </scenario>
    <scenario name="Volume 5%" locked="true" count="1" user="Calc" comment="Created by Panos Tziogkidis on 18/8/2020&#10;Modified by Panos Tziogkidis on 18/8/2020">
      <inputCells r="H10" val="0,05"/>
    </scenario>
    <scenario name="Volume 10%" locked="true" count="1" user="Calc" comment="Created by Panos Tziogkidis on 18/8/2020&#10;Modified by Panos Tziogkidis on 18/8/2020">
      <inputCells r="H10" val="0,1"/>
    </scenario>
    <scenario name="VC -10%" locked="true" count="1" user="Calc" comment="Created by Panos Tziogkidis on 18/8/2020">
      <inputCells r="H12" val="-0,1"/>
    </scenario>
    <scenario name="VC -5%" locked="true" count="1" user="Calc" comment="Created by Panos Tziogkidis on 18/8/2020">
      <inputCells r="H12" val="-0,05"/>
    </scenario>
    <scenario name="VC 0" locked="true" count="1" user="Calc" comment="Created by Panos Tziogkidis on 18/8/2020">
      <inputCells r="H12" val="0"/>
    </scenario>
    <scenario name="VC +5%" locked="true" count="1" user="Calc" comment="Created by Panos Tziogkidis on 18/8/2020">
      <inputCells r="H12" val="0,05"/>
    </scenario>
    <scenario name="VC +10%" locked="true" count="1" user="Calc" comment="Created by Panos Tziogkidis on 18/8/2020">
      <inputCells r="H12" val="0,1"/>
    </scenario>
  </scenarios>
  <mergeCells count="14">
    <mergeCell ref="B3:C3"/>
    <mergeCell ref="F3:H3"/>
    <mergeCell ref="B23:C23"/>
    <mergeCell ref="F23:G23"/>
    <mergeCell ref="R27:W27"/>
    <mergeCell ref="Y27:AD27"/>
    <mergeCell ref="AF27:AO27"/>
    <mergeCell ref="AH29:AO29"/>
    <mergeCell ref="AF31:AF41"/>
    <mergeCell ref="F32:K32"/>
    <mergeCell ref="F40:K40"/>
    <mergeCell ref="B85:C85"/>
    <mergeCell ref="B87:C87"/>
    <mergeCell ref="B100:C100"/>
  </mergeCells>
  <conditionalFormatting sqref="H5:H15">
    <cfRule type="cellIs" priority="2" operator="notEqual" aboveAverage="0" equalAverage="0" bottom="0" percent="0" rank="0" text="" dxfId="0">
      <formula>0</formula>
    </cfRule>
  </conditionalFormatting>
  <conditionalFormatting sqref="H17:H18">
    <cfRule type="cellIs" priority="3" operator="notEqual" aboveAverage="0" equalAverage="0" bottom="0" percent="0" rank="0" text="" dxfId="1">
      <formula>0</formula>
    </cfRule>
  </conditionalFormatting>
  <conditionalFormatting sqref="H16">
    <cfRule type="cellIs" priority="4" operator="notEqual" aboveAverage="0" equalAverage="0" bottom="0" percent="0" rank="0" text="" dxfId="2">
      <formula>0</formula>
    </cfRule>
  </conditionalFormatting>
  <conditionalFormatting sqref="AH31:AO41">
    <cfRule type="cellIs" priority="5" operator="greaterThan" aboveAverage="0" equalAverage="0" bottom="0" percent="0" rank="0" text="" dxfId="3">
      <formula>0</formula>
    </cfRule>
  </conditionalFormatting>
  <conditionalFormatting sqref="AH46:BB66">
    <cfRule type="cellIs" priority="6" operator="greaterThan" aboveAverage="0" equalAverage="0" bottom="0" percent="0" rank="0" text="" dxfId="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0000"/>
    <pageSetUpPr fitToPage="false"/>
  </sheetPr>
  <dimension ref="A1:N67"/>
  <sheetViews>
    <sheetView showFormulas="false" showGridLines="true" showRowColHeaders="true" showZeros="true" rightToLeft="false" tabSelected="false" showOutlineSymbols="true" defaultGridColor="true" view="normal" topLeftCell="A15" colorId="64" zoomScale="100" zoomScaleNormal="100" zoomScalePageLayoutView="100" workbookViewId="0">
      <selection pane="topLeft" activeCell="D27" activeCellId="1" sqref="F92 D27"/>
    </sheetView>
  </sheetViews>
  <sheetFormatPr defaultColWidth="8.5390625" defaultRowHeight="14.5" zeroHeight="false" outlineLevelRow="1" outlineLevelCol="0"/>
  <cols>
    <col collapsed="false" customWidth="true" hidden="false" outlineLevel="0" max="1" min="1" style="0" width="25.91"/>
    <col collapsed="false" customWidth="true" hidden="false" outlineLevel="0" max="2" min="2" style="0" width="11.45"/>
    <col collapsed="false" customWidth="true" hidden="false" outlineLevel="0" max="3" min="3" style="0" width="13.36"/>
    <col collapsed="false" customWidth="true" hidden="false" outlineLevel="0" max="4" min="4" style="0" width="12.09"/>
    <col collapsed="false" customWidth="true" hidden="false" outlineLevel="0" max="5" min="5" style="0" width="12.54"/>
    <col collapsed="false" customWidth="true" hidden="false" outlineLevel="0" max="6" min="6" style="0" width="11.63"/>
    <col collapsed="false" customWidth="true" hidden="false" outlineLevel="0" max="7" min="7" style="0" width="21"/>
    <col collapsed="false" customWidth="true" hidden="false" outlineLevel="0" max="8" min="8" style="0" width="15.36"/>
    <col collapsed="false" customWidth="true" hidden="false" outlineLevel="0" max="9" min="9" style="0" width="13"/>
    <col collapsed="false" customWidth="true" hidden="false" outlineLevel="0" max="12" min="10" style="0" width="11.54"/>
    <col collapsed="false" customWidth="true" hidden="false" outlineLevel="0" max="13" min="13" style="0" width="16.45"/>
    <col collapsed="false" customWidth="true" hidden="false" outlineLevel="0" max="14" min="14" style="0" width="14.9"/>
  </cols>
  <sheetData>
    <row r="1" customFormat="false" ht="14.5" hidden="true" customHeight="false" outlineLevel="1" collapsed="false">
      <c r="A1" s="10"/>
      <c r="B1" s="10"/>
      <c r="C1" s="10"/>
      <c r="D1" s="10"/>
      <c r="E1" s="10"/>
      <c r="F1" s="10"/>
      <c r="G1" s="10"/>
      <c r="H1" s="10"/>
      <c r="I1" s="10"/>
      <c r="J1" s="7"/>
      <c r="K1" s="7"/>
      <c r="L1" s="7"/>
      <c r="M1" s="7"/>
      <c r="N1" s="7"/>
    </row>
    <row r="2" customFormat="false" ht="14.5" hidden="true" customHeight="false" outlineLevel="1" collapsed="false">
      <c r="A2" s="78" t="s">
        <v>78</v>
      </c>
      <c r="B2" s="78"/>
      <c r="C2" s="78"/>
      <c r="D2" s="79" t="s">
        <v>12</v>
      </c>
      <c r="E2" s="79" t="s">
        <v>13</v>
      </c>
      <c r="F2" s="10"/>
      <c r="G2" s="31" t="s">
        <v>79</v>
      </c>
      <c r="H2" s="80" t="n">
        <f aca="false">'HEP Control Panel'!C17</f>
        <v>0.15</v>
      </c>
      <c r="I2" s="10"/>
      <c r="J2" s="81"/>
      <c r="K2" s="81"/>
      <c r="L2" s="81"/>
      <c r="M2" s="81"/>
      <c r="N2" s="81"/>
    </row>
    <row r="3" customFormat="false" ht="14.5" hidden="true" customHeight="false" outlineLevel="1" collapsed="false">
      <c r="A3" s="78" t="s">
        <v>14</v>
      </c>
      <c r="B3" s="78" t="n">
        <f aca="false">'HEP Control Panel'!C5</f>
        <v>9500</v>
      </c>
      <c r="C3" s="78"/>
      <c r="D3" s="13" t="n">
        <v>9500</v>
      </c>
      <c r="E3" s="16" t="n">
        <v>0</v>
      </c>
      <c r="F3" s="10"/>
      <c r="G3" s="82" t="s">
        <v>80</v>
      </c>
      <c r="H3" s="82"/>
      <c r="I3" s="10"/>
      <c r="J3" s="83"/>
      <c r="K3" s="83"/>
      <c r="L3" s="83"/>
      <c r="M3" s="83"/>
      <c r="N3" s="83"/>
    </row>
    <row r="4" customFormat="false" ht="14.5" hidden="true" customHeight="false" outlineLevel="1" collapsed="false">
      <c r="A4" s="78" t="s">
        <v>15</v>
      </c>
      <c r="B4" s="78" t="n">
        <f aca="false">'HEP Control Panel'!C6</f>
        <v>500</v>
      </c>
      <c r="C4" s="78"/>
      <c r="D4" s="13" t="n">
        <v>500</v>
      </c>
      <c r="E4" s="16" t="n">
        <v>0</v>
      </c>
      <c r="F4" s="10"/>
      <c r="G4" s="82" t="s">
        <v>81</v>
      </c>
      <c r="H4" s="82"/>
      <c r="I4" s="20"/>
      <c r="J4" s="84"/>
      <c r="K4" s="84"/>
      <c r="L4" s="84"/>
      <c r="M4" s="84"/>
      <c r="N4" s="84"/>
    </row>
    <row r="5" customFormat="false" ht="14.5" hidden="true" customHeight="false" outlineLevel="1" collapsed="false">
      <c r="A5" s="78" t="s">
        <v>16</v>
      </c>
      <c r="B5" s="78" t="n">
        <f aca="false">'HEP Control Panel'!C7</f>
        <v>2000</v>
      </c>
      <c r="C5" s="78"/>
      <c r="D5" s="13" t="n">
        <v>2000</v>
      </c>
      <c r="E5" s="16" t="n">
        <v>0</v>
      </c>
      <c r="F5" s="10"/>
      <c r="G5" s="82" t="s">
        <v>82</v>
      </c>
      <c r="H5" s="82"/>
      <c r="I5" s="20"/>
      <c r="J5" s="85"/>
      <c r="K5" s="85"/>
      <c r="L5" s="85"/>
      <c r="M5" s="85"/>
      <c r="N5" s="85"/>
    </row>
    <row r="6" customFormat="false" ht="14.5" hidden="true" customHeight="false" outlineLevel="1" collapsed="false">
      <c r="A6" s="78"/>
      <c r="B6" s="78" t="n">
        <f aca="false">'HEP Control Panel'!C8</f>
        <v>0</v>
      </c>
      <c r="C6" s="78"/>
      <c r="D6" s="13"/>
      <c r="E6" s="16"/>
      <c r="F6" s="10"/>
      <c r="G6" s="31" t="s">
        <v>83</v>
      </c>
      <c r="H6" s="86" t="n">
        <v>0.1</v>
      </c>
      <c r="I6" s="20"/>
      <c r="J6" s="85"/>
      <c r="K6" s="85"/>
      <c r="L6" s="85"/>
      <c r="M6" s="85"/>
      <c r="N6" s="85"/>
    </row>
    <row r="7" customFormat="false" ht="14.5" hidden="true" customHeight="false" outlineLevel="1" collapsed="false">
      <c r="A7" s="78" t="s">
        <v>17</v>
      </c>
      <c r="B7" s="78" t="n">
        <f aca="false">'HEP Control Panel'!C9</f>
        <v>4000</v>
      </c>
      <c r="C7" s="78"/>
      <c r="D7" s="13" t="n">
        <v>4000</v>
      </c>
      <c r="E7" s="16" t="n">
        <v>0</v>
      </c>
      <c r="F7" s="10"/>
      <c r="G7" s="10"/>
      <c r="H7" s="10"/>
      <c r="I7" s="20"/>
      <c r="J7" s="87"/>
      <c r="K7" s="87"/>
      <c r="L7" s="87"/>
      <c r="M7" s="87"/>
      <c r="N7" s="87"/>
    </row>
    <row r="8" customFormat="false" ht="14.5" hidden="true" customHeight="false" outlineLevel="1" collapsed="false">
      <c r="A8" s="78" t="s">
        <v>18</v>
      </c>
      <c r="B8" s="78" t="n">
        <f aca="false">'HEP Control Panel'!C10</f>
        <v>15000</v>
      </c>
      <c r="C8" s="78"/>
      <c r="D8" s="13" t="n">
        <v>15000</v>
      </c>
      <c r="E8" s="16" t="n">
        <v>0</v>
      </c>
      <c r="F8" s="10"/>
      <c r="G8" s="82" t="s">
        <v>27</v>
      </c>
      <c r="H8" s="88" t="n">
        <f aca="false">'HEP Control Panel'!C18</f>
        <v>0.15</v>
      </c>
      <c r="I8" s="20"/>
      <c r="J8" s="87"/>
      <c r="K8" s="87"/>
      <c r="L8" s="87"/>
      <c r="M8" s="87"/>
      <c r="N8" s="87"/>
    </row>
    <row r="9" customFormat="false" ht="14.5" hidden="true" customHeight="false" outlineLevel="1" collapsed="false">
      <c r="A9" s="78" t="s">
        <v>19</v>
      </c>
      <c r="B9" s="78" t="n">
        <f aca="false">'HEP Control Panel'!C11</f>
        <v>2</v>
      </c>
      <c r="C9" s="78"/>
      <c r="D9" s="13" t="n">
        <v>2</v>
      </c>
      <c r="E9" s="16" t="n">
        <v>0</v>
      </c>
      <c r="F9" s="10"/>
      <c r="G9" s="10"/>
      <c r="H9" s="10"/>
      <c r="I9" s="10"/>
      <c r="J9" s="7"/>
      <c r="K9" s="7"/>
      <c r="L9" s="7"/>
      <c r="M9" s="7"/>
      <c r="N9" s="7"/>
    </row>
    <row r="10" customFormat="false" ht="14.5" hidden="true" customHeight="false" outlineLevel="1" collapsed="false">
      <c r="A10" s="78" t="s">
        <v>20</v>
      </c>
      <c r="B10" s="89" t="n">
        <f aca="false">'HEP Control Panel'!C12</f>
        <v>0.6</v>
      </c>
      <c r="C10" s="78" t="s">
        <v>21</v>
      </c>
      <c r="D10" s="16" t="n">
        <v>0.6</v>
      </c>
      <c r="E10" s="16" t="n">
        <v>0</v>
      </c>
      <c r="F10" s="10"/>
      <c r="G10" s="10"/>
      <c r="H10" s="10"/>
      <c r="I10" s="10"/>
      <c r="J10" s="81"/>
      <c r="K10" s="81"/>
      <c r="L10" s="81"/>
      <c r="M10" s="81"/>
      <c r="N10" s="81"/>
    </row>
    <row r="11" customFormat="false" ht="14.5" hidden="true" customHeight="false" outlineLevel="1" collapsed="false">
      <c r="A11" s="78" t="s">
        <v>22</v>
      </c>
      <c r="B11" s="90" t="n">
        <f aca="false">'HEP Control Panel'!C13</f>
        <v>5000</v>
      </c>
      <c r="C11" s="78"/>
      <c r="D11" s="18" t="n">
        <v>5000</v>
      </c>
      <c r="E11" s="16" t="n">
        <v>0</v>
      </c>
      <c r="F11" s="10"/>
      <c r="G11" s="10"/>
      <c r="H11" s="10"/>
      <c r="I11" s="10"/>
      <c r="J11" s="83"/>
      <c r="K11" s="83"/>
      <c r="L11" s="83"/>
      <c r="M11" s="83"/>
      <c r="N11" s="83"/>
    </row>
    <row r="12" customFormat="false" ht="14.5" hidden="true" customHeight="false" outlineLevel="1" collapsed="false">
      <c r="A12" s="78" t="s">
        <v>23</v>
      </c>
      <c r="B12" s="89" t="n">
        <f aca="false">'HEP Control Panel'!C14</f>
        <v>0.4</v>
      </c>
      <c r="C12" s="78"/>
      <c r="D12" s="16" t="n">
        <v>0.4</v>
      </c>
      <c r="E12" s="16" t="n">
        <v>0</v>
      </c>
      <c r="F12" s="10"/>
      <c r="G12" s="10"/>
      <c r="H12" s="10"/>
      <c r="I12" s="20"/>
      <c r="J12" s="84"/>
      <c r="K12" s="84"/>
      <c r="L12" s="84"/>
      <c r="M12" s="84"/>
      <c r="N12" s="84"/>
    </row>
    <row r="13" customFormat="false" ht="14.5" hidden="true" customHeight="false" outlineLevel="1" collapsed="false">
      <c r="A13" s="91" t="s">
        <v>24</v>
      </c>
      <c r="B13" s="92" t="n">
        <f aca="false">'HEP Control Panel'!C15</f>
        <v>0</v>
      </c>
      <c r="C13" s="78"/>
      <c r="D13" s="16" t="n">
        <v>0</v>
      </c>
      <c r="E13" s="16" t="n">
        <v>0</v>
      </c>
      <c r="F13" s="10"/>
      <c r="G13" s="10"/>
      <c r="H13" s="10"/>
      <c r="I13" s="20"/>
      <c r="J13" s="85"/>
      <c r="K13" s="85"/>
      <c r="L13" s="85"/>
      <c r="M13" s="85"/>
      <c r="N13" s="85"/>
    </row>
    <row r="14" customFormat="false" ht="14.5" hidden="true" customHeight="false" outlineLevel="1" collapsed="false">
      <c r="A14" s="10" t="s">
        <v>84</v>
      </c>
      <c r="B14" s="91"/>
      <c r="D14" s="10"/>
      <c r="E14" s="10"/>
      <c r="F14" s="10"/>
      <c r="G14" s="10"/>
      <c r="H14" s="10"/>
      <c r="I14" s="20"/>
      <c r="J14" s="85"/>
      <c r="K14" s="85"/>
      <c r="L14" s="85"/>
      <c r="M14" s="85"/>
      <c r="N14" s="85"/>
    </row>
    <row r="15" customFormat="false" ht="14.5" hidden="false" customHeight="false" outlineLevel="0" collapsed="false">
      <c r="A15" s="93"/>
      <c r="B15" s="93" t="n">
        <v>0</v>
      </c>
      <c r="C15" s="93" t="n">
        <v>1</v>
      </c>
      <c r="D15" s="93" t="n">
        <v>2</v>
      </c>
      <c r="E15" s="93" t="n">
        <v>3</v>
      </c>
      <c r="F15" s="93" t="n">
        <v>4</v>
      </c>
      <c r="G15" s="10"/>
      <c r="H15" s="10"/>
      <c r="I15" s="20"/>
      <c r="J15" s="87"/>
      <c r="K15" s="87"/>
      <c r="L15" s="87"/>
      <c r="M15" s="87"/>
      <c r="N15" s="87"/>
    </row>
    <row r="16" customFormat="false" ht="14.5" hidden="false" customHeight="false" outlineLevel="0" collapsed="false">
      <c r="A16" s="94" t="s">
        <v>85</v>
      </c>
      <c r="B16" s="10"/>
      <c r="C16" s="10"/>
      <c r="D16" s="10"/>
      <c r="E16" s="10"/>
      <c r="F16" s="10"/>
      <c r="G16" s="10"/>
      <c r="H16" s="10"/>
      <c r="I16" s="20"/>
      <c r="J16" s="87"/>
      <c r="K16" s="87"/>
      <c r="L16" s="87"/>
      <c r="M16" s="87"/>
      <c r="N16" s="87"/>
    </row>
    <row r="17" customFormat="false" ht="14.5" hidden="false" customHeight="false" outlineLevel="0" collapsed="false">
      <c r="A17" s="10" t="s">
        <v>14</v>
      </c>
      <c r="B17" s="10" t="n">
        <f aca="false">-B3</f>
        <v>-9500</v>
      </c>
      <c r="C17" s="10"/>
      <c r="D17" s="10"/>
      <c r="E17" s="10"/>
      <c r="F17" s="10"/>
      <c r="G17" s="10"/>
      <c r="H17" s="10"/>
      <c r="I17" s="10"/>
      <c r="J17" s="7"/>
      <c r="K17" s="7"/>
      <c r="L17" s="7"/>
      <c r="M17" s="7"/>
      <c r="N17" s="7"/>
    </row>
    <row r="18" customFormat="false" ht="14.5" hidden="false" customHeight="false" outlineLevel="0" collapsed="false">
      <c r="A18" s="10" t="s">
        <v>15</v>
      </c>
      <c r="B18" s="10" t="n">
        <f aca="false">-B4</f>
        <v>-500</v>
      </c>
      <c r="C18" s="10"/>
      <c r="D18" s="10"/>
      <c r="E18" s="10"/>
      <c r="F18" s="10"/>
      <c r="G18" s="10"/>
      <c r="H18" s="10"/>
      <c r="I18" s="10"/>
    </row>
    <row r="19" customFormat="false" ht="14.5" hidden="false" customHeight="false" outlineLevel="0" collapsed="false">
      <c r="A19" s="10" t="s">
        <v>17</v>
      </c>
      <c r="B19" s="10" t="n">
        <f aca="false">-B7</f>
        <v>-4000</v>
      </c>
      <c r="C19" s="10"/>
      <c r="D19" s="10"/>
      <c r="E19" s="10"/>
      <c r="F19" s="10"/>
      <c r="G19" s="10"/>
      <c r="H19" s="10"/>
      <c r="I19" s="10"/>
    </row>
    <row r="20" customFormat="false" ht="14.5" hidden="false" customHeight="false" outlineLevel="0" collapsed="false">
      <c r="A20" s="20" t="s">
        <v>86</v>
      </c>
      <c r="B20" s="10" t="n">
        <f aca="false">SUM(B17:B19)</f>
        <v>-14000</v>
      </c>
      <c r="C20" s="10"/>
      <c r="D20" s="10"/>
      <c r="E20" s="10"/>
      <c r="F20" s="10"/>
      <c r="G20" s="10"/>
      <c r="H20" s="10"/>
      <c r="I20" s="10"/>
    </row>
    <row r="21" customFormat="false" ht="11.5" hidden="false" customHeight="true" outlineLevel="0" collapsed="false">
      <c r="A21" s="10"/>
      <c r="B21" s="10"/>
      <c r="C21" s="10"/>
      <c r="D21" s="10"/>
      <c r="E21" s="10"/>
      <c r="F21" s="10"/>
      <c r="G21" s="10"/>
      <c r="H21" s="10"/>
      <c r="I21" s="10"/>
    </row>
    <row r="22" customFormat="false" ht="14.5" hidden="false" customHeight="false" outlineLevel="0" collapsed="false">
      <c r="A22" s="94" t="s">
        <v>87</v>
      </c>
      <c r="B22" s="10"/>
      <c r="C22" s="10"/>
      <c r="D22" s="10"/>
      <c r="E22" s="10"/>
      <c r="F22" s="10"/>
      <c r="G22" s="10"/>
      <c r="H22" s="10"/>
      <c r="I22" s="10"/>
    </row>
    <row r="23" customFormat="false" ht="14.5" hidden="false" customHeight="false" outlineLevel="0" collapsed="false">
      <c r="A23" s="91" t="s">
        <v>33</v>
      </c>
      <c r="B23" s="10"/>
      <c r="C23" s="95" t="n">
        <f aca="false">$B$8*$B$9*(1+$B$13)</f>
        <v>30000</v>
      </c>
      <c r="D23" s="95" t="n">
        <f aca="false">C23*(1+$B$13)</f>
        <v>30000</v>
      </c>
      <c r="E23" s="95" t="n">
        <f aca="false">D23*(1+$B$13)</f>
        <v>30000</v>
      </c>
      <c r="F23" s="95" t="n">
        <f aca="false">E23*(1+$B$13)</f>
        <v>30000</v>
      </c>
      <c r="G23" s="10"/>
      <c r="H23" s="10"/>
      <c r="I23" s="10"/>
    </row>
    <row r="24" customFormat="false" ht="14.5" hidden="false" customHeight="false" outlineLevel="0" collapsed="false">
      <c r="A24" s="91" t="s">
        <v>20</v>
      </c>
      <c r="B24" s="10"/>
      <c r="C24" s="95" t="n">
        <f aca="false">-C23*$B$10</f>
        <v>-18000</v>
      </c>
      <c r="D24" s="95" t="n">
        <f aca="false">-D23*$B$10</f>
        <v>-18000</v>
      </c>
      <c r="E24" s="95" t="n">
        <f aca="false">-E23*$B$10</f>
        <v>-18000</v>
      </c>
      <c r="F24" s="95" t="n">
        <f aca="false">-F23*$B$10</f>
        <v>-18000</v>
      </c>
      <c r="G24" s="10"/>
      <c r="H24" s="10"/>
      <c r="I24" s="10"/>
    </row>
    <row r="25" customFormat="false" ht="14.5" hidden="false" customHeight="false" outlineLevel="0" collapsed="false">
      <c r="A25" s="96" t="s">
        <v>22</v>
      </c>
      <c r="B25" s="97"/>
      <c r="C25" s="98" t="n">
        <f aca="false">-B11*(1+$B$13)</f>
        <v>-5000</v>
      </c>
      <c r="D25" s="98" t="n">
        <f aca="false">C25*(1+$B$13)</f>
        <v>-5000</v>
      </c>
      <c r="E25" s="98" t="n">
        <f aca="false">D25*(1+$B$13)</f>
        <v>-5000</v>
      </c>
      <c r="F25" s="98" t="n">
        <f aca="false">E25*(1+$B$13)</f>
        <v>-5000</v>
      </c>
      <c r="G25" s="10"/>
      <c r="H25" s="10"/>
      <c r="I25" s="10"/>
    </row>
    <row r="26" customFormat="false" ht="14.5" hidden="false" customHeight="false" outlineLevel="0" collapsed="false">
      <c r="A26" s="20" t="s">
        <v>88</v>
      </c>
      <c r="B26" s="10"/>
      <c r="C26" s="99" t="n">
        <f aca="false">SUM(C23:C25)</f>
        <v>7000</v>
      </c>
      <c r="D26" s="99" t="n">
        <f aca="false">SUM(D23:D25)</f>
        <v>7000</v>
      </c>
      <c r="E26" s="99" t="n">
        <f aca="false">SUM(E23:E25)</f>
        <v>7000</v>
      </c>
      <c r="F26" s="99" t="n">
        <f aca="false">SUM(F23:F25)</f>
        <v>7000</v>
      </c>
      <c r="G26" s="10"/>
      <c r="H26" s="10"/>
      <c r="I26" s="10"/>
    </row>
    <row r="27" customFormat="false" ht="14.5" hidden="false" customHeight="false" outlineLevel="0" collapsed="false">
      <c r="A27" s="97" t="s">
        <v>89</v>
      </c>
      <c r="B27" s="97"/>
      <c r="C27" s="98" t="n">
        <f aca="false">($B$17+$B$18)*C57</f>
        <v>-2000</v>
      </c>
      <c r="D27" s="98" t="n">
        <f aca="false">($B$17+$B$18)*D57</f>
        <v>-3200</v>
      </c>
      <c r="E27" s="98" t="n">
        <f aca="false">($B$17+$B$18)*E57</f>
        <v>-1920</v>
      </c>
      <c r="F27" s="98" t="n">
        <f aca="false">($B$17+$B$18)*F57</f>
        <v>-1152</v>
      </c>
      <c r="G27" s="10"/>
      <c r="H27" s="10"/>
      <c r="I27" s="10"/>
    </row>
    <row r="28" customFormat="false" ht="14.5" hidden="false" customHeight="false" outlineLevel="0" collapsed="false">
      <c r="A28" s="20" t="s">
        <v>90</v>
      </c>
      <c r="B28" s="10"/>
      <c r="C28" s="99" t="n">
        <f aca="false">C26+C27</f>
        <v>5000</v>
      </c>
      <c r="D28" s="99" t="n">
        <f aca="false">D26+D27</f>
        <v>3800</v>
      </c>
      <c r="E28" s="99" t="n">
        <f aca="false">E26+E27</f>
        <v>5080</v>
      </c>
      <c r="F28" s="99" t="n">
        <f aca="false">F26+F27</f>
        <v>5848</v>
      </c>
      <c r="G28" s="10"/>
      <c r="H28" s="10"/>
      <c r="I28" s="10"/>
    </row>
    <row r="29" customFormat="false" ht="14.5" hidden="false" customHeight="false" outlineLevel="0" collapsed="false">
      <c r="A29" s="10" t="s">
        <v>91</v>
      </c>
      <c r="B29" s="10"/>
      <c r="C29" s="95" t="n">
        <f aca="false">IF(B28+B29&lt;0,B28+B29,0)</f>
        <v>0</v>
      </c>
      <c r="D29" s="95" t="n">
        <f aca="false">IF(C28+C29&lt;0,C28+C29,0)</f>
        <v>0</v>
      </c>
      <c r="E29" s="95" t="n">
        <f aca="false">IF(D28+D29&lt;0,D28+D29,0)</f>
        <v>0</v>
      </c>
      <c r="F29" s="95" t="n">
        <f aca="false">IF(E28+E29&lt;0,E28+E29,0)</f>
        <v>0</v>
      </c>
      <c r="G29" s="10"/>
      <c r="H29" s="10"/>
      <c r="I29" s="10"/>
    </row>
    <row r="30" customFormat="false" ht="14.5" hidden="false" customHeight="false" outlineLevel="0" collapsed="false">
      <c r="A30" s="97" t="s">
        <v>92</v>
      </c>
      <c r="B30" s="97"/>
      <c r="C30" s="98" t="n">
        <f aca="false">IF(C28+C29&lt;0,0,-(C28+C29)*$B$12)</f>
        <v>-2000</v>
      </c>
      <c r="D30" s="98" t="n">
        <f aca="false">IF(D28+D29&lt;0,0,-(D28+D29)*$B$12)</f>
        <v>-1520</v>
      </c>
      <c r="E30" s="98" t="n">
        <f aca="false">IF(E28+E29&lt;0,0,-(E28+E29)*$B$12)</f>
        <v>-2032</v>
      </c>
      <c r="F30" s="98" t="n">
        <f aca="false">IF(F28+F29&lt;0,0,-(F28+F29)*$B$12)</f>
        <v>-2339.2</v>
      </c>
      <c r="G30" s="10"/>
      <c r="H30" s="10"/>
      <c r="I30" s="10"/>
    </row>
    <row r="31" customFormat="false" ht="14.5" hidden="false" customHeight="false" outlineLevel="0" collapsed="false">
      <c r="A31" s="20" t="s">
        <v>93</v>
      </c>
      <c r="B31" s="10"/>
      <c r="C31" s="99" t="n">
        <f aca="false">C28+C30</f>
        <v>3000</v>
      </c>
      <c r="D31" s="99" t="n">
        <f aca="false">D28+D30</f>
        <v>2280</v>
      </c>
      <c r="E31" s="99" t="n">
        <f aca="false">E28+E30</f>
        <v>3048</v>
      </c>
      <c r="F31" s="99" t="n">
        <f aca="false">F28+F30</f>
        <v>3508.8</v>
      </c>
      <c r="G31" s="10"/>
      <c r="H31" s="10"/>
      <c r="I31" s="10"/>
    </row>
    <row r="32" customFormat="false" ht="14.5" hidden="false" customHeight="false" outlineLevel="0" collapsed="false">
      <c r="A32" s="97" t="s">
        <v>94</v>
      </c>
      <c r="B32" s="97"/>
      <c r="C32" s="98" t="n">
        <f aca="false">-C27</f>
        <v>2000</v>
      </c>
      <c r="D32" s="98" t="n">
        <f aca="false">-D27</f>
        <v>3200</v>
      </c>
      <c r="E32" s="98" t="n">
        <f aca="false">-E27</f>
        <v>1920</v>
      </c>
      <c r="F32" s="98" t="n">
        <f aca="false">-F27</f>
        <v>1152</v>
      </c>
      <c r="G32" s="10"/>
      <c r="H32" s="10"/>
      <c r="I32" s="10"/>
    </row>
    <row r="33" customFormat="false" ht="14.5" hidden="false" customHeight="false" outlineLevel="0" collapsed="false">
      <c r="A33" s="20" t="s">
        <v>95</v>
      </c>
      <c r="B33" s="10"/>
      <c r="C33" s="99" t="n">
        <f aca="false">C31+C32</f>
        <v>5000</v>
      </c>
      <c r="D33" s="99" t="n">
        <f aca="false">D31+D32</f>
        <v>5480</v>
      </c>
      <c r="E33" s="99" t="n">
        <f aca="false">E31+E32</f>
        <v>4968</v>
      </c>
      <c r="F33" s="99" t="n">
        <f aca="false">F31+F32</f>
        <v>4660.8</v>
      </c>
      <c r="G33" s="10"/>
      <c r="H33" s="10"/>
      <c r="I33" s="10"/>
    </row>
    <row r="34" customFormat="false" ht="6.65" hidden="false" customHeight="true" outlineLevel="0" collapsed="false">
      <c r="A34" s="10"/>
      <c r="B34" s="10"/>
      <c r="C34" s="10"/>
      <c r="D34" s="10"/>
      <c r="E34" s="10"/>
      <c r="F34" s="10"/>
      <c r="G34" s="10"/>
      <c r="H34" s="10"/>
      <c r="I34" s="10"/>
    </row>
    <row r="35" customFormat="false" ht="14.5" hidden="false" customHeight="false" outlineLevel="0" collapsed="false">
      <c r="A35" s="94" t="s">
        <v>96</v>
      </c>
      <c r="B35" s="10"/>
      <c r="C35" s="10"/>
      <c r="D35" s="10"/>
      <c r="E35" s="10"/>
      <c r="F35" s="10"/>
      <c r="G35" s="10"/>
      <c r="H35" s="10"/>
      <c r="I35" s="10"/>
    </row>
    <row r="36" customFormat="false" ht="14.5" hidden="false" customHeight="false" outlineLevel="0" collapsed="false">
      <c r="A36" s="10" t="s">
        <v>97</v>
      </c>
      <c r="B36" s="10"/>
      <c r="C36" s="10"/>
      <c r="D36" s="10"/>
      <c r="E36" s="10"/>
      <c r="F36" s="10" t="n">
        <f aca="false">B5</f>
        <v>2000</v>
      </c>
      <c r="G36" s="10"/>
      <c r="H36" s="10"/>
      <c r="I36" s="10"/>
    </row>
    <row r="37" customFormat="false" ht="14.5" hidden="false" customHeight="false" outlineLevel="0" collapsed="false">
      <c r="A37" s="10" t="s">
        <v>98</v>
      </c>
      <c r="B37" s="10"/>
      <c r="C37" s="10"/>
      <c r="D37" s="10"/>
      <c r="E37" s="10"/>
      <c r="F37" s="10" t="n">
        <f aca="false">-(B5-F59)*B12</f>
        <v>-108.8</v>
      </c>
      <c r="G37" s="10"/>
      <c r="H37" s="10"/>
      <c r="I37" s="10"/>
    </row>
    <row r="38" customFormat="false" ht="14.5" hidden="false" customHeight="false" outlineLevel="0" collapsed="false">
      <c r="A38" s="97" t="s">
        <v>99</v>
      </c>
      <c r="B38" s="97"/>
      <c r="C38" s="97"/>
      <c r="D38" s="97"/>
      <c r="E38" s="97"/>
      <c r="F38" s="97" t="n">
        <f aca="false">B7</f>
        <v>4000</v>
      </c>
      <c r="G38" s="10"/>
      <c r="H38" s="10"/>
      <c r="I38" s="10"/>
    </row>
    <row r="39" customFormat="false" ht="14.5" hidden="false" customHeight="false" outlineLevel="0" collapsed="false">
      <c r="A39" s="20" t="s">
        <v>100</v>
      </c>
      <c r="B39" s="10"/>
      <c r="C39" s="10"/>
      <c r="D39" s="10"/>
      <c r="E39" s="10"/>
      <c r="F39" s="20" t="n">
        <f aca="false">SUM(F36:F38)</f>
        <v>5891.2</v>
      </c>
      <c r="G39" s="10"/>
      <c r="H39" s="10"/>
      <c r="I39" s="10"/>
    </row>
    <row r="40" customFormat="false" ht="9.15" hidden="false" customHeight="true" outlineLevel="0" collapsed="false">
      <c r="A40" s="10"/>
      <c r="B40" s="10"/>
      <c r="C40" s="10"/>
      <c r="D40" s="10"/>
      <c r="E40" s="10"/>
      <c r="F40" s="10"/>
      <c r="G40" s="10"/>
      <c r="H40" s="10"/>
      <c r="I40" s="10"/>
    </row>
    <row r="41" customFormat="false" ht="14.5" hidden="false" customHeight="false" outlineLevel="0" collapsed="false">
      <c r="A41" s="100" t="s">
        <v>101</v>
      </c>
      <c r="B41" s="101" t="n">
        <f aca="false">B20</f>
        <v>-14000</v>
      </c>
      <c r="C41" s="101" t="n">
        <f aca="false">C33</f>
        <v>5000</v>
      </c>
      <c r="D41" s="101" t="n">
        <f aca="false">D33</f>
        <v>5480</v>
      </c>
      <c r="E41" s="101" t="n">
        <f aca="false">E33</f>
        <v>4968</v>
      </c>
      <c r="F41" s="101" t="n">
        <f aca="false">F33+F39</f>
        <v>10552</v>
      </c>
      <c r="G41" s="10"/>
      <c r="H41" s="10"/>
      <c r="I41" s="10"/>
    </row>
    <row r="42" customFormat="false" ht="14.5" hidden="true" customHeight="false" outlineLevel="1" collapsed="false">
      <c r="A42" s="20" t="s">
        <v>102</v>
      </c>
      <c r="B42" s="102" t="n">
        <f aca="false">B41/(1+$H$2)^B15</f>
        <v>-14000</v>
      </c>
      <c r="C42" s="102" t="n">
        <f aca="false">C41/(1+$H$2)^C15</f>
        <v>4347.82608695652</v>
      </c>
      <c r="D42" s="102" t="n">
        <f aca="false">D41/(1+$H$2)^D15</f>
        <v>4143.66729678639</v>
      </c>
      <c r="E42" s="102" t="n">
        <f aca="false">E41/(1+$H$2)^E15</f>
        <v>3266.54064272212</v>
      </c>
      <c r="F42" s="102" t="n">
        <f aca="false">F41/(1+$H$2)^F15</f>
        <v>6033.14024749769</v>
      </c>
      <c r="G42" s="10"/>
      <c r="H42" s="10" t="s">
        <v>103</v>
      </c>
      <c r="I42" s="103" t="n">
        <f aca="false">SUM(B41:F41)</f>
        <v>12000</v>
      </c>
    </row>
    <row r="43" customFormat="false" ht="14.5" hidden="true" customHeight="false" outlineLevel="1" collapsed="false">
      <c r="A43" s="10" t="s">
        <v>104</v>
      </c>
      <c r="B43" s="104" t="n">
        <f aca="false">B41</f>
        <v>-14000</v>
      </c>
      <c r="C43" s="104" t="n">
        <f aca="false">B43+C41</f>
        <v>-9000</v>
      </c>
      <c r="D43" s="104" t="n">
        <f aca="false">C43+D41</f>
        <v>-3520</v>
      </c>
      <c r="E43" s="104" t="n">
        <f aca="false">D43+E41</f>
        <v>1447.99999999999</v>
      </c>
      <c r="F43" s="104" t="n">
        <f aca="false">E43+F41</f>
        <v>12000</v>
      </c>
      <c r="G43" s="10"/>
      <c r="H43" s="10" t="s">
        <v>105</v>
      </c>
      <c r="I43" s="103" t="n">
        <f aca="false">SUM(B45:F45)</f>
        <v>8977.33235658821</v>
      </c>
    </row>
    <row r="44" customFormat="false" ht="14.5" hidden="true" customHeight="false" outlineLevel="1" collapsed="false">
      <c r="A44" s="10" t="s">
        <v>106</v>
      </c>
      <c r="B44" s="104" t="n">
        <f aca="false">B42</f>
        <v>-14000</v>
      </c>
      <c r="C44" s="104" t="n">
        <f aca="false">B44+C42</f>
        <v>-9652.17391304348</v>
      </c>
      <c r="D44" s="104" t="n">
        <f aca="false">C44+D42</f>
        <v>-5508.50661625709</v>
      </c>
      <c r="E44" s="104" t="n">
        <f aca="false">D44+E42</f>
        <v>-2241.96597353497</v>
      </c>
      <c r="F44" s="104" t="n">
        <f aca="false">E44+F42</f>
        <v>3791.17427396271</v>
      </c>
      <c r="G44" s="10"/>
      <c r="H44" s="10" t="s">
        <v>102</v>
      </c>
      <c r="I44" s="105" t="n">
        <f aca="false">B50</f>
        <v>3791.17427396271</v>
      </c>
    </row>
    <row r="45" customFormat="false" ht="15.65" hidden="true" customHeight="true" outlineLevel="1" collapsed="false">
      <c r="A45" s="106" t="s">
        <v>107</v>
      </c>
      <c r="B45" s="107" t="n">
        <f aca="false">B41*(1+$H$6)^B15/(1+$H$2)^B15</f>
        <v>-14000</v>
      </c>
      <c r="C45" s="107" t="n">
        <f aca="false">C41*(1+$H$6)^C15/(1+$H$2)^C15</f>
        <v>4782.60869565217</v>
      </c>
      <c r="D45" s="107" t="n">
        <f aca="false">D41*(1+$H$6)^D15/(1+$H$2)^D15</f>
        <v>5013.83742911153</v>
      </c>
      <c r="E45" s="107" t="n">
        <f aca="false">E41*(1+$H$6)^E15/(1+$H$2)^E15</f>
        <v>4347.76559546314</v>
      </c>
      <c r="F45" s="107" t="n">
        <f aca="false">F41*(1+$H$6)^F15/(1+$H$2)^F15</f>
        <v>8833.12063636137</v>
      </c>
      <c r="G45" s="10"/>
      <c r="H45" s="10" t="s">
        <v>108</v>
      </c>
      <c r="I45" s="105" t="n">
        <f aca="false">I42-I43</f>
        <v>3022.66764341178</v>
      </c>
    </row>
    <row r="46" customFormat="false" ht="14.5" hidden="true" customHeight="false" outlineLevel="1" collapsed="false">
      <c r="A46" s="106" t="s">
        <v>108</v>
      </c>
      <c r="B46" s="107" t="n">
        <f aca="false">B41-B45</f>
        <v>0</v>
      </c>
      <c r="C46" s="107" t="n">
        <f aca="false">C41-C45</f>
        <v>217.391304347825</v>
      </c>
      <c r="D46" s="107" t="n">
        <f aca="false">D41-D45</f>
        <v>466.162570888467</v>
      </c>
      <c r="E46" s="107" t="n">
        <f aca="false">E41-E45</f>
        <v>620.23440453686</v>
      </c>
      <c r="F46" s="107" t="n">
        <f aca="false">F41-F45</f>
        <v>1718.87936363863</v>
      </c>
      <c r="G46" s="10"/>
      <c r="H46" s="10" t="s">
        <v>109</v>
      </c>
      <c r="I46" s="105" t="n">
        <f aca="false">I43-I44</f>
        <v>5186.1580826255</v>
      </c>
    </row>
    <row r="47" customFormat="false" ht="14.5" hidden="true" customHeight="false" outlineLevel="1" collapsed="false">
      <c r="A47" s="106" t="s">
        <v>110</v>
      </c>
      <c r="B47" s="107" t="n">
        <f aca="false">B45-B42</f>
        <v>0</v>
      </c>
      <c r="C47" s="107" t="n">
        <f aca="false">C45-C42</f>
        <v>434.782608695653</v>
      </c>
      <c r="D47" s="107" t="n">
        <f aca="false">D45-D42</f>
        <v>870.170132325143</v>
      </c>
      <c r="E47" s="107" t="n">
        <f aca="false">E45-E42</f>
        <v>1081.22495274102</v>
      </c>
      <c r="F47" s="107" t="n">
        <f aca="false">F45-F42</f>
        <v>2799.98038886368</v>
      </c>
      <c r="G47" s="10"/>
      <c r="H47" s="10"/>
      <c r="I47" s="105"/>
    </row>
    <row r="48" customFormat="false" ht="14.5" hidden="true" customHeight="false" outlineLevel="1" collapsed="false">
      <c r="A48" s="106" t="s">
        <v>111</v>
      </c>
      <c r="B48" s="107" t="n">
        <f aca="false">B42+B46+B47</f>
        <v>-14000</v>
      </c>
      <c r="C48" s="107" t="n">
        <f aca="false">C42+C46+C47</f>
        <v>5000</v>
      </c>
      <c r="D48" s="107" t="n">
        <f aca="false">D42+D46+D47</f>
        <v>5480</v>
      </c>
      <c r="E48" s="107" t="n">
        <f aca="false">E42+E46+E47</f>
        <v>4968</v>
      </c>
      <c r="F48" s="107" t="n">
        <f aca="false">F42+F46+F47</f>
        <v>10552</v>
      </c>
      <c r="G48" s="10"/>
      <c r="H48" s="10"/>
      <c r="I48" s="103"/>
    </row>
    <row r="49" customFormat="false" ht="14.5" hidden="false" customHeight="false" outlineLevel="0" collapsed="false">
      <c r="A49" s="10"/>
      <c r="B49" s="10"/>
      <c r="C49" s="105"/>
      <c r="D49" s="10"/>
      <c r="E49" s="10"/>
      <c r="F49" s="10"/>
      <c r="G49" s="10"/>
      <c r="H49" s="10"/>
      <c r="I49" s="10"/>
    </row>
    <row r="50" customFormat="false" ht="14.5" hidden="false" customHeight="false" outlineLevel="0" collapsed="false">
      <c r="A50" s="31" t="s">
        <v>45</v>
      </c>
      <c r="B50" s="108" t="n">
        <f aca="false">SUM(B42:F42)</f>
        <v>3791.17427396271</v>
      </c>
      <c r="C50" s="82"/>
      <c r="D50" s="10"/>
      <c r="E50" s="10"/>
      <c r="F50" s="10"/>
      <c r="G50" s="10"/>
      <c r="H50" s="10"/>
      <c r="I50" s="10"/>
    </row>
    <row r="51" customFormat="false" ht="14.5" hidden="false" customHeight="false" outlineLevel="0" collapsed="false">
      <c r="A51" s="31" t="s">
        <v>46</v>
      </c>
      <c r="B51" s="109" t="n">
        <f aca="false">IRR(B41:F41)</f>
        <v>0.263252513417561</v>
      </c>
      <c r="C51" s="82"/>
      <c r="D51" s="10"/>
      <c r="E51" s="10"/>
      <c r="F51" s="10"/>
      <c r="G51" s="10"/>
      <c r="H51" s="10"/>
      <c r="I51" s="10"/>
    </row>
    <row r="52" customFormat="false" ht="14.5" hidden="false" customHeight="false" outlineLevel="0" collapsed="false">
      <c r="A52" s="31" t="s">
        <v>4</v>
      </c>
      <c r="B52" s="109" t="n">
        <f aca="false">MIRR(B41:F41,H2,H8)</f>
        <v>0.221003713799454</v>
      </c>
      <c r="C52" s="82"/>
      <c r="D52" s="10"/>
      <c r="E52" s="10"/>
      <c r="F52" s="10"/>
      <c r="G52" s="10"/>
      <c r="H52" s="10"/>
      <c r="I52" s="10"/>
    </row>
    <row r="53" customFormat="false" ht="14.5" hidden="false" customHeight="false" outlineLevel="0" collapsed="false">
      <c r="A53" s="31" t="s">
        <v>47</v>
      </c>
      <c r="B53" s="110" t="n">
        <f aca="false">MATCH(0,B43:F43)-1+-INDEX(B43:F43,1,MATCH(0,B43:F43))/INDEX(C41:F41,1,MATCH(0,B43:F43))</f>
        <v>2.7085346215781</v>
      </c>
      <c r="C53" s="82"/>
      <c r="D53" s="10"/>
      <c r="E53" s="10"/>
      <c r="F53" s="10"/>
      <c r="G53" s="10"/>
      <c r="H53" s="10"/>
      <c r="I53" s="10"/>
    </row>
    <row r="54" customFormat="false" ht="14.5" hidden="false" customHeight="false" outlineLevel="0" collapsed="false">
      <c r="A54" s="31" t="s">
        <v>48</v>
      </c>
      <c r="B54" s="110" t="n">
        <f aca="false">MATCH(0,B44:F44)-1+-INDEX(B44:F44,1,MATCH(0,B44:F44))/INDEX(C42:F42,1,MATCH(0,B44:F44))</f>
        <v>3.37160846285064</v>
      </c>
      <c r="C54" s="82"/>
      <c r="D54" s="10"/>
      <c r="E54" s="10"/>
      <c r="F54" s="10"/>
      <c r="G54" s="10"/>
      <c r="H54" s="10"/>
      <c r="I54" s="10"/>
    </row>
    <row r="55" customFormat="false" ht="14.5" hidden="false" customHeight="false" outlineLevel="0" collapsed="false">
      <c r="A55" s="10"/>
      <c r="B55" s="10"/>
      <c r="C55" s="10"/>
      <c r="D55" s="10"/>
      <c r="E55" s="10"/>
      <c r="F55" s="10"/>
      <c r="G55" s="10"/>
      <c r="H55" s="10"/>
      <c r="I55" s="10"/>
    </row>
    <row r="56" customFormat="false" ht="14.5" hidden="false" customHeight="false" outlineLevel="0" collapsed="false">
      <c r="A56" s="78" t="s">
        <v>112</v>
      </c>
      <c r="B56" s="78"/>
      <c r="C56" s="78"/>
      <c r="D56" s="78"/>
      <c r="E56" s="78"/>
      <c r="F56" s="78"/>
      <c r="G56" s="78"/>
      <c r="H56" s="78"/>
      <c r="I56" s="10"/>
    </row>
    <row r="57" customFormat="false" ht="14.5" hidden="false" customHeight="false" outlineLevel="0" collapsed="false">
      <c r="A57" s="78" t="s">
        <v>113</v>
      </c>
      <c r="B57" s="78"/>
      <c r="C57" s="89" t="n">
        <v>0.2</v>
      </c>
      <c r="D57" s="89" t="n">
        <v>0.32</v>
      </c>
      <c r="E57" s="111" t="n">
        <v>0.192</v>
      </c>
      <c r="F57" s="111" t="n">
        <v>0.1152</v>
      </c>
      <c r="G57" s="111" t="n">
        <v>0.1152</v>
      </c>
      <c r="H57" s="111" t="n">
        <v>0.0576</v>
      </c>
      <c r="I57" s="10"/>
    </row>
    <row r="58" customFormat="false" ht="14.5" hidden="false" customHeight="false" outlineLevel="0" collapsed="false">
      <c r="A58" s="78"/>
      <c r="B58" s="78"/>
      <c r="C58" s="78"/>
      <c r="D58" s="78"/>
      <c r="E58" s="78"/>
      <c r="F58" s="78"/>
      <c r="G58" s="78"/>
      <c r="H58" s="78"/>
      <c r="I58" s="10"/>
    </row>
    <row r="59" customFormat="false" ht="14.5" hidden="false" customHeight="false" outlineLevel="0" collapsed="false">
      <c r="A59" s="78" t="s">
        <v>114</v>
      </c>
      <c r="B59" s="78" t="n">
        <f aca="false">B3+B4</f>
        <v>10000</v>
      </c>
      <c r="C59" s="78" t="n">
        <f aca="false">B59-C57*$B$59</f>
        <v>8000</v>
      </c>
      <c r="D59" s="78" t="n">
        <f aca="false">C59-D57*$B$59</f>
        <v>4800</v>
      </c>
      <c r="E59" s="78" t="n">
        <f aca="false">D59-E57*$B$59</f>
        <v>2880</v>
      </c>
      <c r="F59" s="78" t="n">
        <f aca="false">E59-F57*$B$59</f>
        <v>1728</v>
      </c>
      <c r="G59" s="78" t="n">
        <f aca="false">F59-G57*$B$59</f>
        <v>576</v>
      </c>
      <c r="H59" s="78" t="n">
        <f aca="false">G59-H57*$B$59</f>
        <v>0</v>
      </c>
      <c r="I59" s="10"/>
    </row>
    <row r="60" customFormat="false" ht="14.5" hidden="false" customHeight="false" outlineLevel="0" collapsed="false">
      <c r="A60" s="10"/>
      <c r="B60" s="10"/>
      <c r="C60" s="10"/>
      <c r="D60" s="10"/>
      <c r="E60" s="10"/>
      <c r="F60" s="10"/>
      <c r="G60" s="10"/>
      <c r="H60" s="10"/>
      <c r="I60" s="10"/>
    </row>
    <row r="61" customFormat="false" ht="14.5" hidden="false" customHeight="false" outlineLevel="0" collapsed="false">
      <c r="A61" s="10"/>
      <c r="B61" s="10"/>
      <c r="C61" s="10"/>
      <c r="D61" s="10"/>
      <c r="E61" s="10"/>
      <c r="F61" s="10"/>
      <c r="G61" s="10"/>
      <c r="H61" s="10"/>
      <c r="I61" s="10"/>
    </row>
    <row r="62" customFormat="false" ht="14.5" hidden="false" customHeight="false" outlineLevel="0" collapsed="false">
      <c r="A62" s="10"/>
      <c r="B62" s="10"/>
      <c r="C62" s="10"/>
      <c r="D62" s="10"/>
      <c r="E62" s="10"/>
      <c r="F62" s="10"/>
      <c r="G62" s="10"/>
      <c r="H62" s="10"/>
      <c r="I62" s="10"/>
    </row>
    <row r="63" customFormat="false" ht="14.5" hidden="false" customHeight="false" outlineLevel="0" collapsed="false">
      <c r="A63" s="10"/>
      <c r="B63" s="10"/>
      <c r="C63" s="10"/>
      <c r="D63" s="10"/>
      <c r="E63" s="10"/>
      <c r="F63" s="10"/>
      <c r="G63" s="10"/>
      <c r="H63" s="10"/>
      <c r="I63" s="10"/>
    </row>
    <row r="64" customFormat="false" ht="14.5" hidden="false" customHeight="false" outlineLevel="0" collapsed="false">
      <c r="A64" s="10"/>
      <c r="B64" s="10"/>
      <c r="C64" s="10"/>
      <c r="D64" s="10"/>
      <c r="E64" s="10"/>
      <c r="F64" s="10"/>
      <c r="G64" s="10"/>
      <c r="H64" s="10"/>
      <c r="I64" s="10"/>
    </row>
    <row r="65" customFormat="false" ht="14.5" hidden="false" customHeight="false" outlineLevel="0" collapsed="false">
      <c r="A65" s="10"/>
      <c r="B65" s="10"/>
      <c r="C65" s="10"/>
      <c r="D65" s="10"/>
      <c r="E65" s="10"/>
      <c r="F65" s="10"/>
      <c r="G65" s="10"/>
      <c r="H65" s="10"/>
      <c r="I65" s="10"/>
    </row>
    <row r="66" customFormat="false" ht="14.5" hidden="false" customHeight="false" outlineLevel="0" collapsed="false">
      <c r="A66" s="10"/>
      <c r="B66" s="10"/>
      <c r="C66" s="10"/>
      <c r="D66" s="10"/>
      <c r="E66" s="10"/>
      <c r="F66" s="10"/>
      <c r="G66" s="10"/>
      <c r="H66" s="10"/>
      <c r="I66" s="10"/>
    </row>
    <row r="67" customFormat="false" ht="14.5" hidden="false" customHeight="false" outlineLevel="0" collapsed="false">
      <c r="I67" s="10"/>
    </row>
  </sheetData>
  <scenarios current="0" show="0">
    <scenario name="units -10%_1" locked="true" count="1" user="Calc" comment="Created by Author on 18/02/2018&#10;Modified by Author on 18/02/2018">
      <inputCells r="E8" val="-0.1"/>
    </scenario>
    <scenario name="units -5_1" locked="true" count="1" user="Calc" comment="Created by Author on 18/02/2018">
      <inputCells r="E8" val="-0.05"/>
    </scenario>
    <scenario name="units 0_1" locked="true" count="1" user="Calc" comment="Created by Author on 18/02/2018">
      <inputCells r="E8" val="0"/>
    </scenario>
    <scenario name="units 5%_1" locked="true" count="1" user="Calc" comment="Created by Author on 18/02/2018">
      <inputCells r="E8" val="0.05"/>
    </scenario>
    <scenario name="units 10%_1" locked="true" count="1" user="Calc" comment="Created by Author on 18/02/2018">
      <inputCells r="E8" val="0.1"/>
    </scenario>
    <scenario name="price -10_1" locked="true" count="1" user="Calc" comment="Created by Author on 19/02/2018">
      <inputCells r="E9" val="-0.1"/>
    </scenario>
    <scenario name="price -5_1" locked="true" count="1" user="Calc" comment="Created by Author on 19/02/2018">
      <inputCells r="E9" val="-0.05"/>
    </scenario>
    <scenario name="price 0_1" locked="true" count="1" user="Calc" comment="Created by Author on 19/02/2018">
      <inputCells r="E9" val="0"/>
    </scenario>
    <scenario name="price 5_1" locked="true" count="1" user="Calc" comment="Created by Author on 19/02/2018">
      <inputCells r="E9" val="0.05"/>
    </scenario>
    <scenario name="price 10%_1" locked="true" count="1" user="Calc" comment="Created by Author on 19/02/2018">
      <inputCells r="E9" val="0.1"/>
    </scenario>
  </scenarios>
  <conditionalFormatting sqref="E3:E13">
    <cfRule type="cellIs" priority="2" operator="notEqual" aboveAverage="0" equalAverage="0" bottom="0" percent="0" rank="0" text="" dxfId="5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LM147"/>
  <sheetViews>
    <sheetView showFormulas="false" showGridLines="true" showRowColHeaders="true" showZeros="true" rightToLeft="false" tabSelected="false" showOutlineSymbols="true" defaultGridColor="true" view="normal" topLeftCell="A79" colorId="64" zoomScale="100" zoomScaleNormal="100" zoomScalePageLayoutView="100" workbookViewId="0">
      <selection pane="topLeft" activeCell="F121" activeCellId="1" sqref="F92 F121"/>
    </sheetView>
  </sheetViews>
  <sheetFormatPr defaultColWidth="8.5390625" defaultRowHeight="14.5" zeroHeight="false" outlineLevelRow="1" outlineLevelCol="0"/>
  <cols>
    <col collapsed="false" customWidth="true" hidden="false" outlineLevel="0" max="1" min="1" style="0" width="25.91"/>
    <col collapsed="false" customWidth="true" hidden="false" outlineLevel="0" max="2" min="2" style="0" width="13.36"/>
    <col collapsed="false" customWidth="true" hidden="false" outlineLevel="0" max="3" min="3" style="0" width="17.45"/>
    <col collapsed="false" customWidth="true" hidden="false" outlineLevel="0" max="4" min="4" style="0" width="12.09"/>
    <col collapsed="false" customWidth="true" hidden="false" outlineLevel="0" max="5" min="5" style="0" width="13.63"/>
    <col collapsed="false" customWidth="true" hidden="false" outlineLevel="0" max="6" min="6" style="0" width="17.55"/>
    <col collapsed="false" customWidth="true" hidden="false" outlineLevel="0" max="7" min="7" style="0" width="21"/>
    <col collapsed="false" customWidth="true" hidden="false" outlineLevel="0" max="8" min="8" style="0" width="15.36"/>
    <col collapsed="false" customWidth="true" hidden="false" outlineLevel="0" max="9" min="9" style="0" width="13"/>
    <col collapsed="false" customWidth="true" hidden="false" outlineLevel="0" max="10" min="10" style="0" width="11.54"/>
  </cols>
  <sheetData>
    <row r="1" customFormat="false" ht="14.5" hidden="false" customHeight="false" outlineLevel="0" collapsed="false">
      <c r="A1" s="10"/>
      <c r="B1" s="10"/>
      <c r="C1" s="10"/>
      <c r="D1" s="10"/>
      <c r="E1" s="10"/>
      <c r="F1" s="10"/>
      <c r="G1" s="10"/>
      <c r="H1" s="10"/>
    </row>
    <row r="2" customFormat="false" ht="14.5" hidden="false" customHeight="false" outlineLevel="0" collapsed="false">
      <c r="A2" s="78" t="s">
        <v>78</v>
      </c>
      <c r="B2" s="78"/>
      <c r="C2" s="78"/>
      <c r="D2" s="79" t="s">
        <v>12</v>
      </c>
      <c r="E2" s="79" t="s">
        <v>13</v>
      </c>
      <c r="F2" s="10"/>
      <c r="G2" s="10"/>
      <c r="H2" s="10"/>
    </row>
    <row r="3" customFormat="false" ht="14.5" hidden="false" customHeight="false" outlineLevel="0" collapsed="false">
      <c r="A3" s="78" t="s">
        <v>14</v>
      </c>
      <c r="B3" s="78" t="n">
        <f aca="false">D3*(100%+E3)</f>
        <v>9500</v>
      </c>
      <c r="C3" s="78"/>
      <c r="D3" s="13" t="n">
        <v>9500</v>
      </c>
      <c r="E3" s="16" t="n">
        <v>0</v>
      </c>
      <c r="F3" s="10"/>
      <c r="G3" s="10"/>
      <c r="H3" s="10"/>
    </row>
    <row r="4" customFormat="false" ht="14.5" hidden="false" customHeight="false" outlineLevel="0" collapsed="false">
      <c r="A4" s="78" t="s">
        <v>15</v>
      </c>
      <c r="B4" s="78" t="n">
        <f aca="false">D4*(100%+E4)</f>
        <v>500</v>
      </c>
      <c r="C4" s="78"/>
      <c r="D4" s="13" t="n">
        <v>500</v>
      </c>
      <c r="E4" s="16" t="n">
        <v>0</v>
      </c>
      <c r="F4" s="10"/>
      <c r="G4" s="10"/>
      <c r="H4" s="10"/>
    </row>
    <row r="5" customFormat="false" ht="14.5" hidden="false" customHeight="false" outlineLevel="0" collapsed="false">
      <c r="A5" s="78" t="s">
        <v>16</v>
      </c>
      <c r="B5" s="78" t="n">
        <f aca="false">D5*(100%+E5)</f>
        <v>2000</v>
      </c>
      <c r="C5" s="78"/>
      <c r="D5" s="13" t="n">
        <v>2000</v>
      </c>
      <c r="E5" s="16" t="n">
        <v>0</v>
      </c>
      <c r="F5" s="10"/>
      <c r="G5" s="10"/>
      <c r="H5" s="10"/>
    </row>
    <row r="6" customFormat="false" ht="14.5" hidden="false" customHeight="false" outlineLevel="0" collapsed="false">
      <c r="A6" s="78"/>
      <c r="B6" s="78"/>
      <c r="C6" s="78"/>
      <c r="D6" s="13"/>
      <c r="E6" s="16"/>
      <c r="F6" s="10"/>
      <c r="G6" s="10"/>
      <c r="H6" s="10"/>
    </row>
    <row r="7" customFormat="false" ht="14.5" hidden="false" customHeight="false" outlineLevel="0" collapsed="false">
      <c r="A7" s="78" t="s">
        <v>17</v>
      </c>
      <c r="B7" s="78" t="n">
        <f aca="false">D7*(100%+E7)</f>
        <v>4000</v>
      </c>
      <c r="C7" s="78"/>
      <c r="D7" s="13" t="n">
        <v>4000</v>
      </c>
      <c r="E7" s="16" t="n">
        <v>0</v>
      </c>
      <c r="F7" s="10"/>
      <c r="G7" s="10"/>
      <c r="H7" s="10"/>
    </row>
    <row r="8" customFormat="false" ht="14.5" hidden="false" customHeight="false" outlineLevel="0" collapsed="false">
      <c r="A8" s="78" t="s">
        <v>18</v>
      </c>
      <c r="B8" s="78" t="n">
        <f aca="false">D8*(100%+E8)</f>
        <v>15000</v>
      </c>
      <c r="C8" s="78"/>
      <c r="D8" s="13" t="n">
        <v>15000</v>
      </c>
      <c r="E8" s="16" t="n">
        <v>0</v>
      </c>
      <c r="F8" s="10"/>
      <c r="G8" s="10"/>
      <c r="H8" s="10"/>
    </row>
    <row r="9" customFormat="false" ht="14.5" hidden="false" customHeight="false" outlineLevel="0" collapsed="false">
      <c r="A9" s="78" t="s">
        <v>19</v>
      </c>
      <c r="B9" s="78" t="n">
        <f aca="false">D9*(100%+E9)</f>
        <v>2</v>
      </c>
      <c r="C9" s="78"/>
      <c r="D9" s="13" t="n">
        <v>2</v>
      </c>
      <c r="E9" s="16" t="n">
        <v>0</v>
      </c>
      <c r="F9" s="10"/>
      <c r="G9" s="10"/>
      <c r="H9" s="10"/>
    </row>
    <row r="10" customFormat="false" ht="14.5" hidden="false" customHeight="false" outlineLevel="0" collapsed="false">
      <c r="A10" s="78" t="s">
        <v>20</v>
      </c>
      <c r="B10" s="89" t="n">
        <f aca="false">D10*(100%+E10)</f>
        <v>0.6</v>
      </c>
      <c r="C10" s="78" t="s">
        <v>21</v>
      </c>
      <c r="D10" s="16" t="n">
        <v>0.6</v>
      </c>
      <c r="E10" s="16" t="n">
        <v>0</v>
      </c>
      <c r="F10" s="10"/>
      <c r="G10" s="10"/>
      <c r="H10" s="10"/>
    </row>
    <row r="11" customFormat="false" ht="14.5" hidden="false" customHeight="false" outlineLevel="0" collapsed="false">
      <c r="A11" s="78" t="s">
        <v>22</v>
      </c>
      <c r="B11" s="90" t="n">
        <f aca="false">D11*(100%+E11)</f>
        <v>5000</v>
      </c>
      <c r="C11" s="78"/>
      <c r="D11" s="18" t="n">
        <v>5000</v>
      </c>
      <c r="E11" s="16" t="n">
        <v>0</v>
      </c>
      <c r="F11" s="10"/>
      <c r="G11" s="10"/>
      <c r="H11" s="10"/>
    </row>
    <row r="12" customFormat="false" ht="14.5" hidden="false" customHeight="false" outlineLevel="0" collapsed="false">
      <c r="A12" s="78" t="s">
        <v>23</v>
      </c>
      <c r="B12" s="89" t="n">
        <f aca="false">D12*(100%+E12)</f>
        <v>0.4</v>
      </c>
      <c r="C12" s="78"/>
      <c r="D12" s="16" t="n">
        <v>0.4</v>
      </c>
      <c r="E12" s="16" t="n">
        <v>0</v>
      </c>
      <c r="F12" s="10"/>
      <c r="G12" s="10"/>
      <c r="H12" s="10"/>
    </row>
    <row r="13" customFormat="false" ht="14.5" hidden="false" customHeight="false" outlineLevel="0" collapsed="false">
      <c r="A13" s="91" t="s">
        <v>24</v>
      </c>
      <c r="B13" s="92" t="n">
        <v>0</v>
      </c>
      <c r="C13" s="78"/>
      <c r="D13" s="16" t="n">
        <v>0</v>
      </c>
      <c r="E13" s="16" t="n">
        <v>0</v>
      </c>
      <c r="F13" s="10"/>
      <c r="G13" s="10"/>
      <c r="H13" s="10"/>
    </row>
    <row r="14" customFormat="false" ht="14.5" hidden="false" customHeight="false" outlineLevel="0" collapsed="false">
      <c r="A14" s="10" t="s">
        <v>84</v>
      </c>
      <c r="B14" s="91"/>
      <c r="D14" s="10"/>
      <c r="E14" s="10"/>
      <c r="F14" s="10"/>
      <c r="G14" s="10"/>
      <c r="H14" s="10"/>
    </row>
    <row r="15" customFormat="false" ht="14.5" hidden="false" customHeight="false" outlineLevel="0" collapsed="false">
      <c r="A15" s="93"/>
      <c r="B15" s="93" t="n">
        <v>0</v>
      </c>
      <c r="C15" s="93" t="n">
        <v>1</v>
      </c>
      <c r="D15" s="93" t="n">
        <v>2</v>
      </c>
      <c r="E15" s="93" t="n">
        <v>3</v>
      </c>
      <c r="F15" s="93" t="n">
        <v>4</v>
      </c>
      <c r="G15" s="10"/>
      <c r="H15" s="10"/>
    </row>
    <row r="16" customFormat="false" ht="14.5" hidden="false" customHeight="false" outlineLevel="0" collapsed="false">
      <c r="A16" s="94" t="s">
        <v>85</v>
      </c>
      <c r="B16" s="10"/>
      <c r="C16" s="10"/>
      <c r="D16" s="10"/>
      <c r="E16" s="10"/>
      <c r="F16" s="10"/>
      <c r="G16" s="10"/>
      <c r="H16" s="10"/>
    </row>
    <row r="17" customFormat="false" ht="14.5" hidden="false" customHeight="false" outlineLevel="0" collapsed="false">
      <c r="A17" s="10" t="s">
        <v>14</v>
      </c>
      <c r="B17" s="10" t="n">
        <f aca="false">-B3</f>
        <v>-9500</v>
      </c>
      <c r="C17" s="10"/>
      <c r="D17" s="10"/>
      <c r="E17" s="10"/>
      <c r="F17" s="10"/>
      <c r="G17" s="10"/>
      <c r="H17" s="10"/>
    </row>
    <row r="18" customFormat="false" ht="14.5" hidden="false" customHeight="false" outlineLevel="0" collapsed="false">
      <c r="A18" s="10" t="s">
        <v>15</v>
      </c>
      <c r="B18" s="10" t="n">
        <f aca="false">-B4</f>
        <v>-500</v>
      </c>
      <c r="C18" s="10"/>
      <c r="D18" s="10"/>
      <c r="E18" s="10"/>
      <c r="F18" s="10"/>
      <c r="G18" s="10"/>
      <c r="H18" s="10"/>
    </row>
    <row r="19" customFormat="false" ht="14.5" hidden="false" customHeight="false" outlineLevel="0" collapsed="false">
      <c r="A19" s="10" t="s">
        <v>17</v>
      </c>
      <c r="B19" s="10" t="n">
        <f aca="false">-B7</f>
        <v>-4000</v>
      </c>
      <c r="C19" s="10"/>
      <c r="D19" s="10"/>
      <c r="E19" s="10"/>
      <c r="F19" s="10"/>
      <c r="G19" s="10"/>
      <c r="H19" s="10"/>
    </row>
    <row r="20" customFormat="false" ht="14.5" hidden="false" customHeight="false" outlineLevel="0" collapsed="false">
      <c r="A20" s="20" t="s">
        <v>86</v>
      </c>
      <c r="B20" s="10" t="n">
        <f aca="false">SUM(B17:B19)</f>
        <v>-14000</v>
      </c>
      <c r="C20" s="10"/>
      <c r="D20" s="10"/>
      <c r="E20" s="10"/>
      <c r="F20" s="10"/>
      <c r="G20" s="10"/>
      <c r="H20" s="10"/>
    </row>
    <row r="21" customFormat="false" ht="11.5" hidden="false" customHeight="true" outlineLevel="0" collapsed="false">
      <c r="A21" s="10"/>
      <c r="B21" s="10"/>
      <c r="C21" s="10"/>
      <c r="D21" s="10"/>
      <c r="E21" s="10"/>
      <c r="F21" s="10"/>
      <c r="G21" s="10"/>
      <c r="H21" s="10"/>
    </row>
    <row r="22" customFormat="false" ht="14.5" hidden="false" customHeight="false" outlineLevel="0" collapsed="false">
      <c r="A22" s="94" t="s">
        <v>87</v>
      </c>
      <c r="B22" s="10"/>
      <c r="C22" s="10"/>
      <c r="D22" s="10"/>
      <c r="E22" s="10"/>
      <c r="F22" s="10"/>
      <c r="G22" s="10"/>
      <c r="H22" s="10"/>
    </row>
    <row r="23" customFormat="false" ht="14.5" hidden="false" customHeight="false" outlineLevel="0" collapsed="false">
      <c r="A23" s="91" t="s">
        <v>33</v>
      </c>
      <c r="B23" s="10"/>
      <c r="C23" s="95" t="n">
        <f aca="false">$B$8*$B$9*(1+$B$13)</f>
        <v>30000</v>
      </c>
      <c r="D23" s="95" t="n">
        <f aca="false">C23*(1+$B$13)</f>
        <v>30000</v>
      </c>
      <c r="E23" s="95" t="n">
        <f aca="false">D23*(1+$B$13)</f>
        <v>30000</v>
      </c>
      <c r="F23" s="95" t="n">
        <f aca="false">E23*(1+$B$13)</f>
        <v>30000</v>
      </c>
      <c r="G23" s="10"/>
      <c r="H23" s="10"/>
    </row>
    <row r="24" customFormat="false" ht="14.5" hidden="false" customHeight="false" outlineLevel="0" collapsed="false">
      <c r="A24" s="91" t="s">
        <v>20</v>
      </c>
      <c r="B24" s="10"/>
      <c r="C24" s="95" t="n">
        <f aca="false">-C23*$B$10</f>
        <v>-18000</v>
      </c>
      <c r="D24" s="95" t="n">
        <f aca="false">-D23*$B$10</f>
        <v>-18000</v>
      </c>
      <c r="E24" s="95" t="n">
        <f aca="false">-E23*$B$10</f>
        <v>-18000</v>
      </c>
      <c r="F24" s="95" t="n">
        <f aca="false">-F23*$B$10</f>
        <v>-18000</v>
      </c>
      <c r="G24" s="10"/>
      <c r="H24" s="10"/>
    </row>
    <row r="25" customFormat="false" ht="14.5" hidden="false" customHeight="false" outlineLevel="0" collapsed="false">
      <c r="A25" s="96" t="s">
        <v>22</v>
      </c>
      <c r="B25" s="97"/>
      <c r="C25" s="98" t="n">
        <f aca="false">-B11*(1+$B$13)</f>
        <v>-5000</v>
      </c>
      <c r="D25" s="98" t="n">
        <f aca="false">C25*(1+$B$13)</f>
        <v>-5000</v>
      </c>
      <c r="E25" s="98" t="n">
        <f aca="false">D25*(1+$B$13)</f>
        <v>-5000</v>
      </c>
      <c r="F25" s="98" t="n">
        <f aca="false">E25*(1+$B$13)</f>
        <v>-5000</v>
      </c>
      <c r="G25" s="10"/>
      <c r="H25" s="10"/>
    </row>
    <row r="26" customFormat="false" ht="14.5" hidden="false" customHeight="false" outlineLevel="0" collapsed="false">
      <c r="A26" s="20" t="s">
        <v>88</v>
      </c>
      <c r="B26" s="10"/>
      <c r="C26" s="99" t="n">
        <f aca="false">SUM(C23:C25)</f>
        <v>7000</v>
      </c>
      <c r="D26" s="99" t="n">
        <f aca="false">SUM(D23:D25)</f>
        <v>7000</v>
      </c>
      <c r="E26" s="99" t="n">
        <f aca="false">SUM(E23:E25)</f>
        <v>7000</v>
      </c>
      <c r="F26" s="99" t="n">
        <f aca="false">SUM(F23:F25)</f>
        <v>7000</v>
      </c>
      <c r="G26" s="10"/>
      <c r="H26" s="10"/>
    </row>
    <row r="27" customFormat="false" ht="14.5" hidden="false" customHeight="false" outlineLevel="0" collapsed="false">
      <c r="A27" s="97" t="s">
        <v>89</v>
      </c>
      <c r="B27" s="97"/>
      <c r="C27" s="98" t="n">
        <f aca="false">($B$17+$B$18)*C57</f>
        <v>-2000</v>
      </c>
      <c r="D27" s="98" t="n">
        <f aca="false">($B$17+$B$18)*D57</f>
        <v>-2000</v>
      </c>
      <c r="E27" s="98" t="n">
        <f aca="false">($B$17+$B$18)*E57</f>
        <v>-2000</v>
      </c>
      <c r="F27" s="98" t="n">
        <f aca="false">($B$17+$B$18)*F57</f>
        <v>-2000</v>
      </c>
      <c r="G27" s="10"/>
      <c r="H27" s="10"/>
    </row>
    <row r="28" customFormat="false" ht="14.5" hidden="false" customHeight="false" outlineLevel="0" collapsed="false">
      <c r="A28" s="20" t="s">
        <v>90</v>
      </c>
      <c r="B28" s="10"/>
      <c r="C28" s="99" t="n">
        <f aca="false">C26+C27</f>
        <v>5000</v>
      </c>
      <c r="D28" s="99" t="n">
        <f aca="false">D26+D27</f>
        <v>5000</v>
      </c>
      <c r="E28" s="99" t="n">
        <f aca="false">E26+E27</f>
        <v>5000</v>
      </c>
      <c r="F28" s="99" t="n">
        <f aca="false">F26+F27</f>
        <v>5000</v>
      </c>
      <c r="G28" s="10"/>
      <c r="H28" s="10"/>
    </row>
    <row r="29" customFormat="false" ht="14.5" hidden="false" customHeight="false" outlineLevel="0" collapsed="false">
      <c r="A29" s="112" t="s">
        <v>91</v>
      </c>
      <c r="B29" s="112"/>
      <c r="C29" s="113" t="n">
        <f aca="false">IF(B28+B29&lt;0,B28+B29,0)</f>
        <v>0</v>
      </c>
      <c r="D29" s="113" t="n">
        <f aca="false">IF(C28+C29&lt;0,C28+C29,0)</f>
        <v>0</v>
      </c>
      <c r="E29" s="113" t="n">
        <f aca="false">IF(D28+D29&lt;0,D28+D29,0)</f>
        <v>0</v>
      </c>
      <c r="F29" s="113" t="n">
        <f aca="false">IF(E28+E29&lt;0,E28+E29,0)</f>
        <v>0</v>
      </c>
      <c r="G29" s="10"/>
      <c r="H29" s="10"/>
    </row>
    <row r="30" customFormat="false" ht="14.5" hidden="false" customHeight="false" outlineLevel="0" collapsed="false">
      <c r="A30" s="97" t="s">
        <v>92</v>
      </c>
      <c r="B30" s="97"/>
      <c r="C30" s="98" t="n">
        <f aca="false">IF(C28+C29&lt;0,0,-(C28+C29)*$B$12)</f>
        <v>-2000</v>
      </c>
      <c r="D30" s="98" t="n">
        <f aca="false">IF(D28+D29&lt;0,0,-(D28+D29)*$B$12)</f>
        <v>-2000</v>
      </c>
      <c r="E30" s="98" t="n">
        <f aca="false">IF(E28+E29&lt;0,0,-(E28+E29)*$B$12)</f>
        <v>-2000</v>
      </c>
      <c r="F30" s="98" t="n">
        <f aca="false">IF(F28+F29&lt;0,0,-(F28+F29)*$B$12)</f>
        <v>-2000</v>
      </c>
      <c r="G30" s="10"/>
      <c r="H30" s="10"/>
    </row>
    <row r="31" customFormat="false" ht="14.5" hidden="false" customHeight="false" outlineLevel="0" collapsed="false">
      <c r="A31" s="20" t="s">
        <v>93</v>
      </c>
      <c r="B31" s="10"/>
      <c r="C31" s="99" t="n">
        <f aca="false">C28+C30</f>
        <v>3000</v>
      </c>
      <c r="D31" s="99" t="n">
        <f aca="false">D28+D30</f>
        <v>3000</v>
      </c>
      <c r="E31" s="99" t="n">
        <f aca="false">E28+E30</f>
        <v>3000</v>
      </c>
      <c r="F31" s="99" t="n">
        <f aca="false">F28+F30</f>
        <v>3000</v>
      </c>
      <c r="G31" s="10"/>
      <c r="H31" s="10"/>
    </row>
    <row r="32" customFormat="false" ht="14.5" hidden="false" customHeight="false" outlineLevel="0" collapsed="false">
      <c r="A32" s="97" t="s">
        <v>94</v>
      </c>
      <c r="B32" s="97"/>
      <c r="C32" s="98" t="n">
        <f aca="false">-C27</f>
        <v>2000</v>
      </c>
      <c r="D32" s="98" t="n">
        <f aca="false">-D27</f>
        <v>2000</v>
      </c>
      <c r="E32" s="98" t="n">
        <f aca="false">-E27</f>
        <v>2000</v>
      </c>
      <c r="F32" s="98" t="n">
        <f aca="false">-F27</f>
        <v>2000</v>
      </c>
      <c r="G32" s="10"/>
      <c r="H32" s="10"/>
    </row>
    <row r="33" customFormat="false" ht="14.5" hidden="false" customHeight="false" outlineLevel="0" collapsed="false">
      <c r="A33" s="20" t="s">
        <v>95</v>
      </c>
      <c r="B33" s="10"/>
      <c r="C33" s="99" t="n">
        <f aca="false">C31+C32</f>
        <v>5000</v>
      </c>
      <c r="D33" s="99" t="n">
        <f aca="false">D31+D32</f>
        <v>5000</v>
      </c>
      <c r="E33" s="99" t="n">
        <f aca="false">E31+E32</f>
        <v>5000</v>
      </c>
      <c r="F33" s="99" t="n">
        <f aca="false">F31+F32</f>
        <v>5000</v>
      </c>
      <c r="G33" s="10"/>
      <c r="H33" s="10"/>
    </row>
    <row r="34" customFormat="false" ht="6.65" hidden="false" customHeight="true" outlineLevel="0" collapsed="false">
      <c r="A34" s="10"/>
      <c r="B34" s="10"/>
      <c r="C34" s="10"/>
      <c r="D34" s="10"/>
      <c r="E34" s="10"/>
      <c r="F34" s="10"/>
      <c r="G34" s="10"/>
      <c r="H34" s="10"/>
    </row>
    <row r="35" customFormat="false" ht="14.5" hidden="false" customHeight="false" outlineLevel="0" collapsed="false">
      <c r="A35" s="94" t="s">
        <v>96</v>
      </c>
      <c r="B35" s="10"/>
      <c r="C35" s="10"/>
      <c r="D35" s="10"/>
      <c r="E35" s="10"/>
      <c r="F35" s="10"/>
      <c r="G35" s="10"/>
      <c r="H35" s="10"/>
    </row>
    <row r="36" customFormat="false" ht="14.5" hidden="false" customHeight="false" outlineLevel="0" collapsed="false">
      <c r="A36" s="10" t="s">
        <v>97</v>
      </c>
      <c r="B36" s="10"/>
      <c r="C36" s="10"/>
      <c r="D36" s="10"/>
      <c r="E36" s="10"/>
      <c r="F36" s="10" t="n">
        <f aca="false">B5</f>
        <v>2000</v>
      </c>
      <c r="G36" s="10"/>
      <c r="H36" s="10"/>
    </row>
    <row r="37" customFormat="false" ht="14.5" hidden="false" customHeight="false" outlineLevel="0" collapsed="false">
      <c r="A37" s="112" t="s">
        <v>98</v>
      </c>
      <c r="B37" s="10"/>
      <c r="C37" s="10"/>
      <c r="D37" s="10"/>
      <c r="E37" s="10"/>
      <c r="F37" s="10" t="n">
        <f aca="false">-(B5-F59)*B12</f>
        <v>-0</v>
      </c>
      <c r="G37" s="10"/>
      <c r="H37" s="10"/>
    </row>
    <row r="38" customFormat="false" ht="14.5" hidden="false" customHeight="false" outlineLevel="0" collapsed="false">
      <c r="A38" s="97" t="s">
        <v>99</v>
      </c>
      <c r="B38" s="97"/>
      <c r="C38" s="97"/>
      <c r="D38" s="97"/>
      <c r="E38" s="97"/>
      <c r="F38" s="97" t="n">
        <f aca="false">B7</f>
        <v>4000</v>
      </c>
      <c r="G38" s="10"/>
      <c r="H38" s="10"/>
    </row>
    <row r="39" customFormat="false" ht="14.5" hidden="false" customHeight="false" outlineLevel="0" collapsed="false">
      <c r="A39" s="20" t="s">
        <v>100</v>
      </c>
      <c r="B39" s="10"/>
      <c r="C39" s="10"/>
      <c r="D39" s="10"/>
      <c r="E39" s="10"/>
      <c r="F39" s="20" t="n">
        <f aca="false">SUM(F36:F38)</f>
        <v>6000</v>
      </c>
      <c r="G39" s="10"/>
      <c r="H39" s="10"/>
    </row>
    <row r="40" customFormat="false" ht="9.15" hidden="false" customHeight="true" outlineLevel="0" collapsed="false">
      <c r="A40" s="10"/>
      <c r="B40" s="10"/>
      <c r="C40" s="10"/>
      <c r="D40" s="10"/>
      <c r="E40" s="10"/>
      <c r="F40" s="10"/>
      <c r="G40" s="10"/>
      <c r="H40" s="10"/>
    </row>
    <row r="41" customFormat="false" ht="14.5" hidden="false" customHeight="false" outlineLevel="0" collapsed="false">
      <c r="A41" s="100" t="s">
        <v>101</v>
      </c>
      <c r="B41" s="101" t="n">
        <f aca="false">B20</f>
        <v>-14000</v>
      </c>
      <c r="C41" s="101" t="n">
        <f aca="false">C33</f>
        <v>5000</v>
      </c>
      <c r="D41" s="101" t="n">
        <f aca="false">D33</f>
        <v>5000</v>
      </c>
      <c r="E41" s="101" t="n">
        <f aca="false">E33</f>
        <v>5000</v>
      </c>
      <c r="F41" s="101" t="n">
        <f aca="false">F33+F39</f>
        <v>11000</v>
      </c>
      <c r="G41" s="10"/>
      <c r="H41" s="10"/>
    </row>
    <row r="42" customFormat="false" ht="14.5" hidden="false" customHeight="false" outlineLevel="1" collapsed="false">
      <c r="A42" s="20" t="s">
        <v>102</v>
      </c>
      <c r="B42" s="102" t="n">
        <f aca="false">B41/(1+$E$50)^B15</f>
        <v>-14000</v>
      </c>
      <c r="C42" s="102" t="n">
        <f aca="false">C41/(1+$E$50)^C15</f>
        <v>4347.82608695652</v>
      </c>
      <c r="D42" s="102" t="n">
        <f aca="false">D41/(1+$E$50)^D15</f>
        <v>3780.71833648393</v>
      </c>
      <c r="E42" s="102" t="n">
        <f aca="false">E41/(1+$E$50)^E15</f>
        <v>3287.58116215994</v>
      </c>
      <c r="F42" s="102" t="n">
        <f aca="false">F41/(1+$E$50)^F15</f>
        <v>6289.28570152337</v>
      </c>
      <c r="G42" s="10"/>
      <c r="H42" s="10"/>
      <c r="I42" s="114"/>
    </row>
    <row r="43" customFormat="false" ht="14.5" hidden="false" customHeight="false" outlineLevel="1" collapsed="false">
      <c r="A43" s="10" t="s">
        <v>104</v>
      </c>
      <c r="B43" s="104" t="n">
        <f aca="false">B41</f>
        <v>-14000</v>
      </c>
      <c r="C43" s="104" t="n">
        <f aca="false">B43+C41</f>
        <v>-9000</v>
      </c>
      <c r="D43" s="104" t="n">
        <f aca="false">C43+D41</f>
        <v>-4000</v>
      </c>
      <c r="E43" s="104" t="n">
        <f aca="false">D43+E41</f>
        <v>999.999999999995</v>
      </c>
      <c r="F43" s="104" t="n">
        <f aca="false">E43+F41</f>
        <v>12000</v>
      </c>
      <c r="G43" s="10"/>
      <c r="H43" s="10"/>
      <c r="I43" s="114"/>
    </row>
    <row r="44" customFormat="false" ht="14.5" hidden="false" customHeight="false" outlineLevel="1" collapsed="false">
      <c r="A44" s="10" t="s">
        <v>106</v>
      </c>
      <c r="B44" s="104" t="n">
        <f aca="false">B42</f>
        <v>-14000</v>
      </c>
      <c r="C44" s="104" t="n">
        <f aca="false">B44+C42</f>
        <v>-9652.17391304348</v>
      </c>
      <c r="D44" s="104" t="n">
        <f aca="false">C44+D42</f>
        <v>-5871.45557655955</v>
      </c>
      <c r="E44" s="104" t="n">
        <f aca="false">D44+E42</f>
        <v>-2583.87441439961</v>
      </c>
      <c r="F44" s="104" t="n">
        <f aca="false">E44+F42</f>
        <v>3705.41128712376</v>
      </c>
      <c r="G44" s="10"/>
      <c r="H44" s="10"/>
      <c r="I44" s="33"/>
    </row>
    <row r="45" customFormat="false" ht="15.65" hidden="false" customHeight="true" outlineLevel="1" collapsed="false">
      <c r="A45" s="106" t="s">
        <v>107</v>
      </c>
      <c r="B45" s="107" t="n">
        <f aca="false">B41*(1+$E$54)^B15/(1+$E$50)^B15</f>
        <v>-14000</v>
      </c>
      <c r="C45" s="107" t="n">
        <f aca="false">C41*(1+$E$54)^C15/(1+$E$50)^C15</f>
        <v>4782.60869565217</v>
      </c>
      <c r="D45" s="107" t="n">
        <f aca="false">D41*(1+$E$54)^D15/(1+$E$50)^D15</f>
        <v>4574.66918714556</v>
      </c>
      <c r="E45" s="107" t="n">
        <f aca="false">E41*(1+$E$54)^E15/(1+$E$50)^E15</f>
        <v>4375.77052683488</v>
      </c>
      <c r="F45" s="107" t="n">
        <f aca="false">F41*(1+$E$54)^F15/(1+$E$50)^F15</f>
        <v>9208.14319560036</v>
      </c>
      <c r="G45" s="10"/>
      <c r="H45" s="10"/>
      <c r="I45" s="33"/>
    </row>
    <row r="46" customFormat="false" ht="14.5" hidden="false" customHeight="false" outlineLevel="1" collapsed="false">
      <c r="A46" s="106" t="s">
        <v>108</v>
      </c>
      <c r="B46" s="107" t="n">
        <f aca="false">B41-B45</f>
        <v>0</v>
      </c>
      <c r="C46" s="107" t="n">
        <f aca="false">C41-C45</f>
        <v>217.391304347825</v>
      </c>
      <c r="D46" s="107" t="n">
        <f aca="false">D41-D45</f>
        <v>425.33081285444</v>
      </c>
      <c r="E46" s="107" t="n">
        <f aca="false">E41-E45</f>
        <v>624.229473165116</v>
      </c>
      <c r="F46" s="107" t="n">
        <f aca="false">F41-F45</f>
        <v>1791.85680439963</v>
      </c>
      <c r="G46" s="10"/>
      <c r="H46" s="10"/>
      <c r="I46" s="33"/>
    </row>
    <row r="47" customFormat="false" ht="14.5" hidden="false" customHeight="false" outlineLevel="1" collapsed="false">
      <c r="A47" s="106" t="s">
        <v>110</v>
      </c>
      <c r="B47" s="107" t="n">
        <f aca="false">B45-B42</f>
        <v>0</v>
      </c>
      <c r="C47" s="107" t="n">
        <f aca="false">C45-C42</f>
        <v>434.782608695653</v>
      </c>
      <c r="D47" s="107" t="n">
        <f aca="false">D45-D42</f>
        <v>793.950850661627</v>
      </c>
      <c r="E47" s="107" t="n">
        <f aca="false">E45-E42</f>
        <v>1088.18936467494</v>
      </c>
      <c r="F47" s="107" t="n">
        <f aca="false">F45-F42</f>
        <v>2918.857494077</v>
      </c>
      <c r="G47" s="10"/>
      <c r="H47" s="10"/>
      <c r="I47" s="33"/>
    </row>
    <row r="48" customFormat="false" ht="14.5" hidden="false" customHeight="false" outlineLevel="1" collapsed="false">
      <c r="A48" s="106" t="s">
        <v>111</v>
      </c>
      <c r="B48" s="107" t="n">
        <f aca="false">B42+B46+B47</f>
        <v>-14000</v>
      </c>
      <c r="C48" s="107" t="n">
        <f aca="false">C42+C46+C47</f>
        <v>5000</v>
      </c>
      <c r="D48" s="107" t="n">
        <f aca="false">D42+D46+D47</f>
        <v>5000</v>
      </c>
      <c r="E48" s="107" t="n">
        <f aca="false">E42+E46+E47</f>
        <v>5000</v>
      </c>
      <c r="F48" s="107" t="n">
        <f aca="false">F42+F46+F47</f>
        <v>11000</v>
      </c>
      <c r="G48" s="10"/>
      <c r="H48" s="10"/>
      <c r="I48" s="114"/>
    </row>
    <row r="49" customFormat="false" ht="14.5" hidden="false" customHeight="false" outlineLevel="0" collapsed="false">
      <c r="A49" s="10"/>
      <c r="B49" s="10"/>
      <c r="C49" s="105"/>
      <c r="D49" s="10"/>
      <c r="E49" s="10"/>
      <c r="F49" s="10"/>
      <c r="G49" s="10"/>
      <c r="H49" s="10"/>
    </row>
    <row r="50" customFormat="false" ht="14.5" hidden="false" customHeight="false" outlineLevel="0" collapsed="false">
      <c r="A50" s="31" t="s">
        <v>45</v>
      </c>
      <c r="B50" s="108" t="n">
        <f aca="false">SUM(B42:F42)</f>
        <v>3705.41128712376</v>
      </c>
      <c r="C50" s="82"/>
      <c r="D50" s="31" t="s">
        <v>79</v>
      </c>
      <c r="E50" s="80" t="n">
        <f aca="false">F50*(100%+G50)</f>
        <v>0.15</v>
      </c>
      <c r="F50" s="16" t="n">
        <v>0.15</v>
      </c>
      <c r="G50" s="16" t="n">
        <v>0</v>
      </c>
      <c r="H50" s="10"/>
    </row>
    <row r="51" customFormat="false" ht="14.5" hidden="false" customHeight="false" outlineLevel="0" collapsed="false">
      <c r="A51" s="31" t="s">
        <v>46</v>
      </c>
      <c r="B51" s="109" t="n">
        <f aca="false">IRR(B41:F41)</f>
        <v>0.259337166653077</v>
      </c>
      <c r="C51" s="82"/>
      <c r="D51" s="82" t="s">
        <v>80</v>
      </c>
      <c r="E51" s="82"/>
      <c r="F51" s="10"/>
      <c r="G51" s="10"/>
      <c r="H51" s="10"/>
    </row>
    <row r="52" customFormat="false" ht="14.5" hidden="false" customHeight="false" outlineLevel="0" collapsed="false">
      <c r="A52" s="31" t="s">
        <v>4</v>
      </c>
      <c r="B52" s="109" t="n">
        <f aca="false">MIRR(B41:F41,E50,E50)</f>
        <v>0.219529573380709</v>
      </c>
      <c r="C52" s="82"/>
      <c r="D52" s="82" t="s">
        <v>81</v>
      </c>
      <c r="E52" s="82"/>
      <c r="F52" s="10"/>
      <c r="G52" s="10"/>
      <c r="H52" s="10"/>
    </row>
    <row r="53" customFormat="false" ht="14.5" hidden="false" customHeight="false" outlineLevel="0" collapsed="false">
      <c r="A53" s="31" t="s">
        <v>47</v>
      </c>
      <c r="B53" s="110" t="n">
        <f aca="false">MATCH(0,B43:F43)-1+-INDEX(B43:F43,1,MATCH(0,B43:F43))/INDEX(C41:F41,1,MATCH(0,B43:F43))</f>
        <v>2.8</v>
      </c>
      <c r="C53" s="82"/>
      <c r="D53" s="82" t="s">
        <v>82</v>
      </c>
      <c r="E53" s="82"/>
      <c r="F53" s="10"/>
      <c r="G53" s="10"/>
      <c r="H53" s="10"/>
    </row>
    <row r="54" customFormat="false" ht="14.5" hidden="false" customHeight="false" outlineLevel="0" collapsed="false">
      <c r="A54" s="31" t="s">
        <v>48</v>
      </c>
      <c r="B54" s="110" t="n">
        <f aca="false">MATCH(0,B44:F44)-1+-INDEX(B44:F44,1,MATCH(0,B44:F44))/INDEX(C42:F42,1,MATCH(0,B44:F44))</f>
        <v>3.4108375</v>
      </c>
      <c r="C54" s="82"/>
      <c r="D54" s="31" t="s">
        <v>83</v>
      </c>
      <c r="E54" s="86" t="n">
        <v>0.1</v>
      </c>
      <c r="F54" s="10"/>
      <c r="G54" s="10"/>
      <c r="H54" s="10"/>
    </row>
    <row r="55" customFormat="false" ht="14.5" hidden="false" customHeight="false" outlineLevel="0" collapsed="false">
      <c r="A55" s="10"/>
      <c r="B55" s="10"/>
      <c r="C55" s="10"/>
      <c r="D55" s="10"/>
      <c r="E55" s="10"/>
      <c r="F55" s="10"/>
      <c r="G55" s="10"/>
      <c r="H55" s="10"/>
    </row>
    <row r="56" customFormat="false" ht="14.5" hidden="false" customHeight="false" outlineLevel="0" collapsed="false">
      <c r="A56" s="78" t="s">
        <v>112</v>
      </c>
      <c r="B56" s="78"/>
      <c r="C56" s="78"/>
      <c r="D56" s="78"/>
      <c r="E56" s="78"/>
      <c r="F56" s="78"/>
      <c r="G56" s="78"/>
      <c r="H56" s="78"/>
    </row>
    <row r="57" customFormat="false" ht="14.5" hidden="false" customHeight="false" outlineLevel="0" collapsed="false">
      <c r="A57" s="78" t="s">
        <v>115</v>
      </c>
      <c r="B57" s="78"/>
      <c r="C57" s="89" t="n">
        <v>0.2</v>
      </c>
      <c r="D57" s="89" t="n">
        <v>0.2</v>
      </c>
      <c r="E57" s="89" t="n">
        <v>0.2</v>
      </c>
      <c r="F57" s="89" t="n">
        <v>0.2</v>
      </c>
      <c r="G57" s="89" t="n">
        <v>0.2</v>
      </c>
      <c r="H57" s="111"/>
    </row>
    <row r="58" customFormat="false" ht="14.5" hidden="false" customHeight="false" outlineLevel="0" collapsed="false">
      <c r="A58" s="78"/>
      <c r="B58" s="78"/>
      <c r="C58" s="78"/>
      <c r="D58" s="78"/>
      <c r="E58" s="78"/>
      <c r="F58" s="78"/>
      <c r="G58" s="78"/>
      <c r="H58" s="78"/>
    </row>
    <row r="59" customFormat="false" ht="14.5" hidden="false" customHeight="false" outlineLevel="0" collapsed="false">
      <c r="A59" s="78" t="s">
        <v>114</v>
      </c>
      <c r="B59" s="78" t="n">
        <f aca="false">B3+B4</f>
        <v>10000</v>
      </c>
      <c r="C59" s="78" t="n">
        <f aca="false">B59-C57*$B$59</f>
        <v>8000</v>
      </c>
      <c r="D59" s="78" t="n">
        <f aca="false">C59-D57*$B$59</f>
        <v>6000</v>
      </c>
      <c r="E59" s="78" t="n">
        <f aca="false">D59-E57*$B$59</f>
        <v>4000</v>
      </c>
      <c r="F59" s="78" t="n">
        <f aca="false">E59-F57*$B$59</f>
        <v>2000</v>
      </c>
      <c r="G59" s="78" t="n">
        <f aca="false">F59-G57*$B$59</f>
        <v>0</v>
      </c>
      <c r="H59" s="78"/>
    </row>
    <row r="60" customFormat="false" ht="14.5" hidden="false" customHeight="false" outlineLevel="0" collapsed="false">
      <c r="A60" s="10"/>
      <c r="B60" s="10"/>
      <c r="C60" s="10"/>
      <c r="D60" s="10"/>
      <c r="E60" s="10"/>
      <c r="F60" s="10"/>
      <c r="G60" s="10"/>
      <c r="H60" s="10"/>
    </row>
    <row r="65" customFormat="false" ht="14.5" hidden="false" customHeight="false" outlineLevel="0" collapsed="false">
      <c r="A65" s="0" t="s">
        <v>116</v>
      </c>
      <c r="B65" s="0" t="s">
        <v>117</v>
      </c>
      <c r="C65" s="32" t="s">
        <v>118</v>
      </c>
    </row>
    <row r="66" customFormat="false" ht="14.5" hidden="false" customHeight="false" outlineLevel="0" collapsed="false">
      <c r="A66" s="115" t="s">
        <v>14</v>
      </c>
      <c r="B66" s="115" t="n">
        <v>9500</v>
      </c>
      <c r="C66" s="0" t="n">
        <v>0</v>
      </c>
    </row>
    <row r="67" customFormat="false" ht="14.5" hidden="false" customHeight="false" outlineLevel="0" collapsed="false">
      <c r="A67" s="115" t="s">
        <v>15</v>
      </c>
      <c r="B67" s="115" t="n">
        <v>500</v>
      </c>
      <c r="C67" s="0" t="n">
        <v>0</v>
      </c>
    </row>
    <row r="68" customFormat="false" ht="14.5" hidden="false" customHeight="false" outlineLevel="0" collapsed="false">
      <c r="A68" s="78" t="s">
        <v>16</v>
      </c>
      <c r="B68" s="78" t="n">
        <v>2000</v>
      </c>
      <c r="C68" s="0" t="n">
        <v>200</v>
      </c>
    </row>
    <row r="69" customFormat="false" ht="14.5" hidden="false" customHeight="false" outlineLevel="0" collapsed="false">
      <c r="A69" s="78"/>
      <c r="B69" s="78"/>
    </row>
    <row r="70" customFormat="false" ht="14.5" hidden="false" customHeight="false" outlineLevel="0" collapsed="false">
      <c r="A70" s="115" t="s">
        <v>17</v>
      </c>
      <c r="B70" s="115" t="n">
        <v>4000</v>
      </c>
      <c r="C70" s="0" t="n">
        <v>0</v>
      </c>
      <c r="D70" s="0" t="s">
        <v>119</v>
      </c>
    </row>
    <row r="71" customFormat="false" ht="14.5" hidden="false" customHeight="false" outlineLevel="0" collapsed="false">
      <c r="A71" s="78" t="s">
        <v>18</v>
      </c>
      <c r="B71" s="78" t="n">
        <v>15000</v>
      </c>
      <c r="C71" s="0" t="n">
        <v>2000</v>
      </c>
      <c r="D71" s="0" t="n">
        <v>-0.8</v>
      </c>
    </row>
    <row r="72" customFormat="false" ht="14.5" hidden="false" customHeight="false" outlineLevel="0" collapsed="false">
      <c r="A72" s="78" t="s">
        <v>19</v>
      </c>
      <c r="B72" s="78" t="n">
        <v>2</v>
      </c>
      <c r="C72" s="0" t="n">
        <v>0.2</v>
      </c>
    </row>
    <row r="73" customFormat="false" ht="14.5" hidden="false" customHeight="false" outlineLevel="0" collapsed="false">
      <c r="A73" s="78" t="s">
        <v>20</v>
      </c>
      <c r="B73" s="89" t="n">
        <v>0.6</v>
      </c>
      <c r="C73" s="0" t="n">
        <v>0.05</v>
      </c>
    </row>
    <row r="74" customFormat="false" ht="14.5" hidden="false" customHeight="false" outlineLevel="0" collapsed="false">
      <c r="A74" s="115" t="s">
        <v>22</v>
      </c>
      <c r="B74" s="116" t="n">
        <v>5000</v>
      </c>
      <c r="C74" s="0" t="n">
        <v>0</v>
      </c>
    </row>
    <row r="75" customFormat="false" ht="14.5" hidden="false" customHeight="false" outlineLevel="0" collapsed="false">
      <c r="A75" s="115" t="s">
        <v>23</v>
      </c>
      <c r="B75" s="117" t="n">
        <v>0.4</v>
      </c>
      <c r="C75" s="0" t="n">
        <v>0</v>
      </c>
    </row>
    <row r="76" customFormat="false" ht="14.5" hidden="false" customHeight="false" outlineLevel="0" collapsed="false">
      <c r="A76" s="91" t="s">
        <v>24</v>
      </c>
      <c r="B76" s="92" t="n">
        <v>0</v>
      </c>
      <c r="C76" s="0" t="n">
        <v>0.005</v>
      </c>
    </row>
    <row r="79" customFormat="false" ht="14.5" hidden="false" customHeight="false" outlineLevel="0" collapsed="false">
      <c r="A79" s="0" t="s">
        <v>120</v>
      </c>
      <c r="B79" s="0" t="n">
        <v>1</v>
      </c>
      <c r="C79" s="0" t="n">
        <f aca="false">+B79+1</f>
        <v>2</v>
      </c>
      <c r="D79" s="0" t="n">
        <f aca="false">+C79+1</f>
        <v>3</v>
      </c>
      <c r="E79" s="0" t="n">
        <f aca="false">+D79+1</f>
        <v>4</v>
      </c>
      <c r="F79" s="0" t="n">
        <f aca="false">+E79+1</f>
        <v>5</v>
      </c>
      <c r="G79" s="0" t="n">
        <f aca="false">+F79+1</f>
        <v>6</v>
      </c>
      <c r="H79" s="0" t="n">
        <f aca="false">+G79+1</f>
        <v>7</v>
      </c>
      <c r="I79" s="0" t="n">
        <f aca="false">+H79+1</f>
        <v>8</v>
      </c>
      <c r="J79" s="0" t="n">
        <f aca="false">+I79+1</f>
        <v>9</v>
      </c>
      <c r="K79" s="0" t="n">
        <f aca="false">+J79+1</f>
        <v>10</v>
      </c>
      <c r="L79" s="0" t="n">
        <f aca="false">+K79+1</f>
        <v>11</v>
      </c>
      <c r="M79" s="0" t="n">
        <f aca="false">+L79+1</f>
        <v>12</v>
      </c>
      <c r="N79" s="0" t="n">
        <f aca="false">+M79+1</f>
        <v>13</v>
      </c>
      <c r="O79" s="0" t="n">
        <f aca="false">+N79+1</f>
        <v>14</v>
      </c>
      <c r="P79" s="0" t="n">
        <f aca="false">+O79+1</f>
        <v>15</v>
      </c>
      <c r="Q79" s="0" t="n">
        <f aca="false">+P79+1</f>
        <v>16</v>
      </c>
      <c r="R79" s="0" t="n">
        <f aca="false">+Q79+1</f>
        <v>17</v>
      </c>
      <c r="S79" s="0" t="n">
        <f aca="false">+R79+1</f>
        <v>18</v>
      </c>
      <c r="T79" s="0" t="n">
        <f aca="false">+S79+1</f>
        <v>19</v>
      </c>
      <c r="U79" s="0" t="n">
        <f aca="false">+T79+1</f>
        <v>20</v>
      </c>
      <c r="V79" s="0" t="n">
        <f aca="false">+U79+1</f>
        <v>21</v>
      </c>
      <c r="W79" s="0" t="n">
        <f aca="false">+V79+1</f>
        <v>22</v>
      </c>
      <c r="X79" s="0" t="n">
        <f aca="false">+W79+1</f>
        <v>23</v>
      </c>
      <c r="Y79" s="0" t="n">
        <f aca="false">+X79+1</f>
        <v>24</v>
      </c>
      <c r="Z79" s="0" t="n">
        <f aca="false">+Y79+1</f>
        <v>25</v>
      </c>
      <c r="AA79" s="0" t="n">
        <f aca="false">+Z79+1</f>
        <v>26</v>
      </c>
      <c r="AB79" s="0" t="n">
        <f aca="false">+AA79+1</f>
        <v>27</v>
      </c>
      <c r="AC79" s="0" t="n">
        <f aca="false">+AB79+1</f>
        <v>28</v>
      </c>
      <c r="AD79" s="0" t="n">
        <f aca="false">+AC79+1</f>
        <v>29</v>
      </c>
      <c r="AE79" s="0" t="n">
        <f aca="false">+AD79+1</f>
        <v>30</v>
      </c>
      <c r="AF79" s="0" t="n">
        <f aca="false">+AE79+1</f>
        <v>31</v>
      </c>
      <c r="AG79" s="0" t="n">
        <f aca="false">+AF79+1</f>
        <v>32</v>
      </c>
      <c r="AH79" s="0" t="n">
        <f aca="false">+AG79+1</f>
        <v>33</v>
      </c>
      <c r="AI79" s="0" t="n">
        <f aca="false">+AH79+1</f>
        <v>34</v>
      </c>
      <c r="AJ79" s="0" t="n">
        <f aca="false">+AI79+1</f>
        <v>35</v>
      </c>
      <c r="AK79" s="0" t="n">
        <f aca="false">+AJ79+1</f>
        <v>36</v>
      </c>
      <c r="AL79" s="0" t="n">
        <f aca="false">+AK79+1</f>
        <v>37</v>
      </c>
      <c r="AM79" s="0" t="n">
        <f aca="false">+AL79+1</f>
        <v>38</v>
      </c>
      <c r="AN79" s="0" t="n">
        <f aca="false">+AM79+1</f>
        <v>39</v>
      </c>
      <c r="AO79" s="0" t="n">
        <f aca="false">+AN79+1</f>
        <v>40</v>
      </c>
      <c r="AP79" s="0" t="n">
        <f aca="false">+AO79+1</f>
        <v>41</v>
      </c>
      <c r="AQ79" s="0" t="n">
        <f aca="false">+AP79+1</f>
        <v>42</v>
      </c>
      <c r="AR79" s="0" t="n">
        <f aca="false">+AQ79+1</f>
        <v>43</v>
      </c>
      <c r="AS79" s="0" t="n">
        <f aca="false">+AR79+1</f>
        <v>44</v>
      </c>
      <c r="AT79" s="0" t="n">
        <f aca="false">+AS79+1</f>
        <v>45</v>
      </c>
      <c r="AU79" s="0" t="n">
        <f aca="false">+AT79+1</f>
        <v>46</v>
      </c>
      <c r="AV79" s="0" t="n">
        <f aca="false">+AU79+1</f>
        <v>47</v>
      </c>
      <c r="AW79" s="0" t="n">
        <f aca="false">+AV79+1</f>
        <v>48</v>
      </c>
      <c r="AX79" s="0" t="n">
        <f aca="false">+AW79+1</f>
        <v>49</v>
      </c>
      <c r="AY79" s="0" t="n">
        <f aca="false">+AX79+1</f>
        <v>50</v>
      </c>
      <c r="AZ79" s="0" t="n">
        <f aca="false">+AY79+1</f>
        <v>51</v>
      </c>
      <c r="BA79" s="0" t="n">
        <f aca="false">+AZ79+1</f>
        <v>52</v>
      </c>
      <c r="BB79" s="0" t="n">
        <f aca="false">+BA79+1</f>
        <v>53</v>
      </c>
      <c r="BC79" s="0" t="n">
        <f aca="false">+BB79+1</f>
        <v>54</v>
      </c>
      <c r="BD79" s="0" t="n">
        <f aca="false">+BC79+1</f>
        <v>55</v>
      </c>
      <c r="BE79" s="0" t="n">
        <f aca="false">+BD79+1</f>
        <v>56</v>
      </c>
      <c r="BF79" s="0" t="n">
        <f aca="false">+BE79+1</f>
        <v>57</v>
      </c>
      <c r="BG79" s="0" t="n">
        <f aca="false">+BF79+1</f>
        <v>58</v>
      </c>
      <c r="BH79" s="0" t="n">
        <f aca="false">+BG79+1</f>
        <v>59</v>
      </c>
      <c r="BI79" s="0" t="n">
        <f aca="false">+BH79+1</f>
        <v>60</v>
      </c>
      <c r="BJ79" s="0" t="n">
        <f aca="false">+BI79+1</f>
        <v>61</v>
      </c>
      <c r="BK79" s="0" t="n">
        <f aca="false">+BJ79+1</f>
        <v>62</v>
      </c>
      <c r="BL79" s="0" t="n">
        <f aca="false">+BK79+1</f>
        <v>63</v>
      </c>
      <c r="BM79" s="0" t="n">
        <f aca="false">+BL79+1</f>
        <v>64</v>
      </c>
      <c r="BN79" s="0" t="n">
        <f aca="false">+BM79+1</f>
        <v>65</v>
      </c>
      <c r="BO79" s="0" t="n">
        <f aca="false">+BN79+1</f>
        <v>66</v>
      </c>
      <c r="BP79" s="0" t="n">
        <f aca="false">+BO79+1</f>
        <v>67</v>
      </c>
      <c r="BQ79" s="0" t="n">
        <f aca="false">+BP79+1</f>
        <v>68</v>
      </c>
      <c r="BR79" s="0" t="n">
        <f aca="false">+BQ79+1</f>
        <v>69</v>
      </c>
      <c r="BS79" s="0" t="n">
        <f aca="false">+BR79+1</f>
        <v>70</v>
      </c>
      <c r="BT79" s="0" t="n">
        <f aca="false">+BS79+1</f>
        <v>71</v>
      </c>
      <c r="BU79" s="0" t="n">
        <f aca="false">+BT79+1</f>
        <v>72</v>
      </c>
      <c r="BV79" s="0" t="n">
        <f aca="false">+BU79+1</f>
        <v>73</v>
      </c>
      <c r="BW79" s="0" t="n">
        <f aca="false">+BV79+1</f>
        <v>74</v>
      </c>
      <c r="BX79" s="0" t="n">
        <f aca="false">+BW79+1</f>
        <v>75</v>
      </c>
      <c r="BY79" s="0" t="n">
        <f aca="false">+BX79+1</f>
        <v>76</v>
      </c>
      <c r="BZ79" s="0" t="n">
        <f aca="false">+BY79+1</f>
        <v>77</v>
      </c>
      <c r="CA79" s="0" t="n">
        <f aca="false">+BZ79+1</f>
        <v>78</v>
      </c>
      <c r="CB79" s="0" t="n">
        <f aca="false">+CA79+1</f>
        <v>79</v>
      </c>
      <c r="CC79" s="0" t="n">
        <f aca="false">+CB79+1</f>
        <v>80</v>
      </c>
      <c r="CD79" s="0" t="n">
        <f aca="false">+CC79+1</f>
        <v>81</v>
      </c>
      <c r="CE79" s="0" t="n">
        <f aca="false">+CD79+1</f>
        <v>82</v>
      </c>
      <c r="CF79" s="0" t="n">
        <f aca="false">+CE79+1</f>
        <v>83</v>
      </c>
      <c r="CG79" s="0" t="n">
        <f aca="false">+CF79+1</f>
        <v>84</v>
      </c>
      <c r="CH79" s="0" t="n">
        <f aca="false">+CG79+1</f>
        <v>85</v>
      </c>
      <c r="CI79" s="0" t="n">
        <f aca="false">+CH79+1</f>
        <v>86</v>
      </c>
      <c r="CJ79" s="0" t="n">
        <f aca="false">+CI79+1</f>
        <v>87</v>
      </c>
      <c r="CK79" s="0" t="n">
        <f aca="false">+CJ79+1</f>
        <v>88</v>
      </c>
      <c r="CL79" s="0" t="n">
        <f aca="false">+CK79+1</f>
        <v>89</v>
      </c>
      <c r="CM79" s="0" t="n">
        <f aca="false">+CL79+1</f>
        <v>90</v>
      </c>
      <c r="CN79" s="0" t="n">
        <f aca="false">+CM79+1</f>
        <v>91</v>
      </c>
      <c r="CO79" s="0" t="n">
        <f aca="false">+CN79+1</f>
        <v>92</v>
      </c>
      <c r="CP79" s="0" t="n">
        <f aca="false">+CO79+1</f>
        <v>93</v>
      </c>
      <c r="CQ79" s="0" t="n">
        <f aca="false">+CP79+1</f>
        <v>94</v>
      </c>
      <c r="CR79" s="0" t="n">
        <f aca="false">+CQ79+1</f>
        <v>95</v>
      </c>
      <c r="CS79" s="0" t="n">
        <f aca="false">+CR79+1</f>
        <v>96</v>
      </c>
      <c r="CT79" s="0" t="n">
        <f aca="false">+CS79+1</f>
        <v>97</v>
      </c>
      <c r="CU79" s="0" t="n">
        <f aca="false">+CT79+1</f>
        <v>98</v>
      </c>
      <c r="CV79" s="0" t="n">
        <f aca="false">+CU79+1</f>
        <v>99</v>
      </c>
      <c r="CW79" s="0" t="n">
        <f aca="false">+CV79+1</f>
        <v>100</v>
      </c>
      <c r="CX79" s="0" t="n">
        <f aca="false">+CW79+1</f>
        <v>101</v>
      </c>
      <c r="CY79" s="0" t="n">
        <f aca="false">+CX79+1</f>
        <v>102</v>
      </c>
      <c r="CZ79" s="0" t="n">
        <f aca="false">+CY79+1</f>
        <v>103</v>
      </c>
      <c r="DA79" s="0" t="n">
        <f aca="false">+CZ79+1</f>
        <v>104</v>
      </c>
      <c r="DB79" s="0" t="n">
        <f aca="false">+DA79+1</f>
        <v>105</v>
      </c>
      <c r="DC79" s="0" t="n">
        <f aca="false">+DB79+1</f>
        <v>106</v>
      </c>
      <c r="DD79" s="0" t="n">
        <f aca="false">+DC79+1</f>
        <v>107</v>
      </c>
      <c r="DE79" s="0" t="n">
        <f aca="false">+DD79+1</f>
        <v>108</v>
      </c>
      <c r="DF79" s="0" t="n">
        <f aca="false">+DE79+1</f>
        <v>109</v>
      </c>
      <c r="DG79" s="0" t="n">
        <f aca="false">+DF79+1</f>
        <v>110</v>
      </c>
      <c r="DH79" s="0" t="n">
        <f aca="false">+DG79+1</f>
        <v>111</v>
      </c>
      <c r="DI79" s="0" t="n">
        <f aca="false">+DH79+1</f>
        <v>112</v>
      </c>
      <c r="DJ79" s="0" t="n">
        <f aca="false">+DI79+1</f>
        <v>113</v>
      </c>
      <c r="DK79" s="0" t="n">
        <f aca="false">+DJ79+1</f>
        <v>114</v>
      </c>
      <c r="DL79" s="0" t="n">
        <f aca="false">+DK79+1</f>
        <v>115</v>
      </c>
      <c r="DM79" s="0" t="n">
        <f aca="false">+DL79+1</f>
        <v>116</v>
      </c>
      <c r="DN79" s="0" t="n">
        <f aca="false">+DM79+1</f>
        <v>117</v>
      </c>
      <c r="DO79" s="0" t="n">
        <f aca="false">+DN79+1</f>
        <v>118</v>
      </c>
      <c r="DP79" s="0" t="n">
        <f aca="false">+DO79+1</f>
        <v>119</v>
      </c>
      <c r="DQ79" s="0" t="n">
        <f aca="false">+DP79+1</f>
        <v>120</v>
      </c>
      <c r="DR79" s="0" t="n">
        <f aca="false">+DQ79+1</f>
        <v>121</v>
      </c>
      <c r="DS79" s="0" t="n">
        <f aca="false">+DR79+1</f>
        <v>122</v>
      </c>
      <c r="DT79" s="0" t="n">
        <f aca="false">+DS79+1</f>
        <v>123</v>
      </c>
      <c r="DU79" s="0" t="n">
        <f aca="false">+DT79+1</f>
        <v>124</v>
      </c>
      <c r="DV79" s="0" t="n">
        <f aca="false">+DU79+1</f>
        <v>125</v>
      </c>
      <c r="DW79" s="0" t="n">
        <f aca="false">+DV79+1</f>
        <v>126</v>
      </c>
      <c r="DX79" s="0" t="n">
        <f aca="false">+DW79+1</f>
        <v>127</v>
      </c>
      <c r="DY79" s="0" t="n">
        <f aca="false">+DX79+1</f>
        <v>128</v>
      </c>
      <c r="DZ79" s="0" t="n">
        <f aca="false">+DY79+1</f>
        <v>129</v>
      </c>
      <c r="EA79" s="0" t="n">
        <f aca="false">+DZ79+1</f>
        <v>130</v>
      </c>
      <c r="EB79" s="0" t="n">
        <f aca="false">+EA79+1</f>
        <v>131</v>
      </c>
      <c r="EC79" s="0" t="n">
        <f aca="false">+EB79+1</f>
        <v>132</v>
      </c>
      <c r="ED79" s="0" t="n">
        <f aca="false">+EC79+1</f>
        <v>133</v>
      </c>
      <c r="EE79" s="0" t="n">
        <f aca="false">+ED79+1</f>
        <v>134</v>
      </c>
      <c r="EF79" s="0" t="n">
        <f aca="false">+EE79+1</f>
        <v>135</v>
      </c>
      <c r="EG79" s="0" t="n">
        <f aca="false">+EF79+1</f>
        <v>136</v>
      </c>
      <c r="EH79" s="0" t="n">
        <f aca="false">+EG79+1</f>
        <v>137</v>
      </c>
      <c r="EI79" s="0" t="n">
        <f aca="false">+EH79+1</f>
        <v>138</v>
      </c>
      <c r="EJ79" s="0" t="n">
        <f aca="false">+EI79+1</f>
        <v>139</v>
      </c>
      <c r="EK79" s="0" t="n">
        <f aca="false">+EJ79+1</f>
        <v>140</v>
      </c>
      <c r="EL79" s="0" t="n">
        <f aca="false">+EK79+1</f>
        <v>141</v>
      </c>
      <c r="EM79" s="0" t="n">
        <f aca="false">+EL79+1</f>
        <v>142</v>
      </c>
      <c r="EN79" s="0" t="n">
        <f aca="false">+EM79+1</f>
        <v>143</v>
      </c>
      <c r="EO79" s="0" t="n">
        <f aca="false">+EN79+1</f>
        <v>144</v>
      </c>
      <c r="EP79" s="0" t="n">
        <f aca="false">+EO79+1</f>
        <v>145</v>
      </c>
      <c r="EQ79" s="0" t="n">
        <f aca="false">+EP79+1</f>
        <v>146</v>
      </c>
      <c r="ER79" s="0" t="n">
        <f aca="false">+EQ79+1</f>
        <v>147</v>
      </c>
      <c r="ES79" s="0" t="n">
        <f aca="false">+ER79+1</f>
        <v>148</v>
      </c>
      <c r="ET79" s="0" t="n">
        <f aca="false">+ES79+1</f>
        <v>149</v>
      </c>
      <c r="EU79" s="0" t="n">
        <f aca="false">+ET79+1</f>
        <v>150</v>
      </c>
      <c r="EV79" s="0" t="n">
        <f aca="false">+EU79+1</f>
        <v>151</v>
      </c>
      <c r="EW79" s="0" t="n">
        <f aca="false">+EV79+1</f>
        <v>152</v>
      </c>
      <c r="EX79" s="0" t="n">
        <f aca="false">+EW79+1</f>
        <v>153</v>
      </c>
      <c r="EY79" s="0" t="n">
        <f aca="false">+EX79+1</f>
        <v>154</v>
      </c>
      <c r="EZ79" s="0" t="n">
        <f aca="false">+EY79+1</f>
        <v>155</v>
      </c>
      <c r="FA79" s="0" t="n">
        <f aca="false">+EZ79+1</f>
        <v>156</v>
      </c>
      <c r="FB79" s="0" t="n">
        <f aca="false">+FA79+1</f>
        <v>157</v>
      </c>
      <c r="FC79" s="0" t="n">
        <f aca="false">+FB79+1</f>
        <v>158</v>
      </c>
      <c r="FD79" s="0" t="n">
        <f aca="false">+FC79+1</f>
        <v>159</v>
      </c>
      <c r="FE79" s="0" t="n">
        <f aca="false">+FD79+1</f>
        <v>160</v>
      </c>
      <c r="FF79" s="0" t="n">
        <f aca="false">+FE79+1</f>
        <v>161</v>
      </c>
      <c r="FG79" s="0" t="n">
        <f aca="false">+FF79+1</f>
        <v>162</v>
      </c>
      <c r="FH79" s="0" t="n">
        <f aca="false">+FG79+1</f>
        <v>163</v>
      </c>
      <c r="FI79" s="0" t="n">
        <f aca="false">+FH79+1</f>
        <v>164</v>
      </c>
      <c r="FJ79" s="0" t="n">
        <f aca="false">+FI79+1</f>
        <v>165</v>
      </c>
      <c r="FK79" s="0" t="n">
        <f aca="false">+FJ79+1</f>
        <v>166</v>
      </c>
      <c r="FL79" s="0" t="n">
        <f aca="false">+FK79+1</f>
        <v>167</v>
      </c>
      <c r="FM79" s="0" t="n">
        <f aca="false">+FL79+1</f>
        <v>168</v>
      </c>
      <c r="FN79" s="0" t="n">
        <f aca="false">+FM79+1</f>
        <v>169</v>
      </c>
      <c r="FO79" s="0" t="n">
        <f aca="false">+FN79+1</f>
        <v>170</v>
      </c>
      <c r="FP79" s="0" t="n">
        <f aca="false">+FO79+1</f>
        <v>171</v>
      </c>
      <c r="FQ79" s="0" t="n">
        <f aca="false">+FP79+1</f>
        <v>172</v>
      </c>
      <c r="FR79" s="0" t="n">
        <f aca="false">+FQ79+1</f>
        <v>173</v>
      </c>
      <c r="FS79" s="0" t="n">
        <f aca="false">+FR79+1</f>
        <v>174</v>
      </c>
      <c r="FT79" s="0" t="n">
        <f aca="false">+FS79+1</f>
        <v>175</v>
      </c>
      <c r="FU79" s="0" t="n">
        <f aca="false">+FT79+1</f>
        <v>176</v>
      </c>
      <c r="FV79" s="0" t="n">
        <f aca="false">+FU79+1</f>
        <v>177</v>
      </c>
      <c r="FW79" s="0" t="n">
        <f aca="false">+FV79+1</f>
        <v>178</v>
      </c>
      <c r="FX79" s="0" t="n">
        <f aca="false">+FW79+1</f>
        <v>179</v>
      </c>
      <c r="FY79" s="0" t="n">
        <f aca="false">+FX79+1</f>
        <v>180</v>
      </c>
      <c r="FZ79" s="0" t="n">
        <f aca="false">+FY79+1</f>
        <v>181</v>
      </c>
      <c r="GA79" s="0" t="n">
        <f aca="false">+FZ79+1</f>
        <v>182</v>
      </c>
      <c r="GB79" s="0" t="n">
        <f aca="false">+GA79+1</f>
        <v>183</v>
      </c>
      <c r="GC79" s="0" t="n">
        <f aca="false">+GB79+1</f>
        <v>184</v>
      </c>
      <c r="GD79" s="0" t="n">
        <f aca="false">+GC79+1</f>
        <v>185</v>
      </c>
      <c r="GE79" s="0" t="n">
        <f aca="false">+GD79+1</f>
        <v>186</v>
      </c>
      <c r="GF79" s="0" t="n">
        <f aca="false">+GE79+1</f>
        <v>187</v>
      </c>
      <c r="GG79" s="0" t="n">
        <f aca="false">+GF79+1</f>
        <v>188</v>
      </c>
      <c r="GH79" s="0" t="n">
        <f aca="false">+GG79+1</f>
        <v>189</v>
      </c>
      <c r="GI79" s="0" t="n">
        <f aca="false">+GH79+1</f>
        <v>190</v>
      </c>
      <c r="GJ79" s="0" t="n">
        <f aca="false">+GI79+1</f>
        <v>191</v>
      </c>
      <c r="GK79" s="0" t="n">
        <f aca="false">+GJ79+1</f>
        <v>192</v>
      </c>
      <c r="GL79" s="0" t="n">
        <f aca="false">+GK79+1</f>
        <v>193</v>
      </c>
      <c r="GM79" s="0" t="n">
        <f aca="false">+GL79+1</f>
        <v>194</v>
      </c>
      <c r="GN79" s="0" t="n">
        <f aca="false">+GM79+1</f>
        <v>195</v>
      </c>
      <c r="GO79" s="0" t="n">
        <f aca="false">+GN79+1</f>
        <v>196</v>
      </c>
      <c r="GP79" s="0" t="n">
        <f aca="false">+GO79+1</f>
        <v>197</v>
      </c>
      <c r="GQ79" s="0" t="n">
        <f aca="false">+GP79+1</f>
        <v>198</v>
      </c>
      <c r="GR79" s="0" t="n">
        <f aca="false">+GQ79+1</f>
        <v>199</v>
      </c>
      <c r="GS79" s="0" t="n">
        <f aca="false">+GR79+1</f>
        <v>200</v>
      </c>
      <c r="GT79" s="0" t="n">
        <f aca="false">+GS79+1</f>
        <v>201</v>
      </c>
      <c r="GU79" s="0" t="n">
        <f aca="false">+GT79+1</f>
        <v>202</v>
      </c>
      <c r="GV79" s="0" t="n">
        <f aca="false">+GU79+1</f>
        <v>203</v>
      </c>
      <c r="GW79" s="0" t="n">
        <f aca="false">+GV79+1</f>
        <v>204</v>
      </c>
      <c r="GX79" s="0" t="n">
        <f aca="false">+GW79+1</f>
        <v>205</v>
      </c>
      <c r="GY79" s="0" t="n">
        <f aca="false">+GX79+1</f>
        <v>206</v>
      </c>
      <c r="GZ79" s="0" t="n">
        <f aca="false">+GY79+1</f>
        <v>207</v>
      </c>
      <c r="HA79" s="0" t="n">
        <f aca="false">+GZ79+1</f>
        <v>208</v>
      </c>
      <c r="HB79" s="0" t="n">
        <f aca="false">+HA79+1</f>
        <v>209</v>
      </c>
      <c r="HC79" s="0" t="n">
        <f aca="false">+HB79+1</f>
        <v>210</v>
      </c>
      <c r="HD79" s="0" t="n">
        <f aca="false">+HC79+1</f>
        <v>211</v>
      </c>
      <c r="HE79" s="0" t="n">
        <f aca="false">+HD79+1</f>
        <v>212</v>
      </c>
      <c r="HF79" s="0" t="n">
        <f aca="false">+HE79+1</f>
        <v>213</v>
      </c>
      <c r="HG79" s="0" t="n">
        <f aca="false">+HF79+1</f>
        <v>214</v>
      </c>
      <c r="HH79" s="0" t="n">
        <f aca="false">+HG79+1</f>
        <v>215</v>
      </c>
      <c r="HI79" s="0" t="n">
        <f aca="false">+HH79+1</f>
        <v>216</v>
      </c>
      <c r="HJ79" s="0" t="n">
        <f aca="false">+HI79+1</f>
        <v>217</v>
      </c>
      <c r="HK79" s="0" t="n">
        <f aca="false">+HJ79+1</f>
        <v>218</v>
      </c>
      <c r="HL79" s="0" t="n">
        <f aca="false">+HK79+1</f>
        <v>219</v>
      </c>
      <c r="HM79" s="0" t="n">
        <f aca="false">+HL79+1</f>
        <v>220</v>
      </c>
      <c r="HN79" s="0" t="n">
        <f aca="false">+HM79+1</f>
        <v>221</v>
      </c>
      <c r="HO79" s="0" t="n">
        <f aca="false">+HN79+1</f>
        <v>222</v>
      </c>
      <c r="HP79" s="0" t="n">
        <f aca="false">+HO79+1</f>
        <v>223</v>
      </c>
      <c r="HQ79" s="0" t="n">
        <f aca="false">+HP79+1</f>
        <v>224</v>
      </c>
      <c r="HR79" s="0" t="n">
        <f aca="false">+HQ79+1</f>
        <v>225</v>
      </c>
      <c r="HS79" s="0" t="n">
        <f aca="false">+HR79+1</f>
        <v>226</v>
      </c>
      <c r="HT79" s="0" t="n">
        <f aca="false">+HS79+1</f>
        <v>227</v>
      </c>
      <c r="HU79" s="0" t="n">
        <f aca="false">+HT79+1</f>
        <v>228</v>
      </c>
      <c r="HV79" s="0" t="n">
        <f aca="false">+HU79+1</f>
        <v>229</v>
      </c>
      <c r="HW79" s="0" t="n">
        <f aca="false">+HV79+1</f>
        <v>230</v>
      </c>
      <c r="HX79" s="0" t="n">
        <f aca="false">+HW79+1</f>
        <v>231</v>
      </c>
      <c r="HY79" s="0" t="n">
        <f aca="false">+HX79+1</f>
        <v>232</v>
      </c>
      <c r="HZ79" s="0" t="n">
        <f aca="false">+HY79+1</f>
        <v>233</v>
      </c>
      <c r="IA79" s="0" t="n">
        <f aca="false">+HZ79+1</f>
        <v>234</v>
      </c>
      <c r="IB79" s="0" t="n">
        <f aca="false">+IA79+1</f>
        <v>235</v>
      </c>
      <c r="IC79" s="0" t="n">
        <f aca="false">+IB79+1</f>
        <v>236</v>
      </c>
      <c r="ID79" s="0" t="n">
        <f aca="false">+IC79+1</f>
        <v>237</v>
      </c>
      <c r="IE79" s="0" t="n">
        <f aca="false">+ID79+1</f>
        <v>238</v>
      </c>
      <c r="IF79" s="0" t="n">
        <f aca="false">+IE79+1</f>
        <v>239</v>
      </c>
      <c r="IG79" s="0" t="n">
        <f aca="false">+IF79+1</f>
        <v>240</v>
      </c>
      <c r="IH79" s="0" t="n">
        <f aca="false">+IG79+1</f>
        <v>241</v>
      </c>
      <c r="II79" s="0" t="n">
        <f aca="false">+IH79+1</f>
        <v>242</v>
      </c>
      <c r="IJ79" s="0" t="n">
        <f aca="false">+II79+1</f>
        <v>243</v>
      </c>
      <c r="IK79" s="0" t="n">
        <f aca="false">+IJ79+1</f>
        <v>244</v>
      </c>
      <c r="IL79" s="0" t="n">
        <f aca="false">+IK79+1</f>
        <v>245</v>
      </c>
      <c r="IM79" s="0" t="n">
        <f aca="false">+IL79+1</f>
        <v>246</v>
      </c>
      <c r="IN79" s="0" t="n">
        <f aca="false">+IM79+1</f>
        <v>247</v>
      </c>
      <c r="IO79" s="0" t="n">
        <f aca="false">+IN79+1</f>
        <v>248</v>
      </c>
      <c r="IP79" s="0" t="n">
        <f aca="false">+IO79+1</f>
        <v>249</v>
      </c>
      <c r="IQ79" s="0" t="n">
        <f aca="false">+IP79+1</f>
        <v>250</v>
      </c>
      <c r="IR79" s="0" t="n">
        <f aca="false">+IQ79+1</f>
        <v>251</v>
      </c>
      <c r="IS79" s="0" t="n">
        <f aca="false">+IR79+1</f>
        <v>252</v>
      </c>
      <c r="IT79" s="0" t="n">
        <f aca="false">+IS79+1</f>
        <v>253</v>
      </c>
      <c r="IU79" s="0" t="n">
        <f aca="false">+IT79+1</f>
        <v>254</v>
      </c>
      <c r="IV79" s="0" t="n">
        <f aca="false">+IU79+1</f>
        <v>255</v>
      </c>
      <c r="IW79" s="0" t="n">
        <f aca="false">+IV79+1</f>
        <v>256</v>
      </c>
      <c r="IX79" s="0" t="n">
        <f aca="false">+IW79+1</f>
        <v>257</v>
      </c>
      <c r="IY79" s="0" t="n">
        <f aca="false">+IX79+1</f>
        <v>258</v>
      </c>
      <c r="IZ79" s="0" t="n">
        <f aca="false">+IY79+1</f>
        <v>259</v>
      </c>
      <c r="JA79" s="0" t="n">
        <f aca="false">+IZ79+1</f>
        <v>260</v>
      </c>
      <c r="JB79" s="0" t="n">
        <f aca="false">+JA79+1</f>
        <v>261</v>
      </c>
      <c r="JC79" s="0" t="n">
        <f aca="false">+JB79+1</f>
        <v>262</v>
      </c>
      <c r="JD79" s="0" t="n">
        <f aca="false">+JC79+1</f>
        <v>263</v>
      </c>
      <c r="JE79" s="0" t="n">
        <f aca="false">+JD79+1</f>
        <v>264</v>
      </c>
      <c r="JF79" s="0" t="n">
        <f aca="false">+JE79+1</f>
        <v>265</v>
      </c>
      <c r="JG79" s="0" t="n">
        <f aca="false">+JF79+1</f>
        <v>266</v>
      </c>
      <c r="JH79" s="0" t="n">
        <f aca="false">+JG79+1</f>
        <v>267</v>
      </c>
      <c r="JI79" s="0" t="n">
        <f aca="false">+JH79+1</f>
        <v>268</v>
      </c>
      <c r="JJ79" s="0" t="n">
        <f aca="false">+JI79+1</f>
        <v>269</v>
      </c>
      <c r="JK79" s="0" t="n">
        <f aca="false">+JJ79+1</f>
        <v>270</v>
      </c>
      <c r="JL79" s="0" t="n">
        <f aca="false">+JK79+1</f>
        <v>271</v>
      </c>
      <c r="JM79" s="0" t="n">
        <f aca="false">+JL79+1</f>
        <v>272</v>
      </c>
      <c r="JN79" s="0" t="n">
        <f aca="false">+JM79+1</f>
        <v>273</v>
      </c>
      <c r="JO79" s="0" t="n">
        <f aca="false">+JN79+1</f>
        <v>274</v>
      </c>
      <c r="JP79" s="0" t="n">
        <f aca="false">+JO79+1</f>
        <v>275</v>
      </c>
      <c r="JQ79" s="0" t="n">
        <f aca="false">+JP79+1</f>
        <v>276</v>
      </c>
      <c r="JR79" s="0" t="n">
        <f aca="false">+JQ79+1</f>
        <v>277</v>
      </c>
      <c r="JS79" s="0" t="n">
        <f aca="false">+JR79+1</f>
        <v>278</v>
      </c>
      <c r="JT79" s="0" t="n">
        <f aca="false">+JS79+1</f>
        <v>279</v>
      </c>
      <c r="JU79" s="0" t="n">
        <f aca="false">+JT79+1</f>
        <v>280</v>
      </c>
      <c r="JV79" s="0" t="n">
        <f aca="false">+JU79+1</f>
        <v>281</v>
      </c>
      <c r="JW79" s="0" t="n">
        <f aca="false">+JV79+1</f>
        <v>282</v>
      </c>
      <c r="JX79" s="0" t="n">
        <f aca="false">+JW79+1</f>
        <v>283</v>
      </c>
      <c r="JY79" s="0" t="n">
        <f aca="false">+JX79+1</f>
        <v>284</v>
      </c>
      <c r="JZ79" s="0" t="n">
        <f aca="false">+JY79+1</f>
        <v>285</v>
      </c>
      <c r="KA79" s="0" t="n">
        <f aca="false">+JZ79+1</f>
        <v>286</v>
      </c>
      <c r="KB79" s="0" t="n">
        <f aca="false">+KA79+1</f>
        <v>287</v>
      </c>
      <c r="KC79" s="0" t="n">
        <f aca="false">+KB79+1</f>
        <v>288</v>
      </c>
      <c r="KD79" s="0" t="n">
        <f aca="false">+KC79+1</f>
        <v>289</v>
      </c>
      <c r="KE79" s="0" t="n">
        <f aca="false">+KD79+1</f>
        <v>290</v>
      </c>
      <c r="KF79" s="0" t="n">
        <f aca="false">+KE79+1</f>
        <v>291</v>
      </c>
      <c r="KG79" s="0" t="n">
        <f aca="false">+KF79+1</f>
        <v>292</v>
      </c>
      <c r="KH79" s="0" t="n">
        <f aca="false">+KG79+1</f>
        <v>293</v>
      </c>
      <c r="KI79" s="0" t="n">
        <f aca="false">+KH79+1</f>
        <v>294</v>
      </c>
      <c r="KJ79" s="0" t="n">
        <f aca="false">+KI79+1</f>
        <v>295</v>
      </c>
      <c r="KK79" s="0" t="n">
        <f aca="false">+KJ79+1</f>
        <v>296</v>
      </c>
      <c r="KL79" s="0" t="n">
        <f aca="false">+KK79+1</f>
        <v>297</v>
      </c>
      <c r="KM79" s="0" t="n">
        <f aca="false">+KL79+1</f>
        <v>298</v>
      </c>
      <c r="KN79" s="0" t="n">
        <f aca="false">+KM79+1</f>
        <v>299</v>
      </c>
      <c r="KO79" s="0" t="n">
        <f aca="false">+KN79+1</f>
        <v>300</v>
      </c>
      <c r="KP79" s="0" t="n">
        <f aca="false">+KO79+1</f>
        <v>301</v>
      </c>
      <c r="KQ79" s="0" t="n">
        <f aca="false">+KP79+1</f>
        <v>302</v>
      </c>
      <c r="KR79" s="0" t="n">
        <f aca="false">+KQ79+1</f>
        <v>303</v>
      </c>
      <c r="KS79" s="0" t="n">
        <f aca="false">+KR79+1</f>
        <v>304</v>
      </c>
      <c r="KT79" s="0" t="n">
        <f aca="false">+KS79+1</f>
        <v>305</v>
      </c>
      <c r="KU79" s="0" t="n">
        <f aca="false">+KT79+1</f>
        <v>306</v>
      </c>
      <c r="KV79" s="0" t="n">
        <f aca="false">+KU79+1</f>
        <v>307</v>
      </c>
      <c r="KW79" s="0" t="n">
        <f aca="false">+KV79+1</f>
        <v>308</v>
      </c>
      <c r="KX79" s="0" t="n">
        <f aca="false">+KW79+1</f>
        <v>309</v>
      </c>
      <c r="KY79" s="0" t="n">
        <f aca="false">+KX79+1</f>
        <v>310</v>
      </c>
      <c r="KZ79" s="0" t="n">
        <f aca="false">+KY79+1</f>
        <v>311</v>
      </c>
      <c r="LA79" s="0" t="n">
        <f aca="false">+KZ79+1</f>
        <v>312</v>
      </c>
      <c r="LB79" s="0" t="n">
        <f aca="false">+LA79+1</f>
        <v>313</v>
      </c>
      <c r="LC79" s="0" t="n">
        <f aca="false">+LB79+1</f>
        <v>314</v>
      </c>
      <c r="LD79" s="0" t="n">
        <f aca="false">+LC79+1</f>
        <v>315</v>
      </c>
      <c r="LE79" s="0" t="n">
        <f aca="false">+LD79+1</f>
        <v>316</v>
      </c>
      <c r="LF79" s="0" t="n">
        <f aca="false">+LE79+1</f>
        <v>317</v>
      </c>
      <c r="LG79" s="0" t="n">
        <f aca="false">+LF79+1</f>
        <v>318</v>
      </c>
      <c r="LH79" s="0" t="n">
        <f aca="false">+LG79+1</f>
        <v>319</v>
      </c>
      <c r="LI79" s="0" t="n">
        <f aca="false">+LH79+1</f>
        <v>320</v>
      </c>
      <c r="LJ79" s="0" t="n">
        <f aca="false">+LI79+1</f>
        <v>321</v>
      </c>
      <c r="LK79" s="0" t="n">
        <f aca="false">+LJ79+1</f>
        <v>322</v>
      </c>
      <c r="LL79" s="0" t="n">
        <f aca="false">+LK79+1</f>
        <v>323</v>
      </c>
      <c r="LM79" s="0" t="n">
        <f aca="false">+LL79+1</f>
        <v>324</v>
      </c>
      <c r="LN79" s="0" t="n">
        <f aca="false">+LM79+1</f>
        <v>325</v>
      </c>
      <c r="LO79" s="0" t="n">
        <f aca="false">+LN79+1</f>
        <v>326</v>
      </c>
      <c r="LP79" s="0" t="n">
        <f aca="false">+LO79+1</f>
        <v>327</v>
      </c>
      <c r="LQ79" s="0" t="n">
        <f aca="false">+LP79+1</f>
        <v>328</v>
      </c>
      <c r="LR79" s="0" t="n">
        <f aca="false">+LQ79+1</f>
        <v>329</v>
      </c>
      <c r="LS79" s="0" t="n">
        <f aca="false">+LR79+1</f>
        <v>330</v>
      </c>
      <c r="LT79" s="0" t="n">
        <f aca="false">+LS79+1</f>
        <v>331</v>
      </c>
      <c r="LU79" s="0" t="n">
        <f aca="false">+LT79+1</f>
        <v>332</v>
      </c>
      <c r="LV79" s="0" t="n">
        <f aca="false">+LU79+1</f>
        <v>333</v>
      </c>
      <c r="LW79" s="0" t="n">
        <f aca="false">+LV79+1</f>
        <v>334</v>
      </c>
      <c r="LX79" s="0" t="n">
        <f aca="false">+LW79+1</f>
        <v>335</v>
      </c>
      <c r="LY79" s="0" t="n">
        <f aca="false">+LX79+1</f>
        <v>336</v>
      </c>
      <c r="LZ79" s="0" t="n">
        <f aca="false">+LY79+1</f>
        <v>337</v>
      </c>
      <c r="MA79" s="0" t="n">
        <f aca="false">+LZ79+1</f>
        <v>338</v>
      </c>
      <c r="MB79" s="0" t="n">
        <f aca="false">+MA79+1</f>
        <v>339</v>
      </c>
      <c r="MC79" s="0" t="n">
        <f aca="false">+MB79+1</f>
        <v>340</v>
      </c>
      <c r="MD79" s="0" t="n">
        <f aca="false">+MC79+1</f>
        <v>341</v>
      </c>
      <c r="ME79" s="0" t="n">
        <f aca="false">+MD79+1</f>
        <v>342</v>
      </c>
      <c r="MF79" s="0" t="n">
        <f aca="false">+ME79+1</f>
        <v>343</v>
      </c>
      <c r="MG79" s="0" t="n">
        <f aca="false">+MF79+1</f>
        <v>344</v>
      </c>
      <c r="MH79" s="0" t="n">
        <f aca="false">+MG79+1</f>
        <v>345</v>
      </c>
      <c r="MI79" s="0" t="n">
        <f aca="false">+MH79+1</f>
        <v>346</v>
      </c>
      <c r="MJ79" s="0" t="n">
        <f aca="false">+MI79+1</f>
        <v>347</v>
      </c>
      <c r="MK79" s="0" t="n">
        <f aca="false">+MJ79+1</f>
        <v>348</v>
      </c>
      <c r="ML79" s="0" t="n">
        <f aca="false">+MK79+1</f>
        <v>349</v>
      </c>
      <c r="MM79" s="0" t="n">
        <f aca="false">+ML79+1</f>
        <v>350</v>
      </c>
      <c r="MN79" s="0" t="n">
        <f aca="false">+MM79+1</f>
        <v>351</v>
      </c>
      <c r="MO79" s="0" t="n">
        <f aca="false">+MN79+1</f>
        <v>352</v>
      </c>
      <c r="MP79" s="0" t="n">
        <f aca="false">+MO79+1</f>
        <v>353</v>
      </c>
      <c r="MQ79" s="0" t="n">
        <f aca="false">+MP79+1</f>
        <v>354</v>
      </c>
      <c r="MR79" s="0" t="n">
        <f aca="false">+MQ79+1</f>
        <v>355</v>
      </c>
      <c r="MS79" s="0" t="n">
        <f aca="false">+MR79+1</f>
        <v>356</v>
      </c>
      <c r="MT79" s="0" t="n">
        <f aca="false">+MS79+1</f>
        <v>357</v>
      </c>
      <c r="MU79" s="0" t="n">
        <f aca="false">+MT79+1</f>
        <v>358</v>
      </c>
      <c r="MV79" s="0" t="n">
        <f aca="false">+MU79+1</f>
        <v>359</v>
      </c>
      <c r="MW79" s="0" t="n">
        <f aca="false">+MV79+1</f>
        <v>360</v>
      </c>
      <c r="MX79" s="0" t="n">
        <f aca="false">+MW79+1</f>
        <v>361</v>
      </c>
      <c r="MY79" s="0" t="n">
        <f aca="false">+MX79+1</f>
        <v>362</v>
      </c>
      <c r="MZ79" s="0" t="n">
        <f aca="false">+MY79+1</f>
        <v>363</v>
      </c>
      <c r="NA79" s="0" t="n">
        <f aca="false">+MZ79+1</f>
        <v>364</v>
      </c>
      <c r="NB79" s="0" t="n">
        <f aca="false">+NA79+1</f>
        <v>365</v>
      </c>
      <c r="NC79" s="0" t="n">
        <f aca="false">+NB79+1</f>
        <v>366</v>
      </c>
      <c r="ND79" s="0" t="n">
        <f aca="false">+NC79+1</f>
        <v>367</v>
      </c>
      <c r="NE79" s="0" t="n">
        <f aca="false">+ND79+1</f>
        <v>368</v>
      </c>
      <c r="NF79" s="0" t="n">
        <f aca="false">+NE79+1</f>
        <v>369</v>
      </c>
      <c r="NG79" s="0" t="n">
        <f aca="false">+NF79+1</f>
        <v>370</v>
      </c>
      <c r="NH79" s="0" t="n">
        <f aca="false">+NG79+1</f>
        <v>371</v>
      </c>
      <c r="NI79" s="0" t="n">
        <f aca="false">+NH79+1</f>
        <v>372</v>
      </c>
      <c r="NJ79" s="0" t="n">
        <f aca="false">+NI79+1</f>
        <v>373</v>
      </c>
      <c r="NK79" s="0" t="n">
        <f aca="false">+NJ79+1</f>
        <v>374</v>
      </c>
      <c r="NL79" s="0" t="n">
        <f aca="false">+NK79+1</f>
        <v>375</v>
      </c>
      <c r="NM79" s="0" t="n">
        <f aca="false">+NL79+1</f>
        <v>376</v>
      </c>
      <c r="NN79" s="0" t="n">
        <f aca="false">+NM79+1</f>
        <v>377</v>
      </c>
      <c r="NO79" s="0" t="n">
        <f aca="false">+NN79+1</f>
        <v>378</v>
      </c>
      <c r="NP79" s="0" t="n">
        <f aca="false">+NO79+1</f>
        <v>379</v>
      </c>
      <c r="NQ79" s="0" t="n">
        <f aca="false">+NP79+1</f>
        <v>380</v>
      </c>
      <c r="NR79" s="0" t="n">
        <f aca="false">+NQ79+1</f>
        <v>381</v>
      </c>
      <c r="NS79" s="0" t="n">
        <f aca="false">+NR79+1</f>
        <v>382</v>
      </c>
      <c r="NT79" s="0" t="n">
        <f aca="false">+NS79+1</f>
        <v>383</v>
      </c>
      <c r="NU79" s="0" t="n">
        <f aca="false">+NT79+1</f>
        <v>384</v>
      </c>
      <c r="NV79" s="0" t="n">
        <f aca="false">+NU79+1</f>
        <v>385</v>
      </c>
      <c r="NW79" s="0" t="n">
        <f aca="false">+NV79+1</f>
        <v>386</v>
      </c>
      <c r="NX79" s="0" t="n">
        <f aca="false">+NW79+1</f>
        <v>387</v>
      </c>
      <c r="NY79" s="0" t="n">
        <f aca="false">+NX79+1</f>
        <v>388</v>
      </c>
      <c r="NZ79" s="0" t="n">
        <f aca="false">+NY79+1</f>
        <v>389</v>
      </c>
      <c r="OA79" s="0" t="n">
        <f aca="false">+NZ79+1</f>
        <v>390</v>
      </c>
      <c r="OB79" s="0" t="n">
        <f aca="false">+OA79+1</f>
        <v>391</v>
      </c>
      <c r="OC79" s="0" t="n">
        <f aca="false">+OB79+1</f>
        <v>392</v>
      </c>
      <c r="OD79" s="0" t="n">
        <f aca="false">+OC79+1</f>
        <v>393</v>
      </c>
      <c r="OE79" s="0" t="n">
        <f aca="false">+OD79+1</f>
        <v>394</v>
      </c>
      <c r="OF79" s="0" t="n">
        <f aca="false">+OE79+1</f>
        <v>395</v>
      </c>
      <c r="OG79" s="0" t="n">
        <f aca="false">+OF79+1</f>
        <v>396</v>
      </c>
      <c r="OH79" s="0" t="n">
        <f aca="false">+OG79+1</f>
        <v>397</v>
      </c>
      <c r="OI79" s="0" t="n">
        <f aca="false">+OH79+1</f>
        <v>398</v>
      </c>
      <c r="OJ79" s="0" t="n">
        <f aca="false">+OI79+1</f>
        <v>399</v>
      </c>
      <c r="OK79" s="0" t="n">
        <f aca="false">+OJ79+1</f>
        <v>400</v>
      </c>
      <c r="OL79" s="0" t="n">
        <f aca="false">+OK79+1</f>
        <v>401</v>
      </c>
      <c r="OM79" s="0" t="n">
        <f aca="false">+OL79+1</f>
        <v>402</v>
      </c>
      <c r="ON79" s="0" t="n">
        <f aca="false">+OM79+1</f>
        <v>403</v>
      </c>
      <c r="OO79" s="0" t="n">
        <f aca="false">+ON79+1</f>
        <v>404</v>
      </c>
      <c r="OP79" s="0" t="n">
        <f aca="false">+OO79+1</f>
        <v>405</v>
      </c>
      <c r="OQ79" s="0" t="n">
        <f aca="false">+OP79+1</f>
        <v>406</v>
      </c>
      <c r="OR79" s="0" t="n">
        <f aca="false">+OQ79+1</f>
        <v>407</v>
      </c>
      <c r="OS79" s="0" t="n">
        <f aca="false">+OR79+1</f>
        <v>408</v>
      </c>
      <c r="OT79" s="0" t="n">
        <f aca="false">+OS79+1</f>
        <v>409</v>
      </c>
      <c r="OU79" s="0" t="n">
        <f aca="false">+OT79+1</f>
        <v>410</v>
      </c>
      <c r="OV79" s="0" t="n">
        <f aca="false">+OU79+1</f>
        <v>411</v>
      </c>
      <c r="OW79" s="0" t="n">
        <f aca="false">+OV79+1</f>
        <v>412</v>
      </c>
      <c r="OX79" s="0" t="n">
        <f aca="false">+OW79+1</f>
        <v>413</v>
      </c>
      <c r="OY79" s="0" t="n">
        <f aca="false">+OX79+1</f>
        <v>414</v>
      </c>
      <c r="OZ79" s="0" t="n">
        <f aca="false">+OY79+1</f>
        <v>415</v>
      </c>
      <c r="PA79" s="0" t="n">
        <f aca="false">+OZ79+1</f>
        <v>416</v>
      </c>
      <c r="PB79" s="0" t="n">
        <f aca="false">+PA79+1</f>
        <v>417</v>
      </c>
      <c r="PC79" s="0" t="n">
        <f aca="false">+PB79+1</f>
        <v>418</v>
      </c>
      <c r="PD79" s="0" t="n">
        <f aca="false">+PC79+1</f>
        <v>419</v>
      </c>
      <c r="PE79" s="0" t="n">
        <f aca="false">+PD79+1</f>
        <v>420</v>
      </c>
      <c r="PF79" s="0" t="n">
        <f aca="false">+PE79+1</f>
        <v>421</v>
      </c>
      <c r="PG79" s="0" t="n">
        <f aca="false">+PF79+1</f>
        <v>422</v>
      </c>
      <c r="PH79" s="0" t="n">
        <f aca="false">+PG79+1</f>
        <v>423</v>
      </c>
      <c r="PI79" s="0" t="n">
        <f aca="false">+PH79+1</f>
        <v>424</v>
      </c>
      <c r="PJ79" s="0" t="n">
        <f aca="false">+PI79+1</f>
        <v>425</v>
      </c>
      <c r="PK79" s="0" t="n">
        <f aca="false">+PJ79+1</f>
        <v>426</v>
      </c>
      <c r="PL79" s="0" t="n">
        <f aca="false">+PK79+1</f>
        <v>427</v>
      </c>
      <c r="PM79" s="0" t="n">
        <f aca="false">+PL79+1</f>
        <v>428</v>
      </c>
      <c r="PN79" s="0" t="n">
        <f aca="false">+PM79+1</f>
        <v>429</v>
      </c>
      <c r="PO79" s="0" t="n">
        <f aca="false">+PN79+1</f>
        <v>430</v>
      </c>
      <c r="PP79" s="0" t="n">
        <f aca="false">+PO79+1</f>
        <v>431</v>
      </c>
      <c r="PQ79" s="0" t="n">
        <f aca="false">+PP79+1</f>
        <v>432</v>
      </c>
      <c r="PR79" s="0" t="n">
        <f aca="false">+PQ79+1</f>
        <v>433</v>
      </c>
      <c r="PS79" s="0" t="n">
        <f aca="false">+PR79+1</f>
        <v>434</v>
      </c>
      <c r="PT79" s="0" t="n">
        <f aca="false">+PS79+1</f>
        <v>435</v>
      </c>
      <c r="PU79" s="0" t="n">
        <f aca="false">+PT79+1</f>
        <v>436</v>
      </c>
      <c r="PV79" s="0" t="n">
        <f aca="false">+PU79+1</f>
        <v>437</v>
      </c>
      <c r="PW79" s="0" t="n">
        <f aca="false">+PV79+1</f>
        <v>438</v>
      </c>
      <c r="PX79" s="0" t="n">
        <f aca="false">+PW79+1</f>
        <v>439</v>
      </c>
      <c r="PY79" s="0" t="n">
        <f aca="false">+PX79+1</f>
        <v>440</v>
      </c>
      <c r="PZ79" s="0" t="n">
        <f aca="false">+PY79+1</f>
        <v>441</v>
      </c>
      <c r="QA79" s="0" t="n">
        <f aca="false">+PZ79+1</f>
        <v>442</v>
      </c>
      <c r="QB79" s="0" t="n">
        <f aca="false">+QA79+1</f>
        <v>443</v>
      </c>
      <c r="QC79" s="0" t="n">
        <f aca="false">+QB79+1</f>
        <v>444</v>
      </c>
      <c r="QD79" s="0" t="n">
        <f aca="false">+QC79+1</f>
        <v>445</v>
      </c>
      <c r="QE79" s="0" t="n">
        <f aca="false">+QD79+1</f>
        <v>446</v>
      </c>
      <c r="QF79" s="0" t="n">
        <f aca="false">+QE79+1</f>
        <v>447</v>
      </c>
      <c r="QG79" s="0" t="n">
        <f aca="false">+QF79+1</f>
        <v>448</v>
      </c>
      <c r="QH79" s="0" t="n">
        <f aca="false">+QG79+1</f>
        <v>449</v>
      </c>
      <c r="QI79" s="0" t="n">
        <f aca="false">+QH79+1</f>
        <v>450</v>
      </c>
      <c r="QJ79" s="0" t="n">
        <f aca="false">+QI79+1</f>
        <v>451</v>
      </c>
      <c r="QK79" s="0" t="n">
        <f aca="false">+QJ79+1</f>
        <v>452</v>
      </c>
      <c r="QL79" s="0" t="n">
        <f aca="false">+QK79+1</f>
        <v>453</v>
      </c>
      <c r="QM79" s="0" t="n">
        <f aca="false">+QL79+1</f>
        <v>454</v>
      </c>
      <c r="QN79" s="0" t="n">
        <f aca="false">+QM79+1</f>
        <v>455</v>
      </c>
      <c r="QO79" s="0" t="n">
        <f aca="false">+QN79+1</f>
        <v>456</v>
      </c>
      <c r="QP79" s="0" t="n">
        <f aca="false">+QO79+1</f>
        <v>457</v>
      </c>
      <c r="QQ79" s="0" t="n">
        <f aca="false">+QP79+1</f>
        <v>458</v>
      </c>
      <c r="QR79" s="0" t="n">
        <f aca="false">+QQ79+1</f>
        <v>459</v>
      </c>
      <c r="QS79" s="0" t="n">
        <f aca="false">+QR79+1</f>
        <v>460</v>
      </c>
      <c r="QT79" s="0" t="n">
        <f aca="false">+QS79+1</f>
        <v>461</v>
      </c>
      <c r="QU79" s="0" t="n">
        <f aca="false">+QT79+1</f>
        <v>462</v>
      </c>
      <c r="QV79" s="0" t="n">
        <f aca="false">+QU79+1</f>
        <v>463</v>
      </c>
      <c r="QW79" s="0" t="n">
        <f aca="false">+QV79+1</f>
        <v>464</v>
      </c>
      <c r="QX79" s="0" t="n">
        <f aca="false">+QW79+1</f>
        <v>465</v>
      </c>
      <c r="QY79" s="0" t="n">
        <f aca="false">+QX79+1</f>
        <v>466</v>
      </c>
      <c r="QZ79" s="0" t="n">
        <f aca="false">+QY79+1</f>
        <v>467</v>
      </c>
      <c r="RA79" s="0" t="n">
        <f aca="false">+QZ79+1</f>
        <v>468</v>
      </c>
      <c r="RB79" s="0" t="n">
        <f aca="false">+RA79+1</f>
        <v>469</v>
      </c>
      <c r="RC79" s="0" t="n">
        <f aca="false">+RB79+1</f>
        <v>470</v>
      </c>
      <c r="RD79" s="0" t="n">
        <f aca="false">+RC79+1</f>
        <v>471</v>
      </c>
      <c r="RE79" s="0" t="n">
        <f aca="false">+RD79+1</f>
        <v>472</v>
      </c>
      <c r="RF79" s="0" t="n">
        <f aca="false">+RE79+1</f>
        <v>473</v>
      </c>
      <c r="RG79" s="0" t="n">
        <f aca="false">+RF79+1</f>
        <v>474</v>
      </c>
      <c r="RH79" s="0" t="n">
        <f aca="false">+RG79+1</f>
        <v>475</v>
      </c>
      <c r="RI79" s="0" t="n">
        <f aca="false">+RH79+1</f>
        <v>476</v>
      </c>
      <c r="RJ79" s="0" t="n">
        <f aca="false">+RI79+1</f>
        <v>477</v>
      </c>
      <c r="RK79" s="0" t="n">
        <f aca="false">+RJ79+1</f>
        <v>478</v>
      </c>
      <c r="RL79" s="0" t="n">
        <f aca="false">+RK79+1</f>
        <v>479</v>
      </c>
      <c r="RM79" s="0" t="n">
        <f aca="false">+RL79+1</f>
        <v>480</v>
      </c>
      <c r="RN79" s="0" t="n">
        <f aca="false">+RM79+1</f>
        <v>481</v>
      </c>
      <c r="RO79" s="0" t="n">
        <f aca="false">+RN79+1</f>
        <v>482</v>
      </c>
      <c r="RP79" s="0" t="n">
        <f aca="false">+RO79+1</f>
        <v>483</v>
      </c>
      <c r="RQ79" s="0" t="n">
        <f aca="false">+RP79+1</f>
        <v>484</v>
      </c>
      <c r="RR79" s="0" t="n">
        <f aca="false">+RQ79+1</f>
        <v>485</v>
      </c>
      <c r="RS79" s="0" t="n">
        <f aca="false">+RR79+1</f>
        <v>486</v>
      </c>
      <c r="RT79" s="0" t="n">
        <f aca="false">+RS79+1</f>
        <v>487</v>
      </c>
      <c r="RU79" s="0" t="n">
        <f aca="false">+RT79+1</f>
        <v>488</v>
      </c>
      <c r="RV79" s="0" t="n">
        <f aca="false">+RU79+1</f>
        <v>489</v>
      </c>
      <c r="RW79" s="0" t="n">
        <f aca="false">+RV79+1</f>
        <v>490</v>
      </c>
      <c r="RX79" s="0" t="n">
        <f aca="false">+RW79+1</f>
        <v>491</v>
      </c>
      <c r="RY79" s="0" t="n">
        <f aca="false">+RX79+1</f>
        <v>492</v>
      </c>
      <c r="RZ79" s="0" t="n">
        <f aca="false">+RY79+1</f>
        <v>493</v>
      </c>
      <c r="SA79" s="0" t="n">
        <f aca="false">+RZ79+1</f>
        <v>494</v>
      </c>
      <c r="SB79" s="0" t="n">
        <f aca="false">+SA79+1</f>
        <v>495</v>
      </c>
      <c r="SC79" s="0" t="n">
        <f aca="false">+SB79+1</f>
        <v>496</v>
      </c>
      <c r="SD79" s="0" t="n">
        <f aca="false">+SC79+1</f>
        <v>497</v>
      </c>
      <c r="SE79" s="0" t="n">
        <f aca="false">+SD79+1</f>
        <v>498</v>
      </c>
      <c r="SF79" s="0" t="n">
        <f aca="false">+SE79+1</f>
        <v>499</v>
      </c>
      <c r="SG79" s="0" t="n">
        <f aca="false">+SF79+1</f>
        <v>500</v>
      </c>
      <c r="SH79" s="0" t="n">
        <f aca="false">+SG79+1</f>
        <v>501</v>
      </c>
      <c r="SI79" s="0" t="n">
        <f aca="false">+SH79+1</f>
        <v>502</v>
      </c>
      <c r="SJ79" s="0" t="n">
        <f aca="false">+SI79+1</f>
        <v>503</v>
      </c>
      <c r="SK79" s="0" t="n">
        <f aca="false">+SJ79+1</f>
        <v>504</v>
      </c>
      <c r="SL79" s="0" t="n">
        <f aca="false">+SK79+1</f>
        <v>505</v>
      </c>
      <c r="SM79" s="0" t="n">
        <f aca="false">+SL79+1</f>
        <v>506</v>
      </c>
      <c r="SN79" s="0" t="n">
        <f aca="false">+SM79+1</f>
        <v>507</v>
      </c>
      <c r="SO79" s="0" t="n">
        <f aca="false">+SN79+1</f>
        <v>508</v>
      </c>
      <c r="SP79" s="0" t="n">
        <f aca="false">+SO79+1</f>
        <v>509</v>
      </c>
      <c r="SQ79" s="0" t="n">
        <f aca="false">+SP79+1</f>
        <v>510</v>
      </c>
      <c r="SR79" s="0" t="n">
        <f aca="false">+SQ79+1</f>
        <v>511</v>
      </c>
      <c r="SS79" s="0" t="n">
        <f aca="false">+SR79+1</f>
        <v>512</v>
      </c>
      <c r="ST79" s="0" t="n">
        <f aca="false">+SS79+1</f>
        <v>513</v>
      </c>
      <c r="SU79" s="0" t="n">
        <f aca="false">+ST79+1</f>
        <v>514</v>
      </c>
      <c r="SV79" s="0" t="n">
        <f aca="false">+SU79+1</f>
        <v>515</v>
      </c>
      <c r="SW79" s="0" t="n">
        <f aca="false">+SV79+1</f>
        <v>516</v>
      </c>
      <c r="SX79" s="0" t="n">
        <f aca="false">+SW79+1</f>
        <v>517</v>
      </c>
      <c r="SY79" s="0" t="n">
        <f aca="false">+SX79+1</f>
        <v>518</v>
      </c>
      <c r="SZ79" s="0" t="n">
        <f aca="false">+SY79+1</f>
        <v>519</v>
      </c>
      <c r="TA79" s="0" t="n">
        <f aca="false">+SZ79+1</f>
        <v>520</v>
      </c>
      <c r="TB79" s="0" t="n">
        <f aca="false">+TA79+1</f>
        <v>521</v>
      </c>
      <c r="TC79" s="0" t="n">
        <f aca="false">+TB79+1</f>
        <v>522</v>
      </c>
      <c r="TD79" s="0" t="n">
        <f aca="false">+TC79+1</f>
        <v>523</v>
      </c>
      <c r="TE79" s="0" t="n">
        <f aca="false">+TD79+1</f>
        <v>524</v>
      </c>
      <c r="TF79" s="0" t="n">
        <f aca="false">+TE79+1</f>
        <v>525</v>
      </c>
      <c r="TG79" s="0" t="n">
        <f aca="false">+TF79+1</f>
        <v>526</v>
      </c>
      <c r="TH79" s="0" t="n">
        <f aca="false">+TG79+1</f>
        <v>527</v>
      </c>
      <c r="TI79" s="0" t="n">
        <f aca="false">+TH79+1</f>
        <v>528</v>
      </c>
      <c r="TJ79" s="0" t="n">
        <f aca="false">+TI79+1</f>
        <v>529</v>
      </c>
      <c r="TK79" s="0" t="n">
        <f aca="false">+TJ79+1</f>
        <v>530</v>
      </c>
      <c r="TL79" s="0" t="n">
        <f aca="false">+TK79+1</f>
        <v>531</v>
      </c>
      <c r="TM79" s="0" t="n">
        <f aca="false">+TL79+1</f>
        <v>532</v>
      </c>
      <c r="TN79" s="0" t="n">
        <f aca="false">+TM79+1</f>
        <v>533</v>
      </c>
      <c r="TO79" s="0" t="n">
        <f aca="false">+TN79+1</f>
        <v>534</v>
      </c>
      <c r="TP79" s="0" t="n">
        <f aca="false">+TO79+1</f>
        <v>535</v>
      </c>
      <c r="TQ79" s="0" t="n">
        <f aca="false">+TP79+1</f>
        <v>536</v>
      </c>
      <c r="TR79" s="0" t="n">
        <f aca="false">+TQ79+1</f>
        <v>537</v>
      </c>
      <c r="TS79" s="0" t="n">
        <f aca="false">+TR79+1</f>
        <v>538</v>
      </c>
      <c r="TT79" s="0" t="n">
        <f aca="false">+TS79+1</f>
        <v>539</v>
      </c>
      <c r="TU79" s="0" t="n">
        <f aca="false">+TT79+1</f>
        <v>540</v>
      </c>
      <c r="TV79" s="0" t="n">
        <f aca="false">+TU79+1</f>
        <v>541</v>
      </c>
      <c r="TW79" s="0" t="n">
        <f aca="false">+TV79+1</f>
        <v>542</v>
      </c>
      <c r="TX79" s="0" t="n">
        <f aca="false">+TW79+1</f>
        <v>543</v>
      </c>
      <c r="TY79" s="0" t="n">
        <f aca="false">+TX79+1</f>
        <v>544</v>
      </c>
      <c r="TZ79" s="0" t="n">
        <f aca="false">+TY79+1</f>
        <v>545</v>
      </c>
      <c r="UA79" s="0" t="n">
        <f aca="false">+TZ79+1</f>
        <v>546</v>
      </c>
      <c r="UB79" s="0" t="n">
        <f aca="false">+UA79+1</f>
        <v>547</v>
      </c>
      <c r="UC79" s="0" t="n">
        <f aca="false">+UB79+1</f>
        <v>548</v>
      </c>
      <c r="UD79" s="0" t="n">
        <f aca="false">+UC79+1</f>
        <v>549</v>
      </c>
      <c r="UE79" s="0" t="n">
        <f aca="false">+UD79+1</f>
        <v>550</v>
      </c>
      <c r="UF79" s="0" t="n">
        <f aca="false">+UE79+1</f>
        <v>551</v>
      </c>
      <c r="UG79" s="0" t="n">
        <f aca="false">+UF79+1</f>
        <v>552</v>
      </c>
      <c r="UH79" s="0" t="n">
        <f aca="false">+UG79+1</f>
        <v>553</v>
      </c>
      <c r="UI79" s="0" t="n">
        <f aca="false">+UH79+1</f>
        <v>554</v>
      </c>
      <c r="UJ79" s="0" t="n">
        <f aca="false">+UI79+1</f>
        <v>555</v>
      </c>
      <c r="UK79" s="0" t="n">
        <f aca="false">+UJ79+1</f>
        <v>556</v>
      </c>
      <c r="UL79" s="0" t="n">
        <f aca="false">+UK79+1</f>
        <v>557</v>
      </c>
      <c r="UM79" s="0" t="n">
        <f aca="false">+UL79+1</f>
        <v>558</v>
      </c>
      <c r="UN79" s="0" t="n">
        <f aca="false">+UM79+1</f>
        <v>559</v>
      </c>
      <c r="UO79" s="0" t="n">
        <f aca="false">+UN79+1</f>
        <v>560</v>
      </c>
      <c r="UP79" s="0" t="n">
        <f aca="false">+UO79+1</f>
        <v>561</v>
      </c>
      <c r="UQ79" s="0" t="n">
        <f aca="false">+UP79+1</f>
        <v>562</v>
      </c>
      <c r="UR79" s="0" t="n">
        <f aca="false">+UQ79+1</f>
        <v>563</v>
      </c>
      <c r="US79" s="0" t="n">
        <f aca="false">+UR79+1</f>
        <v>564</v>
      </c>
      <c r="UT79" s="0" t="n">
        <f aca="false">+US79+1</f>
        <v>565</v>
      </c>
      <c r="UU79" s="0" t="n">
        <f aca="false">+UT79+1</f>
        <v>566</v>
      </c>
      <c r="UV79" s="0" t="n">
        <f aca="false">+UU79+1</f>
        <v>567</v>
      </c>
      <c r="UW79" s="0" t="n">
        <f aca="false">+UV79+1</f>
        <v>568</v>
      </c>
      <c r="UX79" s="0" t="n">
        <f aca="false">+UW79+1</f>
        <v>569</v>
      </c>
      <c r="UY79" s="0" t="n">
        <f aca="false">+UX79+1</f>
        <v>570</v>
      </c>
      <c r="UZ79" s="0" t="n">
        <f aca="false">+UY79+1</f>
        <v>571</v>
      </c>
      <c r="VA79" s="0" t="n">
        <f aca="false">+UZ79+1</f>
        <v>572</v>
      </c>
      <c r="VB79" s="0" t="n">
        <f aca="false">+VA79+1</f>
        <v>573</v>
      </c>
      <c r="VC79" s="0" t="n">
        <f aca="false">+VB79+1</f>
        <v>574</v>
      </c>
      <c r="VD79" s="0" t="n">
        <f aca="false">+VC79+1</f>
        <v>575</v>
      </c>
      <c r="VE79" s="0" t="n">
        <f aca="false">+VD79+1</f>
        <v>576</v>
      </c>
      <c r="VF79" s="0" t="n">
        <f aca="false">+VE79+1</f>
        <v>577</v>
      </c>
      <c r="VG79" s="0" t="n">
        <f aca="false">+VF79+1</f>
        <v>578</v>
      </c>
      <c r="VH79" s="0" t="n">
        <f aca="false">+VG79+1</f>
        <v>579</v>
      </c>
      <c r="VI79" s="0" t="n">
        <f aca="false">+VH79+1</f>
        <v>580</v>
      </c>
      <c r="VJ79" s="0" t="n">
        <f aca="false">+VI79+1</f>
        <v>581</v>
      </c>
      <c r="VK79" s="0" t="n">
        <f aca="false">+VJ79+1</f>
        <v>582</v>
      </c>
      <c r="VL79" s="0" t="n">
        <f aca="false">+VK79+1</f>
        <v>583</v>
      </c>
      <c r="VM79" s="0" t="n">
        <f aca="false">+VL79+1</f>
        <v>584</v>
      </c>
      <c r="VN79" s="0" t="n">
        <f aca="false">+VM79+1</f>
        <v>585</v>
      </c>
      <c r="VO79" s="0" t="n">
        <f aca="false">+VN79+1</f>
        <v>586</v>
      </c>
      <c r="VP79" s="0" t="n">
        <f aca="false">+VO79+1</f>
        <v>587</v>
      </c>
      <c r="VQ79" s="0" t="n">
        <f aca="false">+VP79+1</f>
        <v>588</v>
      </c>
      <c r="VR79" s="0" t="n">
        <f aca="false">+VQ79+1</f>
        <v>589</v>
      </c>
      <c r="VS79" s="0" t="n">
        <f aca="false">+VR79+1</f>
        <v>590</v>
      </c>
      <c r="VT79" s="0" t="n">
        <f aca="false">+VS79+1</f>
        <v>591</v>
      </c>
      <c r="VU79" s="0" t="n">
        <f aca="false">+VT79+1</f>
        <v>592</v>
      </c>
      <c r="VV79" s="0" t="n">
        <f aca="false">+VU79+1</f>
        <v>593</v>
      </c>
      <c r="VW79" s="0" t="n">
        <f aca="false">+VV79+1</f>
        <v>594</v>
      </c>
      <c r="VX79" s="0" t="n">
        <f aca="false">+VW79+1</f>
        <v>595</v>
      </c>
      <c r="VY79" s="0" t="n">
        <f aca="false">+VX79+1</f>
        <v>596</v>
      </c>
      <c r="VZ79" s="0" t="n">
        <f aca="false">+VY79+1</f>
        <v>597</v>
      </c>
      <c r="WA79" s="0" t="n">
        <f aca="false">+VZ79+1</f>
        <v>598</v>
      </c>
      <c r="WB79" s="0" t="n">
        <f aca="false">+WA79+1</f>
        <v>599</v>
      </c>
      <c r="WC79" s="0" t="n">
        <f aca="false">+WB79+1</f>
        <v>600</v>
      </c>
      <c r="WD79" s="0" t="n">
        <f aca="false">+WC79+1</f>
        <v>601</v>
      </c>
      <c r="WE79" s="0" t="n">
        <f aca="false">+WD79+1</f>
        <v>602</v>
      </c>
      <c r="WF79" s="0" t="n">
        <f aca="false">+WE79+1</f>
        <v>603</v>
      </c>
      <c r="WG79" s="0" t="n">
        <f aca="false">+WF79+1</f>
        <v>604</v>
      </c>
      <c r="WH79" s="0" t="n">
        <f aca="false">+WG79+1</f>
        <v>605</v>
      </c>
      <c r="WI79" s="0" t="n">
        <f aca="false">+WH79+1</f>
        <v>606</v>
      </c>
      <c r="WJ79" s="0" t="n">
        <f aca="false">+WI79+1</f>
        <v>607</v>
      </c>
      <c r="WK79" s="0" t="n">
        <f aca="false">+WJ79+1</f>
        <v>608</v>
      </c>
      <c r="WL79" s="0" t="n">
        <f aca="false">+WK79+1</f>
        <v>609</v>
      </c>
      <c r="WM79" s="0" t="n">
        <f aca="false">+WL79+1</f>
        <v>610</v>
      </c>
      <c r="WN79" s="0" t="n">
        <f aca="false">+WM79+1</f>
        <v>611</v>
      </c>
      <c r="WO79" s="0" t="n">
        <f aca="false">+WN79+1</f>
        <v>612</v>
      </c>
      <c r="WP79" s="0" t="n">
        <f aca="false">+WO79+1</f>
        <v>613</v>
      </c>
      <c r="WQ79" s="0" t="n">
        <f aca="false">+WP79+1</f>
        <v>614</v>
      </c>
      <c r="WR79" s="0" t="n">
        <f aca="false">+WQ79+1</f>
        <v>615</v>
      </c>
      <c r="WS79" s="0" t="n">
        <f aca="false">+WR79+1</f>
        <v>616</v>
      </c>
      <c r="WT79" s="0" t="n">
        <f aca="false">+WS79+1</f>
        <v>617</v>
      </c>
      <c r="WU79" s="0" t="n">
        <f aca="false">+WT79+1</f>
        <v>618</v>
      </c>
      <c r="WV79" s="0" t="n">
        <f aca="false">+WU79+1</f>
        <v>619</v>
      </c>
      <c r="WW79" s="0" t="n">
        <f aca="false">+WV79+1</f>
        <v>620</v>
      </c>
      <c r="WX79" s="0" t="n">
        <f aca="false">+WW79+1</f>
        <v>621</v>
      </c>
      <c r="WY79" s="0" t="n">
        <f aca="false">+WX79+1</f>
        <v>622</v>
      </c>
      <c r="WZ79" s="0" t="n">
        <f aca="false">+WY79+1</f>
        <v>623</v>
      </c>
      <c r="XA79" s="0" t="n">
        <f aca="false">+WZ79+1</f>
        <v>624</v>
      </c>
      <c r="XB79" s="0" t="n">
        <f aca="false">+XA79+1</f>
        <v>625</v>
      </c>
      <c r="XC79" s="0" t="n">
        <f aca="false">+XB79+1</f>
        <v>626</v>
      </c>
      <c r="XD79" s="0" t="n">
        <f aca="false">+XC79+1</f>
        <v>627</v>
      </c>
      <c r="XE79" s="0" t="n">
        <f aca="false">+XD79+1</f>
        <v>628</v>
      </c>
      <c r="XF79" s="0" t="n">
        <f aca="false">+XE79+1</f>
        <v>629</v>
      </c>
      <c r="XG79" s="0" t="n">
        <f aca="false">+XF79+1</f>
        <v>630</v>
      </c>
      <c r="XH79" s="0" t="n">
        <f aca="false">+XG79+1</f>
        <v>631</v>
      </c>
      <c r="XI79" s="0" t="n">
        <f aca="false">+XH79+1</f>
        <v>632</v>
      </c>
      <c r="XJ79" s="0" t="n">
        <f aca="false">+XI79+1</f>
        <v>633</v>
      </c>
      <c r="XK79" s="0" t="n">
        <f aca="false">+XJ79+1</f>
        <v>634</v>
      </c>
      <c r="XL79" s="0" t="n">
        <f aca="false">+XK79+1</f>
        <v>635</v>
      </c>
      <c r="XM79" s="0" t="n">
        <f aca="false">+XL79+1</f>
        <v>636</v>
      </c>
      <c r="XN79" s="0" t="n">
        <f aca="false">+XM79+1</f>
        <v>637</v>
      </c>
      <c r="XO79" s="0" t="n">
        <f aca="false">+XN79+1</f>
        <v>638</v>
      </c>
      <c r="XP79" s="0" t="n">
        <f aca="false">+XO79+1</f>
        <v>639</v>
      </c>
      <c r="XQ79" s="0" t="n">
        <f aca="false">+XP79+1</f>
        <v>640</v>
      </c>
      <c r="XR79" s="0" t="n">
        <f aca="false">+XQ79+1</f>
        <v>641</v>
      </c>
      <c r="XS79" s="0" t="n">
        <f aca="false">+XR79+1</f>
        <v>642</v>
      </c>
      <c r="XT79" s="0" t="n">
        <f aca="false">+XS79+1</f>
        <v>643</v>
      </c>
      <c r="XU79" s="0" t="n">
        <f aca="false">+XT79+1</f>
        <v>644</v>
      </c>
      <c r="XV79" s="0" t="n">
        <f aca="false">+XU79+1</f>
        <v>645</v>
      </c>
      <c r="XW79" s="0" t="n">
        <f aca="false">+XV79+1</f>
        <v>646</v>
      </c>
      <c r="XX79" s="0" t="n">
        <f aca="false">+XW79+1</f>
        <v>647</v>
      </c>
      <c r="XY79" s="0" t="n">
        <f aca="false">+XX79+1</f>
        <v>648</v>
      </c>
      <c r="XZ79" s="0" t="n">
        <f aca="false">+XY79+1</f>
        <v>649</v>
      </c>
      <c r="YA79" s="0" t="n">
        <f aca="false">+XZ79+1</f>
        <v>650</v>
      </c>
      <c r="YB79" s="0" t="n">
        <f aca="false">+YA79+1</f>
        <v>651</v>
      </c>
      <c r="YC79" s="0" t="n">
        <f aca="false">+YB79+1</f>
        <v>652</v>
      </c>
      <c r="YD79" s="0" t="n">
        <f aca="false">+YC79+1</f>
        <v>653</v>
      </c>
      <c r="YE79" s="0" t="n">
        <f aca="false">+YD79+1</f>
        <v>654</v>
      </c>
      <c r="YF79" s="0" t="n">
        <f aca="false">+YE79+1</f>
        <v>655</v>
      </c>
      <c r="YG79" s="0" t="n">
        <f aca="false">+YF79+1</f>
        <v>656</v>
      </c>
      <c r="YH79" s="0" t="n">
        <f aca="false">+YG79+1</f>
        <v>657</v>
      </c>
      <c r="YI79" s="0" t="n">
        <f aca="false">+YH79+1</f>
        <v>658</v>
      </c>
      <c r="YJ79" s="0" t="n">
        <f aca="false">+YI79+1</f>
        <v>659</v>
      </c>
      <c r="YK79" s="0" t="n">
        <f aca="false">+YJ79+1</f>
        <v>660</v>
      </c>
      <c r="YL79" s="0" t="n">
        <f aca="false">+YK79+1</f>
        <v>661</v>
      </c>
      <c r="YM79" s="0" t="n">
        <f aca="false">+YL79+1</f>
        <v>662</v>
      </c>
      <c r="YN79" s="0" t="n">
        <f aca="false">+YM79+1</f>
        <v>663</v>
      </c>
      <c r="YO79" s="0" t="n">
        <f aca="false">+YN79+1</f>
        <v>664</v>
      </c>
      <c r="YP79" s="0" t="n">
        <f aca="false">+YO79+1</f>
        <v>665</v>
      </c>
      <c r="YQ79" s="0" t="n">
        <f aca="false">+YP79+1</f>
        <v>666</v>
      </c>
      <c r="YR79" s="0" t="n">
        <f aca="false">+YQ79+1</f>
        <v>667</v>
      </c>
      <c r="YS79" s="0" t="n">
        <f aca="false">+YR79+1</f>
        <v>668</v>
      </c>
      <c r="YT79" s="0" t="n">
        <f aca="false">+YS79+1</f>
        <v>669</v>
      </c>
      <c r="YU79" s="0" t="n">
        <f aca="false">+YT79+1</f>
        <v>670</v>
      </c>
      <c r="YV79" s="0" t="n">
        <f aca="false">+YU79+1</f>
        <v>671</v>
      </c>
      <c r="YW79" s="0" t="n">
        <f aca="false">+YV79+1</f>
        <v>672</v>
      </c>
      <c r="YX79" s="0" t="n">
        <f aca="false">+YW79+1</f>
        <v>673</v>
      </c>
      <c r="YY79" s="0" t="n">
        <f aca="false">+YX79+1</f>
        <v>674</v>
      </c>
      <c r="YZ79" s="0" t="n">
        <f aca="false">+YY79+1</f>
        <v>675</v>
      </c>
      <c r="ZA79" s="0" t="n">
        <f aca="false">+YZ79+1</f>
        <v>676</v>
      </c>
      <c r="ZB79" s="0" t="n">
        <f aca="false">+ZA79+1</f>
        <v>677</v>
      </c>
      <c r="ZC79" s="0" t="n">
        <f aca="false">+ZB79+1</f>
        <v>678</v>
      </c>
      <c r="ZD79" s="0" t="n">
        <f aca="false">+ZC79+1</f>
        <v>679</v>
      </c>
      <c r="ZE79" s="0" t="n">
        <f aca="false">+ZD79+1</f>
        <v>680</v>
      </c>
      <c r="ZF79" s="0" t="n">
        <f aca="false">+ZE79+1</f>
        <v>681</v>
      </c>
      <c r="ZG79" s="0" t="n">
        <f aca="false">+ZF79+1</f>
        <v>682</v>
      </c>
      <c r="ZH79" s="0" t="n">
        <f aca="false">+ZG79+1</f>
        <v>683</v>
      </c>
      <c r="ZI79" s="0" t="n">
        <f aca="false">+ZH79+1</f>
        <v>684</v>
      </c>
      <c r="ZJ79" s="0" t="n">
        <f aca="false">+ZI79+1</f>
        <v>685</v>
      </c>
      <c r="ZK79" s="0" t="n">
        <f aca="false">+ZJ79+1</f>
        <v>686</v>
      </c>
      <c r="ZL79" s="0" t="n">
        <f aca="false">+ZK79+1</f>
        <v>687</v>
      </c>
      <c r="ZM79" s="0" t="n">
        <f aca="false">+ZL79+1</f>
        <v>688</v>
      </c>
      <c r="ZN79" s="0" t="n">
        <f aca="false">+ZM79+1</f>
        <v>689</v>
      </c>
      <c r="ZO79" s="0" t="n">
        <f aca="false">+ZN79+1</f>
        <v>690</v>
      </c>
      <c r="ZP79" s="0" t="n">
        <f aca="false">+ZO79+1</f>
        <v>691</v>
      </c>
      <c r="ZQ79" s="0" t="n">
        <f aca="false">+ZP79+1</f>
        <v>692</v>
      </c>
      <c r="ZR79" s="0" t="n">
        <f aca="false">+ZQ79+1</f>
        <v>693</v>
      </c>
      <c r="ZS79" s="0" t="n">
        <f aca="false">+ZR79+1</f>
        <v>694</v>
      </c>
      <c r="ZT79" s="0" t="n">
        <f aca="false">+ZS79+1</f>
        <v>695</v>
      </c>
      <c r="ZU79" s="0" t="n">
        <f aca="false">+ZT79+1</f>
        <v>696</v>
      </c>
      <c r="ZV79" s="0" t="n">
        <f aca="false">+ZU79+1</f>
        <v>697</v>
      </c>
      <c r="ZW79" s="0" t="n">
        <f aca="false">+ZV79+1</f>
        <v>698</v>
      </c>
      <c r="ZX79" s="0" t="n">
        <f aca="false">+ZW79+1</f>
        <v>699</v>
      </c>
      <c r="ZY79" s="0" t="n">
        <f aca="false">+ZX79+1</f>
        <v>700</v>
      </c>
      <c r="ZZ79" s="0" t="n">
        <f aca="false">+ZY79+1</f>
        <v>701</v>
      </c>
      <c r="AAA79" s="0" t="n">
        <f aca="false">+ZZ79+1</f>
        <v>702</v>
      </c>
      <c r="AAB79" s="0" t="n">
        <f aca="false">+AAA79+1</f>
        <v>703</v>
      </c>
      <c r="AAC79" s="0" t="n">
        <f aca="false">+AAB79+1</f>
        <v>704</v>
      </c>
      <c r="AAD79" s="0" t="n">
        <f aca="false">+AAC79+1</f>
        <v>705</v>
      </c>
      <c r="AAE79" s="0" t="n">
        <f aca="false">+AAD79+1</f>
        <v>706</v>
      </c>
      <c r="AAF79" s="0" t="n">
        <f aca="false">+AAE79+1</f>
        <v>707</v>
      </c>
      <c r="AAG79" s="0" t="n">
        <f aca="false">+AAF79+1</f>
        <v>708</v>
      </c>
      <c r="AAH79" s="0" t="n">
        <f aca="false">+AAG79+1</f>
        <v>709</v>
      </c>
      <c r="AAI79" s="0" t="n">
        <f aca="false">+AAH79+1</f>
        <v>710</v>
      </c>
      <c r="AAJ79" s="0" t="n">
        <f aca="false">+AAI79+1</f>
        <v>711</v>
      </c>
      <c r="AAK79" s="0" t="n">
        <f aca="false">+AAJ79+1</f>
        <v>712</v>
      </c>
      <c r="AAL79" s="0" t="n">
        <f aca="false">+AAK79+1</f>
        <v>713</v>
      </c>
      <c r="AAM79" s="0" t="n">
        <f aca="false">+AAL79+1</f>
        <v>714</v>
      </c>
      <c r="AAN79" s="0" t="n">
        <f aca="false">+AAM79+1</f>
        <v>715</v>
      </c>
      <c r="AAO79" s="0" t="n">
        <f aca="false">+AAN79+1</f>
        <v>716</v>
      </c>
      <c r="AAP79" s="0" t="n">
        <f aca="false">+AAO79+1</f>
        <v>717</v>
      </c>
      <c r="AAQ79" s="0" t="n">
        <f aca="false">+AAP79+1</f>
        <v>718</v>
      </c>
      <c r="AAR79" s="0" t="n">
        <f aca="false">+AAQ79+1</f>
        <v>719</v>
      </c>
      <c r="AAS79" s="0" t="n">
        <f aca="false">+AAR79+1</f>
        <v>720</v>
      </c>
      <c r="AAT79" s="0" t="n">
        <f aca="false">+AAS79+1</f>
        <v>721</v>
      </c>
      <c r="AAU79" s="0" t="n">
        <f aca="false">+AAT79+1</f>
        <v>722</v>
      </c>
      <c r="AAV79" s="0" t="n">
        <f aca="false">+AAU79+1</f>
        <v>723</v>
      </c>
      <c r="AAW79" s="0" t="n">
        <f aca="false">+AAV79+1</f>
        <v>724</v>
      </c>
      <c r="AAX79" s="0" t="n">
        <f aca="false">+AAW79+1</f>
        <v>725</v>
      </c>
      <c r="AAY79" s="0" t="n">
        <f aca="false">+AAX79+1</f>
        <v>726</v>
      </c>
      <c r="AAZ79" s="0" t="n">
        <f aca="false">+AAY79+1</f>
        <v>727</v>
      </c>
      <c r="ABA79" s="0" t="n">
        <f aca="false">+AAZ79+1</f>
        <v>728</v>
      </c>
      <c r="ABB79" s="0" t="n">
        <f aca="false">+ABA79+1</f>
        <v>729</v>
      </c>
      <c r="ABC79" s="0" t="n">
        <f aca="false">+ABB79+1</f>
        <v>730</v>
      </c>
      <c r="ABD79" s="0" t="n">
        <f aca="false">+ABC79+1</f>
        <v>731</v>
      </c>
      <c r="ABE79" s="0" t="n">
        <f aca="false">+ABD79+1</f>
        <v>732</v>
      </c>
      <c r="ABF79" s="0" t="n">
        <f aca="false">+ABE79+1</f>
        <v>733</v>
      </c>
      <c r="ABG79" s="0" t="n">
        <f aca="false">+ABF79+1</f>
        <v>734</v>
      </c>
      <c r="ABH79" s="0" t="n">
        <f aca="false">+ABG79+1</f>
        <v>735</v>
      </c>
      <c r="ABI79" s="0" t="n">
        <f aca="false">+ABH79+1</f>
        <v>736</v>
      </c>
      <c r="ABJ79" s="0" t="n">
        <f aca="false">+ABI79+1</f>
        <v>737</v>
      </c>
      <c r="ABK79" s="0" t="n">
        <f aca="false">+ABJ79+1</f>
        <v>738</v>
      </c>
      <c r="ABL79" s="0" t="n">
        <f aca="false">+ABK79+1</f>
        <v>739</v>
      </c>
      <c r="ABM79" s="0" t="n">
        <f aca="false">+ABL79+1</f>
        <v>740</v>
      </c>
      <c r="ABN79" s="0" t="n">
        <f aca="false">+ABM79+1</f>
        <v>741</v>
      </c>
      <c r="ABO79" s="0" t="n">
        <f aca="false">+ABN79+1</f>
        <v>742</v>
      </c>
      <c r="ABP79" s="0" t="n">
        <f aca="false">+ABO79+1</f>
        <v>743</v>
      </c>
      <c r="ABQ79" s="0" t="n">
        <f aca="false">+ABP79+1</f>
        <v>744</v>
      </c>
      <c r="ABR79" s="0" t="n">
        <f aca="false">+ABQ79+1</f>
        <v>745</v>
      </c>
      <c r="ABS79" s="0" t="n">
        <f aca="false">+ABR79+1</f>
        <v>746</v>
      </c>
      <c r="ABT79" s="0" t="n">
        <f aca="false">+ABS79+1</f>
        <v>747</v>
      </c>
      <c r="ABU79" s="0" t="n">
        <f aca="false">+ABT79+1</f>
        <v>748</v>
      </c>
      <c r="ABV79" s="0" t="n">
        <f aca="false">+ABU79+1</f>
        <v>749</v>
      </c>
      <c r="ABW79" s="0" t="n">
        <f aca="false">+ABV79+1</f>
        <v>750</v>
      </c>
      <c r="ABX79" s="0" t="n">
        <f aca="false">+ABW79+1</f>
        <v>751</v>
      </c>
      <c r="ABY79" s="0" t="n">
        <f aca="false">+ABX79+1</f>
        <v>752</v>
      </c>
      <c r="ABZ79" s="0" t="n">
        <f aca="false">+ABY79+1</f>
        <v>753</v>
      </c>
      <c r="ACA79" s="0" t="n">
        <f aca="false">+ABZ79+1</f>
        <v>754</v>
      </c>
      <c r="ACB79" s="0" t="n">
        <f aca="false">+ACA79+1</f>
        <v>755</v>
      </c>
      <c r="ACC79" s="0" t="n">
        <f aca="false">+ACB79+1</f>
        <v>756</v>
      </c>
      <c r="ACD79" s="0" t="n">
        <f aca="false">+ACC79+1</f>
        <v>757</v>
      </c>
      <c r="ACE79" s="0" t="n">
        <f aca="false">+ACD79+1</f>
        <v>758</v>
      </c>
      <c r="ACF79" s="0" t="n">
        <f aca="false">+ACE79+1</f>
        <v>759</v>
      </c>
      <c r="ACG79" s="0" t="n">
        <f aca="false">+ACF79+1</f>
        <v>760</v>
      </c>
      <c r="ACH79" s="0" t="n">
        <f aca="false">+ACG79+1</f>
        <v>761</v>
      </c>
      <c r="ACI79" s="0" t="n">
        <f aca="false">+ACH79+1</f>
        <v>762</v>
      </c>
      <c r="ACJ79" s="0" t="n">
        <f aca="false">+ACI79+1</f>
        <v>763</v>
      </c>
      <c r="ACK79" s="0" t="n">
        <f aca="false">+ACJ79+1</f>
        <v>764</v>
      </c>
      <c r="ACL79" s="0" t="n">
        <f aca="false">+ACK79+1</f>
        <v>765</v>
      </c>
      <c r="ACM79" s="0" t="n">
        <f aca="false">+ACL79+1</f>
        <v>766</v>
      </c>
      <c r="ACN79" s="0" t="n">
        <f aca="false">+ACM79+1</f>
        <v>767</v>
      </c>
      <c r="ACO79" s="0" t="n">
        <f aca="false">+ACN79+1</f>
        <v>768</v>
      </c>
      <c r="ACP79" s="0" t="n">
        <f aca="false">+ACO79+1</f>
        <v>769</v>
      </c>
      <c r="ACQ79" s="0" t="n">
        <f aca="false">+ACP79+1</f>
        <v>770</v>
      </c>
      <c r="ACR79" s="0" t="n">
        <f aca="false">+ACQ79+1</f>
        <v>771</v>
      </c>
      <c r="ACS79" s="0" t="n">
        <f aca="false">+ACR79+1</f>
        <v>772</v>
      </c>
      <c r="ACT79" s="0" t="n">
        <f aca="false">+ACS79+1</f>
        <v>773</v>
      </c>
      <c r="ACU79" s="0" t="n">
        <f aca="false">+ACT79+1</f>
        <v>774</v>
      </c>
      <c r="ACV79" s="0" t="n">
        <f aca="false">+ACU79+1</f>
        <v>775</v>
      </c>
      <c r="ACW79" s="0" t="n">
        <f aca="false">+ACV79+1</f>
        <v>776</v>
      </c>
      <c r="ACX79" s="0" t="n">
        <f aca="false">+ACW79+1</f>
        <v>777</v>
      </c>
      <c r="ACY79" s="0" t="n">
        <f aca="false">+ACX79+1</f>
        <v>778</v>
      </c>
      <c r="ACZ79" s="0" t="n">
        <f aca="false">+ACY79+1</f>
        <v>779</v>
      </c>
      <c r="ADA79" s="0" t="n">
        <f aca="false">+ACZ79+1</f>
        <v>780</v>
      </c>
      <c r="ADB79" s="0" t="n">
        <f aca="false">+ADA79+1</f>
        <v>781</v>
      </c>
      <c r="ADC79" s="0" t="n">
        <f aca="false">+ADB79+1</f>
        <v>782</v>
      </c>
      <c r="ADD79" s="0" t="n">
        <f aca="false">+ADC79+1</f>
        <v>783</v>
      </c>
      <c r="ADE79" s="0" t="n">
        <f aca="false">+ADD79+1</f>
        <v>784</v>
      </c>
      <c r="ADF79" s="0" t="n">
        <f aca="false">+ADE79+1</f>
        <v>785</v>
      </c>
      <c r="ADG79" s="0" t="n">
        <f aca="false">+ADF79+1</f>
        <v>786</v>
      </c>
      <c r="ADH79" s="0" t="n">
        <f aca="false">+ADG79+1</f>
        <v>787</v>
      </c>
      <c r="ADI79" s="0" t="n">
        <f aca="false">+ADH79+1</f>
        <v>788</v>
      </c>
      <c r="ADJ79" s="0" t="n">
        <f aca="false">+ADI79+1</f>
        <v>789</v>
      </c>
      <c r="ADK79" s="0" t="n">
        <f aca="false">+ADJ79+1</f>
        <v>790</v>
      </c>
      <c r="ADL79" s="0" t="n">
        <f aca="false">+ADK79+1</f>
        <v>791</v>
      </c>
      <c r="ADM79" s="0" t="n">
        <f aca="false">+ADL79+1</f>
        <v>792</v>
      </c>
      <c r="ADN79" s="0" t="n">
        <f aca="false">+ADM79+1</f>
        <v>793</v>
      </c>
      <c r="ADO79" s="0" t="n">
        <f aca="false">+ADN79+1</f>
        <v>794</v>
      </c>
      <c r="ADP79" s="0" t="n">
        <f aca="false">+ADO79+1</f>
        <v>795</v>
      </c>
      <c r="ADQ79" s="0" t="n">
        <f aca="false">+ADP79+1</f>
        <v>796</v>
      </c>
      <c r="ADR79" s="0" t="n">
        <f aca="false">+ADQ79+1</f>
        <v>797</v>
      </c>
      <c r="ADS79" s="0" t="n">
        <f aca="false">+ADR79+1</f>
        <v>798</v>
      </c>
      <c r="ADT79" s="0" t="n">
        <f aca="false">+ADS79+1</f>
        <v>799</v>
      </c>
      <c r="ADU79" s="0" t="n">
        <f aca="false">+ADT79+1</f>
        <v>800</v>
      </c>
      <c r="ADV79" s="0" t="n">
        <f aca="false">+ADU79+1</f>
        <v>801</v>
      </c>
      <c r="ADW79" s="0" t="n">
        <f aca="false">+ADV79+1</f>
        <v>802</v>
      </c>
      <c r="ADX79" s="0" t="n">
        <f aca="false">+ADW79+1</f>
        <v>803</v>
      </c>
      <c r="ADY79" s="0" t="n">
        <f aca="false">+ADX79+1</f>
        <v>804</v>
      </c>
      <c r="ADZ79" s="0" t="n">
        <f aca="false">+ADY79+1</f>
        <v>805</v>
      </c>
      <c r="AEA79" s="0" t="n">
        <f aca="false">+ADZ79+1</f>
        <v>806</v>
      </c>
      <c r="AEB79" s="0" t="n">
        <f aca="false">+AEA79+1</f>
        <v>807</v>
      </c>
      <c r="AEC79" s="0" t="n">
        <f aca="false">+AEB79+1</f>
        <v>808</v>
      </c>
      <c r="AED79" s="0" t="n">
        <f aca="false">+AEC79+1</f>
        <v>809</v>
      </c>
      <c r="AEE79" s="0" t="n">
        <f aca="false">+AED79+1</f>
        <v>810</v>
      </c>
      <c r="AEF79" s="0" t="n">
        <f aca="false">+AEE79+1</f>
        <v>811</v>
      </c>
      <c r="AEG79" s="0" t="n">
        <f aca="false">+AEF79+1</f>
        <v>812</v>
      </c>
      <c r="AEH79" s="0" t="n">
        <f aca="false">+AEG79+1</f>
        <v>813</v>
      </c>
      <c r="AEI79" s="0" t="n">
        <f aca="false">+AEH79+1</f>
        <v>814</v>
      </c>
      <c r="AEJ79" s="0" t="n">
        <f aca="false">+AEI79+1</f>
        <v>815</v>
      </c>
      <c r="AEK79" s="0" t="n">
        <f aca="false">+AEJ79+1</f>
        <v>816</v>
      </c>
      <c r="AEL79" s="0" t="n">
        <f aca="false">+AEK79+1</f>
        <v>817</v>
      </c>
      <c r="AEM79" s="0" t="n">
        <f aca="false">+AEL79+1</f>
        <v>818</v>
      </c>
      <c r="AEN79" s="0" t="n">
        <f aca="false">+AEM79+1</f>
        <v>819</v>
      </c>
      <c r="AEO79" s="0" t="n">
        <f aca="false">+AEN79+1</f>
        <v>820</v>
      </c>
      <c r="AEP79" s="0" t="n">
        <f aca="false">+AEO79+1</f>
        <v>821</v>
      </c>
      <c r="AEQ79" s="0" t="n">
        <f aca="false">+AEP79+1</f>
        <v>822</v>
      </c>
      <c r="AER79" s="0" t="n">
        <f aca="false">+AEQ79+1</f>
        <v>823</v>
      </c>
      <c r="AES79" s="0" t="n">
        <f aca="false">+AER79+1</f>
        <v>824</v>
      </c>
      <c r="AET79" s="0" t="n">
        <f aca="false">+AES79+1</f>
        <v>825</v>
      </c>
      <c r="AEU79" s="0" t="n">
        <f aca="false">+AET79+1</f>
        <v>826</v>
      </c>
      <c r="AEV79" s="0" t="n">
        <f aca="false">+AEU79+1</f>
        <v>827</v>
      </c>
      <c r="AEW79" s="0" t="n">
        <f aca="false">+AEV79+1</f>
        <v>828</v>
      </c>
      <c r="AEX79" s="0" t="n">
        <f aca="false">+AEW79+1</f>
        <v>829</v>
      </c>
      <c r="AEY79" s="0" t="n">
        <f aca="false">+AEX79+1</f>
        <v>830</v>
      </c>
      <c r="AEZ79" s="0" t="n">
        <f aca="false">+AEY79+1</f>
        <v>831</v>
      </c>
      <c r="AFA79" s="0" t="n">
        <f aca="false">+AEZ79+1</f>
        <v>832</v>
      </c>
      <c r="AFB79" s="0" t="n">
        <f aca="false">+AFA79+1</f>
        <v>833</v>
      </c>
      <c r="AFC79" s="0" t="n">
        <f aca="false">+AFB79+1</f>
        <v>834</v>
      </c>
      <c r="AFD79" s="0" t="n">
        <f aca="false">+AFC79+1</f>
        <v>835</v>
      </c>
      <c r="AFE79" s="0" t="n">
        <f aca="false">+AFD79+1</f>
        <v>836</v>
      </c>
      <c r="AFF79" s="0" t="n">
        <f aca="false">+AFE79+1</f>
        <v>837</v>
      </c>
      <c r="AFG79" s="0" t="n">
        <f aca="false">+AFF79+1</f>
        <v>838</v>
      </c>
      <c r="AFH79" s="0" t="n">
        <f aca="false">+AFG79+1</f>
        <v>839</v>
      </c>
      <c r="AFI79" s="0" t="n">
        <f aca="false">+AFH79+1</f>
        <v>840</v>
      </c>
      <c r="AFJ79" s="0" t="n">
        <f aca="false">+AFI79+1</f>
        <v>841</v>
      </c>
      <c r="AFK79" s="0" t="n">
        <f aca="false">+AFJ79+1</f>
        <v>842</v>
      </c>
      <c r="AFL79" s="0" t="n">
        <f aca="false">+AFK79+1</f>
        <v>843</v>
      </c>
      <c r="AFM79" s="0" t="n">
        <f aca="false">+AFL79+1</f>
        <v>844</v>
      </c>
      <c r="AFN79" s="0" t="n">
        <f aca="false">+AFM79+1</f>
        <v>845</v>
      </c>
      <c r="AFO79" s="0" t="n">
        <f aca="false">+AFN79+1</f>
        <v>846</v>
      </c>
      <c r="AFP79" s="0" t="n">
        <f aca="false">+AFO79+1</f>
        <v>847</v>
      </c>
      <c r="AFQ79" s="0" t="n">
        <f aca="false">+AFP79+1</f>
        <v>848</v>
      </c>
      <c r="AFR79" s="0" t="n">
        <f aca="false">+AFQ79+1</f>
        <v>849</v>
      </c>
      <c r="AFS79" s="0" t="n">
        <f aca="false">+AFR79+1</f>
        <v>850</v>
      </c>
      <c r="AFT79" s="0" t="n">
        <f aca="false">+AFS79+1</f>
        <v>851</v>
      </c>
      <c r="AFU79" s="0" t="n">
        <f aca="false">+AFT79+1</f>
        <v>852</v>
      </c>
      <c r="AFV79" s="0" t="n">
        <f aca="false">+AFU79+1</f>
        <v>853</v>
      </c>
      <c r="AFW79" s="0" t="n">
        <f aca="false">+AFV79+1</f>
        <v>854</v>
      </c>
      <c r="AFX79" s="0" t="n">
        <f aca="false">+AFW79+1</f>
        <v>855</v>
      </c>
      <c r="AFY79" s="0" t="n">
        <f aca="false">+AFX79+1</f>
        <v>856</v>
      </c>
      <c r="AFZ79" s="0" t="n">
        <f aca="false">+AFY79+1</f>
        <v>857</v>
      </c>
      <c r="AGA79" s="0" t="n">
        <f aca="false">+AFZ79+1</f>
        <v>858</v>
      </c>
      <c r="AGB79" s="0" t="n">
        <f aca="false">+AGA79+1</f>
        <v>859</v>
      </c>
      <c r="AGC79" s="0" t="n">
        <f aca="false">+AGB79+1</f>
        <v>860</v>
      </c>
      <c r="AGD79" s="0" t="n">
        <f aca="false">+AGC79+1</f>
        <v>861</v>
      </c>
      <c r="AGE79" s="0" t="n">
        <f aca="false">+AGD79+1</f>
        <v>862</v>
      </c>
      <c r="AGF79" s="0" t="n">
        <f aca="false">+AGE79+1</f>
        <v>863</v>
      </c>
      <c r="AGG79" s="0" t="n">
        <f aca="false">+AGF79+1</f>
        <v>864</v>
      </c>
      <c r="AGH79" s="0" t="n">
        <f aca="false">+AGG79+1</f>
        <v>865</v>
      </c>
      <c r="AGI79" s="0" t="n">
        <f aca="false">+AGH79+1</f>
        <v>866</v>
      </c>
      <c r="AGJ79" s="0" t="n">
        <f aca="false">+AGI79+1</f>
        <v>867</v>
      </c>
      <c r="AGK79" s="0" t="n">
        <f aca="false">+AGJ79+1</f>
        <v>868</v>
      </c>
      <c r="AGL79" s="0" t="n">
        <f aca="false">+AGK79+1</f>
        <v>869</v>
      </c>
      <c r="AGM79" s="0" t="n">
        <f aca="false">+AGL79+1</f>
        <v>870</v>
      </c>
      <c r="AGN79" s="0" t="n">
        <f aca="false">+AGM79+1</f>
        <v>871</v>
      </c>
      <c r="AGO79" s="0" t="n">
        <f aca="false">+AGN79+1</f>
        <v>872</v>
      </c>
      <c r="AGP79" s="0" t="n">
        <f aca="false">+AGO79+1</f>
        <v>873</v>
      </c>
      <c r="AGQ79" s="0" t="n">
        <f aca="false">+AGP79+1</f>
        <v>874</v>
      </c>
      <c r="AGR79" s="0" t="n">
        <f aca="false">+AGQ79+1</f>
        <v>875</v>
      </c>
      <c r="AGS79" s="0" t="n">
        <f aca="false">+AGR79+1</f>
        <v>876</v>
      </c>
      <c r="AGT79" s="0" t="n">
        <f aca="false">+AGS79+1</f>
        <v>877</v>
      </c>
      <c r="AGU79" s="0" t="n">
        <f aca="false">+AGT79+1</f>
        <v>878</v>
      </c>
      <c r="AGV79" s="0" t="n">
        <f aca="false">+AGU79+1</f>
        <v>879</v>
      </c>
      <c r="AGW79" s="0" t="n">
        <f aca="false">+AGV79+1</f>
        <v>880</v>
      </c>
      <c r="AGX79" s="0" t="n">
        <f aca="false">+AGW79+1</f>
        <v>881</v>
      </c>
      <c r="AGY79" s="0" t="n">
        <f aca="false">+AGX79+1</f>
        <v>882</v>
      </c>
      <c r="AGZ79" s="0" t="n">
        <f aca="false">+AGY79+1</f>
        <v>883</v>
      </c>
      <c r="AHA79" s="0" t="n">
        <f aca="false">+AGZ79+1</f>
        <v>884</v>
      </c>
      <c r="AHB79" s="0" t="n">
        <f aca="false">+AHA79+1</f>
        <v>885</v>
      </c>
      <c r="AHC79" s="0" t="n">
        <f aca="false">+AHB79+1</f>
        <v>886</v>
      </c>
      <c r="AHD79" s="0" t="n">
        <f aca="false">+AHC79+1</f>
        <v>887</v>
      </c>
      <c r="AHE79" s="0" t="n">
        <f aca="false">+AHD79+1</f>
        <v>888</v>
      </c>
      <c r="AHF79" s="0" t="n">
        <f aca="false">+AHE79+1</f>
        <v>889</v>
      </c>
      <c r="AHG79" s="0" t="n">
        <f aca="false">+AHF79+1</f>
        <v>890</v>
      </c>
      <c r="AHH79" s="0" t="n">
        <f aca="false">+AHG79+1</f>
        <v>891</v>
      </c>
      <c r="AHI79" s="0" t="n">
        <f aca="false">+AHH79+1</f>
        <v>892</v>
      </c>
      <c r="AHJ79" s="0" t="n">
        <f aca="false">+AHI79+1</f>
        <v>893</v>
      </c>
      <c r="AHK79" s="0" t="n">
        <f aca="false">+AHJ79+1</f>
        <v>894</v>
      </c>
      <c r="AHL79" s="0" t="n">
        <f aca="false">+AHK79+1</f>
        <v>895</v>
      </c>
      <c r="AHM79" s="0" t="n">
        <f aca="false">+AHL79+1</f>
        <v>896</v>
      </c>
      <c r="AHN79" s="0" t="n">
        <f aca="false">+AHM79+1</f>
        <v>897</v>
      </c>
      <c r="AHO79" s="0" t="n">
        <f aca="false">+AHN79+1</f>
        <v>898</v>
      </c>
      <c r="AHP79" s="0" t="n">
        <f aca="false">+AHO79+1</f>
        <v>899</v>
      </c>
      <c r="AHQ79" s="0" t="n">
        <f aca="false">+AHP79+1</f>
        <v>900</v>
      </c>
      <c r="AHR79" s="0" t="n">
        <f aca="false">+AHQ79+1</f>
        <v>901</v>
      </c>
      <c r="AHS79" s="0" t="n">
        <f aca="false">+AHR79+1</f>
        <v>902</v>
      </c>
      <c r="AHT79" s="0" t="n">
        <f aca="false">+AHS79+1</f>
        <v>903</v>
      </c>
      <c r="AHU79" s="0" t="n">
        <f aca="false">+AHT79+1</f>
        <v>904</v>
      </c>
      <c r="AHV79" s="0" t="n">
        <f aca="false">+AHU79+1</f>
        <v>905</v>
      </c>
      <c r="AHW79" s="0" t="n">
        <f aca="false">+AHV79+1</f>
        <v>906</v>
      </c>
      <c r="AHX79" s="0" t="n">
        <f aca="false">+AHW79+1</f>
        <v>907</v>
      </c>
      <c r="AHY79" s="0" t="n">
        <f aca="false">+AHX79+1</f>
        <v>908</v>
      </c>
      <c r="AHZ79" s="0" t="n">
        <f aca="false">+AHY79+1</f>
        <v>909</v>
      </c>
      <c r="AIA79" s="0" t="n">
        <f aca="false">+AHZ79+1</f>
        <v>910</v>
      </c>
      <c r="AIB79" s="0" t="n">
        <f aca="false">+AIA79+1</f>
        <v>911</v>
      </c>
      <c r="AIC79" s="0" t="n">
        <f aca="false">+AIB79+1</f>
        <v>912</v>
      </c>
      <c r="AID79" s="0" t="n">
        <f aca="false">+AIC79+1</f>
        <v>913</v>
      </c>
      <c r="AIE79" s="0" t="n">
        <f aca="false">+AID79+1</f>
        <v>914</v>
      </c>
      <c r="AIF79" s="0" t="n">
        <f aca="false">+AIE79+1</f>
        <v>915</v>
      </c>
      <c r="AIG79" s="0" t="n">
        <f aca="false">+AIF79+1</f>
        <v>916</v>
      </c>
      <c r="AIH79" s="0" t="n">
        <f aca="false">+AIG79+1</f>
        <v>917</v>
      </c>
      <c r="AII79" s="0" t="n">
        <f aca="false">+AIH79+1</f>
        <v>918</v>
      </c>
      <c r="AIJ79" s="0" t="n">
        <f aca="false">+AII79+1</f>
        <v>919</v>
      </c>
      <c r="AIK79" s="0" t="n">
        <f aca="false">+AIJ79+1</f>
        <v>920</v>
      </c>
      <c r="AIL79" s="0" t="n">
        <f aca="false">+AIK79+1</f>
        <v>921</v>
      </c>
      <c r="AIM79" s="0" t="n">
        <f aca="false">+AIL79+1</f>
        <v>922</v>
      </c>
      <c r="AIN79" s="0" t="n">
        <f aca="false">+AIM79+1</f>
        <v>923</v>
      </c>
      <c r="AIO79" s="0" t="n">
        <f aca="false">+AIN79+1</f>
        <v>924</v>
      </c>
      <c r="AIP79" s="0" t="n">
        <f aca="false">+AIO79+1</f>
        <v>925</v>
      </c>
      <c r="AIQ79" s="0" t="n">
        <f aca="false">+AIP79+1</f>
        <v>926</v>
      </c>
      <c r="AIR79" s="0" t="n">
        <f aca="false">+AIQ79+1</f>
        <v>927</v>
      </c>
      <c r="AIS79" s="0" t="n">
        <f aca="false">+AIR79+1</f>
        <v>928</v>
      </c>
      <c r="AIT79" s="0" t="n">
        <f aca="false">+AIS79+1</f>
        <v>929</v>
      </c>
      <c r="AIU79" s="0" t="n">
        <f aca="false">+AIT79+1</f>
        <v>930</v>
      </c>
      <c r="AIV79" s="0" t="n">
        <f aca="false">+AIU79+1</f>
        <v>931</v>
      </c>
      <c r="AIW79" s="0" t="n">
        <f aca="false">+AIV79+1</f>
        <v>932</v>
      </c>
      <c r="AIX79" s="0" t="n">
        <f aca="false">+AIW79+1</f>
        <v>933</v>
      </c>
      <c r="AIY79" s="0" t="n">
        <f aca="false">+AIX79+1</f>
        <v>934</v>
      </c>
      <c r="AIZ79" s="0" t="n">
        <f aca="false">+AIY79+1</f>
        <v>935</v>
      </c>
      <c r="AJA79" s="0" t="n">
        <f aca="false">+AIZ79+1</f>
        <v>936</v>
      </c>
      <c r="AJB79" s="0" t="n">
        <f aca="false">+AJA79+1</f>
        <v>937</v>
      </c>
      <c r="AJC79" s="0" t="n">
        <f aca="false">+AJB79+1</f>
        <v>938</v>
      </c>
      <c r="AJD79" s="0" t="n">
        <f aca="false">+AJC79+1</f>
        <v>939</v>
      </c>
      <c r="AJE79" s="0" t="n">
        <f aca="false">+AJD79+1</f>
        <v>940</v>
      </c>
      <c r="AJF79" s="0" t="n">
        <f aca="false">+AJE79+1</f>
        <v>941</v>
      </c>
      <c r="AJG79" s="0" t="n">
        <f aca="false">+AJF79+1</f>
        <v>942</v>
      </c>
      <c r="AJH79" s="0" t="n">
        <f aca="false">+AJG79+1</f>
        <v>943</v>
      </c>
      <c r="AJI79" s="0" t="n">
        <f aca="false">+AJH79+1</f>
        <v>944</v>
      </c>
      <c r="AJJ79" s="0" t="n">
        <f aca="false">+AJI79+1</f>
        <v>945</v>
      </c>
      <c r="AJK79" s="0" t="n">
        <f aca="false">+AJJ79+1</f>
        <v>946</v>
      </c>
      <c r="AJL79" s="0" t="n">
        <f aca="false">+AJK79+1</f>
        <v>947</v>
      </c>
      <c r="AJM79" s="0" t="n">
        <f aca="false">+AJL79+1</f>
        <v>948</v>
      </c>
      <c r="AJN79" s="0" t="n">
        <f aca="false">+AJM79+1</f>
        <v>949</v>
      </c>
      <c r="AJO79" s="0" t="n">
        <f aca="false">+AJN79+1</f>
        <v>950</v>
      </c>
      <c r="AJP79" s="0" t="n">
        <f aca="false">+AJO79+1</f>
        <v>951</v>
      </c>
      <c r="AJQ79" s="0" t="n">
        <f aca="false">+AJP79+1</f>
        <v>952</v>
      </c>
      <c r="AJR79" s="0" t="n">
        <f aca="false">+AJQ79+1</f>
        <v>953</v>
      </c>
      <c r="AJS79" s="0" t="n">
        <f aca="false">+AJR79+1</f>
        <v>954</v>
      </c>
      <c r="AJT79" s="0" t="n">
        <f aca="false">+AJS79+1</f>
        <v>955</v>
      </c>
      <c r="AJU79" s="0" t="n">
        <f aca="false">+AJT79+1</f>
        <v>956</v>
      </c>
      <c r="AJV79" s="0" t="n">
        <f aca="false">+AJU79+1</f>
        <v>957</v>
      </c>
      <c r="AJW79" s="0" t="n">
        <f aca="false">+AJV79+1</f>
        <v>958</v>
      </c>
      <c r="AJX79" s="0" t="n">
        <f aca="false">+AJW79+1</f>
        <v>959</v>
      </c>
      <c r="AJY79" s="0" t="n">
        <f aca="false">+AJX79+1</f>
        <v>960</v>
      </c>
      <c r="AJZ79" s="0" t="n">
        <f aca="false">+AJY79+1</f>
        <v>961</v>
      </c>
      <c r="AKA79" s="0" t="n">
        <f aca="false">+AJZ79+1</f>
        <v>962</v>
      </c>
      <c r="AKB79" s="0" t="n">
        <f aca="false">+AKA79+1</f>
        <v>963</v>
      </c>
      <c r="AKC79" s="0" t="n">
        <f aca="false">+AKB79+1</f>
        <v>964</v>
      </c>
      <c r="AKD79" s="0" t="n">
        <f aca="false">+AKC79+1</f>
        <v>965</v>
      </c>
      <c r="AKE79" s="0" t="n">
        <f aca="false">+AKD79+1</f>
        <v>966</v>
      </c>
      <c r="AKF79" s="0" t="n">
        <f aca="false">+AKE79+1</f>
        <v>967</v>
      </c>
      <c r="AKG79" s="0" t="n">
        <f aca="false">+AKF79+1</f>
        <v>968</v>
      </c>
      <c r="AKH79" s="0" t="n">
        <f aca="false">+AKG79+1</f>
        <v>969</v>
      </c>
      <c r="AKI79" s="0" t="n">
        <f aca="false">+AKH79+1</f>
        <v>970</v>
      </c>
      <c r="AKJ79" s="0" t="n">
        <f aca="false">+AKI79+1</f>
        <v>971</v>
      </c>
      <c r="AKK79" s="0" t="n">
        <f aca="false">+AKJ79+1</f>
        <v>972</v>
      </c>
      <c r="AKL79" s="0" t="n">
        <f aca="false">+AKK79+1</f>
        <v>973</v>
      </c>
      <c r="AKM79" s="0" t="n">
        <f aca="false">+AKL79+1</f>
        <v>974</v>
      </c>
      <c r="AKN79" s="0" t="n">
        <f aca="false">+AKM79+1</f>
        <v>975</v>
      </c>
      <c r="AKO79" s="0" t="n">
        <f aca="false">+AKN79+1</f>
        <v>976</v>
      </c>
      <c r="AKP79" s="0" t="n">
        <f aca="false">+AKO79+1</f>
        <v>977</v>
      </c>
      <c r="AKQ79" s="0" t="n">
        <f aca="false">+AKP79+1</f>
        <v>978</v>
      </c>
      <c r="AKR79" s="0" t="n">
        <f aca="false">+AKQ79+1</f>
        <v>979</v>
      </c>
      <c r="AKS79" s="0" t="n">
        <f aca="false">+AKR79+1</f>
        <v>980</v>
      </c>
      <c r="AKT79" s="0" t="n">
        <f aca="false">+AKS79+1</f>
        <v>981</v>
      </c>
      <c r="AKU79" s="0" t="n">
        <f aca="false">+AKT79+1</f>
        <v>982</v>
      </c>
      <c r="AKV79" s="0" t="n">
        <f aca="false">+AKU79+1</f>
        <v>983</v>
      </c>
      <c r="AKW79" s="0" t="n">
        <f aca="false">+AKV79+1</f>
        <v>984</v>
      </c>
      <c r="AKX79" s="0" t="n">
        <f aca="false">+AKW79+1</f>
        <v>985</v>
      </c>
      <c r="AKY79" s="0" t="n">
        <f aca="false">+AKX79+1</f>
        <v>986</v>
      </c>
      <c r="AKZ79" s="0" t="n">
        <f aca="false">+AKY79+1</f>
        <v>987</v>
      </c>
      <c r="ALA79" s="0" t="n">
        <f aca="false">+AKZ79+1</f>
        <v>988</v>
      </c>
      <c r="ALB79" s="0" t="n">
        <f aca="false">+ALA79+1</f>
        <v>989</v>
      </c>
      <c r="ALC79" s="0" t="n">
        <f aca="false">+ALB79+1</f>
        <v>990</v>
      </c>
      <c r="ALD79" s="0" t="n">
        <f aca="false">+ALC79+1</f>
        <v>991</v>
      </c>
      <c r="ALE79" s="0" t="n">
        <f aca="false">+ALD79+1</f>
        <v>992</v>
      </c>
      <c r="ALF79" s="0" t="n">
        <f aca="false">+ALE79+1</f>
        <v>993</v>
      </c>
      <c r="ALG79" s="0" t="n">
        <f aca="false">+ALF79+1</f>
        <v>994</v>
      </c>
      <c r="ALH79" s="0" t="n">
        <f aca="false">+ALG79+1</f>
        <v>995</v>
      </c>
      <c r="ALI79" s="0" t="n">
        <f aca="false">+ALH79+1</f>
        <v>996</v>
      </c>
      <c r="ALJ79" s="0" t="n">
        <f aca="false">+ALI79+1</f>
        <v>997</v>
      </c>
      <c r="ALK79" s="0" t="n">
        <f aca="false">+ALJ79+1</f>
        <v>998</v>
      </c>
      <c r="ALL79" s="0" t="n">
        <f aca="false">+ALK79+1</f>
        <v>999</v>
      </c>
      <c r="ALM79" s="0" t="n">
        <f aca="false">+ALL79+1</f>
        <v>1000</v>
      </c>
    </row>
    <row r="80" customFormat="false" ht="14.5" hidden="false" customHeight="false" outlineLevel="0" collapsed="false">
      <c r="A80" s="0" t="s">
        <v>121</v>
      </c>
      <c r="B80" s="0" t="n">
        <f aca="true">_xlfn.NORM.S.INV(RAND())</f>
        <v>0.467426066076302</v>
      </c>
      <c r="C80" s="0" t="n">
        <f aca="true">_xlfn.NORM.S.INV(RAND())</f>
        <v>0.153439384541205</v>
      </c>
      <c r="D80" s="0" t="n">
        <f aca="true">_xlfn.NORM.S.INV(RAND())</f>
        <v>1.04395675095113</v>
      </c>
      <c r="E80" s="0" t="n">
        <f aca="true">_xlfn.NORM.S.INV(RAND())</f>
        <v>0.607956682719286</v>
      </c>
      <c r="F80" s="0" t="n">
        <f aca="true">_xlfn.NORM.S.INV(RAND())</f>
        <v>0.172955960421206</v>
      </c>
      <c r="G80" s="0" t="n">
        <f aca="true">_xlfn.NORM.S.INV(RAND())</f>
        <v>0.910613515364863</v>
      </c>
      <c r="H80" s="0" t="n">
        <f aca="true">_xlfn.NORM.S.INV(RAND())</f>
        <v>-0.292339036691395</v>
      </c>
      <c r="I80" s="0" t="n">
        <f aca="true">_xlfn.NORM.S.INV(RAND())</f>
        <v>1.22895126901285</v>
      </c>
      <c r="J80" s="0" t="n">
        <f aca="true">_xlfn.NORM.S.INV(RAND())</f>
        <v>0.353161627484448</v>
      </c>
      <c r="K80" s="0" t="n">
        <f aca="true">_xlfn.NORM.S.INV(RAND())</f>
        <v>-1.19218939498617</v>
      </c>
      <c r="L80" s="0" t="n">
        <f aca="true">_xlfn.NORM.S.INV(RAND())</f>
        <v>-0.0426203828797438</v>
      </c>
      <c r="M80" s="0" t="n">
        <f aca="true">_xlfn.NORM.S.INV(RAND())</f>
        <v>0.464155711230567</v>
      </c>
      <c r="N80" s="0" t="n">
        <f aca="true">_xlfn.NORM.S.INV(RAND())</f>
        <v>-0.651053769039404</v>
      </c>
      <c r="O80" s="0" t="n">
        <f aca="true">_xlfn.NORM.S.INV(RAND())</f>
        <v>-0.786817015750728</v>
      </c>
      <c r="P80" s="0" t="n">
        <f aca="true">_xlfn.NORM.S.INV(RAND())</f>
        <v>0.799008409707348</v>
      </c>
      <c r="Q80" s="0" t="n">
        <f aca="true">_xlfn.NORM.S.INV(RAND())</f>
        <v>-1.65004618829329</v>
      </c>
      <c r="R80" s="0" t="n">
        <f aca="true">_xlfn.NORM.S.INV(RAND())</f>
        <v>-1.29352251488405</v>
      </c>
      <c r="S80" s="0" t="n">
        <f aca="true">_xlfn.NORM.S.INV(RAND())</f>
        <v>-1.44815195715526</v>
      </c>
      <c r="T80" s="0" t="n">
        <f aca="true">_xlfn.NORM.S.INV(RAND())</f>
        <v>-0.613207179228159</v>
      </c>
      <c r="U80" s="0" t="n">
        <f aca="true">_xlfn.NORM.S.INV(RAND())</f>
        <v>-1.95606211721647</v>
      </c>
      <c r="V80" s="0" t="n">
        <f aca="true">_xlfn.NORM.S.INV(RAND())</f>
        <v>-0.466030220749005</v>
      </c>
      <c r="W80" s="0" t="n">
        <f aca="true">_xlfn.NORM.S.INV(RAND())</f>
        <v>0.401957899404555</v>
      </c>
      <c r="X80" s="0" t="n">
        <f aca="true">_xlfn.NORM.S.INV(RAND())</f>
        <v>0.798775347595472</v>
      </c>
      <c r="Y80" s="0" t="n">
        <f aca="true">_xlfn.NORM.S.INV(RAND())</f>
        <v>-0.0476780756869615</v>
      </c>
      <c r="Z80" s="0" t="n">
        <f aca="true">_xlfn.NORM.S.INV(RAND())</f>
        <v>1.37650681455962</v>
      </c>
      <c r="AA80" s="0" t="n">
        <f aca="true">_xlfn.NORM.S.INV(RAND())</f>
        <v>1.56758112995137</v>
      </c>
      <c r="AB80" s="0" t="n">
        <f aca="true">_xlfn.NORM.S.INV(RAND())</f>
        <v>1.8674502096579</v>
      </c>
      <c r="AC80" s="0" t="n">
        <f aca="true">_xlfn.NORM.S.INV(RAND())</f>
        <v>-1.51415639362794</v>
      </c>
      <c r="AD80" s="0" t="n">
        <f aca="true">_xlfn.NORM.S.INV(RAND())</f>
        <v>0.680118619981063</v>
      </c>
      <c r="AE80" s="0" t="n">
        <f aca="true">_xlfn.NORM.S.INV(RAND())</f>
        <v>-0.1870656237076</v>
      </c>
      <c r="AF80" s="0" t="n">
        <f aca="true">_xlfn.NORM.S.INV(RAND())</f>
        <v>-1.60225057317916</v>
      </c>
      <c r="AG80" s="0" t="n">
        <f aca="true">_xlfn.NORM.S.INV(RAND())</f>
        <v>0.812273991101494</v>
      </c>
      <c r="AH80" s="0" t="n">
        <f aca="true">_xlfn.NORM.S.INV(RAND())</f>
        <v>-0.267024913621185</v>
      </c>
      <c r="AI80" s="0" t="n">
        <f aca="true">_xlfn.NORM.S.INV(RAND())</f>
        <v>-0.684905023702001</v>
      </c>
      <c r="AJ80" s="0" t="n">
        <f aca="true">_xlfn.NORM.S.INV(RAND())</f>
        <v>1.60736581314529</v>
      </c>
      <c r="AK80" s="0" t="n">
        <f aca="true">_xlfn.NORM.S.INV(RAND())</f>
        <v>0.725781971629181</v>
      </c>
      <c r="AL80" s="0" t="n">
        <f aca="true">_xlfn.NORM.S.INV(RAND())</f>
        <v>0.984518543097589</v>
      </c>
      <c r="AM80" s="0" t="n">
        <f aca="true">_xlfn.NORM.S.INV(RAND())</f>
        <v>0.938855071810833</v>
      </c>
      <c r="AN80" s="0" t="n">
        <f aca="true">_xlfn.NORM.S.INV(RAND())</f>
        <v>0.172428173964208</v>
      </c>
      <c r="AO80" s="0" t="n">
        <f aca="true">_xlfn.NORM.S.INV(RAND())</f>
        <v>-1.88031512589867</v>
      </c>
      <c r="AP80" s="0" t="n">
        <f aca="true">_xlfn.NORM.S.INV(RAND())</f>
        <v>-0.406156983018724</v>
      </c>
      <c r="AQ80" s="0" t="n">
        <f aca="true">_xlfn.NORM.S.INV(RAND())</f>
        <v>0.626482098604452</v>
      </c>
      <c r="AR80" s="0" t="n">
        <f aca="true">_xlfn.NORM.S.INV(RAND())</f>
        <v>-0.587125569744527</v>
      </c>
      <c r="AS80" s="0" t="n">
        <f aca="true">_xlfn.NORM.S.INV(RAND())</f>
        <v>-0.709028849424191</v>
      </c>
      <c r="AT80" s="0" t="n">
        <f aca="true">_xlfn.NORM.S.INV(RAND())</f>
        <v>0.158443743576084</v>
      </c>
      <c r="AU80" s="0" t="n">
        <f aca="true">_xlfn.NORM.S.INV(RAND())</f>
        <v>-0.349600433533544</v>
      </c>
      <c r="AV80" s="0" t="n">
        <f aca="true">_xlfn.NORM.S.INV(RAND())</f>
        <v>1.68117631924834</v>
      </c>
      <c r="AW80" s="0" t="n">
        <f aca="true">_xlfn.NORM.S.INV(RAND())</f>
        <v>-0.0205771564427457</v>
      </c>
      <c r="AX80" s="0" t="n">
        <f aca="true">_xlfn.NORM.S.INV(RAND())</f>
        <v>-1.39443555477691</v>
      </c>
      <c r="AY80" s="0" t="n">
        <f aca="true">_xlfn.NORM.S.INV(RAND())</f>
        <v>1.01943603514547</v>
      </c>
      <c r="AZ80" s="0" t="n">
        <f aca="true">_xlfn.NORM.S.INV(RAND())</f>
        <v>1.60665470439931</v>
      </c>
      <c r="BA80" s="0" t="n">
        <f aca="true">_xlfn.NORM.S.INV(RAND())</f>
        <v>0.0939831594811644</v>
      </c>
      <c r="BB80" s="0" t="n">
        <f aca="true">_xlfn.NORM.S.INV(RAND())</f>
        <v>-1.24532372085775</v>
      </c>
      <c r="BC80" s="0" t="n">
        <f aca="true">_xlfn.NORM.S.INV(RAND())</f>
        <v>0.912098244716385</v>
      </c>
      <c r="BD80" s="0" t="n">
        <f aca="true">_xlfn.NORM.S.INV(RAND())</f>
        <v>-1.2256206490751</v>
      </c>
      <c r="BE80" s="0" t="n">
        <f aca="true">_xlfn.NORM.S.INV(RAND())</f>
        <v>-0.502419669818694</v>
      </c>
      <c r="BF80" s="0" t="n">
        <f aca="true">_xlfn.NORM.S.INV(RAND())</f>
        <v>-1.84105583679308</v>
      </c>
      <c r="BG80" s="0" t="n">
        <f aca="true">_xlfn.NORM.S.INV(RAND())</f>
        <v>0.457598087888918</v>
      </c>
      <c r="BH80" s="0" t="n">
        <f aca="true">_xlfn.NORM.S.INV(RAND())</f>
        <v>-0.335805098680798</v>
      </c>
      <c r="BI80" s="0" t="n">
        <f aca="true">_xlfn.NORM.S.INV(RAND())</f>
        <v>2.06595890624069</v>
      </c>
      <c r="BJ80" s="0" t="n">
        <f aca="true">_xlfn.NORM.S.INV(RAND())</f>
        <v>0.762658210192809</v>
      </c>
      <c r="BK80" s="0" t="n">
        <f aca="true">_xlfn.NORM.S.INV(RAND())</f>
        <v>0.96610894920271</v>
      </c>
      <c r="BL80" s="0" t="n">
        <f aca="true">_xlfn.NORM.S.INV(RAND())</f>
        <v>0.596872305932981</v>
      </c>
      <c r="BM80" s="0" t="n">
        <f aca="true">_xlfn.NORM.S.INV(RAND())</f>
        <v>-0.352865631766143</v>
      </c>
      <c r="BN80" s="0" t="n">
        <f aca="true">_xlfn.NORM.S.INV(RAND())</f>
        <v>-0.863519291467219</v>
      </c>
      <c r="BO80" s="0" t="n">
        <f aca="true">_xlfn.NORM.S.INV(RAND())</f>
        <v>-0.00455303011525412</v>
      </c>
      <c r="BP80" s="0" t="n">
        <f aca="true">_xlfn.NORM.S.INV(RAND())</f>
        <v>0.501753681727565</v>
      </c>
      <c r="BQ80" s="0" t="n">
        <f aca="true">_xlfn.NORM.S.INV(RAND())</f>
        <v>-0.469486791531687</v>
      </c>
      <c r="BR80" s="0" t="n">
        <f aca="true">_xlfn.NORM.S.INV(RAND())</f>
        <v>0.612986081484922</v>
      </c>
      <c r="BS80" s="0" t="n">
        <f aca="true">_xlfn.NORM.S.INV(RAND())</f>
        <v>-1.39703352151525</v>
      </c>
      <c r="BT80" s="0" t="n">
        <f aca="true">_xlfn.NORM.S.INV(RAND())</f>
        <v>0.131664236678152</v>
      </c>
      <c r="BU80" s="0" t="n">
        <f aca="true">_xlfn.NORM.S.INV(RAND())</f>
        <v>-1.76729335151806</v>
      </c>
      <c r="BV80" s="0" t="n">
        <f aca="true">_xlfn.NORM.S.INV(RAND())</f>
        <v>-0.39156904622462</v>
      </c>
      <c r="BW80" s="0" t="n">
        <f aca="true">_xlfn.NORM.S.INV(RAND())</f>
        <v>-0.9824557807179</v>
      </c>
      <c r="BX80" s="0" t="n">
        <f aca="true">_xlfn.NORM.S.INV(RAND())</f>
        <v>-1.20693305934818</v>
      </c>
      <c r="BY80" s="0" t="n">
        <f aca="true">_xlfn.NORM.S.INV(RAND())</f>
        <v>-1.09580869184174</v>
      </c>
      <c r="BZ80" s="0" t="n">
        <f aca="true">_xlfn.NORM.S.INV(RAND())</f>
        <v>1.11142990238749</v>
      </c>
      <c r="CA80" s="0" t="n">
        <f aca="true">_xlfn.NORM.S.INV(RAND())</f>
        <v>0.613945447267286</v>
      </c>
      <c r="CB80" s="0" t="n">
        <f aca="true">_xlfn.NORM.S.INV(RAND())</f>
        <v>-1.02555626578823</v>
      </c>
      <c r="CC80" s="0" t="n">
        <f aca="true">_xlfn.NORM.S.INV(RAND())</f>
        <v>1.36843697521226</v>
      </c>
      <c r="CD80" s="0" t="n">
        <f aca="true">_xlfn.NORM.S.INV(RAND())</f>
        <v>2.61742974137489</v>
      </c>
      <c r="CE80" s="0" t="n">
        <f aca="true">_xlfn.NORM.S.INV(RAND())</f>
        <v>0.842378734295611</v>
      </c>
      <c r="CF80" s="0" t="n">
        <f aca="true">_xlfn.NORM.S.INV(RAND())</f>
        <v>0.726229459090193</v>
      </c>
      <c r="CG80" s="0" t="n">
        <f aca="true">_xlfn.NORM.S.INV(RAND())</f>
        <v>-1.43989484136967</v>
      </c>
      <c r="CH80" s="0" t="n">
        <f aca="true">_xlfn.NORM.S.INV(RAND())</f>
        <v>0.464266615422634</v>
      </c>
      <c r="CI80" s="0" t="n">
        <f aca="true">_xlfn.NORM.S.INV(RAND())</f>
        <v>0.934977866125082</v>
      </c>
      <c r="CJ80" s="0" t="n">
        <f aca="true">_xlfn.NORM.S.INV(RAND())</f>
        <v>2.02510550622187</v>
      </c>
      <c r="CK80" s="0" t="n">
        <f aca="true">_xlfn.NORM.S.INV(RAND())</f>
        <v>-0.201961057542687</v>
      </c>
      <c r="CL80" s="0" t="n">
        <f aca="true">_xlfn.NORM.S.INV(RAND())</f>
        <v>-0.549070071545903</v>
      </c>
      <c r="CM80" s="0" t="n">
        <f aca="true">_xlfn.NORM.S.INV(RAND())</f>
        <v>1.21629139497824</v>
      </c>
      <c r="CN80" s="0" t="n">
        <f aca="true">_xlfn.NORM.S.INV(RAND())</f>
        <v>0.655062707222912</v>
      </c>
      <c r="CO80" s="0" t="n">
        <f aca="true">_xlfn.NORM.S.INV(RAND())</f>
        <v>0.960435421577141</v>
      </c>
      <c r="CP80" s="0" t="n">
        <f aca="true">_xlfn.NORM.S.INV(RAND())</f>
        <v>-0.433303956842584</v>
      </c>
      <c r="CQ80" s="0" t="n">
        <f aca="true">_xlfn.NORM.S.INV(RAND())</f>
        <v>-0.463253236069148</v>
      </c>
      <c r="CR80" s="0" t="n">
        <f aca="true">_xlfn.NORM.S.INV(RAND())</f>
        <v>0.422652329530881</v>
      </c>
      <c r="CS80" s="0" t="n">
        <f aca="true">_xlfn.NORM.S.INV(RAND())</f>
        <v>-0.421578597981155</v>
      </c>
      <c r="CT80" s="0" t="n">
        <f aca="true">_xlfn.NORM.S.INV(RAND())</f>
        <v>-1.65123372708087</v>
      </c>
      <c r="CU80" s="0" t="n">
        <f aca="true">_xlfn.NORM.S.INV(RAND())</f>
        <v>-1.03968423526384</v>
      </c>
      <c r="CV80" s="0" t="n">
        <f aca="true">_xlfn.NORM.S.INV(RAND())</f>
        <v>-1.31863244714509</v>
      </c>
      <c r="CW80" s="0" t="n">
        <f aca="true">_xlfn.NORM.S.INV(RAND())</f>
        <v>0.0314608348222258</v>
      </c>
      <c r="CX80" s="0" t="n">
        <f aca="true">_xlfn.NORM.S.INV(RAND())</f>
        <v>0.419651273333412</v>
      </c>
      <c r="CY80" s="0" t="n">
        <f aca="true">_xlfn.NORM.S.INV(RAND())</f>
        <v>-0.103849550596622</v>
      </c>
      <c r="CZ80" s="0" t="n">
        <f aca="true">_xlfn.NORM.S.INV(RAND())</f>
        <v>0.0419219623614002</v>
      </c>
      <c r="DA80" s="0" t="n">
        <f aca="true">_xlfn.NORM.S.INV(RAND())</f>
        <v>-1.88263113699642</v>
      </c>
      <c r="DB80" s="0" t="n">
        <f aca="true">_xlfn.NORM.S.INV(RAND())</f>
        <v>-3.14293182720546</v>
      </c>
      <c r="DC80" s="0" t="n">
        <f aca="true">_xlfn.NORM.S.INV(RAND())</f>
        <v>1.52765669904962</v>
      </c>
      <c r="DD80" s="0" t="n">
        <f aca="true">_xlfn.NORM.S.INV(RAND())</f>
        <v>-0.645523455360584</v>
      </c>
      <c r="DE80" s="0" t="n">
        <f aca="true">_xlfn.NORM.S.INV(RAND())</f>
        <v>0.20517832744186</v>
      </c>
      <c r="DF80" s="0" t="n">
        <f aca="true">_xlfn.NORM.S.INV(RAND())</f>
        <v>-1.03363643681553</v>
      </c>
      <c r="DG80" s="0" t="n">
        <f aca="true">_xlfn.NORM.S.INV(RAND())</f>
        <v>0.226849860554367</v>
      </c>
      <c r="DH80" s="0" t="n">
        <f aca="true">_xlfn.NORM.S.INV(RAND())</f>
        <v>0.194449182976276</v>
      </c>
      <c r="DI80" s="0" t="n">
        <f aca="true">_xlfn.NORM.S.INV(RAND())</f>
        <v>-1.02693593064467</v>
      </c>
      <c r="DJ80" s="0" t="n">
        <f aca="true">_xlfn.NORM.S.INV(RAND())</f>
        <v>-0.130356685971759</v>
      </c>
      <c r="DK80" s="0" t="n">
        <f aca="true">_xlfn.NORM.S.INV(RAND())</f>
        <v>0.0382488673632895</v>
      </c>
      <c r="DL80" s="0" t="n">
        <f aca="true">_xlfn.NORM.S.INV(RAND())</f>
        <v>0.977313529852167</v>
      </c>
      <c r="DM80" s="0" t="n">
        <f aca="true">_xlfn.NORM.S.INV(RAND())</f>
        <v>0.804178229102155</v>
      </c>
      <c r="DN80" s="0" t="n">
        <f aca="true">_xlfn.NORM.S.INV(RAND())</f>
        <v>1.75359878427511</v>
      </c>
      <c r="DO80" s="0" t="n">
        <f aca="true">_xlfn.NORM.S.INV(RAND())</f>
        <v>2.24862343841438</v>
      </c>
      <c r="DP80" s="0" t="n">
        <f aca="true">_xlfn.NORM.S.INV(RAND())</f>
        <v>1.43075056314923</v>
      </c>
      <c r="DQ80" s="0" t="n">
        <f aca="true">_xlfn.NORM.S.INV(RAND())</f>
        <v>0.462722792702314</v>
      </c>
      <c r="DR80" s="0" t="n">
        <f aca="true">_xlfn.NORM.S.INV(RAND())</f>
        <v>-2.09076981316391</v>
      </c>
      <c r="DS80" s="0" t="n">
        <f aca="true">_xlfn.NORM.S.INV(RAND())</f>
        <v>-0.780471858111585</v>
      </c>
      <c r="DT80" s="0" t="n">
        <f aca="true">_xlfn.NORM.S.INV(RAND())</f>
        <v>1.74827570129519</v>
      </c>
      <c r="DU80" s="0" t="n">
        <f aca="true">_xlfn.NORM.S.INV(RAND())</f>
        <v>0.856855659910673</v>
      </c>
      <c r="DV80" s="0" t="n">
        <f aca="true">_xlfn.NORM.S.INV(RAND())</f>
        <v>0.728126853651404</v>
      </c>
      <c r="DW80" s="0" t="n">
        <f aca="true">_xlfn.NORM.S.INV(RAND())</f>
        <v>-0.4498195410606</v>
      </c>
      <c r="DX80" s="0" t="n">
        <f aca="true">_xlfn.NORM.S.INV(RAND())</f>
        <v>-0.163863532864783</v>
      </c>
      <c r="DY80" s="0" t="n">
        <f aca="true">_xlfn.NORM.S.INV(RAND())</f>
        <v>0.684165487649675</v>
      </c>
      <c r="DZ80" s="0" t="n">
        <f aca="true">_xlfn.NORM.S.INV(RAND())</f>
        <v>-1.28149689526731</v>
      </c>
      <c r="EA80" s="0" t="n">
        <f aca="true">_xlfn.NORM.S.INV(RAND())</f>
        <v>-2.373182533718</v>
      </c>
      <c r="EB80" s="0" t="n">
        <f aca="true">_xlfn.NORM.S.INV(RAND())</f>
        <v>-0.33902435969947</v>
      </c>
      <c r="EC80" s="0" t="n">
        <f aca="true">_xlfn.NORM.S.INV(RAND())</f>
        <v>-0.125387956556498</v>
      </c>
      <c r="ED80" s="0" t="n">
        <f aca="true">_xlfn.NORM.S.INV(RAND())</f>
        <v>-0.00749663082974085</v>
      </c>
      <c r="EE80" s="0" t="n">
        <f aca="true">_xlfn.NORM.S.INV(RAND())</f>
        <v>0.89070943903763</v>
      </c>
      <c r="EF80" s="0" t="n">
        <f aca="true">_xlfn.NORM.S.INV(RAND())</f>
        <v>0.20789950994311</v>
      </c>
      <c r="EG80" s="0" t="n">
        <f aca="true">_xlfn.NORM.S.INV(RAND())</f>
        <v>-0.270400186034878</v>
      </c>
      <c r="EH80" s="0" t="n">
        <f aca="true">_xlfn.NORM.S.INV(RAND())</f>
        <v>-0.376206953008288</v>
      </c>
      <c r="EI80" s="0" t="n">
        <f aca="true">_xlfn.NORM.S.INV(RAND())</f>
        <v>-1.41771704094143</v>
      </c>
      <c r="EJ80" s="0" t="n">
        <f aca="true">_xlfn.NORM.S.INV(RAND())</f>
        <v>0.826480000383041</v>
      </c>
      <c r="EK80" s="0" t="n">
        <f aca="true">_xlfn.NORM.S.INV(RAND())</f>
        <v>0.593022851217061</v>
      </c>
      <c r="EL80" s="0" t="n">
        <f aca="true">_xlfn.NORM.S.INV(RAND())</f>
        <v>1.10922362833</v>
      </c>
      <c r="EM80" s="0" t="n">
        <f aca="true">_xlfn.NORM.S.INV(RAND())</f>
        <v>0.0284469937343899</v>
      </c>
      <c r="EN80" s="0" t="n">
        <f aca="true">_xlfn.NORM.S.INV(RAND())</f>
        <v>0.966516112287933</v>
      </c>
      <c r="EO80" s="0" t="n">
        <f aca="true">_xlfn.NORM.S.INV(RAND())</f>
        <v>-0.0644818612956695</v>
      </c>
      <c r="EP80" s="0" t="n">
        <f aca="true">_xlfn.NORM.S.INV(RAND())</f>
        <v>0.142626047832713</v>
      </c>
      <c r="EQ80" s="0" t="n">
        <f aca="true">_xlfn.NORM.S.INV(RAND())</f>
        <v>0.396001859450903</v>
      </c>
      <c r="ER80" s="0" t="n">
        <f aca="true">_xlfn.NORM.S.INV(RAND())</f>
        <v>0.357259008225069</v>
      </c>
      <c r="ES80" s="0" t="n">
        <f aca="true">_xlfn.NORM.S.INV(RAND())</f>
        <v>0.816865827299681</v>
      </c>
      <c r="ET80" s="0" t="n">
        <f aca="true">_xlfn.NORM.S.INV(RAND())</f>
        <v>0.625602038295547</v>
      </c>
      <c r="EU80" s="0" t="n">
        <f aca="true">_xlfn.NORM.S.INV(RAND())</f>
        <v>1.3216715409959</v>
      </c>
      <c r="EV80" s="0" t="n">
        <f aca="true">_xlfn.NORM.S.INV(RAND())</f>
        <v>0.69651830956595</v>
      </c>
      <c r="EW80" s="0" t="n">
        <f aca="true">_xlfn.NORM.S.INV(RAND())</f>
        <v>-1.03476571797946</v>
      </c>
      <c r="EX80" s="0" t="n">
        <f aca="true">_xlfn.NORM.S.INV(RAND())</f>
        <v>-1.71011533102177</v>
      </c>
      <c r="EY80" s="0" t="n">
        <f aca="true">_xlfn.NORM.S.INV(RAND())</f>
        <v>2.66814703585324</v>
      </c>
      <c r="EZ80" s="0" t="n">
        <f aca="true">_xlfn.NORM.S.INV(RAND())</f>
        <v>-0.50444373302754</v>
      </c>
      <c r="FA80" s="0" t="n">
        <f aca="true">_xlfn.NORM.S.INV(RAND())</f>
        <v>1.44269381638389</v>
      </c>
      <c r="FB80" s="0" t="n">
        <f aca="true">_xlfn.NORM.S.INV(RAND())</f>
        <v>0.473656099801645</v>
      </c>
      <c r="FC80" s="0" t="n">
        <f aca="true">_xlfn.NORM.S.INV(RAND())</f>
        <v>0.238630998173101</v>
      </c>
      <c r="FD80" s="0" t="n">
        <f aca="true">_xlfn.NORM.S.INV(RAND())</f>
        <v>1.57780322175183</v>
      </c>
      <c r="FE80" s="0" t="n">
        <f aca="true">_xlfn.NORM.S.INV(RAND())</f>
        <v>-1.45329336489389</v>
      </c>
      <c r="FF80" s="0" t="n">
        <f aca="true">_xlfn.NORM.S.INV(RAND())</f>
        <v>-1.30209349183066</v>
      </c>
      <c r="FG80" s="0" t="n">
        <f aca="true">_xlfn.NORM.S.INV(RAND())</f>
        <v>0.0996170724921717</v>
      </c>
      <c r="FH80" s="0" t="n">
        <f aca="true">_xlfn.NORM.S.INV(RAND())</f>
        <v>0.213472094509352</v>
      </c>
      <c r="FI80" s="0" t="n">
        <f aca="true">_xlfn.NORM.S.INV(RAND())</f>
        <v>-1.75756234225207</v>
      </c>
      <c r="FJ80" s="0" t="n">
        <f aca="true">_xlfn.NORM.S.INV(RAND())</f>
        <v>-0.117443284649863</v>
      </c>
      <c r="FK80" s="0" t="n">
        <f aca="true">_xlfn.NORM.S.INV(RAND())</f>
        <v>1.6215972400982</v>
      </c>
      <c r="FL80" s="0" t="n">
        <f aca="true">_xlfn.NORM.S.INV(RAND())</f>
        <v>-1.457097595657</v>
      </c>
      <c r="FM80" s="0" t="n">
        <f aca="true">_xlfn.NORM.S.INV(RAND())</f>
        <v>1.93170403051327</v>
      </c>
      <c r="FN80" s="0" t="n">
        <f aca="true">_xlfn.NORM.S.INV(RAND())</f>
        <v>0.910204000771833</v>
      </c>
      <c r="FO80" s="0" t="n">
        <f aca="true">_xlfn.NORM.S.INV(RAND())</f>
        <v>-0.508983998104092</v>
      </c>
      <c r="FP80" s="0" t="n">
        <f aca="true">_xlfn.NORM.S.INV(RAND())</f>
        <v>-0.579178140159664</v>
      </c>
      <c r="FQ80" s="0" t="n">
        <f aca="true">_xlfn.NORM.S.INV(RAND())</f>
        <v>-1.14885934922827</v>
      </c>
      <c r="FR80" s="0" t="n">
        <f aca="true">_xlfn.NORM.S.INV(RAND())</f>
        <v>-0.0880609322636448</v>
      </c>
      <c r="FS80" s="0" t="n">
        <f aca="true">_xlfn.NORM.S.INV(RAND())</f>
        <v>-1.74537377044681</v>
      </c>
      <c r="FT80" s="0" t="n">
        <f aca="true">_xlfn.NORM.S.INV(RAND())</f>
        <v>-0.142464744294876</v>
      </c>
      <c r="FU80" s="0" t="n">
        <f aca="true">_xlfn.NORM.S.INV(RAND())</f>
        <v>0.59446783048389</v>
      </c>
      <c r="FV80" s="0" t="n">
        <f aca="true">_xlfn.NORM.S.INV(RAND())</f>
        <v>0.53497279868449</v>
      </c>
      <c r="FW80" s="0" t="n">
        <f aca="true">_xlfn.NORM.S.INV(RAND())</f>
        <v>1.05315608460287</v>
      </c>
      <c r="FX80" s="0" t="n">
        <f aca="true">_xlfn.NORM.S.INV(RAND())</f>
        <v>-0.210336683374332</v>
      </c>
      <c r="FY80" s="0" t="n">
        <f aca="true">_xlfn.NORM.S.INV(RAND())</f>
        <v>0.42114642699221</v>
      </c>
      <c r="FZ80" s="0" t="n">
        <f aca="true">_xlfn.NORM.S.INV(RAND())</f>
        <v>-1.77944532244397</v>
      </c>
      <c r="GA80" s="0" t="n">
        <f aca="true">_xlfn.NORM.S.INV(RAND())</f>
        <v>-0.679038951016316</v>
      </c>
      <c r="GB80" s="0" t="n">
        <f aca="true">_xlfn.NORM.S.INV(RAND())</f>
        <v>-0.211125695494586</v>
      </c>
      <c r="GC80" s="0" t="n">
        <f aca="true">_xlfn.NORM.S.INV(RAND())</f>
        <v>-0.57972609537823</v>
      </c>
      <c r="GD80" s="0" t="n">
        <f aca="true">_xlfn.NORM.S.INV(RAND())</f>
        <v>-0.972958240660435</v>
      </c>
      <c r="GE80" s="0" t="n">
        <f aca="true">_xlfn.NORM.S.INV(RAND())</f>
        <v>0.209431335558509</v>
      </c>
      <c r="GF80" s="0" t="n">
        <f aca="true">_xlfn.NORM.S.INV(RAND())</f>
        <v>-0.269555497587433</v>
      </c>
      <c r="GG80" s="0" t="n">
        <f aca="true">_xlfn.NORM.S.INV(RAND())</f>
        <v>-0.3442826476445</v>
      </c>
      <c r="GH80" s="0" t="n">
        <f aca="true">_xlfn.NORM.S.INV(RAND())</f>
        <v>0.296417488863842</v>
      </c>
      <c r="GI80" s="0" t="n">
        <f aca="true">_xlfn.NORM.S.INV(RAND())</f>
        <v>1.09388902106049</v>
      </c>
      <c r="GJ80" s="0" t="n">
        <f aca="true">_xlfn.NORM.S.INV(RAND())</f>
        <v>-0.792526282395487</v>
      </c>
      <c r="GK80" s="0" t="n">
        <f aca="true">_xlfn.NORM.S.INV(RAND())</f>
        <v>-0.956571408395242</v>
      </c>
      <c r="GL80" s="0" t="n">
        <f aca="true">_xlfn.NORM.S.INV(RAND())</f>
        <v>-0.199466453319611</v>
      </c>
      <c r="GM80" s="0" t="n">
        <f aca="true">_xlfn.NORM.S.INV(RAND())</f>
        <v>-0.482142256767991</v>
      </c>
      <c r="GN80" s="0" t="n">
        <f aca="true">_xlfn.NORM.S.INV(RAND())</f>
        <v>0.398725117780913</v>
      </c>
      <c r="GO80" s="0" t="n">
        <f aca="true">_xlfn.NORM.S.INV(RAND())</f>
        <v>-1.08804825399483</v>
      </c>
      <c r="GP80" s="0" t="n">
        <f aca="true">_xlfn.NORM.S.INV(RAND())</f>
        <v>0.680904366701575</v>
      </c>
      <c r="GQ80" s="0" t="n">
        <f aca="true">_xlfn.NORM.S.INV(RAND())</f>
        <v>-1.94873287577625</v>
      </c>
      <c r="GR80" s="0" t="n">
        <f aca="true">_xlfn.NORM.S.INV(RAND())</f>
        <v>1.59697861802061</v>
      </c>
      <c r="GS80" s="0" t="n">
        <f aca="true">_xlfn.NORM.S.INV(RAND())</f>
        <v>-0.188941194696552</v>
      </c>
      <c r="GT80" s="0" t="n">
        <f aca="true">_xlfn.NORM.S.INV(RAND())</f>
        <v>0.53215059861905</v>
      </c>
      <c r="GU80" s="0" t="n">
        <f aca="true">_xlfn.NORM.S.INV(RAND())</f>
        <v>-0.654467296243506</v>
      </c>
      <c r="GV80" s="0" t="n">
        <f aca="true">_xlfn.NORM.S.INV(RAND())</f>
        <v>0.118228343971499</v>
      </c>
      <c r="GW80" s="0" t="n">
        <f aca="true">_xlfn.NORM.S.INV(RAND())</f>
        <v>0.209852160751079</v>
      </c>
      <c r="GX80" s="0" t="n">
        <f aca="true">_xlfn.NORM.S.INV(RAND())</f>
        <v>-0.703038373693001</v>
      </c>
      <c r="GY80" s="0" t="n">
        <f aca="true">_xlfn.NORM.S.INV(RAND())</f>
        <v>-0.431461062606921</v>
      </c>
      <c r="GZ80" s="0" t="n">
        <f aca="true">_xlfn.NORM.S.INV(RAND())</f>
        <v>1.20299782902844</v>
      </c>
      <c r="HA80" s="0" t="n">
        <f aca="true">_xlfn.NORM.S.INV(RAND())</f>
        <v>0.239251043244707</v>
      </c>
      <c r="HB80" s="0" t="n">
        <f aca="true">_xlfn.NORM.S.INV(RAND())</f>
        <v>-0.337822324509175</v>
      </c>
      <c r="HC80" s="0" t="n">
        <f aca="true">_xlfn.NORM.S.INV(RAND())</f>
        <v>-0.586258589950318</v>
      </c>
      <c r="HD80" s="0" t="n">
        <f aca="true">_xlfn.NORM.S.INV(RAND())</f>
        <v>1.65846556872477</v>
      </c>
      <c r="HE80" s="0" t="n">
        <f aca="true">_xlfn.NORM.S.INV(RAND())</f>
        <v>1.17603565426195</v>
      </c>
      <c r="HF80" s="0" t="n">
        <f aca="true">_xlfn.NORM.S.INV(RAND())</f>
        <v>-1.45478948412798</v>
      </c>
      <c r="HG80" s="0" t="n">
        <f aca="true">_xlfn.NORM.S.INV(RAND())</f>
        <v>1.04503253162818</v>
      </c>
      <c r="HH80" s="0" t="n">
        <f aca="true">_xlfn.NORM.S.INV(RAND())</f>
        <v>0.831565545861662</v>
      </c>
      <c r="HI80" s="0" t="n">
        <f aca="true">_xlfn.NORM.S.INV(RAND())</f>
        <v>0.681459212744723</v>
      </c>
      <c r="HJ80" s="0" t="n">
        <f aca="true">_xlfn.NORM.S.INV(RAND())</f>
        <v>-0.52903674289469</v>
      </c>
      <c r="HK80" s="0" t="n">
        <f aca="true">_xlfn.NORM.S.INV(RAND())</f>
        <v>-0.305793507761186</v>
      </c>
      <c r="HL80" s="0" t="n">
        <f aca="true">_xlfn.NORM.S.INV(RAND())</f>
        <v>1.65953878932927</v>
      </c>
      <c r="HM80" s="0" t="n">
        <f aca="true">_xlfn.NORM.S.INV(RAND())</f>
        <v>-0.752485249141935</v>
      </c>
      <c r="HN80" s="0" t="n">
        <f aca="true">_xlfn.NORM.S.INV(RAND())</f>
        <v>-0.555241228537109</v>
      </c>
      <c r="HO80" s="0" t="n">
        <f aca="true">_xlfn.NORM.S.INV(RAND())</f>
        <v>-0.588160281214366</v>
      </c>
      <c r="HP80" s="0" t="n">
        <f aca="true">_xlfn.NORM.S.INV(RAND())</f>
        <v>-1.89899942221493</v>
      </c>
      <c r="HQ80" s="0" t="n">
        <f aca="true">_xlfn.NORM.S.INV(RAND())</f>
        <v>0.135083894523337</v>
      </c>
      <c r="HR80" s="0" t="n">
        <f aca="true">_xlfn.NORM.S.INV(RAND())</f>
        <v>-0.32103198738397</v>
      </c>
      <c r="HS80" s="0" t="n">
        <f aca="true">_xlfn.NORM.S.INV(RAND())</f>
        <v>-0.145770352441489</v>
      </c>
      <c r="HT80" s="0" t="n">
        <f aca="true">_xlfn.NORM.S.INV(RAND())</f>
        <v>2.76693879186866</v>
      </c>
      <c r="HU80" s="0" t="n">
        <f aca="true">_xlfn.NORM.S.INV(RAND())</f>
        <v>-0.923076513181802</v>
      </c>
      <c r="HV80" s="0" t="n">
        <f aca="true">_xlfn.NORM.S.INV(RAND())</f>
        <v>-0.163525281864724</v>
      </c>
      <c r="HW80" s="0" t="n">
        <f aca="true">_xlfn.NORM.S.INV(RAND())</f>
        <v>-0.625766351111553</v>
      </c>
      <c r="HX80" s="0" t="n">
        <f aca="true">_xlfn.NORM.S.INV(RAND())</f>
        <v>1.2298851623144</v>
      </c>
      <c r="HY80" s="0" t="n">
        <f aca="true">_xlfn.NORM.S.INV(RAND())</f>
        <v>-0.828862851526526</v>
      </c>
      <c r="HZ80" s="0" t="n">
        <f aca="true">_xlfn.NORM.S.INV(RAND())</f>
        <v>-0.595748260671247</v>
      </c>
      <c r="IA80" s="0" t="n">
        <f aca="true">_xlfn.NORM.S.INV(RAND())</f>
        <v>1.73298058143563</v>
      </c>
      <c r="IB80" s="0" t="n">
        <f aca="true">_xlfn.NORM.S.INV(RAND())</f>
        <v>-1.4177862241485</v>
      </c>
      <c r="IC80" s="0" t="n">
        <f aca="true">_xlfn.NORM.S.INV(RAND())</f>
        <v>-0.792318806901829</v>
      </c>
      <c r="ID80" s="0" t="n">
        <f aca="true">_xlfn.NORM.S.INV(RAND())</f>
        <v>-1.45194731157532</v>
      </c>
      <c r="IE80" s="0" t="n">
        <f aca="true">_xlfn.NORM.S.INV(RAND())</f>
        <v>1.65561075455135</v>
      </c>
      <c r="IF80" s="0" t="n">
        <f aca="true">_xlfn.NORM.S.INV(RAND())</f>
        <v>-1.32437719344622</v>
      </c>
      <c r="IG80" s="0" t="n">
        <f aca="true">_xlfn.NORM.S.INV(RAND())</f>
        <v>-0.997444273864498</v>
      </c>
      <c r="IH80" s="0" t="n">
        <f aca="true">_xlfn.NORM.S.INV(RAND())</f>
        <v>0.00930084498860406</v>
      </c>
      <c r="II80" s="0" t="n">
        <f aca="true">_xlfn.NORM.S.INV(RAND())</f>
        <v>0.627465120679574</v>
      </c>
      <c r="IJ80" s="0" t="n">
        <f aca="true">_xlfn.NORM.S.INV(RAND())</f>
        <v>-0.485403760970195</v>
      </c>
      <c r="IK80" s="0" t="n">
        <f aca="true">_xlfn.NORM.S.INV(RAND())</f>
        <v>2.47761074626452</v>
      </c>
      <c r="IL80" s="0" t="n">
        <f aca="true">_xlfn.NORM.S.INV(RAND())</f>
        <v>1.44003225117984</v>
      </c>
      <c r="IM80" s="0" t="n">
        <f aca="true">_xlfn.NORM.S.INV(RAND())</f>
        <v>-0.0638025742671132</v>
      </c>
      <c r="IN80" s="0" t="n">
        <f aca="true">_xlfn.NORM.S.INV(RAND())</f>
        <v>-0.956263249267391</v>
      </c>
      <c r="IO80" s="0" t="n">
        <f aca="true">_xlfn.NORM.S.INV(RAND())</f>
        <v>0.471175322694883</v>
      </c>
      <c r="IP80" s="0" t="n">
        <f aca="true">_xlfn.NORM.S.INV(RAND())</f>
        <v>0.761847669754689</v>
      </c>
      <c r="IQ80" s="0" t="n">
        <f aca="true">_xlfn.NORM.S.INV(RAND())</f>
        <v>0.319797222683089</v>
      </c>
      <c r="IR80" s="0" t="n">
        <f aca="true">_xlfn.NORM.S.INV(RAND())</f>
        <v>-1.22488868588858</v>
      </c>
      <c r="IS80" s="0" t="n">
        <f aca="true">_xlfn.NORM.S.INV(RAND())</f>
        <v>-0.0598561852706003</v>
      </c>
      <c r="IT80" s="0" t="n">
        <f aca="true">_xlfn.NORM.S.INV(RAND())</f>
        <v>1.00918089772327</v>
      </c>
      <c r="IU80" s="0" t="n">
        <f aca="true">_xlfn.NORM.S.INV(RAND())</f>
        <v>-0.531470499631447</v>
      </c>
      <c r="IV80" s="0" t="n">
        <f aca="true">_xlfn.NORM.S.INV(RAND())</f>
        <v>0.683347988015901</v>
      </c>
      <c r="IW80" s="0" t="n">
        <f aca="true">_xlfn.NORM.S.INV(RAND())</f>
        <v>-0.234100649705492</v>
      </c>
      <c r="IX80" s="0" t="n">
        <f aca="true">_xlfn.NORM.S.INV(RAND())</f>
        <v>-0.489699512615925</v>
      </c>
      <c r="IY80" s="0" t="n">
        <f aca="true">_xlfn.NORM.S.INV(RAND())</f>
        <v>0.914270164402474</v>
      </c>
      <c r="IZ80" s="0" t="n">
        <f aca="true">_xlfn.NORM.S.INV(RAND())</f>
        <v>0.475385799230242</v>
      </c>
      <c r="JA80" s="0" t="n">
        <f aca="true">_xlfn.NORM.S.INV(RAND())</f>
        <v>-1.68822666520007</v>
      </c>
      <c r="JB80" s="0" t="n">
        <f aca="true">_xlfn.NORM.S.INV(RAND())</f>
        <v>-0.289226805539773</v>
      </c>
      <c r="JC80" s="0" t="n">
        <f aca="true">_xlfn.NORM.S.INV(RAND())</f>
        <v>-1.21078624156453</v>
      </c>
      <c r="JD80" s="0" t="n">
        <f aca="true">_xlfn.NORM.S.INV(RAND())</f>
        <v>-0.839753795201264</v>
      </c>
      <c r="JE80" s="0" t="n">
        <f aca="true">_xlfn.NORM.S.INV(RAND())</f>
        <v>-0.0606231559357764</v>
      </c>
      <c r="JF80" s="0" t="n">
        <f aca="true">_xlfn.NORM.S.INV(RAND())</f>
        <v>0.674640773846406</v>
      </c>
      <c r="JG80" s="0" t="n">
        <f aca="true">_xlfn.NORM.S.INV(RAND())</f>
        <v>0.819677184505107</v>
      </c>
      <c r="JH80" s="0" t="n">
        <f aca="true">_xlfn.NORM.S.INV(RAND())</f>
        <v>-1.04306212240333</v>
      </c>
      <c r="JI80" s="0" t="n">
        <f aca="true">_xlfn.NORM.S.INV(RAND())</f>
        <v>-0.118436775118454</v>
      </c>
      <c r="JJ80" s="0" t="n">
        <f aca="true">_xlfn.NORM.S.INV(RAND())</f>
        <v>-0.481133652928001</v>
      </c>
      <c r="JK80" s="0" t="n">
        <f aca="true">_xlfn.NORM.S.INV(RAND())</f>
        <v>-1.10007191726709</v>
      </c>
      <c r="JL80" s="0" t="n">
        <f aca="true">_xlfn.NORM.S.INV(RAND())</f>
        <v>-0.0959357632760754</v>
      </c>
      <c r="JM80" s="0" t="n">
        <f aca="true">_xlfn.NORM.S.INV(RAND())</f>
        <v>0.145176115901515</v>
      </c>
      <c r="JN80" s="0" t="n">
        <f aca="true">_xlfn.NORM.S.INV(RAND())</f>
        <v>-0.122482375661651</v>
      </c>
      <c r="JO80" s="0" t="n">
        <f aca="true">_xlfn.NORM.S.INV(RAND())</f>
        <v>-0.380983359606596</v>
      </c>
      <c r="JP80" s="0" t="n">
        <f aca="true">_xlfn.NORM.S.INV(RAND())</f>
        <v>-0.108493536782915</v>
      </c>
      <c r="JQ80" s="0" t="n">
        <f aca="true">_xlfn.NORM.S.INV(RAND())</f>
        <v>-1.29895317659169</v>
      </c>
      <c r="JR80" s="0" t="n">
        <f aca="true">_xlfn.NORM.S.INV(RAND())</f>
        <v>-1.91625983181201</v>
      </c>
      <c r="JS80" s="0" t="n">
        <f aca="true">_xlfn.NORM.S.INV(RAND())</f>
        <v>-1.54000106225736</v>
      </c>
      <c r="JT80" s="0" t="n">
        <f aca="true">_xlfn.NORM.S.INV(RAND())</f>
        <v>-0.584099563663754</v>
      </c>
      <c r="JU80" s="0" t="n">
        <f aca="true">_xlfn.NORM.S.INV(RAND())</f>
        <v>-0.738705544210563</v>
      </c>
      <c r="JV80" s="0" t="n">
        <f aca="true">_xlfn.NORM.S.INV(RAND())</f>
        <v>0.501207332702395</v>
      </c>
      <c r="JW80" s="0" t="n">
        <f aca="true">_xlfn.NORM.S.INV(RAND())</f>
        <v>2.03611365695944</v>
      </c>
      <c r="JX80" s="0" t="n">
        <f aca="true">_xlfn.NORM.S.INV(RAND())</f>
        <v>-1.25737718657691</v>
      </c>
      <c r="JY80" s="0" t="n">
        <f aca="true">_xlfn.NORM.S.INV(RAND())</f>
        <v>0.125662846850223</v>
      </c>
      <c r="JZ80" s="0" t="n">
        <f aca="true">_xlfn.NORM.S.INV(RAND())</f>
        <v>-0.179846436384699</v>
      </c>
      <c r="KA80" s="0" t="n">
        <f aca="true">_xlfn.NORM.S.INV(RAND())</f>
        <v>-0.0246576373112987</v>
      </c>
      <c r="KB80" s="0" t="n">
        <f aca="true">_xlfn.NORM.S.INV(RAND())</f>
        <v>0.663866564443736</v>
      </c>
      <c r="KC80" s="0" t="n">
        <f aca="true">_xlfn.NORM.S.INV(RAND())</f>
        <v>-0.210418070203171</v>
      </c>
      <c r="KD80" s="0" t="n">
        <f aca="true">_xlfn.NORM.S.INV(RAND())</f>
        <v>-0.479719551368273</v>
      </c>
      <c r="KE80" s="0" t="n">
        <f aca="true">_xlfn.NORM.S.INV(RAND())</f>
        <v>-0.382322656842989</v>
      </c>
      <c r="KF80" s="0" t="n">
        <f aca="true">_xlfn.NORM.S.INV(RAND())</f>
        <v>0.156944320972486</v>
      </c>
      <c r="KG80" s="0" t="n">
        <f aca="true">_xlfn.NORM.S.INV(RAND())</f>
        <v>2.43293374423069</v>
      </c>
      <c r="KH80" s="0" t="n">
        <f aca="true">_xlfn.NORM.S.INV(RAND())</f>
        <v>-0.150810735368483</v>
      </c>
      <c r="KI80" s="0" t="n">
        <f aca="true">_xlfn.NORM.S.INV(RAND())</f>
        <v>-0.889010509592413</v>
      </c>
      <c r="KJ80" s="0" t="n">
        <f aca="true">_xlfn.NORM.S.INV(RAND())</f>
        <v>0.663460754012576</v>
      </c>
      <c r="KK80" s="0" t="n">
        <f aca="true">_xlfn.NORM.S.INV(RAND())</f>
        <v>-0.453864011291273</v>
      </c>
      <c r="KL80" s="0" t="n">
        <f aca="true">_xlfn.NORM.S.INV(RAND())</f>
        <v>0.805880242089405</v>
      </c>
      <c r="KM80" s="0" t="n">
        <f aca="true">_xlfn.NORM.S.INV(RAND())</f>
        <v>0.209768469713294</v>
      </c>
      <c r="KN80" s="0" t="n">
        <f aca="true">_xlfn.NORM.S.INV(RAND())</f>
        <v>-0.445588662370021</v>
      </c>
      <c r="KO80" s="0" t="n">
        <f aca="true">_xlfn.NORM.S.INV(RAND())</f>
        <v>0.816557082362993</v>
      </c>
      <c r="KP80" s="0" t="n">
        <f aca="true">_xlfn.NORM.S.INV(RAND())</f>
        <v>-0.92068145321122</v>
      </c>
      <c r="KQ80" s="0" t="n">
        <f aca="true">_xlfn.NORM.S.INV(RAND())</f>
        <v>-0.505382312229458</v>
      </c>
      <c r="KR80" s="0" t="n">
        <f aca="true">_xlfn.NORM.S.INV(RAND())</f>
        <v>-0.626185558814658</v>
      </c>
      <c r="KS80" s="0" t="n">
        <f aca="true">_xlfn.NORM.S.INV(RAND())</f>
        <v>-1.10505372605981</v>
      </c>
      <c r="KT80" s="0" t="n">
        <f aca="true">_xlfn.NORM.S.INV(RAND())</f>
        <v>-0.527250087640542</v>
      </c>
      <c r="KU80" s="0" t="n">
        <f aca="true">_xlfn.NORM.S.INV(RAND())</f>
        <v>-0.455898143712142</v>
      </c>
      <c r="KV80" s="0" t="n">
        <f aca="true">_xlfn.NORM.S.INV(RAND())</f>
        <v>-0.305350439854335</v>
      </c>
      <c r="KW80" s="0" t="n">
        <f aca="true">_xlfn.NORM.S.INV(RAND())</f>
        <v>-0.868375899482228</v>
      </c>
      <c r="KX80" s="0" t="n">
        <f aca="true">_xlfn.NORM.S.INV(RAND())</f>
        <v>0.500772853194118</v>
      </c>
      <c r="KY80" s="0" t="n">
        <f aca="true">_xlfn.NORM.S.INV(RAND())</f>
        <v>0.544453253454524</v>
      </c>
      <c r="KZ80" s="0" t="n">
        <f aca="true">_xlfn.NORM.S.INV(RAND())</f>
        <v>-1.02749352188929</v>
      </c>
      <c r="LA80" s="0" t="n">
        <f aca="true">_xlfn.NORM.S.INV(RAND())</f>
        <v>0.734933929702068</v>
      </c>
      <c r="LB80" s="0" t="n">
        <f aca="true">_xlfn.NORM.S.INV(RAND())</f>
        <v>2.15463834452285</v>
      </c>
      <c r="LC80" s="0" t="n">
        <f aca="true">_xlfn.NORM.S.INV(RAND())</f>
        <v>0.551104450852405</v>
      </c>
      <c r="LD80" s="0" t="n">
        <f aca="true">_xlfn.NORM.S.INV(RAND())</f>
        <v>-1.83045098030743</v>
      </c>
      <c r="LE80" s="0" t="n">
        <f aca="true">_xlfn.NORM.S.INV(RAND())</f>
        <v>-0.689848808066911</v>
      </c>
      <c r="LF80" s="0" t="n">
        <f aca="true">_xlfn.NORM.S.INV(RAND())</f>
        <v>-1.0880727268272</v>
      </c>
      <c r="LG80" s="0" t="n">
        <f aca="true">_xlfn.NORM.S.INV(RAND())</f>
        <v>0.548013270540236</v>
      </c>
      <c r="LH80" s="0" t="n">
        <f aca="true">_xlfn.NORM.S.INV(RAND())</f>
        <v>-1.38759394805044</v>
      </c>
      <c r="LI80" s="0" t="n">
        <f aca="true">_xlfn.NORM.S.INV(RAND())</f>
        <v>0.648626972775123</v>
      </c>
      <c r="LJ80" s="0" t="n">
        <f aca="true">_xlfn.NORM.S.INV(RAND())</f>
        <v>-1.65829391707535</v>
      </c>
      <c r="LK80" s="0" t="n">
        <f aca="true">_xlfn.NORM.S.INV(RAND())</f>
        <v>0.724798529322603</v>
      </c>
      <c r="LL80" s="0" t="n">
        <f aca="true">_xlfn.NORM.S.INV(RAND())</f>
        <v>0.308694889857935</v>
      </c>
      <c r="LM80" s="0" t="n">
        <f aca="true">_xlfn.NORM.S.INV(RAND())</f>
        <v>-0.0429921276869104</v>
      </c>
      <c r="LN80" s="0" t="n">
        <f aca="true">_xlfn.NORM.S.INV(RAND())</f>
        <v>0.97483241793328</v>
      </c>
      <c r="LO80" s="0" t="n">
        <f aca="true">_xlfn.NORM.S.INV(RAND())</f>
        <v>-0.41717965696462</v>
      </c>
      <c r="LP80" s="0" t="n">
        <f aca="true">_xlfn.NORM.S.INV(RAND())</f>
        <v>0.616104510806232</v>
      </c>
      <c r="LQ80" s="0" t="n">
        <f aca="true">_xlfn.NORM.S.INV(RAND())</f>
        <v>-0.295142821055702</v>
      </c>
      <c r="LR80" s="0" t="n">
        <f aca="true">_xlfn.NORM.S.INV(RAND())</f>
        <v>-1.27592308773431</v>
      </c>
      <c r="LS80" s="0" t="n">
        <f aca="true">_xlfn.NORM.S.INV(RAND())</f>
        <v>-0.110815640553682</v>
      </c>
      <c r="LT80" s="0" t="n">
        <f aca="true">_xlfn.NORM.S.INV(RAND())</f>
        <v>0.870438565675744</v>
      </c>
      <c r="LU80" s="0" t="n">
        <f aca="true">_xlfn.NORM.S.INV(RAND())</f>
        <v>0.283821817912978</v>
      </c>
      <c r="LV80" s="0" t="n">
        <f aca="true">_xlfn.NORM.S.INV(RAND())</f>
        <v>-1.17788052513442</v>
      </c>
      <c r="LW80" s="0" t="n">
        <f aca="true">_xlfn.NORM.S.INV(RAND())</f>
        <v>0.562260295260786</v>
      </c>
      <c r="LX80" s="0" t="n">
        <f aca="true">_xlfn.NORM.S.INV(RAND())</f>
        <v>-0.0775034434419969</v>
      </c>
      <c r="LY80" s="0" t="n">
        <f aca="true">_xlfn.NORM.S.INV(RAND())</f>
        <v>-0.299726351675521</v>
      </c>
      <c r="LZ80" s="0" t="n">
        <f aca="true">_xlfn.NORM.S.INV(RAND())</f>
        <v>-0.392922334403028</v>
      </c>
      <c r="MA80" s="0" t="n">
        <f aca="true">_xlfn.NORM.S.INV(RAND())</f>
        <v>0.00245654606824078</v>
      </c>
      <c r="MB80" s="0" t="n">
        <f aca="true">_xlfn.NORM.S.INV(RAND())</f>
        <v>1.34480437813009</v>
      </c>
      <c r="MC80" s="0" t="n">
        <f aca="true">_xlfn.NORM.S.INV(RAND())</f>
        <v>0.392180750596781</v>
      </c>
      <c r="MD80" s="0" t="n">
        <f aca="true">_xlfn.NORM.S.INV(RAND())</f>
        <v>3.53229364609429</v>
      </c>
      <c r="ME80" s="0" t="n">
        <f aca="true">_xlfn.NORM.S.INV(RAND())</f>
        <v>0.703685177337191</v>
      </c>
      <c r="MF80" s="0" t="n">
        <f aca="true">_xlfn.NORM.S.INV(RAND())</f>
        <v>-0.569233354622929</v>
      </c>
      <c r="MG80" s="0" t="n">
        <f aca="true">_xlfn.NORM.S.INV(RAND())</f>
        <v>-1.28585978619166</v>
      </c>
      <c r="MH80" s="0" t="n">
        <f aca="true">_xlfn.NORM.S.INV(RAND())</f>
        <v>-0.230071272400549</v>
      </c>
      <c r="MI80" s="0" t="n">
        <f aca="true">_xlfn.NORM.S.INV(RAND())</f>
        <v>-0.234823545425079</v>
      </c>
      <c r="MJ80" s="0" t="n">
        <f aca="true">_xlfn.NORM.S.INV(RAND())</f>
        <v>0.497484761783133</v>
      </c>
      <c r="MK80" s="0" t="n">
        <f aca="true">_xlfn.NORM.S.INV(RAND())</f>
        <v>0.870105060293109</v>
      </c>
      <c r="ML80" s="0" t="n">
        <f aca="true">_xlfn.NORM.S.INV(RAND())</f>
        <v>0.78536460249254</v>
      </c>
      <c r="MM80" s="0" t="n">
        <f aca="true">_xlfn.NORM.S.INV(RAND())</f>
        <v>-0.888759794075757</v>
      </c>
      <c r="MN80" s="0" t="n">
        <f aca="true">_xlfn.NORM.S.INV(RAND())</f>
        <v>0.790345476738709</v>
      </c>
      <c r="MO80" s="0" t="n">
        <f aca="true">_xlfn.NORM.S.INV(RAND())</f>
        <v>1.01454941632324</v>
      </c>
      <c r="MP80" s="0" t="n">
        <f aca="true">_xlfn.NORM.S.INV(RAND())</f>
        <v>1.296274784946</v>
      </c>
      <c r="MQ80" s="0" t="n">
        <f aca="true">_xlfn.NORM.S.INV(RAND())</f>
        <v>-1.92797881573072</v>
      </c>
      <c r="MR80" s="0" t="n">
        <f aca="true">_xlfn.NORM.S.INV(RAND())</f>
        <v>0.222047017343482</v>
      </c>
      <c r="MS80" s="0" t="n">
        <f aca="true">_xlfn.NORM.S.INV(RAND())</f>
        <v>0.707533114498794</v>
      </c>
      <c r="MT80" s="0" t="n">
        <f aca="true">_xlfn.NORM.S.INV(RAND())</f>
        <v>-0.0559654996351947</v>
      </c>
      <c r="MU80" s="0" t="n">
        <f aca="true">_xlfn.NORM.S.INV(RAND())</f>
        <v>-0.279955879837787</v>
      </c>
      <c r="MV80" s="0" t="n">
        <f aca="true">_xlfn.NORM.S.INV(RAND())</f>
        <v>1.50903543959351</v>
      </c>
      <c r="MW80" s="0" t="n">
        <f aca="true">_xlfn.NORM.S.INV(RAND())</f>
        <v>-0.232862492167948</v>
      </c>
      <c r="MX80" s="0" t="n">
        <f aca="true">_xlfn.NORM.S.INV(RAND())</f>
        <v>-1.14404671842199</v>
      </c>
      <c r="MY80" s="0" t="n">
        <f aca="true">_xlfn.NORM.S.INV(RAND())</f>
        <v>0.342359075811497</v>
      </c>
      <c r="MZ80" s="0" t="n">
        <f aca="true">_xlfn.NORM.S.INV(RAND())</f>
        <v>0.123017394700183</v>
      </c>
      <c r="NA80" s="0" t="n">
        <f aca="true">_xlfn.NORM.S.INV(RAND())</f>
        <v>1.534123820743</v>
      </c>
      <c r="NB80" s="0" t="n">
        <f aca="true">_xlfn.NORM.S.INV(RAND())</f>
        <v>1.41978043395854</v>
      </c>
      <c r="NC80" s="0" t="n">
        <f aca="true">_xlfn.NORM.S.INV(RAND())</f>
        <v>0.622657217099141</v>
      </c>
      <c r="ND80" s="0" t="n">
        <f aca="true">_xlfn.NORM.S.INV(RAND())</f>
        <v>0.613276185897111</v>
      </c>
      <c r="NE80" s="0" t="n">
        <f aca="true">_xlfn.NORM.S.INV(RAND())</f>
        <v>2.12104327039474</v>
      </c>
      <c r="NF80" s="0" t="n">
        <f aca="true">_xlfn.NORM.S.INV(RAND())</f>
        <v>0.139015095472822</v>
      </c>
      <c r="NG80" s="0" t="n">
        <f aca="true">_xlfn.NORM.S.INV(RAND())</f>
        <v>-0.55350277361097</v>
      </c>
      <c r="NH80" s="0" t="n">
        <f aca="true">_xlfn.NORM.S.INV(RAND())</f>
        <v>-0.247423182593696</v>
      </c>
      <c r="NI80" s="0" t="n">
        <f aca="true">_xlfn.NORM.S.INV(RAND())</f>
        <v>-1.65536778456788</v>
      </c>
      <c r="NJ80" s="0" t="n">
        <f aca="true">_xlfn.NORM.S.INV(RAND())</f>
        <v>-0.218660204017265</v>
      </c>
      <c r="NK80" s="0" t="n">
        <f aca="true">_xlfn.NORM.S.INV(RAND())</f>
        <v>0.651977855874087</v>
      </c>
      <c r="NL80" s="0" t="n">
        <f aca="true">_xlfn.NORM.S.INV(RAND())</f>
        <v>0.863046884779447</v>
      </c>
      <c r="NM80" s="0" t="n">
        <f aca="true">_xlfn.NORM.S.INV(RAND())</f>
        <v>1.27815368445073</v>
      </c>
      <c r="NN80" s="0" t="n">
        <f aca="true">_xlfn.NORM.S.INV(RAND())</f>
        <v>1.28026247775286</v>
      </c>
      <c r="NO80" s="0" t="n">
        <f aca="true">_xlfn.NORM.S.INV(RAND())</f>
        <v>-1.24249683544885</v>
      </c>
      <c r="NP80" s="0" t="n">
        <f aca="true">_xlfn.NORM.S.INV(RAND())</f>
        <v>0.766412270481574</v>
      </c>
      <c r="NQ80" s="0" t="n">
        <f aca="true">_xlfn.NORM.S.INV(RAND())</f>
        <v>-0.411617270448759</v>
      </c>
      <c r="NR80" s="0" t="n">
        <f aca="true">_xlfn.NORM.S.INV(RAND())</f>
        <v>0.589217568235062</v>
      </c>
      <c r="NS80" s="0" t="n">
        <f aca="true">_xlfn.NORM.S.INV(RAND())</f>
        <v>-0.96763482219122</v>
      </c>
      <c r="NT80" s="0" t="n">
        <f aca="true">_xlfn.NORM.S.INV(RAND())</f>
        <v>-2.60090741909184</v>
      </c>
      <c r="NU80" s="0" t="n">
        <f aca="true">_xlfn.NORM.S.INV(RAND())</f>
        <v>-1.46474356083738</v>
      </c>
      <c r="NV80" s="0" t="n">
        <f aca="true">_xlfn.NORM.S.INV(RAND())</f>
        <v>-0.249385664731927</v>
      </c>
      <c r="NW80" s="0" t="n">
        <f aca="true">_xlfn.NORM.S.INV(RAND())</f>
        <v>-0.630589512013128</v>
      </c>
      <c r="NX80" s="0" t="n">
        <f aca="true">_xlfn.NORM.S.INV(RAND())</f>
        <v>-0.2427063071804</v>
      </c>
      <c r="NY80" s="0" t="n">
        <f aca="true">_xlfn.NORM.S.INV(RAND())</f>
        <v>0.0676796952128966</v>
      </c>
      <c r="NZ80" s="0" t="n">
        <f aca="true">_xlfn.NORM.S.INV(RAND())</f>
        <v>0.566348201071737</v>
      </c>
      <c r="OA80" s="0" t="n">
        <f aca="true">_xlfn.NORM.S.INV(RAND())</f>
        <v>0.630656259754796</v>
      </c>
      <c r="OB80" s="0" t="n">
        <f aca="true">_xlfn.NORM.S.INV(RAND())</f>
        <v>0.138086071977118</v>
      </c>
      <c r="OC80" s="0" t="n">
        <f aca="true">_xlfn.NORM.S.INV(RAND())</f>
        <v>0.210162550974518</v>
      </c>
      <c r="OD80" s="0" t="n">
        <f aca="true">_xlfn.NORM.S.INV(RAND())</f>
        <v>0.226102305272048</v>
      </c>
      <c r="OE80" s="0" t="n">
        <f aca="true">_xlfn.NORM.S.INV(RAND())</f>
        <v>-0.26080406576147</v>
      </c>
      <c r="OF80" s="0" t="n">
        <f aca="true">_xlfn.NORM.S.INV(RAND())</f>
        <v>0.336455909531664</v>
      </c>
      <c r="OG80" s="0" t="n">
        <f aca="true">_xlfn.NORM.S.INV(RAND())</f>
        <v>1.16004796977521</v>
      </c>
      <c r="OH80" s="0" t="n">
        <f aca="true">_xlfn.NORM.S.INV(RAND())</f>
        <v>-0.393289744809712</v>
      </c>
      <c r="OI80" s="0" t="n">
        <f aca="true">_xlfn.NORM.S.INV(RAND())</f>
        <v>-0.111276992387634</v>
      </c>
      <c r="OJ80" s="0" t="n">
        <f aca="true">_xlfn.NORM.S.INV(RAND())</f>
        <v>-1.81286212230205</v>
      </c>
      <c r="OK80" s="0" t="n">
        <f aca="true">_xlfn.NORM.S.INV(RAND())</f>
        <v>0.173404370658336</v>
      </c>
      <c r="OL80" s="0" t="n">
        <f aca="true">_xlfn.NORM.S.INV(RAND())</f>
        <v>0.331132125736677</v>
      </c>
      <c r="OM80" s="0" t="n">
        <f aca="true">_xlfn.NORM.S.INV(RAND())</f>
        <v>-0.600335444508832</v>
      </c>
      <c r="ON80" s="0" t="n">
        <f aca="true">_xlfn.NORM.S.INV(RAND())</f>
        <v>0.763048535843118</v>
      </c>
      <c r="OO80" s="0" t="n">
        <f aca="true">_xlfn.NORM.S.INV(RAND())</f>
        <v>1.74370607486004</v>
      </c>
      <c r="OP80" s="0" t="n">
        <f aca="true">_xlfn.NORM.S.INV(RAND())</f>
        <v>-0.328968064150539</v>
      </c>
      <c r="OQ80" s="0" t="n">
        <f aca="true">_xlfn.NORM.S.INV(RAND())</f>
        <v>0.517923926498908</v>
      </c>
      <c r="OR80" s="0" t="n">
        <f aca="true">_xlfn.NORM.S.INV(RAND())</f>
        <v>-0.174153080433606</v>
      </c>
      <c r="OS80" s="0" t="n">
        <f aca="true">_xlfn.NORM.S.INV(RAND())</f>
        <v>-1.53741209107376</v>
      </c>
      <c r="OT80" s="0" t="n">
        <f aca="true">_xlfn.NORM.S.INV(RAND())</f>
        <v>1.48408090836011</v>
      </c>
      <c r="OU80" s="0" t="n">
        <f aca="true">_xlfn.NORM.S.INV(RAND())</f>
        <v>-0.00290188529667002</v>
      </c>
      <c r="OV80" s="0" t="n">
        <f aca="true">_xlfn.NORM.S.INV(RAND())</f>
        <v>-0.496130411257905</v>
      </c>
      <c r="OW80" s="0" t="n">
        <f aca="true">_xlfn.NORM.S.INV(RAND())</f>
        <v>-0.127658972397851</v>
      </c>
      <c r="OX80" s="0" t="n">
        <f aca="true">_xlfn.NORM.S.INV(RAND())</f>
        <v>-0.822601387969218</v>
      </c>
      <c r="OY80" s="0" t="n">
        <f aca="true">_xlfn.NORM.S.INV(RAND())</f>
        <v>0.467094689490546</v>
      </c>
      <c r="OZ80" s="0" t="n">
        <f aca="true">_xlfn.NORM.S.INV(RAND())</f>
        <v>1.52840955237464</v>
      </c>
      <c r="PA80" s="0" t="n">
        <f aca="true">_xlfn.NORM.S.INV(RAND())</f>
        <v>-1.93767554136456</v>
      </c>
      <c r="PB80" s="0" t="n">
        <f aca="true">_xlfn.NORM.S.INV(RAND())</f>
        <v>0.487433392773584</v>
      </c>
      <c r="PC80" s="0" t="n">
        <f aca="true">_xlfn.NORM.S.INV(RAND())</f>
        <v>0.836503010421916</v>
      </c>
      <c r="PD80" s="0" t="n">
        <f aca="true">_xlfn.NORM.S.INV(RAND())</f>
        <v>-0.750186236270009</v>
      </c>
      <c r="PE80" s="0" t="n">
        <f aca="true">_xlfn.NORM.S.INV(RAND())</f>
        <v>0.510967308928087</v>
      </c>
      <c r="PF80" s="0" t="n">
        <f aca="true">_xlfn.NORM.S.INV(RAND())</f>
        <v>0.159927414688731</v>
      </c>
      <c r="PG80" s="0" t="n">
        <f aca="true">_xlfn.NORM.S.INV(RAND())</f>
        <v>0.672433166276816</v>
      </c>
      <c r="PH80" s="0" t="n">
        <f aca="true">_xlfn.NORM.S.INV(RAND())</f>
        <v>0.0142849083004907</v>
      </c>
      <c r="PI80" s="0" t="n">
        <f aca="true">_xlfn.NORM.S.INV(RAND())</f>
        <v>-0.98502247780966</v>
      </c>
      <c r="PJ80" s="0" t="n">
        <f aca="true">_xlfn.NORM.S.INV(RAND())</f>
        <v>-0.889451663439467</v>
      </c>
      <c r="PK80" s="0" t="n">
        <f aca="true">_xlfn.NORM.S.INV(RAND())</f>
        <v>0.768119854535733</v>
      </c>
      <c r="PL80" s="0" t="n">
        <f aca="true">_xlfn.NORM.S.INV(RAND())</f>
        <v>0.621280318253058</v>
      </c>
      <c r="PM80" s="0" t="n">
        <f aca="true">_xlfn.NORM.S.INV(RAND())</f>
        <v>-0.484612693483469</v>
      </c>
      <c r="PN80" s="0" t="n">
        <f aca="true">_xlfn.NORM.S.INV(RAND())</f>
        <v>1.68841987303665</v>
      </c>
      <c r="PO80" s="0" t="n">
        <f aca="true">_xlfn.NORM.S.INV(RAND())</f>
        <v>0.44673731287454</v>
      </c>
      <c r="PP80" s="0" t="n">
        <f aca="true">_xlfn.NORM.S.INV(RAND())</f>
        <v>-0.307549048991998</v>
      </c>
      <c r="PQ80" s="0" t="n">
        <f aca="true">_xlfn.NORM.S.INV(RAND())</f>
        <v>0.682723651283427</v>
      </c>
      <c r="PR80" s="0" t="n">
        <f aca="true">_xlfn.NORM.S.INV(RAND())</f>
        <v>0.989534480583315</v>
      </c>
      <c r="PS80" s="0" t="n">
        <f aca="true">_xlfn.NORM.S.INV(RAND())</f>
        <v>2.03478576537453</v>
      </c>
      <c r="PT80" s="0" t="n">
        <f aca="true">_xlfn.NORM.S.INV(RAND())</f>
        <v>-0.339290606381111</v>
      </c>
      <c r="PU80" s="0" t="n">
        <f aca="true">_xlfn.NORM.S.INV(RAND())</f>
        <v>0.393094937643272</v>
      </c>
      <c r="PV80" s="0" t="n">
        <f aca="true">_xlfn.NORM.S.INV(RAND())</f>
        <v>0.381091513727142</v>
      </c>
      <c r="PW80" s="0" t="n">
        <f aca="true">_xlfn.NORM.S.INV(RAND())</f>
        <v>-0.900855671761234</v>
      </c>
      <c r="PX80" s="0" t="n">
        <f aca="true">_xlfn.NORM.S.INV(RAND())</f>
        <v>1.57763369497319</v>
      </c>
      <c r="PY80" s="0" t="n">
        <f aca="true">_xlfn.NORM.S.INV(RAND())</f>
        <v>-1.48546882186441</v>
      </c>
      <c r="PZ80" s="0" t="n">
        <f aca="true">_xlfn.NORM.S.INV(RAND())</f>
        <v>-1.28660798469184</v>
      </c>
      <c r="QA80" s="0" t="n">
        <f aca="true">_xlfn.NORM.S.INV(RAND())</f>
        <v>0.210458569301073</v>
      </c>
      <c r="QB80" s="0" t="n">
        <f aca="true">_xlfn.NORM.S.INV(RAND())</f>
        <v>-0.8080518778985</v>
      </c>
      <c r="QC80" s="0" t="n">
        <f aca="true">_xlfn.NORM.S.INV(RAND())</f>
        <v>0.908914817392889</v>
      </c>
      <c r="QD80" s="0" t="n">
        <f aca="true">_xlfn.NORM.S.INV(RAND())</f>
        <v>-0.227543217520063</v>
      </c>
      <c r="QE80" s="0" t="n">
        <f aca="true">_xlfn.NORM.S.INV(RAND())</f>
        <v>0.57363225583754</v>
      </c>
      <c r="QF80" s="0" t="n">
        <f aca="true">_xlfn.NORM.S.INV(RAND())</f>
        <v>1.31329360878129</v>
      </c>
      <c r="QG80" s="0" t="n">
        <f aca="true">_xlfn.NORM.S.INV(RAND())</f>
        <v>0.611203289439527</v>
      </c>
      <c r="QH80" s="0" t="n">
        <f aca="true">_xlfn.NORM.S.INV(RAND())</f>
        <v>-0.504163700124146</v>
      </c>
      <c r="QI80" s="0" t="n">
        <f aca="true">_xlfn.NORM.S.INV(RAND())</f>
        <v>-0.213063587611489</v>
      </c>
      <c r="QJ80" s="0" t="n">
        <f aca="true">_xlfn.NORM.S.INV(RAND())</f>
        <v>-1.14237047069214</v>
      </c>
      <c r="QK80" s="0" t="n">
        <f aca="true">_xlfn.NORM.S.INV(RAND())</f>
        <v>-0.189437295319673</v>
      </c>
      <c r="QL80" s="0" t="n">
        <f aca="true">_xlfn.NORM.S.INV(RAND())</f>
        <v>-1.60934904651371</v>
      </c>
      <c r="QM80" s="0" t="n">
        <f aca="true">_xlfn.NORM.S.INV(RAND())</f>
        <v>-0.0873810800358162</v>
      </c>
      <c r="QN80" s="0" t="n">
        <f aca="true">_xlfn.NORM.S.INV(RAND())</f>
        <v>0.291146633230557</v>
      </c>
      <c r="QO80" s="0" t="n">
        <f aca="true">_xlfn.NORM.S.INV(RAND())</f>
        <v>-0.0474563881071461</v>
      </c>
      <c r="QP80" s="0" t="n">
        <f aca="true">_xlfn.NORM.S.INV(RAND())</f>
        <v>-1.53860133454039</v>
      </c>
      <c r="QQ80" s="0" t="n">
        <f aca="true">_xlfn.NORM.S.INV(RAND())</f>
        <v>0.147275823755562</v>
      </c>
      <c r="QR80" s="0" t="n">
        <f aca="true">_xlfn.NORM.S.INV(RAND())</f>
        <v>-0.682947607634262</v>
      </c>
      <c r="QS80" s="0" t="n">
        <f aca="true">_xlfn.NORM.S.INV(RAND())</f>
        <v>-1.45509306577834</v>
      </c>
      <c r="QT80" s="0" t="n">
        <f aca="true">_xlfn.NORM.S.INV(RAND())</f>
        <v>-0.941612133845986</v>
      </c>
      <c r="QU80" s="0" t="n">
        <f aca="true">_xlfn.NORM.S.INV(RAND())</f>
        <v>0.0167763488617052</v>
      </c>
      <c r="QV80" s="0" t="n">
        <f aca="true">_xlfn.NORM.S.INV(RAND())</f>
        <v>0.267302537234296</v>
      </c>
      <c r="QW80" s="0" t="n">
        <f aca="true">_xlfn.NORM.S.INV(RAND())</f>
        <v>1.01294892600863</v>
      </c>
      <c r="QX80" s="0" t="n">
        <f aca="true">_xlfn.NORM.S.INV(RAND())</f>
        <v>3.03458467191445</v>
      </c>
      <c r="QY80" s="0" t="n">
        <f aca="true">_xlfn.NORM.S.INV(RAND())</f>
        <v>1.14019586041019</v>
      </c>
      <c r="QZ80" s="0" t="n">
        <f aca="true">_xlfn.NORM.S.INV(RAND())</f>
        <v>-0.243906281188397</v>
      </c>
      <c r="RA80" s="0" t="n">
        <f aca="true">_xlfn.NORM.S.INV(RAND())</f>
        <v>0.972467166602872</v>
      </c>
      <c r="RB80" s="0" t="n">
        <f aca="true">_xlfn.NORM.S.INV(RAND())</f>
        <v>-0.0972451087081351</v>
      </c>
      <c r="RC80" s="0" t="n">
        <f aca="true">_xlfn.NORM.S.INV(RAND())</f>
        <v>-0.775517325255023</v>
      </c>
      <c r="RD80" s="0" t="n">
        <f aca="true">_xlfn.NORM.S.INV(RAND())</f>
        <v>-1.10204023691433</v>
      </c>
      <c r="RE80" s="0" t="n">
        <f aca="true">_xlfn.NORM.S.INV(RAND())</f>
        <v>-0.739058556255346</v>
      </c>
      <c r="RF80" s="0" t="n">
        <f aca="true">_xlfn.NORM.S.INV(RAND())</f>
        <v>-0.510820716640895</v>
      </c>
      <c r="RG80" s="0" t="n">
        <f aca="true">_xlfn.NORM.S.INV(RAND())</f>
        <v>-0.962017294076189</v>
      </c>
      <c r="RH80" s="0" t="n">
        <f aca="true">_xlfn.NORM.S.INV(RAND())</f>
        <v>-0.400914776024975</v>
      </c>
      <c r="RI80" s="0" t="n">
        <f aca="true">_xlfn.NORM.S.INV(RAND())</f>
        <v>-0.829105093095145</v>
      </c>
      <c r="RJ80" s="0" t="n">
        <f aca="true">_xlfn.NORM.S.INV(RAND())</f>
        <v>-1.09826952782231</v>
      </c>
      <c r="RK80" s="0" t="n">
        <f aca="true">_xlfn.NORM.S.INV(RAND())</f>
        <v>1.55253070177054</v>
      </c>
      <c r="RL80" s="0" t="n">
        <f aca="true">_xlfn.NORM.S.INV(RAND())</f>
        <v>1.65861827434599</v>
      </c>
      <c r="RM80" s="0" t="n">
        <f aca="true">_xlfn.NORM.S.INV(RAND())</f>
        <v>-1.5032044281571</v>
      </c>
      <c r="RN80" s="0" t="n">
        <f aca="true">_xlfn.NORM.S.INV(RAND())</f>
        <v>-0.539627269278698</v>
      </c>
      <c r="RO80" s="0" t="n">
        <f aca="true">_xlfn.NORM.S.INV(RAND())</f>
        <v>1.41175411102395</v>
      </c>
      <c r="RP80" s="0" t="n">
        <f aca="true">_xlfn.NORM.S.INV(RAND())</f>
        <v>-0.398320640990988</v>
      </c>
      <c r="RQ80" s="0" t="n">
        <f aca="true">_xlfn.NORM.S.INV(RAND())</f>
        <v>0.540853269838636</v>
      </c>
      <c r="RR80" s="0" t="n">
        <f aca="true">_xlfn.NORM.S.INV(RAND())</f>
        <v>1.14275291756493</v>
      </c>
      <c r="RS80" s="0" t="n">
        <f aca="true">_xlfn.NORM.S.INV(RAND())</f>
        <v>-0.037412573608776</v>
      </c>
      <c r="RT80" s="0" t="n">
        <f aca="true">_xlfn.NORM.S.INV(RAND())</f>
        <v>-0.546958534294753</v>
      </c>
      <c r="RU80" s="0" t="n">
        <f aca="true">_xlfn.NORM.S.INV(RAND())</f>
        <v>0.879067792975893</v>
      </c>
      <c r="RV80" s="0" t="n">
        <f aca="true">_xlfn.NORM.S.INV(RAND())</f>
        <v>1.5417155257715</v>
      </c>
      <c r="RW80" s="0" t="n">
        <f aca="true">_xlfn.NORM.S.INV(RAND())</f>
        <v>0.208372621802082</v>
      </c>
      <c r="RX80" s="0" t="n">
        <f aca="true">_xlfn.NORM.S.INV(RAND())</f>
        <v>0.883998481759313</v>
      </c>
      <c r="RY80" s="0" t="n">
        <f aca="true">_xlfn.NORM.S.INV(RAND())</f>
        <v>-0.497819196121799</v>
      </c>
      <c r="RZ80" s="0" t="n">
        <f aca="true">_xlfn.NORM.S.INV(RAND())</f>
        <v>-0.285575131099701</v>
      </c>
      <c r="SA80" s="0" t="n">
        <f aca="true">_xlfn.NORM.S.INV(RAND())</f>
        <v>0.710639735687819</v>
      </c>
      <c r="SB80" s="0" t="n">
        <f aca="true">_xlfn.NORM.S.INV(RAND())</f>
        <v>-0.148292404488564</v>
      </c>
      <c r="SC80" s="0" t="n">
        <f aca="true">_xlfn.NORM.S.INV(RAND())</f>
        <v>1.34121202924899</v>
      </c>
      <c r="SD80" s="0" t="n">
        <f aca="true">_xlfn.NORM.S.INV(RAND())</f>
        <v>-0.949101211285742</v>
      </c>
      <c r="SE80" s="0" t="n">
        <f aca="true">_xlfn.NORM.S.INV(RAND())</f>
        <v>-0.478963053211767</v>
      </c>
      <c r="SF80" s="0" t="n">
        <f aca="true">_xlfn.NORM.S.INV(RAND())</f>
        <v>0.0208739825203843</v>
      </c>
      <c r="SG80" s="0" t="n">
        <f aca="true">_xlfn.NORM.S.INV(RAND())</f>
        <v>-0.286554348895512</v>
      </c>
      <c r="SH80" s="0" t="n">
        <f aca="true">_xlfn.NORM.S.INV(RAND())</f>
        <v>0.9864498155235</v>
      </c>
      <c r="SI80" s="0" t="n">
        <f aca="true">_xlfn.NORM.S.INV(RAND())</f>
        <v>-0.13299254125911</v>
      </c>
      <c r="SJ80" s="0" t="n">
        <f aca="true">_xlfn.NORM.S.INV(RAND())</f>
        <v>1.05575152008712</v>
      </c>
      <c r="SK80" s="0" t="n">
        <f aca="true">_xlfn.NORM.S.INV(RAND())</f>
        <v>-0.744080090891982</v>
      </c>
      <c r="SL80" s="0" t="n">
        <f aca="true">_xlfn.NORM.S.INV(RAND())</f>
        <v>-0.282240043326449</v>
      </c>
      <c r="SM80" s="0" t="n">
        <f aca="true">_xlfn.NORM.S.INV(RAND())</f>
        <v>0.155993055831138</v>
      </c>
      <c r="SN80" s="0" t="n">
        <f aca="true">_xlfn.NORM.S.INV(RAND())</f>
        <v>-1.69647181565897</v>
      </c>
      <c r="SO80" s="0" t="n">
        <f aca="true">_xlfn.NORM.S.INV(RAND())</f>
        <v>-0.578758622881602</v>
      </c>
      <c r="SP80" s="0" t="n">
        <f aca="true">_xlfn.NORM.S.INV(RAND())</f>
        <v>-0.694792207925666</v>
      </c>
      <c r="SQ80" s="0" t="n">
        <f aca="true">_xlfn.NORM.S.INV(RAND())</f>
        <v>0.610413755925193</v>
      </c>
      <c r="SR80" s="0" t="n">
        <f aca="true">_xlfn.NORM.S.INV(RAND())</f>
        <v>-0.902639392201704</v>
      </c>
      <c r="SS80" s="0" t="n">
        <f aca="true">_xlfn.NORM.S.INV(RAND())</f>
        <v>0.370099934980298</v>
      </c>
      <c r="ST80" s="0" t="n">
        <f aca="true">_xlfn.NORM.S.INV(RAND())</f>
        <v>0.106072879961181</v>
      </c>
      <c r="SU80" s="0" t="n">
        <f aca="true">_xlfn.NORM.S.INV(RAND())</f>
        <v>-1.2598196468966</v>
      </c>
      <c r="SV80" s="0" t="n">
        <f aca="true">_xlfn.NORM.S.INV(RAND())</f>
        <v>-0.874055154706775</v>
      </c>
      <c r="SW80" s="0" t="n">
        <f aca="true">_xlfn.NORM.S.INV(RAND())</f>
        <v>1.5617129775259</v>
      </c>
      <c r="SX80" s="0" t="n">
        <f aca="true">_xlfn.NORM.S.INV(RAND())</f>
        <v>0.974013585898478</v>
      </c>
      <c r="SY80" s="0" t="n">
        <f aca="true">_xlfn.NORM.S.INV(RAND())</f>
        <v>0.600375432894055</v>
      </c>
      <c r="SZ80" s="0" t="n">
        <f aca="true">_xlfn.NORM.S.INV(RAND())</f>
        <v>1.3039162327039</v>
      </c>
      <c r="TA80" s="0" t="n">
        <f aca="true">_xlfn.NORM.S.INV(RAND())</f>
        <v>-1.07553858025893</v>
      </c>
      <c r="TB80" s="0" t="n">
        <f aca="true">_xlfn.NORM.S.INV(RAND())</f>
        <v>0.0880249849363085</v>
      </c>
      <c r="TC80" s="0" t="n">
        <f aca="true">_xlfn.NORM.S.INV(RAND())</f>
        <v>-0.703423507529308</v>
      </c>
      <c r="TD80" s="0" t="n">
        <f aca="true">_xlfn.NORM.S.INV(RAND())</f>
        <v>1.50448859860699</v>
      </c>
      <c r="TE80" s="0" t="n">
        <f aca="true">_xlfn.NORM.S.INV(RAND())</f>
        <v>-2.1495159885982</v>
      </c>
      <c r="TF80" s="0" t="n">
        <f aca="true">_xlfn.NORM.S.INV(RAND())</f>
        <v>0.136107321154538</v>
      </c>
      <c r="TG80" s="0" t="n">
        <f aca="true">_xlfn.NORM.S.INV(RAND())</f>
        <v>-0.0791968665201813</v>
      </c>
      <c r="TH80" s="0" t="n">
        <f aca="true">_xlfn.NORM.S.INV(RAND())</f>
        <v>-0.385255163199408</v>
      </c>
      <c r="TI80" s="0" t="n">
        <f aca="true">_xlfn.NORM.S.INV(RAND())</f>
        <v>1.50514040573596</v>
      </c>
      <c r="TJ80" s="0" t="n">
        <f aca="true">_xlfn.NORM.S.INV(RAND())</f>
        <v>-1.42153261274971</v>
      </c>
      <c r="TK80" s="0" t="n">
        <f aca="true">_xlfn.NORM.S.INV(RAND())</f>
        <v>0.813587742863883</v>
      </c>
      <c r="TL80" s="0" t="n">
        <f aca="true">_xlfn.NORM.S.INV(RAND())</f>
        <v>-2.34598529689337</v>
      </c>
      <c r="TM80" s="0" t="n">
        <f aca="true">_xlfn.NORM.S.INV(RAND())</f>
        <v>0.630928035585604</v>
      </c>
      <c r="TN80" s="0" t="n">
        <f aca="true">_xlfn.NORM.S.INV(RAND())</f>
        <v>0.207082984300258</v>
      </c>
      <c r="TO80" s="0" t="n">
        <f aca="true">_xlfn.NORM.S.INV(RAND())</f>
        <v>0.477141266048805</v>
      </c>
      <c r="TP80" s="0" t="n">
        <f aca="true">_xlfn.NORM.S.INV(RAND())</f>
        <v>-0.442913367998889</v>
      </c>
      <c r="TQ80" s="0" t="n">
        <f aca="true">_xlfn.NORM.S.INV(RAND())</f>
        <v>-1.88831500419106</v>
      </c>
      <c r="TR80" s="0" t="n">
        <f aca="true">_xlfn.NORM.S.INV(RAND())</f>
        <v>1.7939393563804</v>
      </c>
      <c r="TS80" s="0" t="n">
        <f aca="true">_xlfn.NORM.S.INV(RAND())</f>
        <v>1.25047179319649</v>
      </c>
      <c r="TT80" s="0" t="n">
        <f aca="true">_xlfn.NORM.S.INV(RAND())</f>
        <v>-0.251529760357161</v>
      </c>
      <c r="TU80" s="0" t="n">
        <f aca="true">_xlfn.NORM.S.INV(RAND())</f>
        <v>0.366314831184098</v>
      </c>
      <c r="TV80" s="0" t="n">
        <f aca="true">_xlfn.NORM.S.INV(RAND())</f>
        <v>0.246771175952731</v>
      </c>
      <c r="TW80" s="0" t="n">
        <f aca="true">_xlfn.NORM.S.INV(RAND())</f>
        <v>0.551925375399081</v>
      </c>
      <c r="TX80" s="0" t="n">
        <f aca="true">_xlfn.NORM.S.INV(RAND())</f>
        <v>0.691982717258861</v>
      </c>
      <c r="TY80" s="0" t="n">
        <f aca="true">_xlfn.NORM.S.INV(RAND())</f>
        <v>2.16525093720191</v>
      </c>
      <c r="TZ80" s="0" t="n">
        <f aca="true">_xlfn.NORM.S.INV(RAND())</f>
        <v>-0.550442322311658</v>
      </c>
      <c r="UA80" s="0" t="n">
        <f aca="true">_xlfn.NORM.S.INV(RAND())</f>
        <v>-0.252960980324095</v>
      </c>
      <c r="UB80" s="0" t="n">
        <f aca="true">_xlfn.NORM.S.INV(RAND())</f>
        <v>0.79734629420213</v>
      </c>
      <c r="UC80" s="0" t="n">
        <f aca="true">_xlfn.NORM.S.INV(RAND())</f>
        <v>-1.43274004190429</v>
      </c>
      <c r="UD80" s="0" t="n">
        <f aca="true">_xlfn.NORM.S.INV(RAND())</f>
        <v>-1.21460635113511</v>
      </c>
      <c r="UE80" s="0" t="n">
        <f aca="true">_xlfn.NORM.S.INV(RAND())</f>
        <v>0.0116306945745593</v>
      </c>
      <c r="UF80" s="0" t="n">
        <f aca="true">_xlfn.NORM.S.INV(RAND())</f>
        <v>-0.170638480069088</v>
      </c>
      <c r="UG80" s="0" t="n">
        <f aca="true">_xlfn.NORM.S.INV(RAND())</f>
        <v>0.00823623071259461</v>
      </c>
      <c r="UH80" s="0" t="n">
        <f aca="true">_xlfn.NORM.S.INV(RAND())</f>
        <v>-0.170406062181931</v>
      </c>
      <c r="UI80" s="0" t="n">
        <f aca="true">_xlfn.NORM.S.INV(RAND())</f>
        <v>0.17253188102562</v>
      </c>
      <c r="UJ80" s="0" t="n">
        <f aca="true">_xlfn.NORM.S.INV(RAND())</f>
        <v>-0.277381262026369</v>
      </c>
      <c r="UK80" s="0" t="n">
        <f aca="true">_xlfn.NORM.S.INV(RAND())</f>
        <v>0.734098048701485</v>
      </c>
      <c r="UL80" s="0" t="n">
        <f aca="true">_xlfn.NORM.S.INV(RAND())</f>
        <v>-0.568830068566008</v>
      </c>
      <c r="UM80" s="0" t="n">
        <f aca="true">_xlfn.NORM.S.INV(RAND())</f>
        <v>-1.64605484393912</v>
      </c>
      <c r="UN80" s="0" t="n">
        <f aca="true">_xlfn.NORM.S.INV(RAND())</f>
        <v>-0.294061358575967</v>
      </c>
      <c r="UO80" s="0" t="n">
        <f aca="true">_xlfn.NORM.S.INV(RAND())</f>
        <v>0.65867458514943</v>
      </c>
      <c r="UP80" s="0" t="n">
        <f aca="true">_xlfn.NORM.S.INV(RAND())</f>
        <v>-0.72770948760166</v>
      </c>
      <c r="UQ80" s="0" t="n">
        <f aca="true">_xlfn.NORM.S.INV(RAND())</f>
        <v>1.64664463347534</v>
      </c>
      <c r="UR80" s="0" t="n">
        <f aca="true">_xlfn.NORM.S.INV(RAND())</f>
        <v>-0.145890584896823</v>
      </c>
      <c r="US80" s="0" t="n">
        <f aca="true">_xlfn.NORM.S.INV(RAND())</f>
        <v>0.519855567080541</v>
      </c>
      <c r="UT80" s="0" t="n">
        <f aca="true">_xlfn.NORM.S.INV(RAND())</f>
        <v>0.030009319860952</v>
      </c>
      <c r="UU80" s="0" t="n">
        <f aca="true">_xlfn.NORM.S.INV(RAND())</f>
        <v>-0.406652607727014</v>
      </c>
      <c r="UV80" s="0" t="n">
        <f aca="true">_xlfn.NORM.S.INV(RAND())</f>
        <v>1.13895976603354</v>
      </c>
      <c r="UW80" s="0" t="n">
        <f aca="true">_xlfn.NORM.S.INV(RAND())</f>
        <v>0.833125870490002</v>
      </c>
      <c r="UX80" s="0" t="n">
        <f aca="true">_xlfn.NORM.S.INV(RAND())</f>
        <v>-0.393555957010889</v>
      </c>
      <c r="UY80" s="0" t="n">
        <f aca="true">_xlfn.NORM.S.INV(RAND())</f>
        <v>-2.58265303958433</v>
      </c>
      <c r="UZ80" s="0" t="n">
        <f aca="true">_xlfn.NORM.S.INV(RAND())</f>
        <v>-1.44416917666482</v>
      </c>
      <c r="VA80" s="0" t="n">
        <f aca="true">_xlfn.NORM.S.INV(RAND())</f>
        <v>-0.677137473798316</v>
      </c>
      <c r="VB80" s="0" t="n">
        <f aca="true">_xlfn.NORM.S.INV(RAND())</f>
        <v>-1.57675974746426</v>
      </c>
      <c r="VC80" s="0" t="n">
        <f aca="true">_xlfn.NORM.S.INV(RAND())</f>
        <v>-0.656532925190935</v>
      </c>
      <c r="VD80" s="0" t="n">
        <f aca="true">_xlfn.NORM.S.INV(RAND())</f>
        <v>0.379654531053568</v>
      </c>
      <c r="VE80" s="0" t="n">
        <f aca="true">_xlfn.NORM.S.INV(RAND())</f>
        <v>-0.525376120556926</v>
      </c>
      <c r="VF80" s="0" t="n">
        <f aca="true">_xlfn.NORM.S.INV(RAND())</f>
        <v>1.07499773003187</v>
      </c>
      <c r="VG80" s="0" t="n">
        <f aca="true">_xlfn.NORM.S.INV(RAND())</f>
        <v>0.705696120520156</v>
      </c>
      <c r="VH80" s="0" t="n">
        <f aca="true">_xlfn.NORM.S.INV(RAND())</f>
        <v>1.83643603500295</v>
      </c>
      <c r="VI80" s="0" t="n">
        <f aca="true">_xlfn.NORM.S.INV(RAND())</f>
        <v>-1.26529512519382</v>
      </c>
      <c r="VJ80" s="0" t="n">
        <f aca="true">_xlfn.NORM.S.INV(RAND())</f>
        <v>1.55226450487278</v>
      </c>
      <c r="VK80" s="0" t="n">
        <f aca="true">_xlfn.NORM.S.INV(RAND())</f>
        <v>0.422382283084891</v>
      </c>
      <c r="VL80" s="0" t="n">
        <f aca="true">_xlfn.NORM.S.INV(RAND())</f>
        <v>0.272020052929891</v>
      </c>
      <c r="VM80" s="0" t="n">
        <f aca="true">_xlfn.NORM.S.INV(RAND())</f>
        <v>-0.079772699572295</v>
      </c>
      <c r="VN80" s="0" t="n">
        <f aca="true">_xlfn.NORM.S.INV(RAND())</f>
        <v>0.413332603803662</v>
      </c>
      <c r="VO80" s="0" t="n">
        <f aca="true">_xlfn.NORM.S.INV(RAND())</f>
        <v>-1.46395036318574</v>
      </c>
      <c r="VP80" s="0" t="n">
        <f aca="true">_xlfn.NORM.S.INV(RAND())</f>
        <v>-0.392905488619872</v>
      </c>
      <c r="VQ80" s="0" t="n">
        <f aca="true">_xlfn.NORM.S.INV(RAND())</f>
        <v>-1.29794235928322</v>
      </c>
      <c r="VR80" s="0" t="n">
        <f aca="true">_xlfn.NORM.S.INV(RAND())</f>
        <v>-0.557556454070079</v>
      </c>
      <c r="VS80" s="0" t="n">
        <f aca="true">_xlfn.NORM.S.INV(RAND())</f>
        <v>0.0236386807523268</v>
      </c>
      <c r="VT80" s="0" t="n">
        <f aca="true">_xlfn.NORM.S.INV(RAND())</f>
        <v>0.362688586748244</v>
      </c>
      <c r="VU80" s="0" t="n">
        <f aca="true">_xlfn.NORM.S.INV(RAND())</f>
        <v>0.460459853871855</v>
      </c>
      <c r="VV80" s="0" t="n">
        <f aca="true">_xlfn.NORM.S.INV(RAND())</f>
        <v>2.00767272918945</v>
      </c>
      <c r="VW80" s="0" t="n">
        <f aca="true">_xlfn.NORM.S.INV(RAND())</f>
        <v>-0.476536007784363</v>
      </c>
      <c r="VX80" s="0" t="n">
        <f aca="true">_xlfn.NORM.S.INV(RAND())</f>
        <v>1.1276497323922</v>
      </c>
      <c r="VY80" s="0" t="n">
        <f aca="true">_xlfn.NORM.S.INV(RAND())</f>
        <v>-0.0026884134589949</v>
      </c>
      <c r="VZ80" s="0" t="n">
        <f aca="true">_xlfn.NORM.S.INV(RAND())</f>
        <v>-0.651144360616382</v>
      </c>
      <c r="WA80" s="0" t="n">
        <f aca="true">_xlfn.NORM.S.INV(RAND())</f>
        <v>2.32248099681079</v>
      </c>
      <c r="WB80" s="0" t="n">
        <f aca="true">_xlfn.NORM.S.INV(RAND())</f>
        <v>-0.473754050249656</v>
      </c>
      <c r="WC80" s="0" t="n">
        <f aca="true">_xlfn.NORM.S.INV(RAND())</f>
        <v>-0.799141389010801</v>
      </c>
      <c r="WD80" s="0" t="n">
        <f aca="true">_xlfn.NORM.S.INV(RAND())</f>
        <v>-0.45100879311329</v>
      </c>
      <c r="WE80" s="0" t="n">
        <f aca="true">_xlfn.NORM.S.INV(RAND())</f>
        <v>0.410337662232685</v>
      </c>
      <c r="WF80" s="0" t="n">
        <f aca="true">_xlfn.NORM.S.INV(RAND())</f>
        <v>-1.38815508136884</v>
      </c>
      <c r="WG80" s="0" t="n">
        <f aca="true">_xlfn.NORM.S.INV(RAND())</f>
        <v>0.639859858131179</v>
      </c>
      <c r="WH80" s="0" t="n">
        <f aca="true">_xlfn.NORM.S.INV(RAND())</f>
        <v>0.347157641950789</v>
      </c>
      <c r="WI80" s="0" t="n">
        <f aca="true">_xlfn.NORM.S.INV(RAND())</f>
        <v>-0.738172390539803</v>
      </c>
      <c r="WJ80" s="0" t="n">
        <f aca="true">_xlfn.NORM.S.INV(RAND())</f>
        <v>-0.434741761683589</v>
      </c>
      <c r="WK80" s="0" t="n">
        <f aca="true">_xlfn.NORM.S.INV(RAND())</f>
        <v>1.49194411459643</v>
      </c>
      <c r="WL80" s="0" t="n">
        <f aca="true">_xlfn.NORM.S.INV(RAND())</f>
        <v>0.93701896486482</v>
      </c>
      <c r="WM80" s="0" t="n">
        <f aca="true">_xlfn.NORM.S.INV(RAND())</f>
        <v>0.33471931665203</v>
      </c>
      <c r="WN80" s="0" t="n">
        <f aca="true">_xlfn.NORM.S.INV(RAND())</f>
        <v>1.36337129379039</v>
      </c>
      <c r="WO80" s="0" t="n">
        <f aca="true">_xlfn.NORM.S.INV(RAND())</f>
        <v>0.277145232409644</v>
      </c>
      <c r="WP80" s="0" t="n">
        <f aca="true">_xlfn.NORM.S.INV(RAND())</f>
        <v>-0.249222478466474</v>
      </c>
      <c r="WQ80" s="0" t="n">
        <f aca="true">_xlfn.NORM.S.INV(RAND())</f>
        <v>1.37291843958934</v>
      </c>
      <c r="WR80" s="0" t="n">
        <f aca="true">_xlfn.NORM.S.INV(RAND())</f>
        <v>0.52218046394529</v>
      </c>
      <c r="WS80" s="0" t="n">
        <f aca="true">_xlfn.NORM.S.INV(RAND())</f>
        <v>-2.56308474203242</v>
      </c>
      <c r="WT80" s="0" t="n">
        <f aca="true">_xlfn.NORM.S.INV(RAND())</f>
        <v>0.404723470168115</v>
      </c>
      <c r="WU80" s="0" t="n">
        <f aca="true">_xlfn.NORM.S.INV(RAND())</f>
        <v>-0.482416239868801</v>
      </c>
      <c r="WV80" s="0" t="n">
        <f aca="true">_xlfn.NORM.S.INV(RAND())</f>
        <v>-0.24441142239174</v>
      </c>
      <c r="WW80" s="0" t="n">
        <f aca="true">_xlfn.NORM.S.INV(RAND())</f>
        <v>-0.924946194160511</v>
      </c>
      <c r="WX80" s="0" t="n">
        <f aca="true">_xlfn.NORM.S.INV(RAND())</f>
        <v>0.274963945320194</v>
      </c>
      <c r="WY80" s="0" t="n">
        <f aca="true">_xlfn.NORM.S.INV(RAND())</f>
        <v>-0.397626652691168</v>
      </c>
      <c r="WZ80" s="0" t="n">
        <f aca="true">_xlfn.NORM.S.INV(RAND())</f>
        <v>-0.0495048445528248</v>
      </c>
      <c r="XA80" s="0" t="n">
        <f aca="true">_xlfn.NORM.S.INV(RAND())</f>
        <v>-0.280504197842052</v>
      </c>
      <c r="XB80" s="0" t="n">
        <f aca="true">_xlfn.NORM.S.INV(RAND())</f>
        <v>-1.06837726645912</v>
      </c>
      <c r="XC80" s="0" t="n">
        <f aca="true">_xlfn.NORM.S.INV(RAND())</f>
        <v>1.10183105469954</v>
      </c>
      <c r="XD80" s="0" t="n">
        <f aca="true">_xlfn.NORM.S.INV(RAND())</f>
        <v>0.0124739189162336</v>
      </c>
      <c r="XE80" s="0" t="n">
        <f aca="true">_xlfn.NORM.S.INV(RAND())</f>
        <v>-1.10251603274268</v>
      </c>
      <c r="XF80" s="0" t="n">
        <f aca="true">_xlfn.NORM.S.INV(RAND())</f>
        <v>1.82921477053326</v>
      </c>
      <c r="XG80" s="0" t="n">
        <f aca="true">_xlfn.NORM.S.INV(RAND())</f>
        <v>0.35370460207169</v>
      </c>
      <c r="XH80" s="0" t="n">
        <f aca="true">_xlfn.NORM.S.INV(RAND())</f>
        <v>0.761672990019557</v>
      </c>
      <c r="XI80" s="0" t="n">
        <f aca="true">_xlfn.NORM.S.INV(RAND())</f>
        <v>-1.49714825927721</v>
      </c>
      <c r="XJ80" s="0" t="n">
        <f aca="true">_xlfn.NORM.S.INV(RAND())</f>
        <v>0.632526734473709</v>
      </c>
      <c r="XK80" s="0" t="n">
        <f aca="true">_xlfn.NORM.S.INV(RAND())</f>
        <v>0.0560885865811442</v>
      </c>
      <c r="XL80" s="0" t="n">
        <f aca="true">_xlfn.NORM.S.INV(RAND())</f>
        <v>0.16607253423882</v>
      </c>
      <c r="XM80" s="0" t="n">
        <f aca="true">_xlfn.NORM.S.INV(RAND())</f>
        <v>-1.21676033493738</v>
      </c>
      <c r="XN80" s="0" t="n">
        <f aca="true">_xlfn.NORM.S.INV(RAND())</f>
        <v>-0.432193474114532</v>
      </c>
      <c r="XO80" s="0" t="n">
        <f aca="true">_xlfn.NORM.S.INV(RAND())</f>
        <v>-0.249315026437383</v>
      </c>
      <c r="XP80" s="0" t="n">
        <f aca="true">_xlfn.NORM.S.INV(RAND())</f>
        <v>1.6916119357218</v>
      </c>
      <c r="XQ80" s="0" t="n">
        <f aca="true">_xlfn.NORM.S.INV(RAND())</f>
        <v>0.372353142854007</v>
      </c>
      <c r="XR80" s="0" t="n">
        <f aca="true">_xlfn.NORM.S.INV(RAND())</f>
        <v>0.19788187076277</v>
      </c>
      <c r="XS80" s="0" t="n">
        <f aca="true">_xlfn.NORM.S.INV(RAND())</f>
        <v>0.946710614961376</v>
      </c>
      <c r="XT80" s="0" t="n">
        <f aca="true">_xlfn.NORM.S.INV(RAND())</f>
        <v>-0.380688328663133</v>
      </c>
      <c r="XU80" s="0" t="n">
        <f aca="true">_xlfn.NORM.S.INV(RAND())</f>
        <v>1.4943516241089</v>
      </c>
      <c r="XV80" s="0" t="n">
        <f aca="true">_xlfn.NORM.S.INV(RAND())</f>
        <v>-1.19807496407444</v>
      </c>
      <c r="XW80" s="0" t="n">
        <f aca="true">_xlfn.NORM.S.INV(RAND())</f>
        <v>-0.0104923433765873</v>
      </c>
      <c r="XX80" s="0" t="n">
        <f aca="true">_xlfn.NORM.S.INV(RAND())</f>
        <v>0.853518665788031</v>
      </c>
      <c r="XY80" s="0" t="n">
        <f aca="true">_xlfn.NORM.S.INV(RAND())</f>
        <v>0.524550696499989</v>
      </c>
      <c r="XZ80" s="0" t="n">
        <f aca="true">_xlfn.NORM.S.INV(RAND())</f>
        <v>-0.142157115086982</v>
      </c>
      <c r="YA80" s="0" t="n">
        <f aca="true">_xlfn.NORM.S.INV(RAND())</f>
        <v>0.785471232836735</v>
      </c>
      <c r="YB80" s="0" t="n">
        <f aca="true">_xlfn.NORM.S.INV(RAND())</f>
        <v>0.476070581472498</v>
      </c>
      <c r="YC80" s="0" t="n">
        <f aca="true">_xlfn.NORM.S.INV(RAND())</f>
        <v>0.124349817344424</v>
      </c>
      <c r="YD80" s="0" t="n">
        <f aca="true">_xlfn.NORM.S.INV(RAND())</f>
        <v>-2.71058376201009</v>
      </c>
      <c r="YE80" s="0" t="n">
        <f aca="true">_xlfn.NORM.S.INV(RAND())</f>
        <v>-2.23758711433309</v>
      </c>
      <c r="YF80" s="0" t="n">
        <f aca="true">_xlfn.NORM.S.INV(RAND())</f>
        <v>0.785501927500865</v>
      </c>
      <c r="YG80" s="0" t="n">
        <f aca="true">_xlfn.NORM.S.INV(RAND())</f>
        <v>-1.4919206586224</v>
      </c>
      <c r="YH80" s="0" t="n">
        <f aca="true">_xlfn.NORM.S.INV(RAND())</f>
        <v>3.07621285602318</v>
      </c>
      <c r="YI80" s="0" t="n">
        <f aca="true">_xlfn.NORM.S.INV(RAND())</f>
        <v>-0.553168550906421</v>
      </c>
      <c r="YJ80" s="0" t="n">
        <f aca="true">_xlfn.NORM.S.INV(RAND())</f>
        <v>-1.53312410124203</v>
      </c>
      <c r="YK80" s="0" t="n">
        <f aca="true">_xlfn.NORM.S.INV(RAND())</f>
        <v>0.451424779264625</v>
      </c>
      <c r="YL80" s="0" t="n">
        <f aca="true">_xlfn.NORM.S.INV(RAND())</f>
        <v>1.69300114001219</v>
      </c>
      <c r="YM80" s="0" t="n">
        <f aca="true">_xlfn.NORM.S.INV(RAND())</f>
        <v>-0.0118700376881783</v>
      </c>
      <c r="YN80" s="0" t="n">
        <f aca="true">_xlfn.NORM.S.INV(RAND())</f>
        <v>-0.848744712984048</v>
      </c>
      <c r="YO80" s="0" t="n">
        <f aca="true">_xlfn.NORM.S.INV(RAND())</f>
        <v>-0.594101147388162</v>
      </c>
      <c r="YP80" s="0" t="n">
        <f aca="true">_xlfn.NORM.S.INV(RAND())</f>
        <v>1.99837348680951</v>
      </c>
      <c r="YQ80" s="0" t="n">
        <f aca="true">_xlfn.NORM.S.INV(RAND())</f>
        <v>0.29611102942036</v>
      </c>
      <c r="YR80" s="0" t="n">
        <f aca="true">_xlfn.NORM.S.INV(RAND())</f>
        <v>1.19559470571046</v>
      </c>
      <c r="YS80" s="0" t="n">
        <f aca="true">_xlfn.NORM.S.INV(RAND())</f>
        <v>-0.505410909347626</v>
      </c>
      <c r="YT80" s="0" t="n">
        <f aca="true">_xlfn.NORM.S.INV(RAND())</f>
        <v>-0.917461894882104</v>
      </c>
      <c r="YU80" s="0" t="n">
        <f aca="true">_xlfn.NORM.S.INV(RAND())</f>
        <v>0.134823118320399</v>
      </c>
      <c r="YV80" s="0" t="n">
        <f aca="true">_xlfn.NORM.S.INV(RAND())</f>
        <v>-0.250104423443382</v>
      </c>
      <c r="YW80" s="0" t="n">
        <f aca="true">_xlfn.NORM.S.INV(RAND())</f>
        <v>1.03891217393681</v>
      </c>
      <c r="YX80" s="0" t="n">
        <f aca="true">_xlfn.NORM.S.INV(RAND())</f>
        <v>-0.0848402719700015</v>
      </c>
      <c r="YY80" s="0" t="n">
        <f aca="true">_xlfn.NORM.S.INV(RAND())</f>
        <v>-0.774351412256307</v>
      </c>
      <c r="YZ80" s="0" t="n">
        <f aca="true">_xlfn.NORM.S.INV(RAND())</f>
        <v>-0.473526357441091</v>
      </c>
      <c r="ZA80" s="0" t="n">
        <f aca="true">_xlfn.NORM.S.INV(RAND())</f>
        <v>-1.74770152055809</v>
      </c>
      <c r="ZB80" s="0" t="n">
        <f aca="true">_xlfn.NORM.S.INV(RAND())</f>
        <v>-1.15403317324613</v>
      </c>
      <c r="ZC80" s="0" t="n">
        <f aca="true">_xlfn.NORM.S.INV(RAND())</f>
        <v>0.956015668004995</v>
      </c>
      <c r="ZD80" s="0" t="n">
        <f aca="true">_xlfn.NORM.S.INV(RAND())</f>
        <v>1.44106276720477</v>
      </c>
      <c r="ZE80" s="0" t="n">
        <f aca="true">_xlfn.NORM.S.INV(RAND())</f>
        <v>0.0674738664197581</v>
      </c>
      <c r="ZF80" s="0" t="n">
        <f aca="true">_xlfn.NORM.S.INV(RAND())</f>
        <v>-0.592751213310062</v>
      </c>
      <c r="ZG80" s="0" t="n">
        <f aca="true">_xlfn.NORM.S.INV(RAND())</f>
        <v>-0.139634930177308</v>
      </c>
      <c r="ZH80" s="0" t="n">
        <f aca="true">_xlfn.NORM.S.INV(RAND())</f>
        <v>1.58790679943324</v>
      </c>
      <c r="ZI80" s="0" t="n">
        <f aca="true">_xlfn.NORM.S.INV(RAND())</f>
        <v>0.329860505810023</v>
      </c>
      <c r="ZJ80" s="0" t="n">
        <f aca="true">_xlfn.NORM.S.INV(RAND())</f>
        <v>-0.396615186363343</v>
      </c>
      <c r="ZK80" s="0" t="n">
        <f aca="true">_xlfn.NORM.S.INV(RAND())</f>
        <v>-0.6929920414949</v>
      </c>
      <c r="ZL80" s="0" t="n">
        <f aca="true">_xlfn.NORM.S.INV(RAND())</f>
        <v>-0.366593376788926</v>
      </c>
      <c r="ZM80" s="0" t="n">
        <f aca="true">_xlfn.NORM.S.INV(RAND())</f>
        <v>-1.1355757562203</v>
      </c>
      <c r="ZN80" s="0" t="n">
        <f aca="true">_xlfn.NORM.S.INV(RAND())</f>
        <v>-1.87524344872932</v>
      </c>
      <c r="ZO80" s="0" t="n">
        <f aca="true">_xlfn.NORM.S.INV(RAND())</f>
        <v>-0.797454102488972</v>
      </c>
      <c r="ZP80" s="0" t="n">
        <f aca="true">_xlfn.NORM.S.INV(RAND())</f>
        <v>-2.08287445706755</v>
      </c>
      <c r="ZQ80" s="0" t="n">
        <f aca="true">_xlfn.NORM.S.INV(RAND())</f>
        <v>0.134655731210134</v>
      </c>
      <c r="ZR80" s="0" t="n">
        <f aca="true">_xlfn.NORM.S.INV(RAND())</f>
        <v>-1.27277703488376</v>
      </c>
      <c r="ZS80" s="0" t="n">
        <f aca="true">_xlfn.NORM.S.INV(RAND())</f>
        <v>2.28737779927922</v>
      </c>
      <c r="ZT80" s="0" t="n">
        <f aca="true">_xlfn.NORM.S.INV(RAND())</f>
        <v>0.482886698957428</v>
      </c>
      <c r="ZU80" s="0" t="n">
        <f aca="true">_xlfn.NORM.S.INV(RAND())</f>
        <v>-0.549723935753792</v>
      </c>
      <c r="ZV80" s="0" t="n">
        <f aca="true">_xlfn.NORM.S.INV(RAND())</f>
        <v>0.0718224691847364</v>
      </c>
      <c r="ZW80" s="0" t="n">
        <f aca="true">_xlfn.NORM.S.INV(RAND())</f>
        <v>0.275652358110365</v>
      </c>
      <c r="ZX80" s="0" t="n">
        <f aca="true">_xlfn.NORM.S.INV(RAND())</f>
        <v>2.04390402579693</v>
      </c>
      <c r="ZY80" s="0" t="n">
        <f aca="true">_xlfn.NORM.S.INV(RAND())</f>
        <v>-1.33962703875639</v>
      </c>
      <c r="ZZ80" s="0" t="n">
        <f aca="true">_xlfn.NORM.S.INV(RAND())</f>
        <v>0.244780382232155</v>
      </c>
      <c r="AAA80" s="0" t="n">
        <f aca="true">_xlfn.NORM.S.INV(RAND())</f>
        <v>-0.501746738840475</v>
      </c>
      <c r="AAB80" s="0" t="n">
        <f aca="true">_xlfn.NORM.S.INV(RAND())</f>
        <v>0.0438741927807549</v>
      </c>
      <c r="AAC80" s="0" t="n">
        <f aca="true">_xlfn.NORM.S.INV(RAND())</f>
        <v>-1.96155337365043</v>
      </c>
      <c r="AAD80" s="0" t="n">
        <f aca="true">_xlfn.NORM.S.INV(RAND())</f>
        <v>0.857011953552465</v>
      </c>
      <c r="AAE80" s="0" t="n">
        <f aca="true">_xlfn.NORM.S.INV(RAND())</f>
        <v>-0.503476950980914</v>
      </c>
      <c r="AAF80" s="0" t="n">
        <f aca="true">_xlfn.NORM.S.INV(RAND())</f>
        <v>0.270748207830296</v>
      </c>
      <c r="AAG80" s="0" t="n">
        <f aca="true">_xlfn.NORM.S.INV(RAND())</f>
        <v>-0.303422675416815</v>
      </c>
      <c r="AAH80" s="0" t="n">
        <f aca="true">_xlfn.NORM.S.INV(RAND())</f>
        <v>1.14934741404276</v>
      </c>
      <c r="AAI80" s="0" t="n">
        <f aca="true">_xlfn.NORM.S.INV(RAND())</f>
        <v>-1.03307650921022</v>
      </c>
      <c r="AAJ80" s="0" t="n">
        <f aca="true">_xlfn.NORM.S.INV(RAND())</f>
        <v>0.127184344671562</v>
      </c>
      <c r="AAK80" s="0" t="n">
        <f aca="true">_xlfn.NORM.S.INV(RAND())</f>
        <v>1.38106654154424</v>
      </c>
      <c r="AAL80" s="0" t="n">
        <f aca="true">_xlfn.NORM.S.INV(RAND())</f>
        <v>0.507935224532356</v>
      </c>
      <c r="AAM80" s="0" t="n">
        <f aca="true">_xlfn.NORM.S.INV(RAND())</f>
        <v>-0.848315671722724</v>
      </c>
      <c r="AAN80" s="0" t="n">
        <f aca="true">_xlfn.NORM.S.INV(RAND())</f>
        <v>-1.21485765055123</v>
      </c>
      <c r="AAO80" s="0" t="n">
        <f aca="true">_xlfn.NORM.S.INV(RAND())</f>
        <v>0.0672520774282998</v>
      </c>
      <c r="AAP80" s="0" t="n">
        <f aca="true">_xlfn.NORM.S.INV(RAND())</f>
        <v>-1.32382267168421</v>
      </c>
      <c r="AAQ80" s="0" t="n">
        <f aca="true">_xlfn.NORM.S.INV(RAND())</f>
        <v>-0.00325909148666145</v>
      </c>
      <c r="AAR80" s="0" t="n">
        <f aca="true">_xlfn.NORM.S.INV(RAND())</f>
        <v>2.02183900888662</v>
      </c>
      <c r="AAS80" s="0" t="n">
        <f aca="true">_xlfn.NORM.S.INV(RAND())</f>
        <v>0.0857243986923121</v>
      </c>
      <c r="AAT80" s="0" t="n">
        <f aca="true">_xlfn.NORM.S.INV(RAND())</f>
        <v>-1.06975478699627</v>
      </c>
      <c r="AAU80" s="0" t="n">
        <f aca="true">_xlfn.NORM.S.INV(RAND())</f>
        <v>-1.15130532330103</v>
      </c>
      <c r="AAV80" s="0" t="n">
        <f aca="true">_xlfn.NORM.S.INV(RAND())</f>
        <v>0.478788049711786</v>
      </c>
      <c r="AAW80" s="0" t="n">
        <f aca="true">_xlfn.NORM.S.INV(RAND())</f>
        <v>0.185926715429485</v>
      </c>
      <c r="AAX80" s="0" t="n">
        <f aca="true">_xlfn.NORM.S.INV(RAND())</f>
        <v>-0.313708599412502</v>
      </c>
      <c r="AAY80" s="0" t="n">
        <f aca="true">_xlfn.NORM.S.INV(RAND())</f>
        <v>0.149776403350469</v>
      </c>
      <c r="AAZ80" s="0" t="n">
        <f aca="true">_xlfn.NORM.S.INV(RAND())</f>
        <v>0.55346587011395</v>
      </c>
      <c r="ABA80" s="0" t="n">
        <f aca="true">_xlfn.NORM.S.INV(RAND())</f>
        <v>0.192872832074091</v>
      </c>
      <c r="ABB80" s="0" t="n">
        <f aca="true">_xlfn.NORM.S.INV(RAND())</f>
        <v>0.618675727094164</v>
      </c>
      <c r="ABC80" s="0" t="n">
        <f aca="true">_xlfn.NORM.S.INV(RAND())</f>
        <v>0.944460023496584</v>
      </c>
      <c r="ABD80" s="0" t="n">
        <f aca="true">_xlfn.NORM.S.INV(RAND())</f>
        <v>-0.881977872705562</v>
      </c>
      <c r="ABE80" s="0" t="n">
        <f aca="true">_xlfn.NORM.S.INV(RAND())</f>
        <v>0.447967888287602</v>
      </c>
      <c r="ABF80" s="0" t="n">
        <f aca="true">_xlfn.NORM.S.INV(RAND())</f>
        <v>-0.539532229835538</v>
      </c>
      <c r="ABG80" s="0" t="n">
        <f aca="true">_xlfn.NORM.S.INV(RAND())</f>
        <v>-0.803964480583448</v>
      </c>
      <c r="ABH80" s="0" t="n">
        <f aca="true">_xlfn.NORM.S.INV(RAND())</f>
        <v>-0.560477835235233</v>
      </c>
      <c r="ABI80" s="0" t="n">
        <f aca="true">_xlfn.NORM.S.INV(RAND())</f>
        <v>-1.2561138318681</v>
      </c>
      <c r="ABJ80" s="0" t="n">
        <f aca="true">_xlfn.NORM.S.INV(RAND())</f>
        <v>0.110712032628671</v>
      </c>
      <c r="ABK80" s="0" t="n">
        <f aca="true">_xlfn.NORM.S.INV(RAND())</f>
        <v>-0.285790629606618</v>
      </c>
      <c r="ABL80" s="0" t="n">
        <f aca="true">_xlfn.NORM.S.INV(RAND())</f>
        <v>0.289822682763242</v>
      </c>
      <c r="ABM80" s="0" t="n">
        <f aca="true">_xlfn.NORM.S.INV(RAND())</f>
        <v>0.239754096100403</v>
      </c>
      <c r="ABN80" s="0" t="n">
        <f aca="true">_xlfn.NORM.S.INV(RAND())</f>
        <v>-0.313398266917244</v>
      </c>
      <c r="ABO80" s="0" t="n">
        <f aca="true">_xlfn.NORM.S.INV(RAND())</f>
        <v>-1.27577095870677</v>
      </c>
      <c r="ABP80" s="0" t="n">
        <f aca="true">_xlfn.NORM.S.INV(RAND())</f>
        <v>0.0382415684292586</v>
      </c>
      <c r="ABQ80" s="0" t="n">
        <f aca="true">_xlfn.NORM.S.INV(RAND())</f>
        <v>-0.415372961286365</v>
      </c>
      <c r="ABR80" s="0" t="n">
        <f aca="true">_xlfn.NORM.S.INV(RAND())</f>
        <v>-0.250404683093592</v>
      </c>
      <c r="ABS80" s="0" t="n">
        <f aca="true">_xlfn.NORM.S.INV(RAND())</f>
        <v>-1.92045176589858</v>
      </c>
      <c r="ABT80" s="0" t="n">
        <f aca="true">_xlfn.NORM.S.INV(RAND())</f>
        <v>-1.92952606270491</v>
      </c>
      <c r="ABU80" s="0" t="n">
        <f aca="true">_xlfn.NORM.S.INV(RAND())</f>
        <v>-0.615917947099522</v>
      </c>
      <c r="ABV80" s="0" t="n">
        <f aca="true">_xlfn.NORM.S.INV(RAND())</f>
        <v>-1.50742039926662</v>
      </c>
      <c r="ABW80" s="0" t="n">
        <f aca="true">_xlfn.NORM.S.INV(RAND())</f>
        <v>0.384640888688536</v>
      </c>
      <c r="ABX80" s="0" t="n">
        <f aca="true">_xlfn.NORM.S.INV(RAND())</f>
        <v>-2.19086317572563</v>
      </c>
      <c r="ABY80" s="0" t="n">
        <f aca="true">_xlfn.NORM.S.INV(RAND())</f>
        <v>0.0393818615527207</v>
      </c>
      <c r="ABZ80" s="0" t="n">
        <f aca="true">_xlfn.NORM.S.INV(RAND())</f>
        <v>0.252749615143596</v>
      </c>
      <c r="ACA80" s="0" t="n">
        <f aca="true">_xlfn.NORM.S.INV(RAND())</f>
        <v>-0.608591946012821</v>
      </c>
      <c r="ACB80" s="0" t="n">
        <f aca="true">_xlfn.NORM.S.INV(RAND())</f>
        <v>-0.807658113062113</v>
      </c>
      <c r="ACC80" s="0" t="n">
        <f aca="true">_xlfn.NORM.S.INV(RAND())</f>
        <v>0.187232216019943</v>
      </c>
      <c r="ACD80" s="0" t="n">
        <f aca="true">_xlfn.NORM.S.INV(RAND())</f>
        <v>0.00755051017517095</v>
      </c>
      <c r="ACE80" s="0" t="n">
        <f aca="true">_xlfn.NORM.S.INV(RAND())</f>
        <v>0.133928032886342</v>
      </c>
      <c r="ACF80" s="0" t="n">
        <f aca="true">_xlfn.NORM.S.INV(RAND())</f>
        <v>1.4901245779853</v>
      </c>
      <c r="ACG80" s="0" t="n">
        <f aca="true">_xlfn.NORM.S.INV(RAND())</f>
        <v>0.983641884054985</v>
      </c>
      <c r="ACH80" s="0" t="n">
        <f aca="true">_xlfn.NORM.S.INV(RAND())</f>
        <v>-0.870123684220512</v>
      </c>
      <c r="ACI80" s="0" t="n">
        <f aca="true">_xlfn.NORM.S.INV(RAND())</f>
        <v>0.808378853783352</v>
      </c>
      <c r="ACJ80" s="0" t="n">
        <f aca="true">_xlfn.NORM.S.INV(RAND())</f>
        <v>0.303254466703865</v>
      </c>
      <c r="ACK80" s="0" t="n">
        <f aca="true">_xlfn.NORM.S.INV(RAND())</f>
        <v>-0.41426538307304</v>
      </c>
      <c r="ACL80" s="0" t="n">
        <f aca="true">_xlfn.NORM.S.INV(RAND())</f>
        <v>1.97920399241306</v>
      </c>
      <c r="ACM80" s="0" t="n">
        <f aca="true">_xlfn.NORM.S.INV(RAND())</f>
        <v>-0.232379203194849</v>
      </c>
      <c r="ACN80" s="0" t="n">
        <f aca="true">_xlfn.NORM.S.INV(RAND())</f>
        <v>-0.90831736717326</v>
      </c>
      <c r="ACO80" s="0" t="n">
        <f aca="true">_xlfn.NORM.S.INV(RAND())</f>
        <v>-0.633756705280475</v>
      </c>
      <c r="ACP80" s="0" t="n">
        <f aca="true">_xlfn.NORM.S.INV(RAND())</f>
        <v>0.634075524213195</v>
      </c>
      <c r="ACQ80" s="0" t="n">
        <f aca="true">_xlfn.NORM.S.INV(RAND())</f>
        <v>-1.03110597777157</v>
      </c>
      <c r="ACR80" s="0" t="n">
        <f aca="true">_xlfn.NORM.S.INV(RAND())</f>
        <v>-0.0925235167745484</v>
      </c>
      <c r="ACS80" s="0" t="n">
        <f aca="true">_xlfn.NORM.S.INV(RAND())</f>
        <v>0.107114443416441</v>
      </c>
      <c r="ACT80" s="0" t="n">
        <f aca="true">_xlfn.NORM.S.INV(RAND())</f>
        <v>0.0270886264051618</v>
      </c>
      <c r="ACU80" s="0" t="n">
        <f aca="true">_xlfn.NORM.S.INV(RAND())</f>
        <v>-0.509984866272108</v>
      </c>
      <c r="ACV80" s="0" t="n">
        <f aca="true">_xlfn.NORM.S.INV(RAND())</f>
        <v>-0.758706374964112</v>
      </c>
      <c r="ACW80" s="0" t="n">
        <f aca="true">_xlfn.NORM.S.INV(RAND())</f>
        <v>0.731478554146966</v>
      </c>
      <c r="ACX80" s="0" t="n">
        <f aca="true">_xlfn.NORM.S.INV(RAND())</f>
        <v>0.0528102517451761</v>
      </c>
      <c r="ACY80" s="0" t="n">
        <f aca="true">_xlfn.NORM.S.INV(RAND())</f>
        <v>1.99753868342406</v>
      </c>
      <c r="ACZ80" s="0" t="n">
        <f aca="true">_xlfn.NORM.S.INV(RAND())</f>
        <v>0.591597087208382</v>
      </c>
      <c r="ADA80" s="0" t="n">
        <f aca="true">_xlfn.NORM.S.INV(RAND())</f>
        <v>-0.566120368661079</v>
      </c>
      <c r="ADB80" s="0" t="n">
        <f aca="true">_xlfn.NORM.S.INV(RAND())</f>
        <v>0.92703605061586</v>
      </c>
      <c r="ADC80" s="0" t="n">
        <f aca="true">_xlfn.NORM.S.INV(RAND())</f>
        <v>-0.503219532641227</v>
      </c>
      <c r="ADD80" s="0" t="n">
        <f aca="true">_xlfn.NORM.S.INV(RAND())</f>
        <v>0.59753429414654</v>
      </c>
      <c r="ADE80" s="0" t="n">
        <f aca="true">_xlfn.NORM.S.INV(RAND())</f>
        <v>1.3959456265986</v>
      </c>
      <c r="ADF80" s="0" t="n">
        <f aca="true">_xlfn.NORM.S.INV(RAND())</f>
        <v>-0.729199362680848</v>
      </c>
      <c r="ADG80" s="0" t="n">
        <f aca="true">_xlfn.NORM.S.INV(RAND())</f>
        <v>-1.6794707987287</v>
      </c>
      <c r="ADH80" s="0" t="n">
        <f aca="true">_xlfn.NORM.S.INV(RAND())</f>
        <v>-0.0888225104478065</v>
      </c>
      <c r="ADI80" s="0" t="n">
        <f aca="true">_xlfn.NORM.S.INV(RAND())</f>
        <v>-1.06356960540792</v>
      </c>
      <c r="ADJ80" s="0" t="n">
        <f aca="true">_xlfn.NORM.S.INV(RAND())</f>
        <v>-1.427375351562</v>
      </c>
      <c r="ADK80" s="0" t="n">
        <f aca="true">_xlfn.NORM.S.INV(RAND())</f>
        <v>-0.23427414551206</v>
      </c>
      <c r="ADL80" s="0" t="n">
        <f aca="true">_xlfn.NORM.S.INV(RAND())</f>
        <v>-2.8102157894638</v>
      </c>
      <c r="ADM80" s="0" t="n">
        <f aca="true">_xlfn.NORM.S.INV(RAND())</f>
        <v>-0.208913922044536</v>
      </c>
      <c r="ADN80" s="0" t="n">
        <f aca="true">_xlfn.NORM.S.INV(RAND())</f>
        <v>0.75080333972997</v>
      </c>
      <c r="ADO80" s="0" t="n">
        <f aca="true">_xlfn.NORM.S.INV(RAND())</f>
        <v>0.857032455239665</v>
      </c>
      <c r="ADP80" s="0" t="n">
        <f aca="true">_xlfn.NORM.S.INV(RAND())</f>
        <v>0.20954635243832</v>
      </c>
      <c r="ADQ80" s="0" t="n">
        <f aca="true">_xlfn.NORM.S.INV(RAND())</f>
        <v>-0.458664870776627</v>
      </c>
      <c r="ADR80" s="0" t="n">
        <f aca="true">_xlfn.NORM.S.INV(RAND())</f>
        <v>-1.42973865035861</v>
      </c>
      <c r="ADS80" s="0" t="n">
        <f aca="true">_xlfn.NORM.S.INV(RAND())</f>
        <v>-1.02912847573945</v>
      </c>
      <c r="ADT80" s="0" t="n">
        <f aca="true">_xlfn.NORM.S.INV(RAND())</f>
        <v>-1.56318170895595</v>
      </c>
      <c r="ADU80" s="0" t="n">
        <f aca="true">_xlfn.NORM.S.INV(RAND())</f>
        <v>0.118758313049156</v>
      </c>
      <c r="ADV80" s="0" t="n">
        <f aca="true">_xlfn.NORM.S.INV(RAND())</f>
        <v>0.46302648478891</v>
      </c>
      <c r="ADW80" s="0" t="n">
        <f aca="true">_xlfn.NORM.S.INV(RAND())</f>
        <v>1.2824555043827</v>
      </c>
      <c r="ADX80" s="0" t="n">
        <f aca="true">_xlfn.NORM.S.INV(RAND())</f>
        <v>1.82480218429268</v>
      </c>
      <c r="ADY80" s="0" t="n">
        <f aca="true">_xlfn.NORM.S.INV(RAND())</f>
        <v>-1.97098667200936</v>
      </c>
      <c r="ADZ80" s="0" t="n">
        <f aca="true">_xlfn.NORM.S.INV(RAND())</f>
        <v>-1.14279337987586</v>
      </c>
      <c r="AEA80" s="0" t="n">
        <f aca="true">_xlfn.NORM.S.INV(RAND())</f>
        <v>-0.106365701686814</v>
      </c>
      <c r="AEB80" s="0" t="n">
        <f aca="true">_xlfn.NORM.S.INV(RAND())</f>
        <v>0.560230373926397</v>
      </c>
      <c r="AEC80" s="0" t="n">
        <f aca="true">_xlfn.NORM.S.INV(RAND())</f>
        <v>-0.232244474261091</v>
      </c>
      <c r="AED80" s="0" t="n">
        <f aca="true">_xlfn.NORM.S.INV(RAND())</f>
        <v>0.0358104611363245</v>
      </c>
      <c r="AEE80" s="0" t="n">
        <f aca="true">_xlfn.NORM.S.INV(RAND())</f>
        <v>0.262339118352382</v>
      </c>
      <c r="AEF80" s="0" t="n">
        <f aca="true">_xlfn.NORM.S.INV(RAND())</f>
        <v>-1.04829209591383</v>
      </c>
      <c r="AEG80" s="0" t="n">
        <f aca="true">_xlfn.NORM.S.INV(RAND())</f>
        <v>-1.78568515974363</v>
      </c>
      <c r="AEH80" s="0" t="n">
        <f aca="true">_xlfn.NORM.S.INV(RAND())</f>
        <v>-0.0705561729495678</v>
      </c>
      <c r="AEI80" s="0" t="n">
        <f aca="true">_xlfn.NORM.S.INV(RAND())</f>
        <v>0.907270400134169</v>
      </c>
      <c r="AEJ80" s="0" t="n">
        <f aca="true">_xlfn.NORM.S.INV(RAND())</f>
        <v>0.229618984000689</v>
      </c>
      <c r="AEK80" s="0" t="n">
        <f aca="true">_xlfn.NORM.S.INV(RAND())</f>
        <v>-1.36510086118499</v>
      </c>
      <c r="AEL80" s="0" t="n">
        <f aca="true">_xlfn.NORM.S.INV(RAND())</f>
        <v>-0.0054262688955757</v>
      </c>
      <c r="AEM80" s="0" t="n">
        <f aca="true">_xlfn.NORM.S.INV(RAND())</f>
        <v>-0.353577902020639</v>
      </c>
      <c r="AEN80" s="0" t="n">
        <f aca="true">_xlfn.NORM.S.INV(RAND())</f>
        <v>1.65886443531127</v>
      </c>
      <c r="AEO80" s="0" t="n">
        <f aca="true">_xlfn.NORM.S.INV(RAND())</f>
        <v>-0.279659416587351</v>
      </c>
      <c r="AEP80" s="0" t="n">
        <f aca="true">_xlfn.NORM.S.INV(RAND())</f>
        <v>-0.835855210304102</v>
      </c>
      <c r="AEQ80" s="0" t="n">
        <f aca="true">_xlfn.NORM.S.INV(RAND())</f>
        <v>-0.140863553784922</v>
      </c>
      <c r="AER80" s="0" t="n">
        <f aca="true">_xlfn.NORM.S.INV(RAND())</f>
        <v>1.43066599603072</v>
      </c>
      <c r="AES80" s="0" t="n">
        <f aca="true">_xlfn.NORM.S.INV(RAND())</f>
        <v>-1.70802659068386</v>
      </c>
      <c r="AET80" s="0" t="n">
        <f aca="true">_xlfn.NORM.S.INV(RAND())</f>
        <v>-0.00498199664070961</v>
      </c>
      <c r="AEU80" s="0" t="n">
        <f aca="true">_xlfn.NORM.S.INV(RAND())</f>
        <v>-1.32914183344232</v>
      </c>
      <c r="AEV80" s="0" t="n">
        <f aca="true">_xlfn.NORM.S.INV(RAND())</f>
        <v>-1.39404319745591</v>
      </c>
      <c r="AEW80" s="0" t="n">
        <f aca="true">_xlfn.NORM.S.INV(RAND())</f>
        <v>-1.8993398314767</v>
      </c>
      <c r="AEX80" s="0" t="n">
        <f aca="true">_xlfn.NORM.S.INV(RAND())</f>
        <v>-2.08211591187432</v>
      </c>
      <c r="AEY80" s="0" t="n">
        <f aca="true">_xlfn.NORM.S.INV(RAND())</f>
        <v>1.06591516898056</v>
      </c>
      <c r="AEZ80" s="0" t="n">
        <f aca="true">_xlfn.NORM.S.INV(RAND())</f>
        <v>-0.867396220247853</v>
      </c>
      <c r="AFA80" s="0" t="n">
        <f aca="true">_xlfn.NORM.S.INV(RAND())</f>
        <v>0.770358738679803</v>
      </c>
      <c r="AFB80" s="0" t="n">
        <f aca="true">_xlfn.NORM.S.INV(RAND())</f>
        <v>0.0733619038440484</v>
      </c>
      <c r="AFC80" s="0" t="n">
        <f aca="true">_xlfn.NORM.S.INV(RAND())</f>
        <v>0.176824136155274</v>
      </c>
      <c r="AFD80" s="0" t="n">
        <f aca="true">_xlfn.NORM.S.INV(RAND())</f>
        <v>-0.725521864081828</v>
      </c>
      <c r="AFE80" s="0" t="n">
        <f aca="true">_xlfn.NORM.S.INV(RAND())</f>
        <v>1.66547611761186</v>
      </c>
      <c r="AFF80" s="0" t="n">
        <f aca="true">_xlfn.NORM.S.INV(RAND())</f>
        <v>-0.341557858757407</v>
      </c>
      <c r="AFG80" s="0" t="n">
        <f aca="true">_xlfn.NORM.S.INV(RAND())</f>
        <v>0.528403538475453</v>
      </c>
      <c r="AFH80" s="0" t="n">
        <f aca="true">_xlfn.NORM.S.INV(RAND())</f>
        <v>-0.0978791694889637</v>
      </c>
      <c r="AFI80" s="0" t="n">
        <f aca="true">_xlfn.NORM.S.INV(RAND())</f>
        <v>-0.397108117285362</v>
      </c>
      <c r="AFJ80" s="0" t="n">
        <f aca="true">_xlfn.NORM.S.INV(RAND())</f>
        <v>0.234342166721931</v>
      </c>
      <c r="AFK80" s="0" t="n">
        <f aca="true">_xlfn.NORM.S.INV(RAND())</f>
        <v>-0.240738996276274</v>
      </c>
      <c r="AFL80" s="0" t="n">
        <f aca="true">_xlfn.NORM.S.INV(RAND())</f>
        <v>-0.87263714437117</v>
      </c>
      <c r="AFM80" s="0" t="n">
        <f aca="true">_xlfn.NORM.S.INV(RAND())</f>
        <v>1.12164835484409</v>
      </c>
      <c r="AFN80" s="0" t="n">
        <f aca="true">_xlfn.NORM.S.INV(RAND())</f>
        <v>-0.314184545451711</v>
      </c>
      <c r="AFO80" s="0" t="n">
        <f aca="true">_xlfn.NORM.S.INV(RAND())</f>
        <v>-0.499989124876135</v>
      </c>
      <c r="AFP80" s="0" t="n">
        <f aca="true">_xlfn.NORM.S.INV(RAND())</f>
        <v>-0.125192851101663</v>
      </c>
      <c r="AFQ80" s="0" t="n">
        <f aca="true">_xlfn.NORM.S.INV(RAND())</f>
        <v>-0.762829597094497</v>
      </c>
      <c r="AFR80" s="0" t="n">
        <f aca="true">_xlfn.NORM.S.INV(RAND())</f>
        <v>-1.27500153908555</v>
      </c>
      <c r="AFS80" s="0" t="n">
        <f aca="true">_xlfn.NORM.S.INV(RAND())</f>
        <v>1.205356637321</v>
      </c>
      <c r="AFT80" s="0" t="n">
        <f aca="true">_xlfn.NORM.S.INV(RAND())</f>
        <v>1.67138127999245</v>
      </c>
      <c r="AFU80" s="0" t="n">
        <f aca="true">_xlfn.NORM.S.INV(RAND())</f>
        <v>-0.949907813125177</v>
      </c>
      <c r="AFV80" s="0" t="n">
        <f aca="true">_xlfn.NORM.S.INV(RAND())</f>
        <v>1.11431686787434</v>
      </c>
      <c r="AFW80" s="0" t="n">
        <f aca="true">_xlfn.NORM.S.INV(RAND())</f>
        <v>0.172534767115439</v>
      </c>
      <c r="AFX80" s="0" t="n">
        <f aca="true">_xlfn.NORM.S.INV(RAND())</f>
        <v>1.290017123051</v>
      </c>
      <c r="AFY80" s="0" t="n">
        <f aca="true">_xlfn.NORM.S.INV(RAND())</f>
        <v>-0.0742128049430173</v>
      </c>
      <c r="AFZ80" s="0" t="n">
        <f aca="true">_xlfn.NORM.S.INV(RAND())</f>
        <v>0.435036732248715</v>
      </c>
      <c r="AGA80" s="0" t="n">
        <f aca="true">_xlfn.NORM.S.INV(RAND())</f>
        <v>0.652259491300889</v>
      </c>
      <c r="AGB80" s="0" t="n">
        <f aca="true">_xlfn.NORM.S.INV(RAND())</f>
        <v>-1.10330591721213</v>
      </c>
      <c r="AGC80" s="0" t="n">
        <f aca="true">_xlfn.NORM.S.INV(RAND())</f>
        <v>0.124487219529561</v>
      </c>
      <c r="AGD80" s="0" t="n">
        <f aca="true">_xlfn.NORM.S.INV(RAND())</f>
        <v>-2.38527013457725</v>
      </c>
      <c r="AGE80" s="0" t="n">
        <f aca="true">_xlfn.NORM.S.INV(RAND())</f>
        <v>1.3188572961163</v>
      </c>
      <c r="AGF80" s="0" t="n">
        <f aca="true">_xlfn.NORM.S.INV(RAND())</f>
        <v>0.307859009136217</v>
      </c>
      <c r="AGG80" s="0" t="n">
        <f aca="true">_xlfn.NORM.S.INV(RAND())</f>
        <v>0.468227971528145</v>
      </c>
      <c r="AGH80" s="0" t="n">
        <f aca="true">_xlfn.NORM.S.INV(RAND())</f>
        <v>0.684851663487131</v>
      </c>
      <c r="AGI80" s="0" t="n">
        <f aca="true">_xlfn.NORM.S.INV(RAND())</f>
        <v>1.19213966757753</v>
      </c>
      <c r="AGJ80" s="0" t="n">
        <f aca="true">_xlfn.NORM.S.INV(RAND())</f>
        <v>1.32605554382072</v>
      </c>
      <c r="AGK80" s="0" t="n">
        <f aca="true">_xlfn.NORM.S.INV(RAND())</f>
        <v>0.466290923091434</v>
      </c>
      <c r="AGL80" s="0" t="n">
        <f aca="true">_xlfn.NORM.S.INV(RAND())</f>
        <v>1.09786615663211</v>
      </c>
      <c r="AGM80" s="0" t="n">
        <f aca="true">_xlfn.NORM.S.INV(RAND())</f>
        <v>-0.981417551156531</v>
      </c>
      <c r="AGN80" s="0" t="n">
        <f aca="true">_xlfn.NORM.S.INV(RAND())</f>
        <v>-0.00527257274835775</v>
      </c>
      <c r="AGO80" s="0" t="n">
        <f aca="true">_xlfn.NORM.S.INV(RAND())</f>
        <v>0.644578111976587</v>
      </c>
      <c r="AGP80" s="0" t="n">
        <f aca="true">_xlfn.NORM.S.INV(RAND())</f>
        <v>0.709026720895237</v>
      </c>
      <c r="AGQ80" s="0" t="n">
        <f aca="true">_xlfn.NORM.S.INV(RAND())</f>
        <v>-1.24569080979132</v>
      </c>
      <c r="AGR80" s="0" t="n">
        <f aca="true">_xlfn.NORM.S.INV(RAND())</f>
        <v>0.13840088033734</v>
      </c>
      <c r="AGS80" s="0" t="n">
        <f aca="true">_xlfn.NORM.S.INV(RAND())</f>
        <v>-0.839138770993388</v>
      </c>
      <c r="AGT80" s="0" t="n">
        <f aca="true">_xlfn.NORM.S.INV(RAND())</f>
        <v>1.27610071866301</v>
      </c>
      <c r="AGU80" s="0" t="n">
        <f aca="true">_xlfn.NORM.S.INV(RAND())</f>
        <v>-0.380093998485636</v>
      </c>
      <c r="AGV80" s="0" t="n">
        <f aca="true">_xlfn.NORM.S.INV(RAND())</f>
        <v>-1.04373068165906</v>
      </c>
      <c r="AGW80" s="0" t="n">
        <f aca="true">_xlfn.NORM.S.INV(RAND())</f>
        <v>0.964971443548422</v>
      </c>
      <c r="AGX80" s="0" t="n">
        <f aca="true">_xlfn.NORM.S.INV(RAND())</f>
        <v>0.950011347679006</v>
      </c>
      <c r="AGY80" s="0" t="n">
        <f aca="true">_xlfn.NORM.S.INV(RAND())</f>
        <v>-0.104342793242056</v>
      </c>
      <c r="AGZ80" s="0" t="n">
        <f aca="true">_xlfn.NORM.S.INV(RAND())</f>
        <v>0.592315982722482</v>
      </c>
      <c r="AHA80" s="0" t="n">
        <f aca="true">_xlfn.NORM.S.INV(RAND())</f>
        <v>2.30089517321443</v>
      </c>
      <c r="AHB80" s="0" t="n">
        <f aca="true">_xlfn.NORM.S.INV(RAND())</f>
        <v>-0.228613405477222</v>
      </c>
      <c r="AHC80" s="0" t="n">
        <f aca="true">_xlfn.NORM.S.INV(RAND())</f>
        <v>1.56153075864634</v>
      </c>
      <c r="AHD80" s="0" t="n">
        <f aca="true">_xlfn.NORM.S.INV(RAND())</f>
        <v>0.347037160273017</v>
      </c>
      <c r="AHE80" s="0" t="n">
        <f aca="true">_xlfn.NORM.S.INV(RAND())</f>
        <v>-0.514450676067056</v>
      </c>
      <c r="AHF80" s="0" t="n">
        <f aca="true">_xlfn.NORM.S.INV(RAND())</f>
        <v>1.81260039124333</v>
      </c>
      <c r="AHG80" s="0" t="n">
        <f aca="true">_xlfn.NORM.S.INV(RAND())</f>
        <v>-0.759150922250097</v>
      </c>
      <c r="AHH80" s="0" t="n">
        <f aca="true">_xlfn.NORM.S.INV(RAND())</f>
        <v>-1.59015716533767</v>
      </c>
      <c r="AHI80" s="0" t="n">
        <f aca="true">_xlfn.NORM.S.INV(RAND())</f>
        <v>0.809824967127957</v>
      </c>
      <c r="AHJ80" s="0" t="n">
        <f aca="true">_xlfn.NORM.S.INV(RAND())</f>
        <v>-0.626009131462691</v>
      </c>
      <c r="AHK80" s="0" t="n">
        <f aca="true">_xlfn.NORM.S.INV(RAND())</f>
        <v>0.653553195428927</v>
      </c>
      <c r="AHL80" s="0" t="n">
        <f aca="true">_xlfn.NORM.S.INV(RAND())</f>
        <v>0.501296742048672</v>
      </c>
      <c r="AHM80" s="0" t="n">
        <f aca="true">_xlfn.NORM.S.INV(RAND())</f>
        <v>-0.122504975487783</v>
      </c>
      <c r="AHN80" s="0" t="n">
        <f aca="true">_xlfn.NORM.S.INV(RAND())</f>
        <v>0.58548721256943</v>
      </c>
      <c r="AHO80" s="0" t="n">
        <f aca="true">_xlfn.NORM.S.INV(RAND())</f>
        <v>-0.263133890323235</v>
      </c>
      <c r="AHP80" s="0" t="n">
        <f aca="true">_xlfn.NORM.S.INV(RAND())</f>
        <v>2.15017534821192</v>
      </c>
      <c r="AHQ80" s="0" t="n">
        <f aca="true">_xlfn.NORM.S.INV(RAND())</f>
        <v>0.221746183151133</v>
      </c>
      <c r="AHR80" s="0" t="n">
        <f aca="true">_xlfn.NORM.S.INV(RAND())</f>
        <v>1.36768355059643</v>
      </c>
      <c r="AHS80" s="0" t="n">
        <f aca="true">_xlfn.NORM.S.INV(RAND())</f>
        <v>-0.811837530612763</v>
      </c>
      <c r="AHT80" s="0" t="n">
        <f aca="true">_xlfn.NORM.S.INV(RAND())</f>
        <v>0.215115022644503</v>
      </c>
      <c r="AHU80" s="0" t="n">
        <f aca="true">_xlfn.NORM.S.INV(RAND())</f>
        <v>-0.183184767104732</v>
      </c>
      <c r="AHV80" s="0" t="n">
        <f aca="true">_xlfn.NORM.S.INV(RAND())</f>
        <v>-0.711284238101973</v>
      </c>
      <c r="AHW80" s="0" t="n">
        <f aca="true">_xlfn.NORM.S.INV(RAND())</f>
        <v>-0.859665776400496</v>
      </c>
      <c r="AHX80" s="0" t="n">
        <f aca="true">_xlfn.NORM.S.INV(RAND())</f>
        <v>0.544415149568776</v>
      </c>
      <c r="AHY80" s="0" t="n">
        <f aca="true">_xlfn.NORM.S.INV(RAND())</f>
        <v>0.44498760272447</v>
      </c>
      <c r="AHZ80" s="0" t="n">
        <f aca="true">_xlfn.NORM.S.INV(RAND())</f>
        <v>-1.83795316022521</v>
      </c>
      <c r="AIA80" s="0" t="n">
        <f aca="true">_xlfn.NORM.S.INV(RAND())</f>
        <v>0.280241857239258</v>
      </c>
      <c r="AIB80" s="0" t="n">
        <f aca="true">_xlfn.NORM.S.INV(RAND())</f>
        <v>-0.694428311817164</v>
      </c>
      <c r="AIC80" s="0" t="n">
        <f aca="true">_xlfn.NORM.S.INV(RAND())</f>
        <v>-0.338258730436025</v>
      </c>
      <c r="AID80" s="0" t="n">
        <f aca="true">_xlfn.NORM.S.INV(RAND())</f>
        <v>1.52794136728069</v>
      </c>
      <c r="AIE80" s="0" t="n">
        <f aca="true">_xlfn.NORM.S.INV(RAND())</f>
        <v>0.234278783145021</v>
      </c>
      <c r="AIF80" s="0" t="n">
        <f aca="true">_xlfn.NORM.S.INV(RAND())</f>
        <v>-1.06003998572895</v>
      </c>
      <c r="AIG80" s="0" t="n">
        <f aca="true">_xlfn.NORM.S.INV(RAND())</f>
        <v>-0.35965403215938</v>
      </c>
      <c r="AIH80" s="0" t="n">
        <f aca="true">_xlfn.NORM.S.INV(RAND())</f>
        <v>-1.66967750482191</v>
      </c>
      <c r="AII80" s="0" t="n">
        <f aca="true">_xlfn.NORM.S.INV(RAND())</f>
        <v>-0.118602655386813</v>
      </c>
      <c r="AIJ80" s="0" t="n">
        <f aca="true">_xlfn.NORM.S.INV(RAND())</f>
        <v>-0.234028364068486</v>
      </c>
      <c r="AIK80" s="0" t="n">
        <f aca="true">_xlfn.NORM.S.INV(RAND())</f>
        <v>0.900263969820807</v>
      </c>
      <c r="AIL80" s="0" t="n">
        <f aca="true">_xlfn.NORM.S.INV(RAND())</f>
        <v>-0.0570562426647733</v>
      </c>
      <c r="AIM80" s="0" t="n">
        <f aca="true">_xlfn.NORM.S.INV(RAND())</f>
        <v>-0.519883740812898</v>
      </c>
      <c r="AIN80" s="0" t="n">
        <f aca="true">_xlfn.NORM.S.INV(RAND())</f>
        <v>-0.254447164675829</v>
      </c>
      <c r="AIO80" s="0" t="n">
        <f aca="true">_xlfn.NORM.S.INV(RAND())</f>
        <v>0.573982262464798</v>
      </c>
      <c r="AIP80" s="0" t="n">
        <f aca="true">_xlfn.NORM.S.INV(RAND())</f>
        <v>1.15738769067592</v>
      </c>
      <c r="AIQ80" s="0" t="n">
        <f aca="true">_xlfn.NORM.S.INV(RAND())</f>
        <v>0.00731691077148423</v>
      </c>
      <c r="AIR80" s="0" t="n">
        <f aca="true">_xlfn.NORM.S.INV(RAND())</f>
        <v>-0.0643625882683308</v>
      </c>
      <c r="AIS80" s="0" t="n">
        <f aca="true">_xlfn.NORM.S.INV(RAND())</f>
        <v>0.943956807505021</v>
      </c>
      <c r="AIT80" s="0" t="n">
        <f aca="true">_xlfn.NORM.S.INV(RAND())</f>
        <v>0.415962177333222</v>
      </c>
      <c r="AIU80" s="0" t="n">
        <f aca="true">_xlfn.NORM.S.INV(RAND())</f>
        <v>-1.32558156651333</v>
      </c>
      <c r="AIV80" s="0" t="n">
        <f aca="true">_xlfn.NORM.S.INV(RAND())</f>
        <v>0.102327647886821</v>
      </c>
      <c r="AIW80" s="0" t="n">
        <f aca="true">_xlfn.NORM.S.INV(RAND())</f>
        <v>3.13226784740272</v>
      </c>
      <c r="AIX80" s="0" t="n">
        <f aca="true">_xlfn.NORM.S.INV(RAND())</f>
        <v>-0.46877006897489</v>
      </c>
      <c r="AIY80" s="0" t="n">
        <f aca="true">_xlfn.NORM.S.INV(RAND())</f>
        <v>-0.125199047137417</v>
      </c>
      <c r="AIZ80" s="0" t="n">
        <f aca="true">_xlfn.NORM.S.INV(RAND())</f>
        <v>0.368315024764582</v>
      </c>
      <c r="AJA80" s="0" t="n">
        <f aca="true">_xlfn.NORM.S.INV(RAND())</f>
        <v>1.25681416100007</v>
      </c>
      <c r="AJB80" s="0" t="n">
        <f aca="true">_xlfn.NORM.S.INV(RAND())</f>
        <v>0.851475007747698</v>
      </c>
      <c r="AJC80" s="0" t="n">
        <f aca="true">_xlfn.NORM.S.INV(RAND())</f>
        <v>-0.189540299279467</v>
      </c>
      <c r="AJD80" s="0" t="n">
        <f aca="true">_xlfn.NORM.S.INV(RAND())</f>
        <v>-1.30634032205496</v>
      </c>
      <c r="AJE80" s="0" t="n">
        <f aca="true">_xlfn.NORM.S.INV(RAND())</f>
        <v>0.880906981809525</v>
      </c>
      <c r="AJF80" s="0" t="n">
        <f aca="true">_xlfn.NORM.S.INV(RAND())</f>
        <v>0.730791946747599</v>
      </c>
      <c r="AJG80" s="0" t="n">
        <f aca="true">_xlfn.NORM.S.INV(RAND())</f>
        <v>-3.24419501188177</v>
      </c>
      <c r="AJH80" s="0" t="n">
        <f aca="true">_xlfn.NORM.S.INV(RAND())</f>
        <v>-0.347897508785794</v>
      </c>
      <c r="AJI80" s="0" t="n">
        <f aca="true">_xlfn.NORM.S.INV(RAND())</f>
        <v>0.437526867849815</v>
      </c>
      <c r="AJJ80" s="0" t="n">
        <f aca="true">_xlfn.NORM.S.INV(RAND())</f>
        <v>0.207003817522665</v>
      </c>
      <c r="AJK80" s="0" t="n">
        <f aca="true">_xlfn.NORM.S.INV(RAND())</f>
        <v>0.422283526207081</v>
      </c>
      <c r="AJL80" s="0" t="n">
        <f aca="true">_xlfn.NORM.S.INV(RAND())</f>
        <v>0.657753948379216</v>
      </c>
      <c r="AJM80" s="0" t="n">
        <f aca="true">_xlfn.NORM.S.INV(RAND())</f>
        <v>0.409430433640861</v>
      </c>
      <c r="AJN80" s="0" t="n">
        <f aca="true">_xlfn.NORM.S.INV(RAND())</f>
        <v>0.875826587146697</v>
      </c>
      <c r="AJO80" s="0" t="n">
        <f aca="true">_xlfn.NORM.S.INV(RAND())</f>
        <v>0.439609534176755</v>
      </c>
      <c r="AJP80" s="0" t="n">
        <f aca="true">_xlfn.NORM.S.INV(RAND())</f>
        <v>1.37112160495163</v>
      </c>
      <c r="AJQ80" s="0" t="n">
        <f aca="true">_xlfn.NORM.S.INV(RAND())</f>
        <v>0.0217649057134762</v>
      </c>
      <c r="AJR80" s="0" t="n">
        <f aca="true">_xlfn.NORM.S.INV(RAND())</f>
        <v>-0.693480420398843</v>
      </c>
      <c r="AJS80" s="0" t="n">
        <f aca="true">_xlfn.NORM.S.INV(RAND())</f>
        <v>-0.210093464937056</v>
      </c>
      <c r="AJT80" s="0" t="n">
        <f aca="true">_xlfn.NORM.S.INV(RAND())</f>
        <v>-0.95286590647024</v>
      </c>
      <c r="AJU80" s="0" t="n">
        <f aca="true">_xlfn.NORM.S.INV(RAND())</f>
        <v>2.06353132467016</v>
      </c>
      <c r="AJV80" s="0" t="n">
        <f aca="true">_xlfn.NORM.S.INV(RAND())</f>
        <v>-0.551602275456752</v>
      </c>
      <c r="AJW80" s="0" t="n">
        <f aca="true">_xlfn.NORM.S.INV(RAND())</f>
        <v>0.199849241241211</v>
      </c>
      <c r="AJX80" s="0" t="n">
        <f aca="true">_xlfn.NORM.S.INV(RAND())</f>
        <v>-0.54875884939083</v>
      </c>
      <c r="AJY80" s="0" t="n">
        <f aca="true">_xlfn.NORM.S.INV(RAND())</f>
        <v>0.329282318844401</v>
      </c>
      <c r="AJZ80" s="0" t="n">
        <f aca="true">_xlfn.NORM.S.INV(RAND())</f>
        <v>-1.52501310125704</v>
      </c>
      <c r="AKA80" s="0" t="n">
        <f aca="true">_xlfn.NORM.S.INV(RAND())</f>
        <v>0.753505503031357</v>
      </c>
      <c r="AKB80" s="0" t="n">
        <f aca="true">_xlfn.NORM.S.INV(RAND())</f>
        <v>-1.48217082037015</v>
      </c>
      <c r="AKC80" s="0" t="n">
        <f aca="true">_xlfn.NORM.S.INV(RAND())</f>
        <v>0.651372105979096</v>
      </c>
      <c r="AKD80" s="0" t="n">
        <f aca="true">_xlfn.NORM.S.INV(RAND())</f>
        <v>-1.10569901636234</v>
      </c>
      <c r="AKE80" s="0" t="n">
        <f aca="true">_xlfn.NORM.S.INV(RAND())</f>
        <v>0.64368173508573</v>
      </c>
      <c r="AKF80" s="0" t="n">
        <f aca="true">_xlfn.NORM.S.INV(RAND())</f>
        <v>0.979190089404466</v>
      </c>
      <c r="AKG80" s="0" t="n">
        <f aca="true">_xlfn.NORM.S.INV(RAND())</f>
        <v>-0.649436389809631</v>
      </c>
      <c r="AKH80" s="0" t="n">
        <f aca="true">_xlfn.NORM.S.INV(RAND())</f>
        <v>0.837070738712553</v>
      </c>
      <c r="AKI80" s="0" t="n">
        <f aca="true">_xlfn.NORM.S.INV(RAND())</f>
        <v>-1.28252756292372</v>
      </c>
      <c r="AKJ80" s="0" t="n">
        <f aca="true">_xlfn.NORM.S.INV(RAND())</f>
        <v>-2.16590652892708</v>
      </c>
      <c r="AKK80" s="0" t="n">
        <f aca="true">_xlfn.NORM.S.INV(RAND())</f>
        <v>-1.41721560838084</v>
      </c>
      <c r="AKL80" s="0" t="n">
        <f aca="true">_xlfn.NORM.S.INV(RAND())</f>
        <v>-0.874242752644506</v>
      </c>
      <c r="AKM80" s="0" t="n">
        <f aca="true">_xlfn.NORM.S.INV(RAND())</f>
        <v>0.414046149921126</v>
      </c>
      <c r="AKN80" s="0" t="n">
        <f aca="true">_xlfn.NORM.S.INV(RAND())</f>
        <v>0.397898199094418</v>
      </c>
      <c r="AKO80" s="0" t="n">
        <f aca="true">_xlfn.NORM.S.INV(RAND())</f>
        <v>0.34381848009428</v>
      </c>
      <c r="AKP80" s="0" t="n">
        <f aca="true">_xlfn.NORM.S.INV(RAND())</f>
        <v>-1.48664510242464</v>
      </c>
      <c r="AKQ80" s="0" t="n">
        <f aca="true">_xlfn.NORM.S.INV(RAND())</f>
        <v>0.393639817558697</v>
      </c>
      <c r="AKR80" s="0" t="n">
        <f aca="true">_xlfn.NORM.S.INV(RAND())</f>
        <v>0.19463327409643</v>
      </c>
      <c r="AKS80" s="0" t="n">
        <f aca="true">_xlfn.NORM.S.INV(RAND())</f>
        <v>-0.263888789757828</v>
      </c>
      <c r="AKT80" s="0" t="n">
        <f aca="true">_xlfn.NORM.S.INV(RAND())</f>
        <v>0.54505356653591</v>
      </c>
      <c r="AKU80" s="0" t="n">
        <f aca="true">_xlfn.NORM.S.INV(RAND())</f>
        <v>-0.565843110578754</v>
      </c>
      <c r="AKV80" s="0" t="n">
        <f aca="true">_xlfn.NORM.S.INV(RAND())</f>
        <v>0.336715240324407</v>
      </c>
      <c r="AKW80" s="0" t="n">
        <f aca="true">_xlfn.NORM.S.INV(RAND())</f>
        <v>0.0917037967690198</v>
      </c>
      <c r="AKX80" s="0" t="n">
        <f aca="true">_xlfn.NORM.S.INV(RAND())</f>
        <v>-0.695697624112591</v>
      </c>
      <c r="AKY80" s="0" t="n">
        <f aca="true">_xlfn.NORM.S.INV(RAND())</f>
        <v>1.82534806684129</v>
      </c>
      <c r="AKZ80" s="0" t="n">
        <f aca="true">_xlfn.NORM.S.INV(RAND())</f>
        <v>-1.68731568735886</v>
      </c>
      <c r="ALA80" s="0" t="n">
        <f aca="true">_xlfn.NORM.S.INV(RAND())</f>
        <v>0.347968281015871</v>
      </c>
      <c r="ALB80" s="0" t="n">
        <f aca="true">_xlfn.NORM.S.INV(RAND())</f>
        <v>0.920647618609084</v>
      </c>
      <c r="ALC80" s="0" t="n">
        <f aca="true">_xlfn.NORM.S.INV(RAND())</f>
        <v>0.348806378121923</v>
      </c>
      <c r="ALD80" s="0" t="n">
        <f aca="true">_xlfn.NORM.S.INV(RAND())</f>
        <v>0.0731388020279922</v>
      </c>
      <c r="ALE80" s="0" t="n">
        <f aca="true">_xlfn.NORM.S.INV(RAND())</f>
        <v>-0.7677448745333</v>
      </c>
      <c r="ALF80" s="0" t="n">
        <f aca="true">_xlfn.NORM.S.INV(RAND())</f>
        <v>-1.65286057473816</v>
      </c>
      <c r="ALG80" s="0" t="n">
        <f aca="true">_xlfn.NORM.S.INV(RAND())</f>
        <v>1.04581405858574</v>
      </c>
      <c r="ALH80" s="0" t="n">
        <f aca="true">_xlfn.NORM.S.INV(RAND())</f>
        <v>1.52804636403991</v>
      </c>
      <c r="ALI80" s="0" t="n">
        <f aca="true">_xlfn.NORM.S.INV(RAND())</f>
        <v>0.26932375110285</v>
      </c>
      <c r="ALJ80" s="0" t="n">
        <f aca="true">_xlfn.NORM.S.INV(RAND())</f>
        <v>0.492079249728933</v>
      </c>
      <c r="ALK80" s="0" t="n">
        <f aca="true">_xlfn.NORM.S.INV(RAND())</f>
        <v>-0.386818662874538</v>
      </c>
      <c r="ALL80" s="0" t="n">
        <f aca="true">_xlfn.NORM.S.INV(RAND())</f>
        <v>-1.18055704574739</v>
      </c>
      <c r="ALM80" s="0" t="n">
        <f aca="true">_xlfn.NORM.S.INV(RAND())</f>
        <v>-0.844811467332966</v>
      </c>
    </row>
    <row r="81" customFormat="false" ht="14.5" hidden="false" customHeight="false" outlineLevel="0" collapsed="false">
      <c r="A81" s="0" t="s">
        <v>122</v>
      </c>
      <c r="B81" s="0" t="n">
        <f aca="true">B80*$D$71+(1-$D$71^2)*_xlfn.NORM.S.INV(RAND())</f>
        <v>0.18537351206033</v>
      </c>
      <c r="C81" s="0" t="n">
        <f aca="true">C80*$D$71+(1-$D$71^2)*_xlfn.NORM.S.INV(RAND())</f>
        <v>-0.11159878329097</v>
      </c>
      <c r="D81" s="0" t="n">
        <f aca="true">D80*$D$71+(1-$D$71^2)*_xlfn.NORM.S.INV(RAND())</f>
        <v>-1.63982978571188</v>
      </c>
      <c r="E81" s="0" t="n">
        <f aca="true">E80*$D$71+(1-$D$71^2)*_xlfn.NORM.S.INV(RAND())</f>
        <v>-0.290347023307365</v>
      </c>
      <c r="F81" s="0" t="n">
        <f aca="true">F80*$D$71+(1-$D$71^2)*_xlfn.NORM.S.INV(RAND())</f>
        <v>0.0338162532927111</v>
      </c>
      <c r="G81" s="0" t="n">
        <f aca="true">G80*$D$71+(1-$D$71^2)*_xlfn.NORM.S.INV(RAND())</f>
        <v>-0.344369429257552</v>
      </c>
      <c r="H81" s="0" t="n">
        <f aca="true">H80*$D$71+(1-$D$71^2)*_xlfn.NORM.S.INV(RAND())</f>
        <v>-0.245664561167007</v>
      </c>
      <c r="I81" s="0" t="n">
        <f aca="true">I80*$D$71+(1-$D$71^2)*_xlfn.NORM.S.INV(RAND())</f>
        <v>-1.37838088518235</v>
      </c>
      <c r="J81" s="0" t="n">
        <f aca="true">J80*$D$71+(1-$D$71^2)*_xlfn.NORM.S.INV(RAND())</f>
        <v>-0.252570162545202</v>
      </c>
      <c r="K81" s="0" t="n">
        <f aca="true">K80*$D$71+(1-$D$71^2)*_xlfn.NORM.S.INV(RAND())</f>
        <v>0.704049339174085</v>
      </c>
      <c r="L81" s="0" t="n">
        <f aca="true">L80*$D$71+(1-$D$71^2)*_xlfn.NORM.S.INV(RAND())</f>
        <v>-0.107378591877569</v>
      </c>
      <c r="M81" s="0" t="n">
        <f aca="true">M80*$D$71+(1-$D$71^2)*_xlfn.NORM.S.INV(RAND())</f>
        <v>-0.536311886327862</v>
      </c>
      <c r="N81" s="0" t="n">
        <f aca="true">N80*$D$71+(1-$D$71^2)*_xlfn.NORM.S.INV(RAND())</f>
        <v>0.710905694109207</v>
      </c>
      <c r="O81" s="0" t="n">
        <f aca="true">O80*$D$71+(1-$D$71^2)*_xlfn.NORM.S.INV(RAND())</f>
        <v>1.04385519732759</v>
      </c>
      <c r="P81" s="0" t="n">
        <f aca="true">P80*$D$71+(1-$D$71^2)*_xlfn.NORM.S.INV(RAND())</f>
        <v>-0.54238040917296</v>
      </c>
      <c r="Q81" s="0" t="n">
        <f aca="true">Q80*$D$71+(1-$D$71^2)*_xlfn.NORM.S.INV(RAND())</f>
        <v>1.05234151117414</v>
      </c>
      <c r="R81" s="0" t="n">
        <f aca="true">R80*$D$71+(1-$D$71^2)*_xlfn.NORM.S.INV(RAND())</f>
        <v>1.29243267283442</v>
      </c>
      <c r="S81" s="0" t="n">
        <f aca="true">S80*$D$71+(1-$D$71^2)*_xlfn.NORM.S.INV(RAND())</f>
        <v>0.858447083547546</v>
      </c>
      <c r="T81" s="0" t="n">
        <f aca="true">T80*$D$71+(1-$D$71^2)*_xlfn.NORM.S.INV(RAND())</f>
        <v>0.643248762311911</v>
      </c>
      <c r="U81" s="0" t="n">
        <f aca="true">U80*$D$71+(1-$D$71^2)*_xlfn.NORM.S.INV(RAND())</f>
        <v>1.76231805496251</v>
      </c>
      <c r="V81" s="0" t="n">
        <f aca="true">V80*$D$71+(1-$D$71^2)*_xlfn.NORM.S.INV(RAND())</f>
        <v>0.45110189783235</v>
      </c>
      <c r="W81" s="0" t="n">
        <f aca="true">W80*$D$71+(1-$D$71^2)*_xlfn.NORM.S.INV(RAND())</f>
        <v>-0.475604217971813</v>
      </c>
      <c r="X81" s="0" t="n">
        <f aca="true">X80*$D$71+(1-$D$71^2)*_xlfn.NORM.S.INV(RAND())</f>
        <v>-0.725632272160149</v>
      </c>
      <c r="Y81" s="0" t="n">
        <f aca="true">Y80*$D$71+(1-$D$71^2)*_xlfn.NORM.S.INV(RAND())</f>
        <v>0.0757699512517333</v>
      </c>
      <c r="Z81" s="0" t="n">
        <f aca="true">Z80*$D$71+(1-$D$71^2)*_xlfn.NORM.S.INV(RAND())</f>
        <v>-1.69364356064162</v>
      </c>
      <c r="AA81" s="0" t="n">
        <f aca="true">AA80*$D$71+(1-$D$71^2)*_xlfn.NORM.S.INV(RAND())</f>
        <v>-1.67455857503663</v>
      </c>
      <c r="AB81" s="0" t="n">
        <f aca="true">AB80*$D$71+(1-$D$71^2)*_xlfn.NORM.S.INV(RAND())</f>
        <v>-2.02521917946668</v>
      </c>
      <c r="AC81" s="0" t="n">
        <f aca="true">AC80*$D$71+(1-$D$71^2)*_xlfn.NORM.S.INV(RAND())</f>
        <v>1.46355185891203</v>
      </c>
      <c r="AD81" s="0" t="n">
        <f aca="true">AD80*$D$71+(1-$D$71^2)*_xlfn.NORM.S.INV(RAND())</f>
        <v>-1.11703822563454</v>
      </c>
      <c r="AE81" s="0" t="n">
        <f aca="true">AE80*$D$71+(1-$D$71^2)*_xlfn.NORM.S.INV(RAND())</f>
        <v>-0.00945246585945389</v>
      </c>
      <c r="AF81" s="0" t="n">
        <f aca="true">AF80*$D$71+(1-$D$71^2)*_xlfn.NORM.S.INV(RAND())</f>
        <v>0.723469933349086</v>
      </c>
      <c r="AG81" s="0" t="n">
        <f aca="true">AG80*$D$71+(1-$D$71^2)*_xlfn.NORM.S.INV(RAND())</f>
        <v>-0.372189755031868</v>
      </c>
      <c r="AH81" s="0" t="n">
        <f aca="true">AH80*$D$71+(1-$D$71^2)*_xlfn.NORM.S.INV(RAND())</f>
        <v>0.109348960465507</v>
      </c>
      <c r="AI81" s="0" t="n">
        <f aca="true">AI80*$D$71+(1-$D$71^2)*_xlfn.NORM.S.INV(RAND())</f>
        <v>0.410699827929717</v>
      </c>
      <c r="AJ81" s="0" t="n">
        <f aca="true">AJ80*$D$71+(1-$D$71^2)*_xlfn.NORM.S.INV(RAND())</f>
        <v>-0.974344636653578</v>
      </c>
      <c r="AK81" s="0" t="n">
        <f aca="true">AK80*$D$71+(1-$D$71^2)*_xlfn.NORM.S.INV(RAND())</f>
        <v>-0.377570473989096</v>
      </c>
      <c r="AL81" s="0" t="n">
        <f aca="true">AL80*$D$71+(1-$D$71^2)*_xlfn.NORM.S.INV(RAND())</f>
        <v>-1.14105228463007</v>
      </c>
      <c r="AM81" s="0" t="n">
        <f aca="true">AM80*$D$71+(1-$D$71^2)*_xlfn.NORM.S.INV(RAND())</f>
        <v>-1.28209997488054</v>
      </c>
      <c r="AN81" s="0" t="n">
        <f aca="true">AN80*$D$71+(1-$D$71^2)*_xlfn.NORM.S.INV(RAND())</f>
        <v>0.061410778856014</v>
      </c>
      <c r="AO81" s="0" t="n">
        <f aca="true">AO80*$D$71+(1-$D$71^2)*_xlfn.NORM.S.INV(RAND())</f>
        <v>2.0600675980472</v>
      </c>
      <c r="AP81" s="0" t="n">
        <f aca="true">AP80*$D$71+(1-$D$71^2)*_xlfn.NORM.S.INV(RAND())</f>
        <v>0.324128492893638</v>
      </c>
      <c r="AQ81" s="0" t="n">
        <f aca="true">AQ80*$D$71+(1-$D$71^2)*_xlfn.NORM.S.INV(RAND())</f>
        <v>-0.245900546619981</v>
      </c>
      <c r="AR81" s="0" t="n">
        <f aca="true">AR80*$D$71+(1-$D$71^2)*_xlfn.NORM.S.INV(RAND())</f>
        <v>1.1054625500441</v>
      </c>
      <c r="AS81" s="0" t="n">
        <f aca="true">AS80*$D$71+(1-$D$71^2)*_xlfn.NORM.S.INV(RAND())</f>
        <v>0.000444218077925052</v>
      </c>
      <c r="AT81" s="0" t="n">
        <f aca="true">AT80*$D$71+(1-$D$71^2)*_xlfn.NORM.S.INV(RAND())</f>
        <v>0.0451010073923852</v>
      </c>
      <c r="AU81" s="0" t="n">
        <f aca="true">AU80*$D$71+(1-$D$71^2)*_xlfn.NORM.S.INV(RAND())</f>
        <v>-0.23666910448063</v>
      </c>
      <c r="AV81" s="0" t="n">
        <f aca="true">AV80*$D$71+(1-$D$71^2)*_xlfn.NORM.S.INV(RAND())</f>
        <v>-0.970665250836723</v>
      </c>
      <c r="AW81" s="0" t="n">
        <f aca="true">AW80*$D$71+(1-$D$71^2)*_xlfn.NORM.S.INV(RAND())</f>
        <v>-0.0504896875836005</v>
      </c>
      <c r="AX81" s="0" t="n">
        <f aca="true">AX80*$D$71+(1-$D$71^2)*_xlfn.NORM.S.INV(RAND())</f>
        <v>1.26521804172352</v>
      </c>
      <c r="AY81" s="0" t="n">
        <f aca="true">AY80*$D$71+(1-$D$71^2)*_xlfn.NORM.S.INV(RAND())</f>
        <v>-0.260570350232893</v>
      </c>
      <c r="AZ81" s="0" t="n">
        <f aca="true">AZ80*$D$71+(1-$D$71^2)*_xlfn.NORM.S.INV(RAND())</f>
        <v>-1.71227291818489</v>
      </c>
      <c r="BA81" s="0" t="n">
        <f aca="true">BA80*$D$71+(1-$D$71^2)*_xlfn.NORM.S.INV(RAND())</f>
        <v>0.0501052190959179</v>
      </c>
      <c r="BB81" s="0" t="n">
        <f aca="true">BB80*$D$71+(1-$D$71^2)*_xlfn.NORM.S.INV(RAND())</f>
        <v>1.17485595230033</v>
      </c>
      <c r="BC81" s="0" t="n">
        <f aca="true">BC80*$D$71+(1-$D$71^2)*_xlfn.NORM.S.INV(RAND())</f>
        <v>-0.316075383434803</v>
      </c>
      <c r="BD81" s="0" t="n">
        <f aca="true">BD80*$D$71+(1-$D$71^2)*_xlfn.NORM.S.INV(RAND())</f>
        <v>0.883409411615104</v>
      </c>
      <c r="BE81" s="0" t="n">
        <f aca="true">BE80*$D$71+(1-$D$71^2)*_xlfn.NORM.S.INV(RAND())</f>
        <v>0.0625149790343996</v>
      </c>
      <c r="BF81" s="0" t="n">
        <f aca="true">BF80*$D$71+(1-$D$71^2)*_xlfn.NORM.S.INV(RAND())</f>
        <v>1.13178264106</v>
      </c>
      <c r="BG81" s="0" t="n">
        <f aca="true">BG80*$D$71+(1-$D$71^2)*_xlfn.NORM.S.INV(RAND())</f>
        <v>-1.27059189843604</v>
      </c>
      <c r="BH81" s="0" t="n">
        <f aca="true">BH80*$D$71+(1-$D$71^2)*_xlfn.NORM.S.INV(RAND())</f>
        <v>0.353376789168025</v>
      </c>
      <c r="BI81" s="0" t="n">
        <f aca="true">BI80*$D$71+(1-$D$71^2)*_xlfn.NORM.S.INV(RAND())</f>
        <v>-1.46304094070379</v>
      </c>
      <c r="BJ81" s="0" t="n">
        <f aca="true">BJ80*$D$71+(1-$D$71^2)*_xlfn.NORM.S.INV(RAND())</f>
        <v>-0.458992502124176</v>
      </c>
      <c r="BK81" s="0" t="n">
        <f aca="true">BK80*$D$71+(1-$D$71^2)*_xlfn.NORM.S.INV(RAND())</f>
        <v>-0.607133255737781</v>
      </c>
      <c r="BL81" s="0" t="n">
        <f aca="true">BL80*$D$71+(1-$D$71^2)*_xlfn.NORM.S.INV(RAND())</f>
        <v>-0.429554351672687</v>
      </c>
      <c r="BM81" s="0" t="n">
        <f aca="true">BM80*$D$71+(1-$D$71^2)*_xlfn.NORM.S.INV(RAND())</f>
        <v>0.922473659704364</v>
      </c>
      <c r="BN81" s="0" t="n">
        <f aca="true">BN80*$D$71+(1-$D$71^2)*_xlfn.NORM.S.INV(RAND())</f>
        <v>1.1551266606465</v>
      </c>
      <c r="BO81" s="0" t="n">
        <f aca="true">BO80*$D$71+(1-$D$71^2)*_xlfn.NORM.S.INV(RAND())</f>
        <v>0.288169605190964</v>
      </c>
      <c r="BP81" s="0" t="n">
        <f aca="true">BP80*$D$71+(1-$D$71^2)*_xlfn.NORM.S.INV(RAND())</f>
        <v>0.0761479146476334</v>
      </c>
      <c r="BQ81" s="0" t="n">
        <f aca="true">BQ80*$D$71+(1-$D$71^2)*_xlfn.NORM.S.INV(RAND())</f>
        <v>0.483095386578495</v>
      </c>
      <c r="BR81" s="0" t="n">
        <f aca="true">BR80*$D$71+(1-$D$71^2)*_xlfn.NORM.S.INV(RAND())</f>
        <v>0.00165018032462633</v>
      </c>
      <c r="BS81" s="0" t="n">
        <f aca="true">BS80*$D$71+(1-$D$71^2)*_xlfn.NORM.S.INV(RAND())</f>
        <v>1.0061252009287</v>
      </c>
      <c r="BT81" s="0" t="n">
        <f aca="true">BT80*$D$71+(1-$D$71^2)*_xlfn.NORM.S.INV(RAND())</f>
        <v>-0.5102400088566</v>
      </c>
      <c r="BU81" s="0" t="n">
        <f aca="true">BU80*$D$71+(1-$D$71^2)*_xlfn.NORM.S.INV(RAND())</f>
        <v>1.65511031537867</v>
      </c>
      <c r="BV81" s="0" t="n">
        <f aca="true">BV80*$D$71+(1-$D$71^2)*_xlfn.NORM.S.INV(RAND())</f>
        <v>-0.322733343069849</v>
      </c>
      <c r="BW81" s="0" t="n">
        <f aca="true">BW80*$D$71+(1-$D$71^2)*_xlfn.NORM.S.INV(RAND())</f>
        <v>0.528452236390059</v>
      </c>
      <c r="BX81" s="0" t="n">
        <f aca="true">BX80*$D$71+(1-$D$71^2)*_xlfn.NORM.S.INV(RAND())</f>
        <v>0.831415316131675</v>
      </c>
      <c r="BY81" s="0" t="n">
        <f aca="true">BY80*$D$71+(1-$D$71^2)*_xlfn.NORM.S.INV(RAND())</f>
        <v>0.900622798573341</v>
      </c>
      <c r="BZ81" s="0" t="n">
        <f aca="true">BZ80*$D$71+(1-$D$71^2)*_xlfn.NORM.S.INV(RAND())</f>
        <v>-0.90276615251798</v>
      </c>
      <c r="CA81" s="0" t="n">
        <f aca="true">CA80*$D$71+(1-$D$71^2)*_xlfn.NORM.S.INV(RAND())</f>
        <v>-0.555275650240706</v>
      </c>
      <c r="CB81" s="0" t="n">
        <f aca="true">CB80*$D$71+(1-$D$71^2)*_xlfn.NORM.S.INV(RAND())</f>
        <v>1.18780495998576</v>
      </c>
      <c r="CC81" s="0" t="n">
        <f aca="true">CC80*$D$71+(1-$D$71^2)*_xlfn.NORM.S.INV(RAND())</f>
        <v>-1.69382938767761</v>
      </c>
      <c r="CD81" s="0" t="n">
        <f aca="true">CD80*$D$71+(1-$D$71^2)*_xlfn.NORM.S.INV(RAND())</f>
        <v>-2.51535555998523</v>
      </c>
      <c r="CE81" s="0" t="n">
        <f aca="true">CE80*$D$71+(1-$D$71^2)*_xlfn.NORM.S.INV(RAND())</f>
        <v>-0.891472897414573</v>
      </c>
      <c r="CF81" s="0" t="n">
        <f aca="true">CF80*$D$71+(1-$D$71^2)*_xlfn.NORM.S.INV(RAND())</f>
        <v>-0.892108206475419</v>
      </c>
      <c r="CG81" s="0" t="n">
        <f aca="true">CG80*$D$71+(1-$D$71^2)*_xlfn.NORM.S.INV(RAND())</f>
        <v>1.87011819385008</v>
      </c>
      <c r="CH81" s="0" t="n">
        <f aca="true">CH80*$D$71+(1-$D$71^2)*_xlfn.NORM.S.INV(RAND())</f>
        <v>0.248853014902134</v>
      </c>
      <c r="CI81" s="0" t="n">
        <f aca="true">CI80*$D$71+(1-$D$71^2)*_xlfn.NORM.S.INV(RAND())</f>
        <v>-1.1845326999254</v>
      </c>
      <c r="CJ81" s="0" t="n">
        <f aca="true">CJ80*$D$71+(1-$D$71^2)*_xlfn.NORM.S.INV(RAND())</f>
        <v>-1.67393150362713</v>
      </c>
      <c r="CK81" s="0" t="n">
        <f aca="true">CK80*$D$71+(1-$D$71^2)*_xlfn.NORM.S.INV(RAND())</f>
        <v>0.22055257411285</v>
      </c>
      <c r="CL81" s="0" t="n">
        <f aca="true">CL80*$D$71+(1-$D$71^2)*_xlfn.NORM.S.INV(RAND())</f>
        <v>0.451688618138357</v>
      </c>
      <c r="CM81" s="0" t="n">
        <f aca="true">CM80*$D$71+(1-$D$71^2)*_xlfn.NORM.S.INV(RAND())</f>
        <v>-1.08045820186399</v>
      </c>
      <c r="CN81" s="0" t="n">
        <f aca="true">CN80*$D$71+(1-$D$71^2)*_xlfn.NORM.S.INV(RAND())</f>
        <v>-0.641949246079518</v>
      </c>
      <c r="CO81" s="0" t="n">
        <f aca="true">CO80*$D$71+(1-$D$71^2)*_xlfn.NORM.S.INV(RAND())</f>
        <v>-0.336466353893271</v>
      </c>
      <c r="CP81" s="0" t="n">
        <f aca="true">CP80*$D$71+(1-$D$71^2)*_xlfn.NORM.S.INV(RAND())</f>
        <v>0.878668773131129</v>
      </c>
      <c r="CQ81" s="0" t="n">
        <f aca="true">CQ80*$D$71+(1-$D$71^2)*_xlfn.NORM.S.INV(RAND())</f>
        <v>0.225481417984976</v>
      </c>
      <c r="CR81" s="0" t="n">
        <f aca="true">CR80*$D$71+(1-$D$71^2)*_xlfn.NORM.S.INV(RAND())</f>
        <v>-0.261148097039296</v>
      </c>
      <c r="CS81" s="0" t="n">
        <f aca="true">CS80*$D$71+(1-$D$71^2)*_xlfn.NORM.S.INV(RAND())</f>
        <v>-0.111629983722897</v>
      </c>
      <c r="CT81" s="0" t="n">
        <f aca="true">CT80*$D$71+(1-$D$71^2)*_xlfn.NORM.S.INV(RAND())</f>
        <v>1.58504210214996</v>
      </c>
      <c r="CU81" s="0" t="n">
        <f aca="true">CU80*$D$71+(1-$D$71^2)*_xlfn.NORM.S.INV(RAND())</f>
        <v>0.684647243668205</v>
      </c>
      <c r="CV81" s="0" t="n">
        <f aca="true">CV80*$D$71+(1-$D$71^2)*_xlfn.NORM.S.INV(RAND())</f>
        <v>1.2284467465486</v>
      </c>
      <c r="CW81" s="0" t="n">
        <f aca="true">CW80*$D$71+(1-$D$71^2)*_xlfn.NORM.S.INV(RAND())</f>
        <v>-0.0222727014170336</v>
      </c>
      <c r="CX81" s="0" t="n">
        <f aca="true">CX80*$D$71+(1-$D$71^2)*_xlfn.NORM.S.INV(RAND())</f>
        <v>-0.309870044087531</v>
      </c>
      <c r="CY81" s="0" t="n">
        <f aca="true">CY80*$D$71+(1-$D$71^2)*_xlfn.NORM.S.INV(RAND())</f>
        <v>-0.205398445320972</v>
      </c>
      <c r="CZ81" s="0" t="n">
        <f aca="true">CZ80*$D$71+(1-$D$71^2)*_xlfn.NORM.S.INV(RAND())</f>
        <v>0.0305535141868913</v>
      </c>
      <c r="DA81" s="0" t="n">
        <f aca="true">DA80*$D$71+(1-$D$71^2)*_xlfn.NORM.S.INV(RAND())</f>
        <v>1.69916530184949</v>
      </c>
      <c r="DB81" s="0" t="n">
        <f aca="true">DB80*$D$71+(1-$D$71^2)*_xlfn.NORM.S.INV(RAND())</f>
        <v>3.00119554877662</v>
      </c>
      <c r="DC81" s="0" t="n">
        <f aca="true">DC80*$D$71+(1-$D$71^2)*_xlfn.NORM.S.INV(RAND())</f>
        <v>-1.31398690612098</v>
      </c>
      <c r="DD81" s="0" t="n">
        <f aca="true">DD80*$D$71+(1-$D$71^2)*_xlfn.NORM.S.INV(RAND())</f>
        <v>-0.00609977935550554</v>
      </c>
      <c r="DE81" s="0" t="n">
        <f aca="true">DE80*$D$71+(1-$D$71^2)*_xlfn.NORM.S.INV(RAND())</f>
        <v>0.0727303398780871</v>
      </c>
      <c r="DF81" s="0" t="n">
        <f aca="true">DF80*$D$71+(1-$D$71^2)*_xlfn.NORM.S.INV(RAND())</f>
        <v>0.500197347336684</v>
      </c>
      <c r="DG81" s="0" t="n">
        <f aca="true">DG80*$D$71+(1-$D$71^2)*_xlfn.NORM.S.INV(RAND())</f>
        <v>0.2739663658609</v>
      </c>
      <c r="DH81" s="0" t="n">
        <f aca="true">DH80*$D$71+(1-$D$71^2)*_xlfn.NORM.S.INV(RAND())</f>
        <v>0.361390010758635</v>
      </c>
      <c r="DI81" s="0" t="n">
        <f aca="true">DI80*$D$71+(1-$D$71^2)*_xlfn.NORM.S.INV(RAND())</f>
        <v>0.993304427098777</v>
      </c>
      <c r="DJ81" s="0" t="n">
        <f aca="true">DJ80*$D$71+(1-$D$71^2)*_xlfn.NORM.S.INV(RAND())</f>
        <v>-0.0244652501432839</v>
      </c>
      <c r="DK81" s="0" t="n">
        <f aca="true">DK80*$D$71+(1-$D$71^2)*_xlfn.NORM.S.INV(RAND())</f>
        <v>-0.49366163453685</v>
      </c>
      <c r="DL81" s="0" t="n">
        <f aca="true">DL80*$D$71+(1-$D$71^2)*_xlfn.NORM.S.INV(RAND())</f>
        <v>-0.688135316207026</v>
      </c>
      <c r="DM81" s="0" t="n">
        <f aca="true">DM80*$D$71+(1-$D$71^2)*_xlfn.NORM.S.INV(RAND())</f>
        <v>-0.579300503490609</v>
      </c>
      <c r="DN81" s="0" t="n">
        <f aca="true">DN80*$D$71+(1-$D$71^2)*_xlfn.NORM.S.INV(RAND())</f>
        <v>-0.777249785990583</v>
      </c>
      <c r="DO81" s="0" t="n">
        <f aca="true">DO80*$D$71+(1-$D$71^2)*_xlfn.NORM.S.INV(RAND())</f>
        <v>-2.23302893005366</v>
      </c>
      <c r="DP81" s="0" t="n">
        <f aca="true">DP80*$D$71+(1-$D$71^2)*_xlfn.NORM.S.INV(RAND())</f>
        <v>-0.946046979575868</v>
      </c>
      <c r="DQ81" s="0" t="n">
        <f aca="true">DQ80*$D$71+(1-$D$71^2)*_xlfn.NORM.S.INV(RAND())</f>
        <v>0.174687664897517</v>
      </c>
      <c r="DR81" s="0" t="n">
        <f aca="true">DR80*$D$71+(1-$D$71^2)*_xlfn.NORM.S.INV(RAND())</f>
        <v>0.312029598877946</v>
      </c>
      <c r="DS81" s="0" t="n">
        <f aca="true">DS80*$D$71+(1-$D$71^2)*_xlfn.NORM.S.INV(RAND())</f>
        <v>1.16859821214735</v>
      </c>
      <c r="DT81" s="0" t="n">
        <f aca="true">DT80*$D$71+(1-$D$71^2)*_xlfn.NORM.S.INV(RAND())</f>
        <v>-0.975601173952365</v>
      </c>
      <c r="DU81" s="0" t="n">
        <f aca="true">DU80*$D$71+(1-$D$71^2)*_xlfn.NORM.S.INV(RAND())</f>
        <v>-0.80535593493566</v>
      </c>
      <c r="DV81" s="0" t="n">
        <f aca="true">DV80*$D$71+(1-$D$71^2)*_xlfn.NORM.S.INV(RAND())</f>
        <v>-0.706256246559728</v>
      </c>
      <c r="DW81" s="0" t="n">
        <f aca="true">DW80*$D$71+(1-$D$71^2)*_xlfn.NORM.S.INV(RAND())</f>
        <v>1.05018226459329</v>
      </c>
      <c r="DX81" s="0" t="n">
        <f aca="true">DX80*$D$71+(1-$D$71^2)*_xlfn.NORM.S.INV(RAND())</f>
        <v>0.627158424856833</v>
      </c>
      <c r="DY81" s="0" t="n">
        <f aca="true">DY80*$D$71+(1-$D$71^2)*_xlfn.NORM.S.INV(RAND())</f>
        <v>-0.344791970261035</v>
      </c>
      <c r="DZ81" s="0" t="n">
        <f aca="true">DZ80*$D$71+(1-$D$71^2)*_xlfn.NORM.S.INV(RAND())</f>
        <v>1.38708321116929</v>
      </c>
      <c r="EA81" s="0" t="n">
        <f aca="true">EA80*$D$71+(1-$D$71^2)*_xlfn.NORM.S.INV(RAND())</f>
        <v>1.8413950535414</v>
      </c>
      <c r="EB81" s="0" t="n">
        <f aca="true">EB80*$D$71+(1-$D$71^2)*_xlfn.NORM.S.INV(RAND())</f>
        <v>0.399255604317468</v>
      </c>
      <c r="EC81" s="0" t="n">
        <f aca="true">EC80*$D$71+(1-$D$71^2)*_xlfn.NORM.S.INV(RAND())</f>
        <v>-0.107156925519357</v>
      </c>
      <c r="ED81" s="0" t="n">
        <f aca="true">ED80*$D$71+(1-$D$71^2)*_xlfn.NORM.S.INV(RAND())</f>
        <v>0.903134010424407</v>
      </c>
      <c r="EE81" s="0" t="n">
        <f aca="true">EE80*$D$71+(1-$D$71^2)*_xlfn.NORM.S.INV(RAND())</f>
        <v>-1.11869994922179</v>
      </c>
      <c r="EF81" s="0" t="n">
        <f aca="true">EF80*$D$71+(1-$D$71^2)*_xlfn.NORM.S.INV(RAND())</f>
        <v>-0.274953773931823</v>
      </c>
      <c r="EG81" s="0" t="n">
        <f aca="true">EG80*$D$71+(1-$D$71^2)*_xlfn.NORM.S.INV(RAND())</f>
        <v>0.509199476048591</v>
      </c>
      <c r="EH81" s="0" t="n">
        <f aca="true">EH80*$D$71+(1-$D$71^2)*_xlfn.NORM.S.INV(RAND())</f>
        <v>0.144073961987234</v>
      </c>
      <c r="EI81" s="0" t="n">
        <f aca="true">EI80*$D$71+(1-$D$71^2)*_xlfn.NORM.S.INV(RAND())</f>
        <v>1.31386799628475</v>
      </c>
      <c r="EJ81" s="0" t="n">
        <f aca="true">EJ80*$D$71+(1-$D$71^2)*_xlfn.NORM.S.INV(RAND())</f>
        <v>-0.563208198566358</v>
      </c>
      <c r="EK81" s="0" t="n">
        <f aca="true">EK80*$D$71+(1-$D$71^2)*_xlfn.NORM.S.INV(RAND())</f>
        <v>-0.287960288484395</v>
      </c>
      <c r="EL81" s="0" t="n">
        <f aca="true">EL80*$D$71+(1-$D$71^2)*_xlfn.NORM.S.INV(RAND())</f>
        <v>-1.21169445039286</v>
      </c>
      <c r="EM81" s="0" t="n">
        <f aca="true">EM80*$D$71+(1-$D$71^2)*_xlfn.NORM.S.INV(RAND())</f>
        <v>0.0351227377998116</v>
      </c>
      <c r="EN81" s="0" t="n">
        <f aca="true">EN80*$D$71+(1-$D$71^2)*_xlfn.NORM.S.INV(RAND())</f>
        <v>-1.12857194052122</v>
      </c>
      <c r="EO81" s="0" t="n">
        <f aca="true">EO80*$D$71+(1-$D$71^2)*_xlfn.NORM.S.INV(RAND())</f>
        <v>0.0500034432618273</v>
      </c>
      <c r="EP81" s="0" t="n">
        <f aca="true">EP80*$D$71+(1-$D$71^2)*_xlfn.NORM.S.INV(RAND())</f>
        <v>0.191011449221501</v>
      </c>
      <c r="EQ81" s="0" t="n">
        <f aca="true">EQ80*$D$71+(1-$D$71^2)*_xlfn.NORM.S.INV(RAND())</f>
        <v>0.418068974185636</v>
      </c>
      <c r="ER81" s="0" t="n">
        <f aca="true">ER80*$D$71+(1-$D$71^2)*_xlfn.NORM.S.INV(RAND())</f>
        <v>-0.501886056793543</v>
      </c>
      <c r="ES81" s="0" t="n">
        <f aca="true">ES80*$D$71+(1-$D$71^2)*_xlfn.NORM.S.INV(RAND())</f>
        <v>-0.793409048900235</v>
      </c>
      <c r="ET81" s="0" t="n">
        <f aca="true">ET80*$D$71+(1-$D$71^2)*_xlfn.NORM.S.INV(RAND())</f>
        <v>-0.275479382823336</v>
      </c>
      <c r="EU81" s="0" t="n">
        <f aca="true">EU80*$D$71+(1-$D$71^2)*_xlfn.NORM.S.INV(RAND())</f>
        <v>-1.41015395132259</v>
      </c>
      <c r="EV81" s="0" t="n">
        <f aca="true">EV80*$D$71+(1-$D$71^2)*_xlfn.NORM.S.INV(RAND())</f>
        <v>-0.70633217849814</v>
      </c>
      <c r="EW81" s="0" t="n">
        <f aca="true">EW80*$D$71+(1-$D$71^2)*_xlfn.NORM.S.INV(RAND())</f>
        <v>1.06315351406643</v>
      </c>
      <c r="EX81" s="0" t="n">
        <f aca="true">EX80*$D$71+(1-$D$71^2)*_xlfn.NORM.S.INV(RAND())</f>
        <v>2.22694439253001</v>
      </c>
      <c r="EY81" s="0" t="n">
        <f aca="true">EY80*$D$71+(1-$D$71^2)*_xlfn.NORM.S.INV(RAND())</f>
        <v>-2.20674516497578</v>
      </c>
      <c r="EZ81" s="0" t="n">
        <f aca="true">EZ80*$D$71+(1-$D$71^2)*_xlfn.NORM.S.INV(RAND())</f>
        <v>0.00353161863668233</v>
      </c>
      <c r="FA81" s="0" t="n">
        <f aca="true">FA80*$D$71+(1-$D$71^2)*_xlfn.NORM.S.INV(RAND())</f>
        <v>-1.24753110064331</v>
      </c>
      <c r="FB81" s="0" t="n">
        <f aca="true">FB80*$D$71+(1-$D$71^2)*_xlfn.NORM.S.INV(RAND())</f>
        <v>-0.507413223188565</v>
      </c>
      <c r="FC81" s="0" t="n">
        <f aca="true">FC80*$D$71+(1-$D$71^2)*_xlfn.NORM.S.INV(RAND())</f>
        <v>-0.964551107498321</v>
      </c>
      <c r="FD81" s="0" t="n">
        <f aca="true">FD80*$D$71+(1-$D$71^2)*_xlfn.NORM.S.INV(RAND())</f>
        <v>-1.19244830874742</v>
      </c>
      <c r="FE81" s="0" t="n">
        <f aca="true">FE80*$D$71+(1-$D$71^2)*_xlfn.NORM.S.INV(RAND())</f>
        <v>1.88213982153591</v>
      </c>
      <c r="FF81" s="0" t="n">
        <f aca="true">FF80*$D$71+(1-$D$71^2)*_xlfn.NORM.S.INV(RAND())</f>
        <v>0.864958190855993</v>
      </c>
      <c r="FG81" s="0" t="n">
        <f aca="true">FG80*$D$71+(1-$D$71^2)*_xlfn.NORM.S.INV(RAND())</f>
        <v>-0.061571562726275</v>
      </c>
      <c r="FH81" s="0" t="n">
        <f aca="true">FH80*$D$71+(1-$D$71^2)*_xlfn.NORM.S.INV(RAND())</f>
        <v>-0.111074046929586</v>
      </c>
      <c r="FI81" s="0" t="n">
        <f aca="true">FI80*$D$71+(1-$D$71^2)*_xlfn.NORM.S.INV(RAND())</f>
        <v>0.901376542378277</v>
      </c>
      <c r="FJ81" s="0" t="n">
        <f aca="true">FJ80*$D$71+(1-$D$71^2)*_xlfn.NORM.S.INV(RAND())</f>
        <v>-0.332866273355669</v>
      </c>
      <c r="FK81" s="0" t="n">
        <f aca="true">FK80*$D$71+(1-$D$71^2)*_xlfn.NORM.S.INV(RAND())</f>
        <v>-1.37331879579875</v>
      </c>
      <c r="FL81" s="0" t="n">
        <f aca="true">FL80*$D$71+(1-$D$71^2)*_xlfn.NORM.S.INV(RAND())</f>
        <v>0.821755380894972</v>
      </c>
      <c r="FM81" s="0" t="n">
        <f aca="true">FM80*$D$71+(1-$D$71^2)*_xlfn.NORM.S.INV(RAND())</f>
        <v>-1.68549584061598</v>
      </c>
      <c r="FN81" s="0" t="n">
        <f aca="true">FN80*$D$71+(1-$D$71^2)*_xlfn.NORM.S.INV(RAND())</f>
        <v>-1.12946526903674</v>
      </c>
      <c r="FO81" s="0" t="n">
        <f aca="true">FO80*$D$71+(1-$D$71^2)*_xlfn.NORM.S.INV(RAND())</f>
        <v>-0.0162808388362797</v>
      </c>
      <c r="FP81" s="0" t="n">
        <f aca="true">FP80*$D$71+(1-$D$71^2)*_xlfn.NORM.S.INV(RAND())</f>
        <v>0.509794467623319</v>
      </c>
      <c r="FQ81" s="0" t="n">
        <f aca="true">FQ80*$D$71+(1-$D$71^2)*_xlfn.NORM.S.INV(RAND())</f>
        <v>0.547036254907196</v>
      </c>
      <c r="FR81" s="0" t="n">
        <f aca="true">FR80*$D$71+(1-$D$71^2)*_xlfn.NORM.S.INV(RAND())</f>
        <v>0.429241911210986</v>
      </c>
      <c r="FS81" s="0" t="n">
        <f aca="true">FS80*$D$71+(1-$D$71^2)*_xlfn.NORM.S.INV(RAND())</f>
        <v>0.921869790138421</v>
      </c>
      <c r="FT81" s="0" t="n">
        <f aca="true">FT80*$D$71+(1-$D$71^2)*_xlfn.NORM.S.INV(RAND())</f>
        <v>-0.235605630436443</v>
      </c>
      <c r="FU81" s="0" t="n">
        <f aca="true">FU80*$D$71+(1-$D$71^2)*_xlfn.NORM.S.INV(RAND())</f>
        <v>-1.17058817830023</v>
      </c>
      <c r="FV81" s="0" t="n">
        <f aca="true">FV80*$D$71+(1-$D$71^2)*_xlfn.NORM.S.INV(RAND())</f>
        <v>-1.08298738678199</v>
      </c>
      <c r="FW81" s="0" t="n">
        <f aca="true">FW80*$D$71+(1-$D$71^2)*_xlfn.NORM.S.INV(RAND())</f>
        <v>-0.746009557558419</v>
      </c>
      <c r="FX81" s="0" t="n">
        <f aca="true">FX80*$D$71+(1-$D$71^2)*_xlfn.NORM.S.INV(RAND())</f>
        <v>-0.146251377664448</v>
      </c>
      <c r="FY81" s="0" t="n">
        <f aca="true">FY80*$D$71+(1-$D$71^2)*_xlfn.NORM.S.INV(RAND())</f>
        <v>-0.976347596347417</v>
      </c>
      <c r="FZ81" s="0" t="n">
        <f aca="true">FZ80*$D$71+(1-$D$71^2)*_xlfn.NORM.S.INV(RAND())</f>
        <v>1.3999619296994</v>
      </c>
      <c r="GA81" s="0" t="n">
        <f aca="true">GA80*$D$71+(1-$D$71^2)*_xlfn.NORM.S.INV(RAND())</f>
        <v>0.241252825631463</v>
      </c>
      <c r="GB81" s="0" t="n">
        <f aca="true">GB80*$D$71+(1-$D$71^2)*_xlfn.NORM.S.INV(RAND())</f>
        <v>-0.0428659483247389</v>
      </c>
      <c r="GC81" s="0" t="n">
        <f aca="true">GC80*$D$71+(1-$D$71^2)*_xlfn.NORM.S.INV(RAND())</f>
        <v>1.06854470040603</v>
      </c>
      <c r="GD81" s="0" t="n">
        <f aca="true">GD80*$D$71+(1-$D$71^2)*_xlfn.NORM.S.INV(RAND())</f>
        <v>0.48475013876932</v>
      </c>
      <c r="GE81" s="0" t="n">
        <f aca="true">GE80*$D$71+(1-$D$71^2)*_xlfn.NORM.S.INV(RAND())</f>
        <v>-0.509840982614568</v>
      </c>
      <c r="GF81" s="0" t="n">
        <f aca="true">GF80*$D$71+(1-$D$71^2)*_xlfn.NORM.S.INV(RAND())</f>
        <v>-0.230142818709981</v>
      </c>
      <c r="GG81" s="0" t="n">
        <f aca="true">GG80*$D$71+(1-$D$71^2)*_xlfn.NORM.S.INV(RAND())</f>
        <v>0.32458049614758</v>
      </c>
      <c r="GH81" s="0" t="n">
        <f aca="true">GH80*$D$71+(1-$D$71^2)*_xlfn.NORM.S.INV(RAND())</f>
        <v>-0.141015333764545</v>
      </c>
      <c r="GI81" s="0" t="n">
        <f aca="true">GI80*$D$71+(1-$D$71^2)*_xlfn.NORM.S.INV(RAND())</f>
        <v>-1.11565071742175</v>
      </c>
      <c r="GJ81" s="0" t="n">
        <f aca="true">GJ80*$D$71+(1-$D$71^2)*_xlfn.NORM.S.INV(RAND())</f>
        <v>1.45834177147884</v>
      </c>
      <c r="GK81" s="0" t="n">
        <f aca="true">GK80*$D$71+(1-$D$71^2)*_xlfn.NORM.S.INV(RAND())</f>
        <v>1.10016682977825</v>
      </c>
      <c r="GL81" s="0" t="n">
        <f aca="true">GL80*$D$71+(1-$D$71^2)*_xlfn.NORM.S.INV(RAND())</f>
        <v>0.303542046650498</v>
      </c>
      <c r="GM81" s="0" t="n">
        <f aca="true">GM80*$D$71+(1-$D$71^2)*_xlfn.NORM.S.INV(RAND())</f>
        <v>-0.0685363288931898</v>
      </c>
      <c r="GN81" s="0" t="n">
        <f aca="true">GN80*$D$71+(1-$D$71^2)*_xlfn.NORM.S.INV(RAND())</f>
        <v>0.146509797631631</v>
      </c>
      <c r="GO81" s="0" t="n">
        <f aca="true">GO80*$D$71+(1-$D$71^2)*_xlfn.NORM.S.INV(RAND())</f>
        <v>0.967588551957263</v>
      </c>
      <c r="GP81" s="0" t="n">
        <f aca="true">GP80*$D$71+(1-$D$71^2)*_xlfn.NORM.S.INV(RAND())</f>
        <v>-0.899304656314038</v>
      </c>
      <c r="GQ81" s="0" t="n">
        <f aca="true">GQ80*$D$71+(1-$D$71^2)*_xlfn.NORM.S.INV(RAND())</f>
        <v>1.61497314422028</v>
      </c>
      <c r="GR81" s="0" t="n">
        <f aca="true">GR80*$D$71+(1-$D$71^2)*_xlfn.NORM.S.INV(RAND())</f>
        <v>-1.10424956567903</v>
      </c>
      <c r="GS81" s="0" t="n">
        <f aca="true">GS80*$D$71+(1-$D$71^2)*_xlfn.NORM.S.INV(RAND())</f>
        <v>-0.0866800622300578</v>
      </c>
      <c r="GT81" s="0" t="n">
        <f aca="true">GT80*$D$71+(1-$D$71^2)*_xlfn.NORM.S.INV(RAND())</f>
        <v>-0.485698482321463</v>
      </c>
      <c r="GU81" s="0" t="n">
        <f aca="true">GU80*$D$71+(1-$D$71^2)*_xlfn.NORM.S.INV(RAND())</f>
        <v>0.756253202921027</v>
      </c>
      <c r="GV81" s="0" t="n">
        <f aca="true">GV80*$D$71+(1-$D$71^2)*_xlfn.NORM.S.INV(RAND())</f>
        <v>-0.749824363074515</v>
      </c>
      <c r="GW81" s="0" t="n">
        <f aca="true">GW80*$D$71+(1-$D$71^2)*_xlfn.NORM.S.INV(RAND())</f>
        <v>0.46275345021027</v>
      </c>
      <c r="GX81" s="0" t="n">
        <f aca="true">GX80*$D$71+(1-$D$71^2)*_xlfn.NORM.S.INV(RAND())</f>
        <v>0.168473524587311</v>
      </c>
      <c r="GY81" s="0" t="n">
        <f aca="true">GY80*$D$71+(1-$D$71^2)*_xlfn.NORM.S.INV(RAND())</f>
        <v>0.349771770303318</v>
      </c>
      <c r="GZ81" s="0" t="n">
        <f aca="true">GZ80*$D$71+(1-$D$71^2)*_xlfn.NORM.S.INV(RAND())</f>
        <v>-0.703207769021411</v>
      </c>
      <c r="HA81" s="0" t="n">
        <f aca="true">HA80*$D$71+(1-$D$71^2)*_xlfn.NORM.S.INV(RAND())</f>
        <v>-0.378721984066231</v>
      </c>
      <c r="HB81" s="0" t="n">
        <f aca="true">HB80*$D$71+(1-$D$71^2)*_xlfn.NORM.S.INV(RAND())</f>
        <v>0.363546708966362</v>
      </c>
      <c r="HC81" s="0" t="n">
        <f aca="true">HC80*$D$71+(1-$D$71^2)*_xlfn.NORM.S.INV(RAND())</f>
        <v>0.67852104093165</v>
      </c>
      <c r="HD81" s="0" t="n">
        <f aca="true">HD80*$D$71+(1-$D$71^2)*_xlfn.NORM.S.INV(RAND())</f>
        <v>-1.33371845153967</v>
      </c>
      <c r="HE81" s="0" t="n">
        <f aca="true">HE80*$D$71+(1-$D$71^2)*_xlfn.NORM.S.INV(RAND())</f>
        <v>-0.913868664532264</v>
      </c>
      <c r="HF81" s="0" t="n">
        <f aca="true">HF80*$D$71+(1-$D$71^2)*_xlfn.NORM.S.INV(RAND())</f>
        <v>0.403657453592043</v>
      </c>
      <c r="HG81" s="0" t="n">
        <f aca="true">HG80*$D$71+(1-$D$71^2)*_xlfn.NORM.S.INV(RAND())</f>
        <v>-0.826510173710479</v>
      </c>
      <c r="HH81" s="0" t="n">
        <f aca="true">HH80*$D$71+(1-$D$71^2)*_xlfn.NORM.S.INV(RAND())</f>
        <v>-0.926133775795335</v>
      </c>
      <c r="HI81" s="0" t="n">
        <f aca="true">HI80*$D$71+(1-$D$71^2)*_xlfn.NORM.S.INV(RAND())</f>
        <v>-0.51850033966352</v>
      </c>
      <c r="HJ81" s="0" t="n">
        <f aca="true">HJ80*$D$71+(1-$D$71^2)*_xlfn.NORM.S.INV(RAND())</f>
        <v>0.246986894670066</v>
      </c>
      <c r="HK81" s="0" t="n">
        <f aca="true">HK80*$D$71+(1-$D$71^2)*_xlfn.NORM.S.INV(RAND())</f>
        <v>0.6325410486326</v>
      </c>
      <c r="HL81" s="0" t="n">
        <f aca="true">HL80*$D$71+(1-$D$71^2)*_xlfn.NORM.S.INV(RAND())</f>
        <v>-1.26724900382199</v>
      </c>
      <c r="HM81" s="0" t="n">
        <f aca="true">HM80*$D$71+(1-$D$71^2)*_xlfn.NORM.S.INV(RAND())</f>
        <v>0.986635620571286</v>
      </c>
      <c r="HN81" s="0" t="n">
        <f aca="true">HN80*$D$71+(1-$D$71^2)*_xlfn.NORM.S.INV(RAND())</f>
        <v>0.897392342933027</v>
      </c>
      <c r="HO81" s="0" t="n">
        <f aca="true">HO80*$D$71+(1-$D$71^2)*_xlfn.NORM.S.INV(RAND())</f>
        <v>1.25211763780221</v>
      </c>
      <c r="HP81" s="0" t="n">
        <f aca="true">HP80*$D$71+(1-$D$71^2)*_xlfn.NORM.S.INV(RAND())</f>
        <v>1.4460427299918</v>
      </c>
      <c r="HQ81" s="0" t="n">
        <f aca="true">HQ80*$D$71+(1-$D$71^2)*_xlfn.NORM.S.INV(RAND())</f>
        <v>-0.46095791515293</v>
      </c>
      <c r="HR81" s="0" t="n">
        <f aca="true">HR80*$D$71+(1-$D$71^2)*_xlfn.NORM.S.INV(RAND())</f>
        <v>-0.294253518869283</v>
      </c>
      <c r="HS81" s="0" t="n">
        <f aca="true">HS80*$D$71+(1-$D$71^2)*_xlfn.NORM.S.INV(RAND())</f>
        <v>-0.475072307715112</v>
      </c>
      <c r="HT81" s="0" t="n">
        <f aca="true">HT80*$D$71+(1-$D$71^2)*_xlfn.NORM.S.INV(RAND())</f>
        <v>-1.92263712483111</v>
      </c>
      <c r="HU81" s="0" t="n">
        <f aca="true">HU80*$D$71+(1-$D$71^2)*_xlfn.NORM.S.INV(RAND())</f>
        <v>0.982365595307539</v>
      </c>
      <c r="HV81" s="0" t="n">
        <f aca="true">HV80*$D$71+(1-$D$71^2)*_xlfn.NORM.S.INV(RAND())</f>
        <v>-0.533410669598341</v>
      </c>
      <c r="HW81" s="0" t="n">
        <f aca="true">HW80*$D$71+(1-$D$71^2)*_xlfn.NORM.S.INV(RAND())</f>
        <v>0.488404483907146</v>
      </c>
      <c r="HX81" s="0" t="n">
        <f aca="true">HX80*$D$71+(1-$D$71^2)*_xlfn.NORM.S.INV(RAND())</f>
        <v>-0.935727517391712</v>
      </c>
      <c r="HY81" s="0" t="n">
        <f aca="true">HY80*$D$71+(1-$D$71^2)*_xlfn.NORM.S.INV(RAND())</f>
        <v>0.828602819857861</v>
      </c>
      <c r="HZ81" s="0" t="n">
        <f aca="true">HZ80*$D$71+(1-$D$71^2)*_xlfn.NORM.S.INV(RAND())</f>
        <v>0.711487075898327</v>
      </c>
      <c r="IA81" s="0" t="n">
        <f aca="true">IA80*$D$71+(1-$D$71^2)*_xlfn.NORM.S.INV(RAND())</f>
        <v>-1.16524035974103</v>
      </c>
      <c r="IB81" s="0" t="n">
        <f aca="true">IB80*$D$71+(1-$D$71^2)*_xlfn.NORM.S.INV(RAND())</f>
        <v>1.40733671852667</v>
      </c>
      <c r="IC81" s="0" t="n">
        <f aca="true">IC80*$D$71+(1-$D$71^2)*_xlfn.NORM.S.INV(RAND())</f>
        <v>0.955796139391397</v>
      </c>
      <c r="ID81" s="0" t="n">
        <f aca="true">ID80*$D$71+(1-$D$71^2)*_xlfn.NORM.S.INV(RAND())</f>
        <v>1.04294940077808</v>
      </c>
      <c r="IE81" s="0" t="n">
        <f aca="true">IE80*$D$71+(1-$D$71^2)*_xlfn.NORM.S.INV(RAND())</f>
        <v>-1.48810048692757</v>
      </c>
      <c r="IF81" s="0" t="n">
        <f aca="true">IF80*$D$71+(1-$D$71^2)*_xlfn.NORM.S.INV(RAND())</f>
        <v>0.692188558569121</v>
      </c>
      <c r="IG81" s="0" t="n">
        <f aca="true">IG80*$D$71+(1-$D$71^2)*_xlfn.NORM.S.INV(RAND())</f>
        <v>0.881693030309384</v>
      </c>
      <c r="IH81" s="0" t="n">
        <f aca="true">IH80*$D$71+(1-$D$71^2)*_xlfn.NORM.S.INV(RAND())</f>
        <v>-0.17351389426314</v>
      </c>
      <c r="II81" s="0" t="n">
        <f aca="true">II80*$D$71+(1-$D$71^2)*_xlfn.NORM.S.INV(RAND())</f>
        <v>0.0507770960333185</v>
      </c>
      <c r="IJ81" s="0" t="n">
        <f aca="true">IJ80*$D$71+(1-$D$71^2)*_xlfn.NORM.S.INV(RAND())</f>
        <v>0.272988134103936</v>
      </c>
      <c r="IK81" s="0" t="n">
        <f aca="true">IK80*$D$71+(1-$D$71^2)*_xlfn.NORM.S.INV(RAND())</f>
        <v>-1.96740892831576</v>
      </c>
      <c r="IL81" s="0" t="n">
        <f aca="true">IL80*$D$71+(1-$D$71^2)*_xlfn.NORM.S.INV(RAND())</f>
        <v>-0.372912703118396</v>
      </c>
      <c r="IM81" s="0" t="n">
        <f aca="true">IM80*$D$71+(1-$D$71^2)*_xlfn.NORM.S.INV(RAND())</f>
        <v>0.414113885938261</v>
      </c>
      <c r="IN81" s="0" t="n">
        <f aca="true">IN80*$D$71+(1-$D$71^2)*_xlfn.NORM.S.INV(RAND())</f>
        <v>0.203453720462158</v>
      </c>
      <c r="IO81" s="0" t="n">
        <f aca="true">IO80*$D$71+(1-$D$71^2)*_xlfn.NORM.S.INV(RAND())</f>
        <v>-0.528532428076287</v>
      </c>
      <c r="IP81" s="0" t="n">
        <f aca="true">IP80*$D$71+(1-$D$71^2)*_xlfn.NORM.S.INV(RAND())</f>
        <v>-0.154639679078451</v>
      </c>
      <c r="IQ81" s="0" t="n">
        <f aca="true">IQ80*$D$71+(1-$D$71^2)*_xlfn.NORM.S.INV(RAND())</f>
        <v>-0.0392956795193722</v>
      </c>
      <c r="IR81" s="0" t="n">
        <f aca="true">IR80*$D$71+(1-$D$71^2)*_xlfn.NORM.S.INV(RAND())</f>
        <v>0.945914001406632</v>
      </c>
      <c r="IS81" s="0" t="n">
        <f aca="true">IS80*$D$71+(1-$D$71^2)*_xlfn.NORM.S.INV(RAND())</f>
        <v>-0.217065257276067</v>
      </c>
      <c r="IT81" s="0" t="n">
        <f aca="true">IT80*$D$71+(1-$D$71^2)*_xlfn.NORM.S.INV(RAND())</f>
        <v>-0.468289426468288</v>
      </c>
      <c r="IU81" s="0" t="n">
        <f aca="true">IU80*$D$71+(1-$D$71^2)*_xlfn.NORM.S.INV(RAND())</f>
        <v>0.246709714475067</v>
      </c>
      <c r="IV81" s="0" t="n">
        <f aca="true">IV80*$D$71+(1-$D$71^2)*_xlfn.NORM.S.INV(RAND())</f>
        <v>-0.841937073350337</v>
      </c>
      <c r="IW81" s="0" t="n">
        <f aca="true">IW80*$D$71+(1-$D$71^2)*_xlfn.NORM.S.INV(RAND())</f>
        <v>0.0518982763379081</v>
      </c>
      <c r="IX81" s="0" t="n">
        <f aca="true">IX80*$D$71+(1-$D$71^2)*_xlfn.NORM.S.INV(RAND())</f>
        <v>-0.0245348025471986</v>
      </c>
      <c r="IY81" s="0" t="n">
        <f aca="true">IY80*$D$71+(1-$D$71^2)*_xlfn.NORM.S.INV(RAND())</f>
        <v>-0.471507213216985</v>
      </c>
      <c r="IZ81" s="0" t="n">
        <f aca="true">IZ80*$D$71+(1-$D$71^2)*_xlfn.NORM.S.INV(RAND())</f>
        <v>-0.327650252040259</v>
      </c>
      <c r="JA81" s="0" t="n">
        <f aca="true">JA80*$D$71+(1-$D$71^2)*_xlfn.NORM.S.INV(RAND())</f>
        <v>1.68608927267446</v>
      </c>
      <c r="JB81" s="0" t="n">
        <f aca="true">JB80*$D$71+(1-$D$71^2)*_xlfn.NORM.S.INV(RAND())</f>
        <v>0.241980415643261</v>
      </c>
      <c r="JC81" s="0" t="n">
        <f aca="true">JC80*$D$71+(1-$D$71^2)*_xlfn.NORM.S.INV(RAND())</f>
        <v>0.513916977821443</v>
      </c>
      <c r="JD81" s="0" t="n">
        <f aca="true">JD80*$D$71+(1-$D$71^2)*_xlfn.NORM.S.INV(RAND())</f>
        <v>0.485300267183734</v>
      </c>
      <c r="JE81" s="0" t="n">
        <f aca="true">JE80*$D$71+(1-$D$71^2)*_xlfn.NORM.S.INV(RAND())</f>
        <v>0.75800198630565</v>
      </c>
      <c r="JF81" s="0" t="n">
        <f aca="true">JF80*$D$71+(1-$D$71^2)*_xlfn.NORM.S.INV(RAND())</f>
        <v>-0.487101193574378</v>
      </c>
      <c r="JG81" s="0" t="n">
        <f aca="true">JG80*$D$71+(1-$D$71^2)*_xlfn.NORM.S.INV(RAND())</f>
        <v>-0.735118657924437</v>
      </c>
      <c r="JH81" s="0" t="n">
        <f aca="true">JH80*$D$71+(1-$D$71^2)*_xlfn.NORM.S.INV(RAND())</f>
        <v>0.676982849604407</v>
      </c>
      <c r="JI81" s="0" t="n">
        <f aca="true">JI80*$D$71+(1-$D$71^2)*_xlfn.NORM.S.INV(RAND())</f>
        <v>-0.535492594003423</v>
      </c>
      <c r="JJ81" s="0" t="n">
        <f aca="true">JJ80*$D$71+(1-$D$71^2)*_xlfn.NORM.S.INV(RAND())</f>
        <v>0.187576340300082</v>
      </c>
      <c r="JK81" s="0" t="n">
        <f aca="true">JK80*$D$71+(1-$D$71^2)*_xlfn.NORM.S.INV(RAND())</f>
        <v>0.812277673721406</v>
      </c>
      <c r="JL81" s="0" t="n">
        <f aca="true">JL80*$D$71+(1-$D$71^2)*_xlfn.NORM.S.INV(RAND())</f>
        <v>-0.0750576194574997</v>
      </c>
      <c r="JM81" s="0" t="n">
        <f aca="true">JM80*$D$71+(1-$D$71^2)*_xlfn.NORM.S.INV(RAND())</f>
        <v>0.075920424205213</v>
      </c>
      <c r="JN81" s="0" t="n">
        <f aca="true">JN80*$D$71+(1-$D$71^2)*_xlfn.NORM.S.INV(RAND())</f>
        <v>-0.166240078833142</v>
      </c>
      <c r="JO81" s="0" t="n">
        <f aca="true">JO80*$D$71+(1-$D$71^2)*_xlfn.NORM.S.INV(RAND())</f>
        <v>1.07430697480182</v>
      </c>
      <c r="JP81" s="0" t="n">
        <f aca="true">JP80*$D$71+(1-$D$71^2)*_xlfn.NORM.S.INV(RAND())</f>
        <v>0.176355588772955</v>
      </c>
      <c r="JQ81" s="0" t="n">
        <f aca="true">JQ80*$D$71+(1-$D$71^2)*_xlfn.NORM.S.INV(RAND())</f>
        <v>0.747624752394283</v>
      </c>
      <c r="JR81" s="0" t="n">
        <f aca="true">JR80*$D$71+(1-$D$71^2)*_xlfn.NORM.S.INV(RAND())</f>
        <v>1.59449756161021</v>
      </c>
      <c r="JS81" s="0" t="n">
        <f aca="true">JS80*$D$71+(1-$D$71^2)*_xlfn.NORM.S.INV(RAND())</f>
        <v>0.8124652110882</v>
      </c>
      <c r="JT81" s="0" t="n">
        <f aca="true">JT80*$D$71+(1-$D$71^2)*_xlfn.NORM.S.INV(RAND())</f>
        <v>0.30074126209602</v>
      </c>
      <c r="JU81" s="0" t="n">
        <f aca="true">JU80*$D$71+(1-$D$71^2)*_xlfn.NORM.S.INV(RAND())</f>
        <v>0.332832208004489</v>
      </c>
      <c r="JV81" s="0" t="n">
        <f aca="true">JV80*$D$71+(1-$D$71^2)*_xlfn.NORM.S.INV(RAND())</f>
        <v>-0.124894625946581</v>
      </c>
      <c r="JW81" s="0" t="n">
        <f aca="true">JW80*$D$71+(1-$D$71^2)*_xlfn.NORM.S.INV(RAND())</f>
        <v>-1.59077045243431</v>
      </c>
      <c r="JX81" s="0" t="n">
        <f aca="true">JX80*$D$71+(1-$D$71^2)*_xlfn.NORM.S.INV(RAND())</f>
        <v>1.34647076839309</v>
      </c>
      <c r="JY81" s="0" t="n">
        <f aca="true">JY80*$D$71+(1-$D$71^2)*_xlfn.NORM.S.INV(RAND())</f>
        <v>0.134464550798227</v>
      </c>
      <c r="JZ81" s="0" t="n">
        <f aca="true">JZ80*$D$71+(1-$D$71^2)*_xlfn.NORM.S.INV(RAND())</f>
        <v>0.930820471891396</v>
      </c>
      <c r="KA81" s="0" t="n">
        <f aca="true">KA80*$D$71+(1-$D$71^2)*_xlfn.NORM.S.INV(RAND())</f>
        <v>0.639688192314813</v>
      </c>
      <c r="KB81" s="0" t="n">
        <f aca="true">KB80*$D$71+(1-$D$71^2)*_xlfn.NORM.S.INV(RAND())</f>
        <v>-0.750111524046763</v>
      </c>
      <c r="KC81" s="0" t="n">
        <f aca="true">KC80*$D$71+(1-$D$71^2)*_xlfn.NORM.S.INV(RAND())</f>
        <v>0.854780302033913</v>
      </c>
      <c r="KD81" s="0" t="n">
        <f aca="true">KD80*$D$71+(1-$D$71^2)*_xlfn.NORM.S.INV(RAND())</f>
        <v>0.0988180031464955</v>
      </c>
      <c r="KE81" s="0" t="n">
        <f aca="true">KE80*$D$71+(1-$D$71^2)*_xlfn.NORM.S.INV(RAND())</f>
        <v>-0.313022110344396</v>
      </c>
      <c r="KF81" s="0" t="n">
        <f aca="true">KF80*$D$71+(1-$D$71^2)*_xlfn.NORM.S.INV(RAND())</f>
        <v>-0.161787166307033</v>
      </c>
      <c r="KG81" s="0" t="n">
        <f aca="true">KG80*$D$71+(1-$D$71^2)*_xlfn.NORM.S.INV(RAND())</f>
        <v>-1.4886150678761</v>
      </c>
      <c r="KH81" s="0" t="n">
        <f aca="true">KH80*$D$71+(1-$D$71^2)*_xlfn.NORM.S.INV(RAND())</f>
        <v>-0.0662452161231074</v>
      </c>
      <c r="KI81" s="0" t="n">
        <f aca="true">KI80*$D$71+(1-$D$71^2)*_xlfn.NORM.S.INV(RAND())</f>
        <v>0.970706998824421</v>
      </c>
      <c r="KJ81" s="0" t="n">
        <f aca="true">KJ80*$D$71+(1-$D$71^2)*_xlfn.NORM.S.INV(RAND())</f>
        <v>-0.579214933108961</v>
      </c>
      <c r="KK81" s="0" t="n">
        <f aca="true">KK80*$D$71+(1-$D$71^2)*_xlfn.NORM.S.INV(RAND())</f>
        <v>0.631664699171008</v>
      </c>
      <c r="KL81" s="0" t="n">
        <f aca="true">KL80*$D$71+(1-$D$71^2)*_xlfn.NORM.S.INV(RAND())</f>
        <v>-0.310964405514031</v>
      </c>
      <c r="KM81" s="0" t="n">
        <f aca="true">KM80*$D$71+(1-$D$71^2)*_xlfn.NORM.S.INV(RAND())</f>
        <v>-0.396567985668949</v>
      </c>
      <c r="KN81" s="0" t="n">
        <f aca="true">KN80*$D$71+(1-$D$71^2)*_xlfn.NORM.S.INV(RAND())</f>
        <v>0.286919606276687</v>
      </c>
      <c r="KO81" s="0" t="n">
        <f aca="true">KO80*$D$71+(1-$D$71^2)*_xlfn.NORM.S.INV(RAND())</f>
        <v>0.214836621483699</v>
      </c>
      <c r="KP81" s="0" t="n">
        <f aca="true">KP80*$D$71+(1-$D$71^2)*_xlfn.NORM.S.INV(RAND())</f>
        <v>1.49007793861668</v>
      </c>
      <c r="KQ81" s="0" t="n">
        <f aca="true">KQ80*$D$71+(1-$D$71^2)*_xlfn.NORM.S.INV(RAND())</f>
        <v>0.255309140002981</v>
      </c>
      <c r="KR81" s="0" t="n">
        <f aca="true">KR80*$D$71+(1-$D$71^2)*_xlfn.NORM.S.INV(RAND())</f>
        <v>0.0524189850630892</v>
      </c>
      <c r="KS81" s="0" t="n">
        <f aca="true">KS80*$D$71+(1-$D$71^2)*_xlfn.NORM.S.INV(RAND())</f>
        <v>0.427570326850882</v>
      </c>
      <c r="KT81" s="0" t="n">
        <f aca="true">KT80*$D$71+(1-$D$71^2)*_xlfn.NORM.S.INV(RAND())</f>
        <v>0.805915874031129</v>
      </c>
      <c r="KU81" s="0" t="n">
        <f aca="true">KU80*$D$71+(1-$D$71^2)*_xlfn.NORM.S.INV(RAND())</f>
        <v>0.827777748836246</v>
      </c>
      <c r="KV81" s="0" t="n">
        <f aca="true">KV80*$D$71+(1-$D$71^2)*_xlfn.NORM.S.INV(RAND())</f>
        <v>0.278429617444006</v>
      </c>
      <c r="KW81" s="0" t="n">
        <f aca="true">KW80*$D$71+(1-$D$71^2)*_xlfn.NORM.S.INV(RAND())</f>
        <v>1.34998811189352</v>
      </c>
      <c r="KX81" s="0" t="n">
        <f aca="true">KX80*$D$71+(1-$D$71^2)*_xlfn.NORM.S.INV(RAND())</f>
        <v>-0.445957343281161</v>
      </c>
      <c r="KY81" s="0" t="n">
        <f aca="true">KY80*$D$71+(1-$D$71^2)*_xlfn.NORM.S.INV(RAND())</f>
        <v>-0.412509623082514</v>
      </c>
      <c r="KZ81" s="0" t="n">
        <f aca="true">KZ80*$D$71+(1-$D$71^2)*_xlfn.NORM.S.INV(RAND())</f>
        <v>0.875364087947427</v>
      </c>
      <c r="LA81" s="0" t="n">
        <f aca="true">LA80*$D$71+(1-$D$71^2)*_xlfn.NORM.S.INV(RAND())</f>
        <v>-0.732182520081563</v>
      </c>
      <c r="LB81" s="0" t="n">
        <f aca="true">LB80*$D$71+(1-$D$71^2)*_xlfn.NORM.S.INV(RAND())</f>
        <v>-2.02448748456785</v>
      </c>
      <c r="LC81" s="0" t="n">
        <f aca="true">LC80*$D$71+(1-$D$71^2)*_xlfn.NORM.S.INV(RAND())</f>
        <v>-0.510530023800524</v>
      </c>
      <c r="LD81" s="0" t="n">
        <f aca="true">LD80*$D$71+(1-$D$71^2)*_xlfn.NORM.S.INV(RAND())</f>
        <v>1.09688435836742</v>
      </c>
      <c r="LE81" s="0" t="n">
        <f aca="true">LE80*$D$71+(1-$D$71^2)*_xlfn.NORM.S.INV(RAND())</f>
        <v>0.940710921397765</v>
      </c>
      <c r="LF81" s="0" t="n">
        <f aca="true">LF80*$D$71+(1-$D$71^2)*_xlfn.NORM.S.INV(RAND())</f>
        <v>0.752448786359848</v>
      </c>
      <c r="LG81" s="0" t="n">
        <f aca="true">LG80*$D$71+(1-$D$71^2)*_xlfn.NORM.S.INV(RAND())</f>
        <v>-0.423524358172896</v>
      </c>
      <c r="LH81" s="0" t="n">
        <f aca="true">LH80*$D$71+(1-$D$71^2)*_xlfn.NORM.S.INV(RAND())</f>
        <v>1.33463979618557</v>
      </c>
      <c r="LI81" s="0" t="n">
        <f aca="true">LI80*$D$71+(1-$D$71^2)*_xlfn.NORM.S.INV(RAND())</f>
        <v>-0.470419409219616</v>
      </c>
      <c r="LJ81" s="0" t="n">
        <f aca="true">LJ80*$D$71+(1-$D$71^2)*_xlfn.NORM.S.INV(RAND())</f>
        <v>0.701795734057894</v>
      </c>
      <c r="LK81" s="0" t="n">
        <f aca="true">LK80*$D$71+(1-$D$71^2)*_xlfn.NORM.S.INV(RAND())</f>
        <v>-0.80843740453612</v>
      </c>
      <c r="LL81" s="0" t="n">
        <f aca="true">LL80*$D$71+(1-$D$71^2)*_xlfn.NORM.S.INV(RAND())</f>
        <v>0.181932775670655</v>
      </c>
      <c r="LM81" s="0" t="n">
        <f aca="true">LM80*$D$71+(1-$D$71^2)*_xlfn.NORM.S.INV(RAND())</f>
        <v>0.101482599874265</v>
      </c>
      <c r="LN81" s="0" t="n">
        <f aca="true">LN80*$D$71+(1-$D$71^2)*_xlfn.NORM.S.INV(RAND())</f>
        <v>-1.2950877871844</v>
      </c>
      <c r="LO81" s="0" t="n">
        <f aca="true">LO80*$D$71+(1-$D$71^2)*_xlfn.NORM.S.INV(RAND())</f>
        <v>0.428538688240724</v>
      </c>
      <c r="LP81" s="0" t="n">
        <f aca="true">LP80*$D$71+(1-$D$71^2)*_xlfn.NORM.S.INV(RAND())</f>
        <v>-0.824226676214828</v>
      </c>
      <c r="LQ81" s="0" t="n">
        <f aca="true">LQ80*$D$71+(1-$D$71^2)*_xlfn.NORM.S.INV(RAND())</f>
        <v>0.446669107858542</v>
      </c>
      <c r="LR81" s="0" t="n">
        <f aca="true">LR80*$D$71+(1-$D$71^2)*_xlfn.NORM.S.INV(RAND())</f>
        <v>1.06055429558711</v>
      </c>
      <c r="LS81" s="0" t="n">
        <f aca="true">LS80*$D$71+(1-$D$71^2)*_xlfn.NORM.S.INV(RAND())</f>
        <v>0.291311521708822</v>
      </c>
      <c r="LT81" s="0" t="n">
        <f aca="true">LT80*$D$71+(1-$D$71^2)*_xlfn.NORM.S.INV(RAND())</f>
        <v>-0.017671499808039</v>
      </c>
      <c r="LU81" s="0" t="n">
        <f aca="true">LU80*$D$71+(1-$D$71^2)*_xlfn.NORM.S.INV(RAND())</f>
        <v>0.140330584040239</v>
      </c>
      <c r="LV81" s="0" t="n">
        <f aca="true">LV80*$D$71+(1-$D$71^2)*_xlfn.NORM.S.INV(RAND())</f>
        <v>1.08693097071657</v>
      </c>
      <c r="LW81" s="0" t="n">
        <f aca="true">LW80*$D$71+(1-$D$71^2)*_xlfn.NORM.S.INV(RAND())</f>
        <v>-0.0875555603136955</v>
      </c>
      <c r="LX81" s="0" t="n">
        <f aca="true">LX80*$D$71+(1-$D$71^2)*_xlfn.NORM.S.INV(RAND())</f>
        <v>-0.0225227463883995</v>
      </c>
      <c r="LY81" s="0" t="n">
        <f aca="true">LY80*$D$71+(1-$D$71^2)*_xlfn.NORM.S.INV(RAND())</f>
        <v>0.721700600173896</v>
      </c>
      <c r="LZ81" s="0" t="n">
        <f aca="true">LZ80*$D$71+(1-$D$71^2)*_xlfn.NORM.S.INV(RAND())</f>
        <v>0.592905199793183</v>
      </c>
      <c r="MA81" s="0" t="n">
        <f aca="true">MA80*$D$71+(1-$D$71^2)*_xlfn.NORM.S.INV(RAND())</f>
        <v>-0.228300602793434</v>
      </c>
      <c r="MB81" s="0" t="n">
        <f aca="true">MB80*$D$71+(1-$D$71^2)*_xlfn.NORM.S.INV(RAND())</f>
        <v>-1.25651920104974</v>
      </c>
      <c r="MC81" s="0" t="n">
        <f aca="true">MC80*$D$71+(1-$D$71^2)*_xlfn.NORM.S.INV(RAND())</f>
        <v>-0.465814291744031</v>
      </c>
      <c r="MD81" s="0" t="n">
        <f aca="true">MD80*$D$71+(1-$D$71^2)*_xlfn.NORM.S.INV(RAND())</f>
        <v>-2.65669789863056</v>
      </c>
      <c r="ME81" s="0" t="n">
        <f aca="true">ME80*$D$71+(1-$D$71^2)*_xlfn.NORM.S.INV(RAND())</f>
        <v>-1.00704308932749</v>
      </c>
      <c r="MF81" s="0" t="n">
        <f aca="true">MF80*$D$71+(1-$D$71^2)*_xlfn.NORM.S.INV(RAND())</f>
        <v>0.106660870968155</v>
      </c>
      <c r="MG81" s="0" t="n">
        <f aca="true">MG80*$D$71+(1-$D$71^2)*_xlfn.NORM.S.INV(RAND())</f>
        <v>1.28713589106664</v>
      </c>
      <c r="MH81" s="0" t="n">
        <f aca="true">MH80*$D$71+(1-$D$71^2)*_xlfn.NORM.S.INV(RAND())</f>
        <v>0.00599400941091247</v>
      </c>
      <c r="MI81" s="0" t="n">
        <f aca="true">MI80*$D$71+(1-$D$71^2)*_xlfn.NORM.S.INV(RAND())</f>
        <v>-0.295081895077981</v>
      </c>
      <c r="MJ81" s="0" t="n">
        <f aca="true">MJ80*$D$71+(1-$D$71^2)*_xlfn.NORM.S.INV(RAND())</f>
        <v>-0.802219136775792</v>
      </c>
      <c r="MK81" s="0" t="n">
        <f aca="true">MK80*$D$71+(1-$D$71^2)*_xlfn.NORM.S.INV(RAND())</f>
        <v>-0.570106167087009</v>
      </c>
      <c r="ML81" s="0" t="n">
        <f aca="true">ML80*$D$71+(1-$D$71^2)*_xlfn.NORM.S.INV(RAND())</f>
        <v>-1.14952829201439</v>
      </c>
      <c r="MM81" s="0" t="n">
        <f aca="true">MM80*$D$71+(1-$D$71^2)*_xlfn.NORM.S.INV(RAND())</f>
        <v>0.473162176851262</v>
      </c>
      <c r="MN81" s="0" t="n">
        <f aca="true">MN80*$D$71+(1-$D$71^2)*_xlfn.NORM.S.INV(RAND())</f>
        <v>-0.575965141072301</v>
      </c>
      <c r="MO81" s="0" t="n">
        <f aca="true">MO80*$D$71+(1-$D$71^2)*_xlfn.NORM.S.INV(RAND())</f>
        <v>-1.58872270769939</v>
      </c>
      <c r="MP81" s="0" t="n">
        <f aca="true">MP80*$D$71+(1-$D$71^2)*_xlfn.NORM.S.INV(RAND())</f>
        <v>-1.40713296839212</v>
      </c>
      <c r="MQ81" s="0" t="n">
        <f aca="true">MQ80*$D$71+(1-$D$71^2)*_xlfn.NORM.S.INV(RAND())</f>
        <v>1.865674518034</v>
      </c>
      <c r="MR81" s="0" t="n">
        <f aca="true">MR80*$D$71+(1-$D$71^2)*_xlfn.NORM.S.INV(RAND())</f>
        <v>-0.553473112811092</v>
      </c>
      <c r="MS81" s="0" t="n">
        <f aca="true">MS80*$D$71+(1-$D$71^2)*_xlfn.NORM.S.INV(RAND())</f>
        <v>-0.760163365610416</v>
      </c>
      <c r="MT81" s="0" t="n">
        <f aca="true">MT80*$D$71+(1-$D$71^2)*_xlfn.NORM.S.INV(RAND())</f>
        <v>0.436156206936258</v>
      </c>
      <c r="MU81" s="0" t="n">
        <f aca="true">MU80*$D$71+(1-$D$71^2)*_xlfn.NORM.S.INV(RAND())</f>
        <v>0.654472993289475</v>
      </c>
      <c r="MV81" s="0" t="n">
        <f aca="true">MV80*$D$71+(1-$D$71^2)*_xlfn.NORM.S.INV(RAND())</f>
        <v>-1.00152375330239</v>
      </c>
      <c r="MW81" s="0" t="n">
        <f aca="true">MW80*$D$71+(1-$D$71^2)*_xlfn.NORM.S.INV(RAND())</f>
        <v>0.176169380437441</v>
      </c>
      <c r="MX81" s="0" t="n">
        <f aca="true">MX80*$D$71+(1-$D$71^2)*_xlfn.NORM.S.INV(RAND())</f>
        <v>1.29252338602794</v>
      </c>
      <c r="MY81" s="0" t="n">
        <f aca="true">MY80*$D$71+(1-$D$71^2)*_xlfn.NORM.S.INV(RAND())</f>
        <v>-0.586172955143678</v>
      </c>
      <c r="MZ81" s="0" t="n">
        <f aca="true">MZ80*$D$71+(1-$D$71^2)*_xlfn.NORM.S.INV(RAND())</f>
        <v>-0.375431915598846</v>
      </c>
      <c r="NA81" s="0" t="n">
        <f aca="true">NA80*$D$71+(1-$D$71^2)*_xlfn.NORM.S.INV(RAND())</f>
        <v>-0.571075253439748</v>
      </c>
      <c r="NB81" s="0" t="n">
        <f aca="true">NB80*$D$71+(1-$D$71^2)*_xlfn.NORM.S.INV(RAND())</f>
        <v>-1.15829077131218</v>
      </c>
      <c r="NC81" s="0" t="n">
        <f aca="true">NC80*$D$71+(1-$D$71^2)*_xlfn.NORM.S.INV(RAND())</f>
        <v>-0.0279698337141435</v>
      </c>
      <c r="ND81" s="0" t="n">
        <f aca="true">ND80*$D$71+(1-$D$71^2)*_xlfn.NORM.S.INV(RAND())</f>
        <v>0.419859509511875</v>
      </c>
      <c r="NE81" s="0" t="n">
        <f aca="true">NE80*$D$71+(1-$D$71^2)*_xlfn.NORM.S.INV(RAND())</f>
        <v>-1.46428945321386</v>
      </c>
      <c r="NF81" s="0" t="n">
        <f aca="true">NF80*$D$71+(1-$D$71^2)*_xlfn.NORM.S.INV(RAND())</f>
        <v>0.100927792235146</v>
      </c>
      <c r="NG81" s="0" t="n">
        <f aca="true">NG80*$D$71+(1-$D$71^2)*_xlfn.NORM.S.INV(RAND())</f>
        <v>0.226220488500194</v>
      </c>
      <c r="NH81" s="0" t="n">
        <f aca="true">NH80*$D$71+(1-$D$71^2)*_xlfn.NORM.S.INV(RAND())</f>
        <v>0.21613912480624</v>
      </c>
      <c r="NI81" s="0" t="n">
        <f aca="true">NI80*$D$71+(1-$D$71^2)*_xlfn.NORM.S.INV(RAND())</f>
        <v>0.631996396080768</v>
      </c>
      <c r="NJ81" s="0" t="n">
        <f aca="true">NJ80*$D$71+(1-$D$71^2)*_xlfn.NORM.S.INV(RAND())</f>
        <v>0.412119849332976</v>
      </c>
      <c r="NK81" s="0" t="n">
        <f aca="true">NK80*$D$71+(1-$D$71^2)*_xlfn.NORM.S.INV(RAND())</f>
        <v>-0.65078351019011</v>
      </c>
      <c r="NL81" s="0" t="n">
        <f aca="true">NL80*$D$71+(1-$D$71^2)*_xlfn.NORM.S.INV(RAND())</f>
        <v>0.110213138932844</v>
      </c>
      <c r="NM81" s="0" t="n">
        <f aca="true">NM80*$D$71+(1-$D$71^2)*_xlfn.NORM.S.INV(RAND())</f>
        <v>-1.41650096032653</v>
      </c>
      <c r="NN81" s="0" t="n">
        <f aca="true">NN80*$D$71+(1-$D$71^2)*_xlfn.NORM.S.INV(RAND())</f>
        <v>-1.44809793444716</v>
      </c>
      <c r="NO81" s="0" t="n">
        <f aca="true">NO80*$D$71+(1-$D$71^2)*_xlfn.NORM.S.INV(RAND())</f>
        <v>1.40065216152134</v>
      </c>
      <c r="NP81" s="0" t="n">
        <f aca="true">NP80*$D$71+(1-$D$71^2)*_xlfn.NORM.S.INV(RAND())</f>
        <v>-0.0251949756102102</v>
      </c>
      <c r="NQ81" s="0" t="n">
        <f aca="true">NQ80*$D$71+(1-$D$71^2)*_xlfn.NORM.S.INV(RAND())</f>
        <v>-0.072541643185798</v>
      </c>
      <c r="NR81" s="0" t="n">
        <f aca="true">NR80*$D$71+(1-$D$71^2)*_xlfn.NORM.S.INV(RAND())</f>
        <v>0.256593765121719</v>
      </c>
      <c r="NS81" s="0" t="n">
        <f aca="true">NS80*$D$71+(1-$D$71^2)*_xlfn.NORM.S.INV(RAND())</f>
        <v>0.261258317469023</v>
      </c>
      <c r="NT81" s="0" t="n">
        <f aca="true">NT80*$D$71+(1-$D$71^2)*_xlfn.NORM.S.INV(RAND())</f>
        <v>2.03559100144442</v>
      </c>
      <c r="NU81" s="0" t="n">
        <f aca="true">NU80*$D$71+(1-$D$71^2)*_xlfn.NORM.S.INV(RAND())</f>
        <v>1.6152606163842</v>
      </c>
      <c r="NV81" s="0" t="n">
        <f aca="true">NV80*$D$71+(1-$D$71^2)*_xlfn.NORM.S.INV(RAND())</f>
        <v>0.1990394425507</v>
      </c>
      <c r="NW81" s="0" t="n">
        <f aca="true">NW80*$D$71+(1-$D$71^2)*_xlfn.NORM.S.INV(RAND())</f>
        <v>0.217840287504246</v>
      </c>
      <c r="NX81" s="0" t="n">
        <f aca="true">NX80*$D$71+(1-$D$71^2)*_xlfn.NORM.S.INV(RAND())</f>
        <v>0.176475496805704</v>
      </c>
      <c r="NY81" s="0" t="n">
        <f aca="true">NY80*$D$71+(1-$D$71^2)*_xlfn.NORM.S.INV(RAND())</f>
        <v>0.0833323486948921</v>
      </c>
      <c r="NZ81" s="0" t="n">
        <f aca="true">NZ80*$D$71+(1-$D$71^2)*_xlfn.NORM.S.INV(RAND())</f>
        <v>-1.04244815215239</v>
      </c>
      <c r="OA81" s="0" t="n">
        <f aca="true">OA80*$D$71+(1-$D$71^2)*_xlfn.NORM.S.INV(RAND())</f>
        <v>0.0266489352444097</v>
      </c>
      <c r="OB81" s="0" t="n">
        <f aca="true">OB80*$D$71+(1-$D$71^2)*_xlfn.NORM.S.INV(RAND())</f>
        <v>-0.00171509235018946</v>
      </c>
      <c r="OC81" s="0" t="n">
        <f aca="true">OC80*$D$71+(1-$D$71^2)*_xlfn.NORM.S.INV(RAND())</f>
        <v>-0.0322967840779111</v>
      </c>
      <c r="OD81" s="0" t="n">
        <f aca="true">OD80*$D$71+(1-$D$71^2)*_xlfn.NORM.S.INV(RAND())</f>
        <v>-0.471538341864481</v>
      </c>
      <c r="OE81" s="0" t="n">
        <f aca="true">OE80*$D$71+(1-$D$71^2)*_xlfn.NORM.S.INV(RAND())</f>
        <v>0.00536735950172559</v>
      </c>
      <c r="OF81" s="0" t="n">
        <f aca="true">OF80*$D$71+(1-$D$71^2)*_xlfn.NORM.S.INV(RAND())</f>
        <v>-0.179180402838712</v>
      </c>
      <c r="OG81" s="0" t="n">
        <f aca="true">OG80*$D$71+(1-$D$71^2)*_xlfn.NORM.S.INV(RAND())</f>
        <v>-0.449146282798208</v>
      </c>
      <c r="OH81" s="0" t="n">
        <f aca="true">OH80*$D$71+(1-$D$71^2)*_xlfn.NORM.S.INV(RAND())</f>
        <v>0.0313188107788661</v>
      </c>
      <c r="OI81" s="0" t="n">
        <f aca="true">OI80*$D$71+(1-$D$71^2)*_xlfn.NORM.S.INV(RAND())</f>
        <v>-0.0698253481802104</v>
      </c>
      <c r="OJ81" s="0" t="n">
        <f aca="true">OJ80*$D$71+(1-$D$71^2)*_xlfn.NORM.S.INV(RAND())</f>
        <v>1.91917323779839</v>
      </c>
      <c r="OK81" s="0" t="n">
        <f aca="true">OK80*$D$71+(1-$D$71^2)*_xlfn.NORM.S.INV(RAND())</f>
        <v>-0.540502468743728</v>
      </c>
      <c r="OL81" s="0" t="n">
        <f aca="true">OL80*$D$71+(1-$D$71^2)*_xlfn.NORM.S.INV(RAND())</f>
        <v>0.480862415266066</v>
      </c>
      <c r="OM81" s="0" t="n">
        <f aca="true">OM80*$D$71+(1-$D$71^2)*_xlfn.NORM.S.INV(RAND())</f>
        <v>-0.379393490567223</v>
      </c>
      <c r="ON81" s="0" t="n">
        <f aca="true">ON80*$D$71+(1-$D$71^2)*_xlfn.NORM.S.INV(RAND())</f>
        <v>-1.19486804937938</v>
      </c>
      <c r="OO81" s="0" t="n">
        <f aca="true">OO80*$D$71+(1-$D$71^2)*_xlfn.NORM.S.INV(RAND())</f>
        <v>-1.61285444669954</v>
      </c>
      <c r="OP81" s="0" t="n">
        <f aca="true">OP80*$D$71+(1-$D$71^2)*_xlfn.NORM.S.INV(RAND())</f>
        <v>0.421375031245688</v>
      </c>
      <c r="OQ81" s="0" t="n">
        <f aca="true">OQ80*$D$71+(1-$D$71^2)*_xlfn.NORM.S.INV(RAND())</f>
        <v>-0.295639623190995</v>
      </c>
      <c r="OR81" s="0" t="n">
        <f aca="true">OR80*$D$71+(1-$D$71^2)*_xlfn.NORM.S.INV(RAND())</f>
        <v>-0.0925111032620873</v>
      </c>
      <c r="OS81" s="0" t="n">
        <f aca="true">OS80*$D$71+(1-$D$71^2)*_xlfn.NORM.S.INV(RAND())</f>
        <v>0.988803891697535</v>
      </c>
      <c r="OT81" s="0" t="n">
        <f aca="true">OT80*$D$71+(1-$D$71^2)*_xlfn.NORM.S.INV(RAND())</f>
        <v>-0.952234250702261</v>
      </c>
      <c r="OU81" s="0" t="n">
        <f aca="true">OU80*$D$71+(1-$D$71^2)*_xlfn.NORM.S.INV(RAND())</f>
        <v>0.374722435780582</v>
      </c>
      <c r="OV81" s="0" t="n">
        <f aca="true">OV80*$D$71+(1-$D$71^2)*_xlfn.NORM.S.INV(RAND())</f>
        <v>-0.208882041763154</v>
      </c>
      <c r="OW81" s="0" t="n">
        <f aca="true">OW80*$D$71+(1-$D$71^2)*_xlfn.NORM.S.INV(RAND())</f>
        <v>0.103950023678278</v>
      </c>
      <c r="OX81" s="0" t="n">
        <f aca="true">OX80*$D$71+(1-$D$71^2)*_xlfn.NORM.S.INV(RAND())</f>
        <v>0.86833601668853</v>
      </c>
      <c r="OY81" s="0" t="n">
        <f aca="true">OY80*$D$71+(1-$D$71^2)*_xlfn.NORM.S.INV(RAND())</f>
        <v>-0.688386429086007</v>
      </c>
      <c r="OZ81" s="0" t="n">
        <f aca="true">OZ80*$D$71+(1-$D$71^2)*_xlfn.NORM.S.INV(RAND())</f>
        <v>-1.41409846068929</v>
      </c>
      <c r="PA81" s="0" t="n">
        <f aca="true">PA80*$D$71+(1-$D$71^2)*_xlfn.NORM.S.INV(RAND())</f>
        <v>1.68118635794149</v>
      </c>
      <c r="PB81" s="0" t="n">
        <f aca="true">PB80*$D$71+(1-$D$71^2)*_xlfn.NORM.S.INV(RAND())</f>
        <v>-0.654839166898814</v>
      </c>
      <c r="PC81" s="0" t="n">
        <f aca="true">PC80*$D$71+(1-$D$71^2)*_xlfn.NORM.S.INV(RAND())</f>
        <v>-0.673905884640598</v>
      </c>
      <c r="PD81" s="0" t="n">
        <f aca="true">PD80*$D$71+(1-$D$71^2)*_xlfn.NORM.S.INV(RAND())</f>
        <v>0.515200388435474</v>
      </c>
      <c r="PE81" s="0" t="n">
        <f aca="true">PE80*$D$71+(1-$D$71^2)*_xlfn.NORM.S.INV(RAND())</f>
        <v>-1.01205993071292</v>
      </c>
      <c r="PF81" s="0" t="n">
        <f aca="true">PF80*$D$71+(1-$D$71^2)*_xlfn.NORM.S.INV(RAND())</f>
        <v>-0.413836320482664</v>
      </c>
      <c r="PG81" s="0" t="n">
        <f aca="true">PG80*$D$71+(1-$D$71^2)*_xlfn.NORM.S.INV(RAND())</f>
        <v>-0.696322571512033</v>
      </c>
      <c r="PH81" s="0" t="n">
        <f aca="true">PH80*$D$71+(1-$D$71^2)*_xlfn.NORM.S.INV(RAND())</f>
        <v>0.0462552840838396</v>
      </c>
      <c r="PI81" s="0" t="n">
        <f aca="true">PI80*$D$71+(1-$D$71^2)*_xlfn.NORM.S.INV(RAND())</f>
        <v>0.628611205679264</v>
      </c>
      <c r="PJ81" s="0" t="n">
        <f aca="true">PJ80*$D$71+(1-$D$71^2)*_xlfn.NORM.S.INV(RAND())</f>
        <v>0.0490370595016152</v>
      </c>
      <c r="PK81" s="0" t="n">
        <f aca="true">PK80*$D$71+(1-$D$71^2)*_xlfn.NORM.S.INV(RAND())</f>
        <v>-0.284046548840527</v>
      </c>
      <c r="PL81" s="0" t="n">
        <f aca="true">PL80*$D$71+(1-$D$71^2)*_xlfn.NORM.S.INV(RAND())</f>
        <v>-0.128351786271708</v>
      </c>
      <c r="PM81" s="0" t="n">
        <f aca="true">PM80*$D$71+(1-$D$71^2)*_xlfn.NORM.S.INV(RAND())</f>
        <v>0.32087595997362</v>
      </c>
      <c r="PN81" s="0" t="n">
        <f aca="true">PN80*$D$71+(1-$D$71^2)*_xlfn.NORM.S.INV(RAND())</f>
        <v>-1.15809199305133</v>
      </c>
      <c r="PO81" s="0" t="n">
        <f aca="true">PO80*$D$71+(1-$D$71^2)*_xlfn.NORM.S.INV(RAND())</f>
        <v>-0.766634075644393</v>
      </c>
      <c r="PP81" s="0" t="n">
        <f aca="true">PP80*$D$71+(1-$D$71^2)*_xlfn.NORM.S.INV(RAND())</f>
        <v>0.309167422623499</v>
      </c>
      <c r="PQ81" s="0" t="n">
        <f aca="true">PQ80*$D$71+(1-$D$71^2)*_xlfn.NORM.S.INV(RAND())</f>
        <v>-0.499080381617464</v>
      </c>
      <c r="PR81" s="0" t="n">
        <f aca="true">PR80*$D$71+(1-$D$71^2)*_xlfn.NORM.S.INV(RAND())</f>
        <v>-0.489534820661012</v>
      </c>
      <c r="PS81" s="0" t="n">
        <f aca="true">PS80*$D$71+(1-$D$71^2)*_xlfn.NORM.S.INV(RAND())</f>
        <v>-1.79247931080695</v>
      </c>
      <c r="PT81" s="0" t="n">
        <f aca="true">PT80*$D$71+(1-$D$71^2)*_xlfn.NORM.S.INV(RAND())</f>
        <v>0.0297422076055625</v>
      </c>
      <c r="PU81" s="0" t="n">
        <f aca="true">PU80*$D$71+(1-$D$71^2)*_xlfn.NORM.S.INV(RAND())</f>
        <v>-0.609277194655345</v>
      </c>
      <c r="PV81" s="0" t="n">
        <f aca="true">PV80*$D$71+(1-$D$71^2)*_xlfn.NORM.S.INV(RAND())</f>
        <v>-0.1131674647059</v>
      </c>
      <c r="PW81" s="0" t="n">
        <f aca="true">PW80*$D$71+(1-$D$71^2)*_xlfn.NORM.S.INV(RAND())</f>
        <v>0.502086503618369</v>
      </c>
      <c r="PX81" s="0" t="n">
        <f aca="true">PX80*$D$71+(1-$D$71^2)*_xlfn.NORM.S.INV(RAND())</f>
        <v>-1.70069988479741</v>
      </c>
      <c r="PY81" s="0" t="n">
        <f aca="true">PY80*$D$71+(1-$D$71^2)*_xlfn.NORM.S.INV(RAND())</f>
        <v>1.62920295648021</v>
      </c>
      <c r="PZ81" s="0" t="n">
        <f aca="true">PZ80*$D$71+(1-$D$71^2)*_xlfn.NORM.S.INV(RAND())</f>
        <v>1.35682963226977</v>
      </c>
      <c r="QA81" s="0" t="n">
        <f aca="true">QA80*$D$71+(1-$D$71^2)*_xlfn.NORM.S.INV(RAND())</f>
        <v>-0.569039352579923</v>
      </c>
      <c r="QB81" s="0" t="n">
        <f aca="true">QB80*$D$71+(1-$D$71^2)*_xlfn.NORM.S.INV(RAND())</f>
        <v>1.17911464716346</v>
      </c>
      <c r="QC81" s="0" t="n">
        <f aca="true">QC80*$D$71+(1-$D$71^2)*_xlfn.NORM.S.INV(RAND())</f>
        <v>-1.07182977712983</v>
      </c>
      <c r="QD81" s="0" t="n">
        <f aca="true">QD80*$D$71+(1-$D$71^2)*_xlfn.NORM.S.INV(RAND())</f>
        <v>0.653714803173684</v>
      </c>
      <c r="QE81" s="0" t="n">
        <f aca="true">QE80*$D$71+(1-$D$71^2)*_xlfn.NORM.S.INV(RAND())</f>
        <v>-0.761353168693106</v>
      </c>
      <c r="QF81" s="0" t="n">
        <f aca="true">QF80*$D$71+(1-$D$71^2)*_xlfn.NORM.S.INV(RAND())</f>
        <v>-1.75128125825992</v>
      </c>
      <c r="QG81" s="0" t="n">
        <f aca="true">QG80*$D$71+(1-$D$71^2)*_xlfn.NORM.S.INV(RAND())</f>
        <v>-0.517458008733447</v>
      </c>
      <c r="QH81" s="0" t="n">
        <f aca="true">QH80*$D$71+(1-$D$71^2)*_xlfn.NORM.S.INV(RAND())</f>
        <v>0.290846595939126</v>
      </c>
      <c r="QI81" s="0" t="n">
        <f aca="true">QI80*$D$71+(1-$D$71^2)*_xlfn.NORM.S.INV(RAND())</f>
        <v>-0.3870465872244</v>
      </c>
      <c r="QJ81" s="0" t="n">
        <f aca="true">QJ80*$D$71+(1-$D$71^2)*_xlfn.NORM.S.INV(RAND())</f>
        <v>1.05667983296309</v>
      </c>
      <c r="QK81" s="0" t="n">
        <f aca="true">QK80*$D$71+(1-$D$71^2)*_xlfn.NORM.S.INV(RAND())</f>
        <v>0.435464564323926</v>
      </c>
      <c r="QL81" s="0" t="n">
        <f aca="true">QL80*$D$71+(1-$D$71^2)*_xlfn.NORM.S.INV(RAND())</f>
        <v>1.19985406095127</v>
      </c>
      <c r="QM81" s="0" t="n">
        <f aca="true">QM80*$D$71+(1-$D$71^2)*_xlfn.NORM.S.INV(RAND())</f>
        <v>-0.3693279042247</v>
      </c>
      <c r="QN81" s="0" t="n">
        <f aca="true">QN80*$D$71+(1-$D$71^2)*_xlfn.NORM.S.INV(RAND())</f>
        <v>-0.208490006317459</v>
      </c>
      <c r="QO81" s="0" t="n">
        <f aca="true">QO80*$D$71+(1-$D$71^2)*_xlfn.NORM.S.INV(RAND())</f>
        <v>-0.343665115686465</v>
      </c>
      <c r="QP81" s="0" t="n">
        <f aca="true">QP80*$D$71+(1-$D$71^2)*_xlfn.NORM.S.INV(RAND())</f>
        <v>0.830405172538817</v>
      </c>
      <c r="QQ81" s="0" t="n">
        <f aca="true">QQ80*$D$71+(1-$D$71^2)*_xlfn.NORM.S.INV(RAND())</f>
        <v>-0.265096886999212</v>
      </c>
      <c r="QR81" s="0" t="n">
        <f aca="true">QR80*$D$71+(1-$D$71^2)*_xlfn.NORM.S.INV(RAND())</f>
        <v>0.610778442866658</v>
      </c>
      <c r="QS81" s="0" t="n">
        <f aca="true">QS80*$D$71+(1-$D$71^2)*_xlfn.NORM.S.INV(RAND())</f>
        <v>0.456739054622923</v>
      </c>
      <c r="QT81" s="0" t="n">
        <f aca="true">QT80*$D$71+(1-$D$71^2)*_xlfn.NORM.S.INV(RAND())</f>
        <v>1.57511919885131</v>
      </c>
      <c r="QU81" s="0" t="n">
        <f aca="true">QU80*$D$71+(1-$D$71^2)*_xlfn.NORM.S.INV(RAND())</f>
        <v>-0.141975687959483</v>
      </c>
      <c r="QV81" s="0" t="n">
        <f aca="true">QV80*$D$71+(1-$D$71^2)*_xlfn.NORM.S.INV(RAND())</f>
        <v>0.156305895055373</v>
      </c>
      <c r="QW81" s="0" t="n">
        <f aca="true">QW80*$D$71+(1-$D$71^2)*_xlfn.NORM.S.INV(RAND())</f>
        <v>-1.39478682230779</v>
      </c>
      <c r="QX81" s="0" t="n">
        <f aca="true">QX80*$D$71+(1-$D$71^2)*_xlfn.NORM.S.INV(RAND())</f>
        <v>-2.24854876640028</v>
      </c>
      <c r="QY81" s="0" t="n">
        <f aca="true">QY80*$D$71+(1-$D$71^2)*_xlfn.NORM.S.INV(RAND())</f>
        <v>-1.23301366948921</v>
      </c>
      <c r="QZ81" s="0" t="n">
        <f aca="true">QZ80*$D$71+(1-$D$71^2)*_xlfn.NORM.S.INV(RAND())</f>
        <v>-0.157990028282833</v>
      </c>
      <c r="RA81" s="0" t="n">
        <f aca="true">RA80*$D$71+(1-$D$71^2)*_xlfn.NORM.S.INV(RAND())</f>
        <v>-0.488890680126746</v>
      </c>
      <c r="RB81" s="0" t="n">
        <f aca="true">RB80*$D$71+(1-$D$71^2)*_xlfn.NORM.S.INV(RAND())</f>
        <v>0.661301521869752</v>
      </c>
      <c r="RC81" s="0" t="n">
        <f aca="true">RC80*$D$71+(1-$D$71^2)*_xlfn.NORM.S.INV(RAND())</f>
        <v>0.739343222638315</v>
      </c>
      <c r="RD81" s="0" t="n">
        <f aca="true">RD80*$D$71+(1-$D$71^2)*_xlfn.NORM.S.INV(RAND())</f>
        <v>1.01712696411258</v>
      </c>
      <c r="RE81" s="0" t="n">
        <f aca="true">RE80*$D$71+(1-$D$71^2)*_xlfn.NORM.S.INV(RAND())</f>
        <v>0.485370348254135</v>
      </c>
      <c r="RF81" s="0" t="n">
        <f aca="true">RF80*$D$71+(1-$D$71^2)*_xlfn.NORM.S.INV(RAND())</f>
        <v>0.856807394421907</v>
      </c>
      <c r="RG81" s="0" t="n">
        <f aca="true">RG80*$D$71+(1-$D$71^2)*_xlfn.NORM.S.INV(RAND())</f>
        <v>0.849845415607556</v>
      </c>
      <c r="RH81" s="0" t="n">
        <f aca="true">RH80*$D$71+(1-$D$71^2)*_xlfn.NORM.S.INV(RAND())</f>
        <v>0.605994717236584</v>
      </c>
      <c r="RI81" s="0" t="n">
        <f aca="true">RI80*$D$71+(1-$D$71^2)*_xlfn.NORM.S.INV(RAND())</f>
        <v>0.515679174554403</v>
      </c>
      <c r="RJ81" s="0" t="n">
        <f aca="true">RJ80*$D$71+(1-$D$71^2)*_xlfn.NORM.S.INV(RAND())</f>
        <v>0.438991292167043</v>
      </c>
      <c r="RK81" s="0" t="n">
        <f aca="true">RK80*$D$71+(1-$D$71^2)*_xlfn.NORM.S.INV(RAND())</f>
        <v>-1.88479994599136</v>
      </c>
      <c r="RL81" s="0" t="n">
        <f aca="true">RL80*$D$71+(1-$D$71^2)*_xlfn.NORM.S.INV(RAND())</f>
        <v>-0.819973864887202</v>
      </c>
      <c r="RM81" s="0" t="n">
        <f aca="true">RM80*$D$71+(1-$D$71^2)*_xlfn.NORM.S.INV(RAND())</f>
        <v>1.6136802182778</v>
      </c>
      <c r="RN81" s="0" t="n">
        <f aca="true">RN80*$D$71+(1-$D$71^2)*_xlfn.NORM.S.INV(RAND())</f>
        <v>0.0127054723071361</v>
      </c>
      <c r="RO81" s="0" t="n">
        <f aca="true">RO80*$D$71+(1-$D$71^2)*_xlfn.NORM.S.INV(RAND())</f>
        <v>-1.63916267596781</v>
      </c>
      <c r="RP81" s="0" t="n">
        <f aca="true">RP80*$D$71+(1-$D$71^2)*_xlfn.NORM.S.INV(RAND())</f>
        <v>1.21040194828591</v>
      </c>
      <c r="RQ81" s="0" t="n">
        <f aca="true">RQ80*$D$71+(1-$D$71^2)*_xlfn.NORM.S.INV(RAND())</f>
        <v>-1.18577877244338</v>
      </c>
      <c r="RR81" s="0" t="n">
        <f aca="true">RR80*$D$71+(1-$D$71^2)*_xlfn.NORM.S.INV(RAND())</f>
        <v>-0.85273468136133</v>
      </c>
      <c r="RS81" s="0" t="n">
        <f aca="true">RS80*$D$71+(1-$D$71^2)*_xlfn.NORM.S.INV(RAND())</f>
        <v>-0.0999560455648663</v>
      </c>
      <c r="RT81" s="0" t="n">
        <f aca="true">RT80*$D$71+(1-$D$71^2)*_xlfn.NORM.S.INV(RAND())</f>
        <v>0.525550783591137</v>
      </c>
      <c r="RU81" s="0" t="n">
        <f aca="true">RU80*$D$71+(1-$D$71^2)*_xlfn.NORM.S.INV(RAND())</f>
        <v>-1.149366724386</v>
      </c>
      <c r="RV81" s="0" t="n">
        <f aca="true">RV80*$D$71+(1-$D$71^2)*_xlfn.NORM.S.INV(RAND())</f>
        <v>-1.33017545274889</v>
      </c>
      <c r="RW81" s="0" t="n">
        <f aca="true">RW80*$D$71+(1-$D$71^2)*_xlfn.NORM.S.INV(RAND())</f>
        <v>0.0275119817786057</v>
      </c>
      <c r="RX81" s="0" t="n">
        <f aca="true">RX80*$D$71+(1-$D$71^2)*_xlfn.NORM.S.INV(RAND())</f>
        <v>-0.463190665983882</v>
      </c>
      <c r="RY81" s="0" t="n">
        <f aca="true">RY80*$D$71+(1-$D$71^2)*_xlfn.NORM.S.INV(RAND())</f>
        <v>0.623215402686855</v>
      </c>
      <c r="RZ81" s="0" t="n">
        <f aca="true">RZ80*$D$71+(1-$D$71^2)*_xlfn.NORM.S.INV(RAND())</f>
        <v>0.529639741502673</v>
      </c>
      <c r="SA81" s="0" t="n">
        <f aca="true">SA80*$D$71+(1-$D$71^2)*_xlfn.NORM.S.INV(RAND())</f>
        <v>-0.612377346815088</v>
      </c>
      <c r="SB81" s="0" t="n">
        <f aca="true">SB80*$D$71+(1-$D$71^2)*_xlfn.NORM.S.INV(RAND())</f>
        <v>0.392704454008492</v>
      </c>
      <c r="SC81" s="0" t="n">
        <f aca="true">SC80*$D$71+(1-$D$71^2)*_xlfn.NORM.S.INV(RAND())</f>
        <v>-1.35598049285783</v>
      </c>
      <c r="SD81" s="0" t="n">
        <f aca="true">SD80*$D$71+(1-$D$71^2)*_xlfn.NORM.S.INV(RAND())</f>
        <v>0.977175253161606</v>
      </c>
      <c r="SE81" s="0" t="n">
        <f aca="true">SE80*$D$71+(1-$D$71^2)*_xlfn.NORM.S.INV(RAND())</f>
        <v>-0.0176446278473296</v>
      </c>
      <c r="SF81" s="0" t="n">
        <f aca="true">SF80*$D$71+(1-$D$71^2)*_xlfn.NORM.S.INV(RAND())</f>
        <v>-0.544889364522024</v>
      </c>
      <c r="SG81" s="0" t="n">
        <f aca="true">SG80*$D$71+(1-$D$71^2)*_xlfn.NORM.S.INV(RAND())</f>
        <v>0.33070433965468</v>
      </c>
      <c r="SH81" s="0" t="n">
        <f aca="true">SH80*$D$71+(1-$D$71^2)*_xlfn.NORM.S.INV(RAND())</f>
        <v>-0.984337191293066</v>
      </c>
      <c r="SI81" s="0" t="n">
        <f aca="true">SI80*$D$71+(1-$D$71^2)*_xlfn.NORM.S.INV(RAND())</f>
        <v>-0.300388835712605</v>
      </c>
      <c r="SJ81" s="0" t="n">
        <f aca="true">SJ80*$D$71+(1-$D$71^2)*_xlfn.NORM.S.INV(RAND())</f>
        <v>-1.75858263538102</v>
      </c>
      <c r="SK81" s="0" t="n">
        <f aca="true">SK80*$D$71+(1-$D$71^2)*_xlfn.NORM.S.INV(RAND())</f>
        <v>0.939098605220113</v>
      </c>
      <c r="SL81" s="0" t="n">
        <f aca="true">SL80*$D$71+(1-$D$71^2)*_xlfn.NORM.S.INV(RAND())</f>
        <v>0.263618409217364</v>
      </c>
      <c r="SM81" s="0" t="n">
        <f aca="true">SM80*$D$71+(1-$D$71^2)*_xlfn.NORM.S.INV(RAND())</f>
        <v>0.162745925017116</v>
      </c>
      <c r="SN81" s="0" t="n">
        <f aca="true">SN80*$D$71+(1-$D$71^2)*_xlfn.NORM.S.INV(RAND())</f>
        <v>1.30845089129671</v>
      </c>
      <c r="SO81" s="0" t="n">
        <f aca="true">SO80*$D$71+(1-$D$71^2)*_xlfn.NORM.S.INV(RAND())</f>
        <v>0.794162240904181</v>
      </c>
      <c r="SP81" s="0" t="n">
        <f aca="true">SP80*$D$71+(1-$D$71^2)*_xlfn.NORM.S.INV(RAND())</f>
        <v>0.192669158381712</v>
      </c>
      <c r="SQ81" s="0" t="n">
        <f aca="true">SQ80*$D$71+(1-$D$71^2)*_xlfn.NORM.S.INV(RAND())</f>
        <v>-0.00602346873782617</v>
      </c>
      <c r="SR81" s="0" t="n">
        <f aca="true">SR80*$D$71+(1-$D$71^2)*_xlfn.NORM.S.INV(RAND())</f>
        <v>0.31182837487622</v>
      </c>
      <c r="SS81" s="0" t="n">
        <f aca="true">SS80*$D$71+(1-$D$71^2)*_xlfn.NORM.S.INV(RAND())</f>
        <v>0.0433222078039336</v>
      </c>
      <c r="ST81" s="0" t="n">
        <f aca="true">ST80*$D$71+(1-$D$71^2)*_xlfn.NORM.S.INV(RAND())</f>
        <v>-0.132249999546412</v>
      </c>
      <c r="SU81" s="0" t="n">
        <f aca="true">SU80*$D$71+(1-$D$71^2)*_xlfn.NORM.S.INV(RAND())</f>
        <v>0.807305946922546</v>
      </c>
      <c r="SV81" s="0" t="n">
        <f aca="true">SV80*$D$71+(1-$D$71^2)*_xlfn.NORM.S.INV(RAND())</f>
        <v>0.977778536109673</v>
      </c>
      <c r="SW81" s="0" t="n">
        <f aca="true">SW80*$D$71+(1-$D$71^2)*_xlfn.NORM.S.INV(RAND())</f>
        <v>-1.44607043031395</v>
      </c>
      <c r="SX81" s="0" t="n">
        <f aca="true">SX80*$D$71+(1-$D$71^2)*_xlfn.NORM.S.INV(RAND())</f>
        <v>-1.41115034805504</v>
      </c>
      <c r="SY81" s="0" t="n">
        <f aca="true">SY80*$D$71+(1-$D$71^2)*_xlfn.NORM.S.INV(RAND())</f>
        <v>-1.00622061218059</v>
      </c>
      <c r="SZ81" s="0" t="n">
        <f aca="true">SZ80*$D$71+(1-$D$71^2)*_xlfn.NORM.S.INV(RAND())</f>
        <v>-0.521345354688206</v>
      </c>
      <c r="TA81" s="0" t="n">
        <f aca="true">TA80*$D$71+(1-$D$71^2)*_xlfn.NORM.S.INV(RAND())</f>
        <v>1.55793057174815</v>
      </c>
      <c r="TB81" s="0" t="n">
        <f aca="true">TB80*$D$71+(1-$D$71^2)*_xlfn.NORM.S.INV(RAND())</f>
        <v>-0.613130922677465</v>
      </c>
      <c r="TC81" s="0" t="n">
        <f aca="true">TC80*$D$71+(1-$D$71^2)*_xlfn.NORM.S.INV(RAND())</f>
        <v>0.72313288158231</v>
      </c>
      <c r="TD81" s="0" t="n">
        <f aca="true">TD80*$D$71+(1-$D$71^2)*_xlfn.NORM.S.INV(RAND())</f>
        <v>-1.03892215841473</v>
      </c>
      <c r="TE81" s="0" t="n">
        <f aca="true">TE80*$D$71+(1-$D$71^2)*_xlfn.NORM.S.INV(RAND())</f>
        <v>0.865677713781681</v>
      </c>
      <c r="TF81" s="0" t="n">
        <f aca="true">TF80*$D$71+(1-$D$71^2)*_xlfn.NORM.S.INV(RAND())</f>
        <v>0.276052323602139</v>
      </c>
      <c r="TG81" s="0" t="n">
        <f aca="true">TG80*$D$71+(1-$D$71^2)*_xlfn.NORM.S.INV(RAND())</f>
        <v>0.458769146522757</v>
      </c>
      <c r="TH81" s="0" t="n">
        <f aca="true">TH80*$D$71+(1-$D$71^2)*_xlfn.NORM.S.INV(RAND())</f>
        <v>0.306976315403326</v>
      </c>
      <c r="TI81" s="0" t="n">
        <f aca="true">TI80*$D$71+(1-$D$71^2)*_xlfn.NORM.S.INV(RAND())</f>
        <v>-1.49488468168239</v>
      </c>
      <c r="TJ81" s="0" t="n">
        <f aca="true">TJ80*$D$71+(1-$D$71^2)*_xlfn.NORM.S.INV(RAND())</f>
        <v>0.690580908890262</v>
      </c>
      <c r="TK81" s="0" t="n">
        <f aca="true">TK80*$D$71+(1-$D$71^2)*_xlfn.NORM.S.INV(RAND())</f>
        <v>-0.731783805008228</v>
      </c>
      <c r="TL81" s="0" t="n">
        <f aca="true">TL80*$D$71+(1-$D$71^2)*_xlfn.NORM.S.INV(RAND())</f>
        <v>1.87042807838617</v>
      </c>
      <c r="TM81" s="0" t="n">
        <f aca="true">TM80*$D$71+(1-$D$71^2)*_xlfn.NORM.S.INV(RAND())</f>
        <v>-0.85874104736529</v>
      </c>
      <c r="TN81" s="0" t="n">
        <f aca="true">TN80*$D$71+(1-$D$71^2)*_xlfn.NORM.S.INV(RAND())</f>
        <v>-0.400230641713499</v>
      </c>
      <c r="TO81" s="0" t="n">
        <f aca="true">TO80*$D$71+(1-$D$71^2)*_xlfn.NORM.S.INV(RAND())</f>
        <v>-0.2941366209399</v>
      </c>
      <c r="TP81" s="0" t="n">
        <f aca="true">TP80*$D$71+(1-$D$71^2)*_xlfn.NORM.S.INV(RAND())</f>
        <v>0.602759272366584</v>
      </c>
      <c r="TQ81" s="0" t="n">
        <f aca="true">TQ80*$D$71+(1-$D$71^2)*_xlfn.NORM.S.INV(RAND())</f>
        <v>1.40601227352704</v>
      </c>
      <c r="TR81" s="0" t="n">
        <f aca="true">TR80*$D$71+(1-$D$71^2)*_xlfn.NORM.S.INV(RAND())</f>
        <v>-1.68707586032697</v>
      </c>
      <c r="TS81" s="0" t="n">
        <f aca="true">TS80*$D$71+(1-$D$71^2)*_xlfn.NORM.S.INV(RAND())</f>
        <v>-0.171851162968803</v>
      </c>
      <c r="TT81" s="0" t="n">
        <f aca="true">TT80*$D$71+(1-$D$71^2)*_xlfn.NORM.S.INV(RAND())</f>
        <v>0.125996209340086</v>
      </c>
      <c r="TU81" s="0" t="n">
        <f aca="true">TU80*$D$71+(1-$D$71^2)*_xlfn.NORM.S.INV(RAND())</f>
        <v>-0.469910494077201</v>
      </c>
      <c r="TV81" s="0" t="n">
        <f aca="true">TV80*$D$71+(1-$D$71^2)*_xlfn.NORM.S.INV(RAND())</f>
        <v>-0.0143375864042682</v>
      </c>
      <c r="TW81" s="0" t="n">
        <f aca="true">TW80*$D$71+(1-$D$71^2)*_xlfn.NORM.S.INV(RAND())</f>
        <v>-0.478373460979286</v>
      </c>
      <c r="TX81" s="0" t="n">
        <f aca="true">TX80*$D$71+(1-$D$71^2)*_xlfn.NORM.S.INV(RAND())</f>
        <v>-0.786484190582774</v>
      </c>
      <c r="TY81" s="0" t="n">
        <f aca="true">TY80*$D$71+(1-$D$71^2)*_xlfn.NORM.S.INV(RAND())</f>
        <v>-1.6256685892933</v>
      </c>
      <c r="TZ81" s="0" t="n">
        <f aca="true">TZ80*$D$71+(1-$D$71^2)*_xlfn.NORM.S.INV(RAND())</f>
        <v>0.543701399193169</v>
      </c>
      <c r="UA81" s="0" t="n">
        <f aca="true">UA80*$D$71+(1-$D$71^2)*_xlfn.NORM.S.INV(RAND())</f>
        <v>0.163005937027995</v>
      </c>
      <c r="UB81" s="0" t="n">
        <f aca="true">UB80*$D$71+(1-$D$71^2)*_xlfn.NORM.S.INV(RAND())</f>
        <v>-0.234857324674231</v>
      </c>
      <c r="UC81" s="0" t="n">
        <f aca="true">UC80*$D$71+(1-$D$71^2)*_xlfn.NORM.S.INV(RAND())</f>
        <v>0.274205043716847</v>
      </c>
      <c r="UD81" s="0" t="n">
        <f aca="true">UD80*$D$71+(1-$D$71^2)*_xlfn.NORM.S.INV(RAND())</f>
        <v>1.02390295306205</v>
      </c>
      <c r="UE81" s="0" t="n">
        <f aca="true">UE80*$D$71+(1-$D$71^2)*_xlfn.NORM.S.INV(RAND())</f>
        <v>0.324587999949843</v>
      </c>
      <c r="UF81" s="0" t="n">
        <f aca="true">UF80*$D$71+(1-$D$71^2)*_xlfn.NORM.S.INV(RAND())</f>
        <v>0.251145438626374</v>
      </c>
      <c r="UG81" s="0" t="n">
        <f aca="true">UG80*$D$71+(1-$D$71^2)*_xlfn.NORM.S.INV(RAND())</f>
        <v>-0.396875875932116</v>
      </c>
      <c r="UH81" s="0" t="n">
        <f aca="true">UH80*$D$71+(1-$D$71^2)*_xlfn.NORM.S.INV(RAND())</f>
        <v>-0.133274740494311</v>
      </c>
      <c r="UI81" s="0" t="n">
        <f aca="true">UI80*$D$71+(1-$D$71^2)*_xlfn.NORM.S.INV(RAND())</f>
        <v>0.269886659709818</v>
      </c>
      <c r="UJ81" s="0" t="n">
        <f aca="true">UJ80*$D$71+(1-$D$71^2)*_xlfn.NORM.S.INV(RAND())</f>
        <v>-0.25461071143523</v>
      </c>
      <c r="UK81" s="0" t="n">
        <f aca="true">UK80*$D$71+(1-$D$71^2)*_xlfn.NORM.S.INV(RAND())</f>
        <v>-0.327772797393688</v>
      </c>
      <c r="UL81" s="0" t="n">
        <f aca="true">UL80*$D$71+(1-$D$71^2)*_xlfn.NORM.S.INV(RAND())</f>
        <v>0.317801421835589</v>
      </c>
      <c r="UM81" s="0" t="n">
        <f aca="true">UM80*$D$71+(1-$D$71^2)*_xlfn.NORM.S.INV(RAND())</f>
        <v>1.88345834670794</v>
      </c>
      <c r="UN81" s="0" t="n">
        <f aca="true">UN80*$D$71+(1-$D$71^2)*_xlfn.NORM.S.INV(RAND())</f>
        <v>0.696919563091254</v>
      </c>
      <c r="UO81" s="0" t="n">
        <f aca="true">UO80*$D$71+(1-$D$71^2)*_xlfn.NORM.S.INV(RAND())</f>
        <v>0.0913468649338239</v>
      </c>
      <c r="UP81" s="0" t="n">
        <f aca="true">UP80*$D$71+(1-$D$71^2)*_xlfn.NORM.S.INV(RAND())</f>
        <v>-0.00647245712081357</v>
      </c>
      <c r="UQ81" s="0" t="n">
        <f aca="true">UQ80*$D$71+(1-$D$71^2)*_xlfn.NORM.S.INV(RAND())</f>
        <v>-0.665382869896024</v>
      </c>
      <c r="UR81" s="0" t="n">
        <f aca="true">UR80*$D$71+(1-$D$71^2)*_xlfn.NORM.S.INV(RAND())</f>
        <v>-0.0468174787470778</v>
      </c>
      <c r="US81" s="0" t="n">
        <f aca="true">US80*$D$71+(1-$D$71^2)*_xlfn.NORM.S.INV(RAND())</f>
        <v>0.0615808017948371</v>
      </c>
      <c r="UT81" s="0" t="n">
        <f aca="true">UT80*$D$71+(1-$D$71^2)*_xlfn.NORM.S.INV(RAND())</f>
        <v>-0.629048674356618</v>
      </c>
      <c r="UU81" s="0" t="n">
        <f aca="true">UU80*$D$71+(1-$D$71^2)*_xlfn.NORM.S.INV(RAND())</f>
        <v>-0.285002662465688</v>
      </c>
      <c r="UV81" s="0" t="n">
        <f aca="true">UV80*$D$71+(1-$D$71^2)*_xlfn.NORM.S.INV(RAND())</f>
        <v>-1.26281397975472</v>
      </c>
      <c r="UW81" s="0" t="n">
        <f aca="true">UW80*$D$71+(1-$D$71^2)*_xlfn.NORM.S.INV(RAND())</f>
        <v>-0.54833750392699</v>
      </c>
      <c r="UX81" s="0" t="n">
        <f aca="true">UX80*$D$71+(1-$D$71^2)*_xlfn.NORM.S.INV(RAND())</f>
        <v>0.450432436825323</v>
      </c>
      <c r="UY81" s="0" t="n">
        <f aca="true">UY80*$D$71+(1-$D$71^2)*_xlfn.NORM.S.INV(RAND())</f>
        <v>1.51940560406794</v>
      </c>
      <c r="UZ81" s="0" t="n">
        <f aca="true">UZ80*$D$71+(1-$D$71^2)*_xlfn.NORM.S.INV(RAND())</f>
        <v>1.55010377697103</v>
      </c>
      <c r="VA81" s="0" t="n">
        <f aca="true">VA80*$D$71+(1-$D$71^2)*_xlfn.NORM.S.INV(RAND())</f>
        <v>-0.0760687618624873</v>
      </c>
      <c r="VB81" s="0" t="n">
        <f aca="true">VB80*$D$71+(1-$D$71^2)*_xlfn.NORM.S.INV(RAND())</f>
        <v>1.17019830263709</v>
      </c>
      <c r="VC81" s="0" t="n">
        <f aca="true">VC80*$D$71+(1-$D$71^2)*_xlfn.NORM.S.INV(RAND())</f>
        <v>-0.0758619371881029</v>
      </c>
      <c r="VD81" s="0" t="n">
        <f aca="true">VD80*$D$71+(1-$D$71^2)*_xlfn.NORM.S.INV(RAND())</f>
        <v>-0.561345724418699</v>
      </c>
      <c r="VE81" s="0" t="n">
        <f aca="true">VE80*$D$71+(1-$D$71^2)*_xlfn.NORM.S.INV(RAND())</f>
        <v>-0.348843286398586</v>
      </c>
      <c r="VF81" s="0" t="n">
        <f aca="true">VF80*$D$71+(1-$D$71^2)*_xlfn.NORM.S.INV(RAND())</f>
        <v>-0.90420448540129</v>
      </c>
      <c r="VG81" s="0" t="n">
        <f aca="true">VG80*$D$71+(1-$D$71^2)*_xlfn.NORM.S.INV(RAND())</f>
        <v>-1.30505321296719</v>
      </c>
      <c r="VH81" s="0" t="n">
        <f aca="true">VH80*$D$71+(1-$D$71^2)*_xlfn.NORM.S.INV(RAND())</f>
        <v>-1.63587614374428</v>
      </c>
      <c r="VI81" s="0" t="n">
        <f aca="true">VI80*$D$71+(1-$D$71^2)*_xlfn.NORM.S.INV(RAND())</f>
        <v>0.802970901949491</v>
      </c>
      <c r="VJ81" s="0" t="n">
        <f aca="true">VJ80*$D$71+(1-$D$71^2)*_xlfn.NORM.S.INV(RAND())</f>
        <v>-0.688661878727818</v>
      </c>
      <c r="VK81" s="0" t="n">
        <f aca="true">VK80*$D$71+(1-$D$71^2)*_xlfn.NORM.S.INV(RAND())</f>
        <v>-0.0989603753887063</v>
      </c>
      <c r="VL81" s="0" t="n">
        <f aca="true">VL80*$D$71+(1-$D$71^2)*_xlfn.NORM.S.INV(RAND())</f>
        <v>-0.0784450631737431</v>
      </c>
      <c r="VM81" s="0" t="n">
        <f aca="true">VM80*$D$71+(1-$D$71^2)*_xlfn.NORM.S.INV(RAND())</f>
        <v>0.902912236835853</v>
      </c>
      <c r="VN81" s="0" t="n">
        <f aca="true">VN80*$D$71+(1-$D$71^2)*_xlfn.NORM.S.INV(RAND())</f>
        <v>-0.853213426964823</v>
      </c>
      <c r="VO81" s="0" t="n">
        <f aca="true">VO80*$D$71+(1-$D$71^2)*_xlfn.NORM.S.INV(RAND())</f>
        <v>1.370474860419</v>
      </c>
      <c r="VP81" s="0" t="n">
        <f aca="true">VP80*$D$71+(1-$D$71^2)*_xlfn.NORM.S.INV(RAND())</f>
        <v>0.442902174448335</v>
      </c>
      <c r="VQ81" s="0" t="n">
        <f aca="true">VQ80*$D$71+(1-$D$71^2)*_xlfn.NORM.S.INV(RAND())</f>
        <v>0.503894424295526</v>
      </c>
      <c r="VR81" s="0" t="n">
        <f aca="true">VR80*$D$71+(1-$D$71^2)*_xlfn.NORM.S.INV(RAND())</f>
        <v>0.988673546156231</v>
      </c>
      <c r="VS81" s="0" t="n">
        <f aca="true">VS80*$D$71+(1-$D$71^2)*_xlfn.NORM.S.INV(RAND())</f>
        <v>0.00518365943227514</v>
      </c>
      <c r="VT81" s="0" t="n">
        <f aca="true">VT80*$D$71+(1-$D$71^2)*_xlfn.NORM.S.INV(RAND())</f>
        <v>-0.95882171699153</v>
      </c>
      <c r="VU81" s="0" t="n">
        <f aca="true">VU80*$D$71+(1-$D$71^2)*_xlfn.NORM.S.INV(RAND())</f>
        <v>0.225618505980867</v>
      </c>
      <c r="VV81" s="0" t="n">
        <f aca="true">VV80*$D$71+(1-$D$71^2)*_xlfn.NORM.S.INV(RAND())</f>
        <v>-1.57619912679272</v>
      </c>
      <c r="VW81" s="0" t="n">
        <f aca="true">VW80*$D$71+(1-$D$71^2)*_xlfn.NORM.S.INV(RAND())</f>
        <v>0.210319018513521</v>
      </c>
      <c r="VX81" s="0" t="n">
        <f aca="true">VX80*$D$71+(1-$D$71^2)*_xlfn.NORM.S.INV(RAND())</f>
        <v>-1.13309190818619</v>
      </c>
      <c r="VY81" s="0" t="n">
        <f aca="true">VY80*$D$71+(1-$D$71^2)*_xlfn.NORM.S.INV(RAND())</f>
        <v>0.453108175918897</v>
      </c>
      <c r="VZ81" s="0" t="n">
        <f aca="true">VZ80*$D$71+(1-$D$71^2)*_xlfn.NORM.S.INV(RAND())</f>
        <v>0.667842560562386</v>
      </c>
      <c r="WA81" s="0" t="n">
        <f aca="true">WA80*$D$71+(1-$D$71^2)*_xlfn.NORM.S.INV(RAND())</f>
        <v>-2.45529161422456</v>
      </c>
      <c r="WB81" s="0" t="n">
        <f aca="true">WB80*$D$71+(1-$D$71^2)*_xlfn.NORM.S.INV(RAND())</f>
        <v>0.31647587675811</v>
      </c>
      <c r="WC81" s="0" t="n">
        <f aca="true">WC80*$D$71+(1-$D$71^2)*_xlfn.NORM.S.INV(RAND())</f>
        <v>0.795367546257221</v>
      </c>
      <c r="WD81" s="0" t="n">
        <f aca="true">WD80*$D$71+(1-$D$71^2)*_xlfn.NORM.S.INV(RAND())</f>
        <v>-0.314628809726663</v>
      </c>
      <c r="WE81" s="0" t="n">
        <f aca="true">WE80*$D$71+(1-$D$71^2)*_xlfn.NORM.S.INV(RAND())</f>
        <v>-0.184967605249222</v>
      </c>
      <c r="WF81" s="0" t="n">
        <f aca="true">WF80*$D$71+(1-$D$71^2)*_xlfn.NORM.S.INV(RAND())</f>
        <v>0.980166609486667</v>
      </c>
      <c r="WG81" s="0" t="n">
        <f aca="true">WG80*$D$71+(1-$D$71^2)*_xlfn.NORM.S.INV(RAND())</f>
        <v>-0.572714002681243</v>
      </c>
      <c r="WH81" s="0" t="n">
        <f aca="true">WH80*$D$71+(1-$D$71^2)*_xlfn.NORM.S.INV(RAND())</f>
        <v>-0.540337671955347</v>
      </c>
      <c r="WI81" s="0" t="n">
        <f aca="true">WI80*$D$71+(1-$D$71^2)*_xlfn.NORM.S.INV(RAND())</f>
        <v>1.0932902255806</v>
      </c>
      <c r="WJ81" s="0" t="n">
        <f aca="true">WJ80*$D$71+(1-$D$71^2)*_xlfn.NORM.S.INV(RAND())</f>
        <v>-0.167049746475385</v>
      </c>
      <c r="WK81" s="0" t="n">
        <f aca="true">WK80*$D$71+(1-$D$71^2)*_xlfn.NORM.S.INV(RAND())</f>
        <v>-1.04798502108186</v>
      </c>
      <c r="WL81" s="0" t="n">
        <f aca="true">WL80*$D$71+(1-$D$71^2)*_xlfn.NORM.S.INV(RAND())</f>
        <v>-0.31121109778726</v>
      </c>
      <c r="WM81" s="0" t="n">
        <f aca="true">WM80*$D$71+(1-$D$71^2)*_xlfn.NORM.S.INV(RAND())</f>
        <v>0.415421339943294</v>
      </c>
      <c r="WN81" s="0" t="n">
        <f aca="true">WN80*$D$71+(1-$D$71^2)*_xlfn.NORM.S.INV(RAND())</f>
        <v>-1.19934276895197</v>
      </c>
      <c r="WO81" s="0" t="n">
        <f aca="true">WO80*$D$71+(1-$D$71^2)*_xlfn.NORM.S.INV(RAND())</f>
        <v>0.200764169662591</v>
      </c>
      <c r="WP81" s="0" t="n">
        <f aca="true">WP80*$D$71+(1-$D$71^2)*_xlfn.NORM.S.INV(RAND())</f>
        <v>0.627747821295317</v>
      </c>
      <c r="WQ81" s="0" t="n">
        <f aca="true">WQ80*$D$71+(1-$D$71^2)*_xlfn.NORM.S.INV(RAND())</f>
        <v>-1.73735896100106</v>
      </c>
      <c r="WR81" s="0" t="n">
        <f aca="true">WR80*$D$71+(1-$D$71^2)*_xlfn.NORM.S.INV(RAND())</f>
        <v>-0.697598784995066</v>
      </c>
      <c r="WS81" s="0" t="n">
        <f aca="true">WS80*$D$71+(1-$D$71^2)*_xlfn.NORM.S.INV(RAND())</f>
        <v>1.54399010582704</v>
      </c>
      <c r="WT81" s="0" t="n">
        <f aca="true">WT80*$D$71+(1-$D$71^2)*_xlfn.NORM.S.INV(RAND())</f>
        <v>-0.273939678977072</v>
      </c>
      <c r="WU81" s="0" t="n">
        <f aca="true">WU80*$D$71+(1-$D$71^2)*_xlfn.NORM.S.INV(RAND())</f>
        <v>0.426178351182136</v>
      </c>
      <c r="WV81" s="0" t="n">
        <f aca="true">WV80*$D$71+(1-$D$71^2)*_xlfn.NORM.S.INV(RAND())</f>
        <v>0.330357923177871</v>
      </c>
      <c r="WW81" s="0" t="n">
        <f aca="true">WW80*$D$71+(1-$D$71^2)*_xlfn.NORM.S.INV(RAND())</f>
        <v>0.622151397822895</v>
      </c>
      <c r="WX81" s="0" t="n">
        <f aca="true">WX80*$D$71+(1-$D$71^2)*_xlfn.NORM.S.INV(RAND())</f>
        <v>-0.937628051181757</v>
      </c>
      <c r="WY81" s="0" t="n">
        <f aca="true">WY80*$D$71+(1-$D$71^2)*_xlfn.NORM.S.INV(RAND())</f>
        <v>0.129189455393816</v>
      </c>
      <c r="WZ81" s="0" t="n">
        <f aca="true">WZ80*$D$71+(1-$D$71^2)*_xlfn.NORM.S.INV(RAND())</f>
        <v>0.0829395177026367</v>
      </c>
      <c r="XA81" s="0" t="n">
        <f aca="true">XA80*$D$71+(1-$D$71^2)*_xlfn.NORM.S.INV(RAND())</f>
        <v>0.419469802102468</v>
      </c>
      <c r="XB81" s="0" t="n">
        <f aca="true">XB80*$D$71+(1-$D$71^2)*_xlfn.NORM.S.INV(RAND())</f>
        <v>0.813655371761616</v>
      </c>
      <c r="XC81" s="0" t="n">
        <f aca="true">XC80*$D$71+(1-$D$71^2)*_xlfn.NORM.S.INV(RAND())</f>
        <v>-1.24641136792601</v>
      </c>
      <c r="XD81" s="0" t="n">
        <f aca="true">XD80*$D$71+(1-$D$71^2)*_xlfn.NORM.S.INV(RAND())</f>
        <v>0.575539084651034</v>
      </c>
      <c r="XE81" s="0" t="n">
        <f aca="true">XE80*$D$71+(1-$D$71^2)*_xlfn.NORM.S.INV(RAND())</f>
        <v>1.1976713498073</v>
      </c>
      <c r="XF81" s="0" t="n">
        <f aca="true">XF80*$D$71+(1-$D$71^2)*_xlfn.NORM.S.INV(RAND())</f>
        <v>-1.79612450196853</v>
      </c>
      <c r="XG81" s="0" t="n">
        <f aca="true">XG80*$D$71+(1-$D$71^2)*_xlfn.NORM.S.INV(RAND())</f>
        <v>-0.458930167173251</v>
      </c>
      <c r="XH81" s="0" t="n">
        <f aca="true">XH80*$D$71+(1-$D$71^2)*_xlfn.NORM.S.INV(RAND())</f>
        <v>-0.136096888865061</v>
      </c>
      <c r="XI81" s="0" t="n">
        <f aca="true">XI80*$D$71+(1-$D$71^2)*_xlfn.NORM.S.INV(RAND())</f>
        <v>1.20844750555803</v>
      </c>
      <c r="XJ81" s="0" t="n">
        <f aca="true">XJ80*$D$71+(1-$D$71^2)*_xlfn.NORM.S.INV(RAND())</f>
        <v>-0.531977033593447</v>
      </c>
      <c r="XK81" s="0" t="n">
        <f aca="true">XK80*$D$71+(1-$D$71^2)*_xlfn.NORM.S.INV(RAND())</f>
        <v>0.149301410007199</v>
      </c>
      <c r="XL81" s="0" t="n">
        <f aca="true">XL80*$D$71+(1-$D$71^2)*_xlfn.NORM.S.INV(RAND())</f>
        <v>-0.360401630448378</v>
      </c>
      <c r="XM81" s="0" t="n">
        <f aca="true">XM80*$D$71+(1-$D$71^2)*_xlfn.NORM.S.INV(RAND())</f>
        <v>1.42459926699857</v>
      </c>
      <c r="XN81" s="0" t="n">
        <f aca="true">XN80*$D$71+(1-$D$71^2)*_xlfn.NORM.S.INV(RAND())</f>
        <v>-0.118903645820874</v>
      </c>
      <c r="XO81" s="0" t="n">
        <f aca="true">XO80*$D$71+(1-$D$71^2)*_xlfn.NORM.S.INV(RAND())</f>
        <v>-0.220559607407111</v>
      </c>
      <c r="XP81" s="0" t="n">
        <f aca="true">XP80*$D$71+(1-$D$71^2)*_xlfn.NORM.S.INV(RAND())</f>
        <v>-1.1568709623306</v>
      </c>
      <c r="XQ81" s="0" t="n">
        <f aca="true">XQ80*$D$71+(1-$D$71^2)*_xlfn.NORM.S.INV(RAND())</f>
        <v>-0.465814863344796</v>
      </c>
      <c r="XR81" s="0" t="n">
        <f aca="true">XR80*$D$71+(1-$D$71^2)*_xlfn.NORM.S.INV(RAND())</f>
        <v>-0.488624098956267</v>
      </c>
      <c r="XS81" s="0" t="n">
        <f aca="true">XS80*$D$71+(1-$D$71^2)*_xlfn.NORM.S.INV(RAND())</f>
        <v>-0.716191722992204</v>
      </c>
      <c r="XT81" s="0" t="n">
        <f aca="true">XT80*$D$71+(1-$D$71^2)*_xlfn.NORM.S.INV(RAND())</f>
        <v>0.2295907704894</v>
      </c>
      <c r="XU81" s="0" t="n">
        <f aca="true">XU80*$D$71+(1-$D$71^2)*_xlfn.NORM.S.INV(RAND())</f>
        <v>-1.33431197070606</v>
      </c>
      <c r="XV81" s="0" t="n">
        <f aca="true">XV80*$D$71+(1-$D$71^2)*_xlfn.NORM.S.INV(RAND())</f>
        <v>0.878824787686945</v>
      </c>
      <c r="XW81" s="0" t="n">
        <f aca="true">XW80*$D$71+(1-$D$71^2)*_xlfn.NORM.S.INV(RAND())</f>
        <v>-0.299813612986745</v>
      </c>
      <c r="XX81" s="0" t="n">
        <f aca="true">XX80*$D$71+(1-$D$71^2)*_xlfn.NORM.S.INV(RAND())</f>
        <v>-1.00116525197382</v>
      </c>
      <c r="XY81" s="0" t="n">
        <f aca="true">XY80*$D$71+(1-$D$71^2)*_xlfn.NORM.S.INV(RAND())</f>
        <v>-0.57802800988404</v>
      </c>
      <c r="XZ81" s="0" t="n">
        <f aca="true">XZ80*$D$71+(1-$D$71^2)*_xlfn.NORM.S.INV(RAND())</f>
        <v>0.274209718172334</v>
      </c>
      <c r="YA81" s="0" t="n">
        <f aca="true">YA80*$D$71+(1-$D$71^2)*_xlfn.NORM.S.INV(RAND())</f>
        <v>-0.00527418826500958</v>
      </c>
      <c r="YB81" s="0" t="n">
        <f aca="true">YB80*$D$71+(1-$D$71^2)*_xlfn.NORM.S.INV(RAND())</f>
        <v>-0.4190442707703</v>
      </c>
      <c r="YC81" s="0" t="n">
        <f aca="true">YC80*$D$71+(1-$D$71^2)*_xlfn.NORM.S.INV(RAND())</f>
        <v>-0.648237405586704</v>
      </c>
      <c r="YD81" s="0" t="n">
        <f aca="true">YD80*$D$71+(1-$D$71^2)*_xlfn.NORM.S.INV(RAND())</f>
        <v>1.69718591009624</v>
      </c>
      <c r="YE81" s="0" t="n">
        <f aca="true">YE80*$D$71+(1-$D$71^2)*_xlfn.NORM.S.INV(RAND())</f>
        <v>1.37234787235655</v>
      </c>
      <c r="YF81" s="0" t="n">
        <f aca="true">YF80*$D$71+(1-$D$71^2)*_xlfn.NORM.S.INV(RAND())</f>
        <v>-0.502464871229431</v>
      </c>
      <c r="YG81" s="0" t="n">
        <f aca="true">YG80*$D$71+(1-$D$71^2)*_xlfn.NORM.S.INV(RAND())</f>
        <v>0.955671491235723</v>
      </c>
      <c r="YH81" s="0" t="n">
        <f aca="true">YH80*$D$71+(1-$D$71^2)*_xlfn.NORM.S.INV(RAND())</f>
        <v>-2.79268284082016</v>
      </c>
      <c r="YI81" s="0" t="n">
        <f aca="true">YI80*$D$71+(1-$D$71^2)*_xlfn.NORM.S.INV(RAND())</f>
        <v>0.345292016600936</v>
      </c>
      <c r="YJ81" s="0" t="n">
        <f aca="true">YJ80*$D$71+(1-$D$71^2)*_xlfn.NORM.S.INV(RAND())</f>
        <v>1.14294983131083</v>
      </c>
      <c r="YK81" s="0" t="n">
        <f aca="true">YK80*$D$71+(1-$D$71^2)*_xlfn.NORM.S.INV(RAND())</f>
        <v>-0.215483661540239</v>
      </c>
      <c r="YL81" s="0" t="n">
        <f aca="true">YL80*$D$71+(1-$D$71^2)*_xlfn.NORM.S.INV(RAND())</f>
        <v>-1.52091294887886</v>
      </c>
      <c r="YM81" s="0" t="n">
        <f aca="true">YM80*$D$71+(1-$D$71^2)*_xlfn.NORM.S.INV(RAND())</f>
        <v>-0.0870552007850036</v>
      </c>
      <c r="YN81" s="0" t="n">
        <f aca="true">YN80*$D$71+(1-$D$71^2)*_xlfn.NORM.S.INV(RAND())</f>
        <v>0.00233816829972233</v>
      </c>
      <c r="YO81" s="0" t="n">
        <f aca="true">YO80*$D$71+(1-$D$71^2)*_xlfn.NORM.S.INV(RAND())</f>
        <v>0.588511766366921</v>
      </c>
      <c r="YP81" s="0" t="n">
        <f aca="true">YP80*$D$71+(1-$D$71^2)*_xlfn.NORM.S.INV(RAND())</f>
        <v>-1.39754074154759</v>
      </c>
      <c r="YQ81" s="0" t="n">
        <f aca="true">YQ80*$D$71+(1-$D$71^2)*_xlfn.NORM.S.INV(RAND())</f>
        <v>-0.791396245194854</v>
      </c>
      <c r="YR81" s="0" t="n">
        <f aca="true">YR80*$D$71+(1-$D$71^2)*_xlfn.NORM.S.INV(RAND())</f>
        <v>-1.1609634120614</v>
      </c>
      <c r="YS81" s="0" t="n">
        <f aca="true">YS80*$D$71+(1-$D$71^2)*_xlfn.NORM.S.INV(RAND())</f>
        <v>0.0919365050455948</v>
      </c>
      <c r="YT81" s="0" t="n">
        <f aca="true">YT80*$D$71+(1-$D$71^2)*_xlfn.NORM.S.INV(RAND())</f>
        <v>0.3636422020603</v>
      </c>
      <c r="YU81" s="0" t="n">
        <f aca="true">YU80*$D$71+(1-$D$71^2)*_xlfn.NORM.S.INV(RAND())</f>
        <v>0.787346900471623</v>
      </c>
      <c r="YV81" s="0" t="n">
        <f aca="true">YV80*$D$71+(1-$D$71^2)*_xlfn.NORM.S.INV(RAND())</f>
        <v>-0.185409484926231</v>
      </c>
      <c r="YW81" s="0" t="n">
        <f aca="true">YW80*$D$71+(1-$D$71^2)*_xlfn.NORM.S.INV(RAND())</f>
        <v>-0.832835804867809</v>
      </c>
      <c r="YX81" s="0" t="n">
        <f aca="true">YX80*$D$71+(1-$D$71^2)*_xlfn.NORM.S.INV(RAND())</f>
        <v>0.543481840065926</v>
      </c>
      <c r="YY81" s="0" t="n">
        <f aca="true">YY80*$D$71+(1-$D$71^2)*_xlfn.NORM.S.INV(RAND())</f>
        <v>0.814614133257573</v>
      </c>
      <c r="YZ81" s="0" t="n">
        <f aca="true">YZ80*$D$71+(1-$D$71^2)*_xlfn.NORM.S.INV(RAND())</f>
        <v>0.149798625780703</v>
      </c>
      <c r="ZA81" s="0" t="n">
        <f aca="true">ZA80*$D$71+(1-$D$71^2)*_xlfn.NORM.S.INV(RAND())</f>
        <v>1.24563726566677</v>
      </c>
      <c r="ZB81" s="0" t="n">
        <f aca="true">ZB80*$D$71+(1-$D$71^2)*_xlfn.NORM.S.INV(RAND())</f>
        <v>0.800264669538311</v>
      </c>
      <c r="ZC81" s="0" t="n">
        <f aca="true">ZC80*$D$71+(1-$D$71^2)*_xlfn.NORM.S.INV(RAND())</f>
        <v>-0.8359181274563</v>
      </c>
      <c r="ZD81" s="0" t="n">
        <f aca="true">ZD80*$D$71+(1-$D$71^2)*_xlfn.NORM.S.INV(RAND())</f>
        <v>-1.38667353578021</v>
      </c>
      <c r="ZE81" s="0" t="n">
        <f aca="true">ZE80*$D$71+(1-$D$71^2)*_xlfn.NORM.S.INV(RAND())</f>
        <v>-0.0359935042606926</v>
      </c>
      <c r="ZF81" s="0" t="n">
        <f aca="true">ZF80*$D$71+(1-$D$71^2)*_xlfn.NORM.S.INV(RAND())</f>
        <v>-0.116952515643473</v>
      </c>
      <c r="ZG81" s="0" t="n">
        <f aca="true">ZG80*$D$71+(1-$D$71^2)*_xlfn.NORM.S.INV(RAND())</f>
        <v>-0.0504982080979363</v>
      </c>
      <c r="ZH81" s="0" t="n">
        <f aca="true">ZH80*$D$71+(1-$D$71^2)*_xlfn.NORM.S.INV(RAND())</f>
        <v>-0.919685733318716</v>
      </c>
      <c r="ZI81" s="0" t="n">
        <f aca="true">ZI80*$D$71+(1-$D$71^2)*_xlfn.NORM.S.INV(RAND())</f>
        <v>0.079635129236927</v>
      </c>
      <c r="ZJ81" s="0" t="n">
        <f aca="true">ZJ80*$D$71+(1-$D$71^2)*_xlfn.NORM.S.INV(RAND())</f>
        <v>0.108337998781348</v>
      </c>
      <c r="ZK81" s="0" t="n">
        <f aca="true">ZK80*$D$71+(1-$D$71^2)*_xlfn.NORM.S.INV(RAND())</f>
        <v>0.168845714658228</v>
      </c>
      <c r="ZL81" s="0" t="n">
        <f aca="true">ZL80*$D$71+(1-$D$71^2)*_xlfn.NORM.S.INV(RAND())</f>
        <v>-0.121828552206329</v>
      </c>
      <c r="ZM81" s="0" t="n">
        <f aca="true">ZM80*$D$71+(1-$D$71^2)*_xlfn.NORM.S.INV(RAND())</f>
        <v>0.998695594809791</v>
      </c>
      <c r="ZN81" s="0" t="n">
        <f aca="true">ZN80*$D$71+(1-$D$71^2)*_xlfn.NORM.S.INV(RAND())</f>
        <v>0.739546341514435</v>
      </c>
      <c r="ZO81" s="0" t="n">
        <f aca="true">ZO80*$D$71+(1-$D$71^2)*_xlfn.NORM.S.INV(RAND())</f>
        <v>0.669092111236153</v>
      </c>
      <c r="ZP81" s="0" t="n">
        <f aca="true">ZP80*$D$71+(1-$D$71^2)*_xlfn.NORM.S.INV(RAND())</f>
        <v>2.34968646927598</v>
      </c>
      <c r="ZQ81" s="0" t="n">
        <f aca="true">ZQ80*$D$71+(1-$D$71^2)*_xlfn.NORM.S.INV(RAND())</f>
        <v>0.293143995468269</v>
      </c>
      <c r="ZR81" s="0" t="n">
        <f aca="true">ZR80*$D$71+(1-$D$71^2)*_xlfn.NORM.S.INV(RAND())</f>
        <v>1.23587441772975</v>
      </c>
      <c r="ZS81" s="0" t="n">
        <f aca="true">ZS80*$D$71+(1-$D$71^2)*_xlfn.NORM.S.INV(RAND())</f>
        <v>-1.89407956782912</v>
      </c>
      <c r="ZT81" s="0" t="n">
        <f aca="true">ZT80*$D$71+(1-$D$71^2)*_xlfn.NORM.S.INV(RAND())</f>
        <v>-0.701865047488035</v>
      </c>
      <c r="ZU81" s="0" t="n">
        <f aca="true">ZU80*$D$71+(1-$D$71^2)*_xlfn.NORM.S.INV(RAND())</f>
        <v>0.796696774977913</v>
      </c>
      <c r="ZV81" s="0" t="n">
        <f aca="true">ZV80*$D$71+(1-$D$71^2)*_xlfn.NORM.S.INV(RAND())</f>
        <v>-0.177979551492935</v>
      </c>
      <c r="ZW81" s="0" t="n">
        <f aca="true">ZW80*$D$71+(1-$D$71^2)*_xlfn.NORM.S.INV(RAND())</f>
        <v>-0.265462958715344</v>
      </c>
      <c r="ZX81" s="0" t="n">
        <f aca="true">ZX80*$D$71+(1-$D$71^2)*_xlfn.NORM.S.INV(RAND())</f>
        <v>-2.23082740625276</v>
      </c>
      <c r="ZY81" s="0" t="n">
        <f aca="true">ZY80*$D$71+(1-$D$71^2)*_xlfn.NORM.S.INV(RAND())</f>
        <v>1.77487796248052</v>
      </c>
      <c r="ZZ81" s="0" t="n">
        <f aca="true">ZZ80*$D$71+(1-$D$71^2)*_xlfn.NORM.S.INV(RAND())</f>
        <v>-0.393915872769665</v>
      </c>
      <c r="AAA81" s="0" t="n">
        <f aca="true">AAA80*$D$71+(1-$D$71^2)*_xlfn.NORM.S.INV(RAND())</f>
        <v>0.22543456200643</v>
      </c>
      <c r="AAB81" s="0" t="n">
        <f aca="true">AAB80*$D$71+(1-$D$71^2)*_xlfn.NORM.S.INV(RAND())</f>
        <v>-0.0431119046898624</v>
      </c>
      <c r="AAC81" s="0" t="n">
        <f aca="true">AAC80*$D$71+(1-$D$71^2)*_xlfn.NORM.S.INV(RAND())</f>
        <v>1.2894856527418</v>
      </c>
      <c r="AAD81" s="0" t="n">
        <f aca="true">AAD80*$D$71+(1-$D$71^2)*_xlfn.NORM.S.INV(RAND())</f>
        <v>-0.462588162405127</v>
      </c>
      <c r="AAE81" s="0" t="n">
        <f aca="true">AAE80*$D$71+(1-$D$71^2)*_xlfn.NORM.S.INV(RAND())</f>
        <v>0.218651376924779</v>
      </c>
      <c r="AAF81" s="0" t="n">
        <f aca="true">AAF80*$D$71+(1-$D$71^2)*_xlfn.NORM.S.INV(RAND())</f>
        <v>-0.825561120442514</v>
      </c>
      <c r="AAG81" s="0" t="n">
        <f aca="true">AAG80*$D$71+(1-$D$71^2)*_xlfn.NORM.S.INV(RAND())</f>
        <v>-0.73454527103396</v>
      </c>
      <c r="AAH81" s="0" t="n">
        <f aca="true">AAH80*$D$71+(1-$D$71^2)*_xlfn.NORM.S.INV(RAND())</f>
        <v>-0.760474234080053</v>
      </c>
      <c r="AAI81" s="0" t="n">
        <f aca="true">AAI80*$D$71+(1-$D$71^2)*_xlfn.NORM.S.INV(RAND())</f>
        <v>0.675088818254553</v>
      </c>
      <c r="AAJ81" s="0" t="n">
        <f aca="true">AAJ80*$D$71+(1-$D$71^2)*_xlfn.NORM.S.INV(RAND())</f>
        <v>0.200442685353469</v>
      </c>
      <c r="AAK81" s="0" t="n">
        <f aca="true">AAK80*$D$71+(1-$D$71^2)*_xlfn.NORM.S.INV(RAND())</f>
        <v>-1.35661722023509</v>
      </c>
      <c r="AAL81" s="0" t="n">
        <f aca="true">AAL80*$D$71+(1-$D$71^2)*_xlfn.NORM.S.INV(RAND())</f>
        <v>-0.371073244082864</v>
      </c>
      <c r="AAM81" s="0" t="n">
        <f aca="true">AAM80*$D$71+(1-$D$71^2)*_xlfn.NORM.S.INV(RAND())</f>
        <v>0.178746265869699</v>
      </c>
      <c r="AAN81" s="0" t="n">
        <f aca="true">AAN80*$D$71+(1-$D$71^2)*_xlfn.NORM.S.INV(RAND())</f>
        <v>0.996670607703017</v>
      </c>
      <c r="AAO81" s="0" t="n">
        <f aca="true">AAO80*$D$71+(1-$D$71^2)*_xlfn.NORM.S.INV(RAND())</f>
        <v>-0.0225993644590045</v>
      </c>
      <c r="AAP81" s="0" t="n">
        <f aca="true">AAP80*$D$71+(1-$D$71^2)*_xlfn.NORM.S.INV(RAND())</f>
        <v>1.28381623840287</v>
      </c>
      <c r="AAQ81" s="0" t="n">
        <f aca="true">AAQ80*$D$71+(1-$D$71^2)*_xlfn.NORM.S.INV(RAND())</f>
        <v>-0.138694693303376</v>
      </c>
      <c r="AAR81" s="0" t="n">
        <f aca="true">AAR80*$D$71+(1-$D$71^2)*_xlfn.NORM.S.INV(RAND())</f>
        <v>-1.56057579972262</v>
      </c>
      <c r="AAS81" s="0" t="n">
        <f aca="true">AAS80*$D$71+(1-$D$71^2)*_xlfn.NORM.S.INV(RAND())</f>
        <v>0.0217868836170028</v>
      </c>
      <c r="AAT81" s="0" t="n">
        <f aca="true">AAT80*$D$71+(1-$D$71^2)*_xlfn.NORM.S.INV(RAND())</f>
        <v>0.658534309870302</v>
      </c>
      <c r="AAU81" s="0" t="n">
        <f aca="true">AAU80*$D$71+(1-$D$71^2)*_xlfn.NORM.S.INV(RAND())</f>
        <v>0.639062384707371</v>
      </c>
      <c r="AAV81" s="0" t="n">
        <f aca="true">AAV80*$D$71+(1-$D$71^2)*_xlfn.NORM.S.INV(RAND())</f>
        <v>-0.862867563593766</v>
      </c>
      <c r="AAW81" s="0" t="n">
        <f aca="true">AAW80*$D$71+(1-$D$71^2)*_xlfn.NORM.S.INV(RAND())</f>
        <v>-0.0790845797652842</v>
      </c>
      <c r="AAX81" s="0" t="n">
        <f aca="true">AAX80*$D$71+(1-$D$71^2)*_xlfn.NORM.S.INV(RAND())</f>
        <v>0.424182448455116</v>
      </c>
      <c r="AAY81" s="0" t="n">
        <f aca="true">AAY80*$D$71+(1-$D$71^2)*_xlfn.NORM.S.INV(RAND())</f>
        <v>0.564023277150433</v>
      </c>
      <c r="AAZ81" s="0" t="n">
        <f aca="true">AAZ80*$D$71+(1-$D$71^2)*_xlfn.NORM.S.INV(RAND())</f>
        <v>-0.41134114737175</v>
      </c>
      <c r="ABA81" s="0" t="n">
        <f aca="true">ABA80*$D$71+(1-$D$71^2)*_xlfn.NORM.S.INV(RAND())</f>
        <v>-0.341638175849414</v>
      </c>
      <c r="ABB81" s="0" t="n">
        <f aca="true">ABB80*$D$71+(1-$D$71^2)*_xlfn.NORM.S.INV(RAND())</f>
        <v>-0.523727455339913</v>
      </c>
      <c r="ABC81" s="0" t="n">
        <f aca="true">ABC80*$D$71+(1-$D$71^2)*_xlfn.NORM.S.INV(RAND())</f>
        <v>-0.700598871583869</v>
      </c>
      <c r="ABD81" s="0" t="n">
        <f aca="true">ABD80*$D$71+(1-$D$71^2)*_xlfn.NORM.S.INV(RAND())</f>
        <v>0.732072572803036</v>
      </c>
      <c r="ABE81" s="0" t="n">
        <f aca="true">ABE80*$D$71+(1-$D$71^2)*_xlfn.NORM.S.INV(RAND())</f>
        <v>0.143284858645561</v>
      </c>
      <c r="ABF81" s="0" t="n">
        <f aca="true">ABF80*$D$71+(1-$D$71^2)*_xlfn.NORM.S.INV(RAND())</f>
        <v>0.439055986576258</v>
      </c>
      <c r="ABG81" s="0" t="n">
        <f aca="true">ABG80*$D$71+(1-$D$71^2)*_xlfn.NORM.S.INV(RAND())</f>
        <v>0.724960339908716</v>
      </c>
      <c r="ABH81" s="0" t="n">
        <f aca="true">ABH80*$D$71+(1-$D$71^2)*_xlfn.NORM.S.INV(RAND())</f>
        <v>0.555548492190289</v>
      </c>
      <c r="ABI81" s="0" t="n">
        <f aca="true">ABI80*$D$71+(1-$D$71^2)*_xlfn.NORM.S.INV(RAND())</f>
        <v>1.13305576638167</v>
      </c>
      <c r="ABJ81" s="0" t="n">
        <f aca="true">ABJ80*$D$71+(1-$D$71^2)*_xlfn.NORM.S.INV(RAND())</f>
        <v>-0.240589740037538</v>
      </c>
      <c r="ABK81" s="0" t="n">
        <f aca="true">ABK80*$D$71+(1-$D$71^2)*_xlfn.NORM.S.INV(RAND())</f>
        <v>0.383071382723486</v>
      </c>
      <c r="ABL81" s="0" t="n">
        <f aca="true">ABL80*$D$71+(1-$D$71^2)*_xlfn.NORM.S.INV(RAND())</f>
        <v>-0.197046827049877</v>
      </c>
      <c r="ABM81" s="0" t="n">
        <f aca="true">ABM80*$D$71+(1-$D$71^2)*_xlfn.NORM.S.INV(RAND())</f>
        <v>-0.0255323992885942</v>
      </c>
      <c r="ABN81" s="0" t="n">
        <f aca="true">ABN80*$D$71+(1-$D$71^2)*_xlfn.NORM.S.INV(RAND())</f>
        <v>0.513420765980672</v>
      </c>
      <c r="ABO81" s="0" t="n">
        <f aca="true">ABO80*$D$71+(1-$D$71^2)*_xlfn.NORM.S.INV(RAND())</f>
        <v>1.67648052703359</v>
      </c>
      <c r="ABP81" s="0" t="n">
        <f aca="true">ABP80*$D$71+(1-$D$71^2)*_xlfn.NORM.S.INV(RAND())</f>
        <v>0.0574850404535043</v>
      </c>
      <c r="ABQ81" s="0" t="n">
        <f aca="true">ABQ80*$D$71+(1-$D$71^2)*_xlfn.NORM.S.INV(RAND())</f>
        <v>0.251272102971122</v>
      </c>
      <c r="ABR81" s="0" t="n">
        <f aca="true">ABR80*$D$71+(1-$D$71^2)*_xlfn.NORM.S.INV(RAND())</f>
        <v>-0.114283296336744</v>
      </c>
      <c r="ABS81" s="0" t="n">
        <f aca="true">ABS80*$D$71+(1-$D$71^2)*_xlfn.NORM.S.INV(RAND())</f>
        <v>2.04482737372713</v>
      </c>
      <c r="ABT81" s="0" t="n">
        <f aca="true">ABT80*$D$71+(1-$D$71^2)*_xlfn.NORM.S.INV(RAND())</f>
        <v>1.67575383158794</v>
      </c>
      <c r="ABU81" s="0" t="n">
        <f aca="true">ABU80*$D$71+(1-$D$71^2)*_xlfn.NORM.S.INV(RAND())</f>
        <v>-0.099598196436167</v>
      </c>
      <c r="ABV81" s="0" t="n">
        <f aca="true">ABV80*$D$71+(1-$D$71^2)*_xlfn.NORM.S.INV(RAND())</f>
        <v>0.961348896229084</v>
      </c>
      <c r="ABW81" s="0" t="n">
        <f aca="true">ABW80*$D$71+(1-$D$71^2)*_xlfn.NORM.S.INV(RAND())</f>
        <v>-0.174728639821476</v>
      </c>
      <c r="ABX81" s="0" t="n">
        <f aca="true">ABX80*$D$71+(1-$D$71^2)*_xlfn.NORM.S.INV(RAND())</f>
        <v>1.72557297145745</v>
      </c>
      <c r="ABY81" s="0" t="n">
        <f aca="true">ABY80*$D$71+(1-$D$71^2)*_xlfn.NORM.S.INV(RAND())</f>
        <v>0.142348794009816</v>
      </c>
      <c r="ABZ81" s="0" t="n">
        <f aca="true">ABZ80*$D$71+(1-$D$71^2)*_xlfn.NORM.S.INV(RAND())</f>
        <v>-0.53310150223845</v>
      </c>
      <c r="ACA81" s="0" t="n">
        <f aca="true">ACA80*$D$71+(1-$D$71^2)*_xlfn.NORM.S.INV(RAND())</f>
        <v>0.321315594250427</v>
      </c>
      <c r="ACB81" s="0" t="n">
        <f aca="true">ACB80*$D$71+(1-$D$71^2)*_xlfn.NORM.S.INV(RAND())</f>
        <v>1.31677654813621</v>
      </c>
      <c r="ACC81" s="0" t="n">
        <f aca="true">ACC80*$D$71+(1-$D$71^2)*_xlfn.NORM.S.INV(RAND())</f>
        <v>-0.459829411704977</v>
      </c>
      <c r="ACD81" s="0" t="n">
        <f aca="true">ACD80*$D$71+(1-$D$71^2)*_xlfn.NORM.S.INV(RAND())</f>
        <v>0.53137008913448</v>
      </c>
      <c r="ACE81" s="0" t="n">
        <f aca="true">ACE80*$D$71+(1-$D$71^2)*_xlfn.NORM.S.INV(RAND())</f>
        <v>-0.110706604134946</v>
      </c>
      <c r="ACF81" s="0" t="n">
        <f aca="true">ACF80*$D$71+(1-$D$71^2)*_xlfn.NORM.S.INV(RAND())</f>
        <v>-0.539471809648149</v>
      </c>
      <c r="ACG81" s="0" t="n">
        <f aca="true">ACG80*$D$71+(1-$D$71^2)*_xlfn.NORM.S.INV(RAND())</f>
        <v>-0.50869394232806</v>
      </c>
      <c r="ACH81" s="0" t="n">
        <f aca="true">ACH80*$D$71+(1-$D$71^2)*_xlfn.NORM.S.INV(RAND())</f>
        <v>0.400931630167262</v>
      </c>
      <c r="ACI81" s="0" t="n">
        <f aca="true">ACI80*$D$71+(1-$D$71^2)*_xlfn.NORM.S.INV(RAND())</f>
        <v>-0.502042814128675</v>
      </c>
      <c r="ACJ81" s="0" t="n">
        <f aca="true">ACJ80*$D$71+(1-$D$71^2)*_xlfn.NORM.S.INV(RAND())</f>
        <v>-0.0824324297977651</v>
      </c>
      <c r="ACK81" s="0" t="n">
        <f aca="true">ACK80*$D$71+(1-$D$71^2)*_xlfn.NORM.S.INV(RAND())</f>
        <v>0.325932005379164</v>
      </c>
      <c r="ACL81" s="0" t="n">
        <f aca="true">ACL80*$D$71+(1-$D$71^2)*_xlfn.NORM.S.INV(RAND())</f>
        <v>-1.00659949931363</v>
      </c>
      <c r="ACM81" s="0" t="n">
        <f aca="true">ACM80*$D$71+(1-$D$71^2)*_xlfn.NORM.S.INV(RAND())</f>
        <v>-0.621036386400821</v>
      </c>
      <c r="ACN81" s="0" t="n">
        <f aca="true">ACN80*$D$71+(1-$D$71^2)*_xlfn.NORM.S.INV(RAND())</f>
        <v>0.521089475226095</v>
      </c>
      <c r="ACO81" s="0" t="n">
        <f aca="true">ACO80*$D$71+(1-$D$71^2)*_xlfn.NORM.S.INV(RAND())</f>
        <v>0.540727939746377</v>
      </c>
      <c r="ACP81" s="0" t="n">
        <f aca="true">ACP80*$D$71+(1-$D$71^2)*_xlfn.NORM.S.INV(RAND())</f>
        <v>-0.73594628563636</v>
      </c>
      <c r="ACQ81" s="0" t="n">
        <f aca="true">ACQ80*$D$71+(1-$D$71^2)*_xlfn.NORM.S.INV(RAND())</f>
        <v>0.207277377292243</v>
      </c>
      <c r="ACR81" s="0" t="n">
        <f aca="true">ACR80*$D$71+(1-$D$71^2)*_xlfn.NORM.S.INV(RAND())</f>
        <v>-0.410448142009252</v>
      </c>
      <c r="ACS81" s="0" t="n">
        <f aca="true">ACS80*$D$71+(1-$D$71^2)*_xlfn.NORM.S.INV(RAND())</f>
        <v>0.484208098515331</v>
      </c>
      <c r="ACT81" s="0" t="n">
        <f aca="true">ACT80*$D$71+(1-$D$71^2)*_xlfn.NORM.S.INV(RAND())</f>
        <v>-0.024080837383908</v>
      </c>
      <c r="ACU81" s="0" t="n">
        <f aca="true">ACU80*$D$71+(1-$D$71^2)*_xlfn.NORM.S.INV(RAND())</f>
        <v>0.452416240864867</v>
      </c>
      <c r="ACV81" s="0" t="n">
        <f aca="true">ACV80*$D$71+(1-$D$71^2)*_xlfn.NORM.S.INV(RAND())</f>
        <v>0.427609645209124</v>
      </c>
      <c r="ACW81" s="0" t="n">
        <f aca="true">ACW80*$D$71+(1-$D$71^2)*_xlfn.NORM.S.INV(RAND())</f>
        <v>-0.512280738850031</v>
      </c>
      <c r="ACX81" s="0" t="n">
        <f aca="true">ACX80*$D$71+(1-$D$71^2)*_xlfn.NORM.S.INV(RAND())</f>
        <v>0.21799799150996</v>
      </c>
      <c r="ACY81" s="0" t="n">
        <f aca="true">ACY80*$D$71+(1-$D$71^2)*_xlfn.NORM.S.INV(RAND())</f>
        <v>-1.16623859192416</v>
      </c>
      <c r="ACZ81" s="0" t="n">
        <f aca="true">ACZ80*$D$71+(1-$D$71^2)*_xlfn.NORM.S.INV(RAND())</f>
        <v>0.485065503263628</v>
      </c>
      <c r="ADA81" s="0" t="n">
        <f aca="true">ADA80*$D$71+(1-$D$71^2)*_xlfn.NORM.S.INV(RAND())</f>
        <v>1.77495966651994</v>
      </c>
      <c r="ADB81" s="0" t="n">
        <f aca="true">ADB80*$D$71+(1-$D$71^2)*_xlfn.NORM.S.INV(RAND())</f>
        <v>-1.62135495764427</v>
      </c>
      <c r="ADC81" s="0" t="n">
        <f aca="true">ADC80*$D$71+(1-$D$71^2)*_xlfn.NORM.S.INV(RAND())</f>
        <v>0.340267772657631</v>
      </c>
      <c r="ADD81" s="0" t="n">
        <f aca="true">ADD80*$D$71+(1-$D$71^2)*_xlfn.NORM.S.INV(RAND())</f>
        <v>-0.612365868761263</v>
      </c>
      <c r="ADE81" s="0" t="n">
        <f aca="true">ADE80*$D$71+(1-$D$71^2)*_xlfn.NORM.S.INV(RAND())</f>
        <v>-1.44711437025736</v>
      </c>
      <c r="ADF81" s="0" t="n">
        <f aca="true">ADF80*$D$71+(1-$D$71^2)*_xlfn.NORM.S.INV(RAND())</f>
        <v>0.460762576627153</v>
      </c>
      <c r="ADG81" s="0" t="n">
        <f aca="true">ADG80*$D$71+(1-$D$71^2)*_xlfn.NORM.S.INV(RAND())</f>
        <v>1.67468471662268</v>
      </c>
      <c r="ADH81" s="0" t="n">
        <f aca="true">ADH80*$D$71+(1-$D$71^2)*_xlfn.NORM.S.INV(RAND())</f>
        <v>-0.294445723886087</v>
      </c>
      <c r="ADI81" s="0" t="n">
        <f aca="true">ADI80*$D$71+(1-$D$71^2)*_xlfn.NORM.S.INV(RAND())</f>
        <v>0.82799800860487</v>
      </c>
      <c r="ADJ81" s="0" t="n">
        <f aca="true">ADJ80*$D$71+(1-$D$71^2)*_xlfn.NORM.S.INV(RAND())</f>
        <v>1.29189823717239</v>
      </c>
      <c r="ADK81" s="0" t="n">
        <f aca="true">ADK80*$D$71+(1-$D$71^2)*_xlfn.NORM.S.INV(RAND())</f>
        <v>-0.261250289547039</v>
      </c>
      <c r="ADL81" s="0" t="n">
        <f aca="true">ADL80*$D$71+(1-$D$71^2)*_xlfn.NORM.S.INV(RAND())</f>
        <v>2.11003719575215</v>
      </c>
      <c r="ADM81" s="0" t="n">
        <f aca="true">ADM80*$D$71+(1-$D$71^2)*_xlfn.NORM.S.INV(RAND())</f>
        <v>0.358349011128062</v>
      </c>
      <c r="ADN81" s="0" t="n">
        <f aca="true">ADN80*$D$71+(1-$D$71^2)*_xlfn.NORM.S.INV(RAND())</f>
        <v>-0.496952591273121</v>
      </c>
      <c r="ADO81" s="0" t="n">
        <f aca="true">ADO80*$D$71+(1-$D$71^2)*_xlfn.NORM.S.INV(RAND())</f>
        <v>-0.566821407621073</v>
      </c>
      <c r="ADP81" s="0" t="n">
        <f aca="true">ADP80*$D$71+(1-$D$71^2)*_xlfn.NORM.S.INV(RAND())</f>
        <v>0.0917829913497894</v>
      </c>
      <c r="ADQ81" s="0" t="n">
        <f aca="true">ADQ80*$D$71+(1-$D$71^2)*_xlfn.NORM.S.INV(RAND())</f>
        <v>0.549757359606567</v>
      </c>
      <c r="ADR81" s="0" t="n">
        <f aca="true">ADR80*$D$71+(1-$D$71^2)*_xlfn.NORM.S.INV(RAND())</f>
        <v>0.999920230883412</v>
      </c>
      <c r="ADS81" s="0" t="n">
        <f aca="true">ADS80*$D$71+(1-$D$71^2)*_xlfn.NORM.S.INV(RAND())</f>
        <v>0.91750991902522</v>
      </c>
      <c r="ADT81" s="0" t="n">
        <f aca="true">ADT80*$D$71+(1-$D$71^2)*_xlfn.NORM.S.INV(RAND())</f>
        <v>1.27888598358046</v>
      </c>
      <c r="ADU81" s="0" t="n">
        <f aca="true">ADU80*$D$71+(1-$D$71^2)*_xlfn.NORM.S.INV(RAND())</f>
        <v>-0.139620397366549</v>
      </c>
      <c r="ADV81" s="0" t="n">
        <f aca="true">ADV80*$D$71+(1-$D$71^2)*_xlfn.NORM.S.INV(RAND())</f>
        <v>-0.153100670087027</v>
      </c>
      <c r="ADW81" s="0" t="n">
        <f aca="true">ADW80*$D$71+(1-$D$71^2)*_xlfn.NORM.S.INV(RAND())</f>
        <v>-1.07882487641683</v>
      </c>
      <c r="ADX81" s="0" t="n">
        <f aca="true">ADX80*$D$71+(1-$D$71^2)*_xlfn.NORM.S.INV(RAND())</f>
        <v>-0.655664690644777</v>
      </c>
      <c r="ADY81" s="0" t="n">
        <f aca="true">ADY80*$D$71+(1-$D$71^2)*_xlfn.NORM.S.INV(RAND())</f>
        <v>1.64045893095139</v>
      </c>
      <c r="ADZ81" s="0" t="n">
        <f aca="true">ADZ80*$D$71+(1-$D$71^2)*_xlfn.NORM.S.INV(RAND())</f>
        <v>0.448819245499365</v>
      </c>
      <c r="AEA81" s="0" t="n">
        <f aca="true">AEA80*$D$71+(1-$D$71^2)*_xlfn.NORM.S.INV(RAND())</f>
        <v>0.490206865094323</v>
      </c>
      <c r="AEB81" s="0" t="n">
        <f aca="true">AEB80*$D$71+(1-$D$71^2)*_xlfn.NORM.S.INV(RAND())</f>
        <v>-1.16289679204174</v>
      </c>
      <c r="AEC81" s="0" t="n">
        <f aca="true">AEC80*$D$71+(1-$D$71^2)*_xlfn.NORM.S.INV(RAND())</f>
        <v>0.371234066155579</v>
      </c>
      <c r="AED81" s="0" t="n">
        <f aca="true">AED80*$D$71+(1-$D$71^2)*_xlfn.NORM.S.INV(RAND())</f>
        <v>1.11090282040028</v>
      </c>
      <c r="AEE81" s="0" t="n">
        <f aca="true">AEE80*$D$71+(1-$D$71^2)*_xlfn.NORM.S.INV(RAND())</f>
        <v>-0.34375652421989</v>
      </c>
      <c r="AEF81" s="0" t="n">
        <f aca="true">AEF80*$D$71+(1-$D$71^2)*_xlfn.NORM.S.INV(RAND())</f>
        <v>1.59499578052018</v>
      </c>
      <c r="AEG81" s="0" t="n">
        <f aca="true">AEG80*$D$71+(1-$D$71^2)*_xlfn.NORM.S.INV(RAND())</f>
        <v>0.975439281439259</v>
      </c>
      <c r="AEH81" s="0" t="n">
        <f aca="true">AEH80*$D$71+(1-$D$71^2)*_xlfn.NORM.S.INV(RAND())</f>
        <v>0.142719168099587</v>
      </c>
      <c r="AEI81" s="0" t="n">
        <f aca="true">AEI80*$D$71+(1-$D$71^2)*_xlfn.NORM.S.INV(RAND())</f>
        <v>-1.23436128626407</v>
      </c>
      <c r="AEJ81" s="0" t="n">
        <f aca="true">AEJ80*$D$71+(1-$D$71^2)*_xlfn.NORM.S.INV(RAND())</f>
        <v>-0.348345729529173</v>
      </c>
      <c r="AEK81" s="0" t="n">
        <f aca="true">AEK80*$D$71+(1-$D$71^2)*_xlfn.NORM.S.INV(RAND())</f>
        <v>0.993602757832464</v>
      </c>
      <c r="AEL81" s="0" t="n">
        <f aca="true">AEL80*$D$71+(1-$D$71^2)*_xlfn.NORM.S.INV(RAND())</f>
        <v>0.0475949241031683</v>
      </c>
      <c r="AEM81" s="0" t="n">
        <f aca="true">AEM80*$D$71+(1-$D$71^2)*_xlfn.NORM.S.INV(RAND())</f>
        <v>0.563124477510014</v>
      </c>
      <c r="AEN81" s="0" t="n">
        <f aca="true">AEN80*$D$71+(1-$D$71^2)*_xlfn.NORM.S.INV(RAND())</f>
        <v>-1.35082408509038</v>
      </c>
      <c r="AEO81" s="0" t="n">
        <f aca="true">AEO80*$D$71+(1-$D$71^2)*_xlfn.NORM.S.INV(RAND())</f>
        <v>0.309593098111343</v>
      </c>
      <c r="AEP81" s="0" t="n">
        <f aca="true">AEP80*$D$71+(1-$D$71^2)*_xlfn.NORM.S.INV(RAND())</f>
        <v>0.403662862875489</v>
      </c>
      <c r="AEQ81" s="0" t="n">
        <f aca="true">AEQ80*$D$71+(1-$D$71^2)*_xlfn.NORM.S.INV(RAND())</f>
        <v>0.538073299893758</v>
      </c>
      <c r="AER81" s="0" t="n">
        <f aca="true">AER80*$D$71+(1-$D$71^2)*_xlfn.NORM.S.INV(RAND())</f>
        <v>-1.62422023357009</v>
      </c>
      <c r="AES81" s="0" t="n">
        <f aca="true">AES80*$D$71+(1-$D$71^2)*_xlfn.NORM.S.INV(RAND())</f>
        <v>0.958253835653739</v>
      </c>
      <c r="AET81" s="0" t="n">
        <f aca="true">AET80*$D$71+(1-$D$71^2)*_xlfn.NORM.S.INV(RAND())</f>
        <v>0.430478498933686</v>
      </c>
      <c r="AEU81" s="0" t="n">
        <f aca="true">AEU80*$D$71+(1-$D$71^2)*_xlfn.NORM.S.INV(RAND())</f>
        <v>0.812108460911763</v>
      </c>
      <c r="AEV81" s="0" t="n">
        <f aca="true">AEV80*$D$71+(1-$D$71^2)*_xlfn.NORM.S.INV(RAND())</f>
        <v>1.16898902135625</v>
      </c>
      <c r="AEW81" s="0" t="n">
        <f aca="true">AEW80*$D$71+(1-$D$71^2)*_xlfn.NORM.S.INV(RAND())</f>
        <v>1.54894175212649</v>
      </c>
      <c r="AEX81" s="0" t="n">
        <f aca="true">AEX80*$D$71+(1-$D$71^2)*_xlfn.NORM.S.INV(RAND())</f>
        <v>1.61360008326767</v>
      </c>
      <c r="AEY81" s="0" t="n">
        <f aca="true">AEY80*$D$71+(1-$D$71^2)*_xlfn.NORM.S.INV(RAND())</f>
        <v>-0.673344117452443</v>
      </c>
      <c r="AEZ81" s="0" t="n">
        <f aca="true">AEZ80*$D$71+(1-$D$71^2)*_xlfn.NORM.S.INV(RAND())</f>
        <v>1.0648704660695</v>
      </c>
      <c r="AFA81" s="0" t="n">
        <f aca="true">AFA80*$D$71+(1-$D$71^2)*_xlfn.NORM.S.INV(RAND())</f>
        <v>0.140929205068428</v>
      </c>
      <c r="AFB81" s="0" t="n">
        <f aca="true">AFB80*$D$71+(1-$D$71^2)*_xlfn.NORM.S.INV(RAND())</f>
        <v>-0.367124325285801</v>
      </c>
      <c r="AFC81" s="0" t="n">
        <f aca="true">AFC80*$D$71+(1-$D$71^2)*_xlfn.NORM.S.INV(RAND())</f>
        <v>-0.176997114164724</v>
      </c>
      <c r="AFD81" s="0" t="n">
        <f aca="true">AFD80*$D$71+(1-$D$71^2)*_xlfn.NORM.S.INV(RAND())</f>
        <v>0.241571964353168</v>
      </c>
      <c r="AFE81" s="0" t="n">
        <f aca="true">AFE80*$D$71+(1-$D$71^2)*_xlfn.NORM.S.INV(RAND())</f>
        <v>-1.55399983342151</v>
      </c>
      <c r="AFF81" s="0" t="n">
        <f aca="true">AFF80*$D$71+(1-$D$71^2)*_xlfn.NORM.S.INV(RAND())</f>
        <v>0.187781641829028</v>
      </c>
      <c r="AFG81" s="0" t="n">
        <f aca="true">AFG80*$D$71+(1-$D$71^2)*_xlfn.NORM.S.INV(RAND())</f>
        <v>-0.577302983664403</v>
      </c>
      <c r="AFH81" s="0" t="n">
        <f aca="true">AFH80*$D$71+(1-$D$71^2)*_xlfn.NORM.S.INV(RAND())</f>
        <v>0.145988192952013</v>
      </c>
      <c r="AFI81" s="0" t="n">
        <f aca="true">AFI80*$D$71+(1-$D$71^2)*_xlfn.NORM.S.INV(RAND())</f>
        <v>0.0377986447279842</v>
      </c>
      <c r="AFJ81" s="0" t="n">
        <f aca="true">AFJ80*$D$71+(1-$D$71^2)*_xlfn.NORM.S.INV(RAND())</f>
        <v>-0.256017643277279</v>
      </c>
      <c r="AFK81" s="0" t="n">
        <f aca="true">AFK80*$D$71+(1-$D$71^2)*_xlfn.NORM.S.INV(RAND())</f>
        <v>0.617723323146188</v>
      </c>
      <c r="AFL81" s="0" t="n">
        <f aca="true">AFL80*$D$71+(1-$D$71^2)*_xlfn.NORM.S.INV(RAND())</f>
        <v>0.639200297815157</v>
      </c>
      <c r="AFM81" s="0" t="n">
        <f aca="true">AFM80*$D$71+(1-$D$71^2)*_xlfn.NORM.S.INV(RAND())</f>
        <v>-1.02359810329009</v>
      </c>
      <c r="AFN81" s="0" t="n">
        <f aca="true">AFN80*$D$71+(1-$D$71^2)*_xlfn.NORM.S.INV(RAND())</f>
        <v>-0.0475962283840483</v>
      </c>
      <c r="AFO81" s="0" t="n">
        <f aca="true">AFO80*$D$71+(1-$D$71^2)*_xlfn.NORM.S.INV(RAND())</f>
        <v>0.695584520263775</v>
      </c>
      <c r="AFP81" s="0" t="n">
        <f aca="true">AFP80*$D$71+(1-$D$71^2)*_xlfn.NORM.S.INV(RAND())</f>
        <v>-0.0117865020204563</v>
      </c>
      <c r="AFQ81" s="0" t="n">
        <f aca="true">AFQ80*$D$71+(1-$D$71^2)*_xlfn.NORM.S.INV(RAND())</f>
        <v>0.320936492521666</v>
      </c>
      <c r="AFR81" s="0" t="n">
        <f aca="true">AFR80*$D$71+(1-$D$71^2)*_xlfn.NORM.S.INV(RAND())</f>
        <v>1.2925470600307</v>
      </c>
      <c r="AFS81" s="0" t="n">
        <f aca="true">AFS80*$D$71+(1-$D$71^2)*_xlfn.NORM.S.INV(RAND())</f>
        <v>-0.623219525089316</v>
      </c>
      <c r="AFT81" s="0" t="n">
        <f aca="true">AFT80*$D$71+(1-$D$71^2)*_xlfn.NORM.S.INV(RAND())</f>
        <v>-1.04491540451566</v>
      </c>
      <c r="AFU81" s="0" t="n">
        <f aca="true">AFU80*$D$71+(1-$D$71^2)*_xlfn.NORM.S.INV(RAND())</f>
        <v>1.57953907565249</v>
      </c>
      <c r="AFV81" s="0" t="n">
        <f aca="true">AFV80*$D$71+(1-$D$71^2)*_xlfn.NORM.S.INV(RAND())</f>
        <v>-0.715293617624519</v>
      </c>
      <c r="AFW81" s="0" t="n">
        <f aca="true">AFW80*$D$71+(1-$D$71^2)*_xlfn.NORM.S.INV(RAND())</f>
        <v>0.063947696884191</v>
      </c>
      <c r="AFX81" s="0" t="n">
        <f aca="true">AFX80*$D$71+(1-$D$71^2)*_xlfn.NORM.S.INV(RAND())</f>
        <v>-1.23679208862928</v>
      </c>
      <c r="AFY81" s="0" t="n">
        <f aca="true">AFY80*$D$71+(1-$D$71^2)*_xlfn.NORM.S.INV(RAND())</f>
        <v>-0.0647046447928737</v>
      </c>
      <c r="AFZ81" s="0" t="n">
        <f aca="true">AFZ80*$D$71+(1-$D$71^2)*_xlfn.NORM.S.INV(RAND())</f>
        <v>-0.302895172812288</v>
      </c>
      <c r="AGA81" s="0" t="n">
        <f aca="true">AGA80*$D$71+(1-$D$71^2)*_xlfn.NORM.S.INV(RAND())</f>
        <v>-0.176251735467111</v>
      </c>
      <c r="AGB81" s="0" t="n">
        <f aca="true">AGB80*$D$71+(1-$D$71^2)*_xlfn.NORM.S.INV(RAND())</f>
        <v>0.746165945320923</v>
      </c>
      <c r="AGC81" s="0" t="n">
        <f aca="true">AGC80*$D$71+(1-$D$71^2)*_xlfn.NORM.S.INV(RAND())</f>
        <v>-0.00675224064551282</v>
      </c>
      <c r="AGD81" s="0" t="n">
        <f aca="true">AGD80*$D$71+(1-$D$71^2)*_xlfn.NORM.S.INV(RAND())</f>
        <v>1.9969543787276</v>
      </c>
      <c r="AGE81" s="0" t="n">
        <f aca="true">AGE80*$D$71+(1-$D$71^2)*_xlfn.NORM.S.INV(RAND())</f>
        <v>-1.22004912523404</v>
      </c>
      <c r="AGF81" s="0" t="n">
        <f aca="true">AGF80*$D$71+(1-$D$71^2)*_xlfn.NORM.S.INV(RAND())</f>
        <v>-0.486562343549705</v>
      </c>
      <c r="AGG81" s="0" t="n">
        <f aca="true">AGG80*$D$71+(1-$D$71^2)*_xlfn.NORM.S.INV(RAND())</f>
        <v>0.233866685360809</v>
      </c>
      <c r="AGH81" s="0" t="n">
        <f aca="true">AGH80*$D$71+(1-$D$71^2)*_xlfn.NORM.S.INV(RAND())</f>
        <v>-0.582614634647727</v>
      </c>
      <c r="AGI81" s="0" t="n">
        <f aca="true">AGI80*$D$71+(1-$D$71^2)*_xlfn.NORM.S.INV(RAND())</f>
        <v>-0.75394394352598</v>
      </c>
      <c r="AGJ81" s="0" t="n">
        <f aca="true">AGJ80*$D$71+(1-$D$71^2)*_xlfn.NORM.S.INV(RAND())</f>
        <v>-0.682880888272508</v>
      </c>
      <c r="AGK81" s="0" t="n">
        <f aca="true">AGK80*$D$71+(1-$D$71^2)*_xlfn.NORM.S.INV(RAND())</f>
        <v>-0.540081389336155</v>
      </c>
      <c r="AGL81" s="0" t="n">
        <f aca="true">AGL80*$D$71+(1-$D$71^2)*_xlfn.NORM.S.INV(RAND())</f>
        <v>-0.800000827223728</v>
      </c>
      <c r="AGM81" s="0" t="n">
        <f aca="true">AGM80*$D$71+(1-$D$71^2)*_xlfn.NORM.S.INV(RAND())</f>
        <v>0.480943732335585</v>
      </c>
      <c r="AGN81" s="0" t="n">
        <f aca="true">AGN80*$D$71+(1-$D$71^2)*_xlfn.NORM.S.INV(RAND())</f>
        <v>-0.349330301317004</v>
      </c>
      <c r="AGO81" s="0" t="n">
        <f aca="true">AGO80*$D$71+(1-$D$71^2)*_xlfn.NORM.S.INV(RAND())</f>
        <v>-0.592731357721357</v>
      </c>
      <c r="AGP81" s="0" t="n">
        <f aca="true">AGP80*$D$71+(1-$D$71^2)*_xlfn.NORM.S.INV(RAND())</f>
        <v>-0.783901745940139</v>
      </c>
      <c r="AGQ81" s="0" t="n">
        <f aca="true">AGQ80*$D$71+(1-$D$71^2)*_xlfn.NORM.S.INV(RAND())</f>
        <v>0.609310788656907</v>
      </c>
      <c r="AGR81" s="0" t="n">
        <f aca="true">AGR80*$D$71+(1-$D$71^2)*_xlfn.NORM.S.INV(RAND())</f>
        <v>-0.126746609218717</v>
      </c>
      <c r="AGS81" s="0" t="n">
        <f aca="true">AGS80*$D$71+(1-$D$71^2)*_xlfn.NORM.S.INV(RAND())</f>
        <v>1.20371278931864</v>
      </c>
      <c r="AGT81" s="0" t="n">
        <f aca="true">AGT80*$D$71+(1-$D$71^2)*_xlfn.NORM.S.INV(RAND())</f>
        <v>-0.975637039429788</v>
      </c>
      <c r="AGU81" s="0" t="n">
        <f aca="true">AGU80*$D$71+(1-$D$71^2)*_xlfn.NORM.S.INV(RAND())</f>
        <v>0.714025288858456</v>
      </c>
      <c r="AGV81" s="0" t="n">
        <f aca="true">AGV80*$D$71+(1-$D$71^2)*_xlfn.NORM.S.INV(RAND())</f>
        <v>0.326056432895936</v>
      </c>
      <c r="AGW81" s="0" t="n">
        <f aca="true">AGW80*$D$71+(1-$D$71^2)*_xlfn.NORM.S.INV(RAND())</f>
        <v>0.107710047635169</v>
      </c>
      <c r="AGX81" s="0" t="n">
        <f aca="true">AGX80*$D$71+(1-$D$71^2)*_xlfn.NORM.S.INV(RAND())</f>
        <v>-1.63373090107267</v>
      </c>
      <c r="AGY81" s="0" t="n">
        <f aca="true">AGY80*$D$71+(1-$D$71^2)*_xlfn.NORM.S.INV(RAND())</f>
        <v>-0.215679224025162</v>
      </c>
      <c r="AGZ81" s="0" t="n">
        <f aca="true">AGZ80*$D$71+(1-$D$71^2)*_xlfn.NORM.S.INV(RAND())</f>
        <v>-0.967613045237278</v>
      </c>
      <c r="AHA81" s="0" t="n">
        <f aca="true">AHA80*$D$71+(1-$D$71^2)*_xlfn.NORM.S.INV(RAND())</f>
        <v>-1.84152978729824</v>
      </c>
      <c r="AHB81" s="0" t="n">
        <f aca="true">AHB80*$D$71+(1-$D$71^2)*_xlfn.NORM.S.INV(RAND())</f>
        <v>0.0302652175920478</v>
      </c>
      <c r="AHC81" s="0" t="n">
        <f aca="true">AHC80*$D$71+(1-$D$71^2)*_xlfn.NORM.S.INV(RAND())</f>
        <v>-0.853777296029731</v>
      </c>
      <c r="AHD81" s="0" t="n">
        <f aca="true">AHD80*$D$71+(1-$D$71^2)*_xlfn.NORM.S.INV(RAND())</f>
        <v>-1.01260753112652</v>
      </c>
      <c r="AHE81" s="0" t="n">
        <f aca="true">AHE80*$D$71+(1-$D$71^2)*_xlfn.NORM.S.INV(RAND())</f>
        <v>0.605146406405922</v>
      </c>
      <c r="AHF81" s="0" t="n">
        <f aca="true">AHF80*$D$71+(1-$D$71^2)*_xlfn.NORM.S.INV(RAND())</f>
        <v>-1.22695952268624</v>
      </c>
      <c r="AHG81" s="0" t="n">
        <f aca="true">AHG80*$D$71+(1-$D$71^2)*_xlfn.NORM.S.INV(RAND())</f>
        <v>0.60607490216978</v>
      </c>
      <c r="AHH81" s="0" t="n">
        <f aca="true">AHH80*$D$71+(1-$D$71^2)*_xlfn.NORM.S.INV(RAND())</f>
        <v>1.25015510703142</v>
      </c>
      <c r="AHI81" s="0" t="n">
        <f aca="true">AHI80*$D$71+(1-$D$71^2)*_xlfn.NORM.S.INV(RAND())</f>
        <v>-0.759991353424185</v>
      </c>
      <c r="AHJ81" s="0" t="n">
        <f aca="true">AHJ80*$D$71+(1-$D$71^2)*_xlfn.NORM.S.INV(RAND())</f>
        <v>0.810921549823106</v>
      </c>
      <c r="AHK81" s="0" t="n">
        <f aca="true">AHK80*$D$71+(1-$D$71^2)*_xlfn.NORM.S.INV(RAND())</f>
        <v>-0.707739082749341</v>
      </c>
      <c r="AHL81" s="0" t="n">
        <f aca="true">AHL80*$D$71+(1-$D$71^2)*_xlfn.NORM.S.INV(RAND())</f>
        <v>-0.528117488489435</v>
      </c>
      <c r="AHM81" s="0" t="n">
        <f aca="true">AHM80*$D$71+(1-$D$71^2)*_xlfn.NORM.S.INV(RAND())</f>
        <v>0.290834018399073</v>
      </c>
      <c r="AHN81" s="0" t="n">
        <f aca="true">AHN80*$D$71+(1-$D$71^2)*_xlfn.NORM.S.INV(RAND())</f>
        <v>-0.575886632047601</v>
      </c>
      <c r="AHO81" s="0" t="n">
        <f aca="true">AHO80*$D$71+(1-$D$71^2)*_xlfn.NORM.S.INV(RAND())</f>
        <v>0.0711611688012278</v>
      </c>
      <c r="AHP81" s="0" t="n">
        <f aca="true">AHP80*$D$71+(1-$D$71^2)*_xlfn.NORM.S.INV(RAND())</f>
        <v>-1.43386894121649</v>
      </c>
      <c r="AHQ81" s="0" t="n">
        <f aca="true">AHQ80*$D$71+(1-$D$71^2)*_xlfn.NORM.S.INV(RAND())</f>
        <v>-0.0200710144482505</v>
      </c>
      <c r="AHR81" s="0" t="n">
        <f aca="true">AHR80*$D$71+(1-$D$71^2)*_xlfn.NORM.S.INV(RAND())</f>
        <v>-1.27760915818619</v>
      </c>
      <c r="AHS81" s="0" t="n">
        <f aca="true">AHS80*$D$71+(1-$D$71^2)*_xlfn.NORM.S.INV(RAND())</f>
        <v>0.706947992081665</v>
      </c>
      <c r="AHT81" s="0" t="n">
        <f aca="true">AHT80*$D$71+(1-$D$71^2)*_xlfn.NORM.S.INV(RAND())</f>
        <v>-0.370261864680006</v>
      </c>
      <c r="AHU81" s="0" t="n">
        <f aca="true">AHU80*$D$71+(1-$D$71^2)*_xlfn.NORM.S.INV(RAND())</f>
        <v>0.890950870650936</v>
      </c>
      <c r="AHV81" s="0" t="n">
        <f aca="true">AHV80*$D$71+(1-$D$71^2)*_xlfn.NORM.S.INV(RAND())</f>
        <v>0.0809234490705856</v>
      </c>
      <c r="AHW81" s="0" t="n">
        <f aca="true">AHW80*$D$71+(1-$D$71^2)*_xlfn.NORM.S.INV(RAND())</f>
        <v>0.945286973139051</v>
      </c>
      <c r="AHX81" s="0" t="n">
        <f aca="true">AHX80*$D$71+(1-$D$71^2)*_xlfn.NORM.S.INV(RAND())</f>
        <v>-1.03199981279426</v>
      </c>
      <c r="AHY81" s="0" t="n">
        <f aca="true">AHY80*$D$71+(1-$D$71^2)*_xlfn.NORM.S.INV(RAND())</f>
        <v>-0.628962395465575</v>
      </c>
      <c r="AHZ81" s="0" t="n">
        <f aca="true">AHZ80*$D$71+(1-$D$71^2)*_xlfn.NORM.S.INV(RAND())</f>
        <v>1.27878457767889</v>
      </c>
      <c r="AIA81" s="0" t="n">
        <f aca="true">AIA80*$D$71+(1-$D$71^2)*_xlfn.NORM.S.INV(RAND())</f>
        <v>-0.535076984364181</v>
      </c>
      <c r="AIB81" s="0" t="n">
        <f aca="true">AIB80*$D$71+(1-$D$71^2)*_xlfn.NORM.S.INV(RAND())</f>
        <v>0.975806996579138</v>
      </c>
      <c r="AIC81" s="0" t="n">
        <f aca="true">AIC80*$D$71+(1-$D$71^2)*_xlfn.NORM.S.INV(RAND())</f>
        <v>0.51978041383088</v>
      </c>
      <c r="AID81" s="0" t="n">
        <f aca="true">AID80*$D$71+(1-$D$71^2)*_xlfn.NORM.S.INV(RAND())</f>
        <v>-1.21058728457272</v>
      </c>
      <c r="AIE81" s="0" t="n">
        <f aca="true">AIE80*$D$71+(1-$D$71^2)*_xlfn.NORM.S.INV(RAND())</f>
        <v>-0.359608679361635</v>
      </c>
      <c r="AIF81" s="0" t="n">
        <f aca="true">AIF80*$D$71+(1-$D$71^2)*_xlfn.NORM.S.INV(RAND())</f>
        <v>0.856026774579281</v>
      </c>
      <c r="AIG81" s="0" t="n">
        <f aca="true">AIG80*$D$71+(1-$D$71^2)*_xlfn.NORM.S.INV(RAND())</f>
        <v>-0.0101990099056518</v>
      </c>
      <c r="AIH81" s="0" t="n">
        <f aca="true">AIH80*$D$71+(1-$D$71^2)*_xlfn.NORM.S.INV(RAND())</f>
        <v>1.85411549818878</v>
      </c>
      <c r="AII81" s="0" t="n">
        <f aca="true">AII80*$D$71+(1-$D$71^2)*_xlfn.NORM.S.INV(RAND())</f>
        <v>-0.2615176960979</v>
      </c>
      <c r="AIJ81" s="0" t="n">
        <f aca="true">AIJ80*$D$71+(1-$D$71^2)*_xlfn.NORM.S.INV(RAND())</f>
        <v>0.699349181826091</v>
      </c>
      <c r="AIK81" s="0" t="n">
        <f aca="true">AIK80*$D$71+(1-$D$71^2)*_xlfn.NORM.S.INV(RAND())</f>
        <v>-0.183901150874233</v>
      </c>
      <c r="AIL81" s="0" t="n">
        <f aca="true">AIL80*$D$71+(1-$D$71^2)*_xlfn.NORM.S.INV(RAND())</f>
        <v>0.162923793522419</v>
      </c>
      <c r="AIM81" s="0" t="n">
        <f aca="true">AIM80*$D$71+(1-$D$71^2)*_xlfn.NORM.S.INV(RAND())</f>
        <v>-0.0629820195084991</v>
      </c>
      <c r="AIN81" s="0" t="n">
        <f aca="true">AIN80*$D$71+(1-$D$71^2)*_xlfn.NORM.S.INV(RAND())</f>
        <v>0.981469062261047</v>
      </c>
      <c r="AIO81" s="0" t="n">
        <f aca="true">AIO80*$D$71+(1-$D$71^2)*_xlfn.NORM.S.INV(RAND())</f>
        <v>-0.887399602530143</v>
      </c>
      <c r="AIP81" s="0" t="n">
        <f aca="true">AIP80*$D$71+(1-$D$71^2)*_xlfn.NORM.S.INV(RAND())</f>
        <v>-0.565423125355783</v>
      </c>
      <c r="AIQ81" s="0" t="n">
        <f aca="true">AIQ80*$D$71+(1-$D$71^2)*_xlfn.NORM.S.INV(RAND())</f>
        <v>-0.0301109982540029</v>
      </c>
      <c r="AIR81" s="0" t="n">
        <f aca="true">AIR80*$D$71+(1-$D$71^2)*_xlfn.NORM.S.INV(RAND())</f>
        <v>-0.712294865418471</v>
      </c>
      <c r="AIS81" s="0" t="n">
        <f aca="true">AIS80*$D$71+(1-$D$71^2)*_xlfn.NORM.S.INV(RAND())</f>
        <v>-0.727700352994187</v>
      </c>
      <c r="AIT81" s="0" t="n">
        <f aca="true">AIT80*$D$71+(1-$D$71^2)*_xlfn.NORM.S.INV(RAND())</f>
        <v>-0.160878532704913</v>
      </c>
      <c r="AIU81" s="0" t="n">
        <f aca="true">AIU80*$D$71+(1-$D$71^2)*_xlfn.NORM.S.INV(RAND())</f>
        <v>0.936065967464426</v>
      </c>
      <c r="AIV81" s="0" t="n">
        <f aca="true">AIV80*$D$71+(1-$D$71^2)*_xlfn.NORM.S.INV(RAND())</f>
        <v>-0.307221650623611</v>
      </c>
      <c r="AIW81" s="0" t="n">
        <f aca="true">AIW80*$D$71+(1-$D$71^2)*_xlfn.NORM.S.INV(RAND())</f>
        <v>-2.23349491465619</v>
      </c>
      <c r="AIX81" s="0" t="n">
        <f aca="true">AIX80*$D$71+(1-$D$71^2)*_xlfn.NORM.S.INV(RAND())</f>
        <v>0.788128811874653</v>
      </c>
      <c r="AIY81" s="0" t="n">
        <f aca="true">AIY80*$D$71+(1-$D$71^2)*_xlfn.NORM.S.INV(RAND())</f>
        <v>-0.0130279005414472</v>
      </c>
      <c r="AIZ81" s="0" t="n">
        <f aca="true">AIZ80*$D$71+(1-$D$71^2)*_xlfn.NORM.S.INV(RAND())</f>
        <v>-0.315650861924417</v>
      </c>
      <c r="AJA81" s="0" t="n">
        <f aca="true">AJA80*$D$71+(1-$D$71^2)*_xlfn.NORM.S.INV(RAND())</f>
        <v>-0.887635198887501</v>
      </c>
      <c r="AJB81" s="0" t="n">
        <f aca="true">AJB80*$D$71+(1-$D$71^2)*_xlfn.NORM.S.INV(RAND())</f>
        <v>-0.641167550140308</v>
      </c>
      <c r="AJC81" s="0" t="n">
        <f aca="true">AJC80*$D$71+(1-$D$71^2)*_xlfn.NORM.S.INV(RAND())</f>
        <v>0.703471817499699</v>
      </c>
      <c r="AJD81" s="0" t="n">
        <f aca="true">AJD80*$D$71+(1-$D$71^2)*_xlfn.NORM.S.INV(RAND())</f>
        <v>0.678218941433814</v>
      </c>
      <c r="AJE81" s="0" t="n">
        <f aca="true">AJE80*$D$71+(1-$D$71^2)*_xlfn.NORM.S.INV(RAND())</f>
        <v>-0.813611011048202</v>
      </c>
      <c r="AJF81" s="0" t="n">
        <f aca="true">AJF80*$D$71+(1-$D$71^2)*_xlfn.NORM.S.INV(RAND())</f>
        <v>-0.124274820519032</v>
      </c>
      <c r="AJG81" s="0" t="n">
        <f aca="true">AJG80*$D$71+(1-$D$71^2)*_xlfn.NORM.S.INV(RAND())</f>
        <v>2.29712594005418</v>
      </c>
      <c r="AJH81" s="0" t="n">
        <f aca="true">AJH80*$D$71+(1-$D$71^2)*_xlfn.NORM.S.INV(RAND())</f>
        <v>0.281846617125396</v>
      </c>
      <c r="AJI81" s="0" t="n">
        <f aca="true">AJI80*$D$71+(1-$D$71^2)*_xlfn.NORM.S.INV(RAND())</f>
        <v>0.415975369952209</v>
      </c>
      <c r="AJJ81" s="0" t="n">
        <f aca="true">AJJ80*$D$71+(1-$D$71^2)*_xlfn.NORM.S.INV(RAND())</f>
        <v>0.14521853017916</v>
      </c>
      <c r="AJK81" s="0" t="n">
        <f aca="true">AJK80*$D$71+(1-$D$71^2)*_xlfn.NORM.S.INV(RAND())</f>
        <v>-0.118085207955459</v>
      </c>
      <c r="AJL81" s="0" t="n">
        <f aca="true">AJL80*$D$71+(1-$D$71^2)*_xlfn.NORM.S.INV(RAND())</f>
        <v>-0.503784461813209</v>
      </c>
      <c r="AJM81" s="0" t="n">
        <f aca="true">AJM80*$D$71+(1-$D$71^2)*_xlfn.NORM.S.INV(RAND())</f>
        <v>-0.543610290105111</v>
      </c>
      <c r="AJN81" s="0" t="n">
        <f aca="true">AJN80*$D$71+(1-$D$71^2)*_xlfn.NORM.S.INV(RAND())</f>
        <v>-0.115684795500864</v>
      </c>
      <c r="AJO81" s="0" t="n">
        <f aca="true">AJO80*$D$71+(1-$D$71^2)*_xlfn.NORM.S.INV(RAND())</f>
        <v>-0.337040257569514</v>
      </c>
      <c r="AJP81" s="0" t="n">
        <f aca="true">AJP80*$D$71+(1-$D$71^2)*_xlfn.NORM.S.INV(RAND())</f>
        <v>-0.794514609487806</v>
      </c>
      <c r="AJQ81" s="0" t="n">
        <f aca="true">AJQ80*$D$71+(1-$D$71^2)*_xlfn.NORM.S.INV(RAND())</f>
        <v>-0.427050368033112</v>
      </c>
      <c r="AJR81" s="0" t="n">
        <f aca="true">AJR80*$D$71+(1-$D$71^2)*_xlfn.NORM.S.INV(RAND())</f>
        <v>0.510618105690983</v>
      </c>
      <c r="AJS81" s="0" t="n">
        <f aca="true">AJS80*$D$71+(1-$D$71^2)*_xlfn.NORM.S.INV(RAND())</f>
        <v>-0.240313370383082</v>
      </c>
      <c r="AJT81" s="0" t="n">
        <f aca="true">AJT80*$D$71+(1-$D$71^2)*_xlfn.NORM.S.INV(RAND())</f>
        <v>1.09560471843788</v>
      </c>
      <c r="AJU81" s="0" t="n">
        <f aca="true">AJU80*$D$71+(1-$D$71^2)*_xlfn.NORM.S.INV(RAND())</f>
        <v>-1.75931386011284</v>
      </c>
      <c r="AJV81" s="0" t="n">
        <f aca="true">AJV80*$D$71+(1-$D$71^2)*_xlfn.NORM.S.INV(RAND())</f>
        <v>0.182955714987371</v>
      </c>
      <c r="AJW81" s="0" t="n">
        <f aca="true">AJW80*$D$71+(1-$D$71^2)*_xlfn.NORM.S.INV(RAND())</f>
        <v>0.381110358061092</v>
      </c>
      <c r="AJX81" s="0" t="n">
        <f aca="true">AJX80*$D$71+(1-$D$71^2)*_xlfn.NORM.S.INV(RAND())</f>
        <v>0.158763306410963</v>
      </c>
      <c r="AJY81" s="0" t="n">
        <f aca="true">AJY80*$D$71+(1-$D$71^2)*_xlfn.NORM.S.INV(RAND())</f>
        <v>-0.71134025466965</v>
      </c>
      <c r="AJZ81" s="0" t="n">
        <f aca="true">AJZ80*$D$71+(1-$D$71^2)*_xlfn.NORM.S.INV(RAND())</f>
        <v>1.5942566547853</v>
      </c>
      <c r="AKA81" s="0" t="n">
        <f aca="true">AKA80*$D$71+(1-$D$71^2)*_xlfn.NORM.S.INV(RAND())</f>
        <v>-1.21795833219171</v>
      </c>
      <c r="AKB81" s="0" t="n">
        <f aca="true">AKB80*$D$71+(1-$D$71^2)*_xlfn.NORM.S.INV(RAND())</f>
        <v>1.88303060064374</v>
      </c>
      <c r="AKC81" s="0" t="n">
        <f aca="true">AKC80*$D$71+(1-$D$71^2)*_xlfn.NORM.S.INV(RAND())</f>
        <v>-0.368143430182661</v>
      </c>
      <c r="AKD81" s="0" t="n">
        <f aca="true">AKD80*$D$71+(1-$D$71^2)*_xlfn.NORM.S.INV(RAND())</f>
        <v>1.14073361646501</v>
      </c>
      <c r="AKE81" s="0" t="n">
        <f aca="true">AKE80*$D$71+(1-$D$71^2)*_xlfn.NORM.S.INV(RAND())</f>
        <v>0.117013169748563</v>
      </c>
      <c r="AKF81" s="0" t="n">
        <f aca="true">AKF80*$D$71+(1-$D$71^2)*_xlfn.NORM.S.INV(RAND())</f>
        <v>-1.33591311214168</v>
      </c>
      <c r="AKG81" s="0" t="n">
        <f aca="true">AKG80*$D$71+(1-$D$71^2)*_xlfn.NORM.S.INV(RAND())</f>
        <v>0.152907761214636</v>
      </c>
      <c r="AKH81" s="0" t="n">
        <f aca="true">AKH80*$D$71+(1-$D$71^2)*_xlfn.NORM.S.INV(RAND())</f>
        <v>-0.516965814506338</v>
      </c>
      <c r="AKI81" s="0" t="n">
        <f aca="true">AKI80*$D$71+(1-$D$71^2)*_xlfn.NORM.S.INV(RAND())</f>
        <v>0.976630837595992</v>
      </c>
      <c r="AKJ81" s="0" t="n">
        <f aca="true">AKJ80*$D$71+(1-$D$71^2)*_xlfn.NORM.S.INV(RAND())</f>
        <v>1.54399987901425</v>
      </c>
      <c r="AKK81" s="0" t="n">
        <f aca="true">AKK80*$D$71+(1-$D$71^2)*_xlfn.NORM.S.INV(RAND())</f>
        <v>0.775295301959282</v>
      </c>
      <c r="AKL81" s="0" t="n">
        <f aca="true">AKL80*$D$71+(1-$D$71^2)*_xlfn.NORM.S.INV(RAND())</f>
        <v>1.06365568678655</v>
      </c>
      <c r="AKM81" s="0" t="n">
        <f aca="true">AKM80*$D$71+(1-$D$71^2)*_xlfn.NORM.S.INV(RAND())</f>
        <v>-0.481008212649362</v>
      </c>
      <c r="AKN81" s="0" t="n">
        <f aca="true">AKN80*$D$71+(1-$D$71^2)*_xlfn.NORM.S.INV(RAND())</f>
        <v>-0.716024176309551</v>
      </c>
      <c r="AKO81" s="0" t="n">
        <f aca="true">AKO80*$D$71+(1-$D$71^2)*_xlfn.NORM.S.INV(RAND())</f>
        <v>-0.562602313501096</v>
      </c>
      <c r="AKP81" s="0" t="n">
        <f aca="true">AKP80*$D$71+(1-$D$71^2)*_xlfn.NORM.S.INV(RAND())</f>
        <v>1.34970622332712</v>
      </c>
      <c r="AKQ81" s="0" t="n">
        <f aca="true">AKQ80*$D$71+(1-$D$71^2)*_xlfn.NORM.S.INV(RAND())</f>
        <v>-0.723075426956616</v>
      </c>
      <c r="AKR81" s="0" t="n">
        <f aca="true">AKR80*$D$71+(1-$D$71^2)*_xlfn.NORM.S.INV(RAND())</f>
        <v>-0.228644872107438</v>
      </c>
      <c r="AKS81" s="0" t="n">
        <f aca="true">AKS80*$D$71+(1-$D$71^2)*_xlfn.NORM.S.INV(RAND())</f>
        <v>0.47764029411179</v>
      </c>
      <c r="AKT81" s="0" t="n">
        <f aca="true">AKT80*$D$71+(1-$D$71^2)*_xlfn.NORM.S.INV(RAND())</f>
        <v>-0.253879107498749</v>
      </c>
      <c r="AKU81" s="0" t="n">
        <f aca="true">AKU80*$D$71+(1-$D$71^2)*_xlfn.NORM.S.INV(RAND())</f>
        <v>0.280309323783098</v>
      </c>
      <c r="AKV81" s="0" t="n">
        <f aca="true">AKV80*$D$71+(1-$D$71^2)*_xlfn.NORM.S.INV(RAND())</f>
        <v>-0.763550536933028</v>
      </c>
      <c r="AKW81" s="0" t="n">
        <f aca="true">AKW80*$D$71+(1-$D$71^2)*_xlfn.NORM.S.INV(RAND())</f>
        <v>0.283357382194468</v>
      </c>
      <c r="AKX81" s="0" t="n">
        <f aca="true">AKX80*$D$71+(1-$D$71^2)*_xlfn.NORM.S.INV(RAND())</f>
        <v>0.0912551622772931</v>
      </c>
      <c r="AKY81" s="0" t="n">
        <f aca="true">AKY80*$D$71+(1-$D$71^2)*_xlfn.NORM.S.INV(RAND())</f>
        <v>-1.77830822089252</v>
      </c>
      <c r="AKZ81" s="0" t="n">
        <f aca="true">AKZ80*$D$71+(1-$D$71^2)*_xlfn.NORM.S.INV(RAND())</f>
        <v>1.96076131998241</v>
      </c>
      <c r="ALA81" s="0" t="n">
        <f aca="true">ALA80*$D$71+(1-$D$71^2)*_xlfn.NORM.S.INV(RAND())</f>
        <v>0.316573602788837</v>
      </c>
      <c r="ALB81" s="0" t="n">
        <f aca="true">ALB80*$D$71+(1-$D$71^2)*_xlfn.NORM.S.INV(RAND())</f>
        <v>-0.891690778406959</v>
      </c>
      <c r="ALC81" s="0" t="n">
        <f aca="true">ALC80*$D$71+(1-$D$71^2)*_xlfn.NORM.S.INV(RAND())</f>
        <v>-0.199196953993848</v>
      </c>
      <c r="ALD81" s="0" t="n">
        <f aca="true">ALD80*$D$71+(1-$D$71^2)*_xlfn.NORM.S.INV(RAND())</f>
        <v>0.244144479103693</v>
      </c>
      <c r="ALE81" s="0" t="n">
        <f aca="true">ALE80*$D$71+(1-$D$71^2)*_xlfn.NORM.S.INV(RAND())</f>
        <v>0.192298241752676</v>
      </c>
      <c r="ALF81" s="0" t="n">
        <f aca="true">ALF80*$D$71+(1-$D$71^2)*_xlfn.NORM.S.INV(RAND())</f>
        <v>1.2473069252255</v>
      </c>
      <c r="ALG81" s="0" t="n">
        <f aca="true">ALG80*$D$71+(1-$D$71^2)*_xlfn.NORM.S.INV(RAND())</f>
        <v>-0.718009911737176</v>
      </c>
      <c r="ALH81" s="0" t="n">
        <f aca="true">ALH80*$D$71+(1-$D$71^2)*_xlfn.NORM.S.INV(RAND())</f>
        <v>-1.47097675808149</v>
      </c>
      <c r="ALI81" s="0" t="n">
        <f aca="true">ALI80*$D$71+(1-$D$71^2)*_xlfn.NORM.S.INV(RAND())</f>
        <v>-0.747657606662562</v>
      </c>
      <c r="ALJ81" s="0" t="n">
        <f aca="true">ALJ80*$D$71+(1-$D$71^2)*_xlfn.NORM.S.INV(RAND())</f>
        <v>-0.358104771263018</v>
      </c>
      <c r="ALK81" s="0" t="n">
        <f aca="true">ALK80*$D$71+(1-$D$71^2)*_xlfn.NORM.S.INV(RAND())</f>
        <v>0.569355465219807</v>
      </c>
      <c r="ALL81" s="0" t="n">
        <f aca="true">ALL80*$D$71+(1-$D$71^2)*_xlfn.NORM.S.INV(RAND())</f>
        <v>1.14011847122218</v>
      </c>
      <c r="ALM81" s="0" t="n">
        <f aca="true">ALM80*$D$71+(1-$D$71^2)*_xlfn.NORM.S.INV(RAND())</f>
        <v>0.416770424518697</v>
      </c>
    </row>
    <row r="82" customFormat="false" ht="14.5" hidden="false" customHeight="false" outlineLevel="0" collapsed="false">
      <c r="A82" s="0" t="s">
        <v>51</v>
      </c>
      <c r="B82" s="0" t="n">
        <f aca="false">$B$71+$C$71*B80</f>
        <v>15934.8521321526</v>
      </c>
      <c r="C82" s="0" t="n">
        <f aca="false">$B$71+$C$71*C80</f>
        <v>15306.8787690824</v>
      </c>
      <c r="D82" s="0" t="n">
        <f aca="false">$B$71+$C$71*D80</f>
        <v>17087.9135019023</v>
      </c>
      <c r="E82" s="0" t="n">
        <f aca="false">$B$71+$C$71*E80</f>
        <v>16215.9133654386</v>
      </c>
      <c r="F82" s="0" t="n">
        <f aca="false">$B$71+$C$71*F80</f>
        <v>15345.9119208424</v>
      </c>
      <c r="G82" s="0" t="n">
        <f aca="false">$B$71+$C$71*G80</f>
        <v>16821.2270307297</v>
      </c>
      <c r="H82" s="0" t="n">
        <f aca="false">$B$71+$C$71*H80</f>
        <v>14415.3219266172</v>
      </c>
      <c r="I82" s="0" t="n">
        <f aca="false">$B$71+$C$71*I80</f>
        <v>17457.9025380257</v>
      </c>
      <c r="J82" s="0" t="n">
        <f aca="false">$B$71+$C$71*J80</f>
        <v>15706.3232549689</v>
      </c>
      <c r="K82" s="0" t="n">
        <f aca="false">$B$71+$C$71*K80</f>
        <v>12615.6212100277</v>
      </c>
      <c r="L82" s="0" t="n">
        <f aca="false">$B$71+$C$71*L80</f>
        <v>14914.7592342405</v>
      </c>
      <c r="M82" s="0" t="n">
        <f aca="false">$B$71+$C$71*M80</f>
        <v>15928.3114224611</v>
      </c>
      <c r="N82" s="0" t="n">
        <f aca="false">$B$71+$C$71*N80</f>
        <v>13697.8924619212</v>
      </c>
      <c r="O82" s="0" t="n">
        <f aca="false">$B$71+$C$71*O80</f>
        <v>13426.3659684985</v>
      </c>
      <c r="P82" s="0" t="n">
        <f aca="false">$B$71+$C$71*P80</f>
        <v>16598.0168194147</v>
      </c>
      <c r="Q82" s="0" t="n">
        <f aca="false">$B$71+$C$71*Q80</f>
        <v>11699.9076234134</v>
      </c>
      <c r="R82" s="0" t="n">
        <f aca="false">$B$71+$C$71*R80</f>
        <v>12412.9549702319</v>
      </c>
      <c r="S82" s="0" t="n">
        <f aca="false">$B$71+$C$71*S80</f>
        <v>12103.6960856895</v>
      </c>
      <c r="T82" s="0" t="n">
        <f aca="false">$B$71+$C$71*T80</f>
        <v>13773.5856415437</v>
      </c>
      <c r="U82" s="0" t="n">
        <f aca="false">$B$71+$C$71*U80</f>
        <v>11087.8757655671</v>
      </c>
      <c r="V82" s="0" t="n">
        <f aca="false">$B$71+$C$71*V80</f>
        <v>14067.939558502</v>
      </c>
      <c r="W82" s="0" t="n">
        <f aca="false">$B$71+$C$71*W80</f>
        <v>15803.9157988091</v>
      </c>
      <c r="X82" s="0" t="n">
        <f aca="false">$B$71+$C$71*X80</f>
        <v>16597.5506951909</v>
      </c>
      <c r="Y82" s="0" t="n">
        <f aca="false">$B$71+$C$71*Y80</f>
        <v>14904.6438486261</v>
      </c>
      <c r="Z82" s="0" t="n">
        <f aca="false">$B$71+$C$71*Z80</f>
        <v>17753.0136291192</v>
      </c>
      <c r="AA82" s="0" t="n">
        <f aca="false">$B$71+$C$71*AA80</f>
        <v>18135.1622599027</v>
      </c>
      <c r="AB82" s="0" t="n">
        <f aca="false">$B$71+$C$71*AB80</f>
        <v>18734.9004193158</v>
      </c>
      <c r="AC82" s="0" t="n">
        <f aca="false">$B$71+$C$71*AC80</f>
        <v>11971.6872127441</v>
      </c>
      <c r="AD82" s="0" t="n">
        <f aca="false">$B$71+$C$71*AD80</f>
        <v>16360.2372399621</v>
      </c>
      <c r="AE82" s="0" t="n">
        <f aca="false">$B$71+$C$71*AE80</f>
        <v>14625.8687525848</v>
      </c>
      <c r="AF82" s="0" t="n">
        <f aca="false">$B$71+$C$71*AF80</f>
        <v>11795.4988536417</v>
      </c>
      <c r="AG82" s="0" t="n">
        <f aca="false">$B$71+$C$71*AG80</f>
        <v>16624.547982203</v>
      </c>
      <c r="AH82" s="0" t="n">
        <f aca="false">$B$71+$C$71*AH80</f>
        <v>14465.9501727576</v>
      </c>
      <c r="AI82" s="0" t="n">
        <f aca="false">$B$71+$C$71*AI80</f>
        <v>13630.189952596</v>
      </c>
      <c r="AJ82" s="0" t="n">
        <f aca="false">$B$71+$C$71*AJ80</f>
        <v>18214.7316262906</v>
      </c>
      <c r="AK82" s="0" t="n">
        <f aca="false">$B$71+$C$71*AK80</f>
        <v>16451.5639432584</v>
      </c>
      <c r="AL82" s="0" t="n">
        <f aca="false">$B$71+$C$71*AL80</f>
        <v>16969.0370861952</v>
      </c>
      <c r="AM82" s="0" t="n">
        <f aca="false">$B$71+$C$71*AM80</f>
        <v>16877.7101436217</v>
      </c>
      <c r="AN82" s="0" t="n">
        <f aca="false">$B$71+$C$71*AN80</f>
        <v>15344.8563479284</v>
      </c>
      <c r="AO82" s="0" t="n">
        <f aca="false">$B$71+$C$71*AO80</f>
        <v>11239.3697482027</v>
      </c>
      <c r="AP82" s="0" t="n">
        <f aca="false">$B$71+$C$71*AP80</f>
        <v>14187.6860339626</v>
      </c>
      <c r="AQ82" s="0" t="n">
        <f aca="false">$B$71+$C$71*AQ80</f>
        <v>16252.9641972089</v>
      </c>
      <c r="AR82" s="0" t="n">
        <f aca="false">$B$71+$C$71*AR80</f>
        <v>13825.7488605109</v>
      </c>
      <c r="AS82" s="0" t="n">
        <f aca="false">$B$71+$C$71*AS80</f>
        <v>13581.9423011516</v>
      </c>
      <c r="AT82" s="0" t="n">
        <f aca="false">$B$71+$C$71*AT80</f>
        <v>15316.8874871522</v>
      </c>
      <c r="AU82" s="0" t="n">
        <f aca="false">$B$71+$C$71*AU80</f>
        <v>14300.7991329329</v>
      </c>
      <c r="AV82" s="0" t="n">
        <f aca="false">$B$71+$C$71*AV80</f>
        <v>18362.3526384967</v>
      </c>
      <c r="AW82" s="0" t="n">
        <f aca="false">$B$71+$C$71*AW80</f>
        <v>14958.8456871145</v>
      </c>
      <c r="AX82" s="0" t="n">
        <f aca="false">$B$71+$C$71*AX80</f>
        <v>12211.1288904462</v>
      </c>
      <c r="AY82" s="0" t="n">
        <f aca="false">$B$71+$C$71*AY80</f>
        <v>17038.8720702909</v>
      </c>
      <c r="AZ82" s="0" t="n">
        <f aca="false">$B$71+$C$71*AZ80</f>
        <v>18213.3094087986</v>
      </c>
      <c r="BA82" s="0" t="n">
        <f aca="false">$B$71+$C$71*BA80</f>
        <v>15187.9663189623</v>
      </c>
      <c r="BB82" s="0" t="n">
        <f aca="false">$B$71+$C$71*BB80</f>
        <v>12509.3525582845</v>
      </c>
      <c r="BC82" s="0" t="n">
        <f aca="false">$B$71+$C$71*BC80</f>
        <v>16824.1964894328</v>
      </c>
      <c r="BD82" s="0" t="n">
        <f aca="false">$B$71+$C$71*BD80</f>
        <v>12548.7587018498</v>
      </c>
      <c r="BE82" s="0" t="n">
        <f aca="false">$B$71+$C$71*BE80</f>
        <v>13995.1606603626</v>
      </c>
      <c r="BF82" s="0" t="n">
        <f aca="false">$B$71+$C$71*BF80</f>
        <v>11317.8883264138</v>
      </c>
      <c r="BG82" s="0" t="n">
        <f aca="false">$B$71+$C$71*BG80</f>
        <v>15915.1961757778</v>
      </c>
      <c r="BH82" s="0" t="n">
        <f aca="false">$B$71+$C$71*BH80</f>
        <v>14328.3898026384</v>
      </c>
      <c r="BI82" s="0" t="n">
        <f aca="false">$B$71+$C$71*BI80</f>
        <v>19131.9178124814</v>
      </c>
      <c r="BJ82" s="0" t="n">
        <f aca="false">$B$71+$C$71*BJ80</f>
        <v>16525.3164203856</v>
      </c>
      <c r="BK82" s="0" t="n">
        <f aca="false">$B$71+$C$71*BK80</f>
        <v>16932.2178984054</v>
      </c>
      <c r="BL82" s="0" t="n">
        <f aca="false">$B$71+$C$71*BL80</f>
        <v>16193.744611866</v>
      </c>
      <c r="BM82" s="0" t="n">
        <f aca="false">$B$71+$C$71*BM80</f>
        <v>14294.2687364677</v>
      </c>
      <c r="BN82" s="0" t="n">
        <f aca="false">$B$71+$C$71*BN80</f>
        <v>13272.9614170656</v>
      </c>
      <c r="BO82" s="0" t="n">
        <f aca="false">$B$71+$C$71*BO80</f>
        <v>14990.8939397695</v>
      </c>
      <c r="BP82" s="0" t="n">
        <f aca="false">$B$71+$C$71*BP80</f>
        <v>16003.5073634551</v>
      </c>
      <c r="BQ82" s="0" t="n">
        <f aca="false">$B$71+$C$71*BQ80</f>
        <v>14061.0264169366</v>
      </c>
      <c r="BR82" s="0" t="n">
        <f aca="false">$B$71+$C$71*BR80</f>
        <v>16225.9721629698</v>
      </c>
      <c r="BS82" s="0" t="n">
        <f aca="false">$B$71+$C$71*BS80</f>
        <v>12205.9329569695</v>
      </c>
      <c r="BT82" s="0" t="n">
        <f aca="false">$B$71+$C$71*BT80</f>
        <v>15263.3284733563</v>
      </c>
      <c r="BU82" s="0" t="n">
        <f aca="false">$B$71+$C$71*BU80</f>
        <v>11465.4132969639</v>
      </c>
      <c r="BV82" s="0" t="n">
        <f aca="false">$B$71+$C$71*BV80</f>
        <v>14216.8619075508</v>
      </c>
      <c r="BW82" s="0" t="n">
        <f aca="false">$B$71+$C$71*BW80</f>
        <v>13035.0884385642</v>
      </c>
      <c r="BX82" s="0" t="n">
        <f aca="false">$B$71+$C$71*BX80</f>
        <v>12586.1338813037</v>
      </c>
      <c r="BY82" s="0" t="n">
        <f aca="false">$B$71+$C$71*BY80</f>
        <v>12808.3826163165</v>
      </c>
      <c r="BZ82" s="0" t="n">
        <f aca="false">$B$71+$C$71*BZ80</f>
        <v>17222.859804775</v>
      </c>
      <c r="CA82" s="0" t="n">
        <f aca="false">$B$71+$C$71*CA80</f>
        <v>16227.8908945346</v>
      </c>
      <c r="CB82" s="0" t="n">
        <f aca="false">$B$71+$C$71*CB80</f>
        <v>12948.8874684235</v>
      </c>
      <c r="CC82" s="0" t="n">
        <f aca="false">$B$71+$C$71*CC80</f>
        <v>17736.8739504245</v>
      </c>
      <c r="CD82" s="0" t="n">
        <f aca="false">$B$71+$C$71*CD80</f>
        <v>20234.8594827498</v>
      </c>
      <c r="CE82" s="0" t="n">
        <f aca="false">$B$71+$C$71*CE80</f>
        <v>16684.7574685912</v>
      </c>
      <c r="CF82" s="0" t="n">
        <f aca="false">$B$71+$C$71*CF80</f>
        <v>16452.4589181804</v>
      </c>
      <c r="CG82" s="0" t="n">
        <f aca="false">$B$71+$C$71*CG80</f>
        <v>12120.2103172607</v>
      </c>
      <c r="CH82" s="0" t="n">
        <f aca="false">$B$71+$C$71*CH80</f>
        <v>15928.5332308453</v>
      </c>
      <c r="CI82" s="0" t="n">
        <f aca="false">$B$71+$C$71*CI80</f>
        <v>16869.9557322502</v>
      </c>
      <c r="CJ82" s="0" t="n">
        <f aca="false">$B$71+$C$71*CJ80</f>
        <v>19050.2110124437</v>
      </c>
      <c r="CK82" s="0" t="n">
        <f aca="false">$B$71+$C$71*CK80</f>
        <v>14596.0778849146</v>
      </c>
      <c r="CL82" s="0" t="n">
        <f aca="false">$B$71+$C$71*CL80</f>
        <v>13901.8598569082</v>
      </c>
      <c r="CM82" s="0" t="n">
        <f aca="false">$B$71+$C$71*CM80</f>
        <v>17432.5827899565</v>
      </c>
      <c r="CN82" s="0" t="n">
        <f aca="false">$B$71+$C$71*CN80</f>
        <v>16310.1254144458</v>
      </c>
      <c r="CO82" s="0" t="n">
        <f aca="false">$B$71+$C$71*CO80</f>
        <v>16920.8708431543</v>
      </c>
      <c r="CP82" s="0" t="n">
        <f aca="false">$B$71+$C$71*CP80</f>
        <v>14133.3920863148</v>
      </c>
      <c r="CQ82" s="0" t="n">
        <f aca="false">$B$71+$C$71*CQ80</f>
        <v>14073.4935278617</v>
      </c>
      <c r="CR82" s="0" t="n">
        <f aca="false">$B$71+$C$71*CR80</f>
        <v>15845.3046590618</v>
      </c>
      <c r="CS82" s="0" t="n">
        <f aca="false">$B$71+$C$71*CS80</f>
        <v>14156.8428040377</v>
      </c>
      <c r="CT82" s="0" t="n">
        <f aca="false">$B$71+$C$71*CT80</f>
        <v>11697.5325458383</v>
      </c>
      <c r="CU82" s="0" t="n">
        <f aca="false">$B$71+$C$71*CU80</f>
        <v>12920.6315294723</v>
      </c>
      <c r="CV82" s="0" t="n">
        <f aca="false">$B$71+$C$71*CV80</f>
        <v>12362.7351057098</v>
      </c>
      <c r="CW82" s="0" t="n">
        <f aca="false">$B$71+$C$71*CW80</f>
        <v>15062.9216696445</v>
      </c>
      <c r="CX82" s="0" t="n">
        <f aca="false">$B$71+$C$71*CX80</f>
        <v>15839.3025466668</v>
      </c>
      <c r="CY82" s="0" t="n">
        <f aca="false">$B$71+$C$71*CY80</f>
        <v>14792.3008988068</v>
      </c>
      <c r="CZ82" s="0" t="n">
        <f aca="false">$B$71+$C$71*CZ80</f>
        <v>15083.8439247228</v>
      </c>
      <c r="DA82" s="0" t="n">
        <f aca="false">$B$71+$C$71*DA80</f>
        <v>11234.7377260072</v>
      </c>
      <c r="DB82" s="0" t="n">
        <f aca="false">$B$71+$C$71*DB80</f>
        <v>8714.13634558908</v>
      </c>
      <c r="DC82" s="0" t="n">
        <f aca="false">$B$71+$C$71*DC80</f>
        <v>18055.3133980992</v>
      </c>
      <c r="DD82" s="0" t="n">
        <f aca="false">$B$71+$C$71*DD80</f>
        <v>13708.9530892788</v>
      </c>
      <c r="DE82" s="0" t="n">
        <f aca="false">$B$71+$C$71*DE80</f>
        <v>15410.3566548837</v>
      </c>
      <c r="DF82" s="0" t="n">
        <f aca="false">$B$71+$C$71*DF80</f>
        <v>12932.7271263689</v>
      </c>
      <c r="DG82" s="0" t="n">
        <f aca="false">$B$71+$C$71*DG80</f>
        <v>15453.6997211087</v>
      </c>
      <c r="DH82" s="0" t="n">
        <f aca="false">$B$71+$C$71*DH80</f>
        <v>15388.8983659526</v>
      </c>
      <c r="DI82" s="0" t="n">
        <f aca="false">$B$71+$C$71*DI80</f>
        <v>12946.1281387107</v>
      </c>
      <c r="DJ82" s="0" t="n">
        <f aca="false">$B$71+$C$71*DJ80</f>
        <v>14739.2866280565</v>
      </c>
      <c r="DK82" s="0" t="n">
        <f aca="false">$B$71+$C$71*DK80</f>
        <v>15076.4977347266</v>
      </c>
      <c r="DL82" s="0" t="n">
        <f aca="false">$B$71+$C$71*DL80</f>
        <v>16954.6270597043</v>
      </c>
      <c r="DM82" s="0" t="n">
        <f aca="false">$B$71+$C$71*DM80</f>
        <v>16608.3564582043</v>
      </c>
      <c r="DN82" s="0" t="n">
        <f aca="false">$B$71+$C$71*DN80</f>
        <v>18507.1975685502</v>
      </c>
      <c r="DO82" s="0" t="n">
        <f aca="false">$B$71+$C$71*DO80</f>
        <v>19497.2468768288</v>
      </c>
      <c r="DP82" s="0" t="n">
        <f aca="false">$B$71+$C$71*DP80</f>
        <v>17861.5011262985</v>
      </c>
      <c r="DQ82" s="0" t="n">
        <f aca="false">$B$71+$C$71*DQ80</f>
        <v>15925.4455854046</v>
      </c>
      <c r="DR82" s="0" t="n">
        <f aca="false">$B$71+$C$71*DR80</f>
        <v>10818.4603736722</v>
      </c>
      <c r="DS82" s="0" t="n">
        <f aca="false">$B$71+$C$71*DS80</f>
        <v>13439.0562837768</v>
      </c>
      <c r="DT82" s="0" t="n">
        <f aca="false">$B$71+$C$71*DT80</f>
        <v>18496.5514025904</v>
      </c>
      <c r="DU82" s="0" t="n">
        <f aca="false">$B$71+$C$71*DU80</f>
        <v>16713.7113198214</v>
      </c>
      <c r="DV82" s="0" t="n">
        <f aca="false">$B$71+$C$71*DV80</f>
        <v>16456.2537073028</v>
      </c>
      <c r="DW82" s="0" t="n">
        <f aca="false">$B$71+$C$71*DW80</f>
        <v>14100.3609178788</v>
      </c>
      <c r="DX82" s="0" t="n">
        <f aca="false">$B$71+$C$71*DX80</f>
        <v>14672.2729342704</v>
      </c>
      <c r="DY82" s="0" t="n">
        <f aca="false">$B$71+$C$71*DY80</f>
        <v>16368.3309752994</v>
      </c>
      <c r="DZ82" s="0" t="n">
        <f aca="false">$B$71+$C$71*DZ80</f>
        <v>12437.0062094654</v>
      </c>
      <c r="EA82" s="0" t="n">
        <f aca="false">$B$71+$C$71*EA80</f>
        <v>10253.634932564</v>
      </c>
      <c r="EB82" s="0" t="n">
        <f aca="false">$B$71+$C$71*EB80</f>
        <v>14321.9512806011</v>
      </c>
      <c r="EC82" s="0" t="n">
        <f aca="false">$B$71+$C$71*EC80</f>
        <v>14749.224086887</v>
      </c>
      <c r="ED82" s="0" t="n">
        <f aca="false">$B$71+$C$71*ED80</f>
        <v>14985.0067383405</v>
      </c>
      <c r="EE82" s="0" t="n">
        <f aca="false">$B$71+$C$71*EE80</f>
        <v>16781.4188780753</v>
      </c>
      <c r="EF82" s="0" t="n">
        <f aca="false">$B$71+$C$71*EF80</f>
        <v>15415.7990198862</v>
      </c>
      <c r="EG82" s="0" t="n">
        <f aca="false">$B$71+$C$71*EG80</f>
        <v>14459.1996279302</v>
      </c>
      <c r="EH82" s="0" t="n">
        <f aca="false">$B$71+$C$71*EH80</f>
        <v>14247.5860939834</v>
      </c>
      <c r="EI82" s="0" t="n">
        <f aca="false">$B$71+$C$71*EI80</f>
        <v>12164.5659181171</v>
      </c>
      <c r="EJ82" s="0" t="n">
        <f aca="false">$B$71+$C$71*EJ80</f>
        <v>16652.9600007661</v>
      </c>
      <c r="EK82" s="0" t="n">
        <f aca="false">$B$71+$C$71*EK80</f>
        <v>16186.0457024341</v>
      </c>
      <c r="EL82" s="0" t="n">
        <f aca="false">$B$71+$C$71*EL80</f>
        <v>17218.44725666</v>
      </c>
      <c r="EM82" s="0" t="n">
        <f aca="false">$B$71+$C$71*EM80</f>
        <v>15056.8939874688</v>
      </c>
      <c r="EN82" s="0" t="n">
        <f aca="false">$B$71+$C$71*EN80</f>
        <v>16933.0322245759</v>
      </c>
      <c r="EO82" s="0" t="n">
        <f aca="false">$B$71+$C$71*EO80</f>
        <v>14871.0362774087</v>
      </c>
      <c r="EP82" s="0" t="n">
        <f aca="false">$B$71+$C$71*EP80</f>
        <v>15285.2520956654</v>
      </c>
      <c r="EQ82" s="0" t="n">
        <f aca="false">$B$71+$C$71*EQ80</f>
        <v>15792.0037189018</v>
      </c>
      <c r="ER82" s="0" t="n">
        <f aca="false">$B$71+$C$71*ER80</f>
        <v>15714.5180164501</v>
      </c>
      <c r="ES82" s="0" t="n">
        <f aca="false">$B$71+$C$71*ES80</f>
        <v>16633.7316545994</v>
      </c>
      <c r="ET82" s="0" t="n">
        <f aca="false">$B$71+$C$71*ET80</f>
        <v>16251.2040765911</v>
      </c>
      <c r="EU82" s="0" t="n">
        <f aca="false">$B$71+$C$71*EU80</f>
        <v>17643.3430819918</v>
      </c>
      <c r="EV82" s="0" t="n">
        <f aca="false">$B$71+$C$71*EV80</f>
        <v>16393.0366191319</v>
      </c>
      <c r="EW82" s="0" t="n">
        <f aca="false">$B$71+$C$71*EW80</f>
        <v>12930.4685640411</v>
      </c>
      <c r="EX82" s="0" t="n">
        <f aca="false">$B$71+$C$71*EX80</f>
        <v>11579.7693379565</v>
      </c>
      <c r="EY82" s="0" t="n">
        <f aca="false">$B$71+$C$71*EY80</f>
        <v>20336.2940717065</v>
      </c>
      <c r="EZ82" s="0" t="n">
        <f aca="false">$B$71+$C$71*EZ80</f>
        <v>13991.1125339449</v>
      </c>
      <c r="FA82" s="0" t="n">
        <f aca="false">$B$71+$C$71*FA80</f>
        <v>17885.3876327678</v>
      </c>
      <c r="FB82" s="0" t="n">
        <f aca="false">$B$71+$C$71*FB80</f>
        <v>15947.3121996033</v>
      </c>
      <c r="FC82" s="0" t="n">
        <f aca="false">$B$71+$C$71*FC80</f>
        <v>15477.2619963462</v>
      </c>
      <c r="FD82" s="0" t="n">
        <f aca="false">$B$71+$C$71*FD80</f>
        <v>18155.6064435037</v>
      </c>
      <c r="FE82" s="0" t="n">
        <f aca="false">$B$71+$C$71*FE80</f>
        <v>12093.4132702122</v>
      </c>
      <c r="FF82" s="0" t="n">
        <f aca="false">$B$71+$C$71*FF80</f>
        <v>12395.8130163387</v>
      </c>
      <c r="FG82" s="0" t="n">
        <f aca="false">$B$71+$C$71*FG80</f>
        <v>15199.2341449843</v>
      </c>
      <c r="FH82" s="0" t="n">
        <f aca="false">$B$71+$C$71*FH80</f>
        <v>15426.9441890187</v>
      </c>
      <c r="FI82" s="0" t="n">
        <f aca="false">$B$71+$C$71*FI80</f>
        <v>11484.8753154959</v>
      </c>
      <c r="FJ82" s="0" t="n">
        <f aca="false">$B$71+$C$71*FJ80</f>
        <v>14765.1134307003</v>
      </c>
      <c r="FK82" s="0" t="n">
        <f aca="false">$B$71+$C$71*FK80</f>
        <v>18243.1944801964</v>
      </c>
      <c r="FL82" s="0" t="n">
        <f aca="false">$B$71+$C$71*FL80</f>
        <v>12085.804808686</v>
      </c>
      <c r="FM82" s="0" t="n">
        <f aca="false">$B$71+$C$71*FM80</f>
        <v>18863.4080610265</v>
      </c>
      <c r="FN82" s="0" t="n">
        <f aca="false">$B$71+$C$71*FN80</f>
        <v>16820.4080015437</v>
      </c>
      <c r="FO82" s="0" t="n">
        <f aca="false">$B$71+$C$71*FO80</f>
        <v>13982.0320037918</v>
      </c>
      <c r="FP82" s="0" t="n">
        <f aca="false">$B$71+$C$71*FP80</f>
        <v>13841.6437196807</v>
      </c>
      <c r="FQ82" s="0" t="n">
        <f aca="false">$B$71+$C$71*FQ80</f>
        <v>12702.2813015435</v>
      </c>
      <c r="FR82" s="0" t="n">
        <f aca="false">$B$71+$C$71*FR80</f>
        <v>14823.8781354727</v>
      </c>
      <c r="FS82" s="0" t="n">
        <f aca="false">$B$71+$C$71*FS80</f>
        <v>11509.2524591064</v>
      </c>
      <c r="FT82" s="0" t="n">
        <f aca="false">$B$71+$C$71*FT80</f>
        <v>14715.0705114102</v>
      </c>
      <c r="FU82" s="0" t="n">
        <f aca="false">$B$71+$C$71*FU80</f>
        <v>16188.9356609678</v>
      </c>
      <c r="FV82" s="0" t="n">
        <f aca="false">$B$71+$C$71*FV80</f>
        <v>16069.945597369</v>
      </c>
      <c r="FW82" s="0" t="n">
        <f aca="false">$B$71+$C$71*FW80</f>
        <v>17106.3121692057</v>
      </c>
      <c r="FX82" s="0" t="n">
        <f aca="false">$B$71+$C$71*FX80</f>
        <v>14579.3266332513</v>
      </c>
      <c r="FY82" s="0" t="n">
        <f aca="false">$B$71+$C$71*FY80</f>
        <v>15842.2928539844</v>
      </c>
      <c r="FZ82" s="0" t="n">
        <f aca="false">$B$71+$C$71*FZ80</f>
        <v>11441.1093551121</v>
      </c>
      <c r="GA82" s="0" t="n">
        <f aca="false">$B$71+$C$71*GA80</f>
        <v>13641.9220979674</v>
      </c>
      <c r="GB82" s="0" t="n">
        <f aca="false">$B$71+$C$71*GB80</f>
        <v>14577.7486090108</v>
      </c>
      <c r="GC82" s="0" t="n">
        <f aca="false">$B$71+$C$71*GC80</f>
        <v>13840.5478092435</v>
      </c>
      <c r="GD82" s="0" t="n">
        <f aca="false">$B$71+$C$71*GD80</f>
        <v>13054.0835186791</v>
      </c>
      <c r="GE82" s="0" t="n">
        <f aca="false">$B$71+$C$71*GE80</f>
        <v>15418.862671117</v>
      </c>
      <c r="GF82" s="0" t="n">
        <f aca="false">$B$71+$C$71*GF80</f>
        <v>14460.8890048251</v>
      </c>
      <c r="GG82" s="0" t="n">
        <f aca="false">$B$71+$C$71*GG80</f>
        <v>14311.434704711</v>
      </c>
      <c r="GH82" s="0" t="n">
        <f aca="false">$B$71+$C$71*GH80</f>
        <v>15592.8349777277</v>
      </c>
      <c r="GI82" s="0" t="n">
        <f aca="false">$B$71+$C$71*GI80</f>
        <v>17187.778042121</v>
      </c>
      <c r="GJ82" s="0" t="n">
        <f aca="false">$B$71+$C$71*GJ80</f>
        <v>13414.947435209</v>
      </c>
      <c r="GK82" s="0" t="n">
        <f aca="false">$B$71+$C$71*GK80</f>
        <v>13086.8571832095</v>
      </c>
      <c r="GL82" s="0" t="n">
        <f aca="false">$B$71+$C$71*GL80</f>
        <v>14601.0670933608</v>
      </c>
      <c r="GM82" s="0" t="n">
        <f aca="false">$B$71+$C$71*GM80</f>
        <v>14035.715486464</v>
      </c>
      <c r="GN82" s="0" t="n">
        <f aca="false">$B$71+$C$71*GN80</f>
        <v>15797.4502355618</v>
      </c>
      <c r="GO82" s="0" t="n">
        <f aca="false">$B$71+$C$71*GO80</f>
        <v>12823.9034920104</v>
      </c>
      <c r="GP82" s="0" t="n">
        <f aca="false">$B$71+$C$71*GP80</f>
        <v>16361.8087334032</v>
      </c>
      <c r="GQ82" s="0" t="n">
        <f aca="false">$B$71+$C$71*GQ80</f>
        <v>11102.5342484475</v>
      </c>
      <c r="GR82" s="0" t="n">
        <f aca="false">$B$71+$C$71*GR80</f>
        <v>18193.9572360412</v>
      </c>
      <c r="GS82" s="0" t="n">
        <f aca="false">$B$71+$C$71*GS80</f>
        <v>14622.1176106069</v>
      </c>
      <c r="GT82" s="0" t="n">
        <f aca="false">$B$71+$C$71*GT80</f>
        <v>16064.3011972381</v>
      </c>
      <c r="GU82" s="0" t="n">
        <f aca="false">$B$71+$C$71*GU80</f>
        <v>13691.065407513</v>
      </c>
      <c r="GV82" s="0" t="n">
        <f aca="false">$B$71+$C$71*GV80</f>
        <v>15236.456687943</v>
      </c>
      <c r="GW82" s="0" t="n">
        <f aca="false">$B$71+$C$71*GW80</f>
        <v>15419.7043215022</v>
      </c>
      <c r="GX82" s="0" t="n">
        <f aca="false">$B$71+$C$71*GX80</f>
        <v>13593.923252614</v>
      </c>
      <c r="GY82" s="0" t="n">
        <f aca="false">$B$71+$C$71*GY80</f>
        <v>14137.0778747862</v>
      </c>
      <c r="GZ82" s="0" t="n">
        <f aca="false">$B$71+$C$71*GZ80</f>
        <v>17405.9956580569</v>
      </c>
      <c r="HA82" s="0" t="n">
        <f aca="false">$B$71+$C$71*HA80</f>
        <v>15478.5020864894</v>
      </c>
      <c r="HB82" s="0" t="n">
        <f aca="false">$B$71+$C$71*HB80</f>
        <v>14324.3553509816</v>
      </c>
      <c r="HC82" s="0" t="n">
        <f aca="false">$B$71+$C$71*HC80</f>
        <v>13827.4828200994</v>
      </c>
      <c r="HD82" s="0" t="n">
        <f aca="false">$B$71+$C$71*HD80</f>
        <v>18316.9311374495</v>
      </c>
      <c r="HE82" s="0" t="n">
        <f aca="false">$B$71+$C$71*HE80</f>
        <v>17352.0713085239</v>
      </c>
      <c r="HF82" s="0" t="n">
        <f aca="false">$B$71+$C$71*HF80</f>
        <v>12090.421031744</v>
      </c>
      <c r="HG82" s="0" t="n">
        <f aca="false">$B$71+$C$71*HG80</f>
        <v>17090.0650632564</v>
      </c>
      <c r="HH82" s="0" t="n">
        <f aca="false">$B$71+$C$71*HH80</f>
        <v>16663.1310917233</v>
      </c>
      <c r="HI82" s="0" t="n">
        <f aca="false">$B$71+$C$71*HI80</f>
        <v>16362.9184254894</v>
      </c>
      <c r="HJ82" s="0" t="n">
        <f aca="false">$B$71+$C$71*HJ80</f>
        <v>13941.9265142106</v>
      </c>
      <c r="HK82" s="0" t="n">
        <f aca="false">$B$71+$C$71*HK80</f>
        <v>14388.4129844776</v>
      </c>
      <c r="HL82" s="0" t="n">
        <f aca="false">$B$71+$C$71*HL80</f>
        <v>18319.0775786585</v>
      </c>
      <c r="HM82" s="0" t="n">
        <f aca="false">$B$71+$C$71*HM80</f>
        <v>13495.0295017161</v>
      </c>
      <c r="HN82" s="0" t="n">
        <f aca="false">$B$71+$C$71*HN80</f>
        <v>13889.5175429258</v>
      </c>
      <c r="HO82" s="0" t="n">
        <f aca="false">$B$71+$C$71*HO80</f>
        <v>13823.6794375713</v>
      </c>
      <c r="HP82" s="0" t="n">
        <f aca="false">$B$71+$C$71*HP80</f>
        <v>11202.0011555701</v>
      </c>
      <c r="HQ82" s="0" t="n">
        <f aca="false">$B$71+$C$71*HQ80</f>
        <v>15270.1677890467</v>
      </c>
      <c r="HR82" s="0" t="n">
        <f aca="false">$B$71+$C$71*HR80</f>
        <v>14357.9360252321</v>
      </c>
      <c r="HS82" s="0" t="n">
        <f aca="false">$B$71+$C$71*HS80</f>
        <v>14708.459295117</v>
      </c>
      <c r="HT82" s="0" t="n">
        <f aca="false">$B$71+$C$71*HT80</f>
        <v>20533.8775837373</v>
      </c>
      <c r="HU82" s="0" t="n">
        <f aca="false">$B$71+$C$71*HU80</f>
        <v>13153.8469736364</v>
      </c>
      <c r="HV82" s="0" t="n">
        <f aca="false">$B$71+$C$71*HV80</f>
        <v>14672.9494362706</v>
      </c>
      <c r="HW82" s="0" t="n">
        <f aca="false">$B$71+$C$71*HW80</f>
        <v>13748.4672977769</v>
      </c>
      <c r="HX82" s="0" t="n">
        <f aca="false">$B$71+$C$71*HX80</f>
        <v>17459.7703246288</v>
      </c>
      <c r="HY82" s="0" t="n">
        <f aca="false">$B$71+$C$71*HY80</f>
        <v>13342.2742969469</v>
      </c>
      <c r="HZ82" s="0" t="n">
        <f aca="false">$B$71+$C$71*HZ80</f>
        <v>13808.5034786575</v>
      </c>
      <c r="IA82" s="0" t="n">
        <f aca="false">$B$71+$C$71*IA80</f>
        <v>18465.9611628713</v>
      </c>
      <c r="IB82" s="0" t="n">
        <f aca="false">$B$71+$C$71*IB80</f>
        <v>12164.427551703</v>
      </c>
      <c r="IC82" s="0" t="n">
        <f aca="false">$B$71+$C$71*IC80</f>
        <v>13415.3623861963</v>
      </c>
      <c r="ID82" s="0" t="n">
        <f aca="false">$B$71+$C$71*ID80</f>
        <v>12096.1053768494</v>
      </c>
      <c r="IE82" s="0" t="n">
        <f aca="false">$B$71+$C$71*IE80</f>
        <v>18311.2215091027</v>
      </c>
      <c r="IF82" s="0" t="n">
        <f aca="false">$B$71+$C$71*IF80</f>
        <v>12351.2456131076</v>
      </c>
      <c r="IG82" s="0" t="n">
        <f aca="false">$B$71+$C$71*IG80</f>
        <v>13005.111452271</v>
      </c>
      <c r="IH82" s="0" t="n">
        <f aca="false">$B$71+$C$71*IH80</f>
        <v>15018.6016899772</v>
      </c>
      <c r="II82" s="0" t="n">
        <f aca="false">$B$71+$C$71*II80</f>
        <v>16254.9302413591</v>
      </c>
      <c r="IJ82" s="0" t="n">
        <f aca="false">$B$71+$C$71*IJ80</f>
        <v>14029.1924780596</v>
      </c>
      <c r="IK82" s="0" t="n">
        <f aca="false">$B$71+$C$71*IK80</f>
        <v>19955.221492529</v>
      </c>
      <c r="IL82" s="0" t="n">
        <f aca="false">$B$71+$C$71*IL80</f>
        <v>17880.0645023597</v>
      </c>
      <c r="IM82" s="0" t="n">
        <f aca="false">$B$71+$C$71*IM80</f>
        <v>14872.3948514658</v>
      </c>
      <c r="IN82" s="0" t="n">
        <f aca="false">$B$71+$C$71*IN80</f>
        <v>13087.4735014652</v>
      </c>
      <c r="IO82" s="0" t="n">
        <f aca="false">$B$71+$C$71*IO80</f>
        <v>15942.3506453898</v>
      </c>
      <c r="IP82" s="0" t="n">
        <f aca="false">$B$71+$C$71*IP80</f>
        <v>16523.6953395094</v>
      </c>
      <c r="IQ82" s="0" t="n">
        <f aca="false">$B$71+$C$71*IQ80</f>
        <v>15639.5944453662</v>
      </c>
      <c r="IR82" s="0" t="n">
        <f aca="false">$B$71+$C$71*IR80</f>
        <v>12550.2226282228</v>
      </c>
      <c r="IS82" s="0" t="n">
        <f aca="false">$B$71+$C$71*IS80</f>
        <v>14880.2876294588</v>
      </c>
      <c r="IT82" s="0" t="n">
        <f aca="false">$B$71+$C$71*IT80</f>
        <v>17018.3617954465</v>
      </c>
      <c r="IU82" s="0" t="n">
        <f aca="false">$B$71+$C$71*IU80</f>
        <v>13937.0590007371</v>
      </c>
      <c r="IV82" s="0" t="n">
        <f aca="false">$B$71+$C$71*IV80</f>
        <v>16366.6959760318</v>
      </c>
      <c r="IW82" s="0" t="n">
        <f aca="false">$B$71+$C$71*IW80</f>
        <v>14531.798700589</v>
      </c>
      <c r="IX82" s="0" t="n">
        <f aca="false">$B$71+$C$71*IX80</f>
        <v>14020.6009747682</v>
      </c>
      <c r="IY82" s="0" t="n">
        <f aca="false">$B$71+$C$71*IY80</f>
        <v>16828.5403288049</v>
      </c>
      <c r="IZ82" s="0" t="n">
        <f aca="false">$B$71+$C$71*IZ80</f>
        <v>15950.7715984605</v>
      </c>
      <c r="JA82" s="0" t="n">
        <f aca="false">$B$71+$C$71*JA80</f>
        <v>11623.5466695999</v>
      </c>
      <c r="JB82" s="0" t="n">
        <f aca="false">$B$71+$C$71*JB80</f>
        <v>14421.5463889205</v>
      </c>
      <c r="JC82" s="0" t="n">
        <f aca="false">$B$71+$C$71*JC80</f>
        <v>12578.4275168709</v>
      </c>
      <c r="JD82" s="0" t="n">
        <f aca="false">$B$71+$C$71*JD80</f>
        <v>13320.4924095975</v>
      </c>
      <c r="JE82" s="0" t="n">
        <f aca="false">$B$71+$C$71*JE80</f>
        <v>14878.7536881284</v>
      </c>
      <c r="JF82" s="0" t="n">
        <f aca="false">$B$71+$C$71*JF80</f>
        <v>16349.2815476928</v>
      </c>
      <c r="JG82" s="0" t="n">
        <f aca="false">$B$71+$C$71*JG80</f>
        <v>16639.3543690102</v>
      </c>
      <c r="JH82" s="0" t="n">
        <f aca="false">$B$71+$C$71*JH80</f>
        <v>12913.8757551933</v>
      </c>
      <c r="JI82" s="0" t="n">
        <f aca="false">$B$71+$C$71*JI80</f>
        <v>14763.1264497631</v>
      </c>
      <c r="JJ82" s="0" t="n">
        <f aca="false">$B$71+$C$71*JJ80</f>
        <v>14037.732694144</v>
      </c>
      <c r="JK82" s="0" t="n">
        <f aca="false">$B$71+$C$71*JK80</f>
        <v>12799.8561654658</v>
      </c>
      <c r="JL82" s="0" t="n">
        <f aca="false">$B$71+$C$71*JL80</f>
        <v>14808.1284734478</v>
      </c>
      <c r="JM82" s="0" t="n">
        <f aca="false">$B$71+$C$71*JM80</f>
        <v>15290.352231803</v>
      </c>
      <c r="JN82" s="0" t="n">
        <f aca="false">$B$71+$C$71*JN80</f>
        <v>14755.0352486767</v>
      </c>
      <c r="JO82" s="0" t="n">
        <f aca="false">$B$71+$C$71*JO80</f>
        <v>14238.0332807868</v>
      </c>
      <c r="JP82" s="0" t="n">
        <f aca="false">$B$71+$C$71*JP80</f>
        <v>14783.0129264342</v>
      </c>
      <c r="JQ82" s="0" t="n">
        <f aca="false">$B$71+$C$71*JQ80</f>
        <v>12402.0936468166</v>
      </c>
      <c r="JR82" s="0" t="n">
        <f aca="false">$B$71+$C$71*JR80</f>
        <v>11167.480336376</v>
      </c>
      <c r="JS82" s="0" t="n">
        <f aca="false">$B$71+$C$71*JS80</f>
        <v>11919.9978754853</v>
      </c>
      <c r="JT82" s="0" t="n">
        <f aca="false">$B$71+$C$71*JT80</f>
        <v>13831.8008726725</v>
      </c>
      <c r="JU82" s="0" t="n">
        <f aca="false">$B$71+$C$71*JU80</f>
        <v>13522.5889115789</v>
      </c>
      <c r="JV82" s="0" t="n">
        <f aca="false">$B$71+$C$71*JV80</f>
        <v>16002.4146654048</v>
      </c>
      <c r="JW82" s="0" t="n">
        <f aca="false">$B$71+$C$71*JW80</f>
        <v>19072.2273139189</v>
      </c>
      <c r="JX82" s="0" t="n">
        <f aca="false">$B$71+$C$71*JX80</f>
        <v>12485.2456268462</v>
      </c>
      <c r="JY82" s="0" t="n">
        <f aca="false">$B$71+$C$71*JY80</f>
        <v>15251.3256937004</v>
      </c>
      <c r="JZ82" s="0" t="n">
        <f aca="false">$B$71+$C$71*JZ80</f>
        <v>14640.3071272306</v>
      </c>
      <c r="KA82" s="0" t="n">
        <f aca="false">$B$71+$C$71*KA80</f>
        <v>14950.6847253774</v>
      </c>
      <c r="KB82" s="0" t="n">
        <f aca="false">$B$71+$C$71*KB80</f>
        <v>16327.7331288875</v>
      </c>
      <c r="KC82" s="0" t="n">
        <f aca="false">$B$71+$C$71*KC80</f>
        <v>14579.1638595937</v>
      </c>
      <c r="KD82" s="0" t="n">
        <f aca="false">$B$71+$C$71*KD80</f>
        <v>14040.5608972635</v>
      </c>
      <c r="KE82" s="0" t="n">
        <f aca="false">$B$71+$C$71*KE80</f>
        <v>14235.354686314</v>
      </c>
      <c r="KF82" s="0" t="n">
        <f aca="false">$B$71+$C$71*KF80</f>
        <v>15313.888641945</v>
      </c>
      <c r="KG82" s="0" t="n">
        <f aca="false">$B$71+$C$71*KG80</f>
        <v>19865.8674884614</v>
      </c>
      <c r="KH82" s="0" t="n">
        <f aca="false">$B$71+$C$71*KH80</f>
        <v>14698.378529263</v>
      </c>
      <c r="KI82" s="0" t="n">
        <f aca="false">$B$71+$C$71*KI80</f>
        <v>13221.9789808152</v>
      </c>
      <c r="KJ82" s="0" t="n">
        <f aca="false">$B$71+$C$71*KJ80</f>
        <v>16326.9215080252</v>
      </c>
      <c r="KK82" s="0" t="n">
        <f aca="false">$B$71+$C$71*KK80</f>
        <v>14092.2719774175</v>
      </c>
      <c r="KL82" s="0" t="n">
        <f aca="false">$B$71+$C$71*KL80</f>
        <v>16611.7604841788</v>
      </c>
      <c r="KM82" s="0" t="n">
        <f aca="false">$B$71+$C$71*KM80</f>
        <v>15419.5369394266</v>
      </c>
      <c r="KN82" s="0" t="n">
        <f aca="false">$B$71+$C$71*KN80</f>
        <v>14108.82267526</v>
      </c>
      <c r="KO82" s="0" t="n">
        <f aca="false">$B$71+$C$71*KO80</f>
        <v>16633.114164726</v>
      </c>
      <c r="KP82" s="0" t="n">
        <f aca="false">$B$71+$C$71*KP80</f>
        <v>13158.6370935776</v>
      </c>
      <c r="KQ82" s="0" t="n">
        <f aca="false">$B$71+$C$71*KQ80</f>
        <v>13989.2353755411</v>
      </c>
      <c r="KR82" s="0" t="n">
        <f aca="false">$B$71+$C$71*KR80</f>
        <v>13747.6288823707</v>
      </c>
      <c r="KS82" s="0" t="n">
        <f aca="false">$B$71+$C$71*KS80</f>
        <v>12789.8925478804</v>
      </c>
      <c r="KT82" s="0" t="n">
        <f aca="false">$B$71+$C$71*KT80</f>
        <v>13945.4998247189</v>
      </c>
      <c r="KU82" s="0" t="n">
        <f aca="false">$B$71+$C$71*KU80</f>
        <v>14088.2037125757</v>
      </c>
      <c r="KV82" s="0" t="n">
        <f aca="false">$B$71+$C$71*KV80</f>
        <v>14389.2991202913</v>
      </c>
      <c r="KW82" s="0" t="n">
        <f aca="false">$B$71+$C$71*KW80</f>
        <v>13263.2482010355</v>
      </c>
      <c r="KX82" s="0" t="n">
        <f aca="false">$B$71+$C$71*KX80</f>
        <v>16001.5457063882</v>
      </c>
      <c r="KY82" s="0" t="n">
        <f aca="false">$B$71+$C$71*KY80</f>
        <v>16088.906506909</v>
      </c>
      <c r="KZ82" s="0" t="n">
        <f aca="false">$B$71+$C$71*KZ80</f>
        <v>12945.0129562214</v>
      </c>
      <c r="LA82" s="0" t="n">
        <f aca="false">$B$71+$C$71*LA80</f>
        <v>16469.8678594041</v>
      </c>
      <c r="LB82" s="0" t="n">
        <f aca="false">$B$71+$C$71*LB80</f>
        <v>19309.2766890457</v>
      </c>
      <c r="LC82" s="0" t="n">
        <f aca="false">$B$71+$C$71*LC80</f>
        <v>16102.2089017048</v>
      </c>
      <c r="LD82" s="0" t="n">
        <f aca="false">$B$71+$C$71*LD80</f>
        <v>11339.0980393852</v>
      </c>
      <c r="LE82" s="0" t="n">
        <f aca="false">$B$71+$C$71*LE80</f>
        <v>13620.3023838662</v>
      </c>
      <c r="LF82" s="0" t="n">
        <f aca="false">$B$71+$C$71*LF80</f>
        <v>12823.8545463456</v>
      </c>
      <c r="LG82" s="0" t="n">
        <f aca="false">$B$71+$C$71*LG80</f>
        <v>16096.0265410805</v>
      </c>
      <c r="LH82" s="0" t="n">
        <f aca="false">$B$71+$C$71*LH80</f>
        <v>12224.8121038991</v>
      </c>
      <c r="LI82" s="0" t="n">
        <f aca="false">$B$71+$C$71*LI80</f>
        <v>16297.2539455502</v>
      </c>
      <c r="LJ82" s="0" t="n">
        <f aca="false">$B$71+$C$71*LJ80</f>
        <v>11683.4121658493</v>
      </c>
      <c r="LK82" s="0" t="n">
        <f aca="false">$B$71+$C$71*LK80</f>
        <v>16449.5970586452</v>
      </c>
      <c r="LL82" s="0" t="n">
        <f aca="false">$B$71+$C$71*LL80</f>
        <v>15617.3897797159</v>
      </c>
      <c r="LM82" s="0" t="n">
        <f aca="false">$B$71+$C$71*LM80</f>
        <v>14914.0157446262</v>
      </c>
      <c r="LN82" s="0" t="n">
        <f aca="false">$B$71+$C$71*LN80</f>
        <v>16949.6648358666</v>
      </c>
      <c r="LO82" s="0" t="n">
        <f aca="false">$B$71+$C$71*LO80</f>
        <v>14165.6406860708</v>
      </c>
      <c r="LP82" s="0" t="n">
        <f aca="false">$B$71+$C$71*LP80</f>
        <v>16232.2090216125</v>
      </c>
      <c r="LQ82" s="0" t="n">
        <f aca="false">$B$71+$C$71*LQ80</f>
        <v>14409.7143578886</v>
      </c>
      <c r="LR82" s="0" t="n">
        <f aca="false">$B$71+$C$71*LR80</f>
        <v>12448.1538245314</v>
      </c>
      <c r="LS82" s="0" t="n">
        <f aca="false">$B$71+$C$71*LS80</f>
        <v>14778.3687188926</v>
      </c>
      <c r="LT82" s="0" t="n">
        <f aca="false">$B$71+$C$71*LT80</f>
        <v>16740.8771313515</v>
      </c>
      <c r="LU82" s="0" t="n">
        <f aca="false">$B$71+$C$71*LU80</f>
        <v>15567.643635826</v>
      </c>
      <c r="LV82" s="0" t="n">
        <f aca="false">$B$71+$C$71*LV80</f>
        <v>12644.2389497312</v>
      </c>
      <c r="LW82" s="0" t="n">
        <f aca="false">$B$71+$C$71*LW80</f>
        <v>16124.5205905216</v>
      </c>
      <c r="LX82" s="0" t="n">
        <f aca="false">$B$71+$C$71*LX80</f>
        <v>14844.993113116</v>
      </c>
      <c r="LY82" s="0" t="n">
        <f aca="false">$B$71+$C$71*LY80</f>
        <v>14400.547296649</v>
      </c>
      <c r="LZ82" s="0" t="n">
        <f aca="false">$B$71+$C$71*LZ80</f>
        <v>14214.1553311939</v>
      </c>
      <c r="MA82" s="0" t="n">
        <f aca="false">$B$71+$C$71*MA80</f>
        <v>15004.9130921365</v>
      </c>
      <c r="MB82" s="0" t="n">
        <f aca="false">$B$71+$C$71*MB80</f>
        <v>17689.6087562602</v>
      </c>
      <c r="MC82" s="0" t="n">
        <f aca="false">$B$71+$C$71*MC80</f>
        <v>15784.3615011936</v>
      </c>
      <c r="MD82" s="0" t="n">
        <f aca="false">$B$71+$C$71*MD80</f>
        <v>22064.5872921886</v>
      </c>
      <c r="ME82" s="0" t="n">
        <f aca="false">$B$71+$C$71*ME80</f>
        <v>16407.3703546744</v>
      </c>
      <c r="MF82" s="0" t="n">
        <f aca="false">$B$71+$C$71*MF80</f>
        <v>13861.5332907541</v>
      </c>
      <c r="MG82" s="0" t="n">
        <f aca="false">$B$71+$C$71*MG80</f>
        <v>12428.2804276167</v>
      </c>
      <c r="MH82" s="0" t="n">
        <f aca="false">$B$71+$C$71*MH80</f>
        <v>14539.8574551989</v>
      </c>
      <c r="MI82" s="0" t="n">
        <f aca="false">$B$71+$C$71*MI80</f>
        <v>14530.3529091498</v>
      </c>
      <c r="MJ82" s="0" t="n">
        <f aca="false">$B$71+$C$71*MJ80</f>
        <v>15994.9695235663</v>
      </c>
      <c r="MK82" s="0" t="n">
        <f aca="false">$B$71+$C$71*MK80</f>
        <v>16740.2101205862</v>
      </c>
      <c r="ML82" s="0" t="n">
        <f aca="false">$B$71+$C$71*ML80</f>
        <v>16570.7292049851</v>
      </c>
      <c r="MM82" s="0" t="n">
        <f aca="false">$B$71+$C$71*MM80</f>
        <v>13222.4804118485</v>
      </c>
      <c r="MN82" s="0" t="n">
        <f aca="false">$B$71+$C$71*MN80</f>
        <v>16580.6909534774</v>
      </c>
      <c r="MO82" s="0" t="n">
        <f aca="false">$B$71+$C$71*MO80</f>
        <v>17029.0988326465</v>
      </c>
      <c r="MP82" s="0" t="n">
        <f aca="false">$B$71+$C$71*MP80</f>
        <v>17592.549569892</v>
      </c>
      <c r="MQ82" s="0" t="n">
        <f aca="false">$B$71+$C$71*MQ80</f>
        <v>11144.0423685386</v>
      </c>
      <c r="MR82" s="0" t="n">
        <f aca="false">$B$71+$C$71*MR80</f>
        <v>15444.094034687</v>
      </c>
      <c r="MS82" s="0" t="n">
        <f aca="false">$B$71+$C$71*MS80</f>
        <v>16415.0662289976</v>
      </c>
      <c r="MT82" s="0" t="n">
        <f aca="false">$B$71+$C$71*MT80</f>
        <v>14888.0690007296</v>
      </c>
      <c r="MU82" s="0" t="n">
        <f aca="false">$B$71+$C$71*MU80</f>
        <v>14440.0882403244</v>
      </c>
      <c r="MV82" s="0" t="n">
        <f aca="false">$B$71+$C$71*MV80</f>
        <v>18018.070879187</v>
      </c>
      <c r="MW82" s="0" t="n">
        <f aca="false">$B$71+$C$71*MW80</f>
        <v>14534.2750156641</v>
      </c>
      <c r="MX82" s="0" t="n">
        <f aca="false">$B$71+$C$71*MX80</f>
        <v>12711.906563156</v>
      </c>
      <c r="MY82" s="0" t="n">
        <f aca="false">$B$71+$C$71*MY80</f>
        <v>15684.718151623</v>
      </c>
      <c r="MZ82" s="0" t="n">
        <f aca="false">$B$71+$C$71*MZ80</f>
        <v>15246.0347894004</v>
      </c>
      <c r="NA82" s="0" t="n">
        <f aca="false">$B$71+$C$71*NA80</f>
        <v>18068.247641486</v>
      </c>
      <c r="NB82" s="0" t="n">
        <f aca="false">$B$71+$C$71*NB80</f>
        <v>17839.5608679171</v>
      </c>
      <c r="NC82" s="0" t="n">
        <f aca="false">$B$71+$C$71*NC80</f>
        <v>16245.3144341983</v>
      </c>
      <c r="ND82" s="0" t="n">
        <f aca="false">$B$71+$C$71*ND80</f>
        <v>16226.5523717942</v>
      </c>
      <c r="NE82" s="0" t="n">
        <f aca="false">$B$71+$C$71*NE80</f>
        <v>19242.0865407895</v>
      </c>
      <c r="NF82" s="0" t="n">
        <f aca="false">$B$71+$C$71*NF80</f>
        <v>15278.0301909456</v>
      </c>
      <c r="NG82" s="0" t="n">
        <f aca="false">$B$71+$C$71*NG80</f>
        <v>13892.9944527781</v>
      </c>
      <c r="NH82" s="0" t="n">
        <f aca="false">$B$71+$C$71*NH80</f>
        <v>14505.1536348126</v>
      </c>
      <c r="NI82" s="0" t="n">
        <f aca="false">$B$71+$C$71*NI80</f>
        <v>11689.2644308642</v>
      </c>
      <c r="NJ82" s="0" t="n">
        <f aca="false">$B$71+$C$71*NJ80</f>
        <v>14562.6795919655</v>
      </c>
      <c r="NK82" s="0" t="n">
        <f aca="false">$B$71+$C$71*NK80</f>
        <v>16303.9557117482</v>
      </c>
      <c r="NL82" s="0" t="n">
        <f aca="false">$B$71+$C$71*NL80</f>
        <v>16726.0937695589</v>
      </c>
      <c r="NM82" s="0" t="n">
        <f aca="false">$B$71+$C$71*NM80</f>
        <v>17556.3073689015</v>
      </c>
      <c r="NN82" s="0" t="n">
        <f aca="false">$B$71+$C$71*NN80</f>
        <v>17560.5249555057</v>
      </c>
      <c r="NO82" s="0" t="n">
        <f aca="false">$B$71+$C$71*NO80</f>
        <v>12515.0063291023</v>
      </c>
      <c r="NP82" s="0" t="n">
        <f aca="false">$B$71+$C$71*NP80</f>
        <v>16532.8245409632</v>
      </c>
      <c r="NQ82" s="0" t="n">
        <f aca="false">$B$71+$C$71*NQ80</f>
        <v>14176.7654591025</v>
      </c>
      <c r="NR82" s="0" t="n">
        <f aca="false">$B$71+$C$71*NR80</f>
        <v>16178.4351364701</v>
      </c>
      <c r="NS82" s="0" t="n">
        <f aca="false">$B$71+$C$71*NS80</f>
        <v>13064.7303556176</v>
      </c>
      <c r="NT82" s="0" t="n">
        <f aca="false">$B$71+$C$71*NT80</f>
        <v>9798.18516181632</v>
      </c>
      <c r="NU82" s="0" t="n">
        <f aca="false">$B$71+$C$71*NU80</f>
        <v>12070.5128783252</v>
      </c>
      <c r="NV82" s="0" t="n">
        <f aca="false">$B$71+$C$71*NV80</f>
        <v>14501.2286705361</v>
      </c>
      <c r="NW82" s="0" t="n">
        <f aca="false">$B$71+$C$71*NW80</f>
        <v>13738.8209759737</v>
      </c>
      <c r="NX82" s="0" t="n">
        <f aca="false">$B$71+$C$71*NX80</f>
        <v>14514.5873856392</v>
      </c>
      <c r="NY82" s="0" t="n">
        <f aca="false">$B$71+$C$71*NY80</f>
        <v>15135.3593904258</v>
      </c>
      <c r="NZ82" s="0" t="n">
        <f aca="false">$B$71+$C$71*NZ80</f>
        <v>16132.6964021435</v>
      </c>
      <c r="OA82" s="0" t="n">
        <f aca="false">$B$71+$C$71*OA80</f>
        <v>16261.3125195096</v>
      </c>
      <c r="OB82" s="0" t="n">
        <f aca="false">$B$71+$C$71*OB80</f>
        <v>15276.1721439542</v>
      </c>
      <c r="OC82" s="0" t="n">
        <f aca="false">$B$71+$C$71*OC80</f>
        <v>15420.325101949</v>
      </c>
      <c r="OD82" s="0" t="n">
        <f aca="false">$B$71+$C$71*OD80</f>
        <v>15452.2046105441</v>
      </c>
      <c r="OE82" s="0" t="n">
        <f aca="false">$B$71+$C$71*OE80</f>
        <v>14478.3918684771</v>
      </c>
      <c r="OF82" s="0" t="n">
        <f aca="false">$B$71+$C$71*OF80</f>
        <v>15672.9118190633</v>
      </c>
      <c r="OG82" s="0" t="n">
        <f aca="false">$B$71+$C$71*OG80</f>
        <v>17320.0959395504</v>
      </c>
      <c r="OH82" s="0" t="n">
        <f aca="false">$B$71+$C$71*OH80</f>
        <v>14213.4205103806</v>
      </c>
      <c r="OI82" s="0" t="n">
        <f aca="false">$B$71+$C$71*OI80</f>
        <v>14777.4460152247</v>
      </c>
      <c r="OJ82" s="0" t="n">
        <f aca="false">$B$71+$C$71*OJ80</f>
        <v>11374.2757553959</v>
      </c>
      <c r="OK82" s="0" t="n">
        <f aca="false">$B$71+$C$71*OK80</f>
        <v>15346.8087413167</v>
      </c>
      <c r="OL82" s="0" t="n">
        <f aca="false">$B$71+$C$71*OL80</f>
        <v>15662.2642514734</v>
      </c>
      <c r="OM82" s="0" t="n">
        <f aca="false">$B$71+$C$71*OM80</f>
        <v>13799.3291109823</v>
      </c>
      <c r="ON82" s="0" t="n">
        <f aca="false">$B$71+$C$71*ON80</f>
        <v>16526.0970716862</v>
      </c>
      <c r="OO82" s="0" t="n">
        <f aca="false">$B$71+$C$71*OO80</f>
        <v>18487.4121497201</v>
      </c>
      <c r="OP82" s="0" t="n">
        <f aca="false">$B$71+$C$71*OP80</f>
        <v>14342.0638716989</v>
      </c>
      <c r="OQ82" s="0" t="n">
        <f aca="false">$B$71+$C$71*OQ80</f>
        <v>16035.8478529978</v>
      </c>
      <c r="OR82" s="0" t="n">
        <f aca="false">$B$71+$C$71*OR80</f>
        <v>14651.6938391328</v>
      </c>
      <c r="OS82" s="0" t="n">
        <f aca="false">$B$71+$C$71*OS80</f>
        <v>11925.1758178525</v>
      </c>
      <c r="OT82" s="0" t="n">
        <f aca="false">$B$71+$C$71*OT80</f>
        <v>17968.1618167202</v>
      </c>
      <c r="OU82" s="0" t="n">
        <f aca="false">$B$71+$C$71*OU80</f>
        <v>14994.1962294067</v>
      </c>
      <c r="OV82" s="0" t="n">
        <f aca="false">$B$71+$C$71*OV80</f>
        <v>14007.7391774842</v>
      </c>
      <c r="OW82" s="0" t="n">
        <f aca="false">$B$71+$C$71*OW80</f>
        <v>14744.6820552043</v>
      </c>
      <c r="OX82" s="0" t="n">
        <f aca="false">$B$71+$C$71*OX80</f>
        <v>13354.7972240616</v>
      </c>
      <c r="OY82" s="0" t="n">
        <f aca="false">$B$71+$C$71*OY80</f>
        <v>15934.1893789811</v>
      </c>
      <c r="OZ82" s="0" t="n">
        <f aca="false">$B$71+$C$71*OZ80</f>
        <v>18056.8191047493</v>
      </c>
      <c r="PA82" s="0" t="n">
        <f aca="false">$B$71+$C$71*PA80</f>
        <v>11124.6489172709</v>
      </c>
      <c r="PB82" s="0" t="n">
        <f aca="false">$B$71+$C$71*PB80</f>
        <v>15974.8667855472</v>
      </c>
      <c r="PC82" s="0" t="n">
        <f aca="false">$B$71+$C$71*PC80</f>
        <v>16673.0060208438</v>
      </c>
      <c r="PD82" s="0" t="n">
        <f aca="false">$B$71+$C$71*PD80</f>
        <v>13499.62752746</v>
      </c>
      <c r="PE82" s="0" t="n">
        <f aca="false">$B$71+$C$71*PE80</f>
        <v>16021.9346178562</v>
      </c>
      <c r="PF82" s="0" t="n">
        <f aca="false">$B$71+$C$71*PF80</f>
        <v>15319.8548293775</v>
      </c>
      <c r="PG82" s="0" t="n">
        <f aca="false">$B$71+$C$71*PG80</f>
        <v>16344.8663325536</v>
      </c>
      <c r="PH82" s="0" t="n">
        <f aca="false">$B$71+$C$71*PH80</f>
        <v>15028.569816601</v>
      </c>
      <c r="PI82" s="0" t="n">
        <f aca="false">$B$71+$C$71*PI80</f>
        <v>13029.9550443807</v>
      </c>
      <c r="PJ82" s="0" t="n">
        <f aca="false">$B$71+$C$71*PJ80</f>
        <v>13221.0966731211</v>
      </c>
      <c r="PK82" s="0" t="n">
        <f aca="false">$B$71+$C$71*PK80</f>
        <v>16536.2397090715</v>
      </c>
      <c r="PL82" s="0" t="n">
        <f aca="false">$B$71+$C$71*PL80</f>
        <v>16242.5606365061</v>
      </c>
      <c r="PM82" s="0" t="n">
        <f aca="false">$B$71+$C$71*PM80</f>
        <v>14030.7746130331</v>
      </c>
      <c r="PN82" s="0" t="n">
        <f aca="false">$B$71+$C$71*PN80</f>
        <v>18376.8397460733</v>
      </c>
      <c r="PO82" s="0" t="n">
        <f aca="false">$B$71+$C$71*PO80</f>
        <v>15893.4746257491</v>
      </c>
      <c r="PP82" s="0" t="n">
        <f aca="false">$B$71+$C$71*PP80</f>
        <v>14384.901902016</v>
      </c>
      <c r="PQ82" s="0" t="n">
        <f aca="false">$B$71+$C$71*PQ80</f>
        <v>16365.4473025669</v>
      </c>
      <c r="PR82" s="0" t="n">
        <f aca="false">$B$71+$C$71*PR80</f>
        <v>16979.0689611666</v>
      </c>
      <c r="PS82" s="0" t="n">
        <f aca="false">$B$71+$C$71*PS80</f>
        <v>19069.5715307491</v>
      </c>
      <c r="PT82" s="0" t="n">
        <f aca="false">$B$71+$C$71*PT80</f>
        <v>14321.4187872378</v>
      </c>
      <c r="PU82" s="0" t="n">
        <f aca="false">$B$71+$C$71*PU80</f>
        <v>15786.1898752865</v>
      </c>
      <c r="PV82" s="0" t="n">
        <f aca="false">$B$71+$C$71*PV80</f>
        <v>15762.1830274543</v>
      </c>
      <c r="PW82" s="0" t="n">
        <f aca="false">$B$71+$C$71*PW80</f>
        <v>13198.2886564775</v>
      </c>
      <c r="PX82" s="0" t="n">
        <f aca="false">$B$71+$C$71*PX80</f>
        <v>18155.2673899464</v>
      </c>
      <c r="PY82" s="0" t="n">
        <f aca="false">$B$71+$C$71*PY80</f>
        <v>12029.0623562712</v>
      </c>
      <c r="PZ82" s="0" t="n">
        <f aca="false">$B$71+$C$71*PZ80</f>
        <v>12426.7840306163</v>
      </c>
      <c r="QA82" s="0" t="n">
        <f aca="false">$B$71+$C$71*QA80</f>
        <v>15420.9171386021</v>
      </c>
      <c r="QB82" s="0" t="n">
        <f aca="false">$B$71+$C$71*QB80</f>
        <v>13383.896244203</v>
      </c>
      <c r="QC82" s="0" t="n">
        <f aca="false">$B$71+$C$71*QC80</f>
        <v>16817.8296347858</v>
      </c>
      <c r="QD82" s="0" t="n">
        <f aca="false">$B$71+$C$71*QD80</f>
        <v>14544.9135649599</v>
      </c>
      <c r="QE82" s="0" t="n">
        <f aca="false">$B$71+$C$71*QE80</f>
        <v>16147.2645116751</v>
      </c>
      <c r="QF82" s="0" t="n">
        <f aca="false">$B$71+$C$71*QF80</f>
        <v>17626.5872175626</v>
      </c>
      <c r="QG82" s="0" t="n">
        <f aca="false">$B$71+$C$71*QG80</f>
        <v>16222.4065788791</v>
      </c>
      <c r="QH82" s="0" t="n">
        <f aca="false">$B$71+$C$71*QH80</f>
        <v>13991.6725997517</v>
      </c>
      <c r="QI82" s="0" t="n">
        <f aca="false">$B$71+$C$71*QI80</f>
        <v>14573.872824777</v>
      </c>
      <c r="QJ82" s="0" t="n">
        <f aca="false">$B$71+$C$71*QJ80</f>
        <v>12715.2590586157</v>
      </c>
      <c r="QK82" s="0" t="n">
        <f aca="false">$B$71+$C$71*QK80</f>
        <v>14621.1254093607</v>
      </c>
      <c r="QL82" s="0" t="n">
        <f aca="false">$B$71+$C$71*QL80</f>
        <v>11781.3019069726</v>
      </c>
      <c r="QM82" s="0" t="n">
        <f aca="false">$B$71+$C$71*QM80</f>
        <v>14825.2378399284</v>
      </c>
      <c r="QN82" s="0" t="n">
        <f aca="false">$B$71+$C$71*QN80</f>
        <v>15582.2932664611</v>
      </c>
      <c r="QO82" s="0" t="n">
        <f aca="false">$B$71+$C$71*QO80</f>
        <v>14905.0872237857</v>
      </c>
      <c r="QP82" s="0" t="n">
        <f aca="false">$B$71+$C$71*QP80</f>
        <v>11922.7973309192</v>
      </c>
      <c r="QQ82" s="0" t="n">
        <f aca="false">$B$71+$C$71*QQ80</f>
        <v>15294.5516475111</v>
      </c>
      <c r="QR82" s="0" t="n">
        <f aca="false">$B$71+$C$71*QR80</f>
        <v>13634.1047847315</v>
      </c>
      <c r="QS82" s="0" t="n">
        <f aca="false">$B$71+$C$71*QS80</f>
        <v>12089.8138684433</v>
      </c>
      <c r="QT82" s="0" t="n">
        <f aca="false">$B$71+$C$71*QT80</f>
        <v>13116.775732308</v>
      </c>
      <c r="QU82" s="0" t="n">
        <f aca="false">$B$71+$C$71*QU80</f>
        <v>15033.5526977234</v>
      </c>
      <c r="QV82" s="0" t="n">
        <f aca="false">$B$71+$C$71*QV80</f>
        <v>15534.6050744686</v>
      </c>
      <c r="QW82" s="0" t="n">
        <f aca="false">$B$71+$C$71*QW80</f>
        <v>17025.8978520172</v>
      </c>
      <c r="QX82" s="0" t="n">
        <f aca="false">$B$71+$C$71*QX80</f>
        <v>21069.1693438289</v>
      </c>
      <c r="QY82" s="0" t="n">
        <f aca="false">$B$71+$C$71*QY80</f>
        <v>17280.3917208204</v>
      </c>
      <c r="QZ82" s="0" t="n">
        <f aca="false">$B$71+$C$71*QZ80</f>
        <v>14512.1874376232</v>
      </c>
      <c r="RA82" s="0" t="n">
        <f aca="false">$B$71+$C$71*RA80</f>
        <v>16944.9343332057</v>
      </c>
      <c r="RB82" s="0" t="n">
        <f aca="false">$B$71+$C$71*RB80</f>
        <v>14805.5097825837</v>
      </c>
      <c r="RC82" s="0" t="n">
        <f aca="false">$B$71+$C$71*RC80</f>
        <v>13448.96534949</v>
      </c>
      <c r="RD82" s="0" t="n">
        <f aca="false">$B$71+$C$71*RD80</f>
        <v>12795.9195261713</v>
      </c>
      <c r="RE82" s="0" t="n">
        <f aca="false">$B$71+$C$71*RE80</f>
        <v>13521.8828874893</v>
      </c>
      <c r="RF82" s="0" t="n">
        <f aca="false">$B$71+$C$71*RF80</f>
        <v>13978.3585667182</v>
      </c>
      <c r="RG82" s="0" t="n">
        <f aca="false">$B$71+$C$71*RG80</f>
        <v>13075.9654118476</v>
      </c>
      <c r="RH82" s="0" t="n">
        <f aca="false">$B$71+$C$71*RH80</f>
        <v>14198.1704479501</v>
      </c>
      <c r="RI82" s="0" t="n">
        <f aca="false">$B$71+$C$71*RI80</f>
        <v>13341.7898138097</v>
      </c>
      <c r="RJ82" s="0" t="n">
        <f aca="false">$B$71+$C$71*RJ80</f>
        <v>12803.4609443554</v>
      </c>
      <c r="RK82" s="0" t="n">
        <f aca="false">$B$71+$C$71*RK80</f>
        <v>18105.0614035411</v>
      </c>
      <c r="RL82" s="0" t="n">
        <f aca="false">$B$71+$C$71*RL80</f>
        <v>18317.236548692</v>
      </c>
      <c r="RM82" s="0" t="n">
        <f aca="false">$B$71+$C$71*RM80</f>
        <v>11993.5911436858</v>
      </c>
      <c r="RN82" s="0" t="n">
        <f aca="false">$B$71+$C$71*RN80</f>
        <v>13920.7454614426</v>
      </c>
      <c r="RO82" s="0" t="n">
        <f aca="false">$B$71+$C$71*RO80</f>
        <v>17823.5082220479</v>
      </c>
      <c r="RP82" s="0" t="n">
        <f aca="false">$B$71+$C$71*RP80</f>
        <v>14203.358718018</v>
      </c>
      <c r="RQ82" s="0" t="n">
        <f aca="false">$B$71+$C$71*RQ80</f>
        <v>16081.7065396773</v>
      </c>
      <c r="RR82" s="0" t="n">
        <f aca="false">$B$71+$C$71*RR80</f>
        <v>17285.5058351299</v>
      </c>
      <c r="RS82" s="0" t="n">
        <f aca="false">$B$71+$C$71*RS80</f>
        <v>14925.1748527824</v>
      </c>
      <c r="RT82" s="0" t="n">
        <f aca="false">$B$71+$C$71*RT80</f>
        <v>13906.0829314105</v>
      </c>
      <c r="RU82" s="0" t="n">
        <f aca="false">$B$71+$C$71*RU80</f>
        <v>16758.1355859518</v>
      </c>
      <c r="RV82" s="0" t="n">
        <f aca="false">$B$71+$C$71*RV80</f>
        <v>18083.431051543</v>
      </c>
      <c r="RW82" s="0" t="n">
        <f aca="false">$B$71+$C$71*RW80</f>
        <v>15416.7452436042</v>
      </c>
      <c r="RX82" s="0" t="n">
        <f aca="false">$B$71+$C$71*RX80</f>
        <v>16767.9969635186</v>
      </c>
      <c r="RY82" s="0" t="n">
        <f aca="false">$B$71+$C$71*RY80</f>
        <v>14004.3616077564</v>
      </c>
      <c r="RZ82" s="0" t="n">
        <f aca="false">$B$71+$C$71*RZ80</f>
        <v>14428.8497378006</v>
      </c>
      <c r="SA82" s="0" t="n">
        <f aca="false">$B$71+$C$71*SA80</f>
        <v>16421.2794713756</v>
      </c>
      <c r="SB82" s="0" t="n">
        <f aca="false">$B$71+$C$71*SB80</f>
        <v>14703.4151910229</v>
      </c>
      <c r="SC82" s="0" t="n">
        <f aca="false">$B$71+$C$71*SC80</f>
        <v>17682.424058498</v>
      </c>
      <c r="SD82" s="0" t="n">
        <f aca="false">$B$71+$C$71*SD80</f>
        <v>13101.7975774285</v>
      </c>
      <c r="SE82" s="0" t="n">
        <f aca="false">$B$71+$C$71*SE80</f>
        <v>14042.0738935765</v>
      </c>
      <c r="SF82" s="0" t="n">
        <f aca="false">$B$71+$C$71*SF80</f>
        <v>15041.7479650408</v>
      </c>
      <c r="SG82" s="0" t="n">
        <f aca="false">$B$71+$C$71*SG80</f>
        <v>14426.891302209</v>
      </c>
      <c r="SH82" s="0" t="n">
        <f aca="false">$B$71+$C$71*SH80</f>
        <v>16972.899631047</v>
      </c>
      <c r="SI82" s="0" t="n">
        <f aca="false">$B$71+$C$71*SI80</f>
        <v>14734.0149174818</v>
      </c>
      <c r="SJ82" s="0" t="n">
        <f aca="false">$B$71+$C$71*SJ80</f>
        <v>17111.5030401742</v>
      </c>
      <c r="SK82" s="0" t="n">
        <f aca="false">$B$71+$C$71*SK80</f>
        <v>13511.839818216</v>
      </c>
      <c r="SL82" s="0" t="n">
        <f aca="false">$B$71+$C$71*SL80</f>
        <v>14435.5199133471</v>
      </c>
      <c r="SM82" s="0" t="n">
        <f aca="false">$B$71+$C$71*SM80</f>
        <v>15311.9861116623</v>
      </c>
      <c r="SN82" s="0" t="n">
        <f aca="false">$B$71+$C$71*SN80</f>
        <v>11607.0563686821</v>
      </c>
      <c r="SO82" s="0" t="n">
        <f aca="false">$B$71+$C$71*SO80</f>
        <v>13842.4827542368</v>
      </c>
      <c r="SP82" s="0" t="n">
        <f aca="false">$B$71+$C$71*SP80</f>
        <v>13610.4155841487</v>
      </c>
      <c r="SQ82" s="0" t="n">
        <f aca="false">$B$71+$C$71*SQ80</f>
        <v>16220.8275118504</v>
      </c>
      <c r="SR82" s="0" t="n">
        <f aca="false">$B$71+$C$71*SR80</f>
        <v>13194.7212155966</v>
      </c>
      <c r="SS82" s="0" t="n">
        <f aca="false">$B$71+$C$71*SS80</f>
        <v>15740.1998699606</v>
      </c>
      <c r="ST82" s="0" t="n">
        <f aca="false">$B$71+$C$71*ST80</f>
        <v>15212.1457599224</v>
      </c>
      <c r="SU82" s="0" t="n">
        <f aca="false">$B$71+$C$71*SU80</f>
        <v>12480.3607062068</v>
      </c>
      <c r="SV82" s="0" t="n">
        <f aca="false">$B$71+$C$71*SV80</f>
        <v>13251.8896905865</v>
      </c>
      <c r="SW82" s="0" t="n">
        <f aca="false">$B$71+$C$71*SW80</f>
        <v>18123.4259550518</v>
      </c>
      <c r="SX82" s="0" t="n">
        <f aca="false">$B$71+$C$71*SX80</f>
        <v>16948.027171797</v>
      </c>
      <c r="SY82" s="0" t="n">
        <f aca="false">$B$71+$C$71*SY80</f>
        <v>16200.7508657881</v>
      </c>
      <c r="SZ82" s="0" t="n">
        <f aca="false">$B$71+$C$71*SZ80</f>
        <v>17607.8324654078</v>
      </c>
      <c r="TA82" s="0" t="n">
        <f aca="false">$B$71+$C$71*TA80</f>
        <v>12848.9228394821</v>
      </c>
      <c r="TB82" s="0" t="n">
        <f aca="false">$B$71+$C$71*TB80</f>
        <v>15176.0499698726</v>
      </c>
      <c r="TC82" s="0" t="n">
        <f aca="false">$B$71+$C$71*TC80</f>
        <v>13593.1529849414</v>
      </c>
      <c r="TD82" s="0" t="n">
        <f aca="false">$B$71+$C$71*TD80</f>
        <v>18008.977197214</v>
      </c>
      <c r="TE82" s="0" t="n">
        <f aca="false">$B$71+$C$71*TE80</f>
        <v>10700.9680228036</v>
      </c>
      <c r="TF82" s="0" t="n">
        <f aca="false">$B$71+$C$71*TF80</f>
        <v>15272.2146423091</v>
      </c>
      <c r="TG82" s="0" t="n">
        <f aca="false">$B$71+$C$71*TG80</f>
        <v>14841.6062669596</v>
      </c>
      <c r="TH82" s="0" t="n">
        <f aca="false">$B$71+$C$71*TH80</f>
        <v>14229.4896736012</v>
      </c>
      <c r="TI82" s="0" t="n">
        <f aca="false">$B$71+$C$71*TI80</f>
        <v>18010.2808114719</v>
      </c>
      <c r="TJ82" s="0" t="n">
        <f aca="false">$B$71+$C$71*TJ80</f>
        <v>12156.9347745006</v>
      </c>
      <c r="TK82" s="0" t="n">
        <f aca="false">$B$71+$C$71*TK80</f>
        <v>16627.1754857278</v>
      </c>
      <c r="TL82" s="0" t="n">
        <f aca="false">$B$71+$C$71*TL80</f>
        <v>10308.0294062133</v>
      </c>
      <c r="TM82" s="0" t="n">
        <f aca="false">$B$71+$C$71*TM80</f>
        <v>16261.8560711712</v>
      </c>
      <c r="TN82" s="0" t="n">
        <f aca="false">$B$71+$C$71*TN80</f>
        <v>15414.1659686005</v>
      </c>
      <c r="TO82" s="0" t="n">
        <f aca="false">$B$71+$C$71*TO80</f>
        <v>15954.2825320976</v>
      </c>
      <c r="TP82" s="0" t="n">
        <f aca="false">$B$71+$C$71*TP80</f>
        <v>14114.1732640022</v>
      </c>
      <c r="TQ82" s="0" t="n">
        <f aca="false">$B$71+$C$71*TQ80</f>
        <v>11223.3699916179</v>
      </c>
      <c r="TR82" s="0" t="n">
        <f aca="false">$B$71+$C$71*TR80</f>
        <v>18587.8787127608</v>
      </c>
      <c r="TS82" s="0" t="n">
        <f aca="false">$B$71+$C$71*TS80</f>
        <v>17500.943586393</v>
      </c>
      <c r="TT82" s="0" t="n">
        <f aca="false">$B$71+$C$71*TT80</f>
        <v>14496.9404792857</v>
      </c>
      <c r="TU82" s="0" t="n">
        <f aca="false">$B$71+$C$71*TU80</f>
        <v>15732.6296623682</v>
      </c>
      <c r="TV82" s="0" t="n">
        <f aca="false">$B$71+$C$71*TV80</f>
        <v>15493.5423519055</v>
      </c>
      <c r="TW82" s="0" t="n">
        <f aca="false">$B$71+$C$71*TW80</f>
        <v>16103.8507507982</v>
      </c>
      <c r="TX82" s="0" t="n">
        <f aca="false">$B$71+$C$71*TX80</f>
        <v>16383.9654345177</v>
      </c>
      <c r="TY82" s="0" t="n">
        <f aca="false">$B$71+$C$71*TY80</f>
        <v>19330.5018744038</v>
      </c>
      <c r="TZ82" s="0" t="n">
        <f aca="false">$B$71+$C$71*TZ80</f>
        <v>13899.1153553767</v>
      </c>
      <c r="UA82" s="0" t="n">
        <f aca="false">$B$71+$C$71*UA80</f>
        <v>14494.0780393518</v>
      </c>
      <c r="UB82" s="0" t="n">
        <f aca="false">$B$71+$C$71*UB80</f>
        <v>16594.6925884043</v>
      </c>
      <c r="UC82" s="0" t="n">
        <f aca="false">$B$71+$C$71*UC80</f>
        <v>12134.5199161914</v>
      </c>
      <c r="UD82" s="0" t="n">
        <f aca="false">$B$71+$C$71*UD80</f>
        <v>12570.7872977298</v>
      </c>
      <c r="UE82" s="0" t="n">
        <f aca="false">$B$71+$C$71*UE80</f>
        <v>15023.2613891491</v>
      </c>
      <c r="UF82" s="0" t="n">
        <f aca="false">$B$71+$C$71*UF80</f>
        <v>14658.7230398618</v>
      </c>
      <c r="UG82" s="0" t="n">
        <f aca="false">$B$71+$C$71*UG80</f>
        <v>15016.4724614252</v>
      </c>
      <c r="UH82" s="0" t="n">
        <f aca="false">$B$71+$C$71*UH80</f>
        <v>14659.1878756361</v>
      </c>
      <c r="UI82" s="0" t="n">
        <f aca="false">$B$71+$C$71*UI80</f>
        <v>15345.0637620512</v>
      </c>
      <c r="UJ82" s="0" t="n">
        <f aca="false">$B$71+$C$71*UJ80</f>
        <v>14445.2374759473</v>
      </c>
      <c r="UK82" s="0" t="n">
        <f aca="false">$B$71+$C$71*UK80</f>
        <v>16468.196097403</v>
      </c>
      <c r="UL82" s="0" t="n">
        <f aca="false">$B$71+$C$71*UL80</f>
        <v>13862.339862868</v>
      </c>
      <c r="UM82" s="0" t="n">
        <f aca="false">$B$71+$C$71*UM80</f>
        <v>11707.8903121218</v>
      </c>
      <c r="UN82" s="0" t="n">
        <f aca="false">$B$71+$C$71*UN80</f>
        <v>14411.8772828481</v>
      </c>
      <c r="UO82" s="0" t="n">
        <f aca="false">$B$71+$C$71*UO80</f>
        <v>16317.3491702989</v>
      </c>
      <c r="UP82" s="0" t="n">
        <f aca="false">$B$71+$C$71*UP80</f>
        <v>13544.5810247967</v>
      </c>
      <c r="UQ82" s="0" t="n">
        <f aca="false">$B$71+$C$71*UQ80</f>
        <v>18293.2892669507</v>
      </c>
      <c r="UR82" s="0" t="n">
        <f aca="false">$B$71+$C$71*UR80</f>
        <v>14708.2188302064</v>
      </c>
      <c r="US82" s="0" t="n">
        <f aca="false">$B$71+$C$71*US80</f>
        <v>16039.7111341611</v>
      </c>
      <c r="UT82" s="0" t="n">
        <f aca="false">$B$71+$C$71*UT80</f>
        <v>15060.0186397219</v>
      </c>
      <c r="UU82" s="0" t="n">
        <f aca="false">$B$71+$C$71*UU80</f>
        <v>14186.694784546</v>
      </c>
      <c r="UV82" s="0" t="n">
        <f aca="false">$B$71+$C$71*UV80</f>
        <v>17277.9195320671</v>
      </c>
      <c r="UW82" s="0" t="n">
        <f aca="false">$B$71+$C$71*UW80</f>
        <v>16666.25174098</v>
      </c>
      <c r="UX82" s="0" t="n">
        <f aca="false">$B$71+$C$71*UX80</f>
        <v>14212.8880859782</v>
      </c>
      <c r="UY82" s="0" t="n">
        <f aca="false">$B$71+$C$71*UY80</f>
        <v>9834.69392083135</v>
      </c>
      <c r="UZ82" s="0" t="n">
        <f aca="false">$B$71+$C$71*UZ80</f>
        <v>12111.6616466704</v>
      </c>
      <c r="VA82" s="0" t="n">
        <f aca="false">$B$71+$C$71*VA80</f>
        <v>13645.7250524034</v>
      </c>
      <c r="VB82" s="0" t="n">
        <f aca="false">$B$71+$C$71*VB80</f>
        <v>11846.4805050715</v>
      </c>
      <c r="VC82" s="0" t="n">
        <f aca="false">$B$71+$C$71*VC80</f>
        <v>13686.9341496181</v>
      </c>
      <c r="VD82" s="0" t="n">
        <f aca="false">$B$71+$C$71*VD80</f>
        <v>15759.3090621071</v>
      </c>
      <c r="VE82" s="0" t="n">
        <f aca="false">$B$71+$C$71*VE80</f>
        <v>13949.2477588861</v>
      </c>
      <c r="VF82" s="0" t="n">
        <f aca="false">$B$71+$C$71*VF80</f>
        <v>17149.9954600637</v>
      </c>
      <c r="VG82" s="0" t="n">
        <f aca="false">$B$71+$C$71*VG80</f>
        <v>16411.3922410403</v>
      </c>
      <c r="VH82" s="0" t="n">
        <f aca="false">$B$71+$C$71*VH80</f>
        <v>18672.8720700059</v>
      </c>
      <c r="VI82" s="0" t="n">
        <f aca="false">$B$71+$C$71*VI80</f>
        <v>12469.4097496124</v>
      </c>
      <c r="VJ82" s="0" t="n">
        <f aca="false">$B$71+$C$71*VJ80</f>
        <v>18104.5290097456</v>
      </c>
      <c r="VK82" s="0" t="n">
        <f aca="false">$B$71+$C$71*VK80</f>
        <v>15844.7645661698</v>
      </c>
      <c r="VL82" s="0" t="n">
        <f aca="false">$B$71+$C$71*VL80</f>
        <v>15544.0401058598</v>
      </c>
      <c r="VM82" s="0" t="n">
        <f aca="false">$B$71+$C$71*VM80</f>
        <v>14840.4546008554</v>
      </c>
      <c r="VN82" s="0" t="n">
        <f aca="false">$B$71+$C$71*VN80</f>
        <v>15826.6652076073</v>
      </c>
      <c r="VO82" s="0" t="n">
        <f aca="false">$B$71+$C$71*VO80</f>
        <v>12072.0992736285</v>
      </c>
      <c r="VP82" s="0" t="n">
        <f aca="false">$B$71+$C$71*VP80</f>
        <v>14214.1890227603</v>
      </c>
      <c r="VQ82" s="0" t="n">
        <f aca="false">$B$71+$C$71*VQ80</f>
        <v>12404.1152814336</v>
      </c>
      <c r="VR82" s="0" t="n">
        <f aca="false">$B$71+$C$71*VR80</f>
        <v>13884.8870918598</v>
      </c>
      <c r="VS82" s="0" t="n">
        <f aca="false">$B$71+$C$71*VS80</f>
        <v>15047.2773615047</v>
      </c>
      <c r="VT82" s="0" t="n">
        <f aca="false">$B$71+$C$71*VT80</f>
        <v>15725.3771734965</v>
      </c>
      <c r="VU82" s="0" t="n">
        <f aca="false">$B$71+$C$71*VU80</f>
        <v>15920.9197077437</v>
      </c>
      <c r="VV82" s="0" t="n">
        <f aca="false">$B$71+$C$71*VV80</f>
        <v>19015.3454583789</v>
      </c>
      <c r="VW82" s="0" t="n">
        <f aca="false">$B$71+$C$71*VW80</f>
        <v>14046.9279844313</v>
      </c>
      <c r="VX82" s="0" t="n">
        <f aca="false">$B$71+$C$71*VX80</f>
        <v>17255.2994647844</v>
      </c>
      <c r="VY82" s="0" t="n">
        <f aca="false">$B$71+$C$71*VY80</f>
        <v>14994.623173082</v>
      </c>
      <c r="VZ82" s="0" t="n">
        <f aca="false">$B$71+$C$71*VZ80</f>
        <v>13697.7112787672</v>
      </c>
      <c r="WA82" s="0" t="n">
        <f aca="false">$B$71+$C$71*WA80</f>
        <v>19644.9619936216</v>
      </c>
      <c r="WB82" s="0" t="n">
        <f aca="false">$B$71+$C$71*WB80</f>
        <v>14052.4918995007</v>
      </c>
      <c r="WC82" s="0" t="n">
        <f aca="false">$B$71+$C$71*WC80</f>
        <v>13401.7172219784</v>
      </c>
      <c r="WD82" s="0" t="n">
        <f aca="false">$B$71+$C$71*WD80</f>
        <v>14097.9824137734</v>
      </c>
      <c r="WE82" s="0" t="n">
        <f aca="false">$B$71+$C$71*WE80</f>
        <v>15820.6753244654</v>
      </c>
      <c r="WF82" s="0" t="n">
        <f aca="false">$B$71+$C$71*WF80</f>
        <v>12223.6898372623</v>
      </c>
      <c r="WG82" s="0" t="n">
        <f aca="false">$B$71+$C$71*WG80</f>
        <v>16279.7197162624</v>
      </c>
      <c r="WH82" s="0" t="n">
        <f aca="false">$B$71+$C$71*WH80</f>
        <v>15694.3152839016</v>
      </c>
      <c r="WI82" s="0" t="n">
        <f aca="false">$B$71+$C$71*WI80</f>
        <v>13523.6552189204</v>
      </c>
      <c r="WJ82" s="0" t="n">
        <f aca="false">$B$71+$C$71*WJ80</f>
        <v>14130.5164766328</v>
      </c>
      <c r="WK82" s="0" t="n">
        <f aca="false">$B$71+$C$71*WK80</f>
        <v>17983.8882291929</v>
      </c>
      <c r="WL82" s="0" t="n">
        <f aca="false">$B$71+$C$71*WL80</f>
        <v>16874.0379297296</v>
      </c>
      <c r="WM82" s="0" t="n">
        <f aca="false">$B$71+$C$71*WM80</f>
        <v>15669.4386333041</v>
      </c>
      <c r="WN82" s="0" t="n">
        <f aca="false">$B$71+$C$71*WN80</f>
        <v>17726.7425875808</v>
      </c>
      <c r="WO82" s="0" t="n">
        <f aca="false">$B$71+$C$71*WO80</f>
        <v>15554.2904648193</v>
      </c>
      <c r="WP82" s="0" t="n">
        <f aca="false">$B$71+$C$71*WP80</f>
        <v>14501.5550430671</v>
      </c>
      <c r="WQ82" s="0" t="n">
        <f aca="false">$B$71+$C$71*WQ80</f>
        <v>17745.8368791787</v>
      </c>
      <c r="WR82" s="0" t="n">
        <f aca="false">$B$71+$C$71*WR80</f>
        <v>16044.3609278906</v>
      </c>
      <c r="WS82" s="0" t="n">
        <f aca="false">$B$71+$C$71*WS80</f>
        <v>9873.83051593517</v>
      </c>
      <c r="WT82" s="0" t="n">
        <f aca="false">$B$71+$C$71*WT80</f>
        <v>15809.4469403362</v>
      </c>
      <c r="WU82" s="0" t="n">
        <f aca="false">$B$71+$C$71*WU80</f>
        <v>14035.1675202624</v>
      </c>
      <c r="WV82" s="0" t="n">
        <f aca="false">$B$71+$C$71*WV80</f>
        <v>14511.1771552165</v>
      </c>
      <c r="WW82" s="0" t="n">
        <f aca="false">$B$71+$C$71*WW80</f>
        <v>13150.107611679</v>
      </c>
      <c r="WX82" s="0" t="n">
        <f aca="false">$B$71+$C$71*WX80</f>
        <v>15549.9278906404</v>
      </c>
      <c r="WY82" s="0" t="n">
        <f aca="false">$B$71+$C$71*WY80</f>
        <v>14204.7466946177</v>
      </c>
      <c r="WZ82" s="0" t="n">
        <f aca="false">$B$71+$C$71*WZ80</f>
        <v>14900.9903108944</v>
      </c>
      <c r="XA82" s="0" t="n">
        <f aca="false">$B$71+$C$71*XA80</f>
        <v>14438.9916043159</v>
      </c>
      <c r="XB82" s="0" t="n">
        <f aca="false">$B$71+$C$71*XB80</f>
        <v>12863.2454670818</v>
      </c>
      <c r="XC82" s="0" t="n">
        <f aca="false">$B$71+$C$71*XC80</f>
        <v>17203.6621093991</v>
      </c>
      <c r="XD82" s="0" t="n">
        <f aca="false">$B$71+$C$71*XD80</f>
        <v>15024.9478378325</v>
      </c>
      <c r="XE82" s="0" t="n">
        <f aca="false">$B$71+$C$71*XE80</f>
        <v>12794.9679345146</v>
      </c>
      <c r="XF82" s="0" t="n">
        <f aca="false">$B$71+$C$71*XF80</f>
        <v>18658.4295410665</v>
      </c>
      <c r="XG82" s="0" t="n">
        <f aca="false">$B$71+$C$71*XG80</f>
        <v>15707.4092041434</v>
      </c>
      <c r="XH82" s="0" t="n">
        <f aca="false">$B$71+$C$71*XH80</f>
        <v>16523.3459800391</v>
      </c>
      <c r="XI82" s="0" t="n">
        <f aca="false">$B$71+$C$71*XI80</f>
        <v>12005.7034814456</v>
      </c>
      <c r="XJ82" s="0" t="n">
        <f aca="false">$B$71+$C$71*XJ80</f>
        <v>16265.0534689474</v>
      </c>
      <c r="XK82" s="0" t="n">
        <f aca="false">$B$71+$C$71*XK80</f>
        <v>15112.1771731623</v>
      </c>
      <c r="XL82" s="0" t="n">
        <f aca="false">$B$71+$C$71*XL80</f>
        <v>15332.1450684776</v>
      </c>
      <c r="XM82" s="0" t="n">
        <f aca="false">$B$71+$C$71*XM80</f>
        <v>12566.4793301252</v>
      </c>
      <c r="XN82" s="0" t="n">
        <f aca="false">$B$71+$C$71*XN80</f>
        <v>14135.6130517709</v>
      </c>
      <c r="XO82" s="0" t="n">
        <f aca="false">$B$71+$C$71*XO80</f>
        <v>14501.3699471252</v>
      </c>
      <c r="XP82" s="0" t="n">
        <f aca="false">$B$71+$C$71*XP80</f>
        <v>18383.2238714436</v>
      </c>
      <c r="XQ82" s="0" t="n">
        <f aca="false">$B$71+$C$71*XQ80</f>
        <v>15744.706285708</v>
      </c>
      <c r="XR82" s="0" t="n">
        <f aca="false">$B$71+$C$71*XR80</f>
        <v>15395.7637415255</v>
      </c>
      <c r="XS82" s="0" t="n">
        <f aca="false">$B$71+$C$71*XS80</f>
        <v>16893.4212299228</v>
      </c>
      <c r="XT82" s="0" t="n">
        <f aca="false">$B$71+$C$71*XT80</f>
        <v>14238.6233426737</v>
      </c>
      <c r="XU82" s="0" t="n">
        <f aca="false">$B$71+$C$71*XU80</f>
        <v>17988.7032482178</v>
      </c>
      <c r="XV82" s="0" t="n">
        <f aca="false">$B$71+$C$71*XV80</f>
        <v>12603.8500718511</v>
      </c>
      <c r="XW82" s="0" t="n">
        <f aca="false">$B$71+$C$71*XW80</f>
        <v>14979.0153132468</v>
      </c>
      <c r="XX82" s="0" t="n">
        <f aca="false">$B$71+$C$71*XX80</f>
        <v>16707.0373315761</v>
      </c>
      <c r="XY82" s="0" t="n">
        <f aca="false">$B$71+$C$71*XY80</f>
        <v>16049.101393</v>
      </c>
      <c r="XZ82" s="0" t="n">
        <f aca="false">$B$71+$C$71*XZ80</f>
        <v>14715.685769826</v>
      </c>
      <c r="YA82" s="0" t="n">
        <f aca="false">$B$71+$C$71*YA80</f>
        <v>16570.9424656735</v>
      </c>
      <c r="YB82" s="0" t="n">
        <f aca="false">$B$71+$C$71*YB80</f>
        <v>15952.141162945</v>
      </c>
      <c r="YC82" s="0" t="n">
        <f aca="false">$B$71+$C$71*YC80</f>
        <v>15248.6996346889</v>
      </c>
      <c r="YD82" s="0" t="n">
        <f aca="false">$B$71+$C$71*YD80</f>
        <v>9578.83247597982</v>
      </c>
      <c r="YE82" s="0" t="n">
        <f aca="false">$B$71+$C$71*YE80</f>
        <v>10524.8257713338</v>
      </c>
      <c r="YF82" s="0" t="n">
        <f aca="false">$B$71+$C$71*YF80</f>
        <v>16571.0038550017</v>
      </c>
      <c r="YG82" s="0" t="n">
        <f aca="false">$B$71+$C$71*YG80</f>
        <v>12016.1586827552</v>
      </c>
      <c r="YH82" s="0" t="n">
        <f aca="false">$B$71+$C$71*YH80</f>
        <v>21152.4257120464</v>
      </c>
      <c r="YI82" s="0" t="n">
        <f aca="false">$B$71+$C$71*YI80</f>
        <v>13893.6628981872</v>
      </c>
      <c r="YJ82" s="0" t="n">
        <f aca="false">$B$71+$C$71*YJ80</f>
        <v>11933.7517975159</v>
      </c>
      <c r="YK82" s="0" t="n">
        <f aca="false">$B$71+$C$71*YK80</f>
        <v>15902.8495585293</v>
      </c>
      <c r="YL82" s="0" t="n">
        <f aca="false">$B$71+$C$71*YL80</f>
        <v>18386.0022800244</v>
      </c>
      <c r="YM82" s="0" t="n">
        <f aca="false">$B$71+$C$71*YM80</f>
        <v>14976.2599246236</v>
      </c>
      <c r="YN82" s="0" t="n">
        <f aca="false">$B$71+$C$71*YN80</f>
        <v>13302.5105740319</v>
      </c>
      <c r="YO82" s="0" t="n">
        <f aca="false">$B$71+$C$71*YO80</f>
        <v>13811.7977052237</v>
      </c>
      <c r="YP82" s="0" t="n">
        <f aca="false">$B$71+$C$71*YP80</f>
        <v>18996.746973619</v>
      </c>
      <c r="YQ82" s="0" t="n">
        <f aca="false">$B$71+$C$71*YQ80</f>
        <v>15592.2220588407</v>
      </c>
      <c r="YR82" s="0" t="n">
        <f aca="false">$B$71+$C$71*YR80</f>
        <v>17391.1894114209</v>
      </c>
      <c r="YS82" s="0" t="n">
        <f aca="false">$B$71+$C$71*YS80</f>
        <v>13989.1781813047</v>
      </c>
      <c r="YT82" s="0" t="n">
        <f aca="false">$B$71+$C$71*YT80</f>
        <v>13165.0762102358</v>
      </c>
      <c r="YU82" s="0" t="n">
        <f aca="false">$B$71+$C$71*YU80</f>
        <v>15269.6462366408</v>
      </c>
      <c r="YV82" s="0" t="n">
        <f aca="false">$B$71+$C$71*YV80</f>
        <v>14499.7911531132</v>
      </c>
      <c r="YW82" s="0" t="n">
        <f aca="false">$B$71+$C$71*YW80</f>
        <v>17077.8243478736</v>
      </c>
      <c r="YX82" s="0" t="n">
        <f aca="false">$B$71+$C$71*YX80</f>
        <v>14830.31945606</v>
      </c>
      <c r="YY82" s="0" t="n">
        <f aca="false">$B$71+$C$71*YY80</f>
        <v>13451.2971754874</v>
      </c>
      <c r="YZ82" s="0" t="n">
        <f aca="false">$B$71+$C$71*YZ80</f>
        <v>14052.9472851178</v>
      </c>
      <c r="ZA82" s="0" t="n">
        <f aca="false">$B$71+$C$71*ZA80</f>
        <v>11504.5969588838</v>
      </c>
      <c r="ZB82" s="0" t="n">
        <f aca="false">$B$71+$C$71*ZB80</f>
        <v>12691.9336535077</v>
      </c>
      <c r="ZC82" s="0" t="n">
        <f aca="false">$B$71+$C$71*ZC80</f>
        <v>16912.03133601</v>
      </c>
      <c r="ZD82" s="0" t="n">
        <f aca="false">$B$71+$C$71*ZD80</f>
        <v>17882.1255344095</v>
      </c>
      <c r="ZE82" s="0" t="n">
        <f aca="false">$B$71+$C$71*ZE80</f>
        <v>15134.9477328395</v>
      </c>
      <c r="ZF82" s="0" t="n">
        <f aca="false">$B$71+$C$71*ZF80</f>
        <v>13814.4975733799</v>
      </c>
      <c r="ZG82" s="0" t="n">
        <f aca="false">$B$71+$C$71*ZG80</f>
        <v>14720.7301396454</v>
      </c>
      <c r="ZH82" s="0" t="n">
        <f aca="false">$B$71+$C$71*ZH80</f>
        <v>18175.8135988665</v>
      </c>
      <c r="ZI82" s="0" t="n">
        <f aca="false">$B$71+$C$71*ZI80</f>
        <v>15659.72101162</v>
      </c>
      <c r="ZJ82" s="0" t="n">
        <f aca="false">$B$71+$C$71*ZJ80</f>
        <v>14206.7696272733</v>
      </c>
      <c r="ZK82" s="0" t="n">
        <f aca="false">$B$71+$C$71*ZK80</f>
        <v>13614.0159170102</v>
      </c>
      <c r="ZL82" s="0" t="n">
        <f aca="false">$B$71+$C$71*ZL80</f>
        <v>14266.8132464221</v>
      </c>
      <c r="ZM82" s="0" t="n">
        <f aca="false">$B$71+$C$71*ZM80</f>
        <v>12728.8484875594</v>
      </c>
      <c r="ZN82" s="0" t="n">
        <f aca="false">$B$71+$C$71*ZN80</f>
        <v>11249.5131025414</v>
      </c>
      <c r="ZO82" s="0" t="n">
        <f aca="false">$B$71+$C$71*ZO80</f>
        <v>13405.0917950221</v>
      </c>
      <c r="ZP82" s="0" t="n">
        <f aca="false">$B$71+$C$71*ZP80</f>
        <v>10834.2510858649</v>
      </c>
      <c r="ZQ82" s="0" t="n">
        <f aca="false">$B$71+$C$71*ZQ80</f>
        <v>15269.3114624203</v>
      </c>
      <c r="ZR82" s="0" t="n">
        <f aca="false">$B$71+$C$71*ZR80</f>
        <v>12454.4459302325</v>
      </c>
      <c r="ZS82" s="0" t="n">
        <f aca="false">$B$71+$C$71*ZS80</f>
        <v>19574.7555985585</v>
      </c>
      <c r="ZT82" s="0" t="n">
        <f aca="false">$B$71+$C$71*ZT80</f>
        <v>15965.7733979149</v>
      </c>
      <c r="ZU82" s="0" t="n">
        <f aca="false">$B$71+$C$71*ZU80</f>
        <v>13900.5521284924</v>
      </c>
      <c r="ZV82" s="0" t="n">
        <f aca="false">$B$71+$C$71*ZV80</f>
        <v>15143.6449383695</v>
      </c>
      <c r="ZW82" s="0" t="n">
        <f aca="false">$B$71+$C$71*ZW80</f>
        <v>15551.3047162207</v>
      </c>
      <c r="ZX82" s="0" t="n">
        <f aca="false">$B$71+$C$71*ZX80</f>
        <v>19087.8080515939</v>
      </c>
      <c r="ZY82" s="0" t="n">
        <f aca="false">$B$71+$C$71*ZY80</f>
        <v>12320.7459224872</v>
      </c>
      <c r="ZZ82" s="0" t="n">
        <f aca="false">$B$71+$C$71*ZZ80</f>
        <v>15489.5607644643</v>
      </c>
      <c r="AAA82" s="0" t="n">
        <f aca="false">$B$71+$C$71*AAA80</f>
        <v>13996.5065223191</v>
      </c>
      <c r="AAB82" s="0" t="n">
        <f aca="false">$B$71+$C$71*AAB80</f>
        <v>15087.7483855615</v>
      </c>
      <c r="AAC82" s="0" t="n">
        <f aca="false">$B$71+$C$71*AAC80</f>
        <v>11076.8932526991</v>
      </c>
      <c r="AAD82" s="0" t="n">
        <f aca="false">$B$71+$C$71*AAD80</f>
        <v>16714.0239071049</v>
      </c>
      <c r="AAE82" s="0" t="n">
        <f aca="false">$B$71+$C$71*AAE80</f>
        <v>13993.0460980382</v>
      </c>
      <c r="AAF82" s="0" t="n">
        <f aca="false">$B$71+$C$71*AAF80</f>
        <v>15541.4964156606</v>
      </c>
      <c r="AAG82" s="0" t="n">
        <f aca="false">$B$71+$C$71*AAG80</f>
        <v>14393.1546491664</v>
      </c>
      <c r="AAH82" s="0" t="n">
        <f aca="false">$B$71+$C$71*AAH80</f>
        <v>17298.6948280855</v>
      </c>
      <c r="AAI82" s="0" t="n">
        <f aca="false">$B$71+$C$71*AAI80</f>
        <v>12933.8469815796</v>
      </c>
      <c r="AAJ82" s="0" t="n">
        <f aca="false">$B$71+$C$71*AAJ80</f>
        <v>15254.3686893431</v>
      </c>
      <c r="AAK82" s="0" t="n">
        <f aca="false">$B$71+$C$71*AAK80</f>
        <v>17762.1330830885</v>
      </c>
      <c r="AAL82" s="0" t="n">
        <f aca="false">$B$71+$C$71*AAL80</f>
        <v>16015.8704490647</v>
      </c>
      <c r="AAM82" s="0" t="n">
        <f aca="false">$B$71+$C$71*AAM80</f>
        <v>13303.3686565546</v>
      </c>
      <c r="AAN82" s="0" t="n">
        <f aca="false">$B$71+$C$71*AAN80</f>
        <v>12570.2846988975</v>
      </c>
      <c r="AAO82" s="0" t="n">
        <f aca="false">$B$71+$C$71*AAO80</f>
        <v>15134.5041548566</v>
      </c>
      <c r="AAP82" s="0" t="n">
        <f aca="false">$B$71+$C$71*AAP80</f>
        <v>12352.3546566316</v>
      </c>
      <c r="AAQ82" s="0" t="n">
        <f aca="false">$B$71+$C$71*AAQ80</f>
        <v>14993.4818170267</v>
      </c>
      <c r="AAR82" s="0" t="n">
        <f aca="false">$B$71+$C$71*AAR80</f>
        <v>19043.6780177732</v>
      </c>
      <c r="AAS82" s="0" t="n">
        <f aca="false">$B$71+$C$71*AAS80</f>
        <v>15171.4487973846</v>
      </c>
      <c r="AAT82" s="0" t="n">
        <f aca="false">$B$71+$C$71*AAT80</f>
        <v>12860.4904260075</v>
      </c>
      <c r="AAU82" s="0" t="n">
        <f aca="false">$B$71+$C$71*AAU80</f>
        <v>12697.3893533979</v>
      </c>
      <c r="AAV82" s="0" t="n">
        <f aca="false">$B$71+$C$71*AAV80</f>
        <v>15957.5760994236</v>
      </c>
      <c r="AAW82" s="0" t="n">
        <f aca="false">$B$71+$C$71*AAW80</f>
        <v>15371.853430859</v>
      </c>
      <c r="AAX82" s="0" t="n">
        <f aca="false">$B$71+$C$71*AAX80</f>
        <v>14372.582801175</v>
      </c>
      <c r="AAY82" s="0" t="n">
        <f aca="false">$B$71+$C$71*AAY80</f>
        <v>15299.5528067009</v>
      </c>
      <c r="AAZ82" s="0" t="n">
        <f aca="false">$B$71+$C$71*AAZ80</f>
        <v>16106.9317402279</v>
      </c>
      <c r="ABA82" s="0" t="n">
        <f aca="false">$B$71+$C$71*ABA80</f>
        <v>15385.7456641482</v>
      </c>
      <c r="ABB82" s="0" t="n">
        <f aca="false">$B$71+$C$71*ABB80</f>
        <v>16237.3514541883</v>
      </c>
      <c r="ABC82" s="0" t="n">
        <f aca="false">$B$71+$C$71*ABC80</f>
        <v>16888.9200469932</v>
      </c>
      <c r="ABD82" s="0" t="n">
        <f aca="false">$B$71+$C$71*ABD80</f>
        <v>13236.0442545889</v>
      </c>
      <c r="ABE82" s="0" t="n">
        <f aca="false">$B$71+$C$71*ABE80</f>
        <v>15895.9357765752</v>
      </c>
      <c r="ABF82" s="0" t="n">
        <f aca="false">$B$71+$C$71*ABF80</f>
        <v>13920.9355403289</v>
      </c>
      <c r="ABG82" s="0" t="n">
        <f aca="false">$B$71+$C$71*ABG80</f>
        <v>13392.0710388331</v>
      </c>
      <c r="ABH82" s="0" t="n">
        <f aca="false">$B$71+$C$71*ABH80</f>
        <v>13879.0443295295</v>
      </c>
      <c r="ABI82" s="0" t="n">
        <f aca="false">$B$71+$C$71*ABI80</f>
        <v>12487.7723362638</v>
      </c>
      <c r="ABJ82" s="0" t="n">
        <f aca="false">$B$71+$C$71*ABJ80</f>
        <v>15221.4240652573</v>
      </c>
      <c r="ABK82" s="0" t="n">
        <f aca="false">$B$71+$C$71*ABK80</f>
        <v>14428.4187407868</v>
      </c>
      <c r="ABL82" s="0" t="n">
        <f aca="false">$B$71+$C$71*ABL80</f>
        <v>15579.6453655265</v>
      </c>
      <c r="ABM82" s="0" t="n">
        <f aca="false">$B$71+$C$71*ABM80</f>
        <v>15479.5081922008</v>
      </c>
      <c r="ABN82" s="0" t="n">
        <f aca="false">$B$71+$C$71*ABN80</f>
        <v>14373.2034661655</v>
      </c>
      <c r="ABO82" s="0" t="n">
        <f aca="false">$B$71+$C$71*ABO80</f>
        <v>12448.4580825865</v>
      </c>
      <c r="ABP82" s="0" t="n">
        <f aca="false">$B$71+$C$71*ABP80</f>
        <v>15076.4831368585</v>
      </c>
      <c r="ABQ82" s="0" t="n">
        <f aca="false">$B$71+$C$71*ABQ80</f>
        <v>14169.2540774273</v>
      </c>
      <c r="ABR82" s="0" t="n">
        <f aca="false">$B$71+$C$71*ABR80</f>
        <v>14499.1906338128</v>
      </c>
      <c r="ABS82" s="0" t="n">
        <f aca="false">$B$71+$C$71*ABS80</f>
        <v>11159.0964682029</v>
      </c>
      <c r="ABT82" s="0" t="n">
        <f aca="false">$B$71+$C$71*ABT80</f>
        <v>11140.9478745902</v>
      </c>
      <c r="ABU82" s="0" t="n">
        <f aca="false">$B$71+$C$71*ABU80</f>
        <v>13768.164105801</v>
      </c>
      <c r="ABV82" s="0" t="n">
        <f aca="false">$B$71+$C$71*ABV80</f>
        <v>11985.1592014668</v>
      </c>
      <c r="ABW82" s="0" t="n">
        <f aca="false">$B$71+$C$71*ABW80</f>
        <v>15769.2817773771</v>
      </c>
      <c r="ABX82" s="0" t="n">
        <f aca="false">$B$71+$C$71*ABX80</f>
        <v>10618.2736485487</v>
      </c>
      <c r="ABY82" s="0" t="n">
        <f aca="false">$B$71+$C$71*ABY80</f>
        <v>15078.7637231054</v>
      </c>
      <c r="ABZ82" s="0" t="n">
        <f aca="false">$B$71+$C$71*ABZ80</f>
        <v>15505.4992302872</v>
      </c>
      <c r="ACA82" s="0" t="n">
        <f aca="false">$B$71+$C$71*ACA80</f>
        <v>13782.8161079744</v>
      </c>
      <c r="ACB82" s="0" t="n">
        <f aca="false">$B$71+$C$71*ACB80</f>
        <v>13384.6837738758</v>
      </c>
      <c r="ACC82" s="0" t="n">
        <f aca="false">$B$71+$C$71*ACC80</f>
        <v>15374.4644320399</v>
      </c>
      <c r="ACD82" s="0" t="n">
        <f aca="false">$B$71+$C$71*ACD80</f>
        <v>15015.1010203503</v>
      </c>
      <c r="ACE82" s="0" t="n">
        <f aca="false">$B$71+$C$71*ACE80</f>
        <v>15267.8560657727</v>
      </c>
      <c r="ACF82" s="0" t="n">
        <f aca="false">$B$71+$C$71*ACF80</f>
        <v>17980.2491559706</v>
      </c>
      <c r="ACG82" s="0" t="n">
        <f aca="false">$B$71+$C$71*ACG80</f>
        <v>16967.28376811</v>
      </c>
      <c r="ACH82" s="0" t="n">
        <f aca="false">$B$71+$C$71*ACH80</f>
        <v>13259.752631559</v>
      </c>
      <c r="ACI82" s="0" t="n">
        <f aca="false">$B$71+$C$71*ACI80</f>
        <v>16616.7577075667</v>
      </c>
      <c r="ACJ82" s="0" t="n">
        <f aca="false">$B$71+$C$71*ACJ80</f>
        <v>15606.5089334077</v>
      </c>
      <c r="ACK82" s="0" t="n">
        <f aca="false">$B$71+$C$71*ACK80</f>
        <v>14171.4692338539</v>
      </c>
      <c r="ACL82" s="0" t="n">
        <f aca="false">$B$71+$C$71*ACL80</f>
        <v>18958.4079848261</v>
      </c>
      <c r="ACM82" s="0" t="n">
        <f aca="false">$B$71+$C$71*ACM80</f>
        <v>14535.2415936103</v>
      </c>
      <c r="ACN82" s="0" t="n">
        <f aca="false">$B$71+$C$71*ACN80</f>
        <v>13183.3652656535</v>
      </c>
      <c r="ACO82" s="0" t="n">
        <f aca="false">$B$71+$C$71*ACO80</f>
        <v>13732.4865894391</v>
      </c>
      <c r="ACP82" s="0" t="n">
        <f aca="false">$B$71+$C$71*ACP80</f>
        <v>16268.1510484264</v>
      </c>
      <c r="ACQ82" s="0" t="n">
        <f aca="false">$B$71+$C$71*ACQ80</f>
        <v>12937.7880444569</v>
      </c>
      <c r="ACR82" s="0" t="n">
        <f aca="false">$B$71+$C$71*ACR80</f>
        <v>14814.9529664509</v>
      </c>
      <c r="ACS82" s="0" t="n">
        <f aca="false">$B$71+$C$71*ACS80</f>
        <v>15214.2288868329</v>
      </c>
      <c r="ACT82" s="0" t="n">
        <f aca="false">$B$71+$C$71*ACT80</f>
        <v>15054.1772528103</v>
      </c>
      <c r="ACU82" s="0" t="n">
        <f aca="false">$B$71+$C$71*ACU80</f>
        <v>13980.0302674558</v>
      </c>
      <c r="ACV82" s="0" t="n">
        <f aca="false">$B$71+$C$71*ACV80</f>
        <v>13482.5872500718</v>
      </c>
      <c r="ACW82" s="0" t="n">
        <f aca="false">$B$71+$C$71*ACW80</f>
        <v>16462.9571082939</v>
      </c>
      <c r="ACX82" s="0" t="n">
        <f aca="false">$B$71+$C$71*ACX80</f>
        <v>15105.6205034904</v>
      </c>
      <c r="ACY82" s="0" t="n">
        <f aca="false">$B$71+$C$71*ACY80</f>
        <v>18995.0773668481</v>
      </c>
      <c r="ACZ82" s="0" t="n">
        <f aca="false">$B$71+$C$71*ACZ80</f>
        <v>16183.1941744168</v>
      </c>
      <c r="ADA82" s="0" t="n">
        <f aca="false">$B$71+$C$71*ADA80</f>
        <v>13867.7592626778</v>
      </c>
      <c r="ADB82" s="0" t="n">
        <f aca="false">$B$71+$C$71*ADB80</f>
        <v>16854.0721012317</v>
      </c>
      <c r="ADC82" s="0" t="n">
        <f aca="false">$B$71+$C$71*ADC80</f>
        <v>13993.5609347175</v>
      </c>
      <c r="ADD82" s="0" t="n">
        <f aca="false">$B$71+$C$71*ADD80</f>
        <v>16195.0685882931</v>
      </c>
      <c r="ADE82" s="0" t="n">
        <f aca="false">$B$71+$C$71*ADE80</f>
        <v>17791.8912531972</v>
      </c>
      <c r="ADF82" s="0" t="n">
        <f aca="false">$B$71+$C$71*ADF80</f>
        <v>13541.6012746383</v>
      </c>
      <c r="ADG82" s="0" t="n">
        <f aca="false">$B$71+$C$71*ADG80</f>
        <v>11641.0584025426</v>
      </c>
      <c r="ADH82" s="0" t="n">
        <f aca="false">$B$71+$C$71*ADH80</f>
        <v>14822.3549791044</v>
      </c>
      <c r="ADI82" s="0" t="n">
        <f aca="false">$B$71+$C$71*ADI80</f>
        <v>12872.8607891842</v>
      </c>
      <c r="ADJ82" s="0" t="n">
        <f aca="false">$B$71+$C$71*ADJ80</f>
        <v>12145.249296876</v>
      </c>
      <c r="ADK82" s="0" t="n">
        <f aca="false">$B$71+$C$71*ADK80</f>
        <v>14531.4517089759</v>
      </c>
      <c r="ADL82" s="0" t="n">
        <f aca="false">$B$71+$C$71*ADL80</f>
        <v>9379.5684210724</v>
      </c>
      <c r="ADM82" s="0" t="n">
        <f aca="false">$B$71+$C$71*ADM80</f>
        <v>14582.1721559109</v>
      </c>
      <c r="ADN82" s="0" t="n">
        <f aca="false">$B$71+$C$71*ADN80</f>
        <v>16501.6066794599</v>
      </c>
      <c r="ADO82" s="0" t="n">
        <f aca="false">$B$71+$C$71*ADO80</f>
        <v>16714.0649104793</v>
      </c>
      <c r="ADP82" s="0" t="n">
        <f aca="false">$B$71+$C$71*ADP80</f>
        <v>15419.0927048766</v>
      </c>
      <c r="ADQ82" s="0" t="n">
        <f aca="false">$B$71+$C$71*ADQ80</f>
        <v>14082.6702584467</v>
      </c>
      <c r="ADR82" s="0" t="n">
        <f aca="false">$B$71+$C$71*ADR80</f>
        <v>12140.5226992828</v>
      </c>
      <c r="ADS82" s="0" t="n">
        <f aca="false">$B$71+$C$71*ADS80</f>
        <v>12941.7430485211</v>
      </c>
      <c r="ADT82" s="0" t="n">
        <f aca="false">$B$71+$C$71*ADT80</f>
        <v>11873.6365820881</v>
      </c>
      <c r="ADU82" s="0" t="n">
        <f aca="false">$B$71+$C$71*ADU80</f>
        <v>15237.5166260983</v>
      </c>
      <c r="ADV82" s="0" t="n">
        <f aca="false">$B$71+$C$71*ADV80</f>
        <v>15926.0529695778</v>
      </c>
      <c r="ADW82" s="0" t="n">
        <f aca="false">$B$71+$C$71*ADW80</f>
        <v>17564.9110087654</v>
      </c>
      <c r="ADX82" s="0" t="n">
        <f aca="false">$B$71+$C$71*ADX80</f>
        <v>18649.6043685854</v>
      </c>
      <c r="ADY82" s="0" t="n">
        <f aca="false">$B$71+$C$71*ADY80</f>
        <v>11058.0266559813</v>
      </c>
      <c r="ADZ82" s="0" t="n">
        <f aca="false">$B$71+$C$71*ADZ80</f>
        <v>12714.4132402483</v>
      </c>
      <c r="AEA82" s="0" t="n">
        <f aca="false">$B$71+$C$71*AEA80</f>
        <v>14787.2685966264</v>
      </c>
      <c r="AEB82" s="0" t="n">
        <f aca="false">$B$71+$C$71*AEB80</f>
        <v>16120.4607478528</v>
      </c>
      <c r="AEC82" s="0" t="n">
        <f aca="false">$B$71+$C$71*AEC80</f>
        <v>14535.5110514778</v>
      </c>
      <c r="AED82" s="0" t="n">
        <f aca="false">$B$71+$C$71*AED80</f>
        <v>15071.6209222726</v>
      </c>
      <c r="AEE82" s="0" t="n">
        <f aca="false">$B$71+$C$71*AEE80</f>
        <v>15524.6782367048</v>
      </c>
      <c r="AEF82" s="0" t="n">
        <f aca="false">$B$71+$C$71*AEF80</f>
        <v>12903.4158081723</v>
      </c>
      <c r="AEG82" s="0" t="n">
        <f aca="false">$B$71+$C$71*AEG80</f>
        <v>11428.6296805127</v>
      </c>
      <c r="AEH82" s="0" t="n">
        <f aca="false">$B$71+$C$71*AEH80</f>
        <v>14858.8876541009</v>
      </c>
      <c r="AEI82" s="0" t="n">
        <f aca="false">$B$71+$C$71*AEI80</f>
        <v>16814.5408002683</v>
      </c>
      <c r="AEJ82" s="0" t="n">
        <f aca="false">$B$71+$C$71*AEJ80</f>
        <v>15459.2379680014</v>
      </c>
      <c r="AEK82" s="0" t="n">
        <f aca="false">$B$71+$C$71*AEK80</f>
        <v>12269.79827763</v>
      </c>
      <c r="AEL82" s="0" t="n">
        <f aca="false">$B$71+$C$71*AEL80</f>
        <v>14989.1474622088</v>
      </c>
      <c r="AEM82" s="0" t="n">
        <f aca="false">$B$71+$C$71*AEM80</f>
        <v>14292.8441959587</v>
      </c>
      <c r="AEN82" s="0" t="n">
        <f aca="false">$B$71+$C$71*AEN80</f>
        <v>18317.7288706225</v>
      </c>
      <c r="AEO82" s="0" t="n">
        <f aca="false">$B$71+$C$71*AEO80</f>
        <v>14440.6811668253</v>
      </c>
      <c r="AEP82" s="0" t="n">
        <f aca="false">$B$71+$C$71*AEP80</f>
        <v>13328.2895793918</v>
      </c>
      <c r="AEQ82" s="0" t="n">
        <f aca="false">$B$71+$C$71*AEQ80</f>
        <v>14718.2728924302</v>
      </c>
      <c r="AER82" s="0" t="n">
        <f aca="false">$B$71+$C$71*AER80</f>
        <v>17861.3319920614</v>
      </c>
      <c r="AES82" s="0" t="n">
        <f aca="false">$B$71+$C$71*AES80</f>
        <v>11583.9468186323</v>
      </c>
      <c r="AET82" s="0" t="n">
        <f aca="false">$B$71+$C$71*AET80</f>
        <v>14990.0360067186</v>
      </c>
      <c r="AEU82" s="0" t="n">
        <f aca="false">$B$71+$C$71*AEU80</f>
        <v>12341.7163331154</v>
      </c>
      <c r="AEV82" s="0" t="n">
        <f aca="false">$B$71+$C$71*AEV80</f>
        <v>12211.9136050882</v>
      </c>
      <c r="AEW82" s="0" t="n">
        <f aca="false">$B$71+$C$71*AEW80</f>
        <v>11201.3203370466</v>
      </c>
      <c r="AEX82" s="0" t="n">
        <f aca="false">$B$71+$C$71*AEX80</f>
        <v>10835.7681762514</v>
      </c>
      <c r="AEY82" s="0" t="n">
        <f aca="false">$B$71+$C$71*AEY80</f>
        <v>17131.8303379611</v>
      </c>
      <c r="AEZ82" s="0" t="n">
        <f aca="false">$B$71+$C$71*AEZ80</f>
        <v>13265.2075595043</v>
      </c>
      <c r="AFA82" s="0" t="n">
        <f aca="false">$B$71+$C$71*AFA80</f>
        <v>16540.7174773596</v>
      </c>
      <c r="AFB82" s="0" t="n">
        <f aca="false">$B$71+$C$71*AFB80</f>
        <v>15146.7238076881</v>
      </c>
      <c r="AFC82" s="0" t="n">
        <f aca="false">$B$71+$C$71*AFC80</f>
        <v>15353.6482723105</v>
      </c>
      <c r="AFD82" s="0" t="n">
        <f aca="false">$B$71+$C$71*AFD80</f>
        <v>13548.9562718363</v>
      </c>
      <c r="AFE82" s="0" t="n">
        <f aca="false">$B$71+$C$71*AFE80</f>
        <v>18330.9522352237</v>
      </c>
      <c r="AFF82" s="0" t="n">
        <f aca="false">$B$71+$C$71*AFF80</f>
        <v>14316.8842824852</v>
      </c>
      <c r="AFG82" s="0" t="n">
        <f aca="false">$B$71+$C$71*AFG80</f>
        <v>16056.8070769509</v>
      </c>
      <c r="AFH82" s="0" t="n">
        <f aca="false">$B$71+$C$71*AFH80</f>
        <v>14804.2416610221</v>
      </c>
      <c r="AFI82" s="0" t="n">
        <f aca="false">$B$71+$C$71*AFI80</f>
        <v>14205.7837654293</v>
      </c>
      <c r="AFJ82" s="0" t="n">
        <f aca="false">$B$71+$C$71*AFJ80</f>
        <v>15468.6843334439</v>
      </c>
      <c r="AFK82" s="0" t="n">
        <f aca="false">$B$71+$C$71*AFK80</f>
        <v>14518.5220074475</v>
      </c>
      <c r="AFL82" s="0" t="n">
        <f aca="false">$B$71+$C$71*AFL80</f>
        <v>13254.7257112577</v>
      </c>
      <c r="AFM82" s="0" t="n">
        <f aca="false">$B$71+$C$71*AFM80</f>
        <v>17243.2967096882</v>
      </c>
      <c r="AFN82" s="0" t="n">
        <f aca="false">$B$71+$C$71*AFN80</f>
        <v>14371.6309090966</v>
      </c>
      <c r="AFO82" s="0" t="n">
        <f aca="false">$B$71+$C$71*AFO80</f>
        <v>14000.0217502477</v>
      </c>
      <c r="AFP82" s="0" t="n">
        <f aca="false">$B$71+$C$71*AFP80</f>
        <v>14749.6142977967</v>
      </c>
      <c r="AFQ82" s="0" t="n">
        <f aca="false">$B$71+$C$71*AFQ80</f>
        <v>13474.340805811</v>
      </c>
      <c r="AFR82" s="0" t="n">
        <f aca="false">$B$71+$C$71*AFR80</f>
        <v>12449.9969218289</v>
      </c>
      <c r="AFS82" s="0" t="n">
        <f aca="false">$B$71+$C$71*AFS80</f>
        <v>17410.713274642</v>
      </c>
      <c r="AFT82" s="0" t="n">
        <f aca="false">$B$71+$C$71*AFT80</f>
        <v>18342.7625599849</v>
      </c>
      <c r="AFU82" s="0" t="n">
        <f aca="false">$B$71+$C$71*AFU80</f>
        <v>13100.1843737496</v>
      </c>
      <c r="AFV82" s="0" t="n">
        <f aca="false">$B$71+$C$71*AFV80</f>
        <v>17228.6337357487</v>
      </c>
      <c r="AFW82" s="0" t="n">
        <f aca="false">$B$71+$C$71*AFW80</f>
        <v>15345.0695342309</v>
      </c>
      <c r="AFX82" s="0" t="n">
        <f aca="false">$B$71+$C$71*AFX80</f>
        <v>17580.034246102</v>
      </c>
      <c r="AFY82" s="0" t="n">
        <f aca="false">$B$71+$C$71*AFY80</f>
        <v>14851.574390114</v>
      </c>
      <c r="AFZ82" s="0" t="n">
        <f aca="false">$B$71+$C$71*AFZ80</f>
        <v>15870.0734644974</v>
      </c>
      <c r="AGA82" s="0" t="n">
        <f aca="false">$B$71+$C$71*AGA80</f>
        <v>16304.5189826018</v>
      </c>
      <c r="AGB82" s="0" t="n">
        <f aca="false">$B$71+$C$71*AGB80</f>
        <v>12793.3881655757</v>
      </c>
      <c r="AGC82" s="0" t="n">
        <f aca="false">$B$71+$C$71*AGC80</f>
        <v>15248.9744390591</v>
      </c>
      <c r="AGD82" s="0" t="n">
        <f aca="false">$B$71+$C$71*AGD80</f>
        <v>10229.4597308455</v>
      </c>
      <c r="AGE82" s="0" t="n">
        <f aca="false">$B$71+$C$71*AGE80</f>
        <v>17637.7145922326</v>
      </c>
      <c r="AGF82" s="0" t="n">
        <f aca="false">$B$71+$C$71*AGF80</f>
        <v>15615.7180182724</v>
      </c>
      <c r="AGG82" s="0" t="n">
        <f aca="false">$B$71+$C$71*AGG80</f>
        <v>15936.4559430563</v>
      </c>
      <c r="AGH82" s="0" t="n">
        <f aca="false">$B$71+$C$71*AGH80</f>
        <v>16369.7033269743</v>
      </c>
      <c r="AGI82" s="0" t="n">
        <f aca="false">$B$71+$C$71*AGI80</f>
        <v>17384.2793351551</v>
      </c>
      <c r="AGJ82" s="0" t="n">
        <f aca="false">$B$71+$C$71*AGJ80</f>
        <v>17652.1110876414</v>
      </c>
      <c r="AGK82" s="0" t="n">
        <f aca="false">$B$71+$C$71*AGK80</f>
        <v>15932.5818461829</v>
      </c>
      <c r="AGL82" s="0" t="n">
        <f aca="false">$B$71+$C$71*AGL80</f>
        <v>17195.7323132642</v>
      </c>
      <c r="AGM82" s="0" t="n">
        <f aca="false">$B$71+$C$71*AGM80</f>
        <v>13037.1648976869</v>
      </c>
      <c r="AGN82" s="0" t="n">
        <f aca="false">$B$71+$C$71*AGN80</f>
        <v>14989.4548545033</v>
      </c>
      <c r="AGO82" s="0" t="n">
        <f aca="false">$B$71+$C$71*AGO80</f>
        <v>16289.1562239532</v>
      </c>
      <c r="AGP82" s="0" t="n">
        <f aca="false">$B$71+$C$71*AGP80</f>
        <v>16418.0534417905</v>
      </c>
      <c r="AGQ82" s="0" t="n">
        <f aca="false">$B$71+$C$71*AGQ80</f>
        <v>12508.6183804174</v>
      </c>
      <c r="AGR82" s="0" t="n">
        <f aca="false">$B$71+$C$71*AGR80</f>
        <v>15276.8017606747</v>
      </c>
      <c r="AGS82" s="0" t="n">
        <f aca="false">$B$71+$C$71*AGS80</f>
        <v>13321.7224580132</v>
      </c>
      <c r="AGT82" s="0" t="n">
        <f aca="false">$B$71+$C$71*AGT80</f>
        <v>17552.201437326</v>
      </c>
      <c r="AGU82" s="0" t="n">
        <f aca="false">$B$71+$C$71*AGU80</f>
        <v>14239.8120030287</v>
      </c>
      <c r="AGV82" s="0" t="n">
        <f aca="false">$B$71+$C$71*AGV80</f>
        <v>12912.5386366819</v>
      </c>
      <c r="AGW82" s="0" t="n">
        <f aca="false">$B$71+$C$71*AGW80</f>
        <v>16929.9428870968</v>
      </c>
      <c r="AGX82" s="0" t="n">
        <f aca="false">$B$71+$C$71*AGX80</f>
        <v>16900.022695358</v>
      </c>
      <c r="AGY82" s="0" t="n">
        <f aca="false">$B$71+$C$71*AGY80</f>
        <v>14791.3144135159</v>
      </c>
      <c r="AGZ82" s="0" t="n">
        <f aca="false">$B$71+$C$71*AGZ80</f>
        <v>16184.631965445</v>
      </c>
      <c r="AHA82" s="0" t="n">
        <f aca="false">$B$71+$C$71*AHA80</f>
        <v>19601.7903464289</v>
      </c>
      <c r="AHB82" s="0" t="n">
        <f aca="false">$B$71+$C$71*AHB80</f>
        <v>14542.7731890456</v>
      </c>
      <c r="AHC82" s="0" t="n">
        <f aca="false">$B$71+$C$71*AHC80</f>
        <v>18123.0615172927</v>
      </c>
      <c r="AHD82" s="0" t="n">
        <f aca="false">$B$71+$C$71*AHD80</f>
        <v>15694.074320546</v>
      </c>
      <c r="AHE82" s="0" t="n">
        <f aca="false">$B$71+$C$71*AHE80</f>
        <v>13971.0986478659</v>
      </c>
      <c r="AHF82" s="0" t="n">
        <f aca="false">$B$71+$C$71*AHF80</f>
        <v>18625.2007824867</v>
      </c>
      <c r="AHG82" s="0" t="n">
        <f aca="false">$B$71+$C$71*AHG80</f>
        <v>13481.6981554998</v>
      </c>
      <c r="AHH82" s="0" t="n">
        <f aca="false">$B$71+$C$71*AHH80</f>
        <v>11819.6856693247</v>
      </c>
      <c r="AHI82" s="0" t="n">
        <f aca="false">$B$71+$C$71*AHI80</f>
        <v>16619.6499342559</v>
      </c>
      <c r="AHJ82" s="0" t="n">
        <f aca="false">$B$71+$C$71*AHJ80</f>
        <v>13747.9817370746</v>
      </c>
      <c r="AHK82" s="0" t="n">
        <f aca="false">$B$71+$C$71*AHK80</f>
        <v>16307.1063908579</v>
      </c>
      <c r="AHL82" s="0" t="n">
        <f aca="false">$B$71+$C$71*AHL80</f>
        <v>16002.5934840973</v>
      </c>
      <c r="AHM82" s="0" t="n">
        <f aca="false">$B$71+$C$71*AHM80</f>
        <v>14754.9900490244</v>
      </c>
      <c r="AHN82" s="0" t="n">
        <f aca="false">$B$71+$C$71*AHN80</f>
        <v>16170.9744251389</v>
      </c>
      <c r="AHO82" s="0" t="n">
        <f aca="false">$B$71+$C$71*AHO80</f>
        <v>14473.7322193535</v>
      </c>
      <c r="AHP82" s="0" t="n">
        <f aca="false">$B$71+$C$71*AHP80</f>
        <v>19300.3506964238</v>
      </c>
      <c r="AHQ82" s="0" t="n">
        <f aca="false">$B$71+$C$71*AHQ80</f>
        <v>15443.4923663023</v>
      </c>
      <c r="AHR82" s="0" t="n">
        <f aca="false">$B$71+$C$71*AHR80</f>
        <v>17735.3671011929</v>
      </c>
      <c r="AHS82" s="0" t="n">
        <f aca="false">$B$71+$C$71*AHS80</f>
        <v>13376.3249387745</v>
      </c>
      <c r="AHT82" s="0" t="n">
        <f aca="false">$B$71+$C$71*AHT80</f>
        <v>15430.230045289</v>
      </c>
      <c r="AHU82" s="0" t="n">
        <f aca="false">$B$71+$C$71*AHU80</f>
        <v>14633.6304657905</v>
      </c>
      <c r="AHV82" s="0" t="n">
        <f aca="false">$B$71+$C$71*AHV80</f>
        <v>13577.4315237961</v>
      </c>
      <c r="AHW82" s="0" t="n">
        <f aca="false">$B$71+$C$71*AHW80</f>
        <v>13280.668447199</v>
      </c>
      <c r="AHX82" s="0" t="n">
        <f aca="false">$B$71+$C$71*AHX80</f>
        <v>16088.8302991376</v>
      </c>
      <c r="AHY82" s="0" t="n">
        <f aca="false">$B$71+$C$71*AHY80</f>
        <v>15889.9752054489</v>
      </c>
      <c r="AHZ82" s="0" t="n">
        <f aca="false">$B$71+$C$71*AHZ80</f>
        <v>11324.0936795496</v>
      </c>
      <c r="AIA82" s="0" t="n">
        <f aca="false">$B$71+$C$71*AIA80</f>
        <v>15560.4837144785</v>
      </c>
      <c r="AIB82" s="0" t="n">
        <f aca="false">$B$71+$C$71*AIB80</f>
        <v>13611.1433763657</v>
      </c>
      <c r="AIC82" s="0" t="n">
        <f aca="false">$B$71+$C$71*AIC80</f>
        <v>14323.482539128</v>
      </c>
      <c r="AID82" s="0" t="n">
        <f aca="false">$B$71+$C$71*AID80</f>
        <v>18055.8827345614</v>
      </c>
      <c r="AIE82" s="0" t="n">
        <f aca="false">$B$71+$C$71*AIE80</f>
        <v>15468.55756629</v>
      </c>
      <c r="AIF82" s="0" t="n">
        <f aca="false">$B$71+$C$71*AIF80</f>
        <v>12879.9200285421</v>
      </c>
      <c r="AIG82" s="0" t="n">
        <f aca="false">$B$71+$C$71*AIG80</f>
        <v>14280.6919356812</v>
      </c>
      <c r="AIH82" s="0" t="n">
        <f aca="false">$B$71+$C$71*AIH80</f>
        <v>11660.6449903562</v>
      </c>
      <c r="AII82" s="0" t="n">
        <f aca="false">$B$71+$C$71*AII80</f>
        <v>14762.7946892264</v>
      </c>
      <c r="AIJ82" s="0" t="n">
        <f aca="false">$B$71+$C$71*AIJ80</f>
        <v>14531.943271863</v>
      </c>
      <c r="AIK82" s="0" t="n">
        <f aca="false">$B$71+$C$71*AIK80</f>
        <v>16800.5279396416</v>
      </c>
      <c r="AIL82" s="0" t="n">
        <f aca="false">$B$71+$C$71*AIL80</f>
        <v>14885.8875146705</v>
      </c>
      <c r="AIM82" s="0" t="n">
        <f aca="false">$B$71+$C$71*AIM80</f>
        <v>13960.2325183742</v>
      </c>
      <c r="AIN82" s="0" t="n">
        <f aca="false">$B$71+$C$71*AIN80</f>
        <v>14491.1056706483</v>
      </c>
      <c r="AIO82" s="0" t="n">
        <f aca="false">$B$71+$C$71*AIO80</f>
        <v>16147.9645249296</v>
      </c>
      <c r="AIP82" s="0" t="n">
        <f aca="false">$B$71+$C$71*AIP80</f>
        <v>17314.7753813518</v>
      </c>
      <c r="AIQ82" s="0" t="n">
        <f aca="false">$B$71+$C$71*AIQ80</f>
        <v>15014.633821543</v>
      </c>
      <c r="AIR82" s="0" t="n">
        <f aca="false">$B$71+$C$71*AIR80</f>
        <v>14871.2748234633</v>
      </c>
      <c r="AIS82" s="0" t="n">
        <f aca="false">$B$71+$C$71*AIS80</f>
        <v>16887.91361501</v>
      </c>
      <c r="AIT82" s="0" t="n">
        <f aca="false">$B$71+$C$71*AIT80</f>
        <v>15831.9243546664</v>
      </c>
      <c r="AIU82" s="0" t="n">
        <f aca="false">$B$71+$C$71*AIU80</f>
        <v>12348.8368669733</v>
      </c>
      <c r="AIV82" s="0" t="n">
        <f aca="false">$B$71+$C$71*AIV80</f>
        <v>15204.6552957736</v>
      </c>
      <c r="AIW82" s="0" t="n">
        <f aca="false">$B$71+$C$71*AIW80</f>
        <v>21264.5356948054</v>
      </c>
      <c r="AIX82" s="0" t="n">
        <f aca="false">$B$71+$C$71*AIX80</f>
        <v>14062.4598620502</v>
      </c>
      <c r="AIY82" s="0" t="n">
        <f aca="false">$B$71+$C$71*AIY80</f>
        <v>14749.6019057252</v>
      </c>
      <c r="AIZ82" s="0" t="n">
        <f aca="false">$B$71+$C$71*AIZ80</f>
        <v>15736.6300495292</v>
      </c>
      <c r="AJA82" s="0" t="n">
        <f aca="false">$B$71+$C$71*AJA80</f>
        <v>17513.6283220001</v>
      </c>
      <c r="AJB82" s="0" t="n">
        <f aca="false">$B$71+$C$71*AJB80</f>
        <v>16702.9500154954</v>
      </c>
      <c r="AJC82" s="0" t="n">
        <f aca="false">$B$71+$C$71*AJC80</f>
        <v>14620.9194014411</v>
      </c>
      <c r="AJD82" s="0" t="n">
        <f aca="false">$B$71+$C$71*AJD80</f>
        <v>12387.3193558901</v>
      </c>
      <c r="AJE82" s="0" t="n">
        <f aca="false">$B$71+$C$71*AJE80</f>
        <v>16761.8139636191</v>
      </c>
      <c r="AJF82" s="0" t="n">
        <f aca="false">$B$71+$C$71*AJF80</f>
        <v>16461.5838934952</v>
      </c>
      <c r="AJG82" s="0" t="n">
        <f aca="false">$B$71+$C$71*AJG80</f>
        <v>8511.60997623645</v>
      </c>
      <c r="AJH82" s="0" t="n">
        <f aca="false">$B$71+$C$71*AJH80</f>
        <v>14304.2049824284</v>
      </c>
      <c r="AJI82" s="0" t="n">
        <f aca="false">$B$71+$C$71*AJI80</f>
        <v>15875.0537356996</v>
      </c>
      <c r="AJJ82" s="0" t="n">
        <f aca="false">$B$71+$C$71*AJJ80</f>
        <v>15414.0076350453</v>
      </c>
      <c r="AJK82" s="0" t="n">
        <f aca="false">$B$71+$C$71*AJK80</f>
        <v>15844.5670524142</v>
      </c>
      <c r="AJL82" s="0" t="n">
        <f aca="false">$B$71+$C$71*AJL80</f>
        <v>16315.5078967584</v>
      </c>
      <c r="AJM82" s="0" t="n">
        <f aca="false">$B$71+$C$71*AJM80</f>
        <v>15818.8608672817</v>
      </c>
      <c r="AJN82" s="0" t="n">
        <f aca="false">$B$71+$C$71*AJN80</f>
        <v>16751.6531742934</v>
      </c>
      <c r="AJO82" s="0" t="n">
        <f aca="false">$B$71+$C$71*AJO80</f>
        <v>15879.2190683535</v>
      </c>
      <c r="AJP82" s="0" t="n">
        <f aca="false">$B$71+$C$71*AJP80</f>
        <v>17742.2432099033</v>
      </c>
      <c r="AJQ82" s="0" t="n">
        <f aca="false">$B$71+$C$71*AJQ80</f>
        <v>15043.529811427</v>
      </c>
      <c r="AJR82" s="0" t="n">
        <f aca="false">$B$71+$C$71*AJR80</f>
        <v>13613.0391592023</v>
      </c>
      <c r="AJS82" s="0" t="n">
        <f aca="false">$B$71+$C$71*AJS80</f>
        <v>14579.8130701259</v>
      </c>
      <c r="AJT82" s="0" t="n">
        <f aca="false">$B$71+$C$71*AJT80</f>
        <v>13094.2681870595</v>
      </c>
      <c r="AJU82" s="0" t="n">
        <f aca="false">$B$71+$C$71*AJU80</f>
        <v>19127.0626493403</v>
      </c>
      <c r="AJV82" s="0" t="n">
        <f aca="false">$B$71+$C$71*AJV80</f>
        <v>13896.7954490865</v>
      </c>
      <c r="AJW82" s="0" t="n">
        <f aca="false">$B$71+$C$71*AJW80</f>
        <v>15399.6984824824</v>
      </c>
      <c r="AJX82" s="0" t="n">
        <f aca="false">$B$71+$C$71*AJX80</f>
        <v>13902.4823012183</v>
      </c>
      <c r="AJY82" s="0" t="n">
        <f aca="false">$B$71+$C$71*AJY80</f>
        <v>15658.5646376888</v>
      </c>
      <c r="AJZ82" s="0" t="n">
        <f aca="false">$B$71+$C$71*AJZ80</f>
        <v>11949.9737974859</v>
      </c>
      <c r="AKA82" s="0" t="n">
        <f aca="false">$B$71+$C$71*AKA80</f>
        <v>16507.0110060627</v>
      </c>
      <c r="AKB82" s="0" t="n">
        <f aca="false">$B$71+$C$71*AKB80</f>
        <v>12035.6583592597</v>
      </c>
      <c r="AKC82" s="0" t="n">
        <f aca="false">$B$71+$C$71*AKC80</f>
        <v>16302.7442119582</v>
      </c>
      <c r="AKD82" s="0" t="n">
        <f aca="false">$B$71+$C$71*AKD80</f>
        <v>12788.6019672753</v>
      </c>
      <c r="AKE82" s="0" t="n">
        <f aca="false">$B$71+$C$71*AKE80</f>
        <v>16287.3634701715</v>
      </c>
      <c r="AKF82" s="0" t="n">
        <f aca="false">$B$71+$C$71*AKF80</f>
        <v>16958.3801788089</v>
      </c>
      <c r="AKG82" s="0" t="n">
        <f aca="false">$B$71+$C$71*AKG80</f>
        <v>13701.1272203807</v>
      </c>
      <c r="AKH82" s="0" t="n">
        <f aca="false">$B$71+$C$71*AKH80</f>
        <v>16674.1414774251</v>
      </c>
      <c r="AKI82" s="0" t="n">
        <f aca="false">$B$71+$C$71*AKI80</f>
        <v>12434.9448741526</v>
      </c>
      <c r="AKJ82" s="0" t="n">
        <f aca="false">$B$71+$C$71*AKJ80</f>
        <v>10668.1869421458</v>
      </c>
      <c r="AKK82" s="0" t="n">
        <f aca="false">$B$71+$C$71*AKK80</f>
        <v>12165.5687832383</v>
      </c>
      <c r="AKL82" s="0" t="n">
        <f aca="false">$B$71+$C$71*AKL80</f>
        <v>13251.514494711</v>
      </c>
      <c r="AKM82" s="0" t="n">
        <f aca="false">$B$71+$C$71*AKM80</f>
        <v>15828.0922998423</v>
      </c>
      <c r="AKN82" s="0" t="n">
        <f aca="false">$B$71+$C$71*AKN80</f>
        <v>15795.7963981888</v>
      </c>
      <c r="AKO82" s="0" t="n">
        <f aca="false">$B$71+$C$71*AKO80</f>
        <v>15687.6369601886</v>
      </c>
      <c r="AKP82" s="0" t="n">
        <f aca="false">$B$71+$C$71*AKP80</f>
        <v>12026.7097951507</v>
      </c>
      <c r="AKQ82" s="0" t="n">
        <f aca="false">$B$71+$C$71*AKQ80</f>
        <v>15787.2796351174</v>
      </c>
      <c r="AKR82" s="0" t="n">
        <f aca="false">$B$71+$C$71*AKR80</f>
        <v>15389.2665481929</v>
      </c>
      <c r="AKS82" s="0" t="n">
        <f aca="false">$B$71+$C$71*AKS80</f>
        <v>14472.2224204843</v>
      </c>
      <c r="AKT82" s="0" t="n">
        <f aca="false">$B$71+$C$71*AKT80</f>
        <v>16090.1071330718</v>
      </c>
      <c r="AKU82" s="0" t="n">
        <f aca="false">$B$71+$C$71*AKU80</f>
        <v>13868.3137788425</v>
      </c>
      <c r="AKV82" s="0" t="n">
        <f aca="false">$B$71+$C$71*AKV80</f>
        <v>15673.4304806488</v>
      </c>
      <c r="AKW82" s="0" t="n">
        <f aca="false">$B$71+$C$71*AKW80</f>
        <v>15183.407593538</v>
      </c>
      <c r="AKX82" s="0" t="n">
        <f aca="false">$B$71+$C$71*AKX80</f>
        <v>13608.6047517748</v>
      </c>
      <c r="AKY82" s="0" t="n">
        <f aca="false">$B$71+$C$71*AKY80</f>
        <v>18650.6961336826</v>
      </c>
      <c r="AKZ82" s="0" t="n">
        <f aca="false">$B$71+$C$71*AKZ80</f>
        <v>11625.3686252823</v>
      </c>
      <c r="ALA82" s="0" t="n">
        <f aca="false">$B$71+$C$71*ALA80</f>
        <v>15695.9365620317</v>
      </c>
      <c r="ALB82" s="0" t="n">
        <f aca="false">$B$71+$C$71*ALB80</f>
        <v>16841.2952372182</v>
      </c>
      <c r="ALC82" s="0" t="n">
        <f aca="false">$B$71+$C$71*ALC80</f>
        <v>15697.6127562438</v>
      </c>
      <c r="ALD82" s="0" t="n">
        <f aca="false">$B$71+$C$71*ALD80</f>
        <v>15146.277604056</v>
      </c>
      <c r="ALE82" s="0" t="n">
        <f aca="false">$B$71+$C$71*ALE80</f>
        <v>13464.5102509334</v>
      </c>
      <c r="ALF82" s="0" t="n">
        <f aca="false">$B$71+$C$71*ALF80</f>
        <v>11694.2788505237</v>
      </c>
      <c r="ALG82" s="0" t="n">
        <f aca="false">$B$71+$C$71*ALG80</f>
        <v>17091.6281171715</v>
      </c>
      <c r="ALH82" s="0" t="n">
        <f aca="false">$B$71+$C$71*ALH80</f>
        <v>18056.0927280798</v>
      </c>
      <c r="ALI82" s="0" t="n">
        <f aca="false">$B$71+$C$71*ALI80</f>
        <v>15538.6475022057</v>
      </c>
      <c r="ALJ82" s="0" t="n">
        <f aca="false">$B$71+$C$71*ALJ80</f>
        <v>15984.1584994579</v>
      </c>
      <c r="ALK82" s="0" t="n">
        <f aca="false">$B$71+$C$71*ALK80</f>
        <v>14226.3626742509</v>
      </c>
      <c r="ALL82" s="0" t="n">
        <f aca="false">$B$71+$C$71*ALL80</f>
        <v>12638.8859085052</v>
      </c>
      <c r="ALM82" s="0" t="n">
        <f aca="false">$B$71+$C$71*ALM80</f>
        <v>13310.3770653341</v>
      </c>
    </row>
    <row r="83" customFormat="false" ht="14.5" hidden="false" customHeight="false" outlineLevel="0" collapsed="false">
      <c r="A83" s="0" t="s">
        <v>38</v>
      </c>
      <c r="B83" s="0" t="n">
        <f aca="false">$B$72+$C$72*B81</f>
        <v>2.03707470241207</v>
      </c>
      <c r="C83" s="0" t="n">
        <f aca="false">$B$72+$C$72*C81</f>
        <v>1.97768024334181</v>
      </c>
      <c r="D83" s="0" t="n">
        <f aca="false">$B$72+$C$72*D81</f>
        <v>1.67203404285762</v>
      </c>
      <c r="E83" s="0" t="n">
        <f aca="false">$B$72+$C$72*E81</f>
        <v>1.94193059533853</v>
      </c>
      <c r="F83" s="0" t="n">
        <f aca="false">$B$72+$C$72*F81</f>
        <v>2.00676325065854</v>
      </c>
      <c r="G83" s="0" t="n">
        <f aca="false">$B$72+$C$72*G81</f>
        <v>1.93112611414849</v>
      </c>
      <c r="H83" s="0" t="n">
        <f aca="false">$B$72+$C$72*H81</f>
        <v>1.9508670877666</v>
      </c>
      <c r="I83" s="0" t="n">
        <f aca="false">$B$72+$C$72*I81</f>
        <v>1.72432382296353</v>
      </c>
      <c r="J83" s="0" t="n">
        <f aca="false">$B$72+$C$72*J81</f>
        <v>1.94948596749096</v>
      </c>
      <c r="K83" s="0" t="n">
        <f aca="false">$B$72+$C$72*K81</f>
        <v>2.14080986783482</v>
      </c>
      <c r="L83" s="0" t="n">
        <f aca="false">$B$72+$C$72*L81</f>
        <v>1.97852428162449</v>
      </c>
      <c r="M83" s="0" t="n">
        <f aca="false">$B$72+$C$72*M81</f>
        <v>1.89273762273443</v>
      </c>
      <c r="N83" s="0" t="n">
        <f aca="false">$B$72+$C$72*N81</f>
        <v>2.14218113882184</v>
      </c>
      <c r="O83" s="0" t="n">
        <f aca="false">$B$72+$C$72*O81</f>
        <v>2.20877103946552</v>
      </c>
      <c r="P83" s="0" t="n">
        <f aca="false">$B$72+$C$72*P81</f>
        <v>1.89152391816541</v>
      </c>
      <c r="Q83" s="0" t="n">
        <f aca="false">$B$72+$C$72*Q81</f>
        <v>2.21046830223483</v>
      </c>
      <c r="R83" s="0" t="n">
        <f aca="false">$B$72+$C$72*R81</f>
        <v>2.25848653456688</v>
      </c>
      <c r="S83" s="0" t="n">
        <f aca="false">$B$72+$C$72*S81</f>
        <v>2.17168941670951</v>
      </c>
      <c r="T83" s="0" t="n">
        <f aca="false">$B$72+$C$72*T81</f>
        <v>2.12864975246238</v>
      </c>
      <c r="U83" s="0" t="n">
        <f aca="false">$B$72+$C$72*U81</f>
        <v>2.3524636109925</v>
      </c>
      <c r="V83" s="0" t="n">
        <f aca="false">$B$72+$C$72*V81</f>
        <v>2.09022037956647</v>
      </c>
      <c r="W83" s="0" t="n">
        <f aca="false">$B$72+$C$72*W81</f>
        <v>1.90487915640564</v>
      </c>
      <c r="X83" s="0" t="n">
        <f aca="false">$B$72+$C$72*X81</f>
        <v>1.85487354556797</v>
      </c>
      <c r="Y83" s="0" t="n">
        <f aca="false">$B$72+$C$72*Y81</f>
        <v>2.01515399025035</v>
      </c>
      <c r="Z83" s="0" t="n">
        <f aca="false">$B$72+$C$72*Z81</f>
        <v>1.66127128787168</v>
      </c>
      <c r="AA83" s="0" t="n">
        <f aca="false">$B$72+$C$72*AA81</f>
        <v>1.66508828499267</v>
      </c>
      <c r="AB83" s="0" t="n">
        <f aca="false">$B$72+$C$72*AB81</f>
        <v>1.59495616410666</v>
      </c>
      <c r="AC83" s="0" t="n">
        <f aca="false">$B$72+$C$72*AC81</f>
        <v>2.29271037178241</v>
      </c>
      <c r="AD83" s="0" t="n">
        <f aca="false">$B$72+$C$72*AD81</f>
        <v>1.77659235487309</v>
      </c>
      <c r="AE83" s="0" t="n">
        <f aca="false">$B$72+$C$72*AE81</f>
        <v>1.99810950682811</v>
      </c>
      <c r="AF83" s="0" t="n">
        <f aca="false">$B$72+$C$72*AF81</f>
        <v>2.14469398666982</v>
      </c>
      <c r="AG83" s="0" t="n">
        <f aca="false">$B$72+$C$72*AG81</f>
        <v>1.92556204899363</v>
      </c>
      <c r="AH83" s="0" t="n">
        <f aca="false">$B$72+$C$72*AH81</f>
        <v>2.0218697920931</v>
      </c>
      <c r="AI83" s="0" t="n">
        <f aca="false">$B$72+$C$72*AI81</f>
        <v>2.08213996558594</v>
      </c>
      <c r="AJ83" s="0" t="n">
        <f aca="false">$B$72+$C$72*AJ81</f>
        <v>1.80513107266928</v>
      </c>
      <c r="AK83" s="0" t="n">
        <f aca="false">$B$72+$C$72*AK81</f>
        <v>1.92448590520218</v>
      </c>
      <c r="AL83" s="0" t="n">
        <f aca="false">$B$72+$C$72*AL81</f>
        <v>1.77178954307399</v>
      </c>
      <c r="AM83" s="0" t="n">
        <f aca="false">$B$72+$C$72*AM81</f>
        <v>1.74358000502389</v>
      </c>
      <c r="AN83" s="0" t="n">
        <f aca="false">$B$72+$C$72*AN81</f>
        <v>2.0122821557712</v>
      </c>
      <c r="AO83" s="0" t="n">
        <f aca="false">$B$72+$C$72*AO81</f>
        <v>2.41201351960944</v>
      </c>
      <c r="AP83" s="0" t="n">
        <f aca="false">$B$72+$C$72*AP81</f>
        <v>2.06482569857873</v>
      </c>
      <c r="AQ83" s="0" t="n">
        <f aca="false">$B$72+$C$72*AQ81</f>
        <v>1.950819890676</v>
      </c>
      <c r="AR83" s="0" t="n">
        <f aca="false">$B$72+$C$72*AR81</f>
        <v>2.22109251000882</v>
      </c>
      <c r="AS83" s="0" t="n">
        <f aca="false">$B$72+$C$72*AS81</f>
        <v>2.00008884361558</v>
      </c>
      <c r="AT83" s="0" t="n">
        <f aca="false">$B$72+$C$72*AT81</f>
        <v>2.00902020147848</v>
      </c>
      <c r="AU83" s="0" t="n">
        <f aca="false">$B$72+$C$72*AU81</f>
        <v>1.95266617910387</v>
      </c>
      <c r="AV83" s="0" t="n">
        <f aca="false">$B$72+$C$72*AV81</f>
        <v>1.80586694983266</v>
      </c>
      <c r="AW83" s="0" t="n">
        <f aca="false">$B$72+$C$72*AW81</f>
        <v>1.98990206248328</v>
      </c>
      <c r="AX83" s="0" t="n">
        <f aca="false">$B$72+$C$72*AX81</f>
        <v>2.2530436083447</v>
      </c>
      <c r="AY83" s="0" t="n">
        <f aca="false">$B$72+$C$72*AY81</f>
        <v>1.94788592995342</v>
      </c>
      <c r="AZ83" s="0" t="n">
        <f aca="false">$B$72+$C$72*AZ81</f>
        <v>1.65754541636302</v>
      </c>
      <c r="BA83" s="0" t="n">
        <f aca="false">$B$72+$C$72*BA81</f>
        <v>2.01002104381918</v>
      </c>
      <c r="BB83" s="0" t="n">
        <f aca="false">$B$72+$C$72*BB81</f>
        <v>2.23497119046007</v>
      </c>
      <c r="BC83" s="0" t="n">
        <f aca="false">$B$72+$C$72*BC81</f>
        <v>1.93678492331304</v>
      </c>
      <c r="BD83" s="0" t="n">
        <f aca="false">$B$72+$C$72*BD81</f>
        <v>2.17668188232302</v>
      </c>
      <c r="BE83" s="0" t="n">
        <f aca="false">$B$72+$C$72*BE81</f>
        <v>2.01250299580688</v>
      </c>
      <c r="BF83" s="0" t="n">
        <f aca="false">$B$72+$C$72*BF81</f>
        <v>2.226356528212</v>
      </c>
      <c r="BG83" s="0" t="n">
        <f aca="false">$B$72+$C$72*BG81</f>
        <v>1.74588162031279</v>
      </c>
      <c r="BH83" s="0" t="n">
        <f aca="false">$B$72+$C$72*BH81</f>
        <v>2.0706753578336</v>
      </c>
      <c r="BI83" s="0" t="n">
        <f aca="false">$B$72+$C$72*BI81</f>
        <v>1.70739181185924</v>
      </c>
      <c r="BJ83" s="0" t="n">
        <f aca="false">$B$72+$C$72*BJ81</f>
        <v>1.90820149957516</v>
      </c>
      <c r="BK83" s="0" t="n">
        <f aca="false">$B$72+$C$72*BK81</f>
        <v>1.87857334885244</v>
      </c>
      <c r="BL83" s="0" t="n">
        <f aca="false">$B$72+$C$72*BL81</f>
        <v>1.91408912966546</v>
      </c>
      <c r="BM83" s="0" t="n">
        <f aca="false">$B$72+$C$72*BM81</f>
        <v>2.18449473194087</v>
      </c>
      <c r="BN83" s="0" t="n">
        <f aca="false">$B$72+$C$72*BN81</f>
        <v>2.2310253321293</v>
      </c>
      <c r="BO83" s="0" t="n">
        <f aca="false">$B$72+$C$72*BO81</f>
        <v>2.05763392103819</v>
      </c>
      <c r="BP83" s="0" t="n">
        <f aca="false">$B$72+$C$72*BP81</f>
        <v>2.01522958292953</v>
      </c>
      <c r="BQ83" s="0" t="n">
        <f aca="false">$B$72+$C$72*BQ81</f>
        <v>2.0966190773157</v>
      </c>
      <c r="BR83" s="0" t="n">
        <f aca="false">$B$72+$C$72*BR81</f>
        <v>2.00033003606493</v>
      </c>
      <c r="BS83" s="0" t="n">
        <f aca="false">$B$72+$C$72*BS81</f>
        <v>2.20122504018574</v>
      </c>
      <c r="BT83" s="0" t="n">
        <f aca="false">$B$72+$C$72*BT81</f>
        <v>1.89795199822868</v>
      </c>
      <c r="BU83" s="0" t="n">
        <f aca="false">$B$72+$C$72*BU81</f>
        <v>2.33102206307573</v>
      </c>
      <c r="BV83" s="0" t="n">
        <f aca="false">$B$72+$C$72*BV81</f>
        <v>1.93545333138603</v>
      </c>
      <c r="BW83" s="0" t="n">
        <f aca="false">$B$72+$C$72*BW81</f>
        <v>2.10569044727801</v>
      </c>
      <c r="BX83" s="0" t="n">
        <f aca="false">$B$72+$C$72*BX81</f>
        <v>2.16628306322634</v>
      </c>
      <c r="BY83" s="0" t="n">
        <f aca="false">$B$72+$C$72*BY81</f>
        <v>2.18012455971467</v>
      </c>
      <c r="BZ83" s="0" t="n">
        <f aca="false">$B$72+$C$72*BZ81</f>
        <v>1.8194467694964</v>
      </c>
      <c r="CA83" s="0" t="n">
        <f aca="false">$B$72+$C$72*CA81</f>
        <v>1.88894486995186</v>
      </c>
      <c r="CB83" s="0" t="n">
        <f aca="false">$B$72+$C$72*CB81</f>
        <v>2.23756099199715</v>
      </c>
      <c r="CC83" s="0" t="n">
        <f aca="false">$B$72+$C$72*CC81</f>
        <v>1.66123412246448</v>
      </c>
      <c r="CD83" s="0" t="n">
        <f aca="false">$B$72+$C$72*CD81</f>
        <v>1.49692888800295</v>
      </c>
      <c r="CE83" s="0" t="n">
        <f aca="false">$B$72+$C$72*CE81</f>
        <v>1.82170542051709</v>
      </c>
      <c r="CF83" s="0" t="n">
        <f aca="false">$B$72+$C$72*CF81</f>
        <v>1.82157835870492</v>
      </c>
      <c r="CG83" s="0" t="n">
        <f aca="false">$B$72+$C$72*CG81</f>
        <v>2.37402363877002</v>
      </c>
      <c r="CH83" s="0" t="n">
        <f aca="false">$B$72+$C$72*CH81</f>
        <v>2.04977060298043</v>
      </c>
      <c r="CI83" s="0" t="n">
        <f aca="false">$B$72+$C$72*CI81</f>
        <v>1.76309346001492</v>
      </c>
      <c r="CJ83" s="0" t="n">
        <f aca="false">$B$72+$C$72*CJ81</f>
        <v>1.66521369927457</v>
      </c>
      <c r="CK83" s="0" t="n">
        <f aca="false">$B$72+$C$72*CK81</f>
        <v>2.04411051482257</v>
      </c>
      <c r="CL83" s="0" t="n">
        <f aca="false">$B$72+$C$72*CL81</f>
        <v>2.09033772362767</v>
      </c>
      <c r="CM83" s="0" t="n">
        <f aca="false">$B$72+$C$72*CM81</f>
        <v>1.7839083596272</v>
      </c>
      <c r="CN83" s="0" t="n">
        <f aca="false">$B$72+$C$72*CN81</f>
        <v>1.8716101507841</v>
      </c>
      <c r="CO83" s="0" t="n">
        <f aca="false">$B$72+$C$72*CO81</f>
        <v>1.93270672922135</v>
      </c>
      <c r="CP83" s="0" t="n">
        <f aca="false">$B$72+$C$72*CP81</f>
        <v>2.17573375462623</v>
      </c>
      <c r="CQ83" s="0" t="n">
        <f aca="false">$B$72+$C$72*CQ81</f>
        <v>2.045096283597</v>
      </c>
      <c r="CR83" s="0" t="n">
        <f aca="false">$B$72+$C$72*CR81</f>
        <v>1.94777038059214</v>
      </c>
      <c r="CS83" s="0" t="n">
        <f aca="false">$B$72+$C$72*CS81</f>
        <v>1.97767400325542</v>
      </c>
      <c r="CT83" s="0" t="n">
        <f aca="false">$B$72+$C$72*CT81</f>
        <v>2.31700842042999</v>
      </c>
      <c r="CU83" s="0" t="n">
        <f aca="false">$B$72+$C$72*CU81</f>
        <v>2.13692944873364</v>
      </c>
      <c r="CV83" s="0" t="n">
        <f aca="false">$B$72+$C$72*CV81</f>
        <v>2.24568934930972</v>
      </c>
      <c r="CW83" s="0" t="n">
        <f aca="false">$B$72+$C$72*CW81</f>
        <v>1.99554545971659</v>
      </c>
      <c r="CX83" s="0" t="n">
        <f aca="false">$B$72+$C$72*CX81</f>
        <v>1.93802599118249</v>
      </c>
      <c r="CY83" s="0" t="n">
        <f aca="false">$B$72+$C$72*CY81</f>
        <v>1.95892031093581</v>
      </c>
      <c r="CZ83" s="0" t="n">
        <f aca="false">$B$72+$C$72*CZ81</f>
        <v>2.00611070283738</v>
      </c>
      <c r="DA83" s="0" t="n">
        <f aca="false">$B$72+$C$72*DA81</f>
        <v>2.3398330603699</v>
      </c>
      <c r="DB83" s="0" t="n">
        <f aca="false">$B$72+$C$72*DB81</f>
        <v>2.60023910975532</v>
      </c>
      <c r="DC83" s="0" t="n">
        <f aca="false">$B$72+$C$72*DC81</f>
        <v>1.7372026187758</v>
      </c>
      <c r="DD83" s="0" t="n">
        <f aca="false">$B$72+$C$72*DD81</f>
        <v>1.9987800441289</v>
      </c>
      <c r="DE83" s="0" t="n">
        <f aca="false">$B$72+$C$72*DE81</f>
        <v>2.01454606797562</v>
      </c>
      <c r="DF83" s="0" t="n">
        <f aca="false">$B$72+$C$72*DF81</f>
        <v>2.10003946946734</v>
      </c>
      <c r="DG83" s="0" t="n">
        <f aca="false">$B$72+$C$72*DG81</f>
        <v>2.05479327317218</v>
      </c>
      <c r="DH83" s="0" t="n">
        <f aca="false">$B$72+$C$72*DH81</f>
        <v>2.07227800215173</v>
      </c>
      <c r="DI83" s="0" t="n">
        <f aca="false">$B$72+$C$72*DI81</f>
        <v>2.19866088541976</v>
      </c>
      <c r="DJ83" s="0" t="n">
        <f aca="false">$B$72+$C$72*DJ81</f>
        <v>1.99510694997134</v>
      </c>
      <c r="DK83" s="0" t="n">
        <f aca="false">$B$72+$C$72*DK81</f>
        <v>1.90126767309263</v>
      </c>
      <c r="DL83" s="0" t="n">
        <f aca="false">$B$72+$C$72*DL81</f>
        <v>1.86237293675859</v>
      </c>
      <c r="DM83" s="0" t="n">
        <f aca="false">$B$72+$C$72*DM81</f>
        <v>1.88413989930188</v>
      </c>
      <c r="DN83" s="0" t="n">
        <f aca="false">$B$72+$C$72*DN81</f>
        <v>1.84455004280188</v>
      </c>
      <c r="DO83" s="0" t="n">
        <f aca="false">$B$72+$C$72*DO81</f>
        <v>1.55339421398927</v>
      </c>
      <c r="DP83" s="0" t="n">
        <f aca="false">$B$72+$C$72*DP81</f>
        <v>1.81079060408483</v>
      </c>
      <c r="DQ83" s="0" t="n">
        <f aca="false">$B$72+$C$72*DQ81</f>
        <v>2.0349375329795</v>
      </c>
      <c r="DR83" s="0" t="n">
        <f aca="false">$B$72+$C$72*DR81</f>
        <v>2.06240591977559</v>
      </c>
      <c r="DS83" s="0" t="n">
        <f aca="false">$B$72+$C$72*DS81</f>
        <v>2.23371964242947</v>
      </c>
      <c r="DT83" s="0" t="n">
        <f aca="false">$B$72+$C$72*DT81</f>
        <v>1.80487976520953</v>
      </c>
      <c r="DU83" s="0" t="n">
        <f aca="false">$B$72+$C$72*DU81</f>
        <v>1.83892881301287</v>
      </c>
      <c r="DV83" s="0" t="n">
        <f aca="false">$B$72+$C$72*DV81</f>
        <v>1.85874875068805</v>
      </c>
      <c r="DW83" s="0" t="n">
        <f aca="false">$B$72+$C$72*DW81</f>
        <v>2.21003645291866</v>
      </c>
      <c r="DX83" s="0" t="n">
        <f aca="false">$B$72+$C$72*DX81</f>
        <v>2.12543168497137</v>
      </c>
      <c r="DY83" s="0" t="n">
        <f aca="false">$B$72+$C$72*DY81</f>
        <v>1.93104160594779</v>
      </c>
      <c r="DZ83" s="0" t="n">
        <f aca="false">$B$72+$C$72*DZ81</f>
        <v>2.27741664223386</v>
      </c>
      <c r="EA83" s="0" t="n">
        <f aca="false">$B$72+$C$72*EA81</f>
        <v>2.36827901070828</v>
      </c>
      <c r="EB83" s="0" t="n">
        <f aca="false">$B$72+$C$72*EB81</f>
        <v>2.07985112086349</v>
      </c>
      <c r="EC83" s="0" t="n">
        <f aca="false">$B$72+$C$72*EC81</f>
        <v>1.97856861489613</v>
      </c>
      <c r="ED83" s="0" t="n">
        <f aca="false">$B$72+$C$72*ED81</f>
        <v>2.18062680208488</v>
      </c>
      <c r="EE83" s="0" t="n">
        <f aca="false">$B$72+$C$72*EE81</f>
        <v>1.77626001015564</v>
      </c>
      <c r="EF83" s="0" t="n">
        <f aca="false">$B$72+$C$72*EF81</f>
        <v>1.94500924521364</v>
      </c>
      <c r="EG83" s="0" t="n">
        <f aca="false">$B$72+$C$72*EG81</f>
        <v>2.10183989520972</v>
      </c>
      <c r="EH83" s="0" t="n">
        <f aca="false">$B$72+$C$72*EH81</f>
        <v>2.02881479239745</v>
      </c>
      <c r="EI83" s="0" t="n">
        <f aca="false">$B$72+$C$72*EI81</f>
        <v>2.26277359925695</v>
      </c>
      <c r="EJ83" s="0" t="n">
        <f aca="false">$B$72+$C$72*EJ81</f>
        <v>1.88735836028673</v>
      </c>
      <c r="EK83" s="0" t="n">
        <f aca="false">$B$72+$C$72*EK81</f>
        <v>1.94240794230312</v>
      </c>
      <c r="EL83" s="0" t="n">
        <f aca="false">$B$72+$C$72*EL81</f>
        <v>1.75766110992143</v>
      </c>
      <c r="EM83" s="0" t="n">
        <f aca="false">$B$72+$C$72*EM81</f>
        <v>2.00702454755996</v>
      </c>
      <c r="EN83" s="0" t="n">
        <f aca="false">$B$72+$C$72*EN81</f>
        <v>1.77428561189576</v>
      </c>
      <c r="EO83" s="0" t="n">
        <f aca="false">$B$72+$C$72*EO81</f>
        <v>2.01000068865237</v>
      </c>
      <c r="EP83" s="0" t="n">
        <f aca="false">$B$72+$C$72*EP81</f>
        <v>2.0382022898443</v>
      </c>
      <c r="EQ83" s="0" t="n">
        <f aca="false">$B$72+$C$72*EQ81</f>
        <v>2.08361379483713</v>
      </c>
      <c r="ER83" s="0" t="n">
        <f aca="false">$B$72+$C$72*ER81</f>
        <v>1.89962278864129</v>
      </c>
      <c r="ES83" s="0" t="n">
        <f aca="false">$B$72+$C$72*ES81</f>
        <v>1.84131819021995</v>
      </c>
      <c r="ET83" s="0" t="n">
        <f aca="false">$B$72+$C$72*ET81</f>
        <v>1.94490412343533</v>
      </c>
      <c r="EU83" s="0" t="n">
        <f aca="false">$B$72+$C$72*EU81</f>
        <v>1.71796920973548</v>
      </c>
      <c r="EV83" s="0" t="n">
        <f aca="false">$B$72+$C$72*EV81</f>
        <v>1.85873356430037</v>
      </c>
      <c r="EW83" s="0" t="n">
        <f aca="false">$B$72+$C$72*EW81</f>
        <v>2.21263070281329</v>
      </c>
      <c r="EX83" s="0" t="n">
        <f aca="false">$B$72+$C$72*EX81</f>
        <v>2.445388878506</v>
      </c>
      <c r="EY83" s="0" t="n">
        <f aca="false">$B$72+$C$72*EY81</f>
        <v>1.55865096700484</v>
      </c>
      <c r="EZ83" s="0" t="n">
        <f aca="false">$B$72+$C$72*EZ81</f>
        <v>2.00070632372734</v>
      </c>
      <c r="FA83" s="0" t="n">
        <f aca="false">$B$72+$C$72*FA81</f>
        <v>1.75049377987134</v>
      </c>
      <c r="FB83" s="0" t="n">
        <f aca="false">$B$72+$C$72*FB81</f>
        <v>1.89851735536229</v>
      </c>
      <c r="FC83" s="0" t="n">
        <f aca="false">$B$72+$C$72*FC81</f>
        <v>1.80708977850034</v>
      </c>
      <c r="FD83" s="0" t="n">
        <f aca="false">$B$72+$C$72*FD81</f>
        <v>1.76151033825052</v>
      </c>
      <c r="FE83" s="0" t="n">
        <f aca="false">$B$72+$C$72*FE81</f>
        <v>2.37642796430718</v>
      </c>
      <c r="FF83" s="0" t="n">
        <f aca="false">$B$72+$C$72*FF81</f>
        <v>2.1729916381712</v>
      </c>
      <c r="FG83" s="0" t="n">
        <f aca="false">$B$72+$C$72*FG81</f>
        <v>1.98768568745475</v>
      </c>
      <c r="FH83" s="0" t="n">
        <f aca="false">$B$72+$C$72*FH81</f>
        <v>1.97778519061408</v>
      </c>
      <c r="FI83" s="0" t="n">
        <f aca="false">$B$72+$C$72*FI81</f>
        <v>2.18027530847566</v>
      </c>
      <c r="FJ83" s="0" t="n">
        <f aca="false">$B$72+$C$72*FJ81</f>
        <v>1.93342674532887</v>
      </c>
      <c r="FK83" s="0" t="n">
        <f aca="false">$B$72+$C$72*FK81</f>
        <v>1.72533624084025</v>
      </c>
      <c r="FL83" s="0" t="n">
        <f aca="false">$B$72+$C$72*FL81</f>
        <v>2.16435107617899</v>
      </c>
      <c r="FM83" s="0" t="n">
        <f aca="false">$B$72+$C$72*FM81</f>
        <v>1.6629008318768</v>
      </c>
      <c r="FN83" s="0" t="n">
        <f aca="false">$B$72+$C$72*FN81</f>
        <v>1.77410694619265</v>
      </c>
      <c r="FO83" s="0" t="n">
        <f aca="false">$B$72+$C$72*FO81</f>
        <v>1.99674383223274</v>
      </c>
      <c r="FP83" s="0" t="n">
        <f aca="false">$B$72+$C$72*FP81</f>
        <v>2.10195889352466</v>
      </c>
      <c r="FQ83" s="0" t="n">
        <f aca="false">$B$72+$C$72*FQ81</f>
        <v>2.10940725098144</v>
      </c>
      <c r="FR83" s="0" t="n">
        <f aca="false">$B$72+$C$72*FR81</f>
        <v>2.0858483822422</v>
      </c>
      <c r="FS83" s="0" t="n">
        <f aca="false">$B$72+$C$72*FS81</f>
        <v>2.18437395802768</v>
      </c>
      <c r="FT83" s="0" t="n">
        <f aca="false">$B$72+$C$72*FT81</f>
        <v>1.95287887391271</v>
      </c>
      <c r="FU83" s="0" t="n">
        <f aca="false">$B$72+$C$72*FU81</f>
        <v>1.76588236433995</v>
      </c>
      <c r="FV83" s="0" t="n">
        <f aca="false">$B$72+$C$72*FV81</f>
        <v>1.7834025226436</v>
      </c>
      <c r="FW83" s="0" t="n">
        <f aca="false">$B$72+$C$72*FW81</f>
        <v>1.85079808848832</v>
      </c>
      <c r="FX83" s="0" t="n">
        <f aca="false">$B$72+$C$72*FX81</f>
        <v>1.97074972446711</v>
      </c>
      <c r="FY83" s="0" t="n">
        <f aca="false">$B$72+$C$72*FY81</f>
        <v>1.80473048073052</v>
      </c>
      <c r="FZ83" s="0" t="n">
        <f aca="false">$B$72+$C$72*FZ81</f>
        <v>2.27999238593988</v>
      </c>
      <c r="GA83" s="0" t="n">
        <f aca="false">$B$72+$C$72*GA81</f>
        <v>2.04825056512629</v>
      </c>
      <c r="GB83" s="0" t="n">
        <f aca="false">$B$72+$C$72*GB81</f>
        <v>1.99142681033505</v>
      </c>
      <c r="GC83" s="0" t="n">
        <f aca="false">$B$72+$C$72*GC81</f>
        <v>2.21370894008121</v>
      </c>
      <c r="GD83" s="0" t="n">
        <f aca="false">$B$72+$C$72*GD81</f>
        <v>2.09695002775386</v>
      </c>
      <c r="GE83" s="0" t="n">
        <f aca="false">$B$72+$C$72*GE81</f>
        <v>1.89803180347709</v>
      </c>
      <c r="GF83" s="0" t="n">
        <f aca="false">$B$72+$C$72*GF81</f>
        <v>1.953971436258</v>
      </c>
      <c r="GG83" s="0" t="n">
        <f aca="false">$B$72+$C$72*GG81</f>
        <v>2.06491609922952</v>
      </c>
      <c r="GH83" s="0" t="n">
        <f aca="false">$B$72+$C$72*GH81</f>
        <v>1.97179693324709</v>
      </c>
      <c r="GI83" s="0" t="n">
        <f aca="false">$B$72+$C$72*GI81</f>
        <v>1.77686985651565</v>
      </c>
      <c r="GJ83" s="0" t="n">
        <f aca="false">$B$72+$C$72*GJ81</f>
        <v>2.29166835429577</v>
      </c>
      <c r="GK83" s="0" t="n">
        <f aca="false">$B$72+$C$72*GK81</f>
        <v>2.22003336595565</v>
      </c>
      <c r="GL83" s="0" t="n">
        <f aca="false">$B$72+$C$72*GL81</f>
        <v>2.0607084093301</v>
      </c>
      <c r="GM83" s="0" t="n">
        <f aca="false">$B$72+$C$72*GM81</f>
        <v>1.98629273422136</v>
      </c>
      <c r="GN83" s="0" t="n">
        <f aca="false">$B$72+$C$72*GN81</f>
        <v>2.02930195952633</v>
      </c>
      <c r="GO83" s="0" t="n">
        <f aca="false">$B$72+$C$72*GO81</f>
        <v>2.19351771039145</v>
      </c>
      <c r="GP83" s="0" t="n">
        <f aca="false">$B$72+$C$72*GP81</f>
        <v>1.82013906873719</v>
      </c>
      <c r="GQ83" s="0" t="n">
        <f aca="false">$B$72+$C$72*GQ81</f>
        <v>2.32299462884406</v>
      </c>
      <c r="GR83" s="0" t="n">
        <f aca="false">$B$72+$C$72*GR81</f>
        <v>1.77915008686419</v>
      </c>
      <c r="GS83" s="0" t="n">
        <f aca="false">$B$72+$C$72*GS81</f>
        <v>1.98266398755399</v>
      </c>
      <c r="GT83" s="0" t="n">
        <f aca="false">$B$72+$C$72*GT81</f>
        <v>1.90286030353571</v>
      </c>
      <c r="GU83" s="0" t="n">
        <f aca="false">$B$72+$C$72*GU81</f>
        <v>2.15125064058421</v>
      </c>
      <c r="GV83" s="0" t="n">
        <f aca="false">$B$72+$C$72*GV81</f>
        <v>1.8500351273851</v>
      </c>
      <c r="GW83" s="0" t="n">
        <f aca="false">$B$72+$C$72*GW81</f>
        <v>2.09255069004205</v>
      </c>
      <c r="GX83" s="0" t="n">
        <f aca="false">$B$72+$C$72*GX81</f>
        <v>2.03369470491746</v>
      </c>
      <c r="GY83" s="0" t="n">
        <f aca="false">$B$72+$C$72*GY81</f>
        <v>2.06995435406066</v>
      </c>
      <c r="GZ83" s="0" t="n">
        <f aca="false">$B$72+$C$72*GZ81</f>
        <v>1.85935844619572</v>
      </c>
      <c r="HA83" s="0" t="n">
        <f aca="false">$B$72+$C$72*HA81</f>
        <v>1.92425560318675</v>
      </c>
      <c r="HB83" s="0" t="n">
        <f aca="false">$B$72+$C$72*HB81</f>
        <v>2.07270934179327</v>
      </c>
      <c r="HC83" s="0" t="n">
        <f aca="false">$B$72+$C$72*HC81</f>
        <v>2.13570420818633</v>
      </c>
      <c r="HD83" s="0" t="n">
        <f aca="false">$B$72+$C$72*HD81</f>
        <v>1.73325630969207</v>
      </c>
      <c r="HE83" s="0" t="n">
        <f aca="false">$B$72+$C$72*HE81</f>
        <v>1.81722626709355</v>
      </c>
      <c r="HF83" s="0" t="n">
        <f aca="false">$B$72+$C$72*HF81</f>
        <v>2.08073149071841</v>
      </c>
      <c r="HG83" s="0" t="n">
        <f aca="false">$B$72+$C$72*HG81</f>
        <v>1.8346979652579</v>
      </c>
      <c r="HH83" s="0" t="n">
        <f aca="false">$B$72+$C$72*HH81</f>
        <v>1.81477324484093</v>
      </c>
      <c r="HI83" s="0" t="n">
        <f aca="false">$B$72+$C$72*HI81</f>
        <v>1.8962999320673</v>
      </c>
      <c r="HJ83" s="0" t="n">
        <f aca="false">$B$72+$C$72*HJ81</f>
        <v>2.04939737893401</v>
      </c>
      <c r="HK83" s="0" t="n">
        <f aca="false">$B$72+$C$72*HK81</f>
        <v>2.12650820972652</v>
      </c>
      <c r="HL83" s="0" t="n">
        <f aca="false">$B$72+$C$72*HL81</f>
        <v>1.7465501992356</v>
      </c>
      <c r="HM83" s="0" t="n">
        <f aca="false">$B$72+$C$72*HM81</f>
        <v>2.19732712411426</v>
      </c>
      <c r="HN83" s="0" t="n">
        <f aca="false">$B$72+$C$72*HN81</f>
        <v>2.17947846858661</v>
      </c>
      <c r="HO83" s="0" t="n">
        <f aca="false">$B$72+$C$72*HO81</f>
        <v>2.25042352756044</v>
      </c>
      <c r="HP83" s="0" t="n">
        <f aca="false">$B$72+$C$72*HP81</f>
        <v>2.28920854599836</v>
      </c>
      <c r="HQ83" s="0" t="n">
        <f aca="false">$B$72+$C$72*HQ81</f>
        <v>1.90780841696941</v>
      </c>
      <c r="HR83" s="0" t="n">
        <f aca="false">$B$72+$C$72*HR81</f>
        <v>1.94114929622614</v>
      </c>
      <c r="HS83" s="0" t="n">
        <f aca="false">$B$72+$C$72*HS81</f>
        <v>1.90498553845698</v>
      </c>
      <c r="HT83" s="0" t="n">
        <f aca="false">$B$72+$C$72*HT81</f>
        <v>1.61547257503378</v>
      </c>
      <c r="HU83" s="0" t="n">
        <f aca="false">$B$72+$C$72*HU81</f>
        <v>2.19647311906151</v>
      </c>
      <c r="HV83" s="0" t="n">
        <f aca="false">$B$72+$C$72*HV81</f>
        <v>1.89331786608033</v>
      </c>
      <c r="HW83" s="0" t="n">
        <f aca="false">$B$72+$C$72*HW81</f>
        <v>2.09768089678143</v>
      </c>
      <c r="HX83" s="0" t="n">
        <f aca="false">$B$72+$C$72*HX81</f>
        <v>1.81285449652166</v>
      </c>
      <c r="HY83" s="0" t="n">
        <f aca="false">$B$72+$C$72*HY81</f>
        <v>2.16572056397157</v>
      </c>
      <c r="HZ83" s="0" t="n">
        <f aca="false">$B$72+$C$72*HZ81</f>
        <v>2.14229741517967</v>
      </c>
      <c r="IA83" s="0" t="n">
        <f aca="false">$B$72+$C$72*IA81</f>
        <v>1.76695192805179</v>
      </c>
      <c r="IB83" s="0" t="n">
        <f aca="false">$B$72+$C$72*IB81</f>
        <v>2.28146734370533</v>
      </c>
      <c r="IC83" s="0" t="n">
        <f aca="false">$B$72+$C$72*IC81</f>
        <v>2.19115922787828</v>
      </c>
      <c r="ID83" s="0" t="n">
        <f aca="false">$B$72+$C$72*ID81</f>
        <v>2.20858988015562</v>
      </c>
      <c r="IE83" s="0" t="n">
        <f aca="false">$B$72+$C$72*IE81</f>
        <v>1.70237990261449</v>
      </c>
      <c r="IF83" s="0" t="n">
        <f aca="false">$B$72+$C$72*IF81</f>
        <v>2.13843771171382</v>
      </c>
      <c r="IG83" s="0" t="n">
        <f aca="false">$B$72+$C$72*IG81</f>
        <v>2.17633860606188</v>
      </c>
      <c r="IH83" s="0" t="n">
        <f aca="false">$B$72+$C$72*IH81</f>
        <v>1.96529722114737</v>
      </c>
      <c r="II83" s="0" t="n">
        <f aca="false">$B$72+$C$72*II81</f>
        <v>2.01015541920666</v>
      </c>
      <c r="IJ83" s="0" t="n">
        <f aca="false">$B$72+$C$72*IJ81</f>
        <v>2.05459762682079</v>
      </c>
      <c r="IK83" s="0" t="n">
        <f aca="false">$B$72+$C$72*IK81</f>
        <v>1.60651821433685</v>
      </c>
      <c r="IL83" s="0" t="n">
        <f aca="false">$B$72+$C$72*IL81</f>
        <v>1.92541745937632</v>
      </c>
      <c r="IM83" s="0" t="n">
        <f aca="false">$B$72+$C$72*IM81</f>
        <v>2.08282277718765</v>
      </c>
      <c r="IN83" s="0" t="n">
        <f aca="false">$B$72+$C$72*IN81</f>
        <v>2.04069074409243</v>
      </c>
      <c r="IO83" s="0" t="n">
        <f aca="false">$B$72+$C$72*IO81</f>
        <v>1.89429351438474</v>
      </c>
      <c r="IP83" s="0" t="n">
        <f aca="false">$B$72+$C$72*IP81</f>
        <v>1.96907206418431</v>
      </c>
      <c r="IQ83" s="0" t="n">
        <f aca="false">$B$72+$C$72*IQ81</f>
        <v>1.99214086409613</v>
      </c>
      <c r="IR83" s="0" t="n">
        <f aca="false">$B$72+$C$72*IR81</f>
        <v>2.18918280028133</v>
      </c>
      <c r="IS83" s="0" t="n">
        <f aca="false">$B$72+$C$72*IS81</f>
        <v>1.95658694854479</v>
      </c>
      <c r="IT83" s="0" t="n">
        <f aca="false">$B$72+$C$72*IT81</f>
        <v>1.90634211470634</v>
      </c>
      <c r="IU83" s="0" t="n">
        <f aca="false">$B$72+$C$72*IU81</f>
        <v>2.04934194289501</v>
      </c>
      <c r="IV83" s="0" t="n">
        <f aca="false">$B$72+$C$72*IV81</f>
        <v>1.83161258532993</v>
      </c>
      <c r="IW83" s="0" t="n">
        <f aca="false">$B$72+$C$72*IW81</f>
        <v>2.01037965526758</v>
      </c>
      <c r="IX83" s="0" t="n">
        <f aca="false">$B$72+$C$72*IX81</f>
        <v>1.99509303949056</v>
      </c>
      <c r="IY83" s="0" t="n">
        <f aca="false">$B$72+$C$72*IY81</f>
        <v>1.9056985573566</v>
      </c>
      <c r="IZ83" s="0" t="n">
        <f aca="false">$B$72+$C$72*IZ81</f>
        <v>1.93446994959195</v>
      </c>
      <c r="JA83" s="0" t="n">
        <f aca="false">$B$72+$C$72*JA81</f>
        <v>2.33721785453489</v>
      </c>
      <c r="JB83" s="0" t="n">
        <f aca="false">$B$72+$C$72*JB81</f>
        <v>2.04839608312865</v>
      </c>
      <c r="JC83" s="0" t="n">
        <f aca="false">$B$72+$C$72*JC81</f>
        <v>2.10278339556429</v>
      </c>
      <c r="JD83" s="0" t="n">
        <f aca="false">$B$72+$C$72*JD81</f>
        <v>2.09706005343675</v>
      </c>
      <c r="JE83" s="0" t="n">
        <f aca="false">$B$72+$C$72*JE81</f>
        <v>2.15160039726113</v>
      </c>
      <c r="JF83" s="0" t="n">
        <f aca="false">$B$72+$C$72*JF81</f>
        <v>1.90257976128512</v>
      </c>
      <c r="JG83" s="0" t="n">
        <f aca="false">$B$72+$C$72*JG81</f>
        <v>1.85297626841511</v>
      </c>
      <c r="JH83" s="0" t="n">
        <f aca="false">$B$72+$C$72*JH81</f>
        <v>2.13539656992088</v>
      </c>
      <c r="JI83" s="0" t="n">
        <f aca="false">$B$72+$C$72*JI81</f>
        <v>1.89290148119932</v>
      </c>
      <c r="JJ83" s="0" t="n">
        <f aca="false">$B$72+$C$72*JJ81</f>
        <v>2.03751526806002</v>
      </c>
      <c r="JK83" s="0" t="n">
        <f aca="false">$B$72+$C$72*JK81</f>
        <v>2.16245553474428</v>
      </c>
      <c r="JL83" s="0" t="n">
        <f aca="false">$B$72+$C$72*JL81</f>
        <v>1.9849884761085</v>
      </c>
      <c r="JM83" s="0" t="n">
        <f aca="false">$B$72+$C$72*JM81</f>
        <v>2.01518408484104</v>
      </c>
      <c r="JN83" s="0" t="n">
        <f aca="false">$B$72+$C$72*JN81</f>
        <v>1.96675198423337</v>
      </c>
      <c r="JO83" s="0" t="n">
        <f aca="false">$B$72+$C$72*JO81</f>
        <v>2.21486139496036</v>
      </c>
      <c r="JP83" s="0" t="n">
        <f aca="false">$B$72+$C$72*JP81</f>
        <v>2.03527111775459</v>
      </c>
      <c r="JQ83" s="0" t="n">
        <f aca="false">$B$72+$C$72*JQ81</f>
        <v>2.14952495047886</v>
      </c>
      <c r="JR83" s="0" t="n">
        <f aca="false">$B$72+$C$72*JR81</f>
        <v>2.31889951232204</v>
      </c>
      <c r="JS83" s="0" t="n">
        <f aca="false">$B$72+$C$72*JS81</f>
        <v>2.16249304221764</v>
      </c>
      <c r="JT83" s="0" t="n">
        <f aca="false">$B$72+$C$72*JT81</f>
        <v>2.0601482524192</v>
      </c>
      <c r="JU83" s="0" t="n">
        <f aca="false">$B$72+$C$72*JU81</f>
        <v>2.0665664416009</v>
      </c>
      <c r="JV83" s="0" t="n">
        <f aca="false">$B$72+$C$72*JV81</f>
        <v>1.97502107481068</v>
      </c>
      <c r="JW83" s="0" t="n">
        <f aca="false">$B$72+$C$72*JW81</f>
        <v>1.68184590951314</v>
      </c>
      <c r="JX83" s="0" t="n">
        <f aca="false">$B$72+$C$72*JX81</f>
        <v>2.26929415367862</v>
      </c>
      <c r="JY83" s="0" t="n">
        <f aca="false">$B$72+$C$72*JY81</f>
        <v>2.02689291015965</v>
      </c>
      <c r="JZ83" s="0" t="n">
        <f aca="false">$B$72+$C$72*JZ81</f>
        <v>2.18616409437828</v>
      </c>
      <c r="KA83" s="0" t="n">
        <f aca="false">$B$72+$C$72*KA81</f>
        <v>2.12793763846296</v>
      </c>
      <c r="KB83" s="0" t="n">
        <f aca="false">$B$72+$C$72*KB81</f>
        <v>1.84997769519065</v>
      </c>
      <c r="KC83" s="0" t="n">
        <f aca="false">$B$72+$C$72*KC81</f>
        <v>2.17095606040678</v>
      </c>
      <c r="KD83" s="0" t="n">
        <f aca="false">$B$72+$C$72*KD81</f>
        <v>2.0197636006293</v>
      </c>
      <c r="KE83" s="0" t="n">
        <f aca="false">$B$72+$C$72*KE81</f>
        <v>1.93739557793112</v>
      </c>
      <c r="KF83" s="0" t="n">
        <f aca="false">$B$72+$C$72*KF81</f>
        <v>1.96764256673859</v>
      </c>
      <c r="KG83" s="0" t="n">
        <f aca="false">$B$72+$C$72*KG81</f>
        <v>1.70227698642478</v>
      </c>
      <c r="KH83" s="0" t="n">
        <f aca="false">$B$72+$C$72*KH81</f>
        <v>1.98675095677538</v>
      </c>
      <c r="KI83" s="0" t="n">
        <f aca="false">$B$72+$C$72*KI81</f>
        <v>2.19414139976488</v>
      </c>
      <c r="KJ83" s="0" t="n">
        <f aca="false">$B$72+$C$72*KJ81</f>
        <v>1.88415701337821</v>
      </c>
      <c r="KK83" s="0" t="n">
        <f aca="false">$B$72+$C$72*KK81</f>
        <v>2.1263329398342</v>
      </c>
      <c r="KL83" s="0" t="n">
        <f aca="false">$B$72+$C$72*KL81</f>
        <v>1.93780711889719</v>
      </c>
      <c r="KM83" s="0" t="n">
        <f aca="false">$B$72+$C$72*KM81</f>
        <v>1.92068640286621</v>
      </c>
      <c r="KN83" s="0" t="n">
        <f aca="false">$B$72+$C$72*KN81</f>
        <v>2.05738392125534</v>
      </c>
      <c r="KO83" s="0" t="n">
        <f aca="false">$B$72+$C$72*KO81</f>
        <v>2.04296732429674</v>
      </c>
      <c r="KP83" s="0" t="n">
        <f aca="false">$B$72+$C$72*KP81</f>
        <v>2.29801558772334</v>
      </c>
      <c r="KQ83" s="0" t="n">
        <f aca="false">$B$72+$C$72*KQ81</f>
        <v>2.0510618280006</v>
      </c>
      <c r="KR83" s="0" t="n">
        <f aca="false">$B$72+$C$72*KR81</f>
        <v>2.01048379701262</v>
      </c>
      <c r="KS83" s="0" t="n">
        <f aca="false">$B$72+$C$72*KS81</f>
        <v>2.08551406537018</v>
      </c>
      <c r="KT83" s="0" t="n">
        <f aca="false">$B$72+$C$72*KT81</f>
        <v>2.16118317480623</v>
      </c>
      <c r="KU83" s="0" t="n">
        <f aca="false">$B$72+$C$72*KU81</f>
        <v>2.16555554976725</v>
      </c>
      <c r="KV83" s="0" t="n">
        <f aca="false">$B$72+$C$72*KV81</f>
        <v>2.0556859234888</v>
      </c>
      <c r="KW83" s="0" t="n">
        <f aca="false">$B$72+$C$72*KW81</f>
        <v>2.2699976223787</v>
      </c>
      <c r="KX83" s="0" t="n">
        <f aca="false">$B$72+$C$72*KX81</f>
        <v>1.91080853134377</v>
      </c>
      <c r="KY83" s="0" t="n">
        <f aca="false">$B$72+$C$72*KY81</f>
        <v>1.9174980753835</v>
      </c>
      <c r="KZ83" s="0" t="n">
        <f aca="false">$B$72+$C$72*KZ81</f>
        <v>2.17507281758949</v>
      </c>
      <c r="LA83" s="0" t="n">
        <f aca="false">$B$72+$C$72*LA81</f>
        <v>1.85356349598369</v>
      </c>
      <c r="LB83" s="0" t="n">
        <f aca="false">$B$72+$C$72*LB81</f>
        <v>1.59510250308643</v>
      </c>
      <c r="LC83" s="0" t="n">
        <f aca="false">$B$72+$C$72*LC81</f>
        <v>1.8978939952399</v>
      </c>
      <c r="LD83" s="0" t="n">
        <f aca="false">$B$72+$C$72*LD81</f>
        <v>2.21937687167348</v>
      </c>
      <c r="LE83" s="0" t="n">
        <f aca="false">$B$72+$C$72*LE81</f>
        <v>2.18814218427955</v>
      </c>
      <c r="LF83" s="0" t="n">
        <f aca="false">$B$72+$C$72*LF81</f>
        <v>2.15048975727197</v>
      </c>
      <c r="LG83" s="0" t="n">
        <f aca="false">$B$72+$C$72*LG81</f>
        <v>1.91529512836542</v>
      </c>
      <c r="LH83" s="0" t="n">
        <f aca="false">$B$72+$C$72*LH81</f>
        <v>2.26692795923711</v>
      </c>
      <c r="LI83" s="0" t="n">
        <f aca="false">$B$72+$C$72*LI81</f>
        <v>1.90591611815608</v>
      </c>
      <c r="LJ83" s="0" t="n">
        <f aca="false">$B$72+$C$72*LJ81</f>
        <v>2.14035914681158</v>
      </c>
      <c r="LK83" s="0" t="n">
        <f aca="false">$B$72+$C$72*LK81</f>
        <v>1.83831251909278</v>
      </c>
      <c r="LL83" s="0" t="n">
        <f aca="false">$B$72+$C$72*LL81</f>
        <v>2.03638655513413</v>
      </c>
      <c r="LM83" s="0" t="n">
        <f aca="false">$B$72+$C$72*LM81</f>
        <v>2.02029651997485</v>
      </c>
      <c r="LN83" s="0" t="n">
        <f aca="false">$B$72+$C$72*LN81</f>
        <v>1.74098244256312</v>
      </c>
      <c r="LO83" s="0" t="n">
        <f aca="false">$B$72+$C$72*LO81</f>
        <v>2.08570773764814</v>
      </c>
      <c r="LP83" s="0" t="n">
        <f aca="false">$B$72+$C$72*LP81</f>
        <v>1.83515466475703</v>
      </c>
      <c r="LQ83" s="0" t="n">
        <f aca="false">$B$72+$C$72*LQ81</f>
        <v>2.08933382157171</v>
      </c>
      <c r="LR83" s="0" t="n">
        <f aca="false">$B$72+$C$72*LR81</f>
        <v>2.21211085911742</v>
      </c>
      <c r="LS83" s="0" t="n">
        <f aca="false">$B$72+$C$72*LS81</f>
        <v>2.05826230434176</v>
      </c>
      <c r="LT83" s="0" t="n">
        <f aca="false">$B$72+$C$72*LT81</f>
        <v>1.99646570003839</v>
      </c>
      <c r="LU83" s="0" t="n">
        <f aca="false">$B$72+$C$72*LU81</f>
        <v>2.02806611680805</v>
      </c>
      <c r="LV83" s="0" t="n">
        <f aca="false">$B$72+$C$72*LV81</f>
        <v>2.21738619414331</v>
      </c>
      <c r="LW83" s="0" t="n">
        <f aca="false">$B$72+$C$72*LW81</f>
        <v>1.98248888793726</v>
      </c>
      <c r="LX83" s="0" t="n">
        <f aca="false">$B$72+$C$72*LX81</f>
        <v>1.99549545072232</v>
      </c>
      <c r="LY83" s="0" t="n">
        <f aca="false">$B$72+$C$72*LY81</f>
        <v>2.14434012003478</v>
      </c>
      <c r="LZ83" s="0" t="n">
        <f aca="false">$B$72+$C$72*LZ81</f>
        <v>2.11858103995864</v>
      </c>
      <c r="MA83" s="0" t="n">
        <f aca="false">$B$72+$C$72*MA81</f>
        <v>1.95433987944131</v>
      </c>
      <c r="MB83" s="0" t="n">
        <f aca="false">$B$72+$C$72*MB81</f>
        <v>1.74869615979005</v>
      </c>
      <c r="MC83" s="0" t="n">
        <f aca="false">$B$72+$C$72*MC81</f>
        <v>1.90683714165119</v>
      </c>
      <c r="MD83" s="0" t="n">
        <f aca="false">$B$72+$C$72*MD81</f>
        <v>1.46866042027389</v>
      </c>
      <c r="ME83" s="0" t="n">
        <f aca="false">$B$72+$C$72*ME81</f>
        <v>1.7985913821345</v>
      </c>
      <c r="MF83" s="0" t="n">
        <f aca="false">$B$72+$C$72*MF81</f>
        <v>2.02133217419363</v>
      </c>
      <c r="MG83" s="0" t="n">
        <f aca="false">$B$72+$C$72*MG81</f>
        <v>2.25742717821333</v>
      </c>
      <c r="MH83" s="0" t="n">
        <f aca="false">$B$72+$C$72*MH81</f>
        <v>2.00119880188218</v>
      </c>
      <c r="MI83" s="0" t="n">
        <f aca="false">$B$72+$C$72*MI81</f>
        <v>1.9409836209844</v>
      </c>
      <c r="MJ83" s="0" t="n">
        <f aca="false">$B$72+$C$72*MJ81</f>
        <v>1.83955617264484</v>
      </c>
      <c r="MK83" s="0" t="n">
        <f aca="false">$B$72+$C$72*MK81</f>
        <v>1.8859787665826</v>
      </c>
      <c r="ML83" s="0" t="n">
        <f aca="false">$B$72+$C$72*ML81</f>
        <v>1.77009434159712</v>
      </c>
      <c r="MM83" s="0" t="n">
        <f aca="false">$B$72+$C$72*MM81</f>
        <v>2.09463243537025</v>
      </c>
      <c r="MN83" s="0" t="n">
        <f aca="false">$B$72+$C$72*MN81</f>
        <v>1.88480697178554</v>
      </c>
      <c r="MO83" s="0" t="n">
        <f aca="false">$B$72+$C$72*MO81</f>
        <v>1.68225545846012</v>
      </c>
      <c r="MP83" s="0" t="n">
        <f aca="false">$B$72+$C$72*MP81</f>
        <v>1.71857340632158</v>
      </c>
      <c r="MQ83" s="0" t="n">
        <f aca="false">$B$72+$C$72*MQ81</f>
        <v>2.3731349036068</v>
      </c>
      <c r="MR83" s="0" t="n">
        <f aca="false">$B$72+$C$72*MR81</f>
        <v>1.88930537743778</v>
      </c>
      <c r="MS83" s="0" t="n">
        <f aca="false">$B$72+$C$72*MS81</f>
        <v>1.84796732687792</v>
      </c>
      <c r="MT83" s="0" t="n">
        <f aca="false">$B$72+$C$72*MT81</f>
        <v>2.08723124138725</v>
      </c>
      <c r="MU83" s="0" t="n">
        <f aca="false">$B$72+$C$72*MU81</f>
        <v>2.13089459865789</v>
      </c>
      <c r="MV83" s="0" t="n">
        <f aca="false">$B$72+$C$72*MV81</f>
        <v>1.79969524933952</v>
      </c>
      <c r="MW83" s="0" t="n">
        <f aca="false">$B$72+$C$72*MW81</f>
        <v>2.03523387608749</v>
      </c>
      <c r="MX83" s="0" t="n">
        <f aca="false">$B$72+$C$72*MX81</f>
        <v>2.25850467720559</v>
      </c>
      <c r="MY83" s="0" t="n">
        <f aca="false">$B$72+$C$72*MY81</f>
        <v>1.88276540897126</v>
      </c>
      <c r="MZ83" s="0" t="n">
        <f aca="false">$B$72+$C$72*MZ81</f>
        <v>1.92491361688023</v>
      </c>
      <c r="NA83" s="0" t="n">
        <f aca="false">$B$72+$C$72*NA81</f>
        <v>1.88578494931205</v>
      </c>
      <c r="NB83" s="0" t="n">
        <f aca="false">$B$72+$C$72*NB81</f>
        <v>1.76834184573756</v>
      </c>
      <c r="NC83" s="0" t="n">
        <f aca="false">$B$72+$C$72*NC81</f>
        <v>1.99440603325717</v>
      </c>
      <c r="ND83" s="0" t="n">
        <f aca="false">$B$72+$C$72*ND81</f>
        <v>2.08397190190237</v>
      </c>
      <c r="NE83" s="0" t="n">
        <f aca="false">$B$72+$C$72*NE81</f>
        <v>1.70714210935723</v>
      </c>
      <c r="NF83" s="0" t="n">
        <f aca="false">$B$72+$C$72*NF81</f>
        <v>2.02018555844703</v>
      </c>
      <c r="NG83" s="0" t="n">
        <f aca="false">$B$72+$C$72*NG81</f>
        <v>2.04524409770004</v>
      </c>
      <c r="NH83" s="0" t="n">
        <f aca="false">$B$72+$C$72*NH81</f>
        <v>2.04322782496125</v>
      </c>
      <c r="NI83" s="0" t="n">
        <f aca="false">$B$72+$C$72*NI81</f>
        <v>2.12639927921615</v>
      </c>
      <c r="NJ83" s="0" t="n">
        <f aca="false">$B$72+$C$72*NJ81</f>
        <v>2.0824239698666</v>
      </c>
      <c r="NK83" s="0" t="n">
        <f aca="false">$B$72+$C$72*NK81</f>
        <v>1.86984329796198</v>
      </c>
      <c r="NL83" s="0" t="n">
        <f aca="false">$B$72+$C$72*NL81</f>
        <v>2.02204262778657</v>
      </c>
      <c r="NM83" s="0" t="n">
        <f aca="false">$B$72+$C$72*NM81</f>
        <v>1.71669980793469</v>
      </c>
      <c r="NN83" s="0" t="n">
        <f aca="false">$B$72+$C$72*NN81</f>
        <v>1.71038041311057</v>
      </c>
      <c r="NO83" s="0" t="n">
        <f aca="false">$B$72+$C$72*NO81</f>
        <v>2.28013043230427</v>
      </c>
      <c r="NP83" s="0" t="n">
        <f aca="false">$B$72+$C$72*NP81</f>
        <v>1.99496100487796</v>
      </c>
      <c r="NQ83" s="0" t="n">
        <f aca="false">$B$72+$C$72*NQ81</f>
        <v>1.98549167136284</v>
      </c>
      <c r="NR83" s="0" t="n">
        <f aca="false">$B$72+$C$72*NR81</f>
        <v>2.05131875302434</v>
      </c>
      <c r="NS83" s="0" t="n">
        <f aca="false">$B$72+$C$72*NS81</f>
        <v>2.0522516634938</v>
      </c>
      <c r="NT83" s="0" t="n">
        <f aca="false">$B$72+$C$72*NT81</f>
        <v>2.40711820028888</v>
      </c>
      <c r="NU83" s="0" t="n">
        <f aca="false">$B$72+$C$72*NU81</f>
        <v>2.32305212327684</v>
      </c>
      <c r="NV83" s="0" t="n">
        <f aca="false">$B$72+$C$72*NV81</f>
        <v>2.03980788851014</v>
      </c>
      <c r="NW83" s="0" t="n">
        <f aca="false">$B$72+$C$72*NW81</f>
        <v>2.04356805750085</v>
      </c>
      <c r="NX83" s="0" t="n">
        <f aca="false">$B$72+$C$72*NX81</f>
        <v>2.03529509936114</v>
      </c>
      <c r="NY83" s="0" t="n">
        <f aca="false">$B$72+$C$72*NY81</f>
        <v>2.01666646973898</v>
      </c>
      <c r="NZ83" s="0" t="n">
        <f aca="false">$B$72+$C$72*NZ81</f>
        <v>1.79151036956952</v>
      </c>
      <c r="OA83" s="0" t="n">
        <f aca="false">$B$72+$C$72*OA81</f>
        <v>2.00532978704888</v>
      </c>
      <c r="OB83" s="0" t="n">
        <f aca="false">$B$72+$C$72*OB81</f>
        <v>1.99965698152996</v>
      </c>
      <c r="OC83" s="0" t="n">
        <f aca="false">$B$72+$C$72*OC81</f>
        <v>1.99354064318442</v>
      </c>
      <c r="OD83" s="0" t="n">
        <f aca="false">$B$72+$C$72*OD81</f>
        <v>1.9056923316271</v>
      </c>
      <c r="OE83" s="0" t="n">
        <f aca="false">$B$72+$C$72*OE81</f>
        <v>2.00107347190034</v>
      </c>
      <c r="OF83" s="0" t="n">
        <f aca="false">$B$72+$C$72*OF81</f>
        <v>1.96416391943226</v>
      </c>
      <c r="OG83" s="0" t="n">
        <f aca="false">$B$72+$C$72*OG81</f>
        <v>1.91017074344036</v>
      </c>
      <c r="OH83" s="0" t="n">
        <f aca="false">$B$72+$C$72*OH81</f>
        <v>2.00626376215577</v>
      </c>
      <c r="OI83" s="0" t="n">
        <f aca="false">$B$72+$C$72*OI81</f>
        <v>1.98603493036396</v>
      </c>
      <c r="OJ83" s="0" t="n">
        <f aca="false">$B$72+$C$72*OJ81</f>
        <v>2.38383464755968</v>
      </c>
      <c r="OK83" s="0" t="n">
        <f aca="false">$B$72+$C$72*OK81</f>
        <v>1.89189950625125</v>
      </c>
      <c r="OL83" s="0" t="n">
        <f aca="false">$B$72+$C$72*OL81</f>
        <v>2.09617248305321</v>
      </c>
      <c r="OM83" s="0" t="n">
        <f aca="false">$B$72+$C$72*OM81</f>
        <v>1.92412130188656</v>
      </c>
      <c r="ON83" s="0" t="n">
        <f aca="false">$B$72+$C$72*ON81</f>
        <v>1.76102639012412</v>
      </c>
      <c r="OO83" s="0" t="n">
        <f aca="false">$B$72+$C$72*OO81</f>
        <v>1.67742911066009</v>
      </c>
      <c r="OP83" s="0" t="n">
        <f aca="false">$B$72+$C$72*OP81</f>
        <v>2.08427500624914</v>
      </c>
      <c r="OQ83" s="0" t="n">
        <f aca="false">$B$72+$C$72*OQ81</f>
        <v>1.9408720753618</v>
      </c>
      <c r="OR83" s="0" t="n">
        <f aca="false">$B$72+$C$72*OR81</f>
        <v>1.98149777934758</v>
      </c>
      <c r="OS83" s="0" t="n">
        <f aca="false">$B$72+$C$72*OS81</f>
        <v>2.19776077833951</v>
      </c>
      <c r="OT83" s="0" t="n">
        <f aca="false">$B$72+$C$72*OT81</f>
        <v>1.80955314985955</v>
      </c>
      <c r="OU83" s="0" t="n">
        <f aca="false">$B$72+$C$72*OU81</f>
        <v>2.07494448715612</v>
      </c>
      <c r="OV83" s="0" t="n">
        <f aca="false">$B$72+$C$72*OV81</f>
        <v>1.95822359164737</v>
      </c>
      <c r="OW83" s="0" t="n">
        <f aca="false">$B$72+$C$72*OW81</f>
        <v>2.02079000473566</v>
      </c>
      <c r="OX83" s="0" t="n">
        <f aca="false">$B$72+$C$72*OX81</f>
        <v>2.17366720333771</v>
      </c>
      <c r="OY83" s="0" t="n">
        <f aca="false">$B$72+$C$72*OY81</f>
        <v>1.8623227141828</v>
      </c>
      <c r="OZ83" s="0" t="n">
        <f aca="false">$B$72+$C$72*OZ81</f>
        <v>1.71718030786214</v>
      </c>
      <c r="PA83" s="0" t="n">
        <f aca="false">$B$72+$C$72*PA81</f>
        <v>2.3362372715883</v>
      </c>
      <c r="PB83" s="0" t="n">
        <f aca="false">$B$72+$C$72*PB81</f>
        <v>1.86903216662024</v>
      </c>
      <c r="PC83" s="0" t="n">
        <f aca="false">$B$72+$C$72*PC81</f>
        <v>1.86521882307188</v>
      </c>
      <c r="PD83" s="0" t="n">
        <f aca="false">$B$72+$C$72*PD81</f>
        <v>2.10304007768709</v>
      </c>
      <c r="PE83" s="0" t="n">
        <f aca="false">$B$72+$C$72*PE81</f>
        <v>1.79758801385742</v>
      </c>
      <c r="PF83" s="0" t="n">
        <f aca="false">$B$72+$C$72*PF81</f>
        <v>1.91723273590347</v>
      </c>
      <c r="PG83" s="0" t="n">
        <f aca="false">$B$72+$C$72*PG81</f>
        <v>1.86073548569759</v>
      </c>
      <c r="PH83" s="0" t="n">
        <f aca="false">$B$72+$C$72*PH81</f>
        <v>2.00925105681677</v>
      </c>
      <c r="PI83" s="0" t="n">
        <f aca="false">$B$72+$C$72*PI81</f>
        <v>2.12572224113585</v>
      </c>
      <c r="PJ83" s="0" t="n">
        <f aca="false">$B$72+$C$72*PJ81</f>
        <v>2.00980741190032</v>
      </c>
      <c r="PK83" s="0" t="n">
        <f aca="false">$B$72+$C$72*PK81</f>
        <v>1.94319069023189</v>
      </c>
      <c r="PL83" s="0" t="n">
        <f aca="false">$B$72+$C$72*PL81</f>
        <v>1.97432964274566</v>
      </c>
      <c r="PM83" s="0" t="n">
        <f aca="false">$B$72+$C$72*PM81</f>
        <v>2.06417519199472</v>
      </c>
      <c r="PN83" s="0" t="n">
        <f aca="false">$B$72+$C$72*PN81</f>
        <v>1.76838160138973</v>
      </c>
      <c r="PO83" s="0" t="n">
        <f aca="false">$B$72+$C$72*PO81</f>
        <v>1.84667318487112</v>
      </c>
      <c r="PP83" s="0" t="n">
        <f aca="false">$B$72+$C$72*PP81</f>
        <v>2.0618334845247</v>
      </c>
      <c r="PQ83" s="0" t="n">
        <f aca="false">$B$72+$C$72*PQ81</f>
        <v>1.90018392367651</v>
      </c>
      <c r="PR83" s="0" t="n">
        <f aca="false">$B$72+$C$72*PR81</f>
        <v>1.9020930358678</v>
      </c>
      <c r="PS83" s="0" t="n">
        <f aca="false">$B$72+$C$72*PS81</f>
        <v>1.64150413783861</v>
      </c>
      <c r="PT83" s="0" t="n">
        <f aca="false">$B$72+$C$72*PT81</f>
        <v>2.00594844152111</v>
      </c>
      <c r="PU83" s="0" t="n">
        <f aca="false">$B$72+$C$72*PU81</f>
        <v>1.87814456106893</v>
      </c>
      <c r="PV83" s="0" t="n">
        <f aca="false">$B$72+$C$72*PV81</f>
        <v>1.97736650705882</v>
      </c>
      <c r="PW83" s="0" t="n">
        <f aca="false">$B$72+$C$72*PW81</f>
        <v>2.10041730072367</v>
      </c>
      <c r="PX83" s="0" t="n">
        <f aca="false">$B$72+$C$72*PX81</f>
        <v>1.65986002304052</v>
      </c>
      <c r="PY83" s="0" t="n">
        <f aca="false">$B$72+$C$72*PY81</f>
        <v>2.32584059129604</v>
      </c>
      <c r="PZ83" s="0" t="n">
        <f aca="false">$B$72+$C$72*PZ81</f>
        <v>2.27136592645395</v>
      </c>
      <c r="QA83" s="0" t="n">
        <f aca="false">$B$72+$C$72*QA81</f>
        <v>1.88619212948402</v>
      </c>
      <c r="QB83" s="0" t="n">
        <f aca="false">$B$72+$C$72*QB81</f>
        <v>2.23582292943269</v>
      </c>
      <c r="QC83" s="0" t="n">
        <f aca="false">$B$72+$C$72*QC81</f>
        <v>1.78563404457403</v>
      </c>
      <c r="QD83" s="0" t="n">
        <f aca="false">$B$72+$C$72*QD81</f>
        <v>2.13074296063474</v>
      </c>
      <c r="QE83" s="0" t="n">
        <f aca="false">$B$72+$C$72*QE81</f>
        <v>1.84772936626138</v>
      </c>
      <c r="QF83" s="0" t="n">
        <f aca="false">$B$72+$C$72*QF81</f>
        <v>1.64974374834802</v>
      </c>
      <c r="QG83" s="0" t="n">
        <f aca="false">$B$72+$C$72*QG81</f>
        <v>1.89650839825331</v>
      </c>
      <c r="QH83" s="0" t="n">
        <f aca="false">$B$72+$C$72*QH81</f>
        <v>2.05816931918783</v>
      </c>
      <c r="QI83" s="0" t="n">
        <f aca="false">$B$72+$C$72*QI81</f>
        <v>1.92259068255512</v>
      </c>
      <c r="QJ83" s="0" t="n">
        <f aca="false">$B$72+$C$72*QJ81</f>
        <v>2.21133596659262</v>
      </c>
      <c r="QK83" s="0" t="n">
        <f aca="false">$B$72+$C$72*QK81</f>
        <v>2.08709291286479</v>
      </c>
      <c r="QL83" s="0" t="n">
        <f aca="false">$B$72+$C$72*QL81</f>
        <v>2.23997081219025</v>
      </c>
      <c r="QM83" s="0" t="n">
        <f aca="false">$B$72+$C$72*QM81</f>
        <v>1.92613441915506</v>
      </c>
      <c r="QN83" s="0" t="n">
        <f aca="false">$B$72+$C$72*QN81</f>
        <v>1.95830199873651</v>
      </c>
      <c r="QO83" s="0" t="n">
        <f aca="false">$B$72+$C$72*QO81</f>
        <v>1.93126697686271</v>
      </c>
      <c r="QP83" s="0" t="n">
        <f aca="false">$B$72+$C$72*QP81</f>
        <v>2.16608103450776</v>
      </c>
      <c r="QQ83" s="0" t="n">
        <f aca="false">$B$72+$C$72*QQ81</f>
        <v>1.94698062260016</v>
      </c>
      <c r="QR83" s="0" t="n">
        <f aca="false">$B$72+$C$72*QR81</f>
        <v>2.12215568857333</v>
      </c>
      <c r="QS83" s="0" t="n">
        <f aca="false">$B$72+$C$72*QS81</f>
        <v>2.09134781092458</v>
      </c>
      <c r="QT83" s="0" t="n">
        <f aca="false">$B$72+$C$72*QT81</f>
        <v>2.31502383977026</v>
      </c>
      <c r="QU83" s="0" t="n">
        <f aca="false">$B$72+$C$72*QU81</f>
        <v>1.9716048624081</v>
      </c>
      <c r="QV83" s="0" t="n">
        <f aca="false">$B$72+$C$72*QV81</f>
        <v>2.03126117901107</v>
      </c>
      <c r="QW83" s="0" t="n">
        <f aca="false">$B$72+$C$72*QW81</f>
        <v>1.72104263553844</v>
      </c>
      <c r="QX83" s="0" t="n">
        <f aca="false">$B$72+$C$72*QX81</f>
        <v>1.55029024671994</v>
      </c>
      <c r="QY83" s="0" t="n">
        <f aca="false">$B$72+$C$72*QY81</f>
        <v>1.75339726610216</v>
      </c>
      <c r="QZ83" s="0" t="n">
        <f aca="false">$B$72+$C$72*QZ81</f>
        <v>1.96840199434343</v>
      </c>
      <c r="RA83" s="0" t="n">
        <f aca="false">$B$72+$C$72*RA81</f>
        <v>1.90222186397465</v>
      </c>
      <c r="RB83" s="0" t="n">
        <f aca="false">$B$72+$C$72*RB81</f>
        <v>2.13226030437395</v>
      </c>
      <c r="RC83" s="0" t="n">
        <f aca="false">$B$72+$C$72*RC81</f>
        <v>2.14786864452766</v>
      </c>
      <c r="RD83" s="0" t="n">
        <f aca="false">$B$72+$C$72*RD81</f>
        <v>2.20342539282252</v>
      </c>
      <c r="RE83" s="0" t="n">
        <f aca="false">$B$72+$C$72*RE81</f>
        <v>2.09707406965083</v>
      </c>
      <c r="RF83" s="0" t="n">
        <f aca="false">$B$72+$C$72*RF81</f>
        <v>2.17136147888438</v>
      </c>
      <c r="RG83" s="0" t="n">
        <f aca="false">$B$72+$C$72*RG81</f>
        <v>2.16996908312151</v>
      </c>
      <c r="RH83" s="0" t="n">
        <f aca="false">$B$72+$C$72*RH81</f>
        <v>2.12119894344732</v>
      </c>
      <c r="RI83" s="0" t="n">
        <f aca="false">$B$72+$C$72*RI81</f>
        <v>2.10313583491088</v>
      </c>
      <c r="RJ83" s="0" t="n">
        <f aca="false">$B$72+$C$72*RJ81</f>
        <v>2.08779825843341</v>
      </c>
      <c r="RK83" s="0" t="n">
        <f aca="false">$B$72+$C$72*RK81</f>
        <v>1.62304001080173</v>
      </c>
      <c r="RL83" s="0" t="n">
        <f aca="false">$B$72+$C$72*RL81</f>
        <v>1.83600522702256</v>
      </c>
      <c r="RM83" s="0" t="n">
        <f aca="false">$B$72+$C$72*RM81</f>
        <v>2.32273604365556</v>
      </c>
      <c r="RN83" s="0" t="n">
        <f aca="false">$B$72+$C$72*RN81</f>
        <v>2.00254109446143</v>
      </c>
      <c r="RO83" s="0" t="n">
        <f aca="false">$B$72+$C$72*RO81</f>
        <v>1.67216746480644</v>
      </c>
      <c r="RP83" s="0" t="n">
        <f aca="false">$B$72+$C$72*RP81</f>
        <v>2.24208038965718</v>
      </c>
      <c r="RQ83" s="0" t="n">
        <f aca="false">$B$72+$C$72*RQ81</f>
        <v>1.76284424551132</v>
      </c>
      <c r="RR83" s="0" t="n">
        <f aca="false">$B$72+$C$72*RR81</f>
        <v>1.82945306372773</v>
      </c>
      <c r="RS83" s="0" t="n">
        <f aca="false">$B$72+$C$72*RS81</f>
        <v>1.98000879088703</v>
      </c>
      <c r="RT83" s="0" t="n">
        <f aca="false">$B$72+$C$72*RT81</f>
        <v>2.10511015671823</v>
      </c>
      <c r="RU83" s="0" t="n">
        <f aca="false">$B$72+$C$72*RU81</f>
        <v>1.7701266551228</v>
      </c>
      <c r="RV83" s="0" t="n">
        <f aca="false">$B$72+$C$72*RV81</f>
        <v>1.73396490945022</v>
      </c>
      <c r="RW83" s="0" t="n">
        <f aca="false">$B$72+$C$72*RW81</f>
        <v>2.00550239635572</v>
      </c>
      <c r="RX83" s="0" t="n">
        <f aca="false">$B$72+$C$72*RX81</f>
        <v>1.90736186680322</v>
      </c>
      <c r="RY83" s="0" t="n">
        <f aca="false">$B$72+$C$72*RY81</f>
        <v>2.12464308053737</v>
      </c>
      <c r="RZ83" s="0" t="n">
        <f aca="false">$B$72+$C$72*RZ81</f>
        <v>2.10592794830053</v>
      </c>
      <c r="SA83" s="0" t="n">
        <f aca="false">$B$72+$C$72*SA81</f>
        <v>1.87752453063698</v>
      </c>
      <c r="SB83" s="0" t="n">
        <f aca="false">$B$72+$C$72*SB81</f>
        <v>2.0785408908017</v>
      </c>
      <c r="SC83" s="0" t="n">
        <f aca="false">$B$72+$C$72*SC81</f>
        <v>1.72880390142843</v>
      </c>
      <c r="SD83" s="0" t="n">
        <f aca="false">$B$72+$C$72*SD81</f>
        <v>2.19543505063232</v>
      </c>
      <c r="SE83" s="0" t="n">
        <f aca="false">$B$72+$C$72*SE81</f>
        <v>1.99647107443053</v>
      </c>
      <c r="SF83" s="0" t="n">
        <f aca="false">$B$72+$C$72*SF81</f>
        <v>1.8910221270956</v>
      </c>
      <c r="SG83" s="0" t="n">
        <f aca="false">$B$72+$C$72*SG81</f>
        <v>2.06614086793094</v>
      </c>
      <c r="SH83" s="0" t="n">
        <f aca="false">$B$72+$C$72*SH81</f>
        <v>1.80313256174139</v>
      </c>
      <c r="SI83" s="0" t="n">
        <f aca="false">$B$72+$C$72*SI81</f>
        <v>1.93992223285748</v>
      </c>
      <c r="SJ83" s="0" t="n">
        <f aca="false">$B$72+$C$72*SJ81</f>
        <v>1.6482834729238</v>
      </c>
      <c r="SK83" s="0" t="n">
        <f aca="false">$B$72+$C$72*SK81</f>
        <v>2.18781972104402</v>
      </c>
      <c r="SL83" s="0" t="n">
        <f aca="false">$B$72+$C$72*SL81</f>
        <v>2.05272368184347</v>
      </c>
      <c r="SM83" s="0" t="n">
        <f aca="false">$B$72+$C$72*SM81</f>
        <v>2.03254918500342</v>
      </c>
      <c r="SN83" s="0" t="n">
        <f aca="false">$B$72+$C$72*SN81</f>
        <v>2.26169017825934</v>
      </c>
      <c r="SO83" s="0" t="n">
        <f aca="false">$B$72+$C$72*SO81</f>
        <v>2.15883244818084</v>
      </c>
      <c r="SP83" s="0" t="n">
        <f aca="false">$B$72+$C$72*SP81</f>
        <v>2.03853383167634</v>
      </c>
      <c r="SQ83" s="0" t="n">
        <f aca="false">$B$72+$C$72*SQ81</f>
        <v>1.99879530625243</v>
      </c>
      <c r="SR83" s="0" t="n">
        <f aca="false">$B$72+$C$72*SR81</f>
        <v>2.06236567497524</v>
      </c>
      <c r="SS83" s="0" t="n">
        <f aca="false">$B$72+$C$72*SS81</f>
        <v>2.00866444156079</v>
      </c>
      <c r="ST83" s="0" t="n">
        <f aca="false">$B$72+$C$72*ST81</f>
        <v>1.97355000009072</v>
      </c>
      <c r="SU83" s="0" t="n">
        <f aca="false">$B$72+$C$72*SU81</f>
        <v>2.16146118938451</v>
      </c>
      <c r="SV83" s="0" t="n">
        <f aca="false">$B$72+$C$72*SV81</f>
        <v>2.19555570722193</v>
      </c>
      <c r="SW83" s="0" t="n">
        <f aca="false">$B$72+$C$72*SW81</f>
        <v>1.71078591393721</v>
      </c>
      <c r="SX83" s="0" t="n">
        <f aca="false">$B$72+$C$72*SX81</f>
        <v>1.71776993038899</v>
      </c>
      <c r="SY83" s="0" t="n">
        <f aca="false">$B$72+$C$72*SY81</f>
        <v>1.79875587756388</v>
      </c>
      <c r="SZ83" s="0" t="n">
        <f aca="false">$B$72+$C$72*SZ81</f>
        <v>1.89573092906236</v>
      </c>
      <c r="TA83" s="0" t="n">
        <f aca="false">$B$72+$C$72*TA81</f>
        <v>2.31158611434963</v>
      </c>
      <c r="TB83" s="0" t="n">
        <f aca="false">$B$72+$C$72*TB81</f>
        <v>1.87737381546451</v>
      </c>
      <c r="TC83" s="0" t="n">
        <f aca="false">$B$72+$C$72*TC81</f>
        <v>2.14462657631646</v>
      </c>
      <c r="TD83" s="0" t="n">
        <f aca="false">$B$72+$C$72*TD81</f>
        <v>1.79221556831705</v>
      </c>
      <c r="TE83" s="0" t="n">
        <f aca="false">$B$72+$C$72*TE81</f>
        <v>2.17313554275634</v>
      </c>
      <c r="TF83" s="0" t="n">
        <f aca="false">$B$72+$C$72*TF81</f>
        <v>2.05521046472043</v>
      </c>
      <c r="TG83" s="0" t="n">
        <f aca="false">$B$72+$C$72*TG81</f>
        <v>2.09175382930455</v>
      </c>
      <c r="TH83" s="0" t="n">
        <f aca="false">$B$72+$C$72*TH81</f>
        <v>2.06139526308067</v>
      </c>
      <c r="TI83" s="0" t="n">
        <f aca="false">$B$72+$C$72*TI81</f>
        <v>1.70102306366352</v>
      </c>
      <c r="TJ83" s="0" t="n">
        <f aca="false">$B$72+$C$72*TJ81</f>
        <v>2.13811618177805</v>
      </c>
      <c r="TK83" s="0" t="n">
        <f aca="false">$B$72+$C$72*TK81</f>
        <v>1.85364323899835</v>
      </c>
      <c r="TL83" s="0" t="n">
        <f aca="false">$B$72+$C$72*TL81</f>
        <v>2.37408561567723</v>
      </c>
      <c r="TM83" s="0" t="n">
        <f aca="false">$B$72+$C$72*TM81</f>
        <v>1.82825179052694</v>
      </c>
      <c r="TN83" s="0" t="n">
        <f aca="false">$B$72+$C$72*TN81</f>
        <v>1.9199538716573</v>
      </c>
      <c r="TO83" s="0" t="n">
        <f aca="false">$B$72+$C$72*TO81</f>
        <v>1.94117267581202</v>
      </c>
      <c r="TP83" s="0" t="n">
        <f aca="false">$B$72+$C$72*TP81</f>
        <v>2.12055185447332</v>
      </c>
      <c r="TQ83" s="0" t="n">
        <f aca="false">$B$72+$C$72*TQ81</f>
        <v>2.28120245470541</v>
      </c>
      <c r="TR83" s="0" t="n">
        <f aca="false">$B$72+$C$72*TR81</f>
        <v>1.66258482793461</v>
      </c>
      <c r="TS83" s="0" t="n">
        <f aca="false">$B$72+$C$72*TS81</f>
        <v>1.96562976740624</v>
      </c>
      <c r="TT83" s="0" t="n">
        <f aca="false">$B$72+$C$72*TT81</f>
        <v>2.02519924186802</v>
      </c>
      <c r="TU83" s="0" t="n">
        <f aca="false">$B$72+$C$72*TU81</f>
        <v>1.90601790118456</v>
      </c>
      <c r="TV83" s="0" t="n">
        <f aca="false">$B$72+$C$72*TV81</f>
        <v>1.99713248271915</v>
      </c>
      <c r="TW83" s="0" t="n">
        <f aca="false">$B$72+$C$72*TW81</f>
        <v>1.90432530780414</v>
      </c>
      <c r="TX83" s="0" t="n">
        <f aca="false">$B$72+$C$72*TX81</f>
        <v>1.84270316188345</v>
      </c>
      <c r="TY83" s="0" t="n">
        <f aca="false">$B$72+$C$72*TY81</f>
        <v>1.67486628214134</v>
      </c>
      <c r="TZ83" s="0" t="n">
        <f aca="false">$B$72+$C$72*TZ81</f>
        <v>2.10874027983863</v>
      </c>
      <c r="UA83" s="0" t="n">
        <f aca="false">$B$72+$C$72*UA81</f>
        <v>2.0326011874056</v>
      </c>
      <c r="UB83" s="0" t="n">
        <f aca="false">$B$72+$C$72*UB81</f>
        <v>1.95302853506515</v>
      </c>
      <c r="UC83" s="0" t="n">
        <f aca="false">$B$72+$C$72*UC81</f>
        <v>2.05484100874337</v>
      </c>
      <c r="UD83" s="0" t="n">
        <f aca="false">$B$72+$C$72*UD81</f>
        <v>2.20478059061241</v>
      </c>
      <c r="UE83" s="0" t="n">
        <f aca="false">$B$72+$C$72*UE81</f>
        <v>2.06491759998997</v>
      </c>
      <c r="UF83" s="0" t="n">
        <f aca="false">$B$72+$C$72*UF81</f>
        <v>2.05022908772527</v>
      </c>
      <c r="UG83" s="0" t="n">
        <f aca="false">$B$72+$C$72*UG81</f>
        <v>1.92062482481358</v>
      </c>
      <c r="UH83" s="0" t="n">
        <f aca="false">$B$72+$C$72*UH81</f>
        <v>1.97334505190114</v>
      </c>
      <c r="UI83" s="0" t="n">
        <f aca="false">$B$72+$C$72*UI81</f>
        <v>2.05397733194196</v>
      </c>
      <c r="UJ83" s="0" t="n">
        <f aca="false">$B$72+$C$72*UJ81</f>
        <v>1.94907785771295</v>
      </c>
      <c r="UK83" s="0" t="n">
        <f aca="false">$B$72+$C$72*UK81</f>
        <v>1.93444544052126</v>
      </c>
      <c r="UL83" s="0" t="n">
        <f aca="false">$B$72+$C$72*UL81</f>
        <v>2.06356028436712</v>
      </c>
      <c r="UM83" s="0" t="n">
        <f aca="false">$B$72+$C$72*UM81</f>
        <v>2.37669166934159</v>
      </c>
      <c r="UN83" s="0" t="n">
        <f aca="false">$B$72+$C$72*UN81</f>
        <v>2.13938391261825</v>
      </c>
      <c r="UO83" s="0" t="n">
        <f aca="false">$B$72+$C$72*UO81</f>
        <v>2.01826937298676</v>
      </c>
      <c r="UP83" s="0" t="n">
        <f aca="false">$B$72+$C$72*UP81</f>
        <v>1.99870550857584</v>
      </c>
      <c r="UQ83" s="0" t="n">
        <f aca="false">$B$72+$C$72*UQ81</f>
        <v>1.8669234260208</v>
      </c>
      <c r="UR83" s="0" t="n">
        <f aca="false">$B$72+$C$72*UR81</f>
        <v>1.99063650425058</v>
      </c>
      <c r="US83" s="0" t="n">
        <f aca="false">$B$72+$C$72*US81</f>
        <v>2.01231616035897</v>
      </c>
      <c r="UT83" s="0" t="n">
        <f aca="false">$B$72+$C$72*UT81</f>
        <v>1.87419026512868</v>
      </c>
      <c r="UU83" s="0" t="n">
        <f aca="false">$B$72+$C$72*UU81</f>
        <v>1.94299946750686</v>
      </c>
      <c r="UV83" s="0" t="n">
        <f aca="false">$B$72+$C$72*UV81</f>
        <v>1.74743720404906</v>
      </c>
      <c r="UW83" s="0" t="n">
        <f aca="false">$B$72+$C$72*UW81</f>
        <v>1.8903324992146</v>
      </c>
      <c r="UX83" s="0" t="n">
        <f aca="false">$B$72+$C$72*UX81</f>
        <v>2.09008648736506</v>
      </c>
      <c r="UY83" s="0" t="n">
        <f aca="false">$B$72+$C$72*UY81</f>
        <v>2.30388112081359</v>
      </c>
      <c r="UZ83" s="0" t="n">
        <f aca="false">$B$72+$C$72*UZ81</f>
        <v>2.31002075539421</v>
      </c>
      <c r="VA83" s="0" t="n">
        <f aca="false">$B$72+$C$72*VA81</f>
        <v>1.9847862476275</v>
      </c>
      <c r="VB83" s="0" t="n">
        <f aca="false">$B$72+$C$72*VB81</f>
        <v>2.23403966052742</v>
      </c>
      <c r="VC83" s="0" t="n">
        <f aca="false">$B$72+$C$72*VC81</f>
        <v>1.98482761256238</v>
      </c>
      <c r="VD83" s="0" t="n">
        <f aca="false">$B$72+$C$72*VD81</f>
        <v>1.88773085511626</v>
      </c>
      <c r="VE83" s="0" t="n">
        <f aca="false">$B$72+$C$72*VE81</f>
        <v>1.93023134272028</v>
      </c>
      <c r="VF83" s="0" t="n">
        <f aca="false">$B$72+$C$72*VF81</f>
        <v>1.81915910291974</v>
      </c>
      <c r="VG83" s="0" t="n">
        <f aca="false">$B$72+$C$72*VG81</f>
        <v>1.73898935740656</v>
      </c>
      <c r="VH83" s="0" t="n">
        <f aca="false">$B$72+$C$72*VH81</f>
        <v>1.67282477125114</v>
      </c>
      <c r="VI83" s="0" t="n">
        <f aca="false">$B$72+$C$72*VI81</f>
        <v>2.1605941803899</v>
      </c>
      <c r="VJ83" s="0" t="n">
        <f aca="false">$B$72+$C$72*VJ81</f>
        <v>1.86226762425444</v>
      </c>
      <c r="VK83" s="0" t="n">
        <f aca="false">$B$72+$C$72*VK81</f>
        <v>1.98020792492226</v>
      </c>
      <c r="VL83" s="0" t="n">
        <f aca="false">$B$72+$C$72*VL81</f>
        <v>1.98431098736525</v>
      </c>
      <c r="VM83" s="0" t="n">
        <f aca="false">$B$72+$C$72*VM81</f>
        <v>2.18058244736717</v>
      </c>
      <c r="VN83" s="0" t="n">
        <f aca="false">$B$72+$C$72*VN81</f>
        <v>1.82935731460704</v>
      </c>
      <c r="VO83" s="0" t="n">
        <f aca="false">$B$72+$C$72*VO81</f>
        <v>2.2740949720838</v>
      </c>
      <c r="VP83" s="0" t="n">
        <f aca="false">$B$72+$C$72*VP81</f>
        <v>2.08858043488967</v>
      </c>
      <c r="VQ83" s="0" t="n">
        <f aca="false">$B$72+$C$72*VQ81</f>
        <v>2.10077888485911</v>
      </c>
      <c r="VR83" s="0" t="n">
        <f aca="false">$B$72+$C$72*VR81</f>
        <v>2.19773470923125</v>
      </c>
      <c r="VS83" s="0" t="n">
        <f aca="false">$B$72+$C$72*VS81</f>
        <v>2.00103673188645</v>
      </c>
      <c r="VT83" s="0" t="n">
        <f aca="false">$B$72+$C$72*VT81</f>
        <v>1.80823565660169</v>
      </c>
      <c r="VU83" s="0" t="n">
        <f aca="false">$B$72+$C$72*VU81</f>
        <v>2.04512370119617</v>
      </c>
      <c r="VV83" s="0" t="n">
        <f aca="false">$B$72+$C$72*VV81</f>
        <v>1.68476017464146</v>
      </c>
      <c r="VW83" s="0" t="n">
        <f aca="false">$B$72+$C$72*VW81</f>
        <v>2.0420638037027</v>
      </c>
      <c r="VX83" s="0" t="n">
        <f aca="false">$B$72+$C$72*VX81</f>
        <v>1.77338161836276</v>
      </c>
      <c r="VY83" s="0" t="n">
        <f aca="false">$B$72+$C$72*VY81</f>
        <v>2.09062163518378</v>
      </c>
      <c r="VZ83" s="0" t="n">
        <f aca="false">$B$72+$C$72*VZ81</f>
        <v>2.13356851211248</v>
      </c>
      <c r="WA83" s="0" t="n">
        <f aca="false">$B$72+$C$72*WA81</f>
        <v>1.50894167715509</v>
      </c>
      <c r="WB83" s="0" t="n">
        <f aca="false">$B$72+$C$72*WB81</f>
        <v>2.06329517535162</v>
      </c>
      <c r="WC83" s="0" t="n">
        <f aca="false">$B$72+$C$72*WC81</f>
        <v>2.15907350925144</v>
      </c>
      <c r="WD83" s="0" t="n">
        <f aca="false">$B$72+$C$72*WD81</f>
        <v>1.93707423805467</v>
      </c>
      <c r="WE83" s="0" t="n">
        <f aca="false">$B$72+$C$72*WE81</f>
        <v>1.96300647895016</v>
      </c>
      <c r="WF83" s="0" t="n">
        <f aca="false">$B$72+$C$72*WF81</f>
        <v>2.19603332189733</v>
      </c>
      <c r="WG83" s="0" t="n">
        <f aca="false">$B$72+$C$72*WG81</f>
        <v>1.88545719946375</v>
      </c>
      <c r="WH83" s="0" t="n">
        <f aca="false">$B$72+$C$72*WH81</f>
        <v>1.89193246560893</v>
      </c>
      <c r="WI83" s="0" t="n">
        <f aca="false">$B$72+$C$72*WI81</f>
        <v>2.21865804511612</v>
      </c>
      <c r="WJ83" s="0" t="n">
        <f aca="false">$B$72+$C$72*WJ81</f>
        <v>1.96659005070492</v>
      </c>
      <c r="WK83" s="0" t="n">
        <f aca="false">$B$72+$C$72*WK81</f>
        <v>1.79040299578363</v>
      </c>
      <c r="WL83" s="0" t="n">
        <f aca="false">$B$72+$C$72*WL81</f>
        <v>1.93775778044255</v>
      </c>
      <c r="WM83" s="0" t="n">
        <f aca="false">$B$72+$C$72*WM81</f>
        <v>2.08308426798866</v>
      </c>
      <c r="WN83" s="0" t="n">
        <f aca="false">$B$72+$C$72*WN81</f>
        <v>1.76013144620961</v>
      </c>
      <c r="WO83" s="0" t="n">
        <f aca="false">$B$72+$C$72*WO81</f>
        <v>2.04015283393252</v>
      </c>
      <c r="WP83" s="0" t="n">
        <f aca="false">$B$72+$C$72*WP81</f>
        <v>2.12554956425906</v>
      </c>
      <c r="WQ83" s="0" t="n">
        <f aca="false">$B$72+$C$72*WQ81</f>
        <v>1.65252820779979</v>
      </c>
      <c r="WR83" s="0" t="n">
        <f aca="false">$B$72+$C$72*WR81</f>
        <v>1.86048024300099</v>
      </c>
      <c r="WS83" s="0" t="n">
        <f aca="false">$B$72+$C$72*WS81</f>
        <v>2.30879802116541</v>
      </c>
      <c r="WT83" s="0" t="n">
        <f aca="false">$B$72+$C$72*WT81</f>
        <v>1.94521206420459</v>
      </c>
      <c r="WU83" s="0" t="n">
        <f aca="false">$B$72+$C$72*WU81</f>
        <v>2.08523567023643</v>
      </c>
      <c r="WV83" s="0" t="n">
        <f aca="false">$B$72+$C$72*WV81</f>
        <v>2.06607158463557</v>
      </c>
      <c r="WW83" s="0" t="n">
        <f aca="false">$B$72+$C$72*WW81</f>
        <v>2.12443027956458</v>
      </c>
      <c r="WX83" s="0" t="n">
        <f aca="false">$B$72+$C$72*WX81</f>
        <v>1.81247438976365</v>
      </c>
      <c r="WY83" s="0" t="n">
        <f aca="false">$B$72+$C$72*WY81</f>
        <v>2.02583789107876</v>
      </c>
      <c r="WZ83" s="0" t="n">
        <f aca="false">$B$72+$C$72*WZ81</f>
        <v>2.01658790354053</v>
      </c>
      <c r="XA83" s="0" t="n">
        <f aca="false">$B$72+$C$72*XA81</f>
        <v>2.08389396042049</v>
      </c>
      <c r="XB83" s="0" t="n">
        <f aca="false">$B$72+$C$72*XB81</f>
        <v>2.16273107435232</v>
      </c>
      <c r="XC83" s="0" t="n">
        <f aca="false">$B$72+$C$72*XC81</f>
        <v>1.7507177264148</v>
      </c>
      <c r="XD83" s="0" t="n">
        <f aca="false">$B$72+$C$72*XD81</f>
        <v>2.11510781693021</v>
      </c>
      <c r="XE83" s="0" t="n">
        <f aca="false">$B$72+$C$72*XE81</f>
        <v>2.23953426996146</v>
      </c>
      <c r="XF83" s="0" t="n">
        <f aca="false">$B$72+$C$72*XF81</f>
        <v>1.64077509960629</v>
      </c>
      <c r="XG83" s="0" t="n">
        <f aca="false">$B$72+$C$72*XG81</f>
        <v>1.90821396656535</v>
      </c>
      <c r="XH83" s="0" t="n">
        <f aca="false">$B$72+$C$72*XH81</f>
        <v>1.97278062222699</v>
      </c>
      <c r="XI83" s="0" t="n">
        <f aca="false">$B$72+$C$72*XI81</f>
        <v>2.24168950111161</v>
      </c>
      <c r="XJ83" s="0" t="n">
        <f aca="false">$B$72+$C$72*XJ81</f>
        <v>1.89360459328131</v>
      </c>
      <c r="XK83" s="0" t="n">
        <f aca="false">$B$72+$C$72*XK81</f>
        <v>2.02986028200144</v>
      </c>
      <c r="XL83" s="0" t="n">
        <f aca="false">$B$72+$C$72*XL81</f>
        <v>1.92791967391032</v>
      </c>
      <c r="XM83" s="0" t="n">
        <f aca="false">$B$72+$C$72*XM81</f>
        <v>2.28491985339971</v>
      </c>
      <c r="XN83" s="0" t="n">
        <f aca="false">$B$72+$C$72*XN81</f>
        <v>1.97621927083583</v>
      </c>
      <c r="XO83" s="0" t="n">
        <f aca="false">$B$72+$C$72*XO81</f>
        <v>1.95588807851858</v>
      </c>
      <c r="XP83" s="0" t="n">
        <f aca="false">$B$72+$C$72*XP81</f>
        <v>1.76862580753388</v>
      </c>
      <c r="XQ83" s="0" t="n">
        <f aca="false">$B$72+$C$72*XQ81</f>
        <v>1.90683702733104</v>
      </c>
      <c r="XR83" s="0" t="n">
        <f aca="false">$B$72+$C$72*XR81</f>
        <v>1.90227518020875</v>
      </c>
      <c r="XS83" s="0" t="n">
        <f aca="false">$B$72+$C$72*XS81</f>
        <v>1.85676165540156</v>
      </c>
      <c r="XT83" s="0" t="n">
        <f aca="false">$B$72+$C$72*XT81</f>
        <v>2.04591815409788</v>
      </c>
      <c r="XU83" s="0" t="n">
        <f aca="false">$B$72+$C$72*XU81</f>
        <v>1.73313760585879</v>
      </c>
      <c r="XV83" s="0" t="n">
        <f aca="false">$B$72+$C$72*XV81</f>
        <v>2.17576495753739</v>
      </c>
      <c r="XW83" s="0" t="n">
        <f aca="false">$B$72+$C$72*XW81</f>
        <v>1.94003727740265</v>
      </c>
      <c r="XX83" s="0" t="n">
        <f aca="false">$B$72+$C$72*XX81</f>
        <v>1.79976694960524</v>
      </c>
      <c r="XY83" s="0" t="n">
        <f aca="false">$B$72+$C$72*XY81</f>
        <v>1.88439439802319</v>
      </c>
      <c r="XZ83" s="0" t="n">
        <f aca="false">$B$72+$C$72*XZ81</f>
        <v>2.05484194363447</v>
      </c>
      <c r="YA83" s="0" t="n">
        <f aca="false">$B$72+$C$72*YA81</f>
        <v>1.998945162347</v>
      </c>
      <c r="YB83" s="0" t="n">
        <f aca="false">$B$72+$C$72*YB81</f>
        <v>1.91619114584594</v>
      </c>
      <c r="YC83" s="0" t="n">
        <f aca="false">$B$72+$C$72*YC81</f>
        <v>1.87035251888266</v>
      </c>
      <c r="YD83" s="0" t="n">
        <f aca="false">$B$72+$C$72*YD81</f>
        <v>2.33943718201925</v>
      </c>
      <c r="YE83" s="0" t="n">
        <f aca="false">$B$72+$C$72*YE81</f>
        <v>2.27446957447131</v>
      </c>
      <c r="YF83" s="0" t="n">
        <f aca="false">$B$72+$C$72*YF81</f>
        <v>1.89950702575411</v>
      </c>
      <c r="YG83" s="0" t="n">
        <f aca="false">$B$72+$C$72*YG81</f>
        <v>2.19113429824714</v>
      </c>
      <c r="YH83" s="0" t="n">
        <f aca="false">$B$72+$C$72*YH81</f>
        <v>1.44146343183597</v>
      </c>
      <c r="YI83" s="0" t="n">
        <f aca="false">$B$72+$C$72*YI81</f>
        <v>2.06905840332019</v>
      </c>
      <c r="YJ83" s="0" t="n">
        <f aca="false">$B$72+$C$72*YJ81</f>
        <v>2.22858996626217</v>
      </c>
      <c r="YK83" s="0" t="n">
        <f aca="false">$B$72+$C$72*YK81</f>
        <v>1.95690326769195</v>
      </c>
      <c r="YL83" s="0" t="n">
        <f aca="false">$B$72+$C$72*YL81</f>
        <v>1.69581741022423</v>
      </c>
      <c r="YM83" s="0" t="n">
        <f aca="false">$B$72+$C$72*YM81</f>
        <v>1.982588959843</v>
      </c>
      <c r="YN83" s="0" t="n">
        <f aca="false">$B$72+$C$72*YN81</f>
        <v>2.00046763365994</v>
      </c>
      <c r="YO83" s="0" t="n">
        <f aca="false">$B$72+$C$72*YO81</f>
        <v>2.11770235327338</v>
      </c>
      <c r="YP83" s="0" t="n">
        <f aca="false">$B$72+$C$72*YP81</f>
        <v>1.72049185169048</v>
      </c>
      <c r="YQ83" s="0" t="n">
        <f aca="false">$B$72+$C$72*YQ81</f>
        <v>1.84172075096103</v>
      </c>
      <c r="YR83" s="0" t="n">
        <f aca="false">$B$72+$C$72*YR81</f>
        <v>1.76780731758772</v>
      </c>
      <c r="YS83" s="0" t="n">
        <f aca="false">$B$72+$C$72*YS81</f>
        <v>2.01838730100912</v>
      </c>
      <c r="YT83" s="0" t="n">
        <f aca="false">$B$72+$C$72*YT81</f>
        <v>2.07272844041206</v>
      </c>
      <c r="YU83" s="0" t="n">
        <f aca="false">$B$72+$C$72*YU81</f>
        <v>2.15746938009432</v>
      </c>
      <c r="YV83" s="0" t="n">
        <f aca="false">$B$72+$C$72*YV81</f>
        <v>1.96291810301475</v>
      </c>
      <c r="YW83" s="0" t="n">
        <f aca="false">$B$72+$C$72*YW81</f>
        <v>1.83343283902644</v>
      </c>
      <c r="YX83" s="0" t="n">
        <f aca="false">$B$72+$C$72*YX81</f>
        <v>2.10869636801319</v>
      </c>
      <c r="YY83" s="0" t="n">
        <f aca="false">$B$72+$C$72*YY81</f>
        <v>2.16292282665151</v>
      </c>
      <c r="YZ83" s="0" t="n">
        <f aca="false">$B$72+$C$72*YZ81</f>
        <v>2.02995972515614</v>
      </c>
      <c r="ZA83" s="0" t="n">
        <f aca="false">$B$72+$C$72*ZA81</f>
        <v>2.24912745313335</v>
      </c>
      <c r="ZB83" s="0" t="n">
        <f aca="false">$B$72+$C$72*ZB81</f>
        <v>2.16005293390766</v>
      </c>
      <c r="ZC83" s="0" t="n">
        <f aca="false">$B$72+$C$72*ZC81</f>
        <v>1.83281637450874</v>
      </c>
      <c r="ZD83" s="0" t="n">
        <f aca="false">$B$72+$C$72*ZD81</f>
        <v>1.72266529284396</v>
      </c>
      <c r="ZE83" s="0" t="n">
        <f aca="false">$B$72+$C$72*ZE81</f>
        <v>1.99280129914786</v>
      </c>
      <c r="ZF83" s="0" t="n">
        <f aca="false">$B$72+$C$72*ZF81</f>
        <v>1.97660949687131</v>
      </c>
      <c r="ZG83" s="0" t="n">
        <f aca="false">$B$72+$C$72*ZG81</f>
        <v>1.98990035838041</v>
      </c>
      <c r="ZH83" s="0" t="n">
        <f aca="false">$B$72+$C$72*ZH81</f>
        <v>1.81606285333626</v>
      </c>
      <c r="ZI83" s="0" t="n">
        <f aca="false">$B$72+$C$72*ZI81</f>
        <v>2.01592702584739</v>
      </c>
      <c r="ZJ83" s="0" t="n">
        <f aca="false">$B$72+$C$72*ZJ81</f>
        <v>2.02166759975627</v>
      </c>
      <c r="ZK83" s="0" t="n">
        <f aca="false">$B$72+$C$72*ZK81</f>
        <v>2.03376914293165</v>
      </c>
      <c r="ZL83" s="0" t="n">
        <f aca="false">$B$72+$C$72*ZL81</f>
        <v>1.97563428955873</v>
      </c>
      <c r="ZM83" s="0" t="n">
        <f aca="false">$B$72+$C$72*ZM81</f>
        <v>2.19973911896196</v>
      </c>
      <c r="ZN83" s="0" t="n">
        <f aca="false">$B$72+$C$72*ZN81</f>
        <v>2.14790926830289</v>
      </c>
      <c r="ZO83" s="0" t="n">
        <f aca="false">$B$72+$C$72*ZO81</f>
        <v>2.13381842224723</v>
      </c>
      <c r="ZP83" s="0" t="n">
        <f aca="false">$B$72+$C$72*ZP81</f>
        <v>2.4699372938552</v>
      </c>
      <c r="ZQ83" s="0" t="n">
        <f aca="false">$B$72+$C$72*ZQ81</f>
        <v>2.05862879909365</v>
      </c>
      <c r="ZR83" s="0" t="n">
        <f aca="false">$B$72+$C$72*ZR81</f>
        <v>2.24717488354595</v>
      </c>
      <c r="ZS83" s="0" t="n">
        <f aca="false">$B$72+$C$72*ZS81</f>
        <v>1.62118408643418</v>
      </c>
      <c r="ZT83" s="0" t="n">
        <f aca="false">$B$72+$C$72*ZT81</f>
        <v>1.85962699050239</v>
      </c>
      <c r="ZU83" s="0" t="n">
        <f aca="false">$B$72+$C$72*ZU81</f>
        <v>2.15933935499558</v>
      </c>
      <c r="ZV83" s="0" t="n">
        <f aca="false">$B$72+$C$72*ZV81</f>
        <v>1.96440408970141</v>
      </c>
      <c r="ZW83" s="0" t="n">
        <f aca="false">$B$72+$C$72*ZW81</f>
        <v>1.94690740825693</v>
      </c>
      <c r="ZX83" s="0" t="n">
        <f aca="false">$B$72+$C$72*ZX81</f>
        <v>1.55383451874945</v>
      </c>
      <c r="ZY83" s="0" t="n">
        <f aca="false">$B$72+$C$72*ZY81</f>
        <v>2.3549755924961</v>
      </c>
      <c r="ZZ83" s="0" t="n">
        <f aca="false">$B$72+$C$72*ZZ81</f>
        <v>1.92121682544607</v>
      </c>
      <c r="AAA83" s="0" t="n">
        <f aca="false">$B$72+$C$72*AAA81</f>
        <v>2.04508691240129</v>
      </c>
      <c r="AAB83" s="0" t="n">
        <f aca="false">$B$72+$C$72*AAB81</f>
        <v>1.99137761906203</v>
      </c>
      <c r="AAC83" s="0" t="n">
        <f aca="false">$B$72+$C$72*AAC81</f>
        <v>2.25789713054836</v>
      </c>
      <c r="AAD83" s="0" t="n">
        <f aca="false">$B$72+$C$72*AAD81</f>
        <v>1.90748236751897</v>
      </c>
      <c r="AAE83" s="0" t="n">
        <f aca="false">$B$72+$C$72*AAE81</f>
        <v>2.04373027538496</v>
      </c>
      <c r="AAF83" s="0" t="n">
        <f aca="false">$B$72+$C$72*AAF81</f>
        <v>1.8348877759115</v>
      </c>
      <c r="AAG83" s="0" t="n">
        <f aca="false">$B$72+$C$72*AAG81</f>
        <v>1.85309094579321</v>
      </c>
      <c r="AAH83" s="0" t="n">
        <f aca="false">$B$72+$C$72*AAH81</f>
        <v>1.84790515318399</v>
      </c>
      <c r="AAI83" s="0" t="n">
        <f aca="false">$B$72+$C$72*AAI81</f>
        <v>2.13501776365091</v>
      </c>
      <c r="AAJ83" s="0" t="n">
        <f aca="false">$B$72+$C$72*AAJ81</f>
        <v>2.04008853707069</v>
      </c>
      <c r="AAK83" s="0" t="n">
        <f aca="false">$B$72+$C$72*AAK81</f>
        <v>1.72867655595298</v>
      </c>
      <c r="AAL83" s="0" t="n">
        <f aca="false">$B$72+$C$72*AAL81</f>
        <v>1.92578535118343</v>
      </c>
      <c r="AAM83" s="0" t="n">
        <f aca="false">$B$72+$C$72*AAM81</f>
        <v>2.03574925317394</v>
      </c>
      <c r="AAN83" s="0" t="n">
        <f aca="false">$B$72+$C$72*AAN81</f>
        <v>2.1993341215406</v>
      </c>
      <c r="AAO83" s="0" t="n">
        <f aca="false">$B$72+$C$72*AAO81</f>
        <v>1.9954801271082</v>
      </c>
      <c r="AAP83" s="0" t="n">
        <f aca="false">$B$72+$C$72*AAP81</f>
        <v>2.25676324768057</v>
      </c>
      <c r="AAQ83" s="0" t="n">
        <f aca="false">$B$72+$C$72*AAQ81</f>
        <v>1.97226106133932</v>
      </c>
      <c r="AAR83" s="0" t="n">
        <f aca="false">$B$72+$C$72*AAR81</f>
        <v>1.68788484005548</v>
      </c>
      <c r="AAS83" s="0" t="n">
        <f aca="false">$B$72+$C$72*AAS81</f>
        <v>2.0043573767234</v>
      </c>
      <c r="AAT83" s="0" t="n">
        <f aca="false">$B$72+$C$72*AAT81</f>
        <v>2.13170686197406</v>
      </c>
      <c r="AAU83" s="0" t="n">
        <f aca="false">$B$72+$C$72*AAU81</f>
        <v>2.12781247694147</v>
      </c>
      <c r="AAV83" s="0" t="n">
        <f aca="false">$B$72+$C$72*AAV81</f>
        <v>1.82742648728125</v>
      </c>
      <c r="AAW83" s="0" t="n">
        <f aca="false">$B$72+$C$72*AAW81</f>
        <v>1.98418308404694</v>
      </c>
      <c r="AAX83" s="0" t="n">
        <f aca="false">$B$72+$C$72*AAX81</f>
        <v>2.08483648969102</v>
      </c>
      <c r="AAY83" s="0" t="n">
        <f aca="false">$B$72+$C$72*AAY81</f>
        <v>2.11280465543009</v>
      </c>
      <c r="AAZ83" s="0" t="n">
        <f aca="false">$B$72+$C$72*AAZ81</f>
        <v>1.91773177052565</v>
      </c>
      <c r="ABA83" s="0" t="n">
        <f aca="false">$B$72+$C$72*ABA81</f>
        <v>1.93167236483012</v>
      </c>
      <c r="ABB83" s="0" t="n">
        <f aca="false">$B$72+$C$72*ABB81</f>
        <v>1.89525450893202</v>
      </c>
      <c r="ABC83" s="0" t="n">
        <f aca="false">$B$72+$C$72*ABC81</f>
        <v>1.85988022568323</v>
      </c>
      <c r="ABD83" s="0" t="n">
        <f aca="false">$B$72+$C$72*ABD81</f>
        <v>2.14641451456061</v>
      </c>
      <c r="ABE83" s="0" t="n">
        <f aca="false">$B$72+$C$72*ABE81</f>
        <v>2.02865697172911</v>
      </c>
      <c r="ABF83" s="0" t="n">
        <f aca="false">$B$72+$C$72*ABF81</f>
        <v>2.08781119731525</v>
      </c>
      <c r="ABG83" s="0" t="n">
        <f aca="false">$B$72+$C$72*ABG81</f>
        <v>2.14499206798174</v>
      </c>
      <c r="ABH83" s="0" t="n">
        <f aca="false">$B$72+$C$72*ABH81</f>
        <v>2.11110969843806</v>
      </c>
      <c r="ABI83" s="0" t="n">
        <f aca="false">$B$72+$C$72*ABI81</f>
        <v>2.22661115327633</v>
      </c>
      <c r="ABJ83" s="0" t="n">
        <f aca="false">$B$72+$C$72*ABJ81</f>
        <v>1.95188205199249</v>
      </c>
      <c r="ABK83" s="0" t="n">
        <f aca="false">$B$72+$C$72*ABK81</f>
        <v>2.0766142765447</v>
      </c>
      <c r="ABL83" s="0" t="n">
        <f aca="false">$B$72+$C$72*ABL81</f>
        <v>1.96059063459002</v>
      </c>
      <c r="ABM83" s="0" t="n">
        <f aca="false">$B$72+$C$72*ABM81</f>
        <v>1.99489352014228</v>
      </c>
      <c r="ABN83" s="0" t="n">
        <f aca="false">$B$72+$C$72*ABN81</f>
        <v>2.10268415319613</v>
      </c>
      <c r="ABO83" s="0" t="n">
        <f aca="false">$B$72+$C$72*ABO81</f>
        <v>2.33529610540672</v>
      </c>
      <c r="ABP83" s="0" t="n">
        <f aca="false">$B$72+$C$72*ABP81</f>
        <v>2.0114970080907</v>
      </c>
      <c r="ABQ83" s="0" t="n">
        <f aca="false">$B$72+$C$72*ABQ81</f>
        <v>2.05025442059422</v>
      </c>
      <c r="ABR83" s="0" t="n">
        <f aca="false">$B$72+$C$72*ABR81</f>
        <v>1.97714334073265</v>
      </c>
      <c r="ABS83" s="0" t="n">
        <f aca="false">$B$72+$C$72*ABS81</f>
        <v>2.40896547474543</v>
      </c>
      <c r="ABT83" s="0" t="n">
        <f aca="false">$B$72+$C$72*ABT81</f>
        <v>2.33515076631759</v>
      </c>
      <c r="ABU83" s="0" t="n">
        <f aca="false">$B$72+$C$72*ABU81</f>
        <v>1.98008036071277</v>
      </c>
      <c r="ABV83" s="0" t="n">
        <f aca="false">$B$72+$C$72*ABV81</f>
        <v>2.19226977924582</v>
      </c>
      <c r="ABW83" s="0" t="n">
        <f aca="false">$B$72+$C$72*ABW81</f>
        <v>1.9650542720357</v>
      </c>
      <c r="ABX83" s="0" t="n">
        <f aca="false">$B$72+$C$72*ABX81</f>
        <v>2.34511459429149</v>
      </c>
      <c r="ABY83" s="0" t="n">
        <f aca="false">$B$72+$C$72*ABY81</f>
        <v>2.02846975880196</v>
      </c>
      <c r="ABZ83" s="0" t="n">
        <f aca="false">$B$72+$C$72*ABZ81</f>
        <v>1.89337969955231</v>
      </c>
      <c r="ACA83" s="0" t="n">
        <f aca="false">$B$72+$C$72*ACA81</f>
        <v>2.06426311885009</v>
      </c>
      <c r="ACB83" s="0" t="n">
        <f aca="false">$B$72+$C$72*ACB81</f>
        <v>2.26335530962724</v>
      </c>
      <c r="ACC83" s="0" t="n">
        <f aca="false">$B$72+$C$72*ACC81</f>
        <v>1.908034117659</v>
      </c>
      <c r="ACD83" s="0" t="n">
        <f aca="false">$B$72+$C$72*ACD81</f>
        <v>2.1062740178269</v>
      </c>
      <c r="ACE83" s="0" t="n">
        <f aca="false">$B$72+$C$72*ACE81</f>
        <v>1.97785867917301</v>
      </c>
      <c r="ACF83" s="0" t="n">
        <f aca="false">$B$72+$C$72*ACF81</f>
        <v>1.89210563807037</v>
      </c>
      <c r="ACG83" s="0" t="n">
        <f aca="false">$B$72+$C$72*ACG81</f>
        <v>1.89826121153439</v>
      </c>
      <c r="ACH83" s="0" t="n">
        <f aca="false">$B$72+$C$72*ACH81</f>
        <v>2.08018632603345</v>
      </c>
      <c r="ACI83" s="0" t="n">
        <f aca="false">$B$72+$C$72*ACI81</f>
        <v>1.89959143717427</v>
      </c>
      <c r="ACJ83" s="0" t="n">
        <f aca="false">$B$72+$C$72*ACJ81</f>
        <v>1.98351351404045</v>
      </c>
      <c r="ACK83" s="0" t="n">
        <f aca="false">$B$72+$C$72*ACK81</f>
        <v>2.06518640107583</v>
      </c>
      <c r="ACL83" s="0" t="n">
        <f aca="false">$B$72+$C$72*ACL81</f>
        <v>1.79868010013727</v>
      </c>
      <c r="ACM83" s="0" t="n">
        <f aca="false">$B$72+$C$72*ACM81</f>
        <v>1.87579272271984</v>
      </c>
      <c r="ACN83" s="0" t="n">
        <f aca="false">$B$72+$C$72*ACN81</f>
        <v>2.10421789504522</v>
      </c>
      <c r="ACO83" s="0" t="n">
        <f aca="false">$B$72+$C$72*ACO81</f>
        <v>2.10814558794928</v>
      </c>
      <c r="ACP83" s="0" t="n">
        <f aca="false">$B$72+$C$72*ACP81</f>
        <v>1.85281074287273</v>
      </c>
      <c r="ACQ83" s="0" t="n">
        <f aca="false">$B$72+$C$72*ACQ81</f>
        <v>2.04145547545845</v>
      </c>
      <c r="ACR83" s="0" t="n">
        <f aca="false">$B$72+$C$72*ACR81</f>
        <v>1.91791037159815</v>
      </c>
      <c r="ACS83" s="0" t="n">
        <f aca="false">$B$72+$C$72*ACS81</f>
        <v>2.09684161970307</v>
      </c>
      <c r="ACT83" s="0" t="n">
        <f aca="false">$B$72+$C$72*ACT81</f>
        <v>1.99518383252322</v>
      </c>
      <c r="ACU83" s="0" t="n">
        <f aca="false">$B$72+$C$72*ACU81</f>
        <v>2.09048324817297</v>
      </c>
      <c r="ACV83" s="0" t="n">
        <f aca="false">$B$72+$C$72*ACV81</f>
        <v>2.08552192904182</v>
      </c>
      <c r="ACW83" s="0" t="n">
        <f aca="false">$B$72+$C$72*ACW81</f>
        <v>1.89754385222999</v>
      </c>
      <c r="ACX83" s="0" t="n">
        <f aca="false">$B$72+$C$72*ACX81</f>
        <v>2.04359959830199</v>
      </c>
      <c r="ACY83" s="0" t="n">
        <f aca="false">$B$72+$C$72*ACY81</f>
        <v>1.76675228161517</v>
      </c>
      <c r="ACZ83" s="0" t="n">
        <f aca="false">$B$72+$C$72*ACZ81</f>
        <v>2.09701310065273</v>
      </c>
      <c r="ADA83" s="0" t="n">
        <f aca="false">$B$72+$C$72*ADA81</f>
        <v>2.35499193330399</v>
      </c>
      <c r="ADB83" s="0" t="n">
        <f aca="false">$B$72+$C$72*ADB81</f>
        <v>1.67572900847115</v>
      </c>
      <c r="ADC83" s="0" t="n">
        <f aca="false">$B$72+$C$72*ADC81</f>
        <v>2.06805355453153</v>
      </c>
      <c r="ADD83" s="0" t="n">
        <f aca="false">$B$72+$C$72*ADD81</f>
        <v>1.87752682624775</v>
      </c>
      <c r="ADE83" s="0" t="n">
        <f aca="false">$B$72+$C$72*ADE81</f>
        <v>1.71057712594853</v>
      </c>
      <c r="ADF83" s="0" t="n">
        <f aca="false">$B$72+$C$72*ADF81</f>
        <v>2.09215251532543</v>
      </c>
      <c r="ADG83" s="0" t="n">
        <f aca="false">$B$72+$C$72*ADG81</f>
        <v>2.33493694332454</v>
      </c>
      <c r="ADH83" s="0" t="n">
        <f aca="false">$B$72+$C$72*ADH81</f>
        <v>1.94111085522278</v>
      </c>
      <c r="ADI83" s="0" t="n">
        <f aca="false">$B$72+$C$72*ADI81</f>
        <v>2.16559960172097</v>
      </c>
      <c r="ADJ83" s="0" t="n">
        <f aca="false">$B$72+$C$72*ADJ81</f>
        <v>2.25837964743448</v>
      </c>
      <c r="ADK83" s="0" t="n">
        <f aca="false">$B$72+$C$72*ADK81</f>
        <v>1.94774994209059</v>
      </c>
      <c r="ADL83" s="0" t="n">
        <f aca="false">$B$72+$C$72*ADL81</f>
        <v>2.42200743915043</v>
      </c>
      <c r="ADM83" s="0" t="n">
        <f aca="false">$B$72+$C$72*ADM81</f>
        <v>2.07166980222561</v>
      </c>
      <c r="ADN83" s="0" t="n">
        <f aca="false">$B$72+$C$72*ADN81</f>
        <v>1.90060948174538</v>
      </c>
      <c r="ADO83" s="0" t="n">
        <f aca="false">$B$72+$C$72*ADO81</f>
        <v>1.88663571847579</v>
      </c>
      <c r="ADP83" s="0" t="n">
        <f aca="false">$B$72+$C$72*ADP81</f>
        <v>2.01835659826996</v>
      </c>
      <c r="ADQ83" s="0" t="n">
        <f aca="false">$B$72+$C$72*ADQ81</f>
        <v>2.10995147192131</v>
      </c>
      <c r="ADR83" s="0" t="n">
        <f aca="false">$B$72+$C$72*ADR81</f>
        <v>2.19998404617668</v>
      </c>
      <c r="ADS83" s="0" t="n">
        <f aca="false">$B$72+$C$72*ADS81</f>
        <v>2.18350198380504</v>
      </c>
      <c r="ADT83" s="0" t="n">
        <f aca="false">$B$72+$C$72*ADT81</f>
        <v>2.25577719671609</v>
      </c>
      <c r="ADU83" s="0" t="n">
        <f aca="false">$B$72+$C$72*ADU81</f>
        <v>1.97207592052669</v>
      </c>
      <c r="ADV83" s="0" t="n">
        <f aca="false">$B$72+$C$72*ADV81</f>
        <v>1.96937986598259</v>
      </c>
      <c r="ADW83" s="0" t="n">
        <f aca="false">$B$72+$C$72*ADW81</f>
        <v>1.78423502471663</v>
      </c>
      <c r="ADX83" s="0" t="n">
        <f aca="false">$B$72+$C$72*ADX81</f>
        <v>1.86886706187104</v>
      </c>
      <c r="ADY83" s="0" t="n">
        <f aca="false">$B$72+$C$72*ADY81</f>
        <v>2.32809178619028</v>
      </c>
      <c r="ADZ83" s="0" t="n">
        <f aca="false">$B$72+$C$72*ADZ81</f>
        <v>2.08976384909987</v>
      </c>
      <c r="AEA83" s="0" t="n">
        <f aca="false">$B$72+$C$72*AEA81</f>
        <v>2.09804137301886</v>
      </c>
      <c r="AEB83" s="0" t="n">
        <f aca="false">$B$72+$C$72*AEB81</f>
        <v>1.76742064159165</v>
      </c>
      <c r="AEC83" s="0" t="n">
        <f aca="false">$B$72+$C$72*AEC81</f>
        <v>2.07424681323112</v>
      </c>
      <c r="AED83" s="0" t="n">
        <f aca="false">$B$72+$C$72*AED81</f>
        <v>2.22218056408006</v>
      </c>
      <c r="AEE83" s="0" t="n">
        <f aca="false">$B$72+$C$72*AEE81</f>
        <v>1.93124869515602</v>
      </c>
      <c r="AEF83" s="0" t="n">
        <f aca="false">$B$72+$C$72*AEF81</f>
        <v>2.31899915610404</v>
      </c>
      <c r="AEG83" s="0" t="n">
        <f aca="false">$B$72+$C$72*AEG81</f>
        <v>2.19508785628785</v>
      </c>
      <c r="AEH83" s="0" t="n">
        <f aca="false">$B$72+$C$72*AEH81</f>
        <v>2.02854383361992</v>
      </c>
      <c r="AEI83" s="0" t="n">
        <f aca="false">$B$72+$C$72*AEI81</f>
        <v>1.75312774274719</v>
      </c>
      <c r="AEJ83" s="0" t="n">
        <f aca="false">$B$72+$C$72*AEJ81</f>
        <v>1.93033085409417</v>
      </c>
      <c r="AEK83" s="0" t="n">
        <f aca="false">$B$72+$C$72*AEK81</f>
        <v>2.19872055156649</v>
      </c>
      <c r="AEL83" s="0" t="n">
        <f aca="false">$B$72+$C$72*AEL81</f>
        <v>2.00951898482063</v>
      </c>
      <c r="AEM83" s="0" t="n">
        <f aca="false">$B$72+$C$72*AEM81</f>
        <v>2.112624895502</v>
      </c>
      <c r="AEN83" s="0" t="n">
        <f aca="false">$B$72+$C$72*AEN81</f>
        <v>1.72983518298192</v>
      </c>
      <c r="AEO83" s="0" t="n">
        <f aca="false">$B$72+$C$72*AEO81</f>
        <v>2.06191861962227</v>
      </c>
      <c r="AEP83" s="0" t="n">
        <f aca="false">$B$72+$C$72*AEP81</f>
        <v>2.0807325725751</v>
      </c>
      <c r="AEQ83" s="0" t="n">
        <f aca="false">$B$72+$C$72*AEQ81</f>
        <v>2.10761465997875</v>
      </c>
      <c r="AER83" s="0" t="n">
        <f aca="false">$B$72+$C$72*AER81</f>
        <v>1.67515595328598</v>
      </c>
      <c r="AES83" s="0" t="n">
        <f aca="false">$B$72+$C$72*AES81</f>
        <v>2.19165076713075</v>
      </c>
      <c r="AET83" s="0" t="n">
        <f aca="false">$B$72+$C$72*AET81</f>
        <v>2.08609569978674</v>
      </c>
      <c r="AEU83" s="0" t="n">
        <f aca="false">$B$72+$C$72*AEU81</f>
        <v>2.16242169218235</v>
      </c>
      <c r="AEV83" s="0" t="n">
        <f aca="false">$B$72+$C$72*AEV81</f>
        <v>2.23379780427125</v>
      </c>
      <c r="AEW83" s="0" t="n">
        <f aca="false">$B$72+$C$72*AEW81</f>
        <v>2.3097883504253</v>
      </c>
      <c r="AEX83" s="0" t="n">
        <f aca="false">$B$72+$C$72*AEX81</f>
        <v>2.32272001665353</v>
      </c>
      <c r="AEY83" s="0" t="n">
        <f aca="false">$B$72+$C$72*AEY81</f>
        <v>1.86533117650951</v>
      </c>
      <c r="AEZ83" s="0" t="n">
        <f aca="false">$B$72+$C$72*AEZ81</f>
        <v>2.2129740932139</v>
      </c>
      <c r="AFA83" s="0" t="n">
        <f aca="false">$B$72+$C$72*AFA81</f>
        <v>2.02818584101369</v>
      </c>
      <c r="AFB83" s="0" t="n">
        <f aca="false">$B$72+$C$72*AFB81</f>
        <v>1.92657513494284</v>
      </c>
      <c r="AFC83" s="0" t="n">
        <f aca="false">$B$72+$C$72*AFC81</f>
        <v>1.96460057716706</v>
      </c>
      <c r="AFD83" s="0" t="n">
        <f aca="false">$B$72+$C$72*AFD81</f>
        <v>2.04831439287063</v>
      </c>
      <c r="AFE83" s="0" t="n">
        <f aca="false">$B$72+$C$72*AFE81</f>
        <v>1.6892000333157</v>
      </c>
      <c r="AFF83" s="0" t="n">
        <f aca="false">$B$72+$C$72*AFF81</f>
        <v>2.03755632836581</v>
      </c>
      <c r="AFG83" s="0" t="n">
        <f aca="false">$B$72+$C$72*AFG81</f>
        <v>1.88453940326712</v>
      </c>
      <c r="AFH83" s="0" t="n">
        <f aca="false">$B$72+$C$72*AFH81</f>
        <v>2.0291976385904</v>
      </c>
      <c r="AFI83" s="0" t="n">
        <f aca="false">$B$72+$C$72*AFI81</f>
        <v>2.0075597289456</v>
      </c>
      <c r="AFJ83" s="0" t="n">
        <f aca="false">$B$72+$C$72*AFJ81</f>
        <v>1.94879647134454</v>
      </c>
      <c r="AFK83" s="0" t="n">
        <f aca="false">$B$72+$C$72*AFK81</f>
        <v>2.12354466462924</v>
      </c>
      <c r="AFL83" s="0" t="n">
        <f aca="false">$B$72+$C$72*AFL81</f>
        <v>2.12784005956303</v>
      </c>
      <c r="AFM83" s="0" t="n">
        <f aca="false">$B$72+$C$72*AFM81</f>
        <v>1.79528037934198</v>
      </c>
      <c r="AFN83" s="0" t="n">
        <f aca="false">$B$72+$C$72*AFN81</f>
        <v>1.99048075432319</v>
      </c>
      <c r="AFO83" s="0" t="n">
        <f aca="false">$B$72+$C$72*AFO81</f>
        <v>2.13911690405275</v>
      </c>
      <c r="AFP83" s="0" t="n">
        <f aca="false">$B$72+$C$72*AFP81</f>
        <v>1.99764269959591</v>
      </c>
      <c r="AFQ83" s="0" t="n">
        <f aca="false">$B$72+$C$72*AFQ81</f>
        <v>2.06418729850433</v>
      </c>
      <c r="AFR83" s="0" t="n">
        <f aca="false">$B$72+$C$72*AFR81</f>
        <v>2.25850941200614</v>
      </c>
      <c r="AFS83" s="0" t="n">
        <f aca="false">$B$72+$C$72*AFS81</f>
        <v>1.87535609498214</v>
      </c>
      <c r="AFT83" s="0" t="n">
        <f aca="false">$B$72+$C$72*AFT81</f>
        <v>1.79101691909687</v>
      </c>
      <c r="AFU83" s="0" t="n">
        <f aca="false">$B$72+$C$72*AFU81</f>
        <v>2.3159078151305</v>
      </c>
      <c r="AFV83" s="0" t="n">
        <f aca="false">$B$72+$C$72*AFV81</f>
        <v>1.8569412764751</v>
      </c>
      <c r="AFW83" s="0" t="n">
        <f aca="false">$B$72+$C$72*AFW81</f>
        <v>2.01278953937684</v>
      </c>
      <c r="AFX83" s="0" t="n">
        <f aca="false">$B$72+$C$72*AFX81</f>
        <v>1.75264158227414</v>
      </c>
      <c r="AFY83" s="0" t="n">
        <f aca="false">$B$72+$C$72*AFY81</f>
        <v>1.98705907104143</v>
      </c>
      <c r="AFZ83" s="0" t="n">
        <f aca="false">$B$72+$C$72*AFZ81</f>
        <v>1.93942096543754</v>
      </c>
      <c r="AGA83" s="0" t="n">
        <f aca="false">$B$72+$C$72*AGA81</f>
        <v>1.96474965290658</v>
      </c>
      <c r="AGB83" s="0" t="n">
        <f aca="false">$B$72+$C$72*AGB81</f>
        <v>2.14923318906418</v>
      </c>
      <c r="AGC83" s="0" t="n">
        <f aca="false">$B$72+$C$72*AGC81</f>
        <v>1.9986495518709</v>
      </c>
      <c r="AGD83" s="0" t="n">
        <f aca="false">$B$72+$C$72*AGD81</f>
        <v>2.39939087574552</v>
      </c>
      <c r="AGE83" s="0" t="n">
        <f aca="false">$B$72+$C$72*AGE81</f>
        <v>1.75599017495319</v>
      </c>
      <c r="AGF83" s="0" t="n">
        <f aca="false">$B$72+$C$72*AGF81</f>
        <v>1.90268753129006</v>
      </c>
      <c r="AGG83" s="0" t="n">
        <f aca="false">$B$72+$C$72*AGG81</f>
        <v>2.04677333707216</v>
      </c>
      <c r="AGH83" s="0" t="n">
        <f aca="false">$B$72+$C$72*AGH81</f>
        <v>1.88347707307045</v>
      </c>
      <c r="AGI83" s="0" t="n">
        <f aca="false">$B$72+$C$72*AGI81</f>
        <v>1.8492112112948</v>
      </c>
      <c r="AGJ83" s="0" t="n">
        <f aca="false">$B$72+$C$72*AGJ81</f>
        <v>1.8634238223455</v>
      </c>
      <c r="AGK83" s="0" t="n">
        <f aca="false">$B$72+$C$72*AGK81</f>
        <v>1.89198372213277</v>
      </c>
      <c r="AGL83" s="0" t="n">
        <f aca="false">$B$72+$C$72*AGL81</f>
        <v>1.83999983455525</v>
      </c>
      <c r="AGM83" s="0" t="n">
        <f aca="false">$B$72+$C$72*AGM81</f>
        <v>2.09618874646712</v>
      </c>
      <c r="AGN83" s="0" t="n">
        <f aca="false">$B$72+$C$72*AGN81</f>
        <v>1.9301339397366</v>
      </c>
      <c r="AGO83" s="0" t="n">
        <f aca="false">$B$72+$C$72*AGO81</f>
        <v>1.88145372845573</v>
      </c>
      <c r="AGP83" s="0" t="n">
        <f aca="false">$B$72+$C$72*AGP81</f>
        <v>1.84321965081197</v>
      </c>
      <c r="AGQ83" s="0" t="n">
        <f aca="false">$B$72+$C$72*AGQ81</f>
        <v>2.12186215773138</v>
      </c>
      <c r="AGR83" s="0" t="n">
        <f aca="false">$B$72+$C$72*AGR81</f>
        <v>1.97465067815626</v>
      </c>
      <c r="AGS83" s="0" t="n">
        <f aca="false">$B$72+$C$72*AGS81</f>
        <v>2.24074255786373</v>
      </c>
      <c r="AGT83" s="0" t="n">
        <f aca="false">$B$72+$C$72*AGT81</f>
        <v>1.80487259211404</v>
      </c>
      <c r="AGU83" s="0" t="n">
        <f aca="false">$B$72+$C$72*AGU81</f>
        <v>2.14280505777169</v>
      </c>
      <c r="AGV83" s="0" t="n">
        <f aca="false">$B$72+$C$72*AGV81</f>
        <v>2.06521128657919</v>
      </c>
      <c r="AGW83" s="0" t="n">
        <f aca="false">$B$72+$C$72*AGW81</f>
        <v>2.02154200952703</v>
      </c>
      <c r="AGX83" s="0" t="n">
        <f aca="false">$B$72+$C$72*AGX81</f>
        <v>1.67325381978547</v>
      </c>
      <c r="AGY83" s="0" t="n">
        <f aca="false">$B$72+$C$72*AGY81</f>
        <v>1.95686415519497</v>
      </c>
      <c r="AGZ83" s="0" t="n">
        <f aca="false">$B$72+$C$72*AGZ81</f>
        <v>1.80647739095254</v>
      </c>
      <c r="AHA83" s="0" t="n">
        <f aca="false">$B$72+$C$72*AHA81</f>
        <v>1.63169404254035</v>
      </c>
      <c r="AHB83" s="0" t="n">
        <f aca="false">$B$72+$C$72*AHB81</f>
        <v>2.00605304351841</v>
      </c>
      <c r="AHC83" s="0" t="n">
        <f aca="false">$B$72+$C$72*AHC81</f>
        <v>1.82924454079405</v>
      </c>
      <c r="AHD83" s="0" t="n">
        <f aca="false">$B$72+$C$72*AHD81</f>
        <v>1.7974784937747</v>
      </c>
      <c r="AHE83" s="0" t="n">
        <f aca="false">$B$72+$C$72*AHE81</f>
        <v>2.12102928128118</v>
      </c>
      <c r="AHF83" s="0" t="n">
        <f aca="false">$B$72+$C$72*AHF81</f>
        <v>1.75460809546275</v>
      </c>
      <c r="AHG83" s="0" t="n">
        <f aca="false">$B$72+$C$72*AHG81</f>
        <v>2.12121498043396</v>
      </c>
      <c r="AHH83" s="0" t="n">
        <f aca="false">$B$72+$C$72*AHH81</f>
        <v>2.25003102140628</v>
      </c>
      <c r="AHI83" s="0" t="n">
        <f aca="false">$B$72+$C$72*AHI81</f>
        <v>1.84800172931516</v>
      </c>
      <c r="AHJ83" s="0" t="n">
        <f aca="false">$B$72+$C$72*AHJ81</f>
        <v>2.16218430996462</v>
      </c>
      <c r="AHK83" s="0" t="n">
        <f aca="false">$B$72+$C$72*AHK81</f>
        <v>1.85845218345013</v>
      </c>
      <c r="AHL83" s="0" t="n">
        <f aca="false">$B$72+$C$72*AHL81</f>
        <v>1.89437650230211</v>
      </c>
      <c r="AHM83" s="0" t="n">
        <f aca="false">$B$72+$C$72*AHM81</f>
        <v>2.05816680367981</v>
      </c>
      <c r="AHN83" s="0" t="n">
        <f aca="false">$B$72+$C$72*AHN81</f>
        <v>1.88482267359048</v>
      </c>
      <c r="AHO83" s="0" t="n">
        <f aca="false">$B$72+$C$72*AHO81</f>
        <v>2.01423223376025</v>
      </c>
      <c r="AHP83" s="0" t="n">
        <f aca="false">$B$72+$C$72*AHP81</f>
        <v>1.7132262117567</v>
      </c>
      <c r="AHQ83" s="0" t="n">
        <f aca="false">$B$72+$C$72*AHQ81</f>
        <v>1.99598579711035</v>
      </c>
      <c r="AHR83" s="0" t="n">
        <f aca="false">$B$72+$C$72*AHR81</f>
        <v>1.74447816836276</v>
      </c>
      <c r="AHS83" s="0" t="n">
        <f aca="false">$B$72+$C$72*AHS81</f>
        <v>2.14138959841633</v>
      </c>
      <c r="AHT83" s="0" t="n">
        <f aca="false">$B$72+$C$72*AHT81</f>
        <v>1.925947627064</v>
      </c>
      <c r="AHU83" s="0" t="n">
        <f aca="false">$B$72+$C$72*AHU81</f>
        <v>2.17819017413019</v>
      </c>
      <c r="AHV83" s="0" t="n">
        <f aca="false">$B$72+$C$72*AHV81</f>
        <v>2.01618468981412</v>
      </c>
      <c r="AHW83" s="0" t="n">
        <f aca="false">$B$72+$C$72*AHW81</f>
        <v>2.18905739462781</v>
      </c>
      <c r="AHX83" s="0" t="n">
        <f aca="false">$B$72+$C$72*AHX81</f>
        <v>1.79360003744115</v>
      </c>
      <c r="AHY83" s="0" t="n">
        <f aca="false">$B$72+$C$72*AHY81</f>
        <v>1.87420752090689</v>
      </c>
      <c r="AHZ83" s="0" t="n">
        <f aca="false">$B$72+$C$72*AHZ81</f>
        <v>2.25575691553578</v>
      </c>
      <c r="AIA83" s="0" t="n">
        <f aca="false">$B$72+$C$72*AIA81</f>
        <v>1.89298460312716</v>
      </c>
      <c r="AIB83" s="0" t="n">
        <f aca="false">$B$72+$C$72*AIB81</f>
        <v>2.19516139931583</v>
      </c>
      <c r="AIC83" s="0" t="n">
        <f aca="false">$B$72+$C$72*AIC81</f>
        <v>2.10395608276618</v>
      </c>
      <c r="AID83" s="0" t="n">
        <f aca="false">$B$72+$C$72*AID81</f>
        <v>1.75788254308546</v>
      </c>
      <c r="AIE83" s="0" t="n">
        <f aca="false">$B$72+$C$72*AIE81</f>
        <v>1.92807826412767</v>
      </c>
      <c r="AIF83" s="0" t="n">
        <f aca="false">$B$72+$C$72*AIF81</f>
        <v>2.17120535491586</v>
      </c>
      <c r="AIG83" s="0" t="n">
        <f aca="false">$B$72+$C$72*AIG81</f>
        <v>1.99796019801887</v>
      </c>
      <c r="AIH83" s="0" t="n">
        <f aca="false">$B$72+$C$72*AIH81</f>
        <v>2.37082309963776</v>
      </c>
      <c r="AII83" s="0" t="n">
        <f aca="false">$B$72+$C$72*AII81</f>
        <v>1.94769646078042</v>
      </c>
      <c r="AIJ83" s="0" t="n">
        <f aca="false">$B$72+$C$72*AIJ81</f>
        <v>2.13986983636522</v>
      </c>
      <c r="AIK83" s="0" t="n">
        <f aca="false">$B$72+$C$72*AIK81</f>
        <v>1.96321976982515</v>
      </c>
      <c r="AIL83" s="0" t="n">
        <f aca="false">$B$72+$C$72*AIL81</f>
        <v>2.03258475870448</v>
      </c>
      <c r="AIM83" s="0" t="n">
        <f aca="false">$B$72+$C$72*AIM81</f>
        <v>1.9874035960983</v>
      </c>
      <c r="AIN83" s="0" t="n">
        <f aca="false">$B$72+$C$72*AIN81</f>
        <v>2.19629381245221</v>
      </c>
      <c r="AIO83" s="0" t="n">
        <f aca="false">$B$72+$C$72*AIO81</f>
        <v>1.82252007949397</v>
      </c>
      <c r="AIP83" s="0" t="n">
        <f aca="false">$B$72+$C$72*AIP81</f>
        <v>1.88691537492884</v>
      </c>
      <c r="AIQ83" s="0" t="n">
        <f aca="false">$B$72+$C$72*AIQ81</f>
        <v>1.9939778003492</v>
      </c>
      <c r="AIR83" s="0" t="n">
        <f aca="false">$B$72+$C$72*AIR81</f>
        <v>1.85754102691631</v>
      </c>
      <c r="AIS83" s="0" t="n">
        <f aca="false">$B$72+$C$72*AIS81</f>
        <v>1.85445992940116</v>
      </c>
      <c r="AIT83" s="0" t="n">
        <f aca="false">$B$72+$C$72*AIT81</f>
        <v>1.96782429345902</v>
      </c>
      <c r="AIU83" s="0" t="n">
        <f aca="false">$B$72+$C$72*AIU81</f>
        <v>2.18721319349289</v>
      </c>
      <c r="AIV83" s="0" t="n">
        <f aca="false">$B$72+$C$72*AIV81</f>
        <v>1.93855566987528</v>
      </c>
      <c r="AIW83" s="0" t="n">
        <f aca="false">$B$72+$C$72*AIW81</f>
        <v>1.55330101706876</v>
      </c>
      <c r="AIX83" s="0" t="n">
        <f aca="false">$B$72+$C$72*AIX81</f>
        <v>2.15762576237493</v>
      </c>
      <c r="AIY83" s="0" t="n">
        <f aca="false">$B$72+$C$72*AIY81</f>
        <v>1.99739441989171</v>
      </c>
      <c r="AIZ83" s="0" t="n">
        <f aca="false">$B$72+$C$72*AIZ81</f>
        <v>1.93686982761512</v>
      </c>
      <c r="AJA83" s="0" t="n">
        <f aca="false">$B$72+$C$72*AJA81</f>
        <v>1.8224729602225</v>
      </c>
      <c r="AJB83" s="0" t="n">
        <f aca="false">$B$72+$C$72*AJB81</f>
        <v>1.87176648997194</v>
      </c>
      <c r="AJC83" s="0" t="n">
        <f aca="false">$B$72+$C$72*AJC81</f>
        <v>2.14069436349994</v>
      </c>
      <c r="AJD83" s="0" t="n">
        <f aca="false">$B$72+$C$72*AJD81</f>
        <v>2.13564378828676</v>
      </c>
      <c r="AJE83" s="0" t="n">
        <f aca="false">$B$72+$C$72*AJE81</f>
        <v>1.83727779779036</v>
      </c>
      <c r="AJF83" s="0" t="n">
        <f aca="false">$B$72+$C$72*AJF81</f>
        <v>1.97514503589619</v>
      </c>
      <c r="AJG83" s="0" t="n">
        <f aca="false">$B$72+$C$72*AJG81</f>
        <v>2.45942518801084</v>
      </c>
      <c r="AJH83" s="0" t="n">
        <f aca="false">$B$72+$C$72*AJH81</f>
        <v>2.05636932342508</v>
      </c>
      <c r="AJI83" s="0" t="n">
        <f aca="false">$B$72+$C$72*AJI81</f>
        <v>2.08319507399044</v>
      </c>
      <c r="AJJ83" s="0" t="n">
        <f aca="false">$B$72+$C$72*AJJ81</f>
        <v>2.02904370603583</v>
      </c>
      <c r="AJK83" s="0" t="n">
        <f aca="false">$B$72+$C$72*AJK81</f>
        <v>1.97638295840891</v>
      </c>
      <c r="AJL83" s="0" t="n">
        <f aca="false">$B$72+$C$72*AJL81</f>
        <v>1.89924310763736</v>
      </c>
      <c r="AJM83" s="0" t="n">
        <f aca="false">$B$72+$C$72*AJM81</f>
        <v>1.89127794197898</v>
      </c>
      <c r="AJN83" s="0" t="n">
        <f aca="false">$B$72+$C$72*AJN81</f>
        <v>1.97686304089983</v>
      </c>
      <c r="AJO83" s="0" t="n">
        <f aca="false">$B$72+$C$72*AJO81</f>
        <v>1.9325919484861</v>
      </c>
      <c r="AJP83" s="0" t="n">
        <f aca="false">$B$72+$C$72*AJP81</f>
        <v>1.84109707810244</v>
      </c>
      <c r="AJQ83" s="0" t="n">
        <f aca="false">$B$72+$C$72*AJQ81</f>
        <v>1.91458992639338</v>
      </c>
      <c r="AJR83" s="0" t="n">
        <f aca="false">$B$72+$C$72*AJR81</f>
        <v>2.1021236211382</v>
      </c>
      <c r="AJS83" s="0" t="n">
        <f aca="false">$B$72+$C$72*AJS81</f>
        <v>1.95193732592338</v>
      </c>
      <c r="AJT83" s="0" t="n">
        <f aca="false">$B$72+$C$72*AJT81</f>
        <v>2.21912094368758</v>
      </c>
      <c r="AJU83" s="0" t="n">
        <f aca="false">$B$72+$C$72*AJU81</f>
        <v>1.64813722797743</v>
      </c>
      <c r="AJV83" s="0" t="n">
        <f aca="false">$B$72+$C$72*AJV81</f>
        <v>2.03659114299747</v>
      </c>
      <c r="AJW83" s="0" t="n">
        <f aca="false">$B$72+$C$72*AJW81</f>
        <v>2.07622207161222</v>
      </c>
      <c r="AJX83" s="0" t="n">
        <f aca="false">$B$72+$C$72*AJX81</f>
        <v>2.03175266128219</v>
      </c>
      <c r="AJY83" s="0" t="n">
        <f aca="false">$B$72+$C$72*AJY81</f>
        <v>1.85773194906607</v>
      </c>
      <c r="AJZ83" s="0" t="n">
        <f aca="false">$B$72+$C$72*AJZ81</f>
        <v>2.31885133095706</v>
      </c>
      <c r="AKA83" s="0" t="n">
        <f aca="false">$B$72+$C$72*AKA81</f>
        <v>1.75640833356166</v>
      </c>
      <c r="AKB83" s="0" t="n">
        <f aca="false">$B$72+$C$72*AKB81</f>
        <v>2.37660612012875</v>
      </c>
      <c r="AKC83" s="0" t="n">
        <f aca="false">$B$72+$C$72*AKC81</f>
        <v>1.92637131396347</v>
      </c>
      <c r="AKD83" s="0" t="n">
        <f aca="false">$B$72+$C$72*AKD81</f>
        <v>2.228146723293</v>
      </c>
      <c r="AKE83" s="0" t="n">
        <f aca="false">$B$72+$C$72*AKE81</f>
        <v>2.02340263394971</v>
      </c>
      <c r="AKF83" s="0" t="n">
        <f aca="false">$B$72+$C$72*AKF81</f>
        <v>1.73281737757166</v>
      </c>
      <c r="AKG83" s="0" t="n">
        <f aca="false">$B$72+$C$72*AKG81</f>
        <v>2.03058155224293</v>
      </c>
      <c r="AKH83" s="0" t="n">
        <f aca="false">$B$72+$C$72*AKH81</f>
        <v>1.89660683709873</v>
      </c>
      <c r="AKI83" s="0" t="n">
        <f aca="false">$B$72+$C$72*AKI81</f>
        <v>2.1953261675192</v>
      </c>
      <c r="AKJ83" s="0" t="n">
        <f aca="false">$B$72+$C$72*AKJ81</f>
        <v>2.30879997580285</v>
      </c>
      <c r="AKK83" s="0" t="n">
        <f aca="false">$B$72+$C$72*AKK81</f>
        <v>2.15505906039186</v>
      </c>
      <c r="AKL83" s="0" t="n">
        <f aca="false">$B$72+$C$72*AKL81</f>
        <v>2.21273113735731</v>
      </c>
      <c r="AKM83" s="0" t="n">
        <f aca="false">$B$72+$C$72*AKM81</f>
        <v>1.90379835747013</v>
      </c>
      <c r="AKN83" s="0" t="n">
        <f aca="false">$B$72+$C$72*AKN81</f>
        <v>1.85679516473809</v>
      </c>
      <c r="AKO83" s="0" t="n">
        <f aca="false">$B$72+$C$72*AKO81</f>
        <v>1.88747953729978</v>
      </c>
      <c r="AKP83" s="0" t="n">
        <f aca="false">$B$72+$C$72*AKP81</f>
        <v>2.26994124466542</v>
      </c>
      <c r="AKQ83" s="0" t="n">
        <f aca="false">$B$72+$C$72*AKQ81</f>
        <v>1.85538491460868</v>
      </c>
      <c r="AKR83" s="0" t="n">
        <f aca="false">$B$72+$C$72*AKR81</f>
        <v>1.95427102557851</v>
      </c>
      <c r="AKS83" s="0" t="n">
        <f aca="false">$B$72+$C$72*AKS81</f>
        <v>2.09552805882236</v>
      </c>
      <c r="AKT83" s="0" t="n">
        <f aca="false">$B$72+$C$72*AKT81</f>
        <v>1.94922417850025</v>
      </c>
      <c r="AKU83" s="0" t="n">
        <f aca="false">$B$72+$C$72*AKU81</f>
        <v>2.05606186475662</v>
      </c>
      <c r="AKV83" s="0" t="n">
        <f aca="false">$B$72+$C$72*AKV81</f>
        <v>1.84728989261339</v>
      </c>
      <c r="AKW83" s="0" t="n">
        <f aca="false">$B$72+$C$72*AKW81</f>
        <v>2.05667147643889</v>
      </c>
      <c r="AKX83" s="0" t="n">
        <f aca="false">$B$72+$C$72*AKX81</f>
        <v>2.01825103245546</v>
      </c>
      <c r="AKY83" s="0" t="n">
        <f aca="false">$B$72+$C$72*AKY81</f>
        <v>1.6443383558215</v>
      </c>
      <c r="AKZ83" s="0" t="n">
        <f aca="false">$B$72+$C$72*AKZ81</f>
        <v>2.39215226399648</v>
      </c>
      <c r="ALA83" s="0" t="n">
        <f aca="false">$B$72+$C$72*ALA81</f>
        <v>2.06331472055777</v>
      </c>
      <c r="ALB83" s="0" t="n">
        <f aca="false">$B$72+$C$72*ALB81</f>
        <v>1.82166184431861</v>
      </c>
      <c r="ALC83" s="0" t="n">
        <f aca="false">$B$72+$C$72*ALC81</f>
        <v>1.96016060920123</v>
      </c>
      <c r="ALD83" s="0" t="n">
        <f aca="false">$B$72+$C$72*ALD81</f>
        <v>2.04882889582074</v>
      </c>
      <c r="ALE83" s="0" t="n">
        <f aca="false">$B$72+$C$72*ALE81</f>
        <v>2.03845964835053</v>
      </c>
      <c r="ALF83" s="0" t="n">
        <f aca="false">$B$72+$C$72*ALF81</f>
        <v>2.2494613850451</v>
      </c>
      <c r="ALG83" s="0" t="n">
        <f aca="false">$B$72+$C$72*ALG81</f>
        <v>1.85639801765256</v>
      </c>
      <c r="ALH83" s="0" t="n">
        <f aca="false">$B$72+$C$72*ALH81</f>
        <v>1.7058046483837</v>
      </c>
      <c r="ALI83" s="0" t="n">
        <f aca="false">$B$72+$C$72*ALI81</f>
        <v>1.85046847866749</v>
      </c>
      <c r="ALJ83" s="0" t="n">
        <f aca="false">$B$72+$C$72*ALJ81</f>
        <v>1.9283790457474</v>
      </c>
      <c r="ALK83" s="0" t="n">
        <f aca="false">$B$72+$C$72*ALK81</f>
        <v>2.11387109304396</v>
      </c>
      <c r="ALL83" s="0" t="n">
        <f aca="false">$B$72+$C$72*ALL81</f>
        <v>2.22802369424444</v>
      </c>
      <c r="ALM83" s="0" t="n">
        <f aca="false">$B$72+$C$72*ALM81</f>
        <v>2.08335408490374</v>
      </c>
    </row>
    <row r="84" customFormat="false" ht="14.5" hidden="false" customHeight="false" outlineLevel="0" collapsed="false">
      <c r="A84" s="0" t="s">
        <v>123</v>
      </c>
      <c r="B84" s="0" t="n">
        <f aca="false">$B$68+B80*$C$68</f>
        <v>2093.48521321526</v>
      </c>
      <c r="C84" s="0" t="n">
        <f aca="false">$B$68+C80*$C$68</f>
        <v>2030.68787690824</v>
      </c>
      <c r="D84" s="0" t="n">
        <f aca="false">$B$68+D80*$C$68</f>
        <v>2208.79135019023</v>
      </c>
      <c r="E84" s="0" t="n">
        <f aca="false">$B$68+E80*$C$68</f>
        <v>2121.59133654386</v>
      </c>
      <c r="F84" s="0" t="n">
        <f aca="false">$B$68+F80*$C$68</f>
        <v>2034.59119208424</v>
      </c>
      <c r="G84" s="0" t="n">
        <f aca="false">$B$68+G80*$C$68</f>
        <v>2182.12270307297</v>
      </c>
      <c r="H84" s="0" t="n">
        <f aca="false">$B$68+H80*$C$68</f>
        <v>1941.53219266172</v>
      </c>
      <c r="I84" s="0" t="n">
        <f aca="false">$B$68+I80*$C$68</f>
        <v>2245.79025380257</v>
      </c>
      <c r="J84" s="0" t="n">
        <f aca="false">$B$68+J80*$C$68</f>
        <v>2070.63232549689</v>
      </c>
      <c r="K84" s="0" t="n">
        <f aca="false">$B$68+K80*$C$68</f>
        <v>1761.56212100277</v>
      </c>
      <c r="L84" s="0" t="n">
        <f aca="false">$B$68+L80*$C$68</f>
        <v>1991.47592342405</v>
      </c>
      <c r="M84" s="0" t="n">
        <f aca="false">$B$68+M80*$C$68</f>
        <v>2092.83114224611</v>
      </c>
      <c r="N84" s="0" t="n">
        <f aca="false">$B$68+N80*$C$68</f>
        <v>1869.78924619212</v>
      </c>
      <c r="O84" s="0" t="n">
        <f aca="false">$B$68+O80*$C$68</f>
        <v>1842.63659684985</v>
      </c>
      <c r="P84" s="0" t="n">
        <f aca="false">$B$68+P80*$C$68</f>
        <v>2159.80168194147</v>
      </c>
      <c r="Q84" s="0" t="n">
        <f aca="false">$B$68+Q80*$C$68</f>
        <v>1669.99076234134</v>
      </c>
      <c r="R84" s="0" t="n">
        <f aca="false">$B$68+R80*$C$68</f>
        <v>1741.29549702319</v>
      </c>
      <c r="S84" s="0" t="n">
        <f aca="false">$B$68+S80*$C$68</f>
        <v>1710.36960856895</v>
      </c>
      <c r="T84" s="0" t="n">
        <f aca="false">$B$68+T80*$C$68</f>
        <v>1877.35856415437</v>
      </c>
      <c r="U84" s="0" t="n">
        <f aca="false">$B$68+U80*$C$68</f>
        <v>1608.78757655671</v>
      </c>
      <c r="V84" s="0" t="n">
        <f aca="false">$B$68+V80*$C$68</f>
        <v>1906.7939558502</v>
      </c>
      <c r="W84" s="0" t="n">
        <f aca="false">$B$68+W80*$C$68</f>
        <v>2080.39157988091</v>
      </c>
      <c r="X84" s="0" t="n">
        <f aca="false">$B$68+X80*$C$68</f>
        <v>2159.75506951909</v>
      </c>
      <c r="Y84" s="0" t="n">
        <f aca="false">$B$68+Y80*$C$68</f>
        <v>1990.46438486261</v>
      </c>
      <c r="Z84" s="0" t="n">
        <f aca="false">$B$68+Z80*$C$68</f>
        <v>2275.30136291192</v>
      </c>
      <c r="AA84" s="0" t="n">
        <f aca="false">$B$68+AA80*$C$68</f>
        <v>2313.51622599027</v>
      </c>
      <c r="AB84" s="0" t="n">
        <f aca="false">$B$68+AB80*$C$68</f>
        <v>2373.49004193158</v>
      </c>
      <c r="AC84" s="0" t="n">
        <f aca="false">$B$68+AC80*$C$68</f>
        <v>1697.16872127441</v>
      </c>
      <c r="AD84" s="0" t="n">
        <f aca="false">$B$68+AD80*$C$68</f>
        <v>2136.02372399621</v>
      </c>
      <c r="AE84" s="0" t="n">
        <f aca="false">$B$68+AE80*$C$68</f>
        <v>1962.58687525848</v>
      </c>
      <c r="AF84" s="0" t="n">
        <f aca="false">$B$68+AF80*$C$68</f>
        <v>1679.54988536417</v>
      </c>
      <c r="AG84" s="0" t="n">
        <f aca="false">$B$68+AG80*$C$68</f>
        <v>2162.4547982203</v>
      </c>
      <c r="AH84" s="0" t="n">
        <f aca="false">$B$68+AH80*$C$68</f>
        <v>1946.59501727576</v>
      </c>
      <c r="AI84" s="0" t="n">
        <f aca="false">$B$68+AI80*$C$68</f>
        <v>1863.0189952596</v>
      </c>
      <c r="AJ84" s="0" t="n">
        <f aca="false">$B$68+AJ80*$C$68</f>
        <v>2321.47316262906</v>
      </c>
      <c r="AK84" s="0" t="n">
        <f aca="false">$B$68+AK80*$C$68</f>
        <v>2145.15639432584</v>
      </c>
      <c r="AL84" s="0" t="n">
        <f aca="false">$B$68+AL80*$C$68</f>
        <v>2196.90370861952</v>
      </c>
      <c r="AM84" s="0" t="n">
        <f aca="false">$B$68+AM80*$C$68</f>
        <v>2187.77101436217</v>
      </c>
      <c r="AN84" s="0" t="n">
        <f aca="false">$B$68+AN80*$C$68</f>
        <v>2034.48563479284</v>
      </c>
      <c r="AO84" s="0" t="n">
        <f aca="false">$B$68+AO80*$C$68</f>
        <v>1623.93697482027</v>
      </c>
      <c r="AP84" s="0" t="n">
        <f aca="false">$B$68+AP80*$C$68</f>
        <v>1918.76860339626</v>
      </c>
      <c r="AQ84" s="0" t="n">
        <f aca="false">$B$68+AQ80*$C$68</f>
        <v>2125.29641972089</v>
      </c>
      <c r="AR84" s="0" t="n">
        <f aca="false">$B$68+AR80*$C$68</f>
        <v>1882.57488605109</v>
      </c>
      <c r="AS84" s="0" t="n">
        <f aca="false">$B$68+AS80*$C$68</f>
        <v>1858.19423011516</v>
      </c>
      <c r="AT84" s="0" t="n">
        <f aca="false">$B$68+AT80*$C$68</f>
        <v>2031.68874871522</v>
      </c>
      <c r="AU84" s="0" t="n">
        <f aca="false">$B$68+AU80*$C$68</f>
        <v>1930.07991329329</v>
      </c>
      <c r="AV84" s="0" t="n">
        <f aca="false">$B$68+AV80*$C$68</f>
        <v>2336.23526384967</v>
      </c>
      <c r="AW84" s="0" t="n">
        <f aca="false">$B$68+AW80*$C$68</f>
        <v>1995.88456871145</v>
      </c>
      <c r="AX84" s="0" t="n">
        <f aca="false">$B$68+AX80*$C$68</f>
        <v>1721.11288904462</v>
      </c>
      <c r="AY84" s="0" t="n">
        <f aca="false">$B$68+AY80*$C$68</f>
        <v>2203.88720702909</v>
      </c>
      <c r="AZ84" s="0" t="n">
        <f aca="false">$B$68+AZ80*$C$68</f>
        <v>2321.33094087986</v>
      </c>
      <c r="BA84" s="0" t="n">
        <f aca="false">$B$68+BA80*$C$68</f>
        <v>2018.79663189623</v>
      </c>
      <c r="BB84" s="0" t="n">
        <f aca="false">$B$68+BB80*$C$68</f>
        <v>1750.93525582845</v>
      </c>
      <c r="BC84" s="0" t="n">
        <f aca="false">$B$68+BC80*$C$68</f>
        <v>2182.41964894328</v>
      </c>
      <c r="BD84" s="0" t="n">
        <f aca="false">$B$68+BD80*$C$68</f>
        <v>1754.87587018498</v>
      </c>
      <c r="BE84" s="0" t="n">
        <f aca="false">$B$68+BE80*$C$68</f>
        <v>1899.51606603626</v>
      </c>
      <c r="BF84" s="0" t="n">
        <f aca="false">$B$68+BF80*$C$68</f>
        <v>1631.78883264138</v>
      </c>
      <c r="BG84" s="0" t="n">
        <f aca="false">$B$68+BG80*$C$68</f>
        <v>2091.51961757778</v>
      </c>
      <c r="BH84" s="0" t="n">
        <f aca="false">$B$68+BH80*$C$68</f>
        <v>1932.83898026384</v>
      </c>
      <c r="BI84" s="0" t="n">
        <f aca="false">$B$68+BI80*$C$68</f>
        <v>2413.19178124814</v>
      </c>
      <c r="BJ84" s="0" t="n">
        <f aca="false">$B$68+BJ80*$C$68</f>
        <v>2152.53164203856</v>
      </c>
      <c r="BK84" s="0" t="n">
        <f aca="false">$B$68+BK80*$C$68</f>
        <v>2193.22178984054</v>
      </c>
      <c r="BL84" s="0" t="n">
        <f aca="false">$B$68+BL80*$C$68</f>
        <v>2119.3744611866</v>
      </c>
      <c r="BM84" s="0" t="n">
        <f aca="false">$B$68+BM80*$C$68</f>
        <v>1929.42687364677</v>
      </c>
      <c r="BN84" s="0" t="n">
        <f aca="false">$B$68+BN80*$C$68</f>
        <v>1827.29614170656</v>
      </c>
      <c r="BO84" s="0" t="n">
        <f aca="false">$B$68+BO80*$C$68</f>
        <v>1999.08939397695</v>
      </c>
      <c r="BP84" s="0" t="n">
        <f aca="false">$B$68+BP80*$C$68</f>
        <v>2100.35073634551</v>
      </c>
      <c r="BQ84" s="0" t="n">
        <f aca="false">$B$68+BQ80*$C$68</f>
        <v>1906.10264169366</v>
      </c>
      <c r="BR84" s="0" t="n">
        <f aca="false">$B$68+BR80*$C$68</f>
        <v>2122.59721629698</v>
      </c>
      <c r="BS84" s="0" t="n">
        <f aca="false">$B$68+BS80*$C$68</f>
        <v>1720.59329569695</v>
      </c>
      <c r="BT84" s="0" t="n">
        <f aca="false">$B$68+BT80*$C$68</f>
        <v>2026.33284733563</v>
      </c>
      <c r="BU84" s="0" t="n">
        <f aca="false">$B$68+BU80*$C$68</f>
        <v>1646.54132969639</v>
      </c>
      <c r="BV84" s="0" t="n">
        <f aca="false">$B$68+BV80*$C$68</f>
        <v>1921.68619075508</v>
      </c>
      <c r="BW84" s="0" t="n">
        <f aca="false">$B$68+BW80*$C$68</f>
        <v>1803.50884385642</v>
      </c>
      <c r="BX84" s="0" t="n">
        <f aca="false">$B$68+BX80*$C$68</f>
        <v>1758.61338813037</v>
      </c>
      <c r="BY84" s="0" t="n">
        <f aca="false">$B$68+BY80*$C$68</f>
        <v>1780.83826163165</v>
      </c>
      <c r="BZ84" s="0" t="n">
        <f aca="false">$B$68+BZ80*$C$68</f>
        <v>2222.2859804775</v>
      </c>
      <c r="CA84" s="0" t="n">
        <f aca="false">$B$68+CA80*$C$68</f>
        <v>2122.78908945346</v>
      </c>
      <c r="CB84" s="0" t="n">
        <f aca="false">$B$68+CB80*$C$68</f>
        <v>1794.88874684235</v>
      </c>
      <c r="CC84" s="0" t="n">
        <f aca="false">$B$68+CC80*$C$68</f>
        <v>2273.68739504245</v>
      </c>
      <c r="CD84" s="0" t="n">
        <f aca="false">$B$68+CD80*$C$68</f>
        <v>2523.48594827498</v>
      </c>
      <c r="CE84" s="0" t="n">
        <f aca="false">$B$68+CE80*$C$68</f>
        <v>2168.47574685912</v>
      </c>
      <c r="CF84" s="0" t="n">
        <f aca="false">$B$68+CF80*$C$68</f>
        <v>2145.24589181804</v>
      </c>
      <c r="CG84" s="0" t="n">
        <f aca="false">$B$68+CG80*$C$68</f>
        <v>1712.02103172607</v>
      </c>
      <c r="CH84" s="0" t="n">
        <f aca="false">$B$68+CH80*$C$68</f>
        <v>2092.85332308453</v>
      </c>
      <c r="CI84" s="0" t="n">
        <f aca="false">$B$68+CI80*$C$68</f>
        <v>2186.99557322502</v>
      </c>
      <c r="CJ84" s="0" t="n">
        <f aca="false">$B$68+CJ80*$C$68</f>
        <v>2405.02110124437</v>
      </c>
      <c r="CK84" s="0" t="n">
        <f aca="false">$B$68+CK80*$C$68</f>
        <v>1959.60778849146</v>
      </c>
      <c r="CL84" s="0" t="n">
        <f aca="false">$B$68+CL80*$C$68</f>
        <v>1890.18598569082</v>
      </c>
      <c r="CM84" s="0" t="n">
        <f aca="false">$B$68+CM80*$C$68</f>
        <v>2243.25827899565</v>
      </c>
      <c r="CN84" s="0" t="n">
        <f aca="false">$B$68+CN80*$C$68</f>
        <v>2131.01254144458</v>
      </c>
      <c r="CO84" s="0" t="n">
        <f aca="false">$B$68+CO80*$C$68</f>
        <v>2192.08708431543</v>
      </c>
      <c r="CP84" s="0" t="n">
        <f aca="false">$B$68+CP80*$C$68</f>
        <v>1913.33920863148</v>
      </c>
      <c r="CQ84" s="0" t="n">
        <f aca="false">$B$68+CQ80*$C$68</f>
        <v>1907.34935278617</v>
      </c>
      <c r="CR84" s="0" t="n">
        <f aca="false">$B$68+CR80*$C$68</f>
        <v>2084.53046590618</v>
      </c>
      <c r="CS84" s="0" t="n">
        <f aca="false">$B$68+CS80*$C$68</f>
        <v>1915.68428040377</v>
      </c>
      <c r="CT84" s="0" t="n">
        <f aca="false">$B$68+CT80*$C$68</f>
        <v>1669.75325458383</v>
      </c>
      <c r="CU84" s="0" t="n">
        <f aca="false">$B$68+CU80*$C$68</f>
        <v>1792.06315294723</v>
      </c>
      <c r="CV84" s="0" t="n">
        <f aca="false">$B$68+CV80*$C$68</f>
        <v>1736.27351057098</v>
      </c>
      <c r="CW84" s="0" t="n">
        <f aca="false">$B$68+CW80*$C$68</f>
        <v>2006.29216696445</v>
      </c>
      <c r="CX84" s="0" t="n">
        <f aca="false">$B$68+CX80*$C$68</f>
        <v>2083.93025466668</v>
      </c>
      <c r="CY84" s="0" t="n">
        <f aca="false">$B$68+CY80*$C$68</f>
        <v>1979.23008988068</v>
      </c>
      <c r="CZ84" s="0" t="n">
        <f aca="false">$B$68+CZ80*$C$68</f>
        <v>2008.38439247228</v>
      </c>
      <c r="DA84" s="0" t="n">
        <f aca="false">$B$68+DA80*$C$68</f>
        <v>1623.47377260072</v>
      </c>
      <c r="DB84" s="0" t="n">
        <f aca="false">$B$68+DB80*$C$68</f>
        <v>1371.41363455891</v>
      </c>
      <c r="DC84" s="0" t="n">
        <f aca="false">$B$68+DC80*$C$68</f>
        <v>2305.53133980992</v>
      </c>
      <c r="DD84" s="0" t="n">
        <f aca="false">$B$68+DD80*$C$68</f>
        <v>1870.89530892788</v>
      </c>
      <c r="DE84" s="0" t="n">
        <f aca="false">$B$68+DE80*$C$68</f>
        <v>2041.03566548837</v>
      </c>
      <c r="DF84" s="0" t="n">
        <f aca="false">$B$68+DF80*$C$68</f>
        <v>1793.27271263689</v>
      </c>
      <c r="DG84" s="0" t="n">
        <f aca="false">$B$68+DG80*$C$68</f>
        <v>2045.36997211087</v>
      </c>
      <c r="DH84" s="0" t="n">
        <f aca="false">$B$68+DH80*$C$68</f>
        <v>2038.88983659525</v>
      </c>
      <c r="DI84" s="0" t="n">
        <f aca="false">$B$68+DI80*$C$68</f>
        <v>1794.61281387107</v>
      </c>
      <c r="DJ84" s="0" t="n">
        <f aca="false">$B$68+DJ80*$C$68</f>
        <v>1973.92866280565</v>
      </c>
      <c r="DK84" s="0" t="n">
        <f aca="false">$B$68+DK80*$C$68</f>
        <v>2007.64977347266</v>
      </c>
      <c r="DL84" s="0" t="n">
        <f aca="false">$B$68+DL80*$C$68</f>
        <v>2195.46270597043</v>
      </c>
      <c r="DM84" s="0" t="n">
        <f aca="false">$B$68+DM80*$C$68</f>
        <v>2160.83564582043</v>
      </c>
      <c r="DN84" s="0" t="n">
        <f aca="false">$B$68+DN80*$C$68</f>
        <v>2350.71975685502</v>
      </c>
      <c r="DO84" s="0" t="n">
        <f aca="false">$B$68+DO80*$C$68</f>
        <v>2449.72468768288</v>
      </c>
      <c r="DP84" s="0" t="n">
        <f aca="false">$B$68+DP80*$C$68</f>
        <v>2286.15011262985</v>
      </c>
      <c r="DQ84" s="0" t="n">
        <f aca="false">$B$68+DQ80*$C$68</f>
        <v>2092.54455854046</v>
      </c>
      <c r="DR84" s="0" t="n">
        <f aca="false">$B$68+DR80*$C$68</f>
        <v>1581.84603736722</v>
      </c>
      <c r="DS84" s="0" t="n">
        <f aca="false">$B$68+DS80*$C$68</f>
        <v>1843.90562837768</v>
      </c>
      <c r="DT84" s="0" t="n">
        <f aca="false">$B$68+DT80*$C$68</f>
        <v>2349.65514025904</v>
      </c>
      <c r="DU84" s="0" t="n">
        <f aca="false">$B$68+DU80*$C$68</f>
        <v>2171.37113198213</v>
      </c>
      <c r="DV84" s="0" t="n">
        <f aca="false">$B$68+DV80*$C$68</f>
        <v>2145.62537073028</v>
      </c>
      <c r="DW84" s="0" t="n">
        <f aca="false">$B$68+DW80*$C$68</f>
        <v>1910.03609178788</v>
      </c>
      <c r="DX84" s="0" t="n">
        <f aca="false">$B$68+DX80*$C$68</f>
        <v>1967.22729342704</v>
      </c>
      <c r="DY84" s="0" t="n">
        <f aca="false">$B$68+DY80*$C$68</f>
        <v>2136.83309752993</v>
      </c>
      <c r="DZ84" s="0" t="n">
        <f aca="false">$B$68+DZ80*$C$68</f>
        <v>1743.70062094654</v>
      </c>
      <c r="EA84" s="0" t="n">
        <f aca="false">$B$68+EA80*$C$68</f>
        <v>1525.3634932564</v>
      </c>
      <c r="EB84" s="0" t="n">
        <f aca="false">$B$68+EB80*$C$68</f>
        <v>1932.19512806011</v>
      </c>
      <c r="EC84" s="0" t="n">
        <f aca="false">$B$68+EC80*$C$68</f>
        <v>1974.9224086887</v>
      </c>
      <c r="ED84" s="0" t="n">
        <f aca="false">$B$68+ED80*$C$68</f>
        <v>1998.50067383405</v>
      </c>
      <c r="EE84" s="0" t="n">
        <f aca="false">$B$68+EE80*$C$68</f>
        <v>2178.14188780753</v>
      </c>
      <c r="EF84" s="0" t="n">
        <f aca="false">$B$68+EF80*$C$68</f>
        <v>2041.57990198862</v>
      </c>
      <c r="EG84" s="0" t="n">
        <f aca="false">$B$68+EG80*$C$68</f>
        <v>1945.91996279302</v>
      </c>
      <c r="EH84" s="0" t="n">
        <f aca="false">$B$68+EH80*$C$68</f>
        <v>1924.75860939834</v>
      </c>
      <c r="EI84" s="0" t="n">
        <f aca="false">$B$68+EI80*$C$68</f>
        <v>1716.45659181171</v>
      </c>
      <c r="EJ84" s="0" t="n">
        <f aca="false">$B$68+EJ80*$C$68</f>
        <v>2165.29600007661</v>
      </c>
      <c r="EK84" s="0" t="n">
        <f aca="false">$B$68+EK80*$C$68</f>
        <v>2118.60457024341</v>
      </c>
      <c r="EL84" s="0" t="n">
        <f aca="false">$B$68+EL80*$C$68</f>
        <v>2221.844725666</v>
      </c>
      <c r="EM84" s="0" t="n">
        <f aca="false">$B$68+EM80*$C$68</f>
        <v>2005.68939874688</v>
      </c>
      <c r="EN84" s="0" t="n">
        <f aca="false">$B$68+EN80*$C$68</f>
        <v>2193.30322245759</v>
      </c>
      <c r="EO84" s="0" t="n">
        <f aca="false">$B$68+EO80*$C$68</f>
        <v>1987.10362774087</v>
      </c>
      <c r="EP84" s="0" t="n">
        <f aca="false">$B$68+EP80*$C$68</f>
        <v>2028.52520956654</v>
      </c>
      <c r="EQ84" s="0" t="n">
        <f aca="false">$B$68+EQ80*$C$68</f>
        <v>2079.20037189018</v>
      </c>
      <c r="ER84" s="0" t="n">
        <f aca="false">$B$68+ER80*$C$68</f>
        <v>2071.45180164501</v>
      </c>
      <c r="ES84" s="0" t="n">
        <f aca="false">$B$68+ES80*$C$68</f>
        <v>2163.37316545994</v>
      </c>
      <c r="ET84" s="0" t="n">
        <f aca="false">$B$68+ET80*$C$68</f>
        <v>2125.12040765911</v>
      </c>
      <c r="EU84" s="0" t="n">
        <f aca="false">$B$68+EU80*$C$68</f>
        <v>2264.33430819918</v>
      </c>
      <c r="EV84" s="0" t="n">
        <f aca="false">$B$68+EV80*$C$68</f>
        <v>2139.30366191319</v>
      </c>
      <c r="EW84" s="0" t="n">
        <f aca="false">$B$68+EW80*$C$68</f>
        <v>1793.04685640411</v>
      </c>
      <c r="EX84" s="0" t="n">
        <f aca="false">$B$68+EX80*$C$68</f>
        <v>1657.97693379565</v>
      </c>
      <c r="EY84" s="0" t="n">
        <f aca="false">$B$68+EY80*$C$68</f>
        <v>2533.62940717065</v>
      </c>
      <c r="EZ84" s="0" t="n">
        <f aca="false">$B$68+EZ80*$C$68</f>
        <v>1899.11125339449</v>
      </c>
      <c r="FA84" s="0" t="n">
        <f aca="false">$B$68+FA80*$C$68</f>
        <v>2288.53876327678</v>
      </c>
      <c r="FB84" s="0" t="n">
        <f aca="false">$B$68+FB80*$C$68</f>
        <v>2094.73121996033</v>
      </c>
      <c r="FC84" s="0" t="n">
        <f aca="false">$B$68+FC80*$C$68</f>
        <v>2047.72619963462</v>
      </c>
      <c r="FD84" s="0" t="n">
        <f aca="false">$B$68+FD80*$C$68</f>
        <v>2315.56064435037</v>
      </c>
      <c r="FE84" s="0" t="n">
        <f aca="false">$B$68+FE80*$C$68</f>
        <v>1709.34132702122</v>
      </c>
      <c r="FF84" s="0" t="n">
        <f aca="false">$B$68+FF80*$C$68</f>
        <v>1739.58130163387</v>
      </c>
      <c r="FG84" s="0" t="n">
        <f aca="false">$B$68+FG80*$C$68</f>
        <v>2019.92341449843</v>
      </c>
      <c r="FH84" s="0" t="n">
        <f aca="false">$B$68+FH80*$C$68</f>
        <v>2042.69441890187</v>
      </c>
      <c r="FI84" s="0" t="n">
        <f aca="false">$B$68+FI80*$C$68</f>
        <v>1648.48753154959</v>
      </c>
      <c r="FJ84" s="0" t="n">
        <f aca="false">$B$68+FJ80*$C$68</f>
        <v>1976.51134307003</v>
      </c>
      <c r="FK84" s="0" t="n">
        <f aca="false">$B$68+FK80*$C$68</f>
        <v>2324.31944801964</v>
      </c>
      <c r="FL84" s="0" t="n">
        <f aca="false">$B$68+FL80*$C$68</f>
        <v>1708.5804808686</v>
      </c>
      <c r="FM84" s="0" t="n">
        <f aca="false">$B$68+FM80*$C$68</f>
        <v>2386.34080610265</v>
      </c>
      <c r="FN84" s="0" t="n">
        <f aca="false">$B$68+FN80*$C$68</f>
        <v>2182.04080015437</v>
      </c>
      <c r="FO84" s="0" t="n">
        <f aca="false">$B$68+FO80*$C$68</f>
        <v>1898.20320037918</v>
      </c>
      <c r="FP84" s="0" t="n">
        <f aca="false">$B$68+FP80*$C$68</f>
        <v>1884.16437196807</v>
      </c>
      <c r="FQ84" s="0" t="n">
        <f aca="false">$B$68+FQ80*$C$68</f>
        <v>1770.22813015435</v>
      </c>
      <c r="FR84" s="0" t="n">
        <f aca="false">$B$68+FR80*$C$68</f>
        <v>1982.38781354727</v>
      </c>
      <c r="FS84" s="0" t="n">
        <f aca="false">$B$68+FS80*$C$68</f>
        <v>1650.92524591064</v>
      </c>
      <c r="FT84" s="0" t="n">
        <f aca="false">$B$68+FT80*$C$68</f>
        <v>1971.50705114102</v>
      </c>
      <c r="FU84" s="0" t="n">
        <f aca="false">$B$68+FU80*$C$68</f>
        <v>2118.89356609678</v>
      </c>
      <c r="FV84" s="0" t="n">
        <f aca="false">$B$68+FV80*$C$68</f>
        <v>2106.9945597369</v>
      </c>
      <c r="FW84" s="0" t="n">
        <f aca="false">$B$68+FW80*$C$68</f>
        <v>2210.63121692057</v>
      </c>
      <c r="FX84" s="0" t="n">
        <f aca="false">$B$68+FX80*$C$68</f>
        <v>1957.93266332513</v>
      </c>
      <c r="FY84" s="0" t="n">
        <f aca="false">$B$68+FY80*$C$68</f>
        <v>2084.22928539844</v>
      </c>
      <c r="FZ84" s="0" t="n">
        <f aca="false">$B$68+FZ80*$C$68</f>
        <v>1644.11093551121</v>
      </c>
      <c r="GA84" s="0" t="n">
        <f aca="false">$B$68+GA80*$C$68</f>
        <v>1864.19220979674</v>
      </c>
      <c r="GB84" s="0" t="n">
        <f aca="false">$B$68+GB80*$C$68</f>
        <v>1957.77486090108</v>
      </c>
      <c r="GC84" s="0" t="n">
        <f aca="false">$B$68+GC80*$C$68</f>
        <v>1884.05478092435</v>
      </c>
      <c r="GD84" s="0" t="n">
        <f aca="false">$B$68+GD80*$C$68</f>
        <v>1805.40835186791</v>
      </c>
      <c r="GE84" s="0" t="n">
        <f aca="false">$B$68+GE80*$C$68</f>
        <v>2041.8862671117</v>
      </c>
      <c r="GF84" s="0" t="n">
        <f aca="false">$B$68+GF80*$C$68</f>
        <v>1946.08890048251</v>
      </c>
      <c r="GG84" s="0" t="n">
        <f aca="false">$B$68+GG80*$C$68</f>
        <v>1931.1434704711</v>
      </c>
      <c r="GH84" s="0" t="n">
        <f aca="false">$B$68+GH80*$C$68</f>
        <v>2059.28349777277</v>
      </c>
      <c r="GI84" s="0" t="n">
        <f aca="false">$B$68+GI80*$C$68</f>
        <v>2218.7778042121</v>
      </c>
      <c r="GJ84" s="0" t="n">
        <f aca="false">$B$68+GJ80*$C$68</f>
        <v>1841.4947435209</v>
      </c>
      <c r="GK84" s="0" t="n">
        <f aca="false">$B$68+GK80*$C$68</f>
        <v>1808.68571832095</v>
      </c>
      <c r="GL84" s="0" t="n">
        <f aca="false">$B$68+GL80*$C$68</f>
        <v>1960.10670933608</v>
      </c>
      <c r="GM84" s="0" t="n">
        <f aca="false">$B$68+GM80*$C$68</f>
        <v>1903.5715486464</v>
      </c>
      <c r="GN84" s="0" t="n">
        <f aca="false">$B$68+GN80*$C$68</f>
        <v>2079.74502355618</v>
      </c>
      <c r="GO84" s="0" t="n">
        <f aca="false">$B$68+GO80*$C$68</f>
        <v>1782.39034920104</v>
      </c>
      <c r="GP84" s="0" t="n">
        <f aca="false">$B$68+GP80*$C$68</f>
        <v>2136.18087334032</v>
      </c>
      <c r="GQ84" s="0" t="n">
        <f aca="false">$B$68+GQ80*$C$68</f>
        <v>1610.25342484475</v>
      </c>
      <c r="GR84" s="0" t="n">
        <f aca="false">$B$68+GR80*$C$68</f>
        <v>2319.39572360412</v>
      </c>
      <c r="GS84" s="0" t="n">
        <f aca="false">$B$68+GS80*$C$68</f>
        <v>1962.21176106069</v>
      </c>
      <c r="GT84" s="0" t="n">
        <f aca="false">$B$68+GT80*$C$68</f>
        <v>2106.43011972381</v>
      </c>
      <c r="GU84" s="0" t="n">
        <f aca="false">$B$68+GU80*$C$68</f>
        <v>1869.1065407513</v>
      </c>
      <c r="GV84" s="0" t="n">
        <f aca="false">$B$68+GV80*$C$68</f>
        <v>2023.6456687943</v>
      </c>
      <c r="GW84" s="0" t="n">
        <f aca="false">$B$68+GW80*$C$68</f>
        <v>2041.97043215022</v>
      </c>
      <c r="GX84" s="0" t="n">
        <f aca="false">$B$68+GX80*$C$68</f>
        <v>1859.3923252614</v>
      </c>
      <c r="GY84" s="0" t="n">
        <f aca="false">$B$68+GY80*$C$68</f>
        <v>1913.70778747862</v>
      </c>
      <c r="GZ84" s="0" t="n">
        <f aca="false">$B$68+GZ80*$C$68</f>
        <v>2240.59956580569</v>
      </c>
      <c r="HA84" s="0" t="n">
        <f aca="false">$B$68+HA80*$C$68</f>
        <v>2047.85020864894</v>
      </c>
      <c r="HB84" s="0" t="n">
        <f aca="false">$B$68+HB80*$C$68</f>
        <v>1932.43553509817</v>
      </c>
      <c r="HC84" s="0" t="n">
        <f aca="false">$B$68+HC80*$C$68</f>
        <v>1882.74828200994</v>
      </c>
      <c r="HD84" s="0" t="n">
        <f aca="false">$B$68+HD80*$C$68</f>
        <v>2331.69311374495</v>
      </c>
      <c r="HE84" s="0" t="n">
        <f aca="false">$B$68+HE80*$C$68</f>
        <v>2235.20713085239</v>
      </c>
      <c r="HF84" s="0" t="n">
        <f aca="false">$B$68+HF80*$C$68</f>
        <v>1709.0421031744</v>
      </c>
      <c r="HG84" s="0" t="n">
        <f aca="false">$B$68+HG80*$C$68</f>
        <v>2209.00650632564</v>
      </c>
      <c r="HH84" s="0" t="n">
        <f aca="false">$B$68+HH80*$C$68</f>
        <v>2166.31310917233</v>
      </c>
      <c r="HI84" s="0" t="n">
        <f aca="false">$B$68+HI80*$C$68</f>
        <v>2136.29184254894</v>
      </c>
      <c r="HJ84" s="0" t="n">
        <f aca="false">$B$68+HJ80*$C$68</f>
        <v>1894.19265142106</v>
      </c>
      <c r="HK84" s="0" t="n">
        <f aca="false">$B$68+HK80*$C$68</f>
        <v>1938.84129844776</v>
      </c>
      <c r="HL84" s="0" t="n">
        <f aca="false">$B$68+HL80*$C$68</f>
        <v>2331.90775786585</v>
      </c>
      <c r="HM84" s="0" t="n">
        <f aca="false">$B$68+HM80*$C$68</f>
        <v>1849.50295017161</v>
      </c>
      <c r="HN84" s="0" t="n">
        <f aca="false">$B$68+HN80*$C$68</f>
        <v>1888.95175429258</v>
      </c>
      <c r="HO84" s="0" t="n">
        <f aca="false">$B$68+HO80*$C$68</f>
        <v>1882.36794375713</v>
      </c>
      <c r="HP84" s="0" t="n">
        <f aca="false">$B$68+HP80*$C$68</f>
        <v>1620.20011555701</v>
      </c>
      <c r="HQ84" s="0" t="n">
        <f aca="false">$B$68+HQ80*$C$68</f>
        <v>2027.01677890467</v>
      </c>
      <c r="HR84" s="0" t="n">
        <f aca="false">$B$68+HR80*$C$68</f>
        <v>1935.79360252321</v>
      </c>
      <c r="HS84" s="0" t="n">
        <f aca="false">$B$68+HS80*$C$68</f>
        <v>1970.8459295117</v>
      </c>
      <c r="HT84" s="0" t="n">
        <f aca="false">$B$68+HT80*$C$68</f>
        <v>2553.38775837373</v>
      </c>
      <c r="HU84" s="0" t="n">
        <f aca="false">$B$68+HU80*$C$68</f>
        <v>1815.38469736364</v>
      </c>
      <c r="HV84" s="0" t="n">
        <f aca="false">$B$68+HV80*$C$68</f>
        <v>1967.29494362706</v>
      </c>
      <c r="HW84" s="0" t="n">
        <f aca="false">$B$68+HW80*$C$68</f>
        <v>1874.84672977769</v>
      </c>
      <c r="HX84" s="0" t="n">
        <f aca="false">$B$68+HX80*$C$68</f>
        <v>2245.97703246288</v>
      </c>
      <c r="HY84" s="0" t="n">
        <f aca="false">$B$68+HY80*$C$68</f>
        <v>1834.22742969469</v>
      </c>
      <c r="HZ84" s="0" t="n">
        <f aca="false">$B$68+HZ80*$C$68</f>
        <v>1880.85034786575</v>
      </c>
      <c r="IA84" s="0" t="n">
        <f aca="false">$B$68+IA80*$C$68</f>
        <v>2346.59611628713</v>
      </c>
      <c r="IB84" s="0" t="n">
        <f aca="false">$B$68+IB80*$C$68</f>
        <v>1716.4427551703</v>
      </c>
      <c r="IC84" s="0" t="n">
        <f aca="false">$B$68+IC80*$C$68</f>
        <v>1841.53623861963</v>
      </c>
      <c r="ID84" s="0" t="n">
        <f aca="false">$B$68+ID80*$C$68</f>
        <v>1709.61053768494</v>
      </c>
      <c r="IE84" s="0" t="n">
        <f aca="false">$B$68+IE80*$C$68</f>
        <v>2331.12215091027</v>
      </c>
      <c r="IF84" s="0" t="n">
        <f aca="false">$B$68+IF80*$C$68</f>
        <v>1735.12456131076</v>
      </c>
      <c r="IG84" s="0" t="n">
        <f aca="false">$B$68+IG80*$C$68</f>
        <v>1800.5111452271</v>
      </c>
      <c r="IH84" s="0" t="n">
        <f aca="false">$B$68+IH80*$C$68</f>
        <v>2001.86016899772</v>
      </c>
      <c r="II84" s="0" t="n">
        <f aca="false">$B$68+II80*$C$68</f>
        <v>2125.49302413591</v>
      </c>
      <c r="IJ84" s="0" t="n">
        <f aca="false">$B$68+IJ80*$C$68</f>
        <v>1902.91924780596</v>
      </c>
      <c r="IK84" s="0" t="n">
        <f aca="false">$B$68+IK80*$C$68</f>
        <v>2495.5221492529</v>
      </c>
      <c r="IL84" s="0" t="n">
        <f aca="false">$B$68+IL80*$C$68</f>
        <v>2288.00645023597</v>
      </c>
      <c r="IM84" s="0" t="n">
        <f aca="false">$B$68+IM80*$C$68</f>
        <v>1987.23948514658</v>
      </c>
      <c r="IN84" s="0" t="n">
        <f aca="false">$B$68+IN80*$C$68</f>
        <v>1808.74735014652</v>
      </c>
      <c r="IO84" s="0" t="n">
        <f aca="false">$B$68+IO80*$C$68</f>
        <v>2094.23506453898</v>
      </c>
      <c r="IP84" s="0" t="n">
        <f aca="false">$B$68+IP80*$C$68</f>
        <v>2152.36953395094</v>
      </c>
      <c r="IQ84" s="0" t="n">
        <f aca="false">$B$68+IQ80*$C$68</f>
        <v>2063.95944453662</v>
      </c>
      <c r="IR84" s="0" t="n">
        <f aca="false">$B$68+IR80*$C$68</f>
        <v>1755.02226282228</v>
      </c>
      <c r="IS84" s="0" t="n">
        <f aca="false">$B$68+IS80*$C$68</f>
        <v>1988.02876294588</v>
      </c>
      <c r="IT84" s="0" t="n">
        <f aca="false">$B$68+IT80*$C$68</f>
        <v>2201.83617954465</v>
      </c>
      <c r="IU84" s="0" t="n">
        <f aca="false">$B$68+IU80*$C$68</f>
        <v>1893.70590007371</v>
      </c>
      <c r="IV84" s="0" t="n">
        <f aca="false">$B$68+IV80*$C$68</f>
        <v>2136.66959760318</v>
      </c>
      <c r="IW84" s="0" t="n">
        <f aca="false">$B$68+IW80*$C$68</f>
        <v>1953.1798700589</v>
      </c>
      <c r="IX84" s="0" t="n">
        <f aca="false">$B$68+IX80*$C$68</f>
        <v>1902.06009747682</v>
      </c>
      <c r="IY84" s="0" t="n">
        <f aca="false">$B$68+IY80*$C$68</f>
        <v>2182.85403288049</v>
      </c>
      <c r="IZ84" s="0" t="n">
        <f aca="false">$B$68+IZ80*$C$68</f>
        <v>2095.07715984605</v>
      </c>
      <c r="JA84" s="0" t="n">
        <f aca="false">$B$68+JA80*$C$68</f>
        <v>1662.35466695999</v>
      </c>
      <c r="JB84" s="0" t="n">
        <f aca="false">$B$68+JB80*$C$68</f>
        <v>1942.15463889205</v>
      </c>
      <c r="JC84" s="0" t="n">
        <f aca="false">$B$68+JC80*$C$68</f>
        <v>1757.84275168709</v>
      </c>
      <c r="JD84" s="0" t="n">
        <f aca="false">$B$68+JD80*$C$68</f>
        <v>1832.04924095975</v>
      </c>
      <c r="JE84" s="0" t="n">
        <f aca="false">$B$68+JE80*$C$68</f>
        <v>1987.87536881284</v>
      </c>
      <c r="JF84" s="0" t="n">
        <f aca="false">$B$68+JF80*$C$68</f>
        <v>2134.92815476928</v>
      </c>
      <c r="JG84" s="0" t="n">
        <f aca="false">$B$68+JG80*$C$68</f>
        <v>2163.93543690102</v>
      </c>
      <c r="JH84" s="0" t="n">
        <f aca="false">$B$68+JH80*$C$68</f>
        <v>1791.38757551933</v>
      </c>
      <c r="JI84" s="0" t="n">
        <f aca="false">$B$68+JI80*$C$68</f>
        <v>1976.31264497631</v>
      </c>
      <c r="JJ84" s="0" t="n">
        <f aca="false">$B$68+JJ80*$C$68</f>
        <v>1903.7732694144</v>
      </c>
      <c r="JK84" s="0" t="n">
        <f aca="false">$B$68+JK80*$C$68</f>
        <v>1779.98561654658</v>
      </c>
      <c r="JL84" s="0" t="n">
        <f aca="false">$B$68+JL80*$C$68</f>
        <v>1980.81284734478</v>
      </c>
      <c r="JM84" s="0" t="n">
        <f aca="false">$B$68+JM80*$C$68</f>
        <v>2029.0352231803</v>
      </c>
      <c r="JN84" s="0" t="n">
        <f aca="false">$B$68+JN80*$C$68</f>
        <v>1975.50352486767</v>
      </c>
      <c r="JO84" s="0" t="n">
        <f aca="false">$B$68+JO80*$C$68</f>
        <v>1923.80332807868</v>
      </c>
      <c r="JP84" s="0" t="n">
        <f aca="false">$B$68+JP80*$C$68</f>
        <v>1978.30129264342</v>
      </c>
      <c r="JQ84" s="0" t="n">
        <f aca="false">$B$68+JQ80*$C$68</f>
        <v>1740.20936468166</v>
      </c>
      <c r="JR84" s="0" t="n">
        <f aca="false">$B$68+JR80*$C$68</f>
        <v>1616.7480336376</v>
      </c>
      <c r="JS84" s="0" t="n">
        <f aca="false">$B$68+JS80*$C$68</f>
        <v>1691.99978754853</v>
      </c>
      <c r="JT84" s="0" t="n">
        <f aca="false">$B$68+JT80*$C$68</f>
        <v>1883.18008726725</v>
      </c>
      <c r="JU84" s="0" t="n">
        <f aca="false">$B$68+JU80*$C$68</f>
        <v>1852.25889115789</v>
      </c>
      <c r="JV84" s="0" t="n">
        <f aca="false">$B$68+JV80*$C$68</f>
        <v>2100.24146654048</v>
      </c>
      <c r="JW84" s="0" t="n">
        <f aca="false">$B$68+JW80*$C$68</f>
        <v>2407.22273139189</v>
      </c>
      <c r="JX84" s="0" t="n">
        <f aca="false">$B$68+JX80*$C$68</f>
        <v>1748.52456268462</v>
      </c>
      <c r="JY84" s="0" t="n">
        <f aca="false">$B$68+JY80*$C$68</f>
        <v>2025.13256937004</v>
      </c>
      <c r="JZ84" s="0" t="n">
        <f aca="false">$B$68+JZ80*$C$68</f>
        <v>1964.03071272306</v>
      </c>
      <c r="KA84" s="0" t="n">
        <f aca="false">$B$68+KA80*$C$68</f>
        <v>1995.06847253774</v>
      </c>
      <c r="KB84" s="0" t="n">
        <f aca="false">$B$68+KB80*$C$68</f>
        <v>2132.77331288875</v>
      </c>
      <c r="KC84" s="0" t="n">
        <f aca="false">$B$68+KC80*$C$68</f>
        <v>1957.91638595937</v>
      </c>
      <c r="KD84" s="0" t="n">
        <f aca="false">$B$68+KD80*$C$68</f>
        <v>1904.05608972635</v>
      </c>
      <c r="KE84" s="0" t="n">
        <f aca="false">$B$68+KE80*$C$68</f>
        <v>1923.5354686314</v>
      </c>
      <c r="KF84" s="0" t="n">
        <f aca="false">$B$68+KF80*$C$68</f>
        <v>2031.3888641945</v>
      </c>
      <c r="KG84" s="0" t="n">
        <f aca="false">$B$68+KG80*$C$68</f>
        <v>2486.58674884614</v>
      </c>
      <c r="KH84" s="0" t="n">
        <f aca="false">$B$68+KH80*$C$68</f>
        <v>1969.8378529263</v>
      </c>
      <c r="KI84" s="0" t="n">
        <f aca="false">$B$68+KI80*$C$68</f>
        <v>1822.19789808152</v>
      </c>
      <c r="KJ84" s="0" t="n">
        <f aca="false">$B$68+KJ80*$C$68</f>
        <v>2132.69215080252</v>
      </c>
      <c r="KK84" s="0" t="n">
        <f aca="false">$B$68+KK80*$C$68</f>
        <v>1909.22719774175</v>
      </c>
      <c r="KL84" s="0" t="n">
        <f aca="false">$B$68+KL80*$C$68</f>
        <v>2161.17604841788</v>
      </c>
      <c r="KM84" s="0" t="n">
        <f aca="false">$B$68+KM80*$C$68</f>
        <v>2041.95369394266</v>
      </c>
      <c r="KN84" s="0" t="n">
        <f aca="false">$B$68+KN80*$C$68</f>
        <v>1910.882267526</v>
      </c>
      <c r="KO84" s="0" t="n">
        <f aca="false">$B$68+KO80*$C$68</f>
        <v>2163.3114164726</v>
      </c>
      <c r="KP84" s="0" t="n">
        <f aca="false">$B$68+KP80*$C$68</f>
        <v>1815.86370935776</v>
      </c>
      <c r="KQ84" s="0" t="n">
        <f aca="false">$B$68+KQ80*$C$68</f>
        <v>1898.92353755411</v>
      </c>
      <c r="KR84" s="0" t="n">
        <f aca="false">$B$68+KR80*$C$68</f>
        <v>1874.76288823707</v>
      </c>
      <c r="KS84" s="0" t="n">
        <f aca="false">$B$68+KS80*$C$68</f>
        <v>1778.98925478804</v>
      </c>
      <c r="KT84" s="0" t="n">
        <f aca="false">$B$68+KT80*$C$68</f>
        <v>1894.54998247189</v>
      </c>
      <c r="KU84" s="0" t="n">
        <f aca="false">$B$68+KU80*$C$68</f>
        <v>1908.82037125757</v>
      </c>
      <c r="KV84" s="0" t="n">
        <f aca="false">$B$68+KV80*$C$68</f>
        <v>1938.92991202913</v>
      </c>
      <c r="KW84" s="0" t="n">
        <f aca="false">$B$68+KW80*$C$68</f>
        <v>1826.32482010355</v>
      </c>
      <c r="KX84" s="0" t="n">
        <f aca="false">$B$68+KX80*$C$68</f>
        <v>2100.15457063882</v>
      </c>
      <c r="KY84" s="0" t="n">
        <f aca="false">$B$68+KY80*$C$68</f>
        <v>2108.8906506909</v>
      </c>
      <c r="KZ84" s="0" t="n">
        <f aca="false">$B$68+KZ80*$C$68</f>
        <v>1794.50129562214</v>
      </c>
      <c r="LA84" s="0" t="n">
        <f aca="false">$B$68+LA80*$C$68</f>
        <v>2146.98678594041</v>
      </c>
      <c r="LB84" s="0" t="n">
        <f aca="false">$B$68+LB80*$C$68</f>
        <v>2430.92766890457</v>
      </c>
      <c r="LC84" s="0" t="n">
        <f aca="false">$B$68+LC80*$C$68</f>
        <v>2110.22089017048</v>
      </c>
      <c r="LD84" s="0" t="n">
        <f aca="false">$B$68+LD80*$C$68</f>
        <v>1633.90980393852</v>
      </c>
      <c r="LE84" s="0" t="n">
        <f aca="false">$B$68+LE80*$C$68</f>
        <v>1862.03023838662</v>
      </c>
      <c r="LF84" s="0" t="n">
        <f aca="false">$B$68+LF80*$C$68</f>
        <v>1782.38545463456</v>
      </c>
      <c r="LG84" s="0" t="n">
        <f aca="false">$B$68+LG80*$C$68</f>
        <v>2109.60265410805</v>
      </c>
      <c r="LH84" s="0" t="n">
        <f aca="false">$B$68+LH80*$C$68</f>
        <v>1722.48121038991</v>
      </c>
      <c r="LI84" s="0" t="n">
        <f aca="false">$B$68+LI80*$C$68</f>
        <v>2129.72539455502</v>
      </c>
      <c r="LJ84" s="0" t="n">
        <f aca="false">$B$68+LJ80*$C$68</f>
        <v>1668.34121658493</v>
      </c>
      <c r="LK84" s="0" t="n">
        <f aca="false">$B$68+LK80*$C$68</f>
        <v>2144.95970586452</v>
      </c>
      <c r="LL84" s="0" t="n">
        <f aca="false">$B$68+LL80*$C$68</f>
        <v>2061.73897797159</v>
      </c>
      <c r="LM84" s="0" t="n">
        <f aca="false">$B$68+LM80*$C$68</f>
        <v>1991.40157446262</v>
      </c>
      <c r="LN84" s="0" t="n">
        <f aca="false">$B$68+LN80*$C$68</f>
        <v>2194.96648358666</v>
      </c>
      <c r="LO84" s="0" t="n">
        <f aca="false">$B$68+LO80*$C$68</f>
        <v>1916.56406860708</v>
      </c>
      <c r="LP84" s="0" t="n">
        <f aca="false">$B$68+LP80*$C$68</f>
        <v>2123.22090216125</v>
      </c>
      <c r="LQ84" s="0" t="n">
        <f aca="false">$B$68+LQ80*$C$68</f>
        <v>1940.97143578886</v>
      </c>
      <c r="LR84" s="0" t="n">
        <f aca="false">$B$68+LR80*$C$68</f>
        <v>1744.81538245314</v>
      </c>
      <c r="LS84" s="0" t="n">
        <f aca="false">$B$68+LS80*$C$68</f>
        <v>1977.83687188926</v>
      </c>
      <c r="LT84" s="0" t="n">
        <f aca="false">$B$68+LT80*$C$68</f>
        <v>2174.08771313515</v>
      </c>
      <c r="LU84" s="0" t="n">
        <f aca="false">$B$68+LU80*$C$68</f>
        <v>2056.7643635826</v>
      </c>
      <c r="LV84" s="0" t="n">
        <f aca="false">$B$68+LV80*$C$68</f>
        <v>1764.42389497312</v>
      </c>
      <c r="LW84" s="0" t="n">
        <f aca="false">$B$68+LW80*$C$68</f>
        <v>2112.45205905216</v>
      </c>
      <c r="LX84" s="0" t="n">
        <f aca="false">$B$68+LX80*$C$68</f>
        <v>1984.4993113116</v>
      </c>
      <c r="LY84" s="0" t="n">
        <f aca="false">$B$68+LY80*$C$68</f>
        <v>1940.0547296649</v>
      </c>
      <c r="LZ84" s="0" t="n">
        <f aca="false">$B$68+LZ80*$C$68</f>
        <v>1921.41553311939</v>
      </c>
      <c r="MA84" s="0" t="n">
        <f aca="false">$B$68+MA80*$C$68</f>
        <v>2000.49130921365</v>
      </c>
      <c r="MB84" s="0" t="n">
        <f aca="false">$B$68+MB80*$C$68</f>
        <v>2268.96087562602</v>
      </c>
      <c r="MC84" s="0" t="n">
        <f aca="false">$B$68+MC80*$C$68</f>
        <v>2078.43615011936</v>
      </c>
      <c r="MD84" s="0" t="n">
        <f aca="false">$B$68+MD80*$C$68</f>
        <v>2706.45872921886</v>
      </c>
      <c r="ME84" s="0" t="n">
        <f aca="false">$B$68+ME80*$C$68</f>
        <v>2140.73703546744</v>
      </c>
      <c r="MF84" s="0" t="n">
        <f aca="false">$B$68+MF80*$C$68</f>
        <v>1886.15332907541</v>
      </c>
      <c r="MG84" s="0" t="n">
        <f aca="false">$B$68+MG80*$C$68</f>
        <v>1742.82804276167</v>
      </c>
      <c r="MH84" s="0" t="n">
        <f aca="false">$B$68+MH80*$C$68</f>
        <v>1953.98574551989</v>
      </c>
      <c r="MI84" s="0" t="n">
        <f aca="false">$B$68+MI80*$C$68</f>
        <v>1953.03529091498</v>
      </c>
      <c r="MJ84" s="0" t="n">
        <f aca="false">$B$68+MJ80*$C$68</f>
        <v>2099.49695235663</v>
      </c>
      <c r="MK84" s="0" t="n">
        <f aca="false">$B$68+MK80*$C$68</f>
        <v>2174.02101205862</v>
      </c>
      <c r="ML84" s="0" t="n">
        <f aca="false">$B$68+ML80*$C$68</f>
        <v>2157.07292049851</v>
      </c>
      <c r="MM84" s="0" t="n">
        <f aca="false">$B$68+MM80*$C$68</f>
        <v>1822.24804118485</v>
      </c>
      <c r="MN84" s="0" t="n">
        <f aca="false">$B$68+MN80*$C$68</f>
        <v>2158.06909534774</v>
      </c>
      <c r="MO84" s="0" t="n">
        <f aca="false">$B$68+MO80*$C$68</f>
        <v>2202.90988326465</v>
      </c>
      <c r="MP84" s="0" t="n">
        <f aca="false">$B$68+MP80*$C$68</f>
        <v>2259.2549569892</v>
      </c>
      <c r="MQ84" s="0" t="n">
        <f aca="false">$B$68+MQ80*$C$68</f>
        <v>1614.40423685386</v>
      </c>
      <c r="MR84" s="0" t="n">
        <f aca="false">$B$68+MR80*$C$68</f>
        <v>2044.4094034687</v>
      </c>
      <c r="MS84" s="0" t="n">
        <f aca="false">$B$68+MS80*$C$68</f>
        <v>2141.50662289976</v>
      </c>
      <c r="MT84" s="0" t="n">
        <f aca="false">$B$68+MT80*$C$68</f>
        <v>1988.80690007296</v>
      </c>
      <c r="MU84" s="0" t="n">
        <f aca="false">$B$68+MU80*$C$68</f>
        <v>1944.00882403244</v>
      </c>
      <c r="MV84" s="0" t="n">
        <f aca="false">$B$68+MV80*$C$68</f>
        <v>2301.8070879187</v>
      </c>
      <c r="MW84" s="0" t="n">
        <f aca="false">$B$68+MW80*$C$68</f>
        <v>1953.42750156641</v>
      </c>
      <c r="MX84" s="0" t="n">
        <f aca="false">$B$68+MX80*$C$68</f>
        <v>1771.1906563156</v>
      </c>
      <c r="MY84" s="0" t="n">
        <f aca="false">$B$68+MY80*$C$68</f>
        <v>2068.4718151623</v>
      </c>
      <c r="MZ84" s="0" t="n">
        <f aca="false">$B$68+MZ80*$C$68</f>
        <v>2024.60347894004</v>
      </c>
      <c r="NA84" s="0" t="n">
        <f aca="false">$B$68+NA80*$C$68</f>
        <v>2306.8247641486</v>
      </c>
      <c r="NB84" s="0" t="n">
        <f aca="false">$B$68+NB80*$C$68</f>
        <v>2283.95608679171</v>
      </c>
      <c r="NC84" s="0" t="n">
        <f aca="false">$B$68+NC80*$C$68</f>
        <v>2124.53144341983</v>
      </c>
      <c r="ND84" s="0" t="n">
        <f aca="false">$B$68+ND80*$C$68</f>
        <v>2122.65523717942</v>
      </c>
      <c r="NE84" s="0" t="n">
        <f aca="false">$B$68+NE80*$C$68</f>
        <v>2424.20865407895</v>
      </c>
      <c r="NF84" s="0" t="n">
        <f aca="false">$B$68+NF80*$C$68</f>
        <v>2027.80301909456</v>
      </c>
      <c r="NG84" s="0" t="n">
        <f aca="false">$B$68+NG80*$C$68</f>
        <v>1889.29944527781</v>
      </c>
      <c r="NH84" s="0" t="n">
        <f aca="false">$B$68+NH80*$C$68</f>
        <v>1950.51536348126</v>
      </c>
      <c r="NI84" s="0" t="n">
        <f aca="false">$B$68+NI80*$C$68</f>
        <v>1668.92644308642</v>
      </c>
      <c r="NJ84" s="0" t="n">
        <f aca="false">$B$68+NJ80*$C$68</f>
        <v>1956.26795919655</v>
      </c>
      <c r="NK84" s="0" t="n">
        <f aca="false">$B$68+NK80*$C$68</f>
        <v>2130.39557117482</v>
      </c>
      <c r="NL84" s="0" t="n">
        <f aca="false">$B$68+NL80*$C$68</f>
        <v>2172.60937695589</v>
      </c>
      <c r="NM84" s="0" t="n">
        <f aca="false">$B$68+NM80*$C$68</f>
        <v>2255.63073689015</v>
      </c>
      <c r="NN84" s="0" t="n">
        <f aca="false">$B$68+NN80*$C$68</f>
        <v>2256.05249555057</v>
      </c>
      <c r="NO84" s="0" t="n">
        <f aca="false">$B$68+NO80*$C$68</f>
        <v>1751.50063291023</v>
      </c>
      <c r="NP84" s="0" t="n">
        <f aca="false">$B$68+NP80*$C$68</f>
        <v>2153.28245409631</v>
      </c>
      <c r="NQ84" s="0" t="n">
        <f aca="false">$B$68+NQ80*$C$68</f>
        <v>1917.67654591025</v>
      </c>
      <c r="NR84" s="0" t="n">
        <f aca="false">$B$68+NR80*$C$68</f>
        <v>2117.84351364701</v>
      </c>
      <c r="NS84" s="0" t="n">
        <f aca="false">$B$68+NS80*$C$68</f>
        <v>1806.47303556176</v>
      </c>
      <c r="NT84" s="0" t="n">
        <f aca="false">$B$68+NT80*$C$68</f>
        <v>1479.81851618163</v>
      </c>
      <c r="NU84" s="0" t="n">
        <f aca="false">$B$68+NU80*$C$68</f>
        <v>1707.05128783252</v>
      </c>
      <c r="NV84" s="0" t="n">
        <f aca="false">$B$68+NV80*$C$68</f>
        <v>1950.12286705361</v>
      </c>
      <c r="NW84" s="0" t="n">
        <f aca="false">$B$68+NW80*$C$68</f>
        <v>1873.88209759737</v>
      </c>
      <c r="NX84" s="0" t="n">
        <f aca="false">$B$68+NX80*$C$68</f>
        <v>1951.45873856392</v>
      </c>
      <c r="NY84" s="0" t="n">
        <f aca="false">$B$68+NY80*$C$68</f>
        <v>2013.53593904258</v>
      </c>
      <c r="NZ84" s="0" t="n">
        <f aca="false">$B$68+NZ80*$C$68</f>
        <v>2113.26964021435</v>
      </c>
      <c r="OA84" s="0" t="n">
        <f aca="false">$B$68+OA80*$C$68</f>
        <v>2126.13125195096</v>
      </c>
      <c r="OB84" s="0" t="n">
        <f aca="false">$B$68+OB80*$C$68</f>
        <v>2027.61721439542</v>
      </c>
      <c r="OC84" s="0" t="n">
        <f aca="false">$B$68+OC80*$C$68</f>
        <v>2042.0325101949</v>
      </c>
      <c r="OD84" s="0" t="n">
        <f aca="false">$B$68+OD80*$C$68</f>
        <v>2045.22046105441</v>
      </c>
      <c r="OE84" s="0" t="n">
        <f aca="false">$B$68+OE80*$C$68</f>
        <v>1947.83918684771</v>
      </c>
      <c r="OF84" s="0" t="n">
        <f aca="false">$B$68+OF80*$C$68</f>
        <v>2067.29118190633</v>
      </c>
      <c r="OG84" s="0" t="n">
        <f aca="false">$B$68+OG80*$C$68</f>
        <v>2232.00959395504</v>
      </c>
      <c r="OH84" s="0" t="n">
        <f aca="false">$B$68+OH80*$C$68</f>
        <v>1921.34205103806</v>
      </c>
      <c r="OI84" s="0" t="n">
        <f aca="false">$B$68+OI80*$C$68</f>
        <v>1977.74460152247</v>
      </c>
      <c r="OJ84" s="0" t="n">
        <f aca="false">$B$68+OJ80*$C$68</f>
        <v>1637.42757553959</v>
      </c>
      <c r="OK84" s="0" t="n">
        <f aca="false">$B$68+OK80*$C$68</f>
        <v>2034.68087413167</v>
      </c>
      <c r="OL84" s="0" t="n">
        <f aca="false">$B$68+OL80*$C$68</f>
        <v>2066.22642514734</v>
      </c>
      <c r="OM84" s="0" t="n">
        <f aca="false">$B$68+OM80*$C$68</f>
        <v>1879.93291109823</v>
      </c>
      <c r="ON84" s="0" t="n">
        <f aca="false">$B$68+ON80*$C$68</f>
        <v>2152.60970716862</v>
      </c>
      <c r="OO84" s="0" t="n">
        <f aca="false">$B$68+OO80*$C$68</f>
        <v>2348.74121497201</v>
      </c>
      <c r="OP84" s="0" t="n">
        <f aca="false">$B$68+OP80*$C$68</f>
        <v>1934.20638716989</v>
      </c>
      <c r="OQ84" s="0" t="n">
        <f aca="false">$B$68+OQ80*$C$68</f>
        <v>2103.58478529978</v>
      </c>
      <c r="OR84" s="0" t="n">
        <f aca="false">$B$68+OR80*$C$68</f>
        <v>1965.16938391328</v>
      </c>
      <c r="OS84" s="0" t="n">
        <f aca="false">$B$68+OS80*$C$68</f>
        <v>1692.51758178525</v>
      </c>
      <c r="OT84" s="0" t="n">
        <f aca="false">$B$68+OT80*$C$68</f>
        <v>2296.81618167202</v>
      </c>
      <c r="OU84" s="0" t="n">
        <f aca="false">$B$68+OU80*$C$68</f>
        <v>1999.41962294067</v>
      </c>
      <c r="OV84" s="0" t="n">
        <f aca="false">$B$68+OV80*$C$68</f>
        <v>1900.77391774842</v>
      </c>
      <c r="OW84" s="0" t="n">
        <f aca="false">$B$68+OW80*$C$68</f>
        <v>1974.46820552043</v>
      </c>
      <c r="OX84" s="0" t="n">
        <f aca="false">$B$68+OX80*$C$68</f>
        <v>1835.47972240616</v>
      </c>
      <c r="OY84" s="0" t="n">
        <f aca="false">$B$68+OY80*$C$68</f>
        <v>2093.41893789811</v>
      </c>
      <c r="OZ84" s="0" t="n">
        <f aca="false">$B$68+OZ80*$C$68</f>
        <v>2305.68191047493</v>
      </c>
      <c r="PA84" s="0" t="n">
        <f aca="false">$B$68+PA80*$C$68</f>
        <v>1612.46489172709</v>
      </c>
      <c r="PB84" s="0" t="n">
        <f aca="false">$B$68+PB80*$C$68</f>
        <v>2097.48667855472</v>
      </c>
      <c r="PC84" s="0" t="n">
        <f aca="false">$B$68+PC80*$C$68</f>
        <v>2167.30060208438</v>
      </c>
      <c r="PD84" s="0" t="n">
        <f aca="false">$B$68+PD80*$C$68</f>
        <v>1849.962752746</v>
      </c>
      <c r="PE84" s="0" t="n">
        <f aca="false">$B$68+PE80*$C$68</f>
        <v>2102.19346178562</v>
      </c>
      <c r="PF84" s="0" t="n">
        <f aca="false">$B$68+PF80*$C$68</f>
        <v>2031.98548293775</v>
      </c>
      <c r="PG84" s="0" t="n">
        <f aca="false">$B$68+PG80*$C$68</f>
        <v>2134.48663325536</v>
      </c>
      <c r="PH84" s="0" t="n">
        <f aca="false">$B$68+PH80*$C$68</f>
        <v>2002.8569816601</v>
      </c>
      <c r="PI84" s="0" t="n">
        <f aca="false">$B$68+PI80*$C$68</f>
        <v>1802.99550443807</v>
      </c>
      <c r="PJ84" s="0" t="n">
        <f aca="false">$B$68+PJ80*$C$68</f>
        <v>1822.10966731211</v>
      </c>
      <c r="PK84" s="0" t="n">
        <f aca="false">$B$68+PK80*$C$68</f>
        <v>2153.62397090715</v>
      </c>
      <c r="PL84" s="0" t="n">
        <f aca="false">$B$68+PL80*$C$68</f>
        <v>2124.25606365061</v>
      </c>
      <c r="PM84" s="0" t="n">
        <f aca="false">$B$68+PM80*$C$68</f>
        <v>1903.07746130331</v>
      </c>
      <c r="PN84" s="0" t="n">
        <f aca="false">$B$68+PN80*$C$68</f>
        <v>2337.68397460733</v>
      </c>
      <c r="PO84" s="0" t="n">
        <f aca="false">$B$68+PO80*$C$68</f>
        <v>2089.34746257491</v>
      </c>
      <c r="PP84" s="0" t="n">
        <f aca="false">$B$68+PP80*$C$68</f>
        <v>1938.4901902016</v>
      </c>
      <c r="PQ84" s="0" t="n">
        <f aca="false">$B$68+PQ80*$C$68</f>
        <v>2136.54473025669</v>
      </c>
      <c r="PR84" s="0" t="n">
        <f aca="false">$B$68+PR80*$C$68</f>
        <v>2197.90689611666</v>
      </c>
      <c r="PS84" s="0" t="n">
        <f aca="false">$B$68+PS80*$C$68</f>
        <v>2406.95715307491</v>
      </c>
      <c r="PT84" s="0" t="n">
        <f aca="false">$B$68+PT80*$C$68</f>
        <v>1932.14187872378</v>
      </c>
      <c r="PU84" s="0" t="n">
        <f aca="false">$B$68+PU80*$C$68</f>
        <v>2078.61898752865</v>
      </c>
      <c r="PV84" s="0" t="n">
        <f aca="false">$B$68+PV80*$C$68</f>
        <v>2076.21830274543</v>
      </c>
      <c r="PW84" s="0" t="n">
        <f aca="false">$B$68+PW80*$C$68</f>
        <v>1819.82886564775</v>
      </c>
      <c r="PX84" s="0" t="n">
        <f aca="false">$B$68+PX80*$C$68</f>
        <v>2315.52673899464</v>
      </c>
      <c r="PY84" s="0" t="n">
        <f aca="false">$B$68+PY80*$C$68</f>
        <v>1702.90623562712</v>
      </c>
      <c r="PZ84" s="0" t="n">
        <f aca="false">$B$68+PZ80*$C$68</f>
        <v>1742.67840306163</v>
      </c>
      <c r="QA84" s="0" t="n">
        <f aca="false">$B$68+QA80*$C$68</f>
        <v>2042.09171386021</v>
      </c>
      <c r="QB84" s="0" t="n">
        <f aca="false">$B$68+QB80*$C$68</f>
        <v>1838.3896244203</v>
      </c>
      <c r="QC84" s="0" t="n">
        <f aca="false">$B$68+QC80*$C$68</f>
        <v>2181.78296347858</v>
      </c>
      <c r="QD84" s="0" t="n">
        <f aca="false">$B$68+QD80*$C$68</f>
        <v>1954.49135649599</v>
      </c>
      <c r="QE84" s="0" t="n">
        <f aca="false">$B$68+QE80*$C$68</f>
        <v>2114.72645116751</v>
      </c>
      <c r="QF84" s="0" t="n">
        <f aca="false">$B$68+QF80*$C$68</f>
        <v>2262.65872175626</v>
      </c>
      <c r="QG84" s="0" t="n">
        <f aca="false">$B$68+QG80*$C$68</f>
        <v>2122.24065788791</v>
      </c>
      <c r="QH84" s="0" t="n">
        <f aca="false">$B$68+QH80*$C$68</f>
        <v>1899.16725997517</v>
      </c>
      <c r="QI84" s="0" t="n">
        <f aca="false">$B$68+QI80*$C$68</f>
        <v>1957.3872824777</v>
      </c>
      <c r="QJ84" s="0" t="n">
        <f aca="false">$B$68+QJ80*$C$68</f>
        <v>1771.52590586157</v>
      </c>
      <c r="QK84" s="0" t="n">
        <f aca="false">$B$68+QK80*$C$68</f>
        <v>1962.11254093607</v>
      </c>
      <c r="QL84" s="0" t="n">
        <f aca="false">$B$68+QL80*$C$68</f>
        <v>1678.13019069726</v>
      </c>
      <c r="QM84" s="0" t="n">
        <f aca="false">$B$68+QM80*$C$68</f>
        <v>1982.52378399284</v>
      </c>
      <c r="QN84" s="0" t="n">
        <f aca="false">$B$68+QN80*$C$68</f>
        <v>2058.22932664611</v>
      </c>
      <c r="QO84" s="0" t="n">
        <f aca="false">$B$68+QO80*$C$68</f>
        <v>1990.50872237857</v>
      </c>
      <c r="QP84" s="0" t="n">
        <f aca="false">$B$68+QP80*$C$68</f>
        <v>1692.27973309192</v>
      </c>
      <c r="QQ84" s="0" t="n">
        <f aca="false">$B$68+QQ80*$C$68</f>
        <v>2029.45516475111</v>
      </c>
      <c r="QR84" s="0" t="n">
        <f aca="false">$B$68+QR80*$C$68</f>
        <v>1863.41047847315</v>
      </c>
      <c r="QS84" s="0" t="n">
        <f aca="false">$B$68+QS80*$C$68</f>
        <v>1708.98138684433</v>
      </c>
      <c r="QT84" s="0" t="n">
        <f aca="false">$B$68+QT80*$C$68</f>
        <v>1811.6775732308</v>
      </c>
      <c r="QU84" s="0" t="n">
        <f aca="false">$B$68+QU80*$C$68</f>
        <v>2003.35526977234</v>
      </c>
      <c r="QV84" s="0" t="n">
        <f aca="false">$B$68+QV80*$C$68</f>
        <v>2053.46050744686</v>
      </c>
      <c r="QW84" s="0" t="n">
        <f aca="false">$B$68+QW80*$C$68</f>
        <v>2202.58978520172</v>
      </c>
      <c r="QX84" s="0" t="n">
        <f aca="false">$B$68+QX80*$C$68</f>
        <v>2606.91693438289</v>
      </c>
      <c r="QY84" s="0" t="n">
        <f aca="false">$B$68+QY80*$C$68</f>
        <v>2228.03917208204</v>
      </c>
      <c r="QZ84" s="0" t="n">
        <f aca="false">$B$68+QZ80*$C$68</f>
        <v>1951.21874376232</v>
      </c>
      <c r="RA84" s="0" t="n">
        <f aca="false">$B$68+RA80*$C$68</f>
        <v>2194.49343332057</v>
      </c>
      <c r="RB84" s="0" t="n">
        <f aca="false">$B$68+RB80*$C$68</f>
        <v>1980.55097825837</v>
      </c>
      <c r="RC84" s="0" t="n">
        <f aca="false">$B$68+RC80*$C$68</f>
        <v>1844.896534949</v>
      </c>
      <c r="RD84" s="0" t="n">
        <f aca="false">$B$68+RD80*$C$68</f>
        <v>1779.59195261713</v>
      </c>
      <c r="RE84" s="0" t="n">
        <f aca="false">$B$68+RE80*$C$68</f>
        <v>1852.18828874893</v>
      </c>
      <c r="RF84" s="0" t="n">
        <f aca="false">$B$68+RF80*$C$68</f>
        <v>1897.83585667182</v>
      </c>
      <c r="RG84" s="0" t="n">
        <f aca="false">$B$68+RG80*$C$68</f>
        <v>1807.59654118476</v>
      </c>
      <c r="RH84" s="0" t="n">
        <f aca="false">$B$68+RH80*$C$68</f>
        <v>1919.81704479501</v>
      </c>
      <c r="RI84" s="0" t="n">
        <f aca="false">$B$68+RI80*$C$68</f>
        <v>1834.17898138097</v>
      </c>
      <c r="RJ84" s="0" t="n">
        <f aca="false">$B$68+RJ80*$C$68</f>
        <v>1780.34609443554</v>
      </c>
      <c r="RK84" s="0" t="n">
        <f aca="false">$B$68+RK80*$C$68</f>
        <v>2310.50614035411</v>
      </c>
      <c r="RL84" s="0" t="n">
        <f aca="false">$B$68+RL80*$C$68</f>
        <v>2331.7236548692</v>
      </c>
      <c r="RM84" s="0" t="n">
        <f aca="false">$B$68+RM80*$C$68</f>
        <v>1699.35911436858</v>
      </c>
      <c r="RN84" s="0" t="n">
        <f aca="false">$B$68+RN80*$C$68</f>
        <v>1892.07454614426</v>
      </c>
      <c r="RO84" s="0" t="n">
        <f aca="false">$B$68+RO80*$C$68</f>
        <v>2282.35082220479</v>
      </c>
      <c r="RP84" s="0" t="n">
        <f aca="false">$B$68+RP80*$C$68</f>
        <v>1920.3358718018</v>
      </c>
      <c r="RQ84" s="0" t="n">
        <f aca="false">$B$68+RQ80*$C$68</f>
        <v>2108.17065396773</v>
      </c>
      <c r="RR84" s="0" t="n">
        <f aca="false">$B$68+RR80*$C$68</f>
        <v>2228.55058351299</v>
      </c>
      <c r="RS84" s="0" t="n">
        <f aca="false">$B$68+RS80*$C$68</f>
        <v>1992.51748527824</v>
      </c>
      <c r="RT84" s="0" t="n">
        <f aca="false">$B$68+RT80*$C$68</f>
        <v>1890.60829314105</v>
      </c>
      <c r="RU84" s="0" t="n">
        <f aca="false">$B$68+RU80*$C$68</f>
        <v>2175.81355859518</v>
      </c>
      <c r="RV84" s="0" t="n">
        <f aca="false">$B$68+RV80*$C$68</f>
        <v>2308.3431051543</v>
      </c>
      <c r="RW84" s="0" t="n">
        <f aca="false">$B$68+RW80*$C$68</f>
        <v>2041.67452436042</v>
      </c>
      <c r="RX84" s="0" t="n">
        <f aca="false">$B$68+RX80*$C$68</f>
        <v>2176.79969635186</v>
      </c>
      <c r="RY84" s="0" t="n">
        <f aca="false">$B$68+RY80*$C$68</f>
        <v>1900.43616077564</v>
      </c>
      <c r="RZ84" s="0" t="n">
        <f aca="false">$B$68+RZ80*$C$68</f>
        <v>1942.88497378006</v>
      </c>
      <c r="SA84" s="0" t="n">
        <f aca="false">$B$68+SA80*$C$68</f>
        <v>2142.12794713756</v>
      </c>
      <c r="SB84" s="0" t="n">
        <f aca="false">$B$68+SB80*$C$68</f>
        <v>1970.34151910229</v>
      </c>
      <c r="SC84" s="0" t="n">
        <f aca="false">$B$68+SC80*$C$68</f>
        <v>2268.2424058498</v>
      </c>
      <c r="SD84" s="0" t="n">
        <f aca="false">$B$68+SD80*$C$68</f>
        <v>1810.17975774285</v>
      </c>
      <c r="SE84" s="0" t="n">
        <f aca="false">$B$68+SE80*$C$68</f>
        <v>1904.20738935765</v>
      </c>
      <c r="SF84" s="0" t="n">
        <f aca="false">$B$68+SF80*$C$68</f>
        <v>2004.17479650408</v>
      </c>
      <c r="SG84" s="0" t="n">
        <f aca="false">$B$68+SG80*$C$68</f>
        <v>1942.6891302209</v>
      </c>
      <c r="SH84" s="0" t="n">
        <f aca="false">$B$68+SH80*$C$68</f>
        <v>2197.2899631047</v>
      </c>
      <c r="SI84" s="0" t="n">
        <f aca="false">$B$68+SI80*$C$68</f>
        <v>1973.40149174818</v>
      </c>
      <c r="SJ84" s="0" t="n">
        <f aca="false">$B$68+SJ80*$C$68</f>
        <v>2211.15030401742</v>
      </c>
      <c r="SK84" s="0" t="n">
        <f aca="false">$B$68+SK80*$C$68</f>
        <v>1851.1839818216</v>
      </c>
      <c r="SL84" s="0" t="n">
        <f aca="false">$B$68+SL80*$C$68</f>
        <v>1943.55199133471</v>
      </c>
      <c r="SM84" s="0" t="n">
        <f aca="false">$B$68+SM80*$C$68</f>
        <v>2031.19861116623</v>
      </c>
      <c r="SN84" s="0" t="n">
        <f aca="false">$B$68+SN80*$C$68</f>
        <v>1660.70563686821</v>
      </c>
      <c r="SO84" s="0" t="n">
        <f aca="false">$B$68+SO80*$C$68</f>
        <v>1884.24827542368</v>
      </c>
      <c r="SP84" s="0" t="n">
        <f aca="false">$B$68+SP80*$C$68</f>
        <v>1861.04155841487</v>
      </c>
      <c r="SQ84" s="0" t="n">
        <f aca="false">$B$68+SQ80*$C$68</f>
        <v>2122.08275118504</v>
      </c>
      <c r="SR84" s="0" t="n">
        <f aca="false">$B$68+SR80*$C$68</f>
        <v>1819.47212155966</v>
      </c>
      <c r="SS84" s="0" t="n">
        <f aca="false">$B$68+SS80*$C$68</f>
        <v>2074.01998699606</v>
      </c>
      <c r="ST84" s="0" t="n">
        <f aca="false">$B$68+ST80*$C$68</f>
        <v>2021.21457599224</v>
      </c>
      <c r="SU84" s="0" t="n">
        <f aca="false">$B$68+SU80*$C$68</f>
        <v>1748.03607062068</v>
      </c>
      <c r="SV84" s="0" t="n">
        <f aca="false">$B$68+SV80*$C$68</f>
        <v>1825.18896905865</v>
      </c>
      <c r="SW84" s="0" t="n">
        <f aca="false">$B$68+SW80*$C$68</f>
        <v>2312.34259550518</v>
      </c>
      <c r="SX84" s="0" t="n">
        <f aca="false">$B$68+SX80*$C$68</f>
        <v>2194.8027171797</v>
      </c>
      <c r="SY84" s="0" t="n">
        <f aca="false">$B$68+SY80*$C$68</f>
        <v>2120.07508657881</v>
      </c>
      <c r="SZ84" s="0" t="n">
        <f aca="false">$B$68+SZ80*$C$68</f>
        <v>2260.78324654078</v>
      </c>
      <c r="TA84" s="0" t="n">
        <f aca="false">$B$68+TA80*$C$68</f>
        <v>1784.89228394821</v>
      </c>
      <c r="TB84" s="0" t="n">
        <f aca="false">$B$68+TB80*$C$68</f>
        <v>2017.60499698726</v>
      </c>
      <c r="TC84" s="0" t="n">
        <f aca="false">$B$68+TC80*$C$68</f>
        <v>1859.31529849414</v>
      </c>
      <c r="TD84" s="0" t="n">
        <f aca="false">$B$68+TD80*$C$68</f>
        <v>2300.8977197214</v>
      </c>
      <c r="TE84" s="0" t="n">
        <f aca="false">$B$68+TE80*$C$68</f>
        <v>1570.09680228036</v>
      </c>
      <c r="TF84" s="0" t="n">
        <f aca="false">$B$68+TF80*$C$68</f>
        <v>2027.22146423091</v>
      </c>
      <c r="TG84" s="0" t="n">
        <f aca="false">$B$68+TG80*$C$68</f>
        <v>1984.16062669596</v>
      </c>
      <c r="TH84" s="0" t="n">
        <f aca="false">$B$68+TH80*$C$68</f>
        <v>1922.94896736012</v>
      </c>
      <c r="TI84" s="0" t="n">
        <f aca="false">$B$68+TI80*$C$68</f>
        <v>2301.02808114719</v>
      </c>
      <c r="TJ84" s="0" t="n">
        <f aca="false">$B$68+TJ80*$C$68</f>
        <v>1715.69347745006</v>
      </c>
      <c r="TK84" s="0" t="n">
        <f aca="false">$B$68+TK80*$C$68</f>
        <v>2162.71754857278</v>
      </c>
      <c r="TL84" s="0" t="n">
        <f aca="false">$B$68+TL80*$C$68</f>
        <v>1530.80294062133</v>
      </c>
      <c r="TM84" s="0" t="n">
        <f aca="false">$B$68+TM80*$C$68</f>
        <v>2126.18560711712</v>
      </c>
      <c r="TN84" s="0" t="n">
        <f aca="false">$B$68+TN80*$C$68</f>
        <v>2041.41659686005</v>
      </c>
      <c r="TO84" s="0" t="n">
        <f aca="false">$B$68+TO80*$C$68</f>
        <v>2095.42825320976</v>
      </c>
      <c r="TP84" s="0" t="n">
        <f aca="false">$B$68+TP80*$C$68</f>
        <v>1911.41732640022</v>
      </c>
      <c r="TQ84" s="0" t="n">
        <f aca="false">$B$68+TQ80*$C$68</f>
        <v>1622.33699916179</v>
      </c>
      <c r="TR84" s="0" t="n">
        <f aca="false">$B$68+TR80*$C$68</f>
        <v>2358.78787127608</v>
      </c>
      <c r="TS84" s="0" t="n">
        <f aca="false">$B$68+TS80*$C$68</f>
        <v>2250.0943586393</v>
      </c>
      <c r="TT84" s="0" t="n">
        <f aca="false">$B$68+TT80*$C$68</f>
        <v>1949.69404792857</v>
      </c>
      <c r="TU84" s="0" t="n">
        <f aca="false">$B$68+TU80*$C$68</f>
        <v>2073.26296623682</v>
      </c>
      <c r="TV84" s="0" t="n">
        <f aca="false">$B$68+TV80*$C$68</f>
        <v>2049.35423519055</v>
      </c>
      <c r="TW84" s="0" t="n">
        <f aca="false">$B$68+TW80*$C$68</f>
        <v>2110.38507507982</v>
      </c>
      <c r="TX84" s="0" t="n">
        <f aca="false">$B$68+TX80*$C$68</f>
        <v>2138.39654345177</v>
      </c>
      <c r="TY84" s="0" t="n">
        <f aca="false">$B$68+TY80*$C$68</f>
        <v>2433.05018744038</v>
      </c>
      <c r="TZ84" s="0" t="n">
        <f aca="false">$B$68+TZ80*$C$68</f>
        <v>1889.91153553767</v>
      </c>
      <c r="UA84" s="0" t="n">
        <f aca="false">$B$68+UA80*$C$68</f>
        <v>1949.40780393518</v>
      </c>
      <c r="UB84" s="0" t="n">
        <f aca="false">$B$68+UB80*$C$68</f>
        <v>2159.46925884043</v>
      </c>
      <c r="UC84" s="0" t="n">
        <f aca="false">$B$68+UC80*$C$68</f>
        <v>1713.45199161914</v>
      </c>
      <c r="UD84" s="0" t="n">
        <f aca="false">$B$68+UD80*$C$68</f>
        <v>1757.07872977298</v>
      </c>
      <c r="UE84" s="0" t="n">
        <f aca="false">$B$68+UE80*$C$68</f>
        <v>2002.32613891491</v>
      </c>
      <c r="UF84" s="0" t="n">
        <f aca="false">$B$68+UF80*$C$68</f>
        <v>1965.87230398618</v>
      </c>
      <c r="UG84" s="0" t="n">
        <f aca="false">$B$68+UG80*$C$68</f>
        <v>2001.64724614252</v>
      </c>
      <c r="UH84" s="0" t="n">
        <f aca="false">$B$68+UH80*$C$68</f>
        <v>1965.91878756361</v>
      </c>
      <c r="UI84" s="0" t="n">
        <f aca="false">$B$68+UI80*$C$68</f>
        <v>2034.50637620512</v>
      </c>
      <c r="UJ84" s="0" t="n">
        <f aca="false">$B$68+UJ80*$C$68</f>
        <v>1944.52374759473</v>
      </c>
      <c r="UK84" s="0" t="n">
        <f aca="false">$B$68+UK80*$C$68</f>
        <v>2146.8196097403</v>
      </c>
      <c r="UL84" s="0" t="n">
        <f aca="false">$B$68+UL80*$C$68</f>
        <v>1886.2339862868</v>
      </c>
      <c r="UM84" s="0" t="n">
        <f aca="false">$B$68+UM80*$C$68</f>
        <v>1670.78903121218</v>
      </c>
      <c r="UN84" s="0" t="n">
        <f aca="false">$B$68+UN80*$C$68</f>
        <v>1941.18772828481</v>
      </c>
      <c r="UO84" s="0" t="n">
        <f aca="false">$B$68+UO80*$C$68</f>
        <v>2131.73491702989</v>
      </c>
      <c r="UP84" s="0" t="n">
        <f aca="false">$B$68+UP80*$C$68</f>
        <v>1854.45810247967</v>
      </c>
      <c r="UQ84" s="0" t="n">
        <f aca="false">$B$68+UQ80*$C$68</f>
        <v>2329.32892669507</v>
      </c>
      <c r="UR84" s="0" t="n">
        <f aca="false">$B$68+UR80*$C$68</f>
        <v>1970.82188302064</v>
      </c>
      <c r="US84" s="0" t="n">
        <f aca="false">$B$68+US80*$C$68</f>
        <v>2103.97111341611</v>
      </c>
      <c r="UT84" s="0" t="n">
        <f aca="false">$B$68+UT80*$C$68</f>
        <v>2006.00186397219</v>
      </c>
      <c r="UU84" s="0" t="n">
        <f aca="false">$B$68+UU80*$C$68</f>
        <v>1918.6694784546</v>
      </c>
      <c r="UV84" s="0" t="n">
        <f aca="false">$B$68+UV80*$C$68</f>
        <v>2227.79195320671</v>
      </c>
      <c r="UW84" s="0" t="n">
        <f aca="false">$B$68+UW80*$C$68</f>
        <v>2166.625174098</v>
      </c>
      <c r="UX84" s="0" t="n">
        <f aca="false">$B$68+UX80*$C$68</f>
        <v>1921.28880859782</v>
      </c>
      <c r="UY84" s="0" t="n">
        <f aca="false">$B$68+UY80*$C$68</f>
        <v>1483.46939208314</v>
      </c>
      <c r="UZ84" s="0" t="n">
        <f aca="false">$B$68+UZ80*$C$68</f>
        <v>1711.16616466704</v>
      </c>
      <c r="VA84" s="0" t="n">
        <f aca="false">$B$68+VA80*$C$68</f>
        <v>1864.57250524034</v>
      </c>
      <c r="VB84" s="0" t="n">
        <f aca="false">$B$68+VB80*$C$68</f>
        <v>1684.64805050715</v>
      </c>
      <c r="VC84" s="0" t="n">
        <f aca="false">$B$68+VC80*$C$68</f>
        <v>1868.69341496181</v>
      </c>
      <c r="VD84" s="0" t="n">
        <f aca="false">$B$68+VD80*$C$68</f>
        <v>2075.93090621071</v>
      </c>
      <c r="VE84" s="0" t="n">
        <f aca="false">$B$68+VE80*$C$68</f>
        <v>1894.92477588861</v>
      </c>
      <c r="VF84" s="0" t="n">
        <f aca="false">$B$68+VF80*$C$68</f>
        <v>2214.99954600637</v>
      </c>
      <c r="VG84" s="0" t="n">
        <f aca="false">$B$68+VG80*$C$68</f>
        <v>2141.13922410403</v>
      </c>
      <c r="VH84" s="0" t="n">
        <f aca="false">$B$68+VH80*$C$68</f>
        <v>2367.28720700059</v>
      </c>
      <c r="VI84" s="0" t="n">
        <f aca="false">$B$68+VI80*$C$68</f>
        <v>1746.94097496124</v>
      </c>
      <c r="VJ84" s="0" t="n">
        <f aca="false">$B$68+VJ80*$C$68</f>
        <v>2310.45290097456</v>
      </c>
      <c r="VK84" s="0" t="n">
        <f aca="false">$B$68+VK80*$C$68</f>
        <v>2084.47645661698</v>
      </c>
      <c r="VL84" s="0" t="n">
        <f aca="false">$B$68+VL80*$C$68</f>
        <v>2054.40401058598</v>
      </c>
      <c r="VM84" s="0" t="n">
        <f aca="false">$B$68+VM80*$C$68</f>
        <v>1984.04546008554</v>
      </c>
      <c r="VN84" s="0" t="n">
        <f aca="false">$B$68+VN80*$C$68</f>
        <v>2082.66652076073</v>
      </c>
      <c r="VO84" s="0" t="n">
        <f aca="false">$B$68+VO80*$C$68</f>
        <v>1707.20992736285</v>
      </c>
      <c r="VP84" s="0" t="n">
        <f aca="false">$B$68+VP80*$C$68</f>
        <v>1921.41890227603</v>
      </c>
      <c r="VQ84" s="0" t="n">
        <f aca="false">$B$68+VQ80*$C$68</f>
        <v>1740.41152814336</v>
      </c>
      <c r="VR84" s="0" t="n">
        <f aca="false">$B$68+VR80*$C$68</f>
        <v>1888.48870918598</v>
      </c>
      <c r="VS84" s="0" t="n">
        <f aca="false">$B$68+VS80*$C$68</f>
        <v>2004.72773615047</v>
      </c>
      <c r="VT84" s="0" t="n">
        <f aca="false">$B$68+VT80*$C$68</f>
        <v>2072.53771734965</v>
      </c>
      <c r="VU84" s="0" t="n">
        <f aca="false">$B$68+VU80*$C$68</f>
        <v>2092.09197077437</v>
      </c>
      <c r="VV84" s="0" t="n">
        <f aca="false">$B$68+VV80*$C$68</f>
        <v>2401.53454583789</v>
      </c>
      <c r="VW84" s="0" t="n">
        <f aca="false">$B$68+VW80*$C$68</f>
        <v>1904.69279844313</v>
      </c>
      <c r="VX84" s="0" t="n">
        <f aca="false">$B$68+VX80*$C$68</f>
        <v>2225.52994647844</v>
      </c>
      <c r="VY84" s="0" t="n">
        <f aca="false">$B$68+VY80*$C$68</f>
        <v>1999.4623173082</v>
      </c>
      <c r="VZ84" s="0" t="n">
        <f aca="false">$B$68+VZ80*$C$68</f>
        <v>1869.77112787672</v>
      </c>
      <c r="WA84" s="0" t="n">
        <f aca="false">$B$68+WA80*$C$68</f>
        <v>2464.49619936216</v>
      </c>
      <c r="WB84" s="0" t="n">
        <f aca="false">$B$68+WB80*$C$68</f>
        <v>1905.24918995007</v>
      </c>
      <c r="WC84" s="0" t="n">
        <f aca="false">$B$68+WC80*$C$68</f>
        <v>1840.17172219784</v>
      </c>
      <c r="WD84" s="0" t="n">
        <f aca="false">$B$68+WD80*$C$68</f>
        <v>1909.79824137734</v>
      </c>
      <c r="WE84" s="0" t="n">
        <f aca="false">$B$68+WE80*$C$68</f>
        <v>2082.06753244654</v>
      </c>
      <c r="WF84" s="0" t="n">
        <f aca="false">$B$68+WF80*$C$68</f>
        <v>1722.36898372623</v>
      </c>
      <c r="WG84" s="0" t="n">
        <f aca="false">$B$68+WG80*$C$68</f>
        <v>2127.97197162624</v>
      </c>
      <c r="WH84" s="0" t="n">
        <f aca="false">$B$68+WH80*$C$68</f>
        <v>2069.43152839016</v>
      </c>
      <c r="WI84" s="0" t="n">
        <f aca="false">$B$68+WI80*$C$68</f>
        <v>1852.36552189204</v>
      </c>
      <c r="WJ84" s="0" t="n">
        <f aca="false">$B$68+WJ80*$C$68</f>
        <v>1913.05164766328</v>
      </c>
      <c r="WK84" s="0" t="n">
        <f aca="false">$B$68+WK80*$C$68</f>
        <v>2298.38882291929</v>
      </c>
      <c r="WL84" s="0" t="n">
        <f aca="false">$B$68+WL80*$C$68</f>
        <v>2187.40379297296</v>
      </c>
      <c r="WM84" s="0" t="n">
        <f aca="false">$B$68+WM80*$C$68</f>
        <v>2066.94386333041</v>
      </c>
      <c r="WN84" s="0" t="n">
        <f aca="false">$B$68+WN80*$C$68</f>
        <v>2272.67425875808</v>
      </c>
      <c r="WO84" s="0" t="n">
        <f aca="false">$B$68+WO80*$C$68</f>
        <v>2055.42904648193</v>
      </c>
      <c r="WP84" s="0" t="n">
        <f aca="false">$B$68+WP80*$C$68</f>
        <v>1950.15550430671</v>
      </c>
      <c r="WQ84" s="0" t="n">
        <f aca="false">$B$68+WQ80*$C$68</f>
        <v>2274.58368791787</v>
      </c>
      <c r="WR84" s="0" t="n">
        <f aca="false">$B$68+WR80*$C$68</f>
        <v>2104.43609278906</v>
      </c>
      <c r="WS84" s="0" t="n">
        <f aca="false">$B$68+WS80*$C$68</f>
        <v>1487.38305159352</v>
      </c>
      <c r="WT84" s="0" t="n">
        <f aca="false">$B$68+WT80*$C$68</f>
        <v>2080.94469403362</v>
      </c>
      <c r="WU84" s="0" t="n">
        <f aca="false">$B$68+WU80*$C$68</f>
        <v>1903.51675202624</v>
      </c>
      <c r="WV84" s="0" t="n">
        <f aca="false">$B$68+WV80*$C$68</f>
        <v>1951.11771552165</v>
      </c>
      <c r="WW84" s="0" t="n">
        <f aca="false">$B$68+WW80*$C$68</f>
        <v>1815.0107611679</v>
      </c>
      <c r="WX84" s="0" t="n">
        <f aca="false">$B$68+WX80*$C$68</f>
        <v>2054.99278906404</v>
      </c>
      <c r="WY84" s="0" t="n">
        <f aca="false">$B$68+WY80*$C$68</f>
        <v>1920.47466946177</v>
      </c>
      <c r="WZ84" s="0" t="n">
        <f aca="false">$B$68+WZ80*$C$68</f>
        <v>1990.09903108944</v>
      </c>
      <c r="XA84" s="0" t="n">
        <f aca="false">$B$68+XA80*$C$68</f>
        <v>1943.89916043159</v>
      </c>
      <c r="XB84" s="0" t="n">
        <f aca="false">$B$68+XB80*$C$68</f>
        <v>1786.32454670818</v>
      </c>
      <c r="XC84" s="0" t="n">
        <f aca="false">$B$68+XC80*$C$68</f>
        <v>2220.36621093991</v>
      </c>
      <c r="XD84" s="0" t="n">
        <f aca="false">$B$68+XD80*$C$68</f>
        <v>2002.49478378325</v>
      </c>
      <c r="XE84" s="0" t="n">
        <f aca="false">$B$68+XE80*$C$68</f>
        <v>1779.49679345146</v>
      </c>
      <c r="XF84" s="0" t="n">
        <f aca="false">$B$68+XF80*$C$68</f>
        <v>2365.84295410665</v>
      </c>
      <c r="XG84" s="0" t="n">
        <f aca="false">$B$68+XG80*$C$68</f>
        <v>2070.74092041434</v>
      </c>
      <c r="XH84" s="0" t="n">
        <f aca="false">$B$68+XH80*$C$68</f>
        <v>2152.33459800391</v>
      </c>
      <c r="XI84" s="0" t="n">
        <f aca="false">$B$68+XI80*$C$68</f>
        <v>1700.57034814456</v>
      </c>
      <c r="XJ84" s="0" t="n">
        <f aca="false">$B$68+XJ80*$C$68</f>
        <v>2126.50534689474</v>
      </c>
      <c r="XK84" s="0" t="n">
        <f aca="false">$B$68+XK80*$C$68</f>
        <v>2011.21771731623</v>
      </c>
      <c r="XL84" s="0" t="n">
        <f aca="false">$B$68+XL80*$C$68</f>
        <v>2033.21450684776</v>
      </c>
      <c r="XM84" s="0" t="n">
        <f aca="false">$B$68+XM80*$C$68</f>
        <v>1756.64793301252</v>
      </c>
      <c r="XN84" s="0" t="n">
        <f aca="false">$B$68+XN80*$C$68</f>
        <v>1913.56130517709</v>
      </c>
      <c r="XO84" s="0" t="n">
        <f aca="false">$B$68+XO80*$C$68</f>
        <v>1950.13699471252</v>
      </c>
      <c r="XP84" s="0" t="n">
        <f aca="false">$B$68+XP80*$C$68</f>
        <v>2338.32238714436</v>
      </c>
      <c r="XQ84" s="0" t="n">
        <f aca="false">$B$68+XQ80*$C$68</f>
        <v>2074.4706285708</v>
      </c>
      <c r="XR84" s="0" t="n">
        <f aca="false">$B$68+XR80*$C$68</f>
        <v>2039.57637415255</v>
      </c>
      <c r="XS84" s="0" t="n">
        <f aca="false">$B$68+XS80*$C$68</f>
        <v>2189.34212299227</v>
      </c>
      <c r="XT84" s="0" t="n">
        <f aca="false">$B$68+XT80*$C$68</f>
        <v>1923.86233426737</v>
      </c>
      <c r="XU84" s="0" t="n">
        <f aca="false">$B$68+XU80*$C$68</f>
        <v>2298.87032482178</v>
      </c>
      <c r="XV84" s="0" t="n">
        <f aca="false">$B$68+XV80*$C$68</f>
        <v>1760.38500718511</v>
      </c>
      <c r="XW84" s="0" t="n">
        <f aca="false">$B$68+XW80*$C$68</f>
        <v>1997.90153132468</v>
      </c>
      <c r="XX84" s="0" t="n">
        <f aca="false">$B$68+XX80*$C$68</f>
        <v>2170.70373315761</v>
      </c>
      <c r="XY84" s="0" t="n">
        <f aca="false">$B$68+XY80*$C$68</f>
        <v>2104.9101393</v>
      </c>
      <c r="XZ84" s="0" t="n">
        <f aca="false">$B$68+XZ80*$C$68</f>
        <v>1971.5685769826</v>
      </c>
      <c r="YA84" s="0" t="n">
        <f aca="false">$B$68+YA80*$C$68</f>
        <v>2157.09424656735</v>
      </c>
      <c r="YB84" s="0" t="n">
        <f aca="false">$B$68+YB80*$C$68</f>
        <v>2095.2141162945</v>
      </c>
      <c r="YC84" s="0" t="n">
        <f aca="false">$B$68+YC80*$C$68</f>
        <v>2024.86996346888</v>
      </c>
      <c r="YD84" s="0" t="n">
        <f aca="false">$B$68+YD80*$C$68</f>
        <v>1457.88324759798</v>
      </c>
      <c r="YE84" s="0" t="n">
        <f aca="false">$B$68+YE80*$C$68</f>
        <v>1552.48257713338</v>
      </c>
      <c r="YF84" s="0" t="n">
        <f aca="false">$B$68+YF80*$C$68</f>
        <v>2157.10038550017</v>
      </c>
      <c r="YG84" s="0" t="n">
        <f aca="false">$B$68+YG80*$C$68</f>
        <v>1701.61586827552</v>
      </c>
      <c r="YH84" s="0" t="n">
        <f aca="false">$B$68+YH80*$C$68</f>
        <v>2615.24257120464</v>
      </c>
      <c r="YI84" s="0" t="n">
        <f aca="false">$B$68+YI80*$C$68</f>
        <v>1889.36628981872</v>
      </c>
      <c r="YJ84" s="0" t="n">
        <f aca="false">$B$68+YJ80*$C$68</f>
        <v>1693.37517975159</v>
      </c>
      <c r="YK84" s="0" t="n">
        <f aca="false">$B$68+YK80*$C$68</f>
        <v>2090.28495585293</v>
      </c>
      <c r="YL84" s="0" t="n">
        <f aca="false">$B$68+YL80*$C$68</f>
        <v>2338.60022800244</v>
      </c>
      <c r="YM84" s="0" t="n">
        <f aca="false">$B$68+YM80*$C$68</f>
        <v>1997.62599246236</v>
      </c>
      <c r="YN84" s="0" t="n">
        <f aca="false">$B$68+YN80*$C$68</f>
        <v>1830.25105740319</v>
      </c>
      <c r="YO84" s="0" t="n">
        <f aca="false">$B$68+YO80*$C$68</f>
        <v>1881.17977052237</v>
      </c>
      <c r="YP84" s="0" t="n">
        <f aca="false">$B$68+YP80*$C$68</f>
        <v>2399.6746973619</v>
      </c>
      <c r="YQ84" s="0" t="n">
        <f aca="false">$B$68+YQ80*$C$68</f>
        <v>2059.22220588407</v>
      </c>
      <c r="YR84" s="0" t="n">
        <f aca="false">$B$68+YR80*$C$68</f>
        <v>2239.11894114209</v>
      </c>
      <c r="YS84" s="0" t="n">
        <f aca="false">$B$68+YS80*$C$68</f>
        <v>1898.91781813047</v>
      </c>
      <c r="YT84" s="0" t="n">
        <f aca="false">$B$68+YT80*$C$68</f>
        <v>1816.50762102358</v>
      </c>
      <c r="YU84" s="0" t="n">
        <f aca="false">$B$68+YU80*$C$68</f>
        <v>2026.96462366408</v>
      </c>
      <c r="YV84" s="0" t="n">
        <f aca="false">$B$68+YV80*$C$68</f>
        <v>1949.97911531132</v>
      </c>
      <c r="YW84" s="0" t="n">
        <f aca="false">$B$68+YW80*$C$68</f>
        <v>2207.78243478736</v>
      </c>
      <c r="YX84" s="0" t="n">
        <f aca="false">$B$68+YX80*$C$68</f>
        <v>1983.031945606</v>
      </c>
      <c r="YY84" s="0" t="n">
        <f aca="false">$B$68+YY80*$C$68</f>
        <v>1845.12971754874</v>
      </c>
      <c r="YZ84" s="0" t="n">
        <f aca="false">$B$68+YZ80*$C$68</f>
        <v>1905.29472851178</v>
      </c>
      <c r="ZA84" s="0" t="n">
        <f aca="false">$B$68+ZA80*$C$68</f>
        <v>1650.45969588838</v>
      </c>
      <c r="ZB84" s="0" t="n">
        <f aca="false">$B$68+ZB80*$C$68</f>
        <v>1769.19336535077</v>
      </c>
      <c r="ZC84" s="0" t="n">
        <f aca="false">$B$68+ZC80*$C$68</f>
        <v>2191.203133601</v>
      </c>
      <c r="ZD84" s="0" t="n">
        <f aca="false">$B$68+ZD80*$C$68</f>
        <v>2288.21255344095</v>
      </c>
      <c r="ZE84" s="0" t="n">
        <f aca="false">$B$68+ZE80*$C$68</f>
        <v>2013.49477328395</v>
      </c>
      <c r="ZF84" s="0" t="n">
        <f aca="false">$B$68+ZF80*$C$68</f>
        <v>1881.44975733799</v>
      </c>
      <c r="ZG84" s="0" t="n">
        <f aca="false">$B$68+ZG80*$C$68</f>
        <v>1972.07301396454</v>
      </c>
      <c r="ZH84" s="0" t="n">
        <f aca="false">$B$68+ZH80*$C$68</f>
        <v>2317.58135988665</v>
      </c>
      <c r="ZI84" s="0" t="n">
        <f aca="false">$B$68+ZI80*$C$68</f>
        <v>2065.972101162</v>
      </c>
      <c r="ZJ84" s="0" t="n">
        <f aca="false">$B$68+ZJ80*$C$68</f>
        <v>1920.67696272733</v>
      </c>
      <c r="ZK84" s="0" t="n">
        <f aca="false">$B$68+ZK80*$C$68</f>
        <v>1861.40159170102</v>
      </c>
      <c r="ZL84" s="0" t="n">
        <f aca="false">$B$68+ZL80*$C$68</f>
        <v>1926.68132464221</v>
      </c>
      <c r="ZM84" s="0" t="n">
        <f aca="false">$B$68+ZM80*$C$68</f>
        <v>1772.88484875594</v>
      </c>
      <c r="ZN84" s="0" t="n">
        <f aca="false">$B$68+ZN80*$C$68</f>
        <v>1624.95131025414</v>
      </c>
      <c r="ZO84" s="0" t="n">
        <f aca="false">$B$68+ZO80*$C$68</f>
        <v>1840.50917950221</v>
      </c>
      <c r="ZP84" s="0" t="n">
        <f aca="false">$B$68+ZP80*$C$68</f>
        <v>1583.42510858649</v>
      </c>
      <c r="ZQ84" s="0" t="n">
        <f aca="false">$B$68+ZQ80*$C$68</f>
        <v>2026.93114624203</v>
      </c>
      <c r="ZR84" s="0" t="n">
        <f aca="false">$B$68+ZR80*$C$68</f>
        <v>1745.44459302325</v>
      </c>
      <c r="ZS84" s="0" t="n">
        <f aca="false">$B$68+ZS80*$C$68</f>
        <v>2457.47555985584</v>
      </c>
      <c r="ZT84" s="0" t="n">
        <f aca="false">$B$68+ZT80*$C$68</f>
        <v>2096.57733979149</v>
      </c>
      <c r="ZU84" s="0" t="n">
        <f aca="false">$B$68+ZU80*$C$68</f>
        <v>1890.05521284924</v>
      </c>
      <c r="ZV84" s="0" t="n">
        <f aca="false">$B$68+ZV80*$C$68</f>
        <v>2014.36449383695</v>
      </c>
      <c r="ZW84" s="0" t="n">
        <f aca="false">$B$68+ZW80*$C$68</f>
        <v>2055.13047162207</v>
      </c>
      <c r="ZX84" s="0" t="n">
        <f aca="false">$B$68+ZX80*$C$68</f>
        <v>2408.78080515939</v>
      </c>
      <c r="ZY84" s="0" t="n">
        <f aca="false">$B$68+ZY80*$C$68</f>
        <v>1732.07459224872</v>
      </c>
      <c r="ZZ84" s="0" t="n">
        <f aca="false">$B$68+ZZ80*$C$68</f>
        <v>2048.95607644643</v>
      </c>
      <c r="AAA84" s="0" t="n">
        <f aca="false">$B$68+AAA80*$C$68</f>
        <v>1899.65065223191</v>
      </c>
      <c r="AAB84" s="0" t="n">
        <f aca="false">$B$68+AAB80*$C$68</f>
        <v>2008.77483855615</v>
      </c>
      <c r="AAC84" s="0" t="n">
        <f aca="false">$B$68+AAC80*$C$68</f>
        <v>1607.68932526991</v>
      </c>
      <c r="AAD84" s="0" t="n">
        <f aca="false">$B$68+AAD80*$C$68</f>
        <v>2171.40239071049</v>
      </c>
      <c r="AAE84" s="0" t="n">
        <f aca="false">$B$68+AAE80*$C$68</f>
        <v>1899.30460980382</v>
      </c>
      <c r="AAF84" s="0" t="n">
        <f aca="false">$B$68+AAF80*$C$68</f>
        <v>2054.14964156606</v>
      </c>
      <c r="AAG84" s="0" t="n">
        <f aca="false">$B$68+AAG80*$C$68</f>
        <v>1939.31546491664</v>
      </c>
      <c r="AAH84" s="0" t="n">
        <f aca="false">$B$68+AAH80*$C$68</f>
        <v>2229.86948280855</v>
      </c>
      <c r="AAI84" s="0" t="n">
        <f aca="false">$B$68+AAI80*$C$68</f>
        <v>1793.38469815796</v>
      </c>
      <c r="AAJ84" s="0" t="n">
        <f aca="false">$B$68+AAJ80*$C$68</f>
        <v>2025.43686893431</v>
      </c>
      <c r="AAK84" s="0" t="n">
        <f aca="false">$B$68+AAK80*$C$68</f>
        <v>2276.21330830885</v>
      </c>
      <c r="AAL84" s="0" t="n">
        <f aca="false">$B$68+AAL80*$C$68</f>
        <v>2101.58704490647</v>
      </c>
      <c r="AAM84" s="0" t="n">
        <f aca="false">$B$68+AAM80*$C$68</f>
        <v>1830.33686565546</v>
      </c>
      <c r="AAN84" s="0" t="n">
        <f aca="false">$B$68+AAN80*$C$68</f>
        <v>1757.02846988975</v>
      </c>
      <c r="AAO84" s="0" t="n">
        <f aca="false">$B$68+AAO80*$C$68</f>
        <v>2013.45041548566</v>
      </c>
      <c r="AAP84" s="0" t="n">
        <f aca="false">$B$68+AAP80*$C$68</f>
        <v>1735.23546566316</v>
      </c>
      <c r="AAQ84" s="0" t="n">
        <f aca="false">$B$68+AAQ80*$C$68</f>
        <v>1999.34818170267</v>
      </c>
      <c r="AAR84" s="0" t="n">
        <f aca="false">$B$68+AAR80*$C$68</f>
        <v>2404.36780177732</v>
      </c>
      <c r="AAS84" s="0" t="n">
        <f aca="false">$B$68+AAS80*$C$68</f>
        <v>2017.14487973846</v>
      </c>
      <c r="AAT84" s="0" t="n">
        <f aca="false">$B$68+AAT80*$C$68</f>
        <v>1786.04904260075</v>
      </c>
      <c r="AAU84" s="0" t="n">
        <f aca="false">$B$68+AAU80*$C$68</f>
        <v>1769.73893533979</v>
      </c>
      <c r="AAV84" s="0" t="n">
        <f aca="false">$B$68+AAV80*$C$68</f>
        <v>2095.75760994236</v>
      </c>
      <c r="AAW84" s="0" t="n">
        <f aca="false">$B$68+AAW80*$C$68</f>
        <v>2037.1853430859</v>
      </c>
      <c r="AAX84" s="0" t="n">
        <f aca="false">$B$68+AAX80*$C$68</f>
        <v>1937.2582801175</v>
      </c>
      <c r="AAY84" s="0" t="n">
        <f aca="false">$B$68+AAY80*$C$68</f>
        <v>2029.95528067009</v>
      </c>
      <c r="AAZ84" s="0" t="n">
        <f aca="false">$B$68+AAZ80*$C$68</f>
        <v>2110.69317402279</v>
      </c>
      <c r="ABA84" s="0" t="n">
        <f aca="false">$B$68+ABA80*$C$68</f>
        <v>2038.57456641482</v>
      </c>
      <c r="ABB84" s="0" t="n">
        <f aca="false">$B$68+ABB80*$C$68</f>
        <v>2123.73514541883</v>
      </c>
      <c r="ABC84" s="0" t="n">
        <f aca="false">$B$68+ABC80*$C$68</f>
        <v>2188.89200469932</v>
      </c>
      <c r="ABD84" s="0" t="n">
        <f aca="false">$B$68+ABD80*$C$68</f>
        <v>1823.60442545889</v>
      </c>
      <c r="ABE84" s="0" t="n">
        <f aca="false">$B$68+ABE80*$C$68</f>
        <v>2089.59357765752</v>
      </c>
      <c r="ABF84" s="0" t="n">
        <f aca="false">$B$68+ABF80*$C$68</f>
        <v>1892.09355403289</v>
      </c>
      <c r="ABG84" s="0" t="n">
        <f aca="false">$B$68+ABG80*$C$68</f>
        <v>1839.20710388331</v>
      </c>
      <c r="ABH84" s="0" t="n">
        <f aca="false">$B$68+ABH80*$C$68</f>
        <v>1887.90443295295</v>
      </c>
      <c r="ABI84" s="0" t="n">
        <f aca="false">$B$68+ABI80*$C$68</f>
        <v>1748.77723362638</v>
      </c>
      <c r="ABJ84" s="0" t="n">
        <f aca="false">$B$68+ABJ80*$C$68</f>
        <v>2022.14240652573</v>
      </c>
      <c r="ABK84" s="0" t="n">
        <f aca="false">$B$68+ABK80*$C$68</f>
        <v>1942.84187407868</v>
      </c>
      <c r="ABL84" s="0" t="n">
        <f aca="false">$B$68+ABL80*$C$68</f>
        <v>2057.96453655265</v>
      </c>
      <c r="ABM84" s="0" t="n">
        <f aca="false">$B$68+ABM80*$C$68</f>
        <v>2047.95081922008</v>
      </c>
      <c r="ABN84" s="0" t="n">
        <f aca="false">$B$68+ABN80*$C$68</f>
        <v>1937.32034661655</v>
      </c>
      <c r="ABO84" s="0" t="n">
        <f aca="false">$B$68+ABO80*$C$68</f>
        <v>1744.84580825865</v>
      </c>
      <c r="ABP84" s="0" t="n">
        <f aca="false">$B$68+ABP80*$C$68</f>
        <v>2007.64831368585</v>
      </c>
      <c r="ABQ84" s="0" t="n">
        <f aca="false">$B$68+ABQ80*$C$68</f>
        <v>1916.92540774273</v>
      </c>
      <c r="ABR84" s="0" t="n">
        <f aca="false">$B$68+ABR80*$C$68</f>
        <v>1949.91906338128</v>
      </c>
      <c r="ABS84" s="0" t="n">
        <f aca="false">$B$68+ABS80*$C$68</f>
        <v>1615.90964682029</v>
      </c>
      <c r="ABT84" s="0" t="n">
        <f aca="false">$B$68+ABT80*$C$68</f>
        <v>1614.09478745902</v>
      </c>
      <c r="ABU84" s="0" t="n">
        <f aca="false">$B$68+ABU80*$C$68</f>
        <v>1876.8164105801</v>
      </c>
      <c r="ABV84" s="0" t="n">
        <f aca="false">$B$68+ABV80*$C$68</f>
        <v>1698.51592014668</v>
      </c>
      <c r="ABW84" s="0" t="n">
        <f aca="false">$B$68+ABW80*$C$68</f>
        <v>2076.92817773771</v>
      </c>
      <c r="ABX84" s="0" t="n">
        <f aca="false">$B$68+ABX80*$C$68</f>
        <v>1561.82736485487</v>
      </c>
      <c r="ABY84" s="0" t="n">
        <f aca="false">$B$68+ABY80*$C$68</f>
        <v>2007.87637231054</v>
      </c>
      <c r="ABZ84" s="0" t="n">
        <f aca="false">$B$68+ABZ80*$C$68</f>
        <v>2050.54992302872</v>
      </c>
      <c r="ACA84" s="0" t="n">
        <f aca="false">$B$68+ACA80*$C$68</f>
        <v>1878.28161079744</v>
      </c>
      <c r="ACB84" s="0" t="n">
        <f aca="false">$B$68+ACB80*$C$68</f>
        <v>1838.46837738758</v>
      </c>
      <c r="ACC84" s="0" t="n">
        <f aca="false">$B$68+ACC80*$C$68</f>
        <v>2037.44644320399</v>
      </c>
      <c r="ACD84" s="0" t="n">
        <f aca="false">$B$68+ACD80*$C$68</f>
        <v>2001.51010203503</v>
      </c>
      <c r="ACE84" s="0" t="n">
        <f aca="false">$B$68+ACE80*$C$68</f>
        <v>2026.78560657727</v>
      </c>
      <c r="ACF84" s="0" t="n">
        <f aca="false">$B$68+ACF80*$C$68</f>
        <v>2298.02491559706</v>
      </c>
      <c r="ACG84" s="0" t="n">
        <f aca="false">$B$68+ACG80*$C$68</f>
        <v>2196.728376811</v>
      </c>
      <c r="ACH84" s="0" t="n">
        <f aca="false">$B$68+ACH80*$C$68</f>
        <v>1825.9752631559</v>
      </c>
      <c r="ACI84" s="0" t="n">
        <f aca="false">$B$68+ACI80*$C$68</f>
        <v>2161.67577075667</v>
      </c>
      <c r="ACJ84" s="0" t="n">
        <f aca="false">$B$68+ACJ80*$C$68</f>
        <v>2060.65089334077</v>
      </c>
      <c r="ACK84" s="0" t="n">
        <f aca="false">$B$68+ACK80*$C$68</f>
        <v>1917.14692338539</v>
      </c>
      <c r="ACL84" s="0" t="n">
        <f aca="false">$B$68+ACL80*$C$68</f>
        <v>2395.84079848261</v>
      </c>
      <c r="ACM84" s="0" t="n">
        <f aca="false">$B$68+ACM80*$C$68</f>
        <v>1953.52415936103</v>
      </c>
      <c r="ACN84" s="0" t="n">
        <f aca="false">$B$68+ACN80*$C$68</f>
        <v>1818.33652656535</v>
      </c>
      <c r="ACO84" s="0" t="n">
        <f aca="false">$B$68+ACO80*$C$68</f>
        <v>1873.24865894391</v>
      </c>
      <c r="ACP84" s="0" t="n">
        <f aca="false">$B$68+ACP80*$C$68</f>
        <v>2126.81510484264</v>
      </c>
      <c r="ACQ84" s="0" t="n">
        <f aca="false">$B$68+ACQ80*$C$68</f>
        <v>1793.77880444569</v>
      </c>
      <c r="ACR84" s="0" t="n">
        <f aca="false">$B$68+ACR80*$C$68</f>
        <v>1981.49529664509</v>
      </c>
      <c r="ACS84" s="0" t="n">
        <f aca="false">$B$68+ACS80*$C$68</f>
        <v>2021.42288868329</v>
      </c>
      <c r="ACT84" s="0" t="n">
        <f aca="false">$B$68+ACT80*$C$68</f>
        <v>2005.41772528103</v>
      </c>
      <c r="ACU84" s="0" t="n">
        <f aca="false">$B$68+ACU80*$C$68</f>
        <v>1898.00302674558</v>
      </c>
      <c r="ACV84" s="0" t="n">
        <f aca="false">$B$68+ACV80*$C$68</f>
        <v>1848.25872500718</v>
      </c>
      <c r="ACW84" s="0" t="n">
        <f aca="false">$B$68+ACW80*$C$68</f>
        <v>2146.29571082939</v>
      </c>
      <c r="ACX84" s="0" t="n">
        <f aca="false">$B$68+ACX80*$C$68</f>
        <v>2010.56205034904</v>
      </c>
      <c r="ACY84" s="0" t="n">
        <f aca="false">$B$68+ACY80*$C$68</f>
        <v>2399.50773668481</v>
      </c>
      <c r="ACZ84" s="0" t="n">
        <f aca="false">$B$68+ACZ80*$C$68</f>
        <v>2118.31941744168</v>
      </c>
      <c r="ADA84" s="0" t="n">
        <f aca="false">$B$68+ADA80*$C$68</f>
        <v>1886.77592626778</v>
      </c>
      <c r="ADB84" s="0" t="n">
        <f aca="false">$B$68+ADB80*$C$68</f>
        <v>2185.40721012317</v>
      </c>
      <c r="ADC84" s="0" t="n">
        <f aca="false">$B$68+ADC80*$C$68</f>
        <v>1899.35609347175</v>
      </c>
      <c r="ADD84" s="0" t="n">
        <f aca="false">$B$68+ADD80*$C$68</f>
        <v>2119.50685882931</v>
      </c>
      <c r="ADE84" s="0" t="n">
        <f aca="false">$B$68+ADE80*$C$68</f>
        <v>2279.18912531972</v>
      </c>
      <c r="ADF84" s="0" t="n">
        <f aca="false">$B$68+ADF80*$C$68</f>
        <v>1854.16012746383</v>
      </c>
      <c r="ADG84" s="0" t="n">
        <f aca="false">$B$68+ADG80*$C$68</f>
        <v>1664.10584025426</v>
      </c>
      <c r="ADH84" s="0" t="n">
        <f aca="false">$B$68+ADH80*$C$68</f>
        <v>1982.23549791044</v>
      </c>
      <c r="ADI84" s="0" t="n">
        <f aca="false">$B$68+ADI80*$C$68</f>
        <v>1787.28607891842</v>
      </c>
      <c r="ADJ84" s="0" t="n">
        <f aca="false">$B$68+ADJ80*$C$68</f>
        <v>1714.5249296876</v>
      </c>
      <c r="ADK84" s="0" t="n">
        <f aca="false">$B$68+ADK80*$C$68</f>
        <v>1953.14517089759</v>
      </c>
      <c r="ADL84" s="0" t="n">
        <f aca="false">$B$68+ADL80*$C$68</f>
        <v>1437.95684210724</v>
      </c>
      <c r="ADM84" s="0" t="n">
        <f aca="false">$B$68+ADM80*$C$68</f>
        <v>1958.21721559109</v>
      </c>
      <c r="ADN84" s="0" t="n">
        <f aca="false">$B$68+ADN80*$C$68</f>
        <v>2150.16066794599</v>
      </c>
      <c r="ADO84" s="0" t="n">
        <f aca="false">$B$68+ADO80*$C$68</f>
        <v>2171.40649104793</v>
      </c>
      <c r="ADP84" s="0" t="n">
        <f aca="false">$B$68+ADP80*$C$68</f>
        <v>2041.90927048766</v>
      </c>
      <c r="ADQ84" s="0" t="n">
        <f aca="false">$B$68+ADQ80*$C$68</f>
        <v>1908.26702584467</v>
      </c>
      <c r="ADR84" s="0" t="n">
        <f aca="false">$B$68+ADR80*$C$68</f>
        <v>1714.05226992828</v>
      </c>
      <c r="ADS84" s="0" t="n">
        <f aca="false">$B$68+ADS80*$C$68</f>
        <v>1794.17430485211</v>
      </c>
      <c r="ADT84" s="0" t="n">
        <f aca="false">$B$68+ADT80*$C$68</f>
        <v>1687.36365820881</v>
      </c>
      <c r="ADU84" s="0" t="n">
        <f aca="false">$B$68+ADU80*$C$68</f>
        <v>2023.75166260983</v>
      </c>
      <c r="ADV84" s="0" t="n">
        <f aca="false">$B$68+ADV80*$C$68</f>
        <v>2092.60529695778</v>
      </c>
      <c r="ADW84" s="0" t="n">
        <f aca="false">$B$68+ADW80*$C$68</f>
        <v>2256.49110087654</v>
      </c>
      <c r="ADX84" s="0" t="n">
        <f aca="false">$B$68+ADX80*$C$68</f>
        <v>2364.96043685854</v>
      </c>
      <c r="ADY84" s="0" t="n">
        <f aca="false">$B$68+ADY80*$C$68</f>
        <v>1605.80266559813</v>
      </c>
      <c r="ADZ84" s="0" t="n">
        <f aca="false">$B$68+ADZ80*$C$68</f>
        <v>1771.44132402483</v>
      </c>
      <c r="AEA84" s="0" t="n">
        <f aca="false">$B$68+AEA80*$C$68</f>
        <v>1978.72685966264</v>
      </c>
      <c r="AEB84" s="0" t="n">
        <f aca="false">$B$68+AEB80*$C$68</f>
        <v>2112.04607478528</v>
      </c>
      <c r="AEC84" s="0" t="n">
        <f aca="false">$B$68+AEC80*$C$68</f>
        <v>1953.55110514778</v>
      </c>
      <c r="AED84" s="0" t="n">
        <f aca="false">$B$68+AED80*$C$68</f>
        <v>2007.16209222726</v>
      </c>
      <c r="AEE84" s="0" t="n">
        <f aca="false">$B$68+AEE80*$C$68</f>
        <v>2052.46782367048</v>
      </c>
      <c r="AEF84" s="0" t="n">
        <f aca="false">$B$68+AEF80*$C$68</f>
        <v>1790.34158081723</v>
      </c>
      <c r="AEG84" s="0" t="n">
        <f aca="false">$B$68+AEG80*$C$68</f>
        <v>1642.86296805127</v>
      </c>
      <c r="AEH84" s="0" t="n">
        <f aca="false">$B$68+AEH80*$C$68</f>
        <v>1985.88876541009</v>
      </c>
      <c r="AEI84" s="0" t="n">
        <f aca="false">$B$68+AEI80*$C$68</f>
        <v>2181.45408002683</v>
      </c>
      <c r="AEJ84" s="0" t="n">
        <f aca="false">$B$68+AEJ80*$C$68</f>
        <v>2045.92379680014</v>
      </c>
      <c r="AEK84" s="0" t="n">
        <f aca="false">$B$68+AEK80*$C$68</f>
        <v>1726.979827763</v>
      </c>
      <c r="AEL84" s="0" t="n">
        <f aca="false">$B$68+AEL80*$C$68</f>
        <v>1998.91474622088</v>
      </c>
      <c r="AEM84" s="0" t="n">
        <f aca="false">$B$68+AEM80*$C$68</f>
        <v>1929.28441959587</v>
      </c>
      <c r="AEN84" s="0" t="n">
        <f aca="false">$B$68+AEN80*$C$68</f>
        <v>2331.77288706225</v>
      </c>
      <c r="AEO84" s="0" t="n">
        <f aca="false">$B$68+AEO80*$C$68</f>
        <v>1944.06811668253</v>
      </c>
      <c r="AEP84" s="0" t="n">
        <f aca="false">$B$68+AEP80*$C$68</f>
        <v>1832.82895793918</v>
      </c>
      <c r="AEQ84" s="0" t="n">
        <f aca="false">$B$68+AEQ80*$C$68</f>
        <v>1971.82728924302</v>
      </c>
      <c r="AER84" s="0" t="n">
        <f aca="false">$B$68+AER80*$C$68</f>
        <v>2286.13319920614</v>
      </c>
      <c r="AES84" s="0" t="n">
        <f aca="false">$B$68+AES80*$C$68</f>
        <v>1658.39468186323</v>
      </c>
      <c r="AET84" s="0" t="n">
        <f aca="false">$B$68+AET80*$C$68</f>
        <v>1999.00360067186</v>
      </c>
      <c r="AEU84" s="0" t="n">
        <f aca="false">$B$68+AEU80*$C$68</f>
        <v>1734.17163331154</v>
      </c>
      <c r="AEV84" s="0" t="n">
        <f aca="false">$B$68+AEV80*$C$68</f>
        <v>1721.19136050882</v>
      </c>
      <c r="AEW84" s="0" t="n">
        <f aca="false">$B$68+AEW80*$C$68</f>
        <v>1620.13203370466</v>
      </c>
      <c r="AEX84" s="0" t="n">
        <f aca="false">$B$68+AEX80*$C$68</f>
        <v>1583.57681762514</v>
      </c>
      <c r="AEY84" s="0" t="n">
        <f aca="false">$B$68+AEY80*$C$68</f>
        <v>2213.18303379611</v>
      </c>
      <c r="AEZ84" s="0" t="n">
        <f aca="false">$B$68+AEZ80*$C$68</f>
        <v>1826.52075595043</v>
      </c>
      <c r="AFA84" s="0" t="n">
        <f aca="false">$B$68+AFA80*$C$68</f>
        <v>2154.07174773596</v>
      </c>
      <c r="AFB84" s="0" t="n">
        <f aca="false">$B$68+AFB80*$C$68</f>
        <v>2014.67238076881</v>
      </c>
      <c r="AFC84" s="0" t="n">
        <f aca="false">$B$68+AFC80*$C$68</f>
        <v>2035.36482723105</v>
      </c>
      <c r="AFD84" s="0" t="n">
        <f aca="false">$B$68+AFD80*$C$68</f>
        <v>1854.89562718363</v>
      </c>
      <c r="AFE84" s="0" t="n">
        <f aca="false">$B$68+AFE80*$C$68</f>
        <v>2333.09522352237</v>
      </c>
      <c r="AFF84" s="0" t="n">
        <f aca="false">$B$68+AFF80*$C$68</f>
        <v>1931.68842824852</v>
      </c>
      <c r="AFG84" s="0" t="n">
        <f aca="false">$B$68+AFG80*$C$68</f>
        <v>2105.68070769509</v>
      </c>
      <c r="AFH84" s="0" t="n">
        <f aca="false">$B$68+AFH80*$C$68</f>
        <v>1980.42416610221</v>
      </c>
      <c r="AFI84" s="0" t="n">
        <f aca="false">$B$68+AFI80*$C$68</f>
        <v>1920.57837654293</v>
      </c>
      <c r="AFJ84" s="0" t="n">
        <f aca="false">$B$68+AFJ80*$C$68</f>
        <v>2046.86843334439</v>
      </c>
      <c r="AFK84" s="0" t="n">
        <f aca="false">$B$68+AFK80*$C$68</f>
        <v>1951.85220074475</v>
      </c>
      <c r="AFL84" s="0" t="n">
        <f aca="false">$B$68+AFL80*$C$68</f>
        <v>1825.47257112577</v>
      </c>
      <c r="AFM84" s="0" t="n">
        <f aca="false">$B$68+AFM80*$C$68</f>
        <v>2224.32967096882</v>
      </c>
      <c r="AFN84" s="0" t="n">
        <f aca="false">$B$68+AFN80*$C$68</f>
        <v>1937.16309090966</v>
      </c>
      <c r="AFO84" s="0" t="n">
        <f aca="false">$B$68+AFO80*$C$68</f>
        <v>1900.00217502477</v>
      </c>
      <c r="AFP84" s="0" t="n">
        <f aca="false">$B$68+AFP80*$C$68</f>
        <v>1974.96142977967</v>
      </c>
      <c r="AFQ84" s="0" t="n">
        <f aca="false">$B$68+AFQ80*$C$68</f>
        <v>1847.4340805811</v>
      </c>
      <c r="AFR84" s="0" t="n">
        <f aca="false">$B$68+AFR80*$C$68</f>
        <v>1744.99969218289</v>
      </c>
      <c r="AFS84" s="0" t="n">
        <f aca="false">$B$68+AFS80*$C$68</f>
        <v>2241.0713274642</v>
      </c>
      <c r="AFT84" s="0" t="n">
        <f aca="false">$B$68+AFT80*$C$68</f>
        <v>2334.27625599849</v>
      </c>
      <c r="AFU84" s="0" t="n">
        <f aca="false">$B$68+AFU80*$C$68</f>
        <v>1810.01843737496</v>
      </c>
      <c r="AFV84" s="0" t="n">
        <f aca="false">$B$68+AFV80*$C$68</f>
        <v>2222.86337357487</v>
      </c>
      <c r="AFW84" s="0" t="n">
        <f aca="false">$B$68+AFW80*$C$68</f>
        <v>2034.50695342309</v>
      </c>
      <c r="AFX84" s="0" t="n">
        <f aca="false">$B$68+AFX80*$C$68</f>
        <v>2258.0034246102</v>
      </c>
      <c r="AFY84" s="0" t="n">
        <f aca="false">$B$68+AFY80*$C$68</f>
        <v>1985.1574390114</v>
      </c>
      <c r="AFZ84" s="0" t="n">
        <f aca="false">$B$68+AFZ80*$C$68</f>
        <v>2087.00734644974</v>
      </c>
      <c r="AGA84" s="0" t="n">
        <f aca="false">$B$68+AGA80*$C$68</f>
        <v>2130.45189826018</v>
      </c>
      <c r="AGB84" s="0" t="n">
        <f aca="false">$B$68+AGB80*$C$68</f>
        <v>1779.33881655757</v>
      </c>
      <c r="AGC84" s="0" t="n">
        <f aca="false">$B$68+AGC80*$C$68</f>
        <v>2024.89744390591</v>
      </c>
      <c r="AGD84" s="0" t="n">
        <f aca="false">$B$68+AGD80*$C$68</f>
        <v>1522.94597308455</v>
      </c>
      <c r="AGE84" s="0" t="n">
        <f aca="false">$B$68+AGE80*$C$68</f>
        <v>2263.77145922326</v>
      </c>
      <c r="AGF84" s="0" t="n">
        <f aca="false">$B$68+AGF80*$C$68</f>
        <v>2061.57180182724</v>
      </c>
      <c r="AGG84" s="0" t="n">
        <f aca="false">$B$68+AGG80*$C$68</f>
        <v>2093.64559430563</v>
      </c>
      <c r="AGH84" s="0" t="n">
        <f aca="false">$B$68+AGH80*$C$68</f>
        <v>2136.97033269743</v>
      </c>
      <c r="AGI84" s="0" t="n">
        <f aca="false">$B$68+AGI80*$C$68</f>
        <v>2238.42793351551</v>
      </c>
      <c r="AGJ84" s="0" t="n">
        <f aca="false">$B$68+AGJ80*$C$68</f>
        <v>2265.21110876414</v>
      </c>
      <c r="AGK84" s="0" t="n">
        <f aca="false">$B$68+AGK80*$C$68</f>
        <v>2093.25818461829</v>
      </c>
      <c r="AGL84" s="0" t="n">
        <f aca="false">$B$68+AGL80*$C$68</f>
        <v>2219.57323132642</v>
      </c>
      <c r="AGM84" s="0" t="n">
        <f aca="false">$B$68+AGM80*$C$68</f>
        <v>1803.71648976869</v>
      </c>
      <c r="AGN84" s="0" t="n">
        <f aca="false">$B$68+AGN80*$C$68</f>
        <v>1998.94548545033</v>
      </c>
      <c r="AGO84" s="0" t="n">
        <f aca="false">$B$68+AGO80*$C$68</f>
        <v>2128.91562239532</v>
      </c>
      <c r="AGP84" s="0" t="n">
        <f aca="false">$B$68+AGP80*$C$68</f>
        <v>2141.80534417905</v>
      </c>
      <c r="AGQ84" s="0" t="n">
        <f aca="false">$B$68+AGQ80*$C$68</f>
        <v>1750.86183804174</v>
      </c>
      <c r="AGR84" s="0" t="n">
        <f aca="false">$B$68+AGR80*$C$68</f>
        <v>2027.68017606747</v>
      </c>
      <c r="AGS84" s="0" t="n">
        <f aca="false">$B$68+AGS80*$C$68</f>
        <v>1832.17224580132</v>
      </c>
      <c r="AGT84" s="0" t="n">
        <f aca="false">$B$68+AGT80*$C$68</f>
        <v>2255.2201437326</v>
      </c>
      <c r="AGU84" s="0" t="n">
        <f aca="false">$B$68+AGU80*$C$68</f>
        <v>1923.98120030287</v>
      </c>
      <c r="AGV84" s="0" t="n">
        <f aca="false">$B$68+AGV80*$C$68</f>
        <v>1791.25386366819</v>
      </c>
      <c r="AGW84" s="0" t="n">
        <f aca="false">$B$68+AGW80*$C$68</f>
        <v>2192.99428870968</v>
      </c>
      <c r="AGX84" s="0" t="n">
        <f aca="false">$B$68+AGX80*$C$68</f>
        <v>2190.0022695358</v>
      </c>
      <c r="AGY84" s="0" t="n">
        <f aca="false">$B$68+AGY80*$C$68</f>
        <v>1979.13144135159</v>
      </c>
      <c r="AGZ84" s="0" t="n">
        <f aca="false">$B$68+AGZ80*$C$68</f>
        <v>2118.4631965445</v>
      </c>
      <c r="AHA84" s="0" t="n">
        <f aca="false">$B$68+AHA80*$C$68</f>
        <v>2460.17903464289</v>
      </c>
      <c r="AHB84" s="0" t="n">
        <f aca="false">$B$68+AHB80*$C$68</f>
        <v>1954.27731890456</v>
      </c>
      <c r="AHC84" s="0" t="n">
        <f aca="false">$B$68+AHC80*$C$68</f>
        <v>2312.30615172927</v>
      </c>
      <c r="AHD84" s="0" t="n">
        <f aca="false">$B$68+AHD80*$C$68</f>
        <v>2069.4074320546</v>
      </c>
      <c r="AHE84" s="0" t="n">
        <f aca="false">$B$68+AHE80*$C$68</f>
        <v>1897.10986478659</v>
      </c>
      <c r="AHF84" s="0" t="n">
        <f aca="false">$B$68+AHF80*$C$68</f>
        <v>2362.52007824867</v>
      </c>
      <c r="AHG84" s="0" t="n">
        <f aca="false">$B$68+AHG80*$C$68</f>
        <v>1848.16981554998</v>
      </c>
      <c r="AHH84" s="0" t="n">
        <f aca="false">$B$68+AHH80*$C$68</f>
        <v>1681.96856693247</v>
      </c>
      <c r="AHI84" s="0" t="n">
        <f aca="false">$B$68+AHI80*$C$68</f>
        <v>2161.96499342559</v>
      </c>
      <c r="AHJ84" s="0" t="n">
        <f aca="false">$B$68+AHJ80*$C$68</f>
        <v>1874.79817370746</v>
      </c>
      <c r="AHK84" s="0" t="n">
        <f aca="false">$B$68+AHK80*$C$68</f>
        <v>2130.71063908579</v>
      </c>
      <c r="AHL84" s="0" t="n">
        <f aca="false">$B$68+AHL80*$C$68</f>
        <v>2100.25934840973</v>
      </c>
      <c r="AHM84" s="0" t="n">
        <f aca="false">$B$68+AHM80*$C$68</f>
        <v>1975.49900490244</v>
      </c>
      <c r="AHN84" s="0" t="n">
        <f aca="false">$B$68+AHN80*$C$68</f>
        <v>2117.09744251389</v>
      </c>
      <c r="AHO84" s="0" t="n">
        <f aca="false">$B$68+AHO80*$C$68</f>
        <v>1947.37322193535</v>
      </c>
      <c r="AHP84" s="0" t="n">
        <f aca="false">$B$68+AHP80*$C$68</f>
        <v>2430.03506964238</v>
      </c>
      <c r="AHQ84" s="0" t="n">
        <f aca="false">$B$68+AHQ80*$C$68</f>
        <v>2044.34923663023</v>
      </c>
      <c r="AHR84" s="0" t="n">
        <f aca="false">$B$68+AHR80*$C$68</f>
        <v>2273.53671011929</v>
      </c>
      <c r="AHS84" s="0" t="n">
        <f aca="false">$B$68+AHS80*$C$68</f>
        <v>1837.63249387745</v>
      </c>
      <c r="AHT84" s="0" t="n">
        <f aca="false">$B$68+AHT80*$C$68</f>
        <v>2043.0230045289</v>
      </c>
      <c r="AHU84" s="0" t="n">
        <f aca="false">$B$68+AHU80*$C$68</f>
        <v>1963.36304657905</v>
      </c>
      <c r="AHV84" s="0" t="n">
        <f aca="false">$B$68+AHV80*$C$68</f>
        <v>1857.74315237961</v>
      </c>
      <c r="AHW84" s="0" t="n">
        <f aca="false">$B$68+AHW80*$C$68</f>
        <v>1828.0668447199</v>
      </c>
      <c r="AHX84" s="0" t="n">
        <f aca="false">$B$68+AHX80*$C$68</f>
        <v>2108.88302991375</v>
      </c>
      <c r="AHY84" s="0" t="n">
        <f aca="false">$B$68+AHY80*$C$68</f>
        <v>2088.99752054489</v>
      </c>
      <c r="AHZ84" s="0" t="n">
        <f aca="false">$B$68+AHZ80*$C$68</f>
        <v>1632.40936795496</v>
      </c>
      <c r="AIA84" s="0" t="n">
        <f aca="false">$B$68+AIA80*$C$68</f>
        <v>2056.04837144785</v>
      </c>
      <c r="AIB84" s="0" t="n">
        <f aca="false">$B$68+AIB80*$C$68</f>
        <v>1861.11433763657</v>
      </c>
      <c r="AIC84" s="0" t="n">
        <f aca="false">$B$68+AIC80*$C$68</f>
        <v>1932.3482539128</v>
      </c>
      <c r="AID84" s="0" t="n">
        <f aca="false">$B$68+AID80*$C$68</f>
        <v>2305.58827345614</v>
      </c>
      <c r="AIE84" s="0" t="n">
        <f aca="false">$B$68+AIE80*$C$68</f>
        <v>2046.855756629</v>
      </c>
      <c r="AIF84" s="0" t="n">
        <f aca="false">$B$68+AIF80*$C$68</f>
        <v>1787.99200285421</v>
      </c>
      <c r="AIG84" s="0" t="n">
        <f aca="false">$B$68+AIG80*$C$68</f>
        <v>1928.06919356812</v>
      </c>
      <c r="AIH84" s="0" t="n">
        <f aca="false">$B$68+AIH80*$C$68</f>
        <v>1666.06449903562</v>
      </c>
      <c r="AII84" s="0" t="n">
        <f aca="false">$B$68+AII80*$C$68</f>
        <v>1976.27946892264</v>
      </c>
      <c r="AIJ84" s="0" t="n">
        <f aca="false">$B$68+AIJ80*$C$68</f>
        <v>1953.1943271863</v>
      </c>
      <c r="AIK84" s="0" t="n">
        <f aca="false">$B$68+AIK80*$C$68</f>
        <v>2180.05279396416</v>
      </c>
      <c r="AIL84" s="0" t="n">
        <f aca="false">$B$68+AIL80*$C$68</f>
        <v>1988.58875146705</v>
      </c>
      <c r="AIM84" s="0" t="n">
        <f aca="false">$B$68+AIM80*$C$68</f>
        <v>1896.02325183742</v>
      </c>
      <c r="AIN84" s="0" t="n">
        <f aca="false">$B$68+AIN80*$C$68</f>
        <v>1949.11056706483</v>
      </c>
      <c r="AIO84" s="0" t="n">
        <f aca="false">$B$68+AIO80*$C$68</f>
        <v>2114.79645249296</v>
      </c>
      <c r="AIP84" s="0" t="n">
        <f aca="false">$B$68+AIP80*$C$68</f>
        <v>2231.47753813518</v>
      </c>
      <c r="AIQ84" s="0" t="n">
        <f aca="false">$B$68+AIQ80*$C$68</f>
        <v>2001.4633821543</v>
      </c>
      <c r="AIR84" s="0" t="n">
        <f aca="false">$B$68+AIR80*$C$68</f>
        <v>1987.12748234633</v>
      </c>
      <c r="AIS84" s="0" t="n">
        <f aca="false">$B$68+AIS80*$C$68</f>
        <v>2188.791361501</v>
      </c>
      <c r="AIT84" s="0" t="n">
        <f aca="false">$B$68+AIT80*$C$68</f>
        <v>2083.19243546664</v>
      </c>
      <c r="AIU84" s="0" t="n">
        <f aca="false">$B$68+AIU80*$C$68</f>
        <v>1734.88368669733</v>
      </c>
      <c r="AIV84" s="0" t="n">
        <f aca="false">$B$68+AIV80*$C$68</f>
        <v>2020.46552957736</v>
      </c>
      <c r="AIW84" s="0" t="n">
        <f aca="false">$B$68+AIW80*$C$68</f>
        <v>2626.45356948054</v>
      </c>
      <c r="AIX84" s="0" t="n">
        <f aca="false">$B$68+AIX80*$C$68</f>
        <v>1906.24598620502</v>
      </c>
      <c r="AIY84" s="0" t="n">
        <f aca="false">$B$68+AIY80*$C$68</f>
        <v>1974.96019057252</v>
      </c>
      <c r="AIZ84" s="0" t="n">
        <f aca="false">$B$68+AIZ80*$C$68</f>
        <v>2073.66300495292</v>
      </c>
      <c r="AJA84" s="0" t="n">
        <f aca="false">$B$68+AJA80*$C$68</f>
        <v>2251.36283220001</v>
      </c>
      <c r="AJB84" s="0" t="n">
        <f aca="false">$B$68+AJB80*$C$68</f>
        <v>2170.29500154954</v>
      </c>
      <c r="AJC84" s="0" t="n">
        <f aca="false">$B$68+AJC80*$C$68</f>
        <v>1962.09194014411</v>
      </c>
      <c r="AJD84" s="0" t="n">
        <f aca="false">$B$68+AJD80*$C$68</f>
        <v>1738.73193558901</v>
      </c>
      <c r="AJE84" s="0" t="n">
        <f aca="false">$B$68+AJE80*$C$68</f>
        <v>2176.18139636191</v>
      </c>
      <c r="AJF84" s="0" t="n">
        <f aca="false">$B$68+AJF80*$C$68</f>
        <v>2146.15838934952</v>
      </c>
      <c r="AJG84" s="0" t="n">
        <f aca="false">$B$68+AJG80*$C$68</f>
        <v>1351.16099762365</v>
      </c>
      <c r="AJH84" s="0" t="n">
        <f aca="false">$B$68+AJH80*$C$68</f>
        <v>1930.42049824284</v>
      </c>
      <c r="AJI84" s="0" t="n">
        <f aca="false">$B$68+AJI80*$C$68</f>
        <v>2087.50537356996</v>
      </c>
      <c r="AJJ84" s="0" t="n">
        <f aca="false">$B$68+AJJ80*$C$68</f>
        <v>2041.40076350453</v>
      </c>
      <c r="AJK84" s="0" t="n">
        <f aca="false">$B$68+AJK80*$C$68</f>
        <v>2084.45670524142</v>
      </c>
      <c r="AJL84" s="0" t="n">
        <f aca="false">$B$68+AJL80*$C$68</f>
        <v>2131.55078967584</v>
      </c>
      <c r="AJM84" s="0" t="n">
        <f aca="false">$B$68+AJM80*$C$68</f>
        <v>2081.88608672817</v>
      </c>
      <c r="AJN84" s="0" t="n">
        <f aca="false">$B$68+AJN80*$C$68</f>
        <v>2175.16531742934</v>
      </c>
      <c r="AJO84" s="0" t="n">
        <f aca="false">$B$68+AJO80*$C$68</f>
        <v>2087.92190683535</v>
      </c>
      <c r="AJP84" s="0" t="n">
        <f aca="false">$B$68+AJP80*$C$68</f>
        <v>2274.22432099033</v>
      </c>
      <c r="AJQ84" s="0" t="n">
        <f aca="false">$B$68+AJQ80*$C$68</f>
        <v>2004.35298114269</v>
      </c>
      <c r="AJR84" s="0" t="n">
        <f aca="false">$B$68+AJR80*$C$68</f>
        <v>1861.30391592023</v>
      </c>
      <c r="AJS84" s="0" t="n">
        <f aca="false">$B$68+AJS80*$C$68</f>
        <v>1957.98130701259</v>
      </c>
      <c r="AJT84" s="0" t="n">
        <f aca="false">$B$68+AJT80*$C$68</f>
        <v>1809.42681870595</v>
      </c>
      <c r="AJU84" s="0" t="n">
        <f aca="false">$B$68+AJU80*$C$68</f>
        <v>2412.70626493403</v>
      </c>
      <c r="AJV84" s="0" t="n">
        <f aca="false">$B$68+AJV80*$C$68</f>
        <v>1889.67954490865</v>
      </c>
      <c r="AJW84" s="0" t="n">
        <f aca="false">$B$68+AJW80*$C$68</f>
        <v>2039.96984824824</v>
      </c>
      <c r="AJX84" s="0" t="n">
        <f aca="false">$B$68+AJX80*$C$68</f>
        <v>1890.24823012183</v>
      </c>
      <c r="AJY84" s="0" t="n">
        <f aca="false">$B$68+AJY80*$C$68</f>
        <v>2065.85646376888</v>
      </c>
      <c r="AJZ84" s="0" t="n">
        <f aca="false">$B$68+AJZ80*$C$68</f>
        <v>1694.99737974859</v>
      </c>
      <c r="AKA84" s="0" t="n">
        <f aca="false">$B$68+AKA80*$C$68</f>
        <v>2150.70110060627</v>
      </c>
      <c r="AKB84" s="0" t="n">
        <f aca="false">$B$68+AKB80*$C$68</f>
        <v>1703.56583592597</v>
      </c>
      <c r="AKC84" s="0" t="n">
        <f aca="false">$B$68+AKC80*$C$68</f>
        <v>2130.27442119582</v>
      </c>
      <c r="AKD84" s="0" t="n">
        <f aca="false">$B$68+AKD80*$C$68</f>
        <v>1778.86019672753</v>
      </c>
      <c r="AKE84" s="0" t="n">
        <f aca="false">$B$68+AKE80*$C$68</f>
        <v>2128.73634701715</v>
      </c>
      <c r="AKF84" s="0" t="n">
        <f aca="false">$B$68+AKF80*$C$68</f>
        <v>2195.83801788089</v>
      </c>
      <c r="AKG84" s="0" t="n">
        <f aca="false">$B$68+AKG80*$C$68</f>
        <v>1870.11272203807</v>
      </c>
      <c r="AKH84" s="0" t="n">
        <f aca="false">$B$68+AKH80*$C$68</f>
        <v>2167.41414774251</v>
      </c>
      <c r="AKI84" s="0" t="n">
        <f aca="false">$B$68+AKI80*$C$68</f>
        <v>1743.49448741526</v>
      </c>
      <c r="AKJ84" s="0" t="n">
        <f aca="false">$B$68+AKJ80*$C$68</f>
        <v>1566.81869421458</v>
      </c>
      <c r="AKK84" s="0" t="n">
        <f aca="false">$B$68+AKK80*$C$68</f>
        <v>1716.55687832383</v>
      </c>
      <c r="AKL84" s="0" t="n">
        <f aca="false">$B$68+AKL80*$C$68</f>
        <v>1825.1514494711</v>
      </c>
      <c r="AKM84" s="0" t="n">
        <f aca="false">$B$68+AKM80*$C$68</f>
        <v>2082.80922998423</v>
      </c>
      <c r="AKN84" s="0" t="n">
        <f aca="false">$B$68+AKN80*$C$68</f>
        <v>2079.57963981888</v>
      </c>
      <c r="AKO84" s="0" t="n">
        <f aca="false">$B$68+AKO80*$C$68</f>
        <v>2068.76369601886</v>
      </c>
      <c r="AKP84" s="0" t="n">
        <f aca="false">$B$68+AKP80*$C$68</f>
        <v>1702.67097951507</v>
      </c>
      <c r="AKQ84" s="0" t="n">
        <f aca="false">$B$68+AKQ80*$C$68</f>
        <v>2078.72796351174</v>
      </c>
      <c r="AKR84" s="0" t="n">
        <f aca="false">$B$68+AKR80*$C$68</f>
        <v>2038.92665481929</v>
      </c>
      <c r="AKS84" s="0" t="n">
        <f aca="false">$B$68+AKS80*$C$68</f>
        <v>1947.22224204843</v>
      </c>
      <c r="AKT84" s="0" t="n">
        <f aca="false">$B$68+AKT80*$C$68</f>
        <v>2109.01071330718</v>
      </c>
      <c r="AKU84" s="0" t="n">
        <f aca="false">$B$68+AKU80*$C$68</f>
        <v>1886.83137788425</v>
      </c>
      <c r="AKV84" s="0" t="n">
        <f aca="false">$B$68+AKV80*$C$68</f>
        <v>2067.34304806488</v>
      </c>
      <c r="AKW84" s="0" t="n">
        <f aca="false">$B$68+AKW80*$C$68</f>
        <v>2018.3407593538</v>
      </c>
      <c r="AKX84" s="0" t="n">
        <f aca="false">$B$68+AKX80*$C$68</f>
        <v>1860.86047517748</v>
      </c>
      <c r="AKY84" s="0" t="n">
        <f aca="false">$B$68+AKY80*$C$68</f>
        <v>2365.06961336826</v>
      </c>
      <c r="AKZ84" s="0" t="n">
        <f aca="false">$B$68+AKZ80*$C$68</f>
        <v>1662.53686252823</v>
      </c>
      <c r="ALA84" s="0" t="n">
        <f aca="false">$B$68+ALA80*$C$68</f>
        <v>2069.59365620317</v>
      </c>
      <c r="ALB84" s="0" t="n">
        <f aca="false">$B$68+ALB80*$C$68</f>
        <v>2184.12952372182</v>
      </c>
      <c r="ALC84" s="0" t="n">
        <f aca="false">$B$68+ALC80*$C$68</f>
        <v>2069.76127562438</v>
      </c>
      <c r="ALD84" s="0" t="n">
        <f aca="false">$B$68+ALD80*$C$68</f>
        <v>2014.6277604056</v>
      </c>
      <c r="ALE84" s="0" t="n">
        <f aca="false">$B$68+ALE80*$C$68</f>
        <v>1846.45102509334</v>
      </c>
      <c r="ALF84" s="0" t="n">
        <f aca="false">$B$68+ALF80*$C$68</f>
        <v>1669.42788505237</v>
      </c>
      <c r="ALG84" s="0" t="n">
        <f aca="false">$B$68+ALG80*$C$68</f>
        <v>2209.16281171715</v>
      </c>
      <c r="ALH84" s="0" t="n">
        <f aca="false">$B$68+ALH80*$C$68</f>
        <v>2305.60927280798</v>
      </c>
      <c r="ALI84" s="0" t="n">
        <f aca="false">$B$68+ALI80*$C$68</f>
        <v>2053.86475022057</v>
      </c>
      <c r="ALJ84" s="0" t="n">
        <f aca="false">$B$68+ALJ80*$C$68</f>
        <v>2098.41584994579</v>
      </c>
      <c r="ALK84" s="0" t="n">
        <f aca="false">$B$68+ALK80*$C$68</f>
        <v>1922.63626742509</v>
      </c>
      <c r="ALL84" s="0" t="n">
        <f aca="false">$B$68+ALL80*$C$68</f>
        <v>1763.88859085052</v>
      </c>
      <c r="ALM84" s="0" t="n">
        <f aca="false">$B$68+ALM80*$C$68</f>
        <v>1831.03770653341</v>
      </c>
    </row>
    <row r="85" customFormat="false" ht="14.5" hidden="false" customHeight="false" outlineLevel="0" collapsed="false">
      <c r="A85" s="0" t="s">
        <v>42</v>
      </c>
      <c r="B85" s="2" t="n">
        <f aca="false">$B$73+B80*$C$73</f>
        <v>0.623371303303815</v>
      </c>
      <c r="C85" s="2" t="n">
        <f aca="false">$B$73+C80*$C$73</f>
        <v>0.60767196922706</v>
      </c>
      <c r="D85" s="2" t="n">
        <f aca="false">$B$73+D80*$C$73</f>
        <v>0.652197837547556</v>
      </c>
      <c r="E85" s="2" t="n">
        <f aca="false">$B$73+E80*$C$73</f>
        <v>0.630397834135964</v>
      </c>
      <c r="F85" s="2" t="n">
        <f aca="false">$B$73+F80*$C$73</f>
        <v>0.60864779802106</v>
      </c>
      <c r="G85" s="2" t="n">
        <f aca="false">$B$73+G80*$C$73</f>
        <v>0.645530675768243</v>
      </c>
      <c r="H85" s="2" t="n">
        <f aca="false">$B$73+H80*$C$73</f>
        <v>0.58538304816543</v>
      </c>
      <c r="I85" s="2" t="n">
        <f aca="false">$B$73+I80*$C$73</f>
        <v>0.661447563450643</v>
      </c>
      <c r="J85" s="2" t="n">
        <f aca="false">$B$73+J80*$C$73</f>
        <v>0.617658081374223</v>
      </c>
      <c r="K85" s="2" t="n">
        <f aca="false">$B$73+K80*$C$73</f>
        <v>0.540390530250691</v>
      </c>
      <c r="L85" s="2" t="n">
        <f aca="false">$B$73+L80*$C$73</f>
        <v>0.597868980856013</v>
      </c>
      <c r="M85" s="2" t="n">
        <f aca="false">$B$73+M80*$C$73</f>
        <v>0.623207785561528</v>
      </c>
      <c r="N85" s="2" t="n">
        <f aca="false">$B$73+N80*$C$73</f>
        <v>0.56744731154803</v>
      </c>
      <c r="O85" s="2" t="n">
        <f aca="false">$B$73+O80*$C$73</f>
        <v>0.560659149212464</v>
      </c>
      <c r="P85" s="2" t="n">
        <f aca="false">$B$73+P80*$C$73</f>
        <v>0.639950420485367</v>
      </c>
      <c r="Q85" s="2" t="n">
        <f aca="false">$B$73+Q80*$C$73</f>
        <v>0.517497690585336</v>
      </c>
      <c r="R85" s="2" t="n">
        <f aca="false">$B$73+R80*$C$73</f>
        <v>0.535323874255798</v>
      </c>
      <c r="S85" s="2" t="n">
        <f aca="false">$B$73+S80*$C$73</f>
        <v>0.527592402142237</v>
      </c>
      <c r="T85" s="2" t="n">
        <f aca="false">$B$73+T80*$C$73</f>
        <v>0.569339641038592</v>
      </c>
      <c r="U85" s="2" t="n">
        <f aca="false">$B$73+U80*$C$73</f>
        <v>0.502196894139176</v>
      </c>
      <c r="V85" s="2" t="n">
        <f aca="false">$B$73+V80*$C$73</f>
        <v>0.57669848896255</v>
      </c>
      <c r="W85" s="2" t="n">
        <f aca="false">$B$73+W80*$C$73</f>
        <v>0.620097894970228</v>
      </c>
      <c r="X85" s="2" t="n">
        <f aca="false">$B$73+X80*$C$73</f>
        <v>0.639938767379774</v>
      </c>
      <c r="Y85" s="2" t="n">
        <f aca="false">$B$73+Y80*$C$73</f>
        <v>0.597616096215652</v>
      </c>
      <c r="Z85" s="2" t="n">
        <f aca="false">$B$73+Z80*$C$73</f>
        <v>0.668825340727981</v>
      </c>
      <c r="AA85" s="2" t="n">
        <f aca="false">$B$73+AA80*$C$73</f>
        <v>0.678379056497568</v>
      </c>
      <c r="AB85" s="2" t="n">
        <f aca="false">$B$73+AB80*$C$73</f>
        <v>0.693372510482895</v>
      </c>
      <c r="AC85" s="2" t="n">
        <f aca="false">$B$73+AC80*$C$73</f>
        <v>0.524292180318603</v>
      </c>
      <c r="AD85" s="2" t="n">
        <f aca="false">$B$73+AD80*$C$73</f>
        <v>0.634005930999053</v>
      </c>
      <c r="AE85" s="2" t="n">
        <f aca="false">$B$73+AE80*$C$73</f>
        <v>0.59064671881462</v>
      </c>
      <c r="AF85" s="2" t="n">
        <f aca="false">$B$73+AF80*$C$73</f>
        <v>0.519887471341042</v>
      </c>
      <c r="AG85" s="2" t="n">
        <f aca="false">$B$73+AG80*$C$73</f>
        <v>0.640613699555075</v>
      </c>
      <c r="AH85" s="2" t="n">
        <f aca="false">$B$73+AH80*$C$73</f>
        <v>0.586648754318941</v>
      </c>
      <c r="AI85" s="2" t="n">
        <f aca="false">$B$73+AI80*$C$73</f>
        <v>0.5657547488149</v>
      </c>
      <c r="AJ85" s="2" t="n">
        <f aca="false">$B$73+AJ80*$C$73</f>
        <v>0.680368290657265</v>
      </c>
      <c r="AK85" s="2" t="n">
        <f aca="false">$B$73+AK80*$C$73</f>
        <v>0.636289098581459</v>
      </c>
      <c r="AL85" s="2" t="n">
        <f aca="false">$B$73+AL80*$C$73</f>
        <v>0.64922592715488</v>
      </c>
      <c r="AM85" s="2" t="n">
        <f aca="false">$B$73+AM80*$C$73</f>
        <v>0.646942753590542</v>
      </c>
      <c r="AN85" s="2" t="n">
        <f aca="false">$B$73+AN80*$C$73</f>
        <v>0.60862140869821</v>
      </c>
      <c r="AO85" s="2" t="n">
        <f aca="false">$B$73+AO80*$C$73</f>
        <v>0.505984243705067</v>
      </c>
      <c r="AP85" s="2" t="n">
        <f aca="false">$B$73+AP80*$C$73</f>
        <v>0.579692150849064</v>
      </c>
      <c r="AQ85" s="2" t="n">
        <f aca="false">$B$73+AQ80*$C$73</f>
        <v>0.631324104930223</v>
      </c>
      <c r="AR85" s="2" t="n">
        <f aca="false">$B$73+AR80*$C$73</f>
        <v>0.570643721512774</v>
      </c>
      <c r="AS85" s="2" t="n">
        <f aca="false">$B$73+AS80*$C$73</f>
        <v>0.564548557528791</v>
      </c>
      <c r="AT85" s="2" t="n">
        <f aca="false">$B$73+AT80*$C$73</f>
        <v>0.607922187178804</v>
      </c>
      <c r="AU85" s="2" t="n">
        <f aca="false">$B$73+AU80*$C$73</f>
        <v>0.582519978323323</v>
      </c>
      <c r="AV85" s="2" t="n">
        <f aca="false">$B$73+AV80*$C$73</f>
        <v>0.684058815962417</v>
      </c>
      <c r="AW85" s="2" t="n">
        <f aca="false">$B$73+AW80*$C$73</f>
        <v>0.598971142177863</v>
      </c>
      <c r="AX85" s="2" t="n">
        <f aca="false">$B$73+AX80*$C$73</f>
        <v>0.530278222261154</v>
      </c>
      <c r="AY85" s="2" t="n">
        <f aca="false">$B$73+AY80*$C$73</f>
        <v>0.650971801757274</v>
      </c>
      <c r="AZ85" s="2" t="n">
        <f aca="false">$B$73+AZ80*$C$73</f>
        <v>0.680332735219966</v>
      </c>
      <c r="BA85" s="2" t="n">
        <f aca="false">$B$73+BA80*$C$73</f>
        <v>0.604699157974058</v>
      </c>
      <c r="BB85" s="2" t="n">
        <f aca="false">$B$73+BB80*$C$73</f>
        <v>0.537733813957113</v>
      </c>
      <c r="BC85" s="2" t="n">
        <f aca="false">$B$73+BC80*$C$73</f>
        <v>0.645604912235819</v>
      </c>
      <c r="BD85" s="2" t="n">
        <f aca="false">$B$73+BD80*$C$73</f>
        <v>0.538718967546245</v>
      </c>
      <c r="BE85" s="2" t="n">
        <f aca="false">$B$73+BE80*$C$73</f>
        <v>0.574879016509065</v>
      </c>
      <c r="BF85" s="2" t="n">
        <f aca="false">$B$73+BF80*$C$73</f>
        <v>0.507947208160346</v>
      </c>
      <c r="BG85" s="2" t="n">
        <f aca="false">$B$73+BG80*$C$73</f>
        <v>0.622879904394446</v>
      </c>
      <c r="BH85" s="2" t="n">
        <f aca="false">$B$73+BH80*$C$73</f>
        <v>0.58320974506596</v>
      </c>
      <c r="BI85" s="2" t="n">
        <f aca="false">$B$73+BI80*$C$73</f>
        <v>0.703297945312034</v>
      </c>
      <c r="BJ85" s="2" t="n">
        <f aca="false">$B$73+BJ80*$C$73</f>
        <v>0.638132910509641</v>
      </c>
      <c r="BK85" s="2" t="n">
        <f aca="false">$B$73+BK80*$C$73</f>
        <v>0.648305447460136</v>
      </c>
      <c r="BL85" s="2" t="n">
        <f aca="false">$B$73+BL80*$C$73</f>
        <v>0.629843615296649</v>
      </c>
      <c r="BM85" s="2" t="n">
        <f aca="false">$B$73+BM80*$C$73</f>
        <v>0.582356718411693</v>
      </c>
      <c r="BN85" s="2" t="n">
        <f aca="false">$B$73+BN80*$C$73</f>
        <v>0.556824035426639</v>
      </c>
      <c r="BO85" s="2" t="n">
        <f aca="false">$B$73+BO80*$C$73</f>
        <v>0.599772348494237</v>
      </c>
      <c r="BP85" s="2" t="n">
        <f aca="false">$B$73+BP80*$C$73</f>
        <v>0.625087684086378</v>
      </c>
      <c r="BQ85" s="2" t="n">
        <f aca="false">$B$73+BQ80*$C$73</f>
        <v>0.576525660423416</v>
      </c>
      <c r="BR85" s="2" t="n">
        <f aca="false">$B$73+BR80*$C$73</f>
        <v>0.630649304074246</v>
      </c>
      <c r="BS85" s="2" t="n">
        <f aca="false">$B$73+BS80*$C$73</f>
        <v>0.530148323924238</v>
      </c>
      <c r="BT85" s="2" t="n">
        <f aca="false">$B$73+BT80*$C$73</f>
        <v>0.606583211833908</v>
      </c>
      <c r="BU85" s="2" t="n">
        <f aca="false">$B$73+BU80*$C$73</f>
        <v>0.511635332424097</v>
      </c>
      <c r="BV85" s="2" t="n">
        <f aca="false">$B$73+BV80*$C$73</f>
        <v>0.580421547688769</v>
      </c>
      <c r="BW85" s="2" t="n">
        <f aca="false">$B$73+BW80*$C$73</f>
        <v>0.550877210964105</v>
      </c>
      <c r="BX85" s="2" t="n">
        <f aca="false">$B$73+BX80*$C$73</f>
        <v>0.539653347032591</v>
      </c>
      <c r="BY85" s="2" t="n">
        <f aca="false">$B$73+BY80*$C$73</f>
        <v>0.545209565407913</v>
      </c>
      <c r="BZ85" s="2" t="n">
        <f aca="false">$B$73+BZ80*$C$73</f>
        <v>0.655571495119375</v>
      </c>
      <c r="CA85" s="2" t="n">
        <f aca="false">$B$73+CA80*$C$73</f>
        <v>0.630697272363364</v>
      </c>
      <c r="CB85" s="2" t="n">
        <f aca="false">$B$73+CB80*$C$73</f>
        <v>0.548722186710589</v>
      </c>
      <c r="CC85" s="2" t="n">
        <f aca="false">$B$73+CC80*$C$73</f>
        <v>0.668421848760613</v>
      </c>
      <c r="CD85" s="2" t="n">
        <f aca="false">$B$73+CD80*$C$73</f>
        <v>0.730871487068745</v>
      </c>
      <c r="CE85" s="2" t="n">
        <f aca="false">$B$73+CE80*$C$73</f>
        <v>0.642118936714781</v>
      </c>
      <c r="CF85" s="2" t="n">
        <f aca="false">$B$73+CF80*$C$73</f>
        <v>0.63631147295451</v>
      </c>
      <c r="CG85" s="2" t="n">
        <f aca="false">$B$73+CG80*$C$73</f>
        <v>0.528005257931517</v>
      </c>
      <c r="CH85" s="2" t="n">
        <f aca="false">$B$73+CH80*$C$73</f>
        <v>0.623213330771132</v>
      </c>
      <c r="CI85" s="2" t="n">
        <f aca="false">$B$73+CI80*$C$73</f>
        <v>0.646748893306254</v>
      </c>
      <c r="CJ85" s="2" t="n">
        <f aca="false">$B$73+CJ80*$C$73</f>
        <v>0.701255275311094</v>
      </c>
      <c r="CK85" s="2" t="n">
        <f aca="false">$B$73+CK80*$C$73</f>
        <v>0.589901947122866</v>
      </c>
      <c r="CL85" s="2" t="n">
        <f aca="false">$B$73+CL80*$C$73</f>
        <v>0.572546496422705</v>
      </c>
      <c r="CM85" s="2" t="n">
        <f aca="false">$B$73+CM80*$C$73</f>
        <v>0.660814569748912</v>
      </c>
      <c r="CN85" s="2" t="n">
        <f aca="false">$B$73+CN80*$C$73</f>
        <v>0.632753135361146</v>
      </c>
      <c r="CO85" s="2" t="n">
        <f aca="false">$B$73+CO80*$C$73</f>
        <v>0.648021771078857</v>
      </c>
      <c r="CP85" s="2" t="n">
        <f aca="false">$B$73+CP80*$C$73</f>
        <v>0.578334802157871</v>
      </c>
      <c r="CQ85" s="2" t="n">
        <f aca="false">$B$73+CQ80*$C$73</f>
        <v>0.576837338196543</v>
      </c>
      <c r="CR85" s="2" t="n">
        <f aca="false">$B$73+CR80*$C$73</f>
        <v>0.621132616476544</v>
      </c>
      <c r="CS85" s="2" t="n">
        <f aca="false">$B$73+CS80*$C$73</f>
        <v>0.578921070100942</v>
      </c>
      <c r="CT85" s="2" t="n">
        <f aca="false">$B$73+CT80*$C$73</f>
        <v>0.517438313645956</v>
      </c>
      <c r="CU85" s="2" t="n">
        <f aca="false">$B$73+CU80*$C$73</f>
        <v>0.548015788236808</v>
      </c>
      <c r="CV85" s="2" t="n">
        <f aca="false">$B$73+CV80*$C$73</f>
        <v>0.534068377642746</v>
      </c>
      <c r="CW85" s="2" t="n">
        <f aca="false">$B$73+CW80*$C$73</f>
        <v>0.601573041741111</v>
      </c>
      <c r="CX85" s="2" t="n">
        <f aca="false">$B$73+CX80*$C$73</f>
        <v>0.620982563666671</v>
      </c>
      <c r="CY85" s="2" t="n">
        <f aca="false">$B$73+CY80*$C$73</f>
        <v>0.594807522470169</v>
      </c>
      <c r="CZ85" s="2" t="n">
        <f aca="false">$B$73+CZ80*$C$73</f>
        <v>0.60209609811807</v>
      </c>
      <c r="DA85" s="2" t="n">
        <f aca="false">$B$73+DA80*$C$73</f>
        <v>0.505868443150179</v>
      </c>
      <c r="DB85" s="2" t="n">
        <f aca="false">$B$73+DB80*$C$73</f>
        <v>0.442853408639727</v>
      </c>
      <c r="DC85" s="2" t="n">
        <f aca="false">$B$73+DC80*$C$73</f>
        <v>0.676382834952481</v>
      </c>
      <c r="DD85" s="2" t="n">
        <f aca="false">$B$73+DD80*$C$73</f>
        <v>0.567723827231971</v>
      </c>
      <c r="DE85" s="2" t="n">
        <f aca="false">$B$73+DE80*$C$73</f>
        <v>0.610258916372093</v>
      </c>
      <c r="DF85" s="2" t="n">
        <f aca="false">$B$73+DF80*$C$73</f>
        <v>0.548318178159224</v>
      </c>
      <c r="DG85" s="2" t="n">
        <f aca="false">$B$73+DG80*$C$73</f>
        <v>0.611342493027718</v>
      </c>
      <c r="DH85" s="2" t="n">
        <f aca="false">$B$73+DH80*$C$73</f>
        <v>0.609722459148814</v>
      </c>
      <c r="DI85" s="2" t="n">
        <f aca="false">$B$73+DI80*$C$73</f>
        <v>0.548653203467767</v>
      </c>
      <c r="DJ85" s="2" t="n">
        <f aca="false">$B$73+DJ80*$C$73</f>
        <v>0.593482165701412</v>
      </c>
      <c r="DK85" s="2" t="n">
        <f aca="false">$B$73+DK80*$C$73</f>
        <v>0.601912443368165</v>
      </c>
      <c r="DL85" s="2" t="n">
        <f aca="false">$B$73+DL80*$C$73</f>
        <v>0.648865676492608</v>
      </c>
      <c r="DM85" s="2" t="n">
        <f aca="false">$B$73+DM80*$C$73</f>
        <v>0.640208911455108</v>
      </c>
      <c r="DN85" s="2" t="n">
        <f aca="false">$B$73+DN80*$C$73</f>
        <v>0.687679939213756</v>
      </c>
      <c r="DO85" s="2" t="n">
        <f aca="false">$B$73+DO80*$C$73</f>
        <v>0.712431171920719</v>
      </c>
      <c r="DP85" s="2" t="n">
        <f aca="false">$B$73+DP80*$C$73</f>
        <v>0.671537528157461</v>
      </c>
      <c r="DQ85" s="2" t="n">
        <f aca="false">$B$73+DQ80*$C$73</f>
        <v>0.623136139635116</v>
      </c>
      <c r="DR85" s="2" t="n">
        <f aca="false">$B$73+DR80*$C$73</f>
        <v>0.495461509341804</v>
      </c>
      <c r="DS85" s="2" t="n">
        <f aca="false">$B$73+DS80*$C$73</f>
        <v>0.560976407094421</v>
      </c>
      <c r="DT85" s="2" t="n">
        <f aca="false">$B$73+DT80*$C$73</f>
        <v>0.687413785064759</v>
      </c>
      <c r="DU85" s="2" t="n">
        <f aca="false">$B$73+DU80*$C$73</f>
        <v>0.642842782995534</v>
      </c>
      <c r="DV85" s="2" t="n">
        <f aca="false">$B$73+DV80*$C$73</f>
        <v>0.63640634268257</v>
      </c>
      <c r="DW85" s="2" t="n">
        <f aca="false">$B$73+DW80*$C$73</f>
        <v>0.57750902294697</v>
      </c>
      <c r="DX85" s="2" t="n">
        <f aca="false">$B$73+DX80*$C$73</f>
        <v>0.591806823356761</v>
      </c>
      <c r="DY85" s="2" t="n">
        <f aca="false">$B$73+DY80*$C$73</f>
        <v>0.634208274382484</v>
      </c>
      <c r="DZ85" s="2" t="n">
        <f aca="false">$B$73+DZ80*$C$73</f>
        <v>0.535925155236635</v>
      </c>
      <c r="EA85" s="2" t="n">
        <f aca="false">$B$73+EA80*$C$73</f>
        <v>0.4813408733141</v>
      </c>
      <c r="EB85" s="2" t="n">
        <f aca="false">$B$73+EB80*$C$73</f>
        <v>0.583048782015027</v>
      </c>
      <c r="EC85" s="2" t="n">
        <f aca="false">$B$73+EC80*$C$73</f>
        <v>0.593730602172175</v>
      </c>
      <c r="ED85" s="2" t="n">
        <f aca="false">$B$73+ED80*$C$73</f>
        <v>0.599625168458513</v>
      </c>
      <c r="EE85" s="2" t="n">
        <f aca="false">$B$73+EE80*$C$73</f>
        <v>0.644535471951882</v>
      </c>
      <c r="EF85" s="2" t="n">
        <f aca="false">$B$73+EF80*$C$73</f>
        <v>0.610394975497156</v>
      </c>
      <c r="EG85" s="2" t="n">
        <f aca="false">$B$73+EG80*$C$73</f>
        <v>0.586479990698256</v>
      </c>
      <c r="EH85" s="2" t="n">
        <f aca="false">$B$73+EH80*$C$73</f>
        <v>0.581189652349586</v>
      </c>
      <c r="EI85" s="2" t="n">
        <f aca="false">$B$73+EI80*$C$73</f>
        <v>0.529114147952928</v>
      </c>
      <c r="EJ85" s="2" t="n">
        <f aca="false">$B$73+EJ80*$C$73</f>
        <v>0.641324000019152</v>
      </c>
      <c r="EK85" s="2" t="n">
        <f aca="false">$B$73+EK80*$C$73</f>
        <v>0.629651142560853</v>
      </c>
      <c r="EL85" s="2" t="n">
        <f aca="false">$B$73+EL80*$C$73</f>
        <v>0.6554611814165</v>
      </c>
      <c r="EM85" s="2" t="n">
        <f aca="false">$B$73+EM80*$C$73</f>
        <v>0.60142234968672</v>
      </c>
      <c r="EN85" s="2" t="n">
        <f aca="false">$B$73+EN80*$C$73</f>
        <v>0.648325805614397</v>
      </c>
      <c r="EO85" s="2" t="n">
        <f aca="false">$B$73+EO80*$C$73</f>
        <v>0.596775906935217</v>
      </c>
      <c r="EP85" s="2" t="n">
        <f aca="false">$B$73+EP80*$C$73</f>
        <v>0.607131302391636</v>
      </c>
      <c r="EQ85" s="2" t="n">
        <f aca="false">$B$73+EQ80*$C$73</f>
        <v>0.619800092972545</v>
      </c>
      <c r="ER85" s="2" t="n">
        <f aca="false">$B$73+ER80*$C$73</f>
        <v>0.617862950411254</v>
      </c>
      <c r="ES85" s="2" t="n">
        <f aca="false">$B$73+ES80*$C$73</f>
        <v>0.640843291364984</v>
      </c>
      <c r="ET85" s="2" t="n">
        <f aca="false">$B$73+ET80*$C$73</f>
        <v>0.631280101914777</v>
      </c>
      <c r="EU85" s="2" t="n">
        <f aca="false">$B$73+EU80*$C$73</f>
        <v>0.666083577049795</v>
      </c>
      <c r="EV85" s="2" t="n">
        <f aca="false">$B$73+EV80*$C$73</f>
        <v>0.634825915478298</v>
      </c>
      <c r="EW85" s="2" t="n">
        <f aca="false">$B$73+EW80*$C$73</f>
        <v>0.548261714101027</v>
      </c>
      <c r="EX85" s="2" t="n">
        <f aca="false">$B$73+EX80*$C$73</f>
        <v>0.514494233448912</v>
      </c>
      <c r="EY85" s="2" t="n">
        <f aca="false">$B$73+EY80*$C$73</f>
        <v>0.733407351792662</v>
      </c>
      <c r="EZ85" s="2" t="n">
        <f aca="false">$B$73+EZ80*$C$73</f>
        <v>0.574777813348623</v>
      </c>
      <c r="FA85" s="2" t="n">
        <f aca="false">$B$73+FA80*$C$73</f>
        <v>0.672134690819195</v>
      </c>
      <c r="FB85" s="2" t="n">
        <f aca="false">$B$73+FB80*$C$73</f>
        <v>0.623682804990082</v>
      </c>
      <c r="FC85" s="2" t="n">
        <f aca="false">$B$73+FC80*$C$73</f>
        <v>0.611931549908655</v>
      </c>
      <c r="FD85" s="2" t="n">
        <f aca="false">$B$73+FD80*$C$73</f>
        <v>0.678890161087592</v>
      </c>
      <c r="FE85" s="2" t="n">
        <f aca="false">$B$73+FE80*$C$73</f>
        <v>0.527335331755305</v>
      </c>
      <c r="FF85" s="2" t="n">
        <f aca="false">$B$73+FF80*$C$73</f>
        <v>0.534895325408467</v>
      </c>
      <c r="FG85" s="2" t="n">
        <f aca="false">$B$73+FG80*$C$73</f>
        <v>0.604980853624609</v>
      </c>
      <c r="FH85" s="2" t="n">
        <f aca="false">$B$73+FH80*$C$73</f>
        <v>0.610673604725468</v>
      </c>
      <c r="FI85" s="2" t="n">
        <f aca="false">$B$73+FI80*$C$73</f>
        <v>0.512121882887396</v>
      </c>
      <c r="FJ85" s="2" t="n">
        <f aca="false">$B$73+FJ80*$C$73</f>
        <v>0.594127835767507</v>
      </c>
      <c r="FK85" s="2" t="n">
        <f aca="false">$B$73+FK80*$C$73</f>
        <v>0.68107986200491</v>
      </c>
      <c r="FL85" s="2" t="n">
        <f aca="false">$B$73+FL80*$C$73</f>
        <v>0.52714512021715</v>
      </c>
      <c r="FM85" s="2" t="n">
        <f aca="false">$B$73+FM80*$C$73</f>
        <v>0.696585201525664</v>
      </c>
      <c r="FN85" s="2" t="n">
        <f aca="false">$B$73+FN80*$C$73</f>
        <v>0.645510200038592</v>
      </c>
      <c r="FO85" s="2" t="n">
        <f aca="false">$B$73+FO80*$C$73</f>
        <v>0.574550800094795</v>
      </c>
      <c r="FP85" s="2" t="n">
        <f aca="false">$B$73+FP80*$C$73</f>
        <v>0.571041092992017</v>
      </c>
      <c r="FQ85" s="2" t="n">
        <f aca="false">$B$73+FQ80*$C$73</f>
        <v>0.542557032538587</v>
      </c>
      <c r="FR85" s="2" t="n">
        <f aca="false">$B$73+FR80*$C$73</f>
        <v>0.595596953386818</v>
      </c>
      <c r="FS85" s="2" t="n">
        <f aca="false">$B$73+FS80*$C$73</f>
        <v>0.51273131147766</v>
      </c>
      <c r="FT85" s="2" t="n">
        <f aca="false">$B$73+FT80*$C$73</f>
        <v>0.592876762785256</v>
      </c>
      <c r="FU85" s="2" t="n">
        <f aca="false">$B$73+FU80*$C$73</f>
        <v>0.629723391524195</v>
      </c>
      <c r="FV85" s="2" t="n">
        <f aca="false">$B$73+FV80*$C$73</f>
        <v>0.626748639934225</v>
      </c>
      <c r="FW85" s="2" t="n">
        <f aca="false">$B$73+FW80*$C$73</f>
        <v>0.652657804230144</v>
      </c>
      <c r="FX85" s="2" t="n">
        <f aca="false">$B$73+FX80*$C$73</f>
        <v>0.589483165831283</v>
      </c>
      <c r="FY85" s="2" t="n">
        <f aca="false">$B$73+FY80*$C$73</f>
        <v>0.621057321349611</v>
      </c>
      <c r="FZ85" s="2" t="n">
        <f aca="false">$B$73+FZ80*$C$73</f>
        <v>0.511027733877802</v>
      </c>
      <c r="GA85" s="2" t="n">
        <f aca="false">$B$73+GA80*$C$73</f>
        <v>0.566048052449184</v>
      </c>
      <c r="GB85" s="2" t="n">
        <f aca="false">$B$73+GB80*$C$73</f>
        <v>0.589443715225271</v>
      </c>
      <c r="GC85" s="2" t="n">
        <f aca="false">$B$73+GC80*$C$73</f>
        <v>0.571013695231089</v>
      </c>
      <c r="GD85" s="2" t="n">
        <f aca="false">$B$73+GD80*$C$73</f>
        <v>0.551352087966978</v>
      </c>
      <c r="GE85" s="2" t="n">
        <f aca="false">$B$73+GE80*$C$73</f>
        <v>0.610471566777926</v>
      </c>
      <c r="GF85" s="2" t="n">
        <f aca="false">$B$73+GF80*$C$73</f>
        <v>0.586522225120628</v>
      </c>
      <c r="GG85" s="2" t="n">
        <f aca="false">$B$73+GG80*$C$73</f>
        <v>0.582785867617775</v>
      </c>
      <c r="GH85" s="2" t="n">
        <f aca="false">$B$73+GH80*$C$73</f>
        <v>0.614820874443192</v>
      </c>
      <c r="GI85" s="2" t="n">
        <f aca="false">$B$73+GI80*$C$73</f>
        <v>0.654694451053024</v>
      </c>
      <c r="GJ85" s="2" t="n">
        <f aca="false">$B$73+GJ80*$C$73</f>
        <v>0.560373685880226</v>
      </c>
      <c r="GK85" s="2" t="n">
        <f aca="false">$B$73+GK80*$C$73</f>
        <v>0.552171429580238</v>
      </c>
      <c r="GL85" s="2" t="n">
        <f aca="false">$B$73+GL80*$C$73</f>
        <v>0.59002667733402</v>
      </c>
      <c r="GM85" s="2" t="n">
        <f aca="false">$B$73+GM80*$C$73</f>
        <v>0.575892887161601</v>
      </c>
      <c r="GN85" s="2" t="n">
        <f aca="false">$B$73+GN80*$C$73</f>
        <v>0.619936255889046</v>
      </c>
      <c r="GO85" s="2" t="n">
        <f aca="false">$B$73+GO80*$C$73</f>
        <v>0.545597587300259</v>
      </c>
      <c r="GP85" s="2" t="n">
        <f aca="false">$B$73+GP80*$C$73</f>
        <v>0.634045218335079</v>
      </c>
      <c r="GQ85" s="2" t="n">
        <f aca="false">$B$73+GQ80*$C$73</f>
        <v>0.502563356211187</v>
      </c>
      <c r="GR85" s="2" t="n">
        <f aca="false">$B$73+GR80*$C$73</f>
        <v>0.67984893090103</v>
      </c>
      <c r="GS85" s="2" t="n">
        <f aca="false">$B$73+GS80*$C$73</f>
        <v>0.590552940265172</v>
      </c>
      <c r="GT85" s="2" t="n">
        <f aca="false">$B$73+GT80*$C$73</f>
        <v>0.626607529930953</v>
      </c>
      <c r="GU85" s="2" t="n">
        <f aca="false">$B$73+GU80*$C$73</f>
        <v>0.567276635187825</v>
      </c>
      <c r="GV85" s="2" t="n">
        <f aca="false">$B$73+GV80*$C$73</f>
        <v>0.605911417198575</v>
      </c>
      <c r="GW85" s="2" t="n">
        <f aca="false">$B$73+GW80*$C$73</f>
        <v>0.610492608037554</v>
      </c>
      <c r="GX85" s="2" t="n">
        <f aca="false">$B$73+GX80*$C$73</f>
        <v>0.56484808131535</v>
      </c>
      <c r="GY85" s="2" t="n">
        <f aca="false">$B$73+GY80*$C$73</f>
        <v>0.578426946869654</v>
      </c>
      <c r="GZ85" s="2" t="n">
        <f aca="false">$B$73+GZ80*$C$73</f>
        <v>0.660149891451422</v>
      </c>
      <c r="HA85" s="2" t="n">
        <f aca="false">$B$73+HA80*$C$73</f>
        <v>0.611962552162235</v>
      </c>
      <c r="HB85" s="2" t="n">
        <f aca="false">$B$73+HB80*$C$73</f>
        <v>0.583108883774541</v>
      </c>
      <c r="HC85" s="2" t="n">
        <f aca="false">$B$73+HC80*$C$73</f>
        <v>0.570687070502484</v>
      </c>
      <c r="HD85" s="2" t="n">
        <f aca="false">$B$73+HD80*$C$73</f>
        <v>0.682923278436238</v>
      </c>
      <c r="HE85" s="2" t="n">
        <f aca="false">$B$73+HE80*$C$73</f>
        <v>0.658801782713097</v>
      </c>
      <c r="HF85" s="2" t="n">
        <f aca="false">$B$73+HF80*$C$73</f>
        <v>0.527260525793601</v>
      </c>
      <c r="HG85" s="2" t="n">
        <f aca="false">$B$73+HG80*$C$73</f>
        <v>0.652251626581409</v>
      </c>
      <c r="HH85" s="2" t="n">
        <f aca="false">$B$73+HH80*$C$73</f>
        <v>0.641578277293083</v>
      </c>
      <c r="HI85" s="2" t="n">
        <f aca="false">$B$73+HI80*$C$73</f>
        <v>0.634072960637236</v>
      </c>
      <c r="HJ85" s="2" t="n">
        <f aca="false">$B$73+HJ80*$C$73</f>
        <v>0.573548162855266</v>
      </c>
      <c r="HK85" s="2" t="n">
        <f aca="false">$B$73+HK80*$C$73</f>
        <v>0.584710324611941</v>
      </c>
      <c r="HL85" s="2" t="n">
        <f aca="false">$B$73+HL80*$C$73</f>
        <v>0.682976939466463</v>
      </c>
      <c r="HM85" s="2" t="n">
        <f aca="false">$B$73+HM80*$C$73</f>
        <v>0.562375737542903</v>
      </c>
      <c r="HN85" s="2" t="n">
        <f aca="false">$B$73+HN80*$C$73</f>
        <v>0.572237938573145</v>
      </c>
      <c r="HO85" s="2" t="n">
        <f aca="false">$B$73+HO80*$C$73</f>
        <v>0.570591985939282</v>
      </c>
      <c r="HP85" s="2" t="n">
        <f aca="false">$B$73+HP80*$C$73</f>
        <v>0.505050028889253</v>
      </c>
      <c r="HQ85" s="2" t="n">
        <f aca="false">$B$73+HQ80*$C$73</f>
        <v>0.606754194726167</v>
      </c>
      <c r="HR85" s="2" t="n">
        <f aca="false">$B$73+HR80*$C$73</f>
        <v>0.583948400630802</v>
      </c>
      <c r="HS85" s="2" t="n">
        <f aca="false">$B$73+HS80*$C$73</f>
        <v>0.592711482377926</v>
      </c>
      <c r="HT85" s="2" t="n">
        <f aca="false">$B$73+HT80*$C$73</f>
        <v>0.738346939593433</v>
      </c>
      <c r="HU85" s="2" t="n">
        <f aca="false">$B$73+HU80*$C$73</f>
        <v>0.55384617434091</v>
      </c>
      <c r="HV85" s="2" t="n">
        <f aca="false">$B$73+HV80*$C$73</f>
        <v>0.591823735906764</v>
      </c>
      <c r="HW85" s="2" t="n">
        <f aca="false">$B$73+HW80*$C$73</f>
        <v>0.568711682444422</v>
      </c>
      <c r="HX85" s="2" t="n">
        <f aca="false">$B$73+HX80*$C$73</f>
        <v>0.66149425811572</v>
      </c>
      <c r="HY85" s="2" t="n">
        <f aca="false">$B$73+HY80*$C$73</f>
        <v>0.558556857423674</v>
      </c>
      <c r="HZ85" s="2" t="n">
        <f aca="false">$B$73+HZ80*$C$73</f>
        <v>0.570212586966438</v>
      </c>
      <c r="IA85" s="2" t="n">
        <f aca="false">$B$73+IA80*$C$73</f>
        <v>0.686649029071781</v>
      </c>
      <c r="IB85" s="2" t="n">
        <f aca="false">$B$73+IB80*$C$73</f>
        <v>0.529110688792575</v>
      </c>
      <c r="IC85" s="2" t="n">
        <f aca="false">$B$73+IC80*$C$73</f>
        <v>0.560384059654909</v>
      </c>
      <c r="ID85" s="2" t="n">
        <f aca="false">$B$73+ID80*$C$73</f>
        <v>0.527402634421234</v>
      </c>
      <c r="IE85" s="2" t="n">
        <f aca="false">$B$73+IE80*$C$73</f>
        <v>0.682780537727568</v>
      </c>
      <c r="IF85" s="2" t="n">
        <f aca="false">$B$73+IF80*$C$73</f>
        <v>0.533781140327689</v>
      </c>
      <c r="IG85" s="2" t="n">
        <f aca="false">$B$73+IG80*$C$73</f>
        <v>0.550127786306775</v>
      </c>
      <c r="IH85" s="2" t="n">
        <f aca="false">$B$73+IH80*$C$73</f>
        <v>0.60046504224943</v>
      </c>
      <c r="II85" s="2" t="n">
        <f aca="false">$B$73+II80*$C$73</f>
        <v>0.631373256033979</v>
      </c>
      <c r="IJ85" s="2" t="n">
        <f aca="false">$B$73+IJ80*$C$73</f>
        <v>0.57572981195149</v>
      </c>
      <c r="IK85" s="2" t="n">
        <f aca="false">$B$73+IK80*$C$73</f>
        <v>0.723880537313226</v>
      </c>
      <c r="IL85" s="2" t="n">
        <f aca="false">$B$73+IL80*$C$73</f>
        <v>0.672001612558992</v>
      </c>
      <c r="IM85" s="2" t="n">
        <f aca="false">$B$73+IM80*$C$73</f>
        <v>0.596809871286644</v>
      </c>
      <c r="IN85" s="2" t="n">
        <f aca="false">$B$73+IN80*$C$73</f>
        <v>0.552186837536631</v>
      </c>
      <c r="IO85" s="2" t="n">
        <f aca="false">$B$73+IO80*$C$73</f>
        <v>0.623558766134744</v>
      </c>
      <c r="IP85" s="2" t="n">
        <f aca="false">$B$73+IP80*$C$73</f>
        <v>0.638092383487735</v>
      </c>
      <c r="IQ85" s="2" t="n">
        <f aca="false">$B$73+IQ80*$C$73</f>
        <v>0.615989861134155</v>
      </c>
      <c r="IR85" s="2" t="n">
        <f aca="false">$B$73+IR80*$C$73</f>
        <v>0.538755565705571</v>
      </c>
      <c r="IS85" s="2" t="n">
        <f aca="false">$B$73+IS80*$C$73</f>
        <v>0.59700719073647</v>
      </c>
      <c r="IT85" s="2" t="n">
        <f aca="false">$B$73+IT80*$C$73</f>
        <v>0.650459044886164</v>
      </c>
      <c r="IU85" s="2" t="n">
        <f aca="false">$B$73+IU80*$C$73</f>
        <v>0.573426475018428</v>
      </c>
      <c r="IV85" s="2" t="n">
        <f aca="false">$B$73+IV80*$C$73</f>
        <v>0.634167399400795</v>
      </c>
      <c r="IW85" s="2" t="n">
        <f aca="false">$B$73+IW80*$C$73</f>
        <v>0.588294967514726</v>
      </c>
      <c r="IX85" s="2" t="n">
        <f aca="false">$B$73+IX80*$C$73</f>
        <v>0.575515024369204</v>
      </c>
      <c r="IY85" s="2" t="n">
        <f aca="false">$B$73+IY80*$C$73</f>
        <v>0.645713508220124</v>
      </c>
      <c r="IZ85" s="2" t="n">
        <f aca="false">$B$73+IZ80*$C$73</f>
        <v>0.623769289961512</v>
      </c>
      <c r="JA85" s="2" t="n">
        <f aca="false">$B$73+JA80*$C$73</f>
        <v>0.515588666739997</v>
      </c>
      <c r="JB85" s="2" t="n">
        <f aca="false">$B$73+JB80*$C$73</f>
        <v>0.585538659723011</v>
      </c>
      <c r="JC85" s="2" t="n">
        <f aca="false">$B$73+JC80*$C$73</f>
        <v>0.539460687921774</v>
      </c>
      <c r="JD85" s="2" t="n">
        <f aca="false">$B$73+JD80*$C$73</f>
        <v>0.558012310239937</v>
      </c>
      <c r="JE85" s="2" t="n">
        <f aca="false">$B$73+JE80*$C$73</f>
        <v>0.596968842203211</v>
      </c>
      <c r="JF85" s="2" t="n">
        <f aca="false">$B$73+JF80*$C$73</f>
        <v>0.63373203869232</v>
      </c>
      <c r="JG85" s="2" t="n">
        <f aca="false">$B$73+JG80*$C$73</f>
        <v>0.640983859225255</v>
      </c>
      <c r="JH85" s="2" t="n">
        <f aca="false">$B$73+JH80*$C$73</f>
        <v>0.547846893879833</v>
      </c>
      <c r="JI85" s="2" t="n">
        <f aca="false">$B$73+JI80*$C$73</f>
        <v>0.594078161244077</v>
      </c>
      <c r="JJ85" s="2" t="n">
        <f aca="false">$B$73+JJ80*$C$73</f>
        <v>0.5759433173536</v>
      </c>
      <c r="JK85" s="2" t="n">
        <f aca="false">$B$73+JK80*$C$73</f>
        <v>0.544996404136645</v>
      </c>
      <c r="JL85" s="2" t="n">
        <f aca="false">$B$73+JL80*$C$73</f>
        <v>0.595203211836196</v>
      </c>
      <c r="JM85" s="2" t="n">
        <f aca="false">$B$73+JM80*$C$73</f>
        <v>0.607258805795076</v>
      </c>
      <c r="JN85" s="2" t="n">
        <f aca="false">$B$73+JN80*$C$73</f>
        <v>0.593875881216918</v>
      </c>
      <c r="JO85" s="2" t="n">
        <f aca="false">$B$73+JO80*$C$73</f>
        <v>0.58095083201967</v>
      </c>
      <c r="JP85" s="2" t="n">
        <f aca="false">$B$73+JP80*$C$73</f>
        <v>0.594575323160854</v>
      </c>
      <c r="JQ85" s="2" t="n">
        <f aca="false">$B$73+JQ80*$C$73</f>
        <v>0.535052341170415</v>
      </c>
      <c r="JR85" s="2" t="n">
        <f aca="false">$B$73+JR80*$C$73</f>
        <v>0.504187008409399</v>
      </c>
      <c r="JS85" s="2" t="n">
        <f aca="false">$B$73+JS80*$C$73</f>
        <v>0.522999946887132</v>
      </c>
      <c r="JT85" s="2" t="n">
        <f aca="false">$B$73+JT80*$C$73</f>
        <v>0.570795021816812</v>
      </c>
      <c r="JU85" s="2" t="n">
        <f aca="false">$B$73+JU80*$C$73</f>
        <v>0.563064722789472</v>
      </c>
      <c r="JV85" s="2" t="n">
        <f aca="false">$B$73+JV80*$C$73</f>
        <v>0.62506036663512</v>
      </c>
      <c r="JW85" s="2" t="n">
        <f aca="false">$B$73+JW80*$C$73</f>
        <v>0.701805682847972</v>
      </c>
      <c r="JX85" s="2" t="n">
        <f aca="false">$B$73+JX80*$C$73</f>
        <v>0.537131140671154</v>
      </c>
      <c r="JY85" s="2" t="n">
        <f aca="false">$B$73+JY80*$C$73</f>
        <v>0.606283142342511</v>
      </c>
      <c r="JZ85" s="2" t="n">
        <f aca="false">$B$73+JZ80*$C$73</f>
        <v>0.591007678180765</v>
      </c>
      <c r="KA85" s="2" t="n">
        <f aca="false">$B$73+KA80*$C$73</f>
        <v>0.598767118134435</v>
      </c>
      <c r="KB85" s="2" t="n">
        <f aca="false">$B$73+KB80*$C$73</f>
        <v>0.633193328222187</v>
      </c>
      <c r="KC85" s="2" t="n">
        <f aca="false">$B$73+KC80*$C$73</f>
        <v>0.589479096489842</v>
      </c>
      <c r="KD85" s="2" t="n">
        <f aca="false">$B$73+KD80*$C$73</f>
        <v>0.576014022431586</v>
      </c>
      <c r="KE85" s="2" t="n">
        <f aca="false">$B$73+KE80*$C$73</f>
        <v>0.580883867157851</v>
      </c>
      <c r="KF85" s="2" t="n">
        <f aca="false">$B$73+KF80*$C$73</f>
        <v>0.607847216048624</v>
      </c>
      <c r="KG85" s="2" t="n">
        <f aca="false">$B$73+KG80*$C$73</f>
        <v>0.721646687211535</v>
      </c>
      <c r="KH85" s="2" t="n">
        <f aca="false">$B$73+KH80*$C$73</f>
        <v>0.592459463231576</v>
      </c>
      <c r="KI85" s="2" t="n">
        <f aca="false">$B$73+KI80*$C$73</f>
        <v>0.555549474520379</v>
      </c>
      <c r="KJ85" s="2" t="n">
        <f aca="false">$B$73+KJ80*$C$73</f>
        <v>0.633173037700629</v>
      </c>
      <c r="KK85" s="2" t="n">
        <f aca="false">$B$73+KK80*$C$73</f>
        <v>0.577306799435436</v>
      </c>
      <c r="KL85" s="2" t="n">
        <f aca="false">$B$73+KL80*$C$73</f>
        <v>0.64029401210447</v>
      </c>
      <c r="KM85" s="2" t="n">
        <f aca="false">$B$73+KM80*$C$73</f>
        <v>0.610488423485665</v>
      </c>
      <c r="KN85" s="2" t="n">
        <f aca="false">$B$73+KN80*$C$73</f>
        <v>0.577720566881499</v>
      </c>
      <c r="KO85" s="2" t="n">
        <f aca="false">$B$73+KO80*$C$73</f>
        <v>0.64082785411815</v>
      </c>
      <c r="KP85" s="2" t="n">
        <f aca="false">$B$73+KP80*$C$73</f>
        <v>0.553965927339439</v>
      </c>
      <c r="KQ85" s="2" t="n">
        <f aca="false">$B$73+KQ80*$C$73</f>
        <v>0.574730884388527</v>
      </c>
      <c r="KR85" s="2" t="n">
        <f aca="false">$B$73+KR80*$C$73</f>
        <v>0.568690722059267</v>
      </c>
      <c r="KS85" s="2" t="n">
        <f aca="false">$B$73+KS80*$C$73</f>
        <v>0.544747313697009</v>
      </c>
      <c r="KT85" s="2" t="n">
        <f aca="false">$B$73+KT80*$C$73</f>
        <v>0.573637495617973</v>
      </c>
      <c r="KU85" s="2" t="n">
        <f aca="false">$B$73+KU80*$C$73</f>
        <v>0.577205092814393</v>
      </c>
      <c r="KV85" s="2" t="n">
        <f aca="false">$B$73+KV80*$C$73</f>
        <v>0.584732478007283</v>
      </c>
      <c r="KW85" s="2" t="n">
        <f aca="false">$B$73+KW80*$C$73</f>
        <v>0.556581205025889</v>
      </c>
      <c r="KX85" s="2" t="n">
        <f aca="false">$B$73+KX80*$C$73</f>
        <v>0.625038642659706</v>
      </c>
      <c r="KY85" s="2" t="n">
        <f aca="false">$B$73+KY80*$C$73</f>
        <v>0.627222662672726</v>
      </c>
      <c r="KZ85" s="2" t="n">
        <f aca="false">$B$73+KZ80*$C$73</f>
        <v>0.548625323905536</v>
      </c>
      <c r="LA85" s="2" t="n">
        <f aca="false">$B$73+LA80*$C$73</f>
        <v>0.636746696485104</v>
      </c>
      <c r="LB85" s="2" t="n">
        <f aca="false">$B$73+LB80*$C$73</f>
        <v>0.707731917226142</v>
      </c>
      <c r="LC85" s="2" t="n">
        <f aca="false">$B$73+LC80*$C$73</f>
        <v>0.62755522254262</v>
      </c>
      <c r="LD85" s="2" t="n">
        <f aca="false">$B$73+LD80*$C$73</f>
        <v>0.508477450984629</v>
      </c>
      <c r="LE85" s="2" t="n">
        <f aca="false">$B$73+LE80*$C$73</f>
        <v>0.565507559596655</v>
      </c>
      <c r="LF85" s="2" t="n">
        <f aca="false">$B$73+LF80*$C$73</f>
        <v>0.54559636365864</v>
      </c>
      <c r="LG85" s="2" t="n">
        <f aca="false">$B$73+LG80*$C$73</f>
        <v>0.627400663527012</v>
      </c>
      <c r="LH85" s="2" t="n">
        <f aca="false">$B$73+LH80*$C$73</f>
        <v>0.530620302597478</v>
      </c>
      <c r="LI85" s="2" t="n">
        <f aca="false">$B$73+LI80*$C$73</f>
        <v>0.632431348638756</v>
      </c>
      <c r="LJ85" s="2" t="n">
        <f aca="false">$B$73+LJ80*$C$73</f>
        <v>0.517085304146233</v>
      </c>
      <c r="LK85" s="2" t="n">
        <f aca="false">$B$73+LK80*$C$73</f>
        <v>0.63623992646613</v>
      </c>
      <c r="LL85" s="2" t="n">
        <f aca="false">$B$73+LL80*$C$73</f>
        <v>0.615434744492897</v>
      </c>
      <c r="LM85" s="2" t="n">
        <f aca="false">$B$73+LM80*$C$73</f>
        <v>0.597850393615655</v>
      </c>
      <c r="LN85" s="2" t="n">
        <f aca="false">$B$73+LN80*$C$73</f>
        <v>0.648741620896664</v>
      </c>
      <c r="LO85" s="2" t="n">
        <f aca="false">$B$73+LO80*$C$73</f>
        <v>0.579141017151769</v>
      </c>
      <c r="LP85" s="2" t="n">
        <f aca="false">$B$73+LP80*$C$73</f>
        <v>0.630805225540312</v>
      </c>
      <c r="LQ85" s="2" t="n">
        <f aca="false">$B$73+LQ80*$C$73</f>
        <v>0.585242858947215</v>
      </c>
      <c r="LR85" s="2" t="n">
        <f aca="false">$B$73+LR80*$C$73</f>
        <v>0.536203845613285</v>
      </c>
      <c r="LS85" s="2" t="n">
        <f aca="false">$B$73+LS80*$C$73</f>
        <v>0.594459217972316</v>
      </c>
      <c r="LT85" s="2" t="n">
        <f aca="false">$B$73+LT80*$C$73</f>
        <v>0.643521928283787</v>
      </c>
      <c r="LU85" s="2" t="n">
        <f aca="false">$B$73+LU80*$C$73</f>
        <v>0.614191090895649</v>
      </c>
      <c r="LV85" s="2" t="n">
        <f aca="false">$B$73+LV80*$C$73</f>
        <v>0.541105973743279</v>
      </c>
      <c r="LW85" s="2" t="n">
        <f aca="false">$B$73+LW80*$C$73</f>
        <v>0.628113014763039</v>
      </c>
      <c r="LX85" s="2" t="n">
        <f aca="false">$B$73+LX80*$C$73</f>
        <v>0.5961248278279</v>
      </c>
      <c r="LY85" s="2" t="n">
        <f aca="false">$B$73+LY80*$C$73</f>
        <v>0.585013682416224</v>
      </c>
      <c r="LZ85" s="2" t="n">
        <f aca="false">$B$73+LZ80*$C$73</f>
        <v>0.580353883279849</v>
      </c>
      <c r="MA85" s="2" t="n">
        <f aca="false">$B$73+MA80*$C$73</f>
        <v>0.600122827303412</v>
      </c>
      <c r="MB85" s="2" t="n">
        <f aca="false">$B$73+MB80*$C$73</f>
        <v>0.667240218906505</v>
      </c>
      <c r="MC85" s="2" t="n">
        <f aca="false">$B$73+MC80*$C$73</f>
        <v>0.619609037529839</v>
      </c>
      <c r="MD85" s="2" t="n">
        <f aca="false">$B$73+MD80*$C$73</f>
        <v>0.776614682304714</v>
      </c>
      <c r="ME85" s="2" t="n">
        <f aca="false">$B$73+ME80*$C$73</f>
        <v>0.63518425886686</v>
      </c>
      <c r="MF85" s="2" t="n">
        <f aca="false">$B$73+MF80*$C$73</f>
        <v>0.571538332268854</v>
      </c>
      <c r="MG85" s="2" t="n">
        <f aca="false">$B$73+MG80*$C$73</f>
        <v>0.535707010690417</v>
      </c>
      <c r="MH85" s="2" t="n">
        <f aca="false">$B$73+MH80*$C$73</f>
        <v>0.588496436379973</v>
      </c>
      <c r="MI85" s="2" t="n">
        <f aca="false">$B$73+MI80*$C$73</f>
        <v>0.588258822728746</v>
      </c>
      <c r="MJ85" s="2" t="n">
        <f aca="false">$B$73+MJ80*$C$73</f>
        <v>0.624874238089157</v>
      </c>
      <c r="MK85" s="2" t="n">
        <f aca="false">$B$73+MK80*$C$73</f>
        <v>0.643505253014656</v>
      </c>
      <c r="ML85" s="2" t="n">
        <f aca="false">$B$73+ML80*$C$73</f>
        <v>0.639268230124627</v>
      </c>
      <c r="MM85" s="2" t="n">
        <f aca="false">$B$73+MM80*$C$73</f>
        <v>0.555562010296212</v>
      </c>
      <c r="MN85" s="2" t="n">
        <f aca="false">$B$73+MN80*$C$73</f>
        <v>0.639517273836936</v>
      </c>
      <c r="MO85" s="2" t="n">
        <f aca="false">$B$73+MO80*$C$73</f>
        <v>0.650727470816162</v>
      </c>
      <c r="MP85" s="2" t="n">
        <f aca="false">$B$73+MP80*$C$73</f>
        <v>0.6648137392473</v>
      </c>
      <c r="MQ85" s="2" t="n">
        <f aca="false">$B$73+MQ80*$C$73</f>
        <v>0.503601059213464</v>
      </c>
      <c r="MR85" s="2" t="n">
        <f aca="false">$B$73+MR80*$C$73</f>
        <v>0.611102350867174</v>
      </c>
      <c r="MS85" s="2" t="n">
        <f aca="false">$B$73+MS80*$C$73</f>
        <v>0.63537665572494</v>
      </c>
      <c r="MT85" s="2" t="n">
        <f aca="false">$B$73+MT80*$C$73</f>
        <v>0.59720172501824</v>
      </c>
      <c r="MU85" s="2" t="n">
        <f aca="false">$B$73+MU80*$C$73</f>
        <v>0.586002206008111</v>
      </c>
      <c r="MV85" s="2" t="n">
        <f aca="false">$B$73+MV80*$C$73</f>
        <v>0.675451771979676</v>
      </c>
      <c r="MW85" s="2" t="n">
        <f aca="false">$B$73+MW80*$C$73</f>
        <v>0.588356875391603</v>
      </c>
      <c r="MX85" s="2" t="n">
        <f aca="false">$B$73+MX80*$C$73</f>
        <v>0.542797664078901</v>
      </c>
      <c r="MY85" s="2" t="n">
        <f aca="false">$B$73+MY80*$C$73</f>
        <v>0.617117953790575</v>
      </c>
      <c r="MZ85" s="2" t="n">
        <f aca="false">$B$73+MZ80*$C$73</f>
        <v>0.606150869735009</v>
      </c>
      <c r="NA85" s="2" t="n">
        <f aca="false">$B$73+NA80*$C$73</f>
        <v>0.67670619103715</v>
      </c>
      <c r="NB85" s="2" t="n">
        <f aca="false">$B$73+NB80*$C$73</f>
        <v>0.670989021697927</v>
      </c>
      <c r="NC85" s="2" t="n">
        <f aca="false">$B$73+NC80*$C$73</f>
        <v>0.631132860854957</v>
      </c>
      <c r="ND85" s="2" t="n">
        <f aca="false">$B$73+ND80*$C$73</f>
        <v>0.630663809294856</v>
      </c>
      <c r="NE85" s="2" t="n">
        <f aca="false">$B$73+NE80*$C$73</f>
        <v>0.706052163519737</v>
      </c>
      <c r="NF85" s="2" t="n">
        <f aca="false">$B$73+NF80*$C$73</f>
        <v>0.606950754773641</v>
      </c>
      <c r="NG85" s="2" t="n">
        <f aca="false">$B$73+NG80*$C$73</f>
        <v>0.572324861319452</v>
      </c>
      <c r="NH85" s="2" t="n">
        <f aca="false">$B$73+NH80*$C$73</f>
        <v>0.587628840870315</v>
      </c>
      <c r="NI85" s="2" t="n">
        <f aca="false">$B$73+NI80*$C$73</f>
        <v>0.517231610771606</v>
      </c>
      <c r="NJ85" s="2" t="n">
        <f aca="false">$B$73+NJ80*$C$73</f>
        <v>0.589066989799137</v>
      </c>
      <c r="NK85" s="2" t="n">
        <f aca="false">$B$73+NK80*$C$73</f>
        <v>0.632598892793704</v>
      </c>
      <c r="NL85" s="2" t="n">
        <f aca="false">$B$73+NL80*$C$73</f>
        <v>0.643152344238972</v>
      </c>
      <c r="NM85" s="2" t="n">
        <f aca="false">$B$73+NM80*$C$73</f>
        <v>0.663907684222536</v>
      </c>
      <c r="NN85" s="2" t="n">
        <f aca="false">$B$73+NN80*$C$73</f>
        <v>0.664013123887643</v>
      </c>
      <c r="NO85" s="2" t="n">
        <f aca="false">$B$73+NO80*$C$73</f>
        <v>0.537875158227557</v>
      </c>
      <c r="NP85" s="2" t="n">
        <f aca="false">$B$73+NP80*$C$73</f>
        <v>0.638320613524079</v>
      </c>
      <c r="NQ85" s="2" t="n">
        <f aca="false">$B$73+NQ80*$C$73</f>
        <v>0.579419136477562</v>
      </c>
      <c r="NR85" s="2" t="n">
        <f aca="false">$B$73+NR80*$C$73</f>
        <v>0.629460878411753</v>
      </c>
      <c r="NS85" s="2" t="n">
        <f aca="false">$B$73+NS80*$C$73</f>
        <v>0.551618258890439</v>
      </c>
      <c r="NT85" s="2" t="n">
        <f aca="false">$B$73+NT80*$C$73</f>
        <v>0.469954629045408</v>
      </c>
      <c r="NU85" s="2" t="n">
        <f aca="false">$B$73+NU80*$C$73</f>
        <v>0.526762821958131</v>
      </c>
      <c r="NV85" s="2" t="n">
        <f aca="false">$B$73+NV80*$C$73</f>
        <v>0.587530716763404</v>
      </c>
      <c r="NW85" s="2" t="n">
        <f aca="false">$B$73+NW80*$C$73</f>
        <v>0.568470524399344</v>
      </c>
      <c r="NX85" s="2" t="n">
        <f aca="false">$B$73+NX80*$C$73</f>
        <v>0.58786468464098</v>
      </c>
      <c r="NY85" s="2" t="n">
        <f aca="false">$B$73+NY80*$C$73</f>
        <v>0.603383984760645</v>
      </c>
      <c r="NZ85" s="2" t="n">
        <f aca="false">$B$73+NZ80*$C$73</f>
        <v>0.628317410053587</v>
      </c>
      <c r="OA85" s="2" t="n">
        <f aca="false">$B$73+OA80*$C$73</f>
        <v>0.63153281298774</v>
      </c>
      <c r="OB85" s="2" t="n">
        <f aca="false">$B$73+OB80*$C$73</f>
        <v>0.606904303598856</v>
      </c>
      <c r="OC85" s="2" t="n">
        <f aca="false">$B$73+OC80*$C$73</f>
        <v>0.610508127548726</v>
      </c>
      <c r="OD85" s="2" t="n">
        <f aca="false">$B$73+OD80*$C$73</f>
        <v>0.611305115263602</v>
      </c>
      <c r="OE85" s="2" t="n">
        <f aca="false">$B$73+OE80*$C$73</f>
        <v>0.586959796711927</v>
      </c>
      <c r="OF85" s="2" t="n">
        <f aca="false">$B$73+OF80*$C$73</f>
        <v>0.616822795476583</v>
      </c>
      <c r="OG85" s="2" t="n">
        <f aca="false">$B$73+OG80*$C$73</f>
        <v>0.65800239848876</v>
      </c>
      <c r="OH85" s="2" t="n">
        <f aca="false">$B$73+OH80*$C$73</f>
        <v>0.580335512759515</v>
      </c>
      <c r="OI85" s="2" t="n">
        <f aca="false">$B$73+OI80*$C$73</f>
        <v>0.594436150380618</v>
      </c>
      <c r="OJ85" s="2" t="n">
        <f aca="false">$B$73+OJ80*$C$73</f>
        <v>0.509356893884897</v>
      </c>
      <c r="OK85" s="2" t="n">
        <f aca="false">$B$73+OK80*$C$73</f>
        <v>0.608670218532917</v>
      </c>
      <c r="OL85" s="2" t="n">
        <f aca="false">$B$73+OL80*$C$73</f>
        <v>0.616556606286834</v>
      </c>
      <c r="OM85" s="2" t="n">
        <f aca="false">$B$73+OM80*$C$73</f>
        <v>0.569983227774558</v>
      </c>
      <c r="ON85" s="2" t="n">
        <f aca="false">$B$73+ON80*$C$73</f>
        <v>0.638152426792156</v>
      </c>
      <c r="OO85" s="2" t="n">
        <f aca="false">$B$73+OO80*$C$73</f>
        <v>0.687185303743002</v>
      </c>
      <c r="OP85" s="2" t="n">
        <f aca="false">$B$73+OP80*$C$73</f>
        <v>0.583551596792473</v>
      </c>
      <c r="OQ85" s="2" t="n">
        <f aca="false">$B$73+OQ80*$C$73</f>
        <v>0.625896196324945</v>
      </c>
      <c r="OR85" s="2" t="n">
        <f aca="false">$B$73+OR80*$C$73</f>
        <v>0.59129234597832</v>
      </c>
      <c r="OS85" s="2" t="n">
        <f aca="false">$B$73+OS80*$C$73</f>
        <v>0.523129395446312</v>
      </c>
      <c r="OT85" s="2" t="n">
        <f aca="false">$B$73+OT80*$C$73</f>
        <v>0.674204045418005</v>
      </c>
      <c r="OU85" s="2" t="n">
        <f aca="false">$B$73+OU80*$C$73</f>
        <v>0.599854905735167</v>
      </c>
      <c r="OV85" s="2" t="n">
        <f aca="false">$B$73+OV80*$C$73</f>
        <v>0.575193479437105</v>
      </c>
      <c r="OW85" s="2" t="n">
        <f aca="false">$B$73+OW80*$C$73</f>
        <v>0.593617051380108</v>
      </c>
      <c r="OX85" s="2" t="n">
        <f aca="false">$B$73+OX80*$C$73</f>
        <v>0.558869930601539</v>
      </c>
      <c r="OY85" s="2" t="n">
        <f aca="false">$B$73+OY80*$C$73</f>
        <v>0.623354734474527</v>
      </c>
      <c r="OZ85" s="2" t="n">
        <f aca="false">$B$73+OZ80*$C$73</f>
        <v>0.676420477618732</v>
      </c>
      <c r="PA85" s="2" t="n">
        <f aca="false">$B$73+PA80*$C$73</f>
        <v>0.503116222931772</v>
      </c>
      <c r="PB85" s="2" t="n">
        <f aca="false">$B$73+PB80*$C$73</f>
        <v>0.624371669638679</v>
      </c>
      <c r="PC85" s="2" t="n">
        <f aca="false">$B$73+PC80*$C$73</f>
        <v>0.641825150521096</v>
      </c>
      <c r="PD85" s="2" t="n">
        <f aca="false">$B$73+PD80*$C$73</f>
        <v>0.5624906881865</v>
      </c>
      <c r="PE85" s="2" t="n">
        <f aca="false">$B$73+PE80*$C$73</f>
        <v>0.625548365446404</v>
      </c>
      <c r="PF85" s="2" t="n">
        <f aca="false">$B$73+PF80*$C$73</f>
        <v>0.607996370734437</v>
      </c>
      <c r="PG85" s="2" t="n">
        <f aca="false">$B$73+PG80*$C$73</f>
        <v>0.633621658313841</v>
      </c>
      <c r="PH85" s="2" t="n">
        <f aca="false">$B$73+PH80*$C$73</f>
        <v>0.600714245415025</v>
      </c>
      <c r="PI85" s="2" t="n">
        <f aca="false">$B$73+PI80*$C$73</f>
        <v>0.550748876109517</v>
      </c>
      <c r="PJ85" s="2" t="n">
        <f aca="false">$B$73+PJ80*$C$73</f>
        <v>0.555527416828027</v>
      </c>
      <c r="PK85" s="2" t="n">
        <f aca="false">$B$73+PK80*$C$73</f>
        <v>0.638405992726787</v>
      </c>
      <c r="PL85" s="2" t="n">
        <f aca="false">$B$73+PL80*$C$73</f>
        <v>0.631064015912653</v>
      </c>
      <c r="PM85" s="2" t="n">
        <f aca="false">$B$73+PM80*$C$73</f>
        <v>0.575769365325827</v>
      </c>
      <c r="PN85" s="2" t="n">
        <f aca="false">$B$73+PN80*$C$73</f>
        <v>0.684420993651833</v>
      </c>
      <c r="PO85" s="2" t="n">
        <f aca="false">$B$73+PO80*$C$73</f>
        <v>0.622336865643727</v>
      </c>
      <c r="PP85" s="2" t="n">
        <f aca="false">$B$73+PP80*$C$73</f>
        <v>0.5846225475504</v>
      </c>
      <c r="PQ85" s="2" t="n">
        <f aca="false">$B$73+PQ80*$C$73</f>
        <v>0.634136182564171</v>
      </c>
      <c r="PR85" s="2" t="n">
        <f aca="false">$B$73+PR80*$C$73</f>
        <v>0.649476724029166</v>
      </c>
      <c r="PS85" s="2" t="n">
        <f aca="false">$B$73+PS80*$C$73</f>
        <v>0.701739288268727</v>
      </c>
      <c r="PT85" s="2" t="n">
        <f aca="false">$B$73+PT80*$C$73</f>
        <v>0.583035469680945</v>
      </c>
      <c r="PU85" s="2" t="n">
        <f aca="false">$B$73+PU80*$C$73</f>
        <v>0.619654746882164</v>
      </c>
      <c r="PV85" s="2" t="n">
        <f aca="false">$B$73+PV80*$C$73</f>
        <v>0.619054575686357</v>
      </c>
      <c r="PW85" s="2" t="n">
        <f aca="false">$B$73+PW80*$C$73</f>
        <v>0.554957216411938</v>
      </c>
      <c r="PX85" s="2" t="n">
        <f aca="false">$B$73+PX80*$C$73</f>
        <v>0.67888168474866</v>
      </c>
      <c r="PY85" s="2" t="n">
        <f aca="false">$B$73+PY80*$C$73</f>
        <v>0.52572655890678</v>
      </c>
      <c r="PZ85" s="2" t="n">
        <f aca="false">$B$73+PZ80*$C$73</f>
        <v>0.535669600765408</v>
      </c>
      <c r="QA85" s="2" t="n">
        <f aca="false">$B$73+QA80*$C$73</f>
        <v>0.610522928465054</v>
      </c>
      <c r="QB85" s="2" t="n">
        <f aca="false">$B$73+QB80*$C$73</f>
        <v>0.559597406105075</v>
      </c>
      <c r="QC85" s="2" t="n">
        <f aca="false">$B$73+QC80*$C$73</f>
        <v>0.645445740869645</v>
      </c>
      <c r="QD85" s="2" t="n">
        <f aca="false">$B$73+QD80*$C$73</f>
        <v>0.588622839123997</v>
      </c>
      <c r="QE85" s="2" t="n">
        <f aca="false">$B$73+QE80*$C$73</f>
        <v>0.628681612791877</v>
      </c>
      <c r="QF85" s="2" t="n">
        <f aca="false">$B$73+QF80*$C$73</f>
        <v>0.665664680439064</v>
      </c>
      <c r="QG85" s="2" t="n">
        <f aca="false">$B$73+QG80*$C$73</f>
        <v>0.630560164471977</v>
      </c>
      <c r="QH85" s="2" t="n">
        <f aca="false">$B$73+QH80*$C$73</f>
        <v>0.574791814993793</v>
      </c>
      <c r="QI85" s="2" t="n">
        <f aca="false">$B$73+QI80*$C$73</f>
        <v>0.589346820619426</v>
      </c>
      <c r="QJ85" s="2" t="n">
        <f aca="false">$B$73+QJ80*$C$73</f>
        <v>0.542881476465393</v>
      </c>
      <c r="QK85" s="2" t="n">
        <f aca="false">$B$73+QK80*$C$73</f>
        <v>0.590528135234016</v>
      </c>
      <c r="QL85" s="2" t="n">
        <f aca="false">$B$73+QL80*$C$73</f>
        <v>0.519532547674315</v>
      </c>
      <c r="QM85" s="2" t="n">
        <f aca="false">$B$73+QM80*$C$73</f>
        <v>0.595630945998209</v>
      </c>
      <c r="QN85" s="2" t="n">
        <f aca="false">$B$73+QN80*$C$73</f>
        <v>0.614557331661528</v>
      </c>
      <c r="QO85" s="2" t="n">
        <f aca="false">$B$73+QO80*$C$73</f>
        <v>0.597627180594643</v>
      </c>
      <c r="QP85" s="2" t="n">
        <f aca="false">$B$73+QP80*$C$73</f>
        <v>0.52306993327298</v>
      </c>
      <c r="QQ85" s="2" t="n">
        <f aca="false">$B$73+QQ80*$C$73</f>
        <v>0.607363791187778</v>
      </c>
      <c r="QR85" s="2" t="n">
        <f aca="false">$B$73+QR80*$C$73</f>
        <v>0.565852619618287</v>
      </c>
      <c r="QS85" s="2" t="n">
        <f aca="false">$B$73+QS80*$C$73</f>
        <v>0.527245346711083</v>
      </c>
      <c r="QT85" s="2" t="n">
        <f aca="false">$B$73+QT80*$C$73</f>
        <v>0.552919393307701</v>
      </c>
      <c r="QU85" s="2" t="n">
        <f aca="false">$B$73+QU80*$C$73</f>
        <v>0.600838817443085</v>
      </c>
      <c r="QV85" s="2" t="n">
        <f aca="false">$B$73+QV80*$C$73</f>
        <v>0.613365126861715</v>
      </c>
      <c r="QW85" s="2" t="n">
        <f aca="false">$B$73+QW80*$C$73</f>
        <v>0.650647446300431</v>
      </c>
      <c r="QX85" s="2" t="n">
        <f aca="false">$B$73+QX80*$C$73</f>
        <v>0.751729233595723</v>
      </c>
      <c r="QY85" s="2" t="n">
        <f aca="false">$B$73+QY80*$C$73</f>
        <v>0.657009793020509</v>
      </c>
      <c r="QZ85" s="2" t="n">
        <f aca="false">$B$73+QZ80*$C$73</f>
        <v>0.58780468594058</v>
      </c>
      <c r="RA85" s="2" t="n">
        <f aca="false">$B$73+RA80*$C$73</f>
        <v>0.648623358330144</v>
      </c>
      <c r="RB85" s="2" t="n">
        <f aca="false">$B$73+RB80*$C$73</f>
        <v>0.595137744564593</v>
      </c>
      <c r="RC85" s="2" t="n">
        <f aca="false">$B$73+RC80*$C$73</f>
        <v>0.561224133737249</v>
      </c>
      <c r="RD85" s="2" t="n">
        <f aca="false">$B$73+RD80*$C$73</f>
        <v>0.544897988154284</v>
      </c>
      <c r="RE85" s="2" t="n">
        <f aca="false">$B$73+RE80*$C$73</f>
        <v>0.563047072187233</v>
      </c>
      <c r="RF85" s="2" t="n">
        <f aca="false">$B$73+RF80*$C$73</f>
        <v>0.574458964167955</v>
      </c>
      <c r="RG85" s="2" t="n">
        <f aca="false">$B$73+RG80*$C$73</f>
        <v>0.551899135296191</v>
      </c>
      <c r="RH85" s="2" t="n">
        <f aca="false">$B$73+RH80*$C$73</f>
        <v>0.579954261198751</v>
      </c>
      <c r="RI85" s="2" t="n">
        <f aca="false">$B$73+RI80*$C$73</f>
        <v>0.558544745345243</v>
      </c>
      <c r="RJ85" s="2" t="n">
        <f aca="false">$B$73+RJ80*$C$73</f>
        <v>0.545086523608884</v>
      </c>
      <c r="RK85" s="2" t="n">
        <f aca="false">$B$73+RK80*$C$73</f>
        <v>0.677626535088527</v>
      </c>
      <c r="RL85" s="2" t="n">
        <f aca="false">$B$73+RL80*$C$73</f>
        <v>0.682930913717299</v>
      </c>
      <c r="RM85" s="2" t="n">
        <f aca="false">$B$73+RM80*$C$73</f>
        <v>0.524839778592145</v>
      </c>
      <c r="RN85" s="2" t="n">
        <f aca="false">$B$73+RN80*$C$73</f>
        <v>0.573018636536065</v>
      </c>
      <c r="RO85" s="2" t="n">
        <f aca="false">$B$73+RO80*$C$73</f>
        <v>0.670587705551197</v>
      </c>
      <c r="RP85" s="2" t="n">
        <f aca="false">$B$73+RP80*$C$73</f>
        <v>0.580083967950451</v>
      </c>
      <c r="RQ85" s="2" t="n">
        <f aca="false">$B$73+RQ80*$C$73</f>
        <v>0.627042663491932</v>
      </c>
      <c r="RR85" s="2" t="n">
        <f aca="false">$B$73+RR80*$C$73</f>
        <v>0.657137645878246</v>
      </c>
      <c r="RS85" s="2" t="n">
        <f aca="false">$B$73+RS80*$C$73</f>
        <v>0.598129371319561</v>
      </c>
      <c r="RT85" s="2" t="n">
        <f aca="false">$B$73+RT80*$C$73</f>
        <v>0.572652073285262</v>
      </c>
      <c r="RU85" s="2" t="n">
        <f aca="false">$B$73+RU80*$C$73</f>
        <v>0.643953389648795</v>
      </c>
      <c r="RV85" s="2" t="n">
        <f aca="false">$B$73+RV80*$C$73</f>
        <v>0.677085776288575</v>
      </c>
      <c r="RW85" s="2" t="n">
        <f aca="false">$B$73+RW80*$C$73</f>
        <v>0.610418631090104</v>
      </c>
      <c r="RX85" s="2" t="n">
        <f aca="false">$B$73+RX80*$C$73</f>
        <v>0.644199924087966</v>
      </c>
      <c r="RY85" s="2" t="n">
        <f aca="false">$B$73+RY80*$C$73</f>
        <v>0.57510904019391</v>
      </c>
      <c r="RZ85" s="2" t="n">
        <f aca="false">$B$73+RZ80*$C$73</f>
        <v>0.585721243445015</v>
      </c>
      <c r="SA85" s="2" t="n">
        <f aca="false">$B$73+SA80*$C$73</f>
        <v>0.635531986784391</v>
      </c>
      <c r="SB85" s="2" t="n">
        <f aca="false">$B$73+SB80*$C$73</f>
        <v>0.592585379775572</v>
      </c>
      <c r="SC85" s="2" t="n">
        <f aca="false">$B$73+SC80*$C$73</f>
        <v>0.66706060146245</v>
      </c>
      <c r="SD85" s="2" t="n">
        <f aca="false">$B$73+SD80*$C$73</f>
        <v>0.552544939435713</v>
      </c>
      <c r="SE85" s="2" t="n">
        <f aca="false">$B$73+SE80*$C$73</f>
        <v>0.576051847339412</v>
      </c>
      <c r="SF85" s="2" t="n">
        <f aca="false">$B$73+SF80*$C$73</f>
        <v>0.601043699126019</v>
      </c>
      <c r="SG85" s="2" t="n">
        <f aca="false">$B$73+SG80*$C$73</f>
        <v>0.585672282555225</v>
      </c>
      <c r="SH85" s="2" t="n">
        <f aca="false">$B$73+SH80*$C$73</f>
        <v>0.649322490776175</v>
      </c>
      <c r="SI85" s="2" t="n">
        <f aca="false">$B$73+SI80*$C$73</f>
        <v>0.593350372937045</v>
      </c>
      <c r="SJ85" s="2" t="n">
        <f aca="false">$B$73+SJ80*$C$73</f>
        <v>0.652787576004356</v>
      </c>
      <c r="SK85" s="2" t="n">
        <f aca="false">$B$73+SK80*$C$73</f>
        <v>0.562795995455401</v>
      </c>
      <c r="SL85" s="2" t="n">
        <f aca="false">$B$73+SL80*$C$73</f>
        <v>0.585887997833678</v>
      </c>
      <c r="SM85" s="2" t="n">
        <f aca="false">$B$73+SM80*$C$73</f>
        <v>0.607799652791557</v>
      </c>
      <c r="SN85" s="2" t="n">
        <f aca="false">$B$73+SN80*$C$73</f>
        <v>0.515176409217052</v>
      </c>
      <c r="SO85" s="2" t="n">
        <f aca="false">$B$73+SO80*$C$73</f>
        <v>0.57106206885592</v>
      </c>
      <c r="SP85" s="2" t="n">
        <f aca="false">$B$73+SP80*$C$73</f>
        <v>0.565260389603717</v>
      </c>
      <c r="SQ85" s="2" t="n">
        <f aca="false">$B$73+SQ80*$C$73</f>
        <v>0.63052068779626</v>
      </c>
      <c r="SR85" s="2" t="n">
        <f aca="false">$B$73+SR80*$C$73</f>
        <v>0.554868030389915</v>
      </c>
      <c r="SS85" s="2" t="n">
        <f aca="false">$B$73+SS80*$C$73</f>
        <v>0.618504996749015</v>
      </c>
      <c r="ST85" s="2" t="n">
        <f aca="false">$B$73+ST80*$C$73</f>
        <v>0.605303643998059</v>
      </c>
      <c r="SU85" s="2" t="n">
        <f aca="false">$B$73+SU80*$C$73</f>
        <v>0.53700901765517</v>
      </c>
      <c r="SV85" s="2" t="n">
        <f aca="false">$B$73+SV80*$C$73</f>
        <v>0.556297242264661</v>
      </c>
      <c r="SW85" s="2" t="n">
        <f aca="false">$B$73+SW80*$C$73</f>
        <v>0.678085648876295</v>
      </c>
      <c r="SX85" s="2" t="n">
        <f aca="false">$B$73+SX80*$C$73</f>
        <v>0.648700679294924</v>
      </c>
      <c r="SY85" s="2" t="n">
        <f aca="false">$B$73+SY80*$C$73</f>
        <v>0.630018771644703</v>
      </c>
      <c r="SZ85" s="2" t="n">
        <f aca="false">$B$73+SZ80*$C$73</f>
        <v>0.665195811635195</v>
      </c>
      <c r="TA85" s="2" t="n">
        <f aca="false">$B$73+TA80*$C$73</f>
        <v>0.546223070987053</v>
      </c>
      <c r="TB85" s="2" t="n">
        <f aca="false">$B$73+TB80*$C$73</f>
        <v>0.604401249246815</v>
      </c>
      <c r="TC85" s="2" t="n">
        <f aca="false">$B$73+TC80*$C$73</f>
        <v>0.564828824623535</v>
      </c>
      <c r="TD85" s="2" t="n">
        <f aca="false">$B$73+TD80*$C$73</f>
        <v>0.675224429930349</v>
      </c>
      <c r="TE85" s="2" t="n">
        <f aca="false">$B$73+TE80*$C$73</f>
        <v>0.49252420057009</v>
      </c>
      <c r="TF85" s="2" t="n">
        <f aca="false">$B$73+TF80*$C$73</f>
        <v>0.606805366057727</v>
      </c>
      <c r="TG85" s="2" t="n">
        <f aca="false">$B$73+TG80*$C$73</f>
        <v>0.596040156673991</v>
      </c>
      <c r="TH85" s="2" t="n">
        <f aca="false">$B$73+TH80*$C$73</f>
        <v>0.58073724184003</v>
      </c>
      <c r="TI85" s="2" t="n">
        <f aca="false">$B$73+TI80*$C$73</f>
        <v>0.675257020286798</v>
      </c>
      <c r="TJ85" s="2" t="n">
        <f aca="false">$B$73+TJ80*$C$73</f>
        <v>0.528923369362515</v>
      </c>
      <c r="TK85" s="2" t="n">
        <f aca="false">$B$73+TK80*$C$73</f>
        <v>0.640679387143194</v>
      </c>
      <c r="TL85" s="2" t="n">
        <f aca="false">$B$73+TL80*$C$73</f>
        <v>0.482700735155331</v>
      </c>
      <c r="TM85" s="2" t="n">
        <f aca="false">$B$73+TM80*$C$73</f>
        <v>0.63154640177928</v>
      </c>
      <c r="TN85" s="2" t="n">
        <f aca="false">$B$73+TN80*$C$73</f>
        <v>0.610354149215013</v>
      </c>
      <c r="TO85" s="2" t="n">
        <f aca="false">$B$73+TO80*$C$73</f>
        <v>0.62385706330244</v>
      </c>
      <c r="TP85" s="2" t="n">
        <f aca="false">$B$73+TP80*$C$73</f>
        <v>0.577854331600056</v>
      </c>
      <c r="TQ85" s="2" t="n">
        <f aca="false">$B$73+TQ80*$C$73</f>
        <v>0.505584249790447</v>
      </c>
      <c r="TR85" s="2" t="n">
        <f aca="false">$B$73+TR80*$C$73</f>
        <v>0.68969696781902</v>
      </c>
      <c r="TS85" s="2" t="n">
        <f aca="false">$B$73+TS80*$C$73</f>
        <v>0.662523589659825</v>
      </c>
      <c r="TT85" s="2" t="n">
        <f aca="false">$B$73+TT80*$C$73</f>
        <v>0.587423511982142</v>
      </c>
      <c r="TU85" s="2" t="n">
        <f aca="false">$B$73+TU80*$C$73</f>
        <v>0.618315741559205</v>
      </c>
      <c r="TV85" s="2" t="n">
        <f aca="false">$B$73+TV80*$C$73</f>
        <v>0.612338558797637</v>
      </c>
      <c r="TW85" s="2" t="n">
        <f aca="false">$B$73+TW80*$C$73</f>
        <v>0.627596268769954</v>
      </c>
      <c r="TX85" s="2" t="n">
        <f aca="false">$B$73+TX80*$C$73</f>
        <v>0.634599135862943</v>
      </c>
      <c r="TY85" s="2" t="n">
        <f aca="false">$B$73+TY80*$C$73</f>
        <v>0.708262546860096</v>
      </c>
      <c r="TZ85" s="2" t="n">
        <f aca="false">$B$73+TZ80*$C$73</f>
        <v>0.572477883884417</v>
      </c>
      <c r="UA85" s="2" t="n">
        <f aca="false">$B$73+UA80*$C$73</f>
        <v>0.587351950983795</v>
      </c>
      <c r="UB85" s="2" t="n">
        <f aca="false">$B$73+UB80*$C$73</f>
        <v>0.639867314710107</v>
      </c>
      <c r="UC85" s="2" t="n">
        <f aca="false">$B$73+UC80*$C$73</f>
        <v>0.528362997904785</v>
      </c>
      <c r="UD85" s="2" t="n">
        <f aca="false">$B$73+UD80*$C$73</f>
        <v>0.539269682443244</v>
      </c>
      <c r="UE85" s="2" t="n">
        <f aca="false">$B$73+UE80*$C$73</f>
        <v>0.600581534728728</v>
      </c>
      <c r="UF85" s="2" t="n">
        <f aca="false">$B$73+UF80*$C$73</f>
        <v>0.591468075996546</v>
      </c>
      <c r="UG85" s="2" t="n">
        <f aca="false">$B$73+UG80*$C$73</f>
        <v>0.60041181153563</v>
      </c>
      <c r="UH85" s="2" t="n">
        <f aca="false">$B$73+UH80*$C$73</f>
        <v>0.591479696890904</v>
      </c>
      <c r="UI85" s="2" t="n">
        <f aca="false">$B$73+UI80*$C$73</f>
        <v>0.608626594051281</v>
      </c>
      <c r="UJ85" s="2" t="n">
        <f aca="false">$B$73+UJ80*$C$73</f>
        <v>0.586130936898682</v>
      </c>
      <c r="UK85" s="2" t="n">
        <f aca="false">$B$73+UK80*$C$73</f>
        <v>0.636704902435074</v>
      </c>
      <c r="UL85" s="2" t="n">
        <f aca="false">$B$73+UL80*$C$73</f>
        <v>0.5715584965717</v>
      </c>
      <c r="UM85" s="2" t="n">
        <f aca="false">$B$73+UM80*$C$73</f>
        <v>0.517697257803044</v>
      </c>
      <c r="UN85" s="2" t="n">
        <f aca="false">$B$73+UN80*$C$73</f>
        <v>0.585296932071202</v>
      </c>
      <c r="UO85" s="2" t="n">
        <f aca="false">$B$73+UO80*$C$73</f>
        <v>0.632933729257472</v>
      </c>
      <c r="UP85" s="2" t="n">
        <f aca="false">$B$73+UP80*$C$73</f>
        <v>0.563614525619917</v>
      </c>
      <c r="UQ85" s="2" t="n">
        <f aca="false">$B$73+UQ80*$C$73</f>
        <v>0.682332231673767</v>
      </c>
      <c r="UR85" s="2" t="n">
        <f aca="false">$B$73+UR80*$C$73</f>
        <v>0.592705470755159</v>
      </c>
      <c r="US85" s="2" t="n">
        <f aca="false">$B$73+US80*$C$73</f>
        <v>0.625992778354027</v>
      </c>
      <c r="UT85" s="2" t="n">
        <f aca="false">$B$73+UT80*$C$73</f>
        <v>0.601500465993048</v>
      </c>
      <c r="UU85" s="2" t="n">
        <f aca="false">$B$73+UU80*$C$73</f>
        <v>0.579667369613649</v>
      </c>
      <c r="UV85" s="2" t="n">
        <f aca="false">$B$73+UV80*$C$73</f>
        <v>0.656947988301677</v>
      </c>
      <c r="UW85" s="2" t="n">
        <f aca="false">$B$73+UW80*$C$73</f>
        <v>0.6416562935245</v>
      </c>
      <c r="UX85" s="2" t="n">
        <f aca="false">$B$73+UX80*$C$73</f>
        <v>0.580322202149456</v>
      </c>
      <c r="UY85" s="2" t="n">
        <f aca="false">$B$73+UY80*$C$73</f>
        <v>0.470867348020784</v>
      </c>
      <c r="UZ85" s="2" t="n">
        <f aca="false">$B$73+UZ80*$C$73</f>
        <v>0.527791541166759</v>
      </c>
      <c r="VA85" s="2" t="n">
        <f aca="false">$B$73+VA80*$C$73</f>
        <v>0.566143126310084</v>
      </c>
      <c r="VB85" s="2" t="n">
        <f aca="false">$B$73+VB80*$C$73</f>
        <v>0.521162012626787</v>
      </c>
      <c r="VC85" s="2" t="n">
        <f aca="false">$B$73+VC80*$C$73</f>
        <v>0.567173353740453</v>
      </c>
      <c r="VD85" s="2" t="n">
        <f aca="false">$B$73+VD80*$C$73</f>
        <v>0.618982726552679</v>
      </c>
      <c r="VE85" s="2" t="n">
        <f aca="false">$B$73+VE80*$C$73</f>
        <v>0.573731193972154</v>
      </c>
      <c r="VF85" s="2" t="n">
        <f aca="false">$B$73+VF80*$C$73</f>
        <v>0.653749886501594</v>
      </c>
      <c r="VG85" s="2" t="n">
        <f aca="false">$B$73+VG80*$C$73</f>
        <v>0.635284806026008</v>
      </c>
      <c r="VH85" s="2" t="n">
        <f aca="false">$B$73+VH80*$C$73</f>
        <v>0.691821801750148</v>
      </c>
      <c r="VI85" s="2" t="n">
        <f aca="false">$B$73+VI80*$C$73</f>
        <v>0.536735243740309</v>
      </c>
      <c r="VJ85" s="2" t="n">
        <f aca="false">$B$73+VJ80*$C$73</f>
        <v>0.677613225243639</v>
      </c>
      <c r="VK85" s="2" t="n">
        <f aca="false">$B$73+VK80*$C$73</f>
        <v>0.621119114154245</v>
      </c>
      <c r="VL85" s="2" t="n">
        <f aca="false">$B$73+VL80*$C$73</f>
        <v>0.613601002646495</v>
      </c>
      <c r="VM85" s="2" t="n">
        <f aca="false">$B$73+VM80*$C$73</f>
        <v>0.596011365021385</v>
      </c>
      <c r="VN85" s="2" t="n">
        <f aca="false">$B$73+VN80*$C$73</f>
        <v>0.620666630190183</v>
      </c>
      <c r="VO85" s="2" t="n">
        <f aca="false">$B$73+VO80*$C$73</f>
        <v>0.526802481840713</v>
      </c>
      <c r="VP85" s="2" t="n">
        <f aca="false">$B$73+VP80*$C$73</f>
        <v>0.580354725569007</v>
      </c>
      <c r="VQ85" s="2" t="n">
        <f aca="false">$B$73+VQ80*$C$73</f>
        <v>0.535102882035839</v>
      </c>
      <c r="VR85" s="2" t="n">
        <f aca="false">$B$73+VR80*$C$73</f>
        <v>0.572122177296496</v>
      </c>
      <c r="VS85" s="2" t="n">
        <f aca="false">$B$73+VS80*$C$73</f>
        <v>0.601181934037616</v>
      </c>
      <c r="VT85" s="2" t="n">
        <f aca="false">$B$73+VT80*$C$73</f>
        <v>0.618134429337412</v>
      </c>
      <c r="VU85" s="2" t="n">
        <f aca="false">$B$73+VU80*$C$73</f>
        <v>0.623022992693593</v>
      </c>
      <c r="VV85" s="2" t="n">
        <f aca="false">$B$73+VV80*$C$73</f>
        <v>0.700383636459472</v>
      </c>
      <c r="VW85" s="2" t="n">
        <f aca="false">$B$73+VW80*$C$73</f>
        <v>0.576173199610782</v>
      </c>
      <c r="VX85" s="2" t="n">
        <f aca="false">$B$73+VX80*$C$73</f>
        <v>0.65638248661961</v>
      </c>
      <c r="VY85" s="2" t="n">
        <f aca="false">$B$73+VY80*$C$73</f>
        <v>0.59986557932705</v>
      </c>
      <c r="VZ85" s="2" t="n">
        <f aca="false">$B$73+VZ80*$C$73</f>
        <v>0.567442781969181</v>
      </c>
      <c r="WA85" s="2" t="n">
        <f aca="false">$B$73+WA80*$C$73</f>
        <v>0.71612404984054</v>
      </c>
      <c r="WB85" s="2" t="n">
        <f aca="false">$B$73+WB80*$C$73</f>
        <v>0.576312297487517</v>
      </c>
      <c r="WC85" s="2" t="n">
        <f aca="false">$B$73+WC80*$C$73</f>
        <v>0.56004293054946</v>
      </c>
      <c r="WD85" s="2" t="n">
        <f aca="false">$B$73+WD80*$C$73</f>
        <v>0.577449560344336</v>
      </c>
      <c r="WE85" s="2" t="n">
        <f aca="false">$B$73+WE80*$C$73</f>
        <v>0.620516883111634</v>
      </c>
      <c r="WF85" s="2" t="n">
        <f aca="false">$B$73+WF80*$C$73</f>
        <v>0.530592245931558</v>
      </c>
      <c r="WG85" s="2" t="n">
        <f aca="false">$B$73+WG80*$C$73</f>
        <v>0.631992992906559</v>
      </c>
      <c r="WH85" s="2" t="n">
        <f aca="false">$B$73+WH80*$C$73</f>
        <v>0.617357882097539</v>
      </c>
      <c r="WI85" s="2" t="n">
        <f aca="false">$B$73+WI80*$C$73</f>
        <v>0.56309138047301</v>
      </c>
      <c r="WJ85" s="2" t="n">
        <f aca="false">$B$73+WJ80*$C$73</f>
        <v>0.578262911915821</v>
      </c>
      <c r="WK85" s="2" t="n">
        <f aca="false">$B$73+WK80*$C$73</f>
        <v>0.674597205729821</v>
      </c>
      <c r="WL85" s="2" t="n">
        <f aca="false">$B$73+WL80*$C$73</f>
        <v>0.646850948243241</v>
      </c>
      <c r="WM85" s="2" t="n">
        <f aca="false">$B$73+WM80*$C$73</f>
        <v>0.616735965832602</v>
      </c>
      <c r="WN85" s="2" t="n">
        <f aca="false">$B$73+WN80*$C$73</f>
        <v>0.66816856468952</v>
      </c>
      <c r="WO85" s="2" t="n">
        <f aca="false">$B$73+WO80*$C$73</f>
        <v>0.613857261620482</v>
      </c>
      <c r="WP85" s="2" t="n">
        <f aca="false">$B$73+WP80*$C$73</f>
        <v>0.587538876076676</v>
      </c>
      <c r="WQ85" s="2" t="n">
        <f aca="false">$B$73+WQ80*$C$73</f>
        <v>0.668645921979467</v>
      </c>
      <c r="WR85" s="2" t="n">
        <f aca="false">$B$73+WR80*$C$73</f>
        <v>0.626109023197265</v>
      </c>
      <c r="WS85" s="2" t="n">
        <f aca="false">$B$73+WS80*$C$73</f>
        <v>0.471845762898379</v>
      </c>
      <c r="WT85" s="2" t="n">
        <f aca="false">$B$73+WT80*$C$73</f>
        <v>0.620236173508406</v>
      </c>
      <c r="WU85" s="2" t="n">
        <f aca="false">$B$73+WU80*$C$73</f>
        <v>0.57587918800656</v>
      </c>
      <c r="WV85" s="2" t="n">
        <f aca="false">$B$73+WV80*$C$73</f>
        <v>0.587779428880413</v>
      </c>
      <c r="WW85" s="2" t="n">
        <f aca="false">$B$73+WW80*$C$73</f>
        <v>0.553752690291975</v>
      </c>
      <c r="WX85" s="2" t="n">
        <f aca="false">$B$73+WX80*$C$73</f>
        <v>0.61374819726601</v>
      </c>
      <c r="WY85" s="2" t="n">
        <f aca="false">$B$73+WY80*$C$73</f>
        <v>0.580118667365442</v>
      </c>
      <c r="WZ85" s="2" t="n">
        <f aca="false">$B$73+WZ80*$C$73</f>
        <v>0.597524757772359</v>
      </c>
      <c r="XA85" s="2" t="n">
        <f aca="false">$B$73+XA80*$C$73</f>
        <v>0.585974790107897</v>
      </c>
      <c r="XB85" s="2" t="n">
        <f aca="false">$B$73+XB80*$C$73</f>
        <v>0.546581136677044</v>
      </c>
      <c r="XC85" s="2" t="n">
        <f aca="false">$B$73+XC80*$C$73</f>
        <v>0.655091552734977</v>
      </c>
      <c r="XD85" s="2" t="n">
        <f aca="false">$B$73+XD80*$C$73</f>
        <v>0.600623695945812</v>
      </c>
      <c r="XE85" s="2" t="n">
        <f aca="false">$B$73+XE80*$C$73</f>
        <v>0.544874198362866</v>
      </c>
      <c r="XF85" s="2" t="n">
        <f aca="false">$B$73+XF80*$C$73</f>
        <v>0.691460738526663</v>
      </c>
      <c r="XG85" s="2" t="n">
        <f aca="false">$B$73+XG80*$C$73</f>
        <v>0.617685230103585</v>
      </c>
      <c r="XH85" s="2" t="n">
        <f aca="false">$B$73+XH80*$C$73</f>
        <v>0.638083649500978</v>
      </c>
      <c r="XI85" s="2" t="n">
        <f aca="false">$B$73+XI80*$C$73</f>
        <v>0.52514258703614</v>
      </c>
      <c r="XJ85" s="2" t="n">
        <f aca="false">$B$73+XJ80*$C$73</f>
        <v>0.631626336723685</v>
      </c>
      <c r="XK85" s="2" t="n">
        <f aca="false">$B$73+XK80*$C$73</f>
        <v>0.602804429329057</v>
      </c>
      <c r="XL85" s="2" t="n">
        <f aca="false">$B$73+XL80*$C$73</f>
        <v>0.608303626711941</v>
      </c>
      <c r="XM85" s="2" t="n">
        <f aca="false">$B$73+XM80*$C$73</f>
        <v>0.539161983253131</v>
      </c>
      <c r="XN85" s="2" t="n">
        <f aca="false">$B$73+XN80*$C$73</f>
        <v>0.578390326294273</v>
      </c>
      <c r="XO85" s="2" t="n">
        <f aca="false">$B$73+XO80*$C$73</f>
        <v>0.587534248678131</v>
      </c>
      <c r="XP85" s="2" t="n">
        <f aca="false">$B$73+XP80*$C$73</f>
        <v>0.68458059678609</v>
      </c>
      <c r="XQ85" s="2" t="n">
        <f aca="false">$B$73+XQ80*$C$73</f>
        <v>0.6186176571427</v>
      </c>
      <c r="XR85" s="2" t="n">
        <f aca="false">$B$73+XR80*$C$73</f>
        <v>0.609894093538139</v>
      </c>
      <c r="XS85" s="2" t="n">
        <f aca="false">$B$73+XS80*$C$73</f>
        <v>0.647335530748069</v>
      </c>
      <c r="XT85" s="2" t="n">
        <f aca="false">$B$73+XT80*$C$73</f>
        <v>0.580965583566843</v>
      </c>
      <c r="XU85" s="2" t="n">
        <f aca="false">$B$73+XU80*$C$73</f>
        <v>0.674717581205445</v>
      </c>
      <c r="XV85" s="2" t="n">
        <f aca="false">$B$73+XV80*$C$73</f>
        <v>0.540096251796278</v>
      </c>
      <c r="XW85" s="2" t="n">
        <f aca="false">$B$73+XW80*$C$73</f>
        <v>0.599475382831171</v>
      </c>
      <c r="XX85" s="2" t="n">
        <f aca="false">$B$73+XX80*$C$73</f>
        <v>0.642675933289402</v>
      </c>
      <c r="XY85" s="2" t="n">
        <f aca="false">$B$73+XY80*$C$73</f>
        <v>0.626227534825</v>
      </c>
      <c r="XZ85" s="2" t="n">
        <f aca="false">$B$73+XZ80*$C$73</f>
        <v>0.592892144245651</v>
      </c>
      <c r="YA85" s="2" t="n">
        <f aca="false">$B$73+YA80*$C$73</f>
        <v>0.639273561641837</v>
      </c>
      <c r="YB85" s="2" t="n">
        <f aca="false">$B$73+YB80*$C$73</f>
        <v>0.623803529073625</v>
      </c>
      <c r="YC85" s="2" t="n">
        <f aca="false">$B$73+YC80*$C$73</f>
        <v>0.606217490867221</v>
      </c>
      <c r="YD85" s="2" t="n">
        <f aca="false">$B$73+YD80*$C$73</f>
        <v>0.464470811899496</v>
      </c>
      <c r="YE85" s="2" t="n">
        <f aca="false">$B$73+YE80*$C$73</f>
        <v>0.488120644283346</v>
      </c>
      <c r="YF85" s="2" t="n">
        <f aca="false">$B$73+YF80*$C$73</f>
        <v>0.639275096375043</v>
      </c>
      <c r="YG85" s="2" t="n">
        <f aca="false">$B$73+YG80*$C$73</f>
        <v>0.52540396706888</v>
      </c>
      <c r="YH85" s="2" t="n">
        <f aca="false">$B$73+YH80*$C$73</f>
        <v>0.753810642801159</v>
      </c>
      <c r="YI85" s="2" t="n">
        <f aca="false">$B$73+YI80*$C$73</f>
        <v>0.572341572454679</v>
      </c>
      <c r="YJ85" s="2" t="n">
        <f aca="false">$B$73+YJ80*$C$73</f>
        <v>0.523343794937898</v>
      </c>
      <c r="YK85" s="2" t="n">
        <f aca="false">$B$73+YK80*$C$73</f>
        <v>0.622571238963231</v>
      </c>
      <c r="YL85" s="2" t="n">
        <f aca="false">$B$73+YL80*$C$73</f>
        <v>0.68465005700061</v>
      </c>
      <c r="YM85" s="2" t="n">
        <f aca="false">$B$73+YM80*$C$73</f>
        <v>0.599406498115591</v>
      </c>
      <c r="YN85" s="2" t="n">
        <f aca="false">$B$73+YN80*$C$73</f>
        <v>0.557562764350798</v>
      </c>
      <c r="YO85" s="2" t="n">
        <f aca="false">$B$73+YO80*$C$73</f>
        <v>0.570294942630592</v>
      </c>
      <c r="YP85" s="2" t="n">
        <f aca="false">$B$73+YP80*$C$73</f>
        <v>0.699918674340475</v>
      </c>
      <c r="YQ85" s="2" t="n">
        <f aca="false">$B$73+YQ80*$C$73</f>
        <v>0.614805551471018</v>
      </c>
      <c r="YR85" s="2" t="n">
        <f aca="false">$B$73+YR80*$C$73</f>
        <v>0.659779735285523</v>
      </c>
      <c r="YS85" s="2" t="n">
        <f aca="false">$B$73+YS80*$C$73</f>
        <v>0.574729454532619</v>
      </c>
      <c r="YT85" s="2" t="n">
        <f aca="false">$B$73+YT80*$C$73</f>
        <v>0.554126905255895</v>
      </c>
      <c r="YU85" s="2" t="n">
        <f aca="false">$B$73+YU80*$C$73</f>
        <v>0.60674115591602</v>
      </c>
      <c r="YV85" s="2" t="n">
        <f aca="false">$B$73+YV80*$C$73</f>
        <v>0.587494778827831</v>
      </c>
      <c r="YW85" s="2" t="n">
        <f aca="false">$B$73+YW80*$C$73</f>
        <v>0.651945608696841</v>
      </c>
      <c r="YX85" s="2" t="n">
        <f aca="false">$B$73+YX80*$C$73</f>
        <v>0.5957579864015</v>
      </c>
      <c r="YY85" s="2" t="n">
        <f aca="false">$B$73+YY80*$C$73</f>
        <v>0.561282429387185</v>
      </c>
      <c r="YZ85" s="2" t="n">
        <f aca="false">$B$73+YZ80*$C$73</f>
        <v>0.576323682127945</v>
      </c>
      <c r="ZA85" s="2" t="n">
        <f aca="false">$B$73+ZA80*$C$73</f>
        <v>0.512614923972096</v>
      </c>
      <c r="ZB85" s="2" t="n">
        <f aca="false">$B$73+ZB80*$C$73</f>
        <v>0.542298341337694</v>
      </c>
      <c r="ZC85" s="2" t="n">
        <f aca="false">$B$73+ZC80*$C$73</f>
        <v>0.64780078340025</v>
      </c>
      <c r="ZD85" s="2" t="n">
        <f aca="false">$B$73+ZD80*$C$73</f>
        <v>0.672053138360238</v>
      </c>
      <c r="ZE85" s="2" t="n">
        <f aca="false">$B$73+ZE80*$C$73</f>
        <v>0.603373693320988</v>
      </c>
      <c r="ZF85" s="2" t="n">
        <f aca="false">$B$73+ZF80*$C$73</f>
        <v>0.570362439334497</v>
      </c>
      <c r="ZG85" s="2" t="n">
        <f aca="false">$B$73+ZG80*$C$73</f>
        <v>0.593018253491135</v>
      </c>
      <c r="ZH85" s="2" t="n">
        <f aca="false">$B$73+ZH80*$C$73</f>
        <v>0.679395339971662</v>
      </c>
      <c r="ZI85" s="2" t="n">
        <f aca="false">$B$73+ZI80*$C$73</f>
        <v>0.616493025290501</v>
      </c>
      <c r="ZJ85" s="2" t="n">
        <f aca="false">$B$73+ZJ80*$C$73</f>
        <v>0.580169240681833</v>
      </c>
      <c r="ZK85" s="2" t="n">
        <f aca="false">$B$73+ZK80*$C$73</f>
        <v>0.565350397925255</v>
      </c>
      <c r="ZL85" s="2" t="n">
        <f aca="false">$B$73+ZL80*$C$73</f>
        <v>0.581670331160554</v>
      </c>
      <c r="ZM85" s="2" t="n">
        <f aca="false">$B$73+ZM80*$C$73</f>
        <v>0.543221212188985</v>
      </c>
      <c r="ZN85" s="2" t="n">
        <f aca="false">$B$73+ZN80*$C$73</f>
        <v>0.506237827563534</v>
      </c>
      <c r="ZO85" s="2" t="n">
        <f aca="false">$B$73+ZO80*$C$73</f>
        <v>0.560127294875551</v>
      </c>
      <c r="ZP85" s="2" t="n">
        <f aca="false">$B$73+ZP80*$C$73</f>
        <v>0.495856277146622</v>
      </c>
      <c r="ZQ85" s="2" t="n">
        <f aca="false">$B$73+ZQ80*$C$73</f>
        <v>0.606732786560507</v>
      </c>
      <c r="ZR85" s="2" t="n">
        <f aca="false">$B$73+ZR80*$C$73</f>
        <v>0.536361148255812</v>
      </c>
      <c r="ZS85" s="2" t="n">
        <f aca="false">$B$73+ZS80*$C$73</f>
        <v>0.714368889963961</v>
      </c>
      <c r="ZT85" s="2" t="n">
        <f aca="false">$B$73+ZT80*$C$73</f>
        <v>0.624144334947872</v>
      </c>
      <c r="ZU85" s="2" t="n">
        <f aca="false">$B$73+ZU80*$C$73</f>
        <v>0.57251380321231</v>
      </c>
      <c r="ZV85" s="2" t="n">
        <f aca="false">$B$73+ZV80*$C$73</f>
        <v>0.603591123459237</v>
      </c>
      <c r="ZW85" s="2" t="n">
        <f aca="false">$B$73+ZW80*$C$73</f>
        <v>0.613782617905518</v>
      </c>
      <c r="ZX85" s="2" t="n">
        <f aca="false">$B$73+ZX80*$C$73</f>
        <v>0.702195201289847</v>
      </c>
      <c r="ZY85" s="2" t="n">
        <f aca="false">$B$73+ZY80*$C$73</f>
        <v>0.53301864806218</v>
      </c>
      <c r="ZZ85" s="2" t="n">
        <f aca="false">$B$73+ZZ80*$C$73</f>
        <v>0.612239019111608</v>
      </c>
      <c r="AAA85" s="2" t="n">
        <f aca="false">$B$73+AAA80*$C$73</f>
        <v>0.574912663057976</v>
      </c>
      <c r="AAB85" s="2" t="n">
        <f aca="false">$B$73+AAB80*$C$73</f>
        <v>0.602193709639038</v>
      </c>
      <c r="AAC85" s="2" t="n">
        <f aca="false">$B$73+AAC80*$C$73</f>
        <v>0.501922331317479</v>
      </c>
      <c r="AAD85" s="2" t="n">
        <f aca="false">$B$73+AAD80*$C$73</f>
        <v>0.642850597677623</v>
      </c>
      <c r="AAE85" s="2" t="n">
        <f aca="false">$B$73+AAE80*$C$73</f>
        <v>0.574826152450954</v>
      </c>
      <c r="AAF85" s="2" t="n">
        <f aca="false">$B$73+AAF80*$C$73</f>
        <v>0.613537410391515</v>
      </c>
      <c r="AAG85" s="2" t="n">
        <f aca="false">$B$73+AAG80*$C$73</f>
        <v>0.584828866229159</v>
      </c>
      <c r="AAH85" s="2" t="n">
        <f aca="false">$B$73+AAH80*$C$73</f>
        <v>0.657467370702138</v>
      </c>
      <c r="AAI85" s="2" t="n">
        <f aca="false">$B$73+AAI80*$C$73</f>
        <v>0.548346174539489</v>
      </c>
      <c r="AAJ85" s="2" t="n">
        <f aca="false">$B$73+AAJ80*$C$73</f>
        <v>0.606359217233578</v>
      </c>
      <c r="AAK85" s="2" t="n">
        <f aca="false">$B$73+AAK80*$C$73</f>
        <v>0.669053327077212</v>
      </c>
      <c r="AAL85" s="2" t="n">
        <f aca="false">$B$73+AAL80*$C$73</f>
        <v>0.625396761226618</v>
      </c>
      <c r="AAM85" s="2" t="n">
        <f aca="false">$B$73+AAM80*$C$73</f>
        <v>0.557584216413864</v>
      </c>
      <c r="AAN85" s="2" t="n">
        <f aca="false">$B$73+AAN80*$C$73</f>
        <v>0.539257117472439</v>
      </c>
      <c r="AAO85" s="2" t="n">
        <f aca="false">$B$73+AAO80*$C$73</f>
        <v>0.603362603871415</v>
      </c>
      <c r="AAP85" s="2" t="n">
        <f aca="false">$B$73+AAP80*$C$73</f>
        <v>0.53380886641579</v>
      </c>
      <c r="AAQ85" s="2" t="n">
        <f aca="false">$B$73+AAQ80*$C$73</f>
        <v>0.599837045425667</v>
      </c>
      <c r="AAR85" s="2" t="n">
        <f aca="false">$B$73+AAR80*$C$73</f>
        <v>0.701091950444331</v>
      </c>
      <c r="AAS85" s="2" t="n">
        <f aca="false">$B$73+AAS80*$C$73</f>
        <v>0.604286219934616</v>
      </c>
      <c r="AAT85" s="2" t="n">
        <f aca="false">$B$73+AAT80*$C$73</f>
        <v>0.546512260650187</v>
      </c>
      <c r="AAU85" s="2" t="n">
        <f aca="false">$B$73+AAU80*$C$73</f>
        <v>0.542434733834948</v>
      </c>
      <c r="AAV85" s="2" t="n">
        <f aca="false">$B$73+AAV80*$C$73</f>
        <v>0.623939402485589</v>
      </c>
      <c r="AAW85" s="2" t="n">
        <f aca="false">$B$73+AAW80*$C$73</f>
        <v>0.609296335771474</v>
      </c>
      <c r="AAX85" s="2" t="n">
        <f aca="false">$B$73+AAX80*$C$73</f>
        <v>0.584314570029375</v>
      </c>
      <c r="AAY85" s="2" t="n">
        <f aca="false">$B$73+AAY80*$C$73</f>
        <v>0.607488820167523</v>
      </c>
      <c r="AAZ85" s="2" t="n">
        <f aca="false">$B$73+AAZ80*$C$73</f>
        <v>0.627673293505698</v>
      </c>
      <c r="ABA85" s="2" t="n">
        <f aca="false">$B$73+ABA80*$C$73</f>
        <v>0.609643641603705</v>
      </c>
      <c r="ABB85" s="2" t="n">
        <f aca="false">$B$73+ABB80*$C$73</f>
        <v>0.630933786354708</v>
      </c>
      <c r="ABC85" s="2" t="n">
        <f aca="false">$B$73+ABC80*$C$73</f>
        <v>0.647223001174829</v>
      </c>
      <c r="ABD85" s="2" t="n">
        <f aca="false">$B$73+ABD80*$C$73</f>
        <v>0.555901106364722</v>
      </c>
      <c r="ABE85" s="2" t="n">
        <f aca="false">$B$73+ABE80*$C$73</f>
        <v>0.62239839441438</v>
      </c>
      <c r="ABF85" s="2" t="n">
        <f aca="false">$B$73+ABF80*$C$73</f>
        <v>0.573023388508223</v>
      </c>
      <c r="ABG85" s="2" t="n">
        <f aca="false">$B$73+ABG80*$C$73</f>
        <v>0.559801775970828</v>
      </c>
      <c r="ABH85" s="2" t="n">
        <f aca="false">$B$73+ABH80*$C$73</f>
        <v>0.571976108238238</v>
      </c>
      <c r="ABI85" s="2" t="n">
        <f aca="false">$B$73+ABI80*$C$73</f>
        <v>0.537194308406595</v>
      </c>
      <c r="ABJ85" s="2" t="n">
        <f aca="false">$B$73+ABJ80*$C$73</f>
        <v>0.605535601631434</v>
      </c>
      <c r="ABK85" s="2" t="n">
        <f aca="false">$B$73+ABK80*$C$73</f>
        <v>0.585710468519669</v>
      </c>
      <c r="ABL85" s="2" t="n">
        <f aca="false">$B$73+ABL80*$C$73</f>
        <v>0.614491134138162</v>
      </c>
      <c r="ABM85" s="2" t="n">
        <f aca="false">$B$73+ABM80*$C$73</f>
        <v>0.61198770480502</v>
      </c>
      <c r="ABN85" s="2" t="n">
        <f aca="false">$B$73+ABN80*$C$73</f>
        <v>0.584330086654138</v>
      </c>
      <c r="ABO85" s="2" t="n">
        <f aca="false">$B$73+ABO80*$C$73</f>
        <v>0.536211452064661</v>
      </c>
      <c r="ABP85" s="2" t="n">
        <f aca="false">$B$73+ABP80*$C$73</f>
        <v>0.601912078421463</v>
      </c>
      <c r="ABQ85" s="2" t="n">
        <f aca="false">$B$73+ABQ80*$C$73</f>
        <v>0.579231351935682</v>
      </c>
      <c r="ABR85" s="2" t="n">
        <f aca="false">$B$73+ABR80*$C$73</f>
        <v>0.58747976584532</v>
      </c>
      <c r="ABS85" s="2" t="n">
        <f aca="false">$B$73+ABS80*$C$73</f>
        <v>0.503977411705071</v>
      </c>
      <c r="ABT85" s="2" t="n">
        <f aca="false">$B$73+ABT80*$C$73</f>
        <v>0.503523696864754</v>
      </c>
      <c r="ABU85" s="2" t="n">
        <f aca="false">$B$73+ABU80*$C$73</f>
        <v>0.569204102645024</v>
      </c>
      <c r="ABV85" s="2" t="n">
        <f aca="false">$B$73+ABV80*$C$73</f>
        <v>0.524628980036669</v>
      </c>
      <c r="ABW85" s="2" t="n">
        <f aca="false">$B$73+ABW80*$C$73</f>
        <v>0.619232044434427</v>
      </c>
      <c r="ABX85" s="2" t="n">
        <f aca="false">$B$73+ABX80*$C$73</f>
        <v>0.490456841213719</v>
      </c>
      <c r="ABY85" s="2" t="n">
        <f aca="false">$B$73+ABY80*$C$73</f>
        <v>0.601969093077636</v>
      </c>
      <c r="ABZ85" s="2" t="n">
        <f aca="false">$B$73+ABZ80*$C$73</f>
        <v>0.61263748075718</v>
      </c>
      <c r="ACA85" s="2" t="n">
        <f aca="false">$B$73+ACA80*$C$73</f>
        <v>0.569570402699359</v>
      </c>
      <c r="ACB85" s="2" t="n">
        <f aca="false">$B$73+ACB80*$C$73</f>
        <v>0.559617094346894</v>
      </c>
      <c r="ACC85" s="2" t="n">
        <f aca="false">$B$73+ACC80*$C$73</f>
        <v>0.609361610800997</v>
      </c>
      <c r="ACD85" s="2" t="n">
        <f aca="false">$B$73+ACD80*$C$73</f>
        <v>0.600377525508759</v>
      </c>
      <c r="ACE85" s="2" t="n">
        <f aca="false">$B$73+ACE80*$C$73</f>
        <v>0.606696401644317</v>
      </c>
      <c r="ACF85" s="2" t="n">
        <f aca="false">$B$73+ACF80*$C$73</f>
        <v>0.674506228899265</v>
      </c>
      <c r="ACG85" s="2" t="n">
        <f aca="false">$B$73+ACG80*$C$73</f>
        <v>0.649182094202749</v>
      </c>
      <c r="ACH85" s="2" t="n">
        <f aca="false">$B$73+ACH80*$C$73</f>
        <v>0.556493815788974</v>
      </c>
      <c r="ACI85" s="2" t="n">
        <f aca="false">$B$73+ACI80*$C$73</f>
        <v>0.640418942689168</v>
      </c>
      <c r="ACJ85" s="2" t="n">
        <f aca="false">$B$73+ACJ80*$C$73</f>
        <v>0.615162723335193</v>
      </c>
      <c r="ACK85" s="2" t="n">
        <f aca="false">$B$73+ACK80*$C$73</f>
        <v>0.579286730846348</v>
      </c>
      <c r="ACL85" s="2" t="n">
        <f aca="false">$B$73+ACL80*$C$73</f>
        <v>0.698960199620653</v>
      </c>
      <c r="ACM85" s="2" t="n">
        <f aca="false">$B$73+ACM80*$C$73</f>
        <v>0.588381039840258</v>
      </c>
      <c r="ACN85" s="2" t="n">
        <f aca="false">$B$73+ACN80*$C$73</f>
        <v>0.554584131641337</v>
      </c>
      <c r="ACO85" s="2" t="n">
        <f aca="false">$B$73+ACO80*$C$73</f>
        <v>0.568312164735976</v>
      </c>
      <c r="ACP85" s="2" t="n">
        <f aca="false">$B$73+ACP80*$C$73</f>
        <v>0.63170377621066</v>
      </c>
      <c r="ACQ85" s="2" t="n">
        <f aca="false">$B$73+ACQ80*$C$73</f>
        <v>0.548444701111422</v>
      </c>
      <c r="ACR85" s="2" t="n">
        <f aca="false">$B$73+ACR80*$C$73</f>
        <v>0.595373824161273</v>
      </c>
      <c r="ACS85" s="2" t="n">
        <f aca="false">$B$73+ACS80*$C$73</f>
        <v>0.605355722170822</v>
      </c>
      <c r="ACT85" s="2" t="n">
        <f aca="false">$B$73+ACT80*$C$73</f>
        <v>0.601354431320258</v>
      </c>
      <c r="ACU85" s="2" t="n">
        <f aca="false">$B$73+ACU80*$C$73</f>
        <v>0.574500756686395</v>
      </c>
      <c r="ACV85" s="2" t="n">
        <f aca="false">$B$73+ACV80*$C$73</f>
        <v>0.562064681251795</v>
      </c>
      <c r="ACW85" s="2" t="n">
        <f aca="false">$B$73+ACW80*$C$73</f>
        <v>0.636573927707348</v>
      </c>
      <c r="ACX85" s="2" t="n">
        <f aca="false">$B$73+ACX80*$C$73</f>
        <v>0.602640512587259</v>
      </c>
      <c r="ACY85" s="2" t="n">
        <f aca="false">$B$73+ACY80*$C$73</f>
        <v>0.699876934171203</v>
      </c>
      <c r="ACZ85" s="2" t="n">
        <f aca="false">$B$73+ACZ80*$C$73</f>
        <v>0.629579854360419</v>
      </c>
      <c r="ADA85" s="2" t="n">
        <f aca="false">$B$73+ADA80*$C$73</f>
        <v>0.571693981566946</v>
      </c>
      <c r="ADB85" s="2" t="n">
        <f aca="false">$B$73+ADB80*$C$73</f>
        <v>0.646351802530793</v>
      </c>
      <c r="ADC85" s="2" t="n">
        <f aca="false">$B$73+ADC80*$C$73</f>
        <v>0.574839023367939</v>
      </c>
      <c r="ADD85" s="2" t="n">
        <f aca="false">$B$73+ADD80*$C$73</f>
        <v>0.629876714707327</v>
      </c>
      <c r="ADE85" s="2" t="n">
        <f aca="false">$B$73+ADE80*$C$73</f>
        <v>0.66979728132993</v>
      </c>
      <c r="ADF85" s="2" t="n">
        <f aca="false">$B$73+ADF80*$C$73</f>
        <v>0.563540031865958</v>
      </c>
      <c r="ADG85" s="2" t="n">
        <f aca="false">$B$73+ADG80*$C$73</f>
        <v>0.516026460063565</v>
      </c>
      <c r="ADH85" s="2" t="n">
        <f aca="false">$B$73+ADH80*$C$73</f>
        <v>0.59555887447761</v>
      </c>
      <c r="ADI85" s="2" t="n">
        <f aca="false">$B$73+ADI80*$C$73</f>
        <v>0.546821519729604</v>
      </c>
      <c r="ADJ85" s="2" t="n">
        <f aca="false">$B$73+ADJ80*$C$73</f>
        <v>0.5286312324219</v>
      </c>
      <c r="ADK85" s="2" t="n">
        <f aca="false">$B$73+ADK80*$C$73</f>
        <v>0.588286292724397</v>
      </c>
      <c r="ADL85" s="2" t="n">
        <f aca="false">$B$73+ADL80*$C$73</f>
        <v>0.45948921052681</v>
      </c>
      <c r="ADM85" s="2" t="n">
        <f aca="false">$B$73+ADM80*$C$73</f>
        <v>0.589554303897773</v>
      </c>
      <c r="ADN85" s="2" t="n">
        <f aca="false">$B$73+ADN80*$C$73</f>
        <v>0.637540166986499</v>
      </c>
      <c r="ADO85" s="2" t="n">
        <f aca="false">$B$73+ADO80*$C$73</f>
        <v>0.642851622761983</v>
      </c>
      <c r="ADP85" s="2" t="n">
        <f aca="false">$B$73+ADP80*$C$73</f>
        <v>0.610477317621916</v>
      </c>
      <c r="ADQ85" s="2" t="n">
        <f aca="false">$B$73+ADQ80*$C$73</f>
        <v>0.577066756461169</v>
      </c>
      <c r="ADR85" s="2" t="n">
        <f aca="false">$B$73+ADR80*$C$73</f>
        <v>0.52851306748207</v>
      </c>
      <c r="ADS85" s="2" t="n">
        <f aca="false">$B$73+ADS80*$C$73</f>
        <v>0.548543576213028</v>
      </c>
      <c r="ADT85" s="2" t="n">
        <f aca="false">$B$73+ADT80*$C$73</f>
        <v>0.521840914552203</v>
      </c>
      <c r="ADU85" s="2" t="n">
        <f aca="false">$B$73+ADU80*$C$73</f>
        <v>0.605937915652458</v>
      </c>
      <c r="ADV85" s="2" t="n">
        <f aca="false">$B$73+ADV80*$C$73</f>
        <v>0.623151324239446</v>
      </c>
      <c r="ADW85" s="2" t="n">
        <f aca="false">$B$73+ADW80*$C$73</f>
        <v>0.664122775219135</v>
      </c>
      <c r="ADX85" s="2" t="n">
        <f aca="false">$B$73+ADX80*$C$73</f>
        <v>0.691240109214634</v>
      </c>
      <c r="ADY85" s="2" t="n">
        <f aca="false">$B$73+ADY80*$C$73</f>
        <v>0.501450666399532</v>
      </c>
      <c r="ADZ85" s="2" t="n">
        <f aca="false">$B$73+ADZ80*$C$73</f>
        <v>0.542860331006207</v>
      </c>
      <c r="AEA85" s="2" t="n">
        <f aca="false">$B$73+AEA80*$C$73</f>
        <v>0.594681714915659</v>
      </c>
      <c r="AEB85" s="2" t="n">
        <f aca="false">$B$73+AEB80*$C$73</f>
        <v>0.62801151869632</v>
      </c>
      <c r="AEC85" s="2" t="n">
        <f aca="false">$B$73+AEC80*$C$73</f>
        <v>0.588387776286946</v>
      </c>
      <c r="AED85" s="2" t="n">
        <f aca="false">$B$73+AED80*$C$73</f>
        <v>0.601790523056816</v>
      </c>
      <c r="AEE85" s="2" t="n">
        <f aca="false">$B$73+AEE80*$C$73</f>
        <v>0.613116955917619</v>
      </c>
      <c r="AEF85" s="2" t="n">
        <f aca="false">$B$73+AEF80*$C$73</f>
        <v>0.547585395204309</v>
      </c>
      <c r="AEG85" s="2" t="n">
        <f aca="false">$B$73+AEG80*$C$73</f>
        <v>0.510715742012819</v>
      </c>
      <c r="AEH85" s="2" t="n">
        <f aca="false">$B$73+AEH80*$C$73</f>
        <v>0.596472191352522</v>
      </c>
      <c r="AEI85" s="2" t="n">
        <f aca="false">$B$73+AEI80*$C$73</f>
        <v>0.645363520006709</v>
      </c>
      <c r="AEJ85" s="2" t="n">
        <f aca="false">$B$73+AEJ80*$C$73</f>
        <v>0.611480949200034</v>
      </c>
      <c r="AEK85" s="2" t="n">
        <f aca="false">$B$73+AEK80*$C$73</f>
        <v>0.53174495694075</v>
      </c>
      <c r="AEL85" s="2" t="n">
        <f aca="false">$B$73+AEL80*$C$73</f>
        <v>0.599728686555221</v>
      </c>
      <c r="AEM85" s="2" t="n">
        <f aca="false">$B$73+AEM80*$C$73</f>
        <v>0.582321104898968</v>
      </c>
      <c r="AEN85" s="2" t="n">
        <f aca="false">$B$73+AEN80*$C$73</f>
        <v>0.682943221765564</v>
      </c>
      <c r="AEO85" s="2" t="n">
        <f aca="false">$B$73+AEO80*$C$73</f>
        <v>0.586017029170633</v>
      </c>
      <c r="AEP85" s="2" t="n">
        <f aca="false">$B$73+AEP80*$C$73</f>
        <v>0.558207239484795</v>
      </c>
      <c r="AEQ85" s="2" t="n">
        <f aca="false">$B$73+AEQ80*$C$73</f>
        <v>0.592956822310754</v>
      </c>
      <c r="AER85" s="2" t="n">
        <f aca="false">$B$73+AER80*$C$73</f>
        <v>0.671533299801536</v>
      </c>
      <c r="AES85" s="2" t="n">
        <f aca="false">$B$73+AES80*$C$73</f>
        <v>0.514598670465807</v>
      </c>
      <c r="AET85" s="2" t="n">
        <f aca="false">$B$73+AET80*$C$73</f>
        <v>0.599750900167965</v>
      </c>
      <c r="AEU85" s="2" t="n">
        <f aca="false">$B$73+AEU80*$C$73</f>
        <v>0.533542908327884</v>
      </c>
      <c r="AEV85" s="2" t="n">
        <f aca="false">$B$73+AEV80*$C$73</f>
        <v>0.530297840127205</v>
      </c>
      <c r="AEW85" s="2" t="n">
        <f aca="false">$B$73+AEW80*$C$73</f>
        <v>0.505033008426165</v>
      </c>
      <c r="AEX85" s="2" t="n">
        <f aca="false">$B$73+AEX80*$C$73</f>
        <v>0.495894204406284</v>
      </c>
      <c r="AEY85" s="2" t="n">
        <f aca="false">$B$73+AEY80*$C$73</f>
        <v>0.653295758449028</v>
      </c>
      <c r="AEZ85" s="2" t="n">
        <f aca="false">$B$73+AEZ80*$C$73</f>
        <v>0.556630188987607</v>
      </c>
      <c r="AFA85" s="2" t="n">
        <f aca="false">$B$73+AFA80*$C$73</f>
        <v>0.63851793693399</v>
      </c>
      <c r="AFB85" s="2" t="n">
        <f aca="false">$B$73+AFB80*$C$73</f>
        <v>0.603668095192203</v>
      </c>
      <c r="AFC85" s="2" t="n">
        <f aca="false">$B$73+AFC80*$C$73</f>
        <v>0.608841206807764</v>
      </c>
      <c r="AFD85" s="2" t="n">
        <f aca="false">$B$73+AFD80*$C$73</f>
        <v>0.563723906795909</v>
      </c>
      <c r="AFE85" s="2" t="n">
        <f aca="false">$B$73+AFE80*$C$73</f>
        <v>0.683273805880593</v>
      </c>
      <c r="AFF85" s="2" t="n">
        <f aca="false">$B$73+AFF80*$C$73</f>
        <v>0.58292210706213</v>
      </c>
      <c r="AFG85" s="2" t="n">
        <f aca="false">$B$73+AFG80*$C$73</f>
        <v>0.626420176923773</v>
      </c>
      <c r="AFH85" s="2" t="n">
        <f aca="false">$B$73+AFH80*$C$73</f>
        <v>0.595106041525552</v>
      </c>
      <c r="AFI85" s="2" t="n">
        <f aca="false">$B$73+AFI80*$C$73</f>
        <v>0.580144594135732</v>
      </c>
      <c r="AFJ85" s="2" t="n">
        <f aca="false">$B$73+AFJ80*$C$73</f>
        <v>0.611717108336097</v>
      </c>
      <c r="AFK85" s="2" t="n">
        <f aca="false">$B$73+AFK80*$C$73</f>
        <v>0.587963050186186</v>
      </c>
      <c r="AFL85" s="2" t="n">
        <f aca="false">$B$73+AFL80*$C$73</f>
        <v>0.556368142781442</v>
      </c>
      <c r="AFM85" s="2" t="n">
        <f aca="false">$B$73+AFM80*$C$73</f>
        <v>0.656082417742204</v>
      </c>
      <c r="AFN85" s="2" t="n">
        <f aca="false">$B$73+AFN80*$C$73</f>
        <v>0.584290772727414</v>
      </c>
      <c r="AFO85" s="2" t="n">
        <f aca="false">$B$73+AFO80*$C$73</f>
        <v>0.575000543756193</v>
      </c>
      <c r="AFP85" s="2" t="n">
        <f aca="false">$B$73+AFP80*$C$73</f>
        <v>0.593740357444917</v>
      </c>
      <c r="AFQ85" s="2" t="n">
        <f aca="false">$B$73+AFQ80*$C$73</f>
        <v>0.561858520145275</v>
      </c>
      <c r="AFR85" s="2" t="n">
        <f aca="false">$B$73+AFR80*$C$73</f>
        <v>0.536249923045723</v>
      </c>
      <c r="AFS85" s="2" t="n">
        <f aca="false">$B$73+AFS80*$C$73</f>
        <v>0.66026783186605</v>
      </c>
      <c r="AFT85" s="2" t="n">
        <f aca="false">$B$73+AFT80*$C$73</f>
        <v>0.683569063999623</v>
      </c>
      <c r="AFU85" s="2" t="n">
        <f aca="false">$B$73+AFU80*$C$73</f>
        <v>0.552504609343741</v>
      </c>
      <c r="AFV85" s="2" t="n">
        <f aca="false">$B$73+AFV80*$C$73</f>
        <v>0.655715843393717</v>
      </c>
      <c r="AFW85" s="2" t="n">
        <f aca="false">$B$73+AFW80*$C$73</f>
        <v>0.608626738355772</v>
      </c>
      <c r="AFX85" s="2" t="n">
        <f aca="false">$B$73+AFX80*$C$73</f>
        <v>0.66450085615255</v>
      </c>
      <c r="AFY85" s="2" t="n">
        <f aca="false">$B$73+AFY80*$C$73</f>
        <v>0.596289359752849</v>
      </c>
      <c r="AFZ85" s="2" t="n">
        <f aca="false">$B$73+AFZ80*$C$73</f>
        <v>0.621751836612436</v>
      </c>
      <c r="AGA85" s="2" t="n">
        <f aca="false">$B$73+AGA80*$C$73</f>
        <v>0.632612974565044</v>
      </c>
      <c r="AGB85" s="2" t="n">
        <f aca="false">$B$73+AGB80*$C$73</f>
        <v>0.544834704139394</v>
      </c>
      <c r="AGC85" s="2" t="n">
        <f aca="false">$B$73+AGC80*$C$73</f>
        <v>0.606224360976478</v>
      </c>
      <c r="AGD85" s="2" t="n">
        <f aca="false">$B$73+AGD80*$C$73</f>
        <v>0.480736493271138</v>
      </c>
      <c r="AGE85" s="2" t="n">
        <f aca="false">$B$73+AGE80*$C$73</f>
        <v>0.665942864805815</v>
      </c>
      <c r="AGF85" s="2" t="n">
        <f aca="false">$B$73+AGF80*$C$73</f>
        <v>0.615392950456811</v>
      </c>
      <c r="AGG85" s="2" t="n">
        <f aca="false">$B$73+AGG80*$C$73</f>
        <v>0.623411398576407</v>
      </c>
      <c r="AGH85" s="2" t="n">
        <f aca="false">$B$73+AGH80*$C$73</f>
        <v>0.634242583174357</v>
      </c>
      <c r="AGI85" s="2" t="n">
        <f aca="false">$B$73+AGI80*$C$73</f>
        <v>0.659606983378877</v>
      </c>
      <c r="AGJ85" s="2" t="n">
        <f aca="false">$B$73+AGJ80*$C$73</f>
        <v>0.666302777191036</v>
      </c>
      <c r="AGK85" s="2" t="n">
        <f aca="false">$B$73+AGK80*$C$73</f>
        <v>0.623314546154572</v>
      </c>
      <c r="AGL85" s="2" t="n">
        <f aca="false">$B$73+AGL80*$C$73</f>
        <v>0.654893307831606</v>
      </c>
      <c r="AGM85" s="2" t="n">
        <f aca="false">$B$73+AGM80*$C$73</f>
        <v>0.550929122442174</v>
      </c>
      <c r="AGN85" s="2" t="n">
        <f aca="false">$B$73+AGN80*$C$73</f>
        <v>0.599736371362582</v>
      </c>
      <c r="AGO85" s="2" t="n">
        <f aca="false">$B$73+AGO80*$C$73</f>
        <v>0.632228905598829</v>
      </c>
      <c r="AGP85" s="2" t="n">
        <f aca="false">$B$73+AGP80*$C$73</f>
        <v>0.635451336044762</v>
      </c>
      <c r="AGQ85" s="2" t="n">
        <f aca="false">$B$73+AGQ80*$C$73</f>
        <v>0.537715459510434</v>
      </c>
      <c r="AGR85" s="2" t="n">
        <f aca="false">$B$73+AGR80*$C$73</f>
        <v>0.606920044016867</v>
      </c>
      <c r="AGS85" s="2" t="n">
        <f aca="false">$B$73+AGS80*$C$73</f>
        <v>0.558043061450331</v>
      </c>
      <c r="AGT85" s="2" t="n">
        <f aca="false">$B$73+AGT80*$C$73</f>
        <v>0.66380503593315</v>
      </c>
      <c r="AGU85" s="2" t="n">
        <f aca="false">$B$73+AGU80*$C$73</f>
        <v>0.580995300075718</v>
      </c>
      <c r="AGV85" s="2" t="n">
        <f aca="false">$B$73+AGV80*$C$73</f>
        <v>0.547813465917047</v>
      </c>
      <c r="AGW85" s="2" t="n">
        <f aca="false">$B$73+AGW80*$C$73</f>
        <v>0.648248572177421</v>
      </c>
      <c r="AGX85" s="2" t="n">
        <f aca="false">$B$73+AGX80*$C$73</f>
        <v>0.64750056738395</v>
      </c>
      <c r="AGY85" s="2" t="n">
        <f aca="false">$B$73+AGY80*$C$73</f>
        <v>0.594782860337897</v>
      </c>
      <c r="AGZ85" s="2" t="n">
        <f aca="false">$B$73+AGZ80*$C$73</f>
        <v>0.629615799136124</v>
      </c>
      <c r="AHA85" s="2" t="n">
        <f aca="false">$B$73+AHA80*$C$73</f>
        <v>0.715044758660722</v>
      </c>
      <c r="AHB85" s="2" t="n">
        <f aca="false">$B$73+AHB80*$C$73</f>
        <v>0.588569329726139</v>
      </c>
      <c r="AHC85" s="2" t="n">
        <f aca="false">$B$73+AHC80*$C$73</f>
        <v>0.678076537932317</v>
      </c>
      <c r="AHD85" s="2" t="n">
        <f aca="false">$B$73+AHD80*$C$73</f>
        <v>0.617351858013651</v>
      </c>
      <c r="AHE85" s="2" t="n">
        <f aca="false">$B$73+AHE80*$C$73</f>
        <v>0.574277466196647</v>
      </c>
      <c r="AHF85" s="2" t="n">
        <f aca="false">$B$73+AHF80*$C$73</f>
        <v>0.690630019562167</v>
      </c>
      <c r="AHG85" s="2" t="n">
        <f aca="false">$B$73+AHG80*$C$73</f>
        <v>0.562042453887495</v>
      </c>
      <c r="AHH85" s="2" t="n">
        <f aca="false">$B$73+AHH80*$C$73</f>
        <v>0.520492141733116</v>
      </c>
      <c r="AHI85" s="2" t="n">
        <f aca="false">$B$73+AHI80*$C$73</f>
        <v>0.640491248356398</v>
      </c>
      <c r="AHJ85" s="2" t="n">
        <f aca="false">$B$73+AHJ80*$C$73</f>
        <v>0.568699543426866</v>
      </c>
      <c r="AHK85" s="2" t="n">
        <f aca="false">$B$73+AHK80*$C$73</f>
        <v>0.632677659771446</v>
      </c>
      <c r="AHL85" s="2" t="n">
        <f aca="false">$B$73+AHL80*$C$73</f>
        <v>0.625064837102434</v>
      </c>
      <c r="AHM85" s="2" t="n">
        <f aca="false">$B$73+AHM80*$C$73</f>
        <v>0.593874751225611</v>
      </c>
      <c r="AHN85" s="2" t="n">
        <f aca="false">$B$73+AHN80*$C$73</f>
        <v>0.629274360628471</v>
      </c>
      <c r="AHO85" s="2" t="n">
        <f aca="false">$B$73+AHO80*$C$73</f>
        <v>0.586843305483838</v>
      </c>
      <c r="AHP85" s="2" t="n">
        <f aca="false">$B$73+AHP80*$C$73</f>
        <v>0.707508767410596</v>
      </c>
      <c r="AHQ85" s="2" t="n">
        <f aca="false">$B$73+AHQ80*$C$73</f>
        <v>0.611087309157557</v>
      </c>
      <c r="AHR85" s="2" t="n">
        <f aca="false">$B$73+AHR80*$C$73</f>
        <v>0.668384177529822</v>
      </c>
      <c r="AHS85" s="2" t="n">
        <f aca="false">$B$73+AHS80*$C$73</f>
        <v>0.559408123469362</v>
      </c>
      <c r="AHT85" s="2" t="n">
        <f aca="false">$B$73+AHT80*$C$73</f>
        <v>0.610755751132225</v>
      </c>
      <c r="AHU85" s="2" t="n">
        <f aca="false">$B$73+AHU80*$C$73</f>
        <v>0.590840761644764</v>
      </c>
      <c r="AHV85" s="2" t="n">
        <f aca="false">$B$73+AHV80*$C$73</f>
        <v>0.564435788094901</v>
      </c>
      <c r="AHW85" s="2" t="n">
        <f aca="false">$B$73+AHW80*$C$73</f>
        <v>0.557016711179975</v>
      </c>
      <c r="AHX85" s="2" t="n">
        <f aca="false">$B$73+AHX80*$C$73</f>
        <v>0.627220757478439</v>
      </c>
      <c r="AHY85" s="2" t="n">
        <f aca="false">$B$73+AHY80*$C$73</f>
        <v>0.622249380136224</v>
      </c>
      <c r="AHZ85" s="2" t="n">
        <f aca="false">$B$73+AHZ80*$C$73</f>
        <v>0.50810234198874</v>
      </c>
      <c r="AIA85" s="2" t="n">
        <f aca="false">$B$73+AIA80*$C$73</f>
        <v>0.614012092861963</v>
      </c>
      <c r="AIB85" s="2" t="n">
        <f aca="false">$B$73+AIB80*$C$73</f>
        <v>0.565278584409142</v>
      </c>
      <c r="AIC85" s="2" t="n">
        <f aca="false">$B$73+AIC80*$C$73</f>
        <v>0.583087063478199</v>
      </c>
      <c r="AID85" s="2" t="n">
        <f aca="false">$B$73+AID80*$C$73</f>
        <v>0.676397068364035</v>
      </c>
      <c r="AIE85" s="2" t="n">
        <f aca="false">$B$73+AIE80*$C$73</f>
        <v>0.611713939157251</v>
      </c>
      <c r="AIF85" s="2" t="n">
        <f aca="false">$B$73+AIF80*$C$73</f>
        <v>0.546998000713553</v>
      </c>
      <c r="AIG85" s="2" t="n">
        <f aca="false">$B$73+AIG80*$C$73</f>
        <v>0.582017298392031</v>
      </c>
      <c r="AIH85" s="2" t="n">
        <f aca="false">$B$73+AIH80*$C$73</f>
        <v>0.516516124758904</v>
      </c>
      <c r="AII85" s="2" t="n">
        <f aca="false">$B$73+AII80*$C$73</f>
        <v>0.594069867230659</v>
      </c>
      <c r="AIJ85" s="2" t="n">
        <f aca="false">$B$73+AIJ80*$C$73</f>
        <v>0.588298581796576</v>
      </c>
      <c r="AIK85" s="2" t="n">
        <f aca="false">$B$73+AIK80*$C$73</f>
        <v>0.64501319849104</v>
      </c>
      <c r="AIL85" s="2" t="n">
        <f aca="false">$B$73+AIL80*$C$73</f>
        <v>0.597147187866761</v>
      </c>
      <c r="AIM85" s="2" t="n">
        <f aca="false">$B$73+AIM80*$C$73</f>
        <v>0.574005812959355</v>
      </c>
      <c r="AIN85" s="2" t="n">
        <f aca="false">$B$73+AIN80*$C$73</f>
        <v>0.587277641766209</v>
      </c>
      <c r="AIO85" s="2" t="n">
        <f aca="false">$B$73+AIO80*$C$73</f>
        <v>0.62869911312324</v>
      </c>
      <c r="AIP85" s="2" t="n">
        <f aca="false">$B$73+AIP80*$C$73</f>
        <v>0.657869384533796</v>
      </c>
      <c r="AIQ85" s="2" t="n">
        <f aca="false">$B$73+AIQ80*$C$73</f>
        <v>0.600365845538574</v>
      </c>
      <c r="AIR85" s="2" t="n">
        <f aca="false">$B$73+AIR80*$C$73</f>
        <v>0.596781870586583</v>
      </c>
      <c r="AIS85" s="2" t="n">
        <f aca="false">$B$73+AIS80*$C$73</f>
        <v>0.647197840375251</v>
      </c>
      <c r="AIT85" s="2" t="n">
        <f aca="false">$B$73+AIT80*$C$73</f>
        <v>0.620798108866661</v>
      </c>
      <c r="AIU85" s="2" t="n">
        <f aca="false">$B$73+AIU80*$C$73</f>
        <v>0.533720921674334</v>
      </c>
      <c r="AIV85" s="2" t="n">
        <f aca="false">$B$73+AIV80*$C$73</f>
        <v>0.605116382394341</v>
      </c>
      <c r="AIW85" s="2" t="n">
        <f aca="false">$B$73+AIW80*$C$73</f>
        <v>0.756613392370136</v>
      </c>
      <c r="AIX85" s="2" t="n">
        <f aca="false">$B$73+AIX80*$C$73</f>
        <v>0.576561496551256</v>
      </c>
      <c r="AIY85" s="2" t="n">
        <f aca="false">$B$73+AIY80*$C$73</f>
        <v>0.593740047643129</v>
      </c>
      <c r="AIZ85" s="2" t="n">
        <f aca="false">$B$73+AIZ80*$C$73</f>
        <v>0.618415751238229</v>
      </c>
      <c r="AJA85" s="2" t="n">
        <f aca="false">$B$73+AJA80*$C$73</f>
        <v>0.662840708050004</v>
      </c>
      <c r="AJB85" s="2" t="n">
        <f aca="false">$B$73+AJB80*$C$73</f>
        <v>0.642573750387385</v>
      </c>
      <c r="AJC85" s="2" t="n">
        <f aca="false">$B$73+AJC80*$C$73</f>
        <v>0.590522985036027</v>
      </c>
      <c r="AJD85" s="2" t="n">
        <f aca="false">$B$73+AJD80*$C$73</f>
        <v>0.534682983897252</v>
      </c>
      <c r="AJE85" s="2" t="n">
        <f aca="false">$B$73+AJE80*$C$73</f>
        <v>0.644045349090476</v>
      </c>
      <c r="AJF85" s="2" t="n">
        <f aca="false">$B$73+AJF80*$C$73</f>
        <v>0.63653959733738</v>
      </c>
      <c r="AJG85" s="2" t="n">
        <f aca="false">$B$73+AJG80*$C$73</f>
        <v>0.437790249405911</v>
      </c>
      <c r="AJH85" s="2" t="n">
        <f aca="false">$B$73+AJH80*$C$73</f>
        <v>0.58260512456071</v>
      </c>
      <c r="AJI85" s="2" t="n">
        <f aca="false">$B$73+AJI80*$C$73</f>
        <v>0.621876343392491</v>
      </c>
      <c r="AJJ85" s="2" t="n">
        <f aca="false">$B$73+AJJ80*$C$73</f>
        <v>0.610350190876133</v>
      </c>
      <c r="AJK85" s="2" t="n">
        <f aca="false">$B$73+AJK80*$C$73</f>
        <v>0.621114176310354</v>
      </c>
      <c r="AJL85" s="2" t="n">
        <f aca="false">$B$73+AJL80*$C$73</f>
        <v>0.632887697418961</v>
      </c>
      <c r="AJM85" s="2" t="n">
        <f aca="false">$B$73+AJM80*$C$73</f>
        <v>0.620471521682043</v>
      </c>
      <c r="AJN85" s="2" t="n">
        <f aca="false">$B$73+AJN80*$C$73</f>
        <v>0.643791329357335</v>
      </c>
      <c r="AJO85" s="2" t="n">
        <f aca="false">$B$73+AJO80*$C$73</f>
        <v>0.621980476708838</v>
      </c>
      <c r="AJP85" s="2" t="n">
        <f aca="false">$B$73+AJP80*$C$73</f>
        <v>0.668556080247581</v>
      </c>
      <c r="AJQ85" s="2" t="n">
        <f aca="false">$B$73+AJQ80*$C$73</f>
        <v>0.601088245285674</v>
      </c>
      <c r="AJR85" s="2" t="n">
        <f aca="false">$B$73+AJR80*$C$73</f>
        <v>0.565325978980058</v>
      </c>
      <c r="AJS85" s="2" t="n">
        <f aca="false">$B$73+AJS80*$C$73</f>
        <v>0.589495326753147</v>
      </c>
      <c r="AJT85" s="2" t="n">
        <f aca="false">$B$73+AJT80*$C$73</f>
        <v>0.552356704676488</v>
      </c>
      <c r="AJU85" s="2" t="n">
        <f aca="false">$B$73+AJU80*$C$73</f>
        <v>0.703176566233508</v>
      </c>
      <c r="AJV85" s="2" t="n">
        <f aca="false">$B$73+AJV80*$C$73</f>
        <v>0.572419886227163</v>
      </c>
      <c r="AJW85" s="2" t="n">
        <f aca="false">$B$73+AJW80*$C$73</f>
        <v>0.609992462062061</v>
      </c>
      <c r="AJX85" s="2" t="n">
        <f aca="false">$B$73+AJX80*$C$73</f>
        <v>0.572562057530459</v>
      </c>
      <c r="AJY85" s="2" t="n">
        <f aca="false">$B$73+AJY80*$C$73</f>
        <v>0.61646411594222</v>
      </c>
      <c r="AJZ85" s="2" t="n">
        <f aca="false">$B$73+AJZ80*$C$73</f>
        <v>0.523749344937148</v>
      </c>
      <c r="AKA85" s="2" t="n">
        <f aca="false">$B$73+AKA80*$C$73</f>
        <v>0.637675275151568</v>
      </c>
      <c r="AKB85" s="2" t="n">
        <f aca="false">$B$73+AKB80*$C$73</f>
        <v>0.525891458981493</v>
      </c>
      <c r="AKC85" s="2" t="n">
        <f aca="false">$B$73+AKC80*$C$73</f>
        <v>0.632568605298955</v>
      </c>
      <c r="AKD85" s="2" t="n">
        <f aca="false">$B$73+AKD80*$C$73</f>
        <v>0.544715049181883</v>
      </c>
      <c r="AKE85" s="2" t="n">
        <f aca="false">$B$73+AKE80*$C$73</f>
        <v>0.632184086754287</v>
      </c>
      <c r="AKF85" s="2" t="n">
        <f aca="false">$B$73+AKF80*$C$73</f>
        <v>0.648959504470223</v>
      </c>
      <c r="AKG85" s="2" t="n">
        <f aca="false">$B$73+AKG80*$C$73</f>
        <v>0.567528180509519</v>
      </c>
      <c r="AKH85" s="2" t="n">
        <f aca="false">$B$73+AKH80*$C$73</f>
        <v>0.641853536935628</v>
      </c>
      <c r="AKI85" s="2" t="n">
        <f aca="false">$B$73+AKI80*$C$73</f>
        <v>0.535873621853814</v>
      </c>
      <c r="AKJ85" s="2" t="n">
        <f aca="false">$B$73+AKJ80*$C$73</f>
        <v>0.491704673553646</v>
      </c>
      <c r="AKK85" s="2" t="n">
        <f aca="false">$B$73+AKK80*$C$73</f>
        <v>0.529139219580958</v>
      </c>
      <c r="AKL85" s="2" t="n">
        <f aca="false">$B$73+AKL80*$C$73</f>
        <v>0.556287862367775</v>
      </c>
      <c r="AKM85" s="2" t="n">
        <f aca="false">$B$73+AKM80*$C$73</f>
        <v>0.620702307496056</v>
      </c>
      <c r="AKN85" s="2" t="n">
        <f aca="false">$B$73+AKN80*$C$73</f>
        <v>0.619894909954721</v>
      </c>
      <c r="AKO85" s="2" t="n">
        <f aca="false">$B$73+AKO80*$C$73</f>
        <v>0.617190924004714</v>
      </c>
      <c r="AKP85" s="2" t="n">
        <f aca="false">$B$73+AKP80*$C$73</f>
        <v>0.525667744878768</v>
      </c>
      <c r="AKQ85" s="2" t="n">
        <f aca="false">$B$73+AKQ80*$C$73</f>
        <v>0.619681990877935</v>
      </c>
      <c r="AKR85" s="2" t="n">
        <f aca="false">$B$73+AKR80*$C$73</f>
        <v>0.609731663704822</v>
      </c>
      <c r="AKS85" s="2" t="n">
        <f aca="false">$B$73+AKS80*$C$73</f>
        <v>0.586805560512109</v>
      </c>
      <c r="AKT85" s="2" t="n">
        <f aca="false">$B$73+AKT80*$C$73</f>
        <v>0.627252678326796</v>
      </c>
      <c r="AKU85" s="2" t="n">
        <f aca="false">$B$73+AKU80*$C$73</f>
        <v>0.571707844471062</v>
      </c>
      <c r="AKV85" s="2" t="n">
        <f aca="false">$B$73+AKV80*$C$73</f>
        <v>0.61683576201622</v>
      </c>
      <c r="AKW85" s="2" t="n">
        <f aca="false">$B$73+AKW80*$C$73</f>
        <v>0.604585189838451</v>
      </c>
      <c r="AKX85" s="2" t="n">
        <f aca="false">$B$73+AKX80*$C$73</f>
        <v>0.56521511879437</v>
      </c>
      <c r="AKY85" s="2" t="n">
        <f aca="false">$B$73+AKY80*$C$73</f>
        <v>0.691267403342064</v>
      </c>
      <c r="AKZ85" s="2" t="n">
        <f aca="false">$B$73+AKZ80*$C$73</f>
        <v>0.515634215632057</v>
      </c>
      <c r="ALA85" s="2" t="n">
        <f aca="false">$B$73+ALA80*$C$73</f>
        <v>0.617398414050794</v>
      </c>
      <c r="ALB85" s="2" t="n">
        <f aca="false">$B$73+ALB80*$C$73</f>
        <v>0.646032380930454</v>
      </c>
      <c r="ALC85" s="2" t="n">
        <f aca="false">$B$73+ALC80*$C$73</f>
        <v>0.617440318906096</v>
      </c>
      <c r="ALD85" s="2" t="n">
        <f aca="false">$B$73+ALD80*$C$73</f>
        <v>0.6036569401014</v>
      </c>
      <c r="ALE85" s="2" t="n">
        <f aca="false">$B$73+ALE80*$C$73</f>
        <v>0.561612756273335</v>
      </c>
      <c r="ALF85" s="2" t="n">
        <f aca="false">$B$73+ALF80*$C$73</f>
        <v>0.517356971263092</v>
      </c>
      <c r="ALG85" s="2" t="n">
        <f aca="false">$B$73+ALG80*$C$73</f>
        <v>0.652290702929287</v>
      </c>
      <c r="ALH85" s="2" t="n">
        <f aca="false">$B$73+ALH80*$C$73</f>
        <v>0.676402318201996</v>
      </c>
      <c r="ALI85" s="2" t="n">
        <f aca="false">$B$73+ALI80*$C$73</f>
        <v>0.613466187555143</v>
      </c>
      <c r="ALJ85" s="2" t="n">
        <f aca="false">$B$73+ALJ80*$C$73</f>
        <v>0.624603962486447</v>
      </c>
      <c r="ALK85" s="2" t="n">
        <f aca="false">$B$73+ALK80*$C$73</f>
        <v>0.580659066856273</v>
      </c>
      <c r="ALL85" s="2" t="n">
        <f aca="false">$B$73+ALL80*$C$73</f>
        <v>0.54097214771263</v>
      </c>
      <c r="ALM85" s="2" t="n">
        <f aca="false">$B$73+ALM80*$C$73</f>
        <v>0.557759426633352</v>
      </c>
    </row>
    <row r="87" customFormat="false" ht="14.5" hidden="false" customHeight="false" outlineLevel="0" collapsed="false">
      <c r="A87" s="94" t="s">
        <v>85</v>
      </c>
    </row>
    <row r="88" customFormat="false" ht="14.5" hidden="false" customHeight="false" outlineLevel="0" collapsed="false">
      <c r="A88" s="10" t="s">
        <v>14</v>
      </c>
      <c r="B88" s="0" t="n">
        <f aca="false">-$B$66</f>
        <v>-9500</v>
      </c>
      <c r="C88" s="0" t="n">
        <f aca="false">-$B$66</f>
        <v>-9500</v>
      </c>
      <c r="D88" s="0" t="n">
        <f aca="false">-$B$66</f>
        <v>-9500</v>
      </c>
      <c r="E88" s="0" t="n">
        <f aca="false">-$B$66</f>
        <v>-9500</v>
      </c>
      <c r="F88" s="0" t="n">
        <f aca="false">-$B$66</f>
        <v>-9500</v>
      </c>
      <c r="G88" s="0" t="n">
        <f aca="false">-$B$66</f>
        <v>-9500</v>
      </c>
      <c r="H88" s="0" t="n">
        <f aca="false">-$B$66</f>
        <v>-9500</v>
      </c>
      <c r="I88" s="0" t="n">
        <f aca="false">-$B$66</f>
        <v>-9500</v>
      </c>
      <c r="J88" s="0" t="n">
        <f aca="false">-$B$66</f>
        <v>-9500</v>
      </c>
      <c r="K88" s="0" t="n">
        <f aca="false">-$B$66</f>
        <v>-9500</v>
      </c>
      <c r="L88" s="0" t="n">
        <f aca="false">-$B$66</f>
        <v>-9500</v>
      </c>
      <c r="M88" s="0" t="n">
        <f aca="false">-$B$66</f>
        <v>-9500</v>
      </c>
      <c r="N88" s="0" t="n">
        <f aca="false">-$B$66</f>
        <v>-9500</v>
      </c>
      <c r="O88" s="0" t="n">
        <f aca="false">-$B$66</f>
        <v>-9500</v>
      </c>
      <c r="P88" s="0" t="n">
        <f aca="false">-$B$66</f>
        <v>-9500</v>
      </c>
      <c r="Q88" s="0" t="n">
        <f aca="false">-$B$66</f>
        <v>-9500</v>
      </c>
      <c r="R88" s="0" t="n">
        <f aca="false">-$B$66</f>
        <v>-9500</v>
      </c>
      <c r="S88" s="0" t="n">
        <f aca="false">-$B$66</f>
        <v>-9500</v>
      </c>
      <c r="T88" s="0" t="n">
        <f aca="false">-$B$66</f>
        <v>-9500</v>
      </c>
      <c r="U88" s="0" t="n">
        <f aca="false">-$B$66</f>
        <v>-9500</v>
      </c>
      <c r="V88" s="0" t="n">
        <f aca="false">-$B$66</f>
        <v>-9500</v>
      </c>
      <c r="W88" s="0" t="n">
        <f aca="false">-$B$66</f>
        <v>-9500</v>
      </c>
      <c r="X88" s="0" t="n">
        <f aca="false">-$B$66</f>
        <v>-9500</v>
      </c>
      <c r="Y88" s="0" t="n">
        <f aca="false">-$B$66</f>
        <v>-9500</v>
      </c>
      <c r="Z88" s="0" t="n">
        <f aca="false">-$B$66</f>
        <v>-9500</v>
      </c>
      <c r="AA88" s="0" t="n">
        <f aca="false">-$B$66</f>
        <v>-9500</v>
      </c>
      <c r="AB88" s="0" t="n">
        <f aca="false">-$B$66</f>
        <v>-9500</v>
      </c>
      <c r="AC88" s="0" t="n">
        <f aca="false">-$B$66</f>
        <v>-9500</v>
      </c>
      <c r="AD88" s="0" t="n">
        <f aca="false">-$B$66</f>
        <v>-9500</v>
      </c>
      <c r="AE88" s="0" t="n">
        <f aca="false">-$B$66</f>
        <v>-9500</v>
      </c>
      <c r="AF88" s="0" t="n">
        <f aca="false">-$B$66</f>
        <v>-9500</v>
      </c>
      <c r="AG88" s="0" t="n">
        <f aca="false">-$B$66</f>
        <v>-9500</v>
      </c>
      <c r="AH88" s="0" t="n">
        <f aca="false">-$B$66</f>
        <v>-9500</v>
      </c>
      <c r="AI88" s="0" t="n">
        <f aca="false">-$B$66</f>
        <v>-9500</v>
      </c>
      <c r="AJ88" s="0" t="n">
        <f aca="false">-$B$66</f>
        <v>-9500</v>
      </c>
      <c r="AK88" s="0" t="n">
        <f aca="false">-$B$66</f>
        <v>-9500</v>
      </c>
      <c r="AL88" s="0" t="n">
        <f aca="false">-$B$66</f>
        <v>-9500</v>
      </c>
      <c r="AM88" s="0" t="n">
        <f aca="false">-$B$66</f>
        <v>-9500</v>
      </c>
      <c r="AN88" s="0" t="n">
        <f aca="false">-$B$66</f>
        <v>-9500</v>
      </c>
      <c r="AO88" s="0" t="n">
        <f aca="false">-$B$66</f>
        <v>-9500</v>
      </c>
      <c r="AP88" s="0" t="n">
        <f aca="false">-$B$66</f>
        <v>-9500</v>
      </c>
      <c r="AQ88" s="0" t="n">
        <f aca="false">-$B$66</f>
        <v>-9500</v>
      </c>
      <c r="AR88" s="0" t="n">
        <f aca="false">-$B$66</f>
        <v>-9500</v>
      </c>
      <c r="AS88" s="0" t="n">
        <f aca="false">-$B$66</f>
        <v>-9500</v>
      </c>
      <c r="AT88" s="0" t="n">
        <f aca="false">-$B$66</f>
        <v>-9500</v>
      </c>
      <c r="AU88" s="0" t="n">
        <f aca="false">-$B$66</f>
        <v>-9500</v>
      </c>
      <c r="AV88" s="0" t="n">
        <f aca="false">-$B$66</f>
        <v>-9500</v>
      </c>
      <c r="AW88" s="0" t="n">
        <f aca="false">-$B$66</f>
        <v>-9500</v>
      </c>
      <c r="AX88" s="0" t="n">
        <f aca="false">-$B$66</f>
        <v>-9500</v>
      </c>
      <c r="AY88" s="0" t="n">
        <f aca="false">-$B$66</f>
        <v>-9500</v>
      </c>
      <c r="AZ88" s="0" t="n">
        <f aca="false">-$B$66</f>
        <v>-9500</v>
      </c>
      <c r="BA88" s="0" t="n">
        <f aca="false">-$B$66</f>
        <v>-9500</v>
      </c>
      <c r="BB88" s="0" t="n">
        <f aca="false">-$B$66</f>
        <v>-9500</v>
      </c>
      <c r="BC88" s="0" t="n">
        <f aca="false">-$B$66</f>
        <v>-9500</v>
      </c>
      <c r="BD88" s="0" t="n">
        <f aca="false">-$B$66</f>
        <v>-9500</v>
      </c>
      <c r="BE88" s="0" t="n">
        <f aca="false">-$B$66</f>
        <v>-9500</v>
      </c>
      <c r="BF88" s="0" t="n">
        <f aca="false">-$B$66</f>
        <v>-9500</v>
      </c>
      <c r="BG88" s="0" t="n">
        <f aca="false">-$B$66</f>
        <v>-9500</v>
      </c>
      <c r="BH88" s="0" t="n">
        <f aca="false">-$B$66</f>
        <v>-9500</v>
      </c>
      <c r="BI88" s="0" t="n">
        <f aca="false">-$B$66</f>
        <v>-9500</v>
      </c>
      <c r="BJ88" s="0" t="n">
        <f aca="false">-$B$66</f>
        <v>-9500</v>
      </c>
      <c r="BK88" s="0" t="n">
        <f aca="false">-$B$66</f>
        <v>-9500</v>
      </c>
      <c r="BL88" s="0" t="n">
        <f aca="false">-$B$66</f>
        <v>-9500</v>
      </c>
      <c r="BM88" s="0" t="n">
        <f aca="false">-$B$66</f>
        <v>-9500</v>
      </c>
      <c r="BN88" s="0" t="n">
        <f aca="false">-$B$66</f>
        <v>-9500</v>
      </c>
      <c r="BO88" s="0" t="n">
        <f aca="false">-$B$66</f>
        <v>-9500</v>
      </c>
      <c r="BP88" s="0" t="n">
        <f aca="false">-$B$66</f>
        <v>-9500</v>
      </c>
      <c r="BQ88" s="0" t="n">
        <f aca="false">-$B$66</f>
        <v>-9500</v>
      </c>
      <c r="BR88" s="0" t="n">
        <f aca="false">-$B$66</f>
        <v>-9500</v>
      </c>
      <c r="BS88" s="0" t="n">
        <f aca="false">-$B$66</f>
        <v>-9500</v>
      </c>
      <c r="BT88" s="0" t="n">
        <f aca="false">-$B$66</f>
        <v>-9500</v>
      </c>
      <c r="BU88" s="0" t="n">
        <f aca="false">-$B$66</f>
        <v>-9500</v>
      </c>
      <c r="BV88" s="0" t="n">
        <f aca="false">-$B$66</f>
        <v>-9500</v>
      </c>
      <c r="BW88" s="0" t="n">
        <f aca="false">-$B$66</f>
        <v>-9500</v>
      </c>
      <c r="BX88" s="0" t="n">
        <f aca="false">-$B$66</f>
        <v>-9500</v>
      </c>
      <c r="BY88" s="0" t="n">
        <f aca="false">-$B$66</f>
        <v>-9500</v>
      </c>
      <c r="BZ88" s="0" t="n">
        <f aca="false">-$B$66</f>
        <v>-9500</v>
      </c>
      <c r="CA88" s="0" t="n">
        <f aca="false">-$B$66</f>
        <v>-9500</v>
      </c>
      <c r="CB88" s="0" t="n">
        <f aca="false">-$B$66</f>
        <v>-9500</v>
      </c>
      <c r="CC88" s="0" t="n">
        <f aca="false">-$B$66</f>
        <v>-9500</v>
      </c>
      <c r="CD88" s="0" t="n">
        <f aca="false">-$B$66</f>
        <v>-9500</v>
      </c>
      <c r="CE88" s="0" t="n">
        <f aca="false">-$B$66</f>
        <v>-9500</v>
      </c>
      <c r="CF88" s="0" t="n">
        <f aca="false">-$B$66</f>
        <v>-9500</v>
      </c>
      <c r="CG88" s="0" t="n">
        <f aca="false">-$B$66</f>
        <v>-9500</v>
      </c>
      <c r="CH88" s="0" t="n">
        <f aca="false">-$B$66</f>
        <v>-9500</v>
      </c>
      <c r="CI88" s="0" t="n">
        <f aca="false">-$B$66</f>
        <v>-9500</v>
      </c>
      <c r="CJ88" s="0" t="n">
        <f aca="false">-$B$66</f>
        <v>-9500</v>
      </c>
      <c r="CK88" s="0" t="n">
        <f aca="false">-$B$66</f>
        <v>-9500</v>
      </c>
      <c r="CL88" s="0" t="n">
        <f aca="false">-$B$66</f>
        <v>-9500</v>
      </c>
      <c r="CM88" s="0" t="n">
        <f aca="false">-$B$66</f>
        <v>-9500</v>
      </c>
      <c r="CN88" s="0" t="n">
        <f aca="false">-$B$66</f>
        <v>-9500</v>
      </c>
      <c r="CO88" s="0" t="n">
        <f aca="false">-$B$66</f>
        <v>-9500</v>
      </c>
      <c r="CP88" s="0" t="n">
        <f aca="false">-$B$66</f>
        <v>-9500</v>
      </c>
      <c r="CQ88" s="0" t="n">
        <f aca="false">-$B$66</f>
        <v>-9500</v>
      </c>
      <c r="CR88" s="0" t="n">
        <f aca="false">-$B$66</f>
        <v>-9500</v>
      </c>
      <c r="CS88" s="0" t="n">
        <f aca="false">-$B$66</f>
        <v>-9500</v>
      </c>
      <c r="CT88" s="0" t="n">
        <f aca="false">-$B$66</f>
        <v>-9500</v>
      </c>
      <c r="CU88" s="0" t="n">
        <f aca="false">-$B$66</f>
        <v>-9500</v>
      </c>
      <c r="CV88" s="0" t="n">
        <f aca="false">-$B$66</f>
        <v>-9500</v>
      </c>
      <c r="CW88" s="0" t="n">
        <f aca="false">-$B$66</f>
        <v>-9500</v>
      </c>
      <c r="CX88" s="0" t="n">
        <f aca="false">-$B$66</f>
        <v>-9500</v>
      </c>
      <c r="CY88" s="0" t="n">
        <f aca="false">-$B$66</f>
        <v>-9500</v>
      </c>
      <c r="CZ88" s="0" t="n">
        <f aca="false">-$B$66</f>
        <v>-9500</v>
      </c>
      <c r="DA88" s="0" t="n">
        <f aca="false">-$B$66</f>
        <v>-9500</v>
      </c>
      <c r="DB88" s="0" t="n">
        <f aca="false">-$B$66</f>
        <v>-9500</v>
      </c>
      <c r="DC88" s="0" t="n">
        <f aca="false">-$B$66</f>
        <v>-9500</v>
      </c>
      <c r="DD88" s="0" t="n">
        <f aca="false">-$B$66</f>
        <v>-9500</v>
      </c>
      <c r="DE88" s="0" t="n">
        <f aca="false">-$B$66</f>
        <v>-9500</v>
      </c>
      <c r="DF88" s="0" t="n">
        <f aca="false">-$B$66</f>
        <v>-9500</v>
      </c>
      <c r="DG88" s="0" t="n">
        <f aca="false">-$B$66</f>
        <v>-9500</v>
      </c>
      <c r="DH88" s="0" t="n">
        <f aca="false">-$B$66</f>
        <v>-9500</v>
      </c>
      <c r="DI88" s="0" t="n">
        <f aca="false">-$B$66</f>
        <v>-9500</v>
      </c>
      <c r="DJ88" s="0" t="n">
        <f aca="false">-$B$66</f>
        <v>-9500</v>
      </c>
      <c r="DK88" s="0" t="n">
        <f aca="false">-$B$66</f>
        <v>-9500</v>
      </c>
      <c r="DL88" s="0" t="n">
        <f aca="false">-$B$66</f>
        <v>-9500</v>
      </c>
      <c r="DM88" s="0" t="n">
        <f aca="false">-$B$66</f>
        <v>-9500</v>
      </c>
      <c r="DN88" s="0" t="n">
        <f aca="false">-$B$66</f>
        <v>-9500</v>
      </c>
      <c r="DO88" s="0" t="n">
        <f aca="false">-$B$66</f>
        <v>-9500</v>
      </c>
      <c r="DP88" s="0" t="n">
        <f aca="false">-$B$66</f>
        <v>-9500</v>
      </c>
      <c r="DQ88" s="0" t="n">
        <f aca="false">-$B$66</f>
        <v>-9500</v>
      </c>
      <c r="DR88" s="0" t="n">
        <f aca="false">-$B$66</f>
        <v>-9500</v>
      </c>
      <c r="DS88" s="0" t="n">
        <f aca="false">-$B$66</f>
        <v>-9500</v>
      </c>
      <c r="DT88" s="0" t="n">
        <f aca="false">-$B$66</f>
        <v>-9500</v>
      </c>
      <c r="DU88" s="0" t="n">
        <f aca="false">-$B$66</f>
        <v>-9500</v>
      </c>
      <c r="DV88" s="0" t="n">
        <f aca="false">-$B$66</f>
        <v>-9500</v>
      </c>
      <c r="DW88" s="0" t="n">
        <f aca="false">-$B$66</f>
        <v>-9500</v>
      </c>
      <c r="DX88" s="0" t="n">
        <f aca="false">-$B$66</f>
        <v>-9500</v>
      </c>
      <c r="DY88" s="0" t="n">
        <f aca="false">-$B$66</f>
        <v>-9500</v>
      </c>
      <c r="DZ88" s="0" t="n">
        <f aca="false">-$B$66</f>
        <v>-9500</v>
      </c>
      <c r="EA88" s="0" t="n">
        <f aca="false">-$B$66</f>
        <v>-9500</v>
      </c>
      <c r="EB88" s="0" t="n">
        <f aca="false">-$B$66</f>
        <v>-9500</v>
      </c>
      <c r="EC88" s="0" t="n">
        <f aca="false">-$B$66</f>
        <v>-9500</v>
      </c>
      <c r="ED88" s="0" t="n">
        <f aca="false">-$B$66</f>
        <v>-9500</v>
      </c>
      <c r="EE88" s="0" t="n">
        <f aca="false">-$B$66</f>
        <v>-9500</v>
      </c>
      <c r="EF88" s="0" t="n">
        <f aca="false">-$B$66</f>
        <v>-9500</v>
      </c>
      <c r="EG88" s="0" t="n">
        <f aca="false">-$B$66</f>
        <v>-9500</v>
      </c>
      <c r="EH88" s="0" t="n">
        <f aca="false">-$B$66</f>
        <v>-9500</v>
      </c>
      <c r="EI88" s="0" t="n">
        <f aca="false">-$B$66</f>
        <v>-9500</v>
      </c>
      <c r="EJ88" s="0" t="n">
        <f aca="false">-$B$66</f>
        <v>-9500</v>
      </c>
      <c r="EK88" s="0" t="n">
        <f aca="false">-$B$66</f>
        <v>-9500</v>
      </c>
      <c r="EL88" s="0" t="n">
        <f aca="false">-$B$66</f>
        <v>-9500</v>
      </c>
      <c r="EM88" s="0" t="n">
        <f aca="false">-$B$66</f>
        <v>-9500</v>
      </c>
      <c r="EN88" s="0" t="n">
        <f aca="false">-$B$66</f>
        <v>-9500</v>
      </c>
      <c r="EO88" s="0" t="n">
        <f aca="false">-$B$66</f>
        <v>-9500</v>
      </c>
      <c r="EP88" s="0" t="n">
        <f aca="false">-$B$66</f>
        <v>-9500</v>
      </c>
      <c r="EQ88" s="0" t="n">
        <f aca="false">-$B$66</f>
        <v>-9500</v>
      </c>
      <c r="ER88" s="0" t="n">
        <f aca="false">-$B$66</f>
        <v>-9500</v>
      </c>
      <c r="ES88" s="0" t="n">
        <f aca="false">-$B$66</f>
        <v>-9500</v>
      </c>
      <c r="ET88" s="0" t="n">
        <f aca="false">-$B$66</f>
        <v>-9500</v>
      </c>
      <c r="EU88" s="0" t="n">
        <f aca="false">-$B$66</f>
        <v>-9500</v>
      </c>
      <c r="EV88" s="0" t="n">
        <f aca="false">-$B$66</f>
        <v>-9500</v>
      </c>
      <c r="EW88" s="0" t="n">
        <f aca="false">-$B$66</f>
        <v>-9500</v>
      </c>
      <c r="EX88" s="0" t="n">
        <f aca="false">-$B$66</f>
        <v>-9500</v>
      </c>
      <c r="EY88" s="0" t="n">
        <f aca="false">-$B$66</f>
        <v>-9500</v>
      </c>
      <c r="EZ88" s="0" t="n">
        <f aca="false">-$B$66</f>
        <v>-9500</v>
      </c>
      <c r="FA88" s="0" t="n">
        <f aca="false">-$B$66</f>
        <v>-9500</v>
      </c>
      <c r="FB88" s="0" t="n">
        <f aca="false">-$B$66</f>
        <v>-9500</v>
      </c>
      <c r="FC88" s="0" t="n">
        <f aca="false">-$B$66</f>
        <v>-9500</v>
      </c>
      <c r="FD88" s="0" t="n">
        <f aca="false">-$B$66</f>
        <v>-9500</v>
      </c>
      <c r="FE88" s="0" t="n">
        <f aca="false">-$B$66</f>
        <v>-9500</v>
      </c>
      <c r="FF88" s="0" t="n">
        <f aca="false">-$B$66</f>
        <v>-9500</v>
      </c>
      <c r="FG88" s="0" t="n">
        <f aca="false">-$B$66</f>
        <v>-9500</v>
      </c>
      <c r="FH88" s="0" t="n">
        <f aca="false">-$B$66</f>
        <v>-9500</v>
      </c>
      <c r="FI88" s="0" t="n">
        <f aca="false">-$B$66</f>
        <v>-9500</v>
      </c>
      <c r="FJ88" s="0" t="n">
        <f aca="false">-$B$66</f>
        <v>-9500</v>
      </c>
      <c r="FK88" s="0" t="n">
        <f aca="false">-$B$66</f>
        <v>-9500</v>
      </c>
      <c r="FL88" s="0" t="n">
        <f aca="false">-$B$66</f>
        <v>-9500</v>
      </c>
      <c r="FM88" s="0" t="n">
        <f aca="false">-$B$66</f>
        <v>-9500</v>
      </c>
      <c r="FN88" s="0" t="n">
        <f aca="false">-$B$66</f>
        <v>-9500</v>
      </c>
      <c r="FO88" s="0" t="n">
        <f aca="false">-$B$66</f>
        <v>-9500</v>
      </c>
      <c r="FP88" s="0" t="n">
        <f aca="false">-$B$66</f>
        <v>-9500</v>
      </c>
      <c r="FQ88" s="0" t="n">
        <f aca="false">-$B$66</f>
        <v>-9500</v>
      </c>
      <c r="FR88" s="0" t="n">
        <f aca="false">-$B$66</f>
        <v>-9500</v>
      </c>
      <c r="FS88" s="0" t="n">
        <f aca="false">-$B$66</f>
        <v>-9500</v>
      </c>
      <c r="FT88" s="0" t="n">
        <f aca="false">-$B$66</f>
        <v>-9500</v>
      </c>
      <c r="FU88" s="0" t="n">
        <f aca="false">-$B$66</f>
        <v>-9500</v>
      </c>
      <c r="FV88" s="0" t="n">
        <f aca="false">-$B$66</f>
        <v>-9500</v>
      </c>
      <c r="FW88" s="0" t="n">
        <f aca="false">-$B$66</f>
        <v>-9500</v>
      </c>
      <c r="FX88" s="0" t="n">
        <f aca="false">-$B$66</f>
        <v>-9500</v>
      </c>
      <c r="FY88" s="0" t="n">
        <f aca="false">-$B$66</f>
        <v>-9500</v>
      </c>
      <c r="FZ88" s="0" t="n">
        <f aca="false">-$B$66</f>
        <v>-9500</v>
      </c>
      <c r="GA88" s="0" t="n">
        <f aca="false">-$B$66</f>
        <v>-9500</v>
      </c>
      <c r="GB88" s="0" t="n">
        <f aca="false">-$B$66</f>
        <v>-9500</v>
      </c>
      <c r="GC88" s="0" t="n">
        <f aca="false">-$B$66</f>
        <v>-9500</v>
      </c>
      <c r="GD88" s="0" t="n">
        <f aca="false">-$B$66</f>
        <v>-9500</v>
      </c>
      <c r="GE88" s="0" t="n">
        <f aca="false">-$B$66</f>
        <v>-9500</v>
      </c>
      <c r="GF88" s="0" t="n">
        <f aca="false">-$B$66</f>
        <v>-9500</v>
      </c>
      <c r="GG88" s="0" t="n">
        <f aca="false">-$B$66</f>
        <v>-9500</v>
      </c>
      <c r="GH88" s="0" t="n">
        <f aca="false">-$B$66</f>
        <v>-9500</v>
      </c>
      <c r="GI88" s="0" t="n">
        <f aca="false">-$B$66</f>
        <v>-9500</v>
      </c>
      <c r="GJ88" s="0" t="n">
        <f aca="false">-$B$66</f>
        <v>-9500</v>
      </c>
      <c r="GK88" s="0" t="n">
        <f aca="false">-$B$66</f>
        <v>-9500</v>
      </c>
      <c r="GL88" s="0" t="n">
        <f aca="false">-$B$66</f>
        <v>-9500</v>
      </c>
      <c r="GM88" s="0" t="n">
        <f aca="false">-$B$66</f>
        <v>-9500</v>
      </c>
      <c r="GN88" s="0" t="n">
        <f aca="false">-$B$66</f>
        <v>-9500</v>
      </c>
      <c r="GO88" s="0" t="n">
        <f aca="false">-$B$66</f>
        <v>-9500</v>
      </c>
      <c r="GP88" s="0" t="n">
        <f aca="false">-$B$66</f>
        <v>-9500</v>
      </c>
      <c r="GQ88" s="0" t="n">
        <f aca="false">-$B$66</f>
        <v>-9500</v>
      </c>
      <c r="GR88" s="0" t="n">
        <f aca="false">-$B$66</f>
        <v>-9500</v>
      </c>
      <c r="GS88" s="0" t="n">
        <f aca="false">-$B$66</f>
        <v>-9500</v>
      </c>
      <c r="GT88" s="0" t="n">
        <f aca="false">-$B$66</f>
        <v>-9500</v>
      </c>
      <c r="GU88" s="0" t="n">
        <f aca="false">-$B$66</f>
        <v>-9500</v>
      </c>
      <c r="GV88" s="0" t="n">
        <f aca="false">-$B$66</f>
        <v>-9500</v>
      </c>
      <c r="GW88" s="0" t="n">
        <f aca="false">-$B$66</f>
        <v>-9500</v>
      </c>
      <c r="GX88" s="0" t="n">
        <f aca="false">-$B$66</f>
        <v>-9500</v>
      </c>
      <c r="GY88" s="0" t="n">
        <f aca="false">-$B$66</f>
        <v>-9500</v>
      </c>
      <c r="GZ88" s="0" t="n">
        <f aca="false">-$B$66</f>
        <v>-9500</v>
      </c>
      <c r="HA88" s="0" t="n">
        <f aca="false">-$B$66</f>
        <v>-9500</v>
      </c>
      <c r="HB88" s="0" t="n">
        <f aca="false">-$B$66</f>
        <v>-9500</v>
      </c>
      <c r="HC88" s="0" t="n">
        <f aca="false">-$B$66</f>
        <v>-9500</v>
      </c>
      <c r="HD88" s="0" t="n">
        <f aca="false">-$B$66</f>
        <v>-9500</v>
      </c>
      <c r="HE88" s="0" t="n">
        <f aca="false">-$B$66</f>
        <v>-9500</v>
      </c>
      <c r="HF88" s="0" t="n">
        <f aca="false">-$B$66</f>
        <v>-9500</v>
      </c>
      <c r="HG88" s="0" t="n">
        <f aca="false">-$B$66</f>
        <v>-9500</v>
      </c>
      <c r="HH88" s="0" t="n">
        <f aca="false">-$B$66</f>
        <v>-9500</v>
      </c>
      <c r="HI88" s="0" t="n">
        <f aca="false">-$B$66</f>
        <v>-9500</v>
      </c>
      <c r="HJ88" s="0" t="n">
        <f aca="false">-$B$66</f>
        <v>-9500</v>
      </c>
      <c r="HK88" s="0" t="n">
        <f aca="false">-$B$66</f>
        <v>-9500</v>
      </c>
      <c r="HL88" s="0" t="n">
        <f aca="false">-$B$66</f>
        <v>-9500</v>
      </c>
      <c r="HM88" s="0" t="n">
        <f aca="false">-$B$66</f>
        <v>-9500</v>
      </c>
      <c r="HN88" s="0" t="n">
        <f aca="false">-$B$66</f>
        <v>-9500</v>
      </c>
      <c r="HO88" s="0" t="n">
        <f aca="false">-$B$66</f>
        <v>-9500</v>
      </c>
      <c r="HP88" s="0" t="n">
        <f aca="false">-$B$66</f>
        <v>-9500</v>
      </c>
      <c r="HQ88" s="0" t="n">
        <f aca="false">-$B$66</f>
        <v>-9500</v>
      </c>
      <c r="HR88" s="0" t="n">
        <f aca="false">-$B$66</f>
        <v>-9500</v>
      </c>
      <c r="HS88" s="0" t="n">
        <f aca="false">-$B$66</f>
        <v>-9500</v>
      </c>
      <c r="HT88" s="0" t="n">
        <f aca="false">-$B$66</f>
        <v>-9500</v>
      </c>
      <c r="HU88" s="0" t="n">
        <f aca="false">-$B$66</f>
        <v>-9500</v>
      </c>
      <c r="HV88" s="0" t="n">
        <f aca="false">-$B$66</f>
        <v>-9500</v>
      </c>
      <c r="HW88" s="0" t="n">
        <f aca="false">-$B$66</f>
        <v>-9500</v>
      </c>
      <c r="HX88" s="0" t="n">
        <f aca="false">-$B$66</f>
        <v>-9500</v>
      </c>
      <c r="HY88" s="0" t="n">
        <f aca="false">-$B$66</f>
        <v>-9500</v>
      </c>
      <c r="HZ88" s="0" t="n">
        <f aca="false">-$B$66</f>
        <v>-9500</v>
      </c>
      <c r="IA88" s="0" t="n">
        <f aca="false">-$B$66</f>
        <v>-9500</v>
      </c>
      <c r="IB88" s="0" t="n">
        <f aca="false">-$B$66</f>
        <v>-9500</v>
      </c>
      <c r="IC88" s="0" t="n">
        <f aca="false">-$B$66</f>
        <v>-9500</v>
      </c>
      <c r="ID88" s="0" t="n">
        <f aca="false">-$B$66</f>
        <v>-9500</v>
      </c>
      <c r="IE88" s="0" t="n">
        <f aca="false">-$B$66</f>
        <v>-9500</v>
      </c>
      <c r="IF88" s="0" t="n">
        <f aca="false">-$B$66</f>
        <v>-9500</v>
      </c>
      <c r="IG88" s="0" t="n">
        <f aca="false">-$B$66</f>
        <v>-9500</v>
      </c>
      <c r="IH88" s="0" t="n">
        <f aca="false">-$B$66</f>
        <v>-9500</v>
      </c>
      <c r="II88" s="0" t="n">
        <f aca="false">-$B$66</f>
        <v>-9500</v>
      </c>
      <c r="IJ88" s="0" t="n">
        <f aca="false">-$B$66</f>
        <v>-9500</v>
      </c>
      <c r="IK88" s="0" t="n">
        <f aca="false">-$B$66</f>
        <v>-9500</v>
      </c>
      <c r="IL88" s="0" t="n">
        <f aca="false">-$B$66</f>
        <v>-9500</v>
      </c>
      <c r="IM88" s="0" t="n">
        <f aca="false">-$B$66</f>
        <v>-9500</v>
      </c>
      <c r="IN88" s="0" t="n">
        <f aca="false">-$B$66</f>
        <v>-9500</v>
      </c>
      <c r="IO88" s="0" t="n">
        <f aca="false">-$B$66</f>
        <v>-9500</v>
      </c>
      <c r="IP88" s="0" t="n">
        <f aca="false">-$B$66</f>
        <v>-9500</v>
      </c>
      <c r="IQ88" s="0" t="n">
        <f aca="false">-$B$66</f>
        <v>-9500</v>
      </c>
      <c r="IR88" s="0" t="n">
        <f aca="false">-$B$66</f>
        <v>-9500</v>
      </c>
      <c r="IS88" s="0" t="n">
        <f aca="false">-$B$66</f>
        <v>-9500</v>
      </c>
      <c r="IT88" s="0" t="n">
        <f aca="false">-$B$66</f>
        <v>-9500</v>
      </c>
      <c r="IU88" s="0" t="n">
        <f aca="false">-$B$66</f>
        <v>-9500</v>
      </c>
      <c r="IV88" s="0" t="n">
        <f aca="false">-$B$66</f>
        <v>-9500</v>
      </c>
      <c r="IW88" s="0" t="n">
        <f aca="false">-$B$66</f>
        <v>-9500</v>
      </c>
      <c r="IX88" s="0" t="n">
        <f aca="false">-$B$66</f>
        <v>-9500</v>
      </c>
      <c r="IY88" s="0" t="n">
        <f aca="false">-$B$66</f>
        <v>-9500</v>
      </c>
      <c r="IZ88" s="0" t="n">
        <f aca="false">-$B$66</f>
        <v>-9500</v>
      </c>
      <c r="JA88" s="0" t="n">
        <f aca="false">-$B$66</f>
        <v>-9500</v>
      </c>
      <c r="JB88" s="0" t="n">
        <f aca="false">-$B$66</f>
        <v>-9500</v>
      </c>
      <c r="JC88" s="0" t="n">
        <f aca="false">-$B$66</f>
        <v>-9500</v>
      </c>
      <c r="JD88" s="0" t="n">
        <f aca="false">-$B$66</f>
        <v>-9500</v>
      </c>
      <c r="JE88" s="0" t="n">
        <f aca="false">-$B$66</f>
        <v>-9500</v>
      </c>
      <c r="JF88" s="0" t="n">
        <f aca="false">-$B$66</f>
        <v>-9500</v>
      </c>
      <c r="JG88" s="0" t="n">
        <f aca="false">-$B$66</f>
        <v>-9500</v>
      </c>
      <c r="JH88" s="0" t="n">
        <f aca="false">-$B$66</f>
        <v>-9500</v>
      </c>
      <c r="JI88" s="0" t="n">
        <f aca="false">-$B$66</f>
        <v>-9500</v>
      </c>
      <c r="JJ88" s="0" t="n">
        <f aca="false">-$B$66</f>
        <v>-9500</v>
      </c>
      <c r="JK88" s="0" t="n">
        <f aca="false">-$B$66</f>
        <v>-9500</v>
      </c>
      <c r="JL88" s="0" t="n">
        <f aca="false">-$B$66</f>
        <v>-9500</v>
      </c>
      <c r="JM88" s="0" t="n">
        <f aca="false">-$B$66</f>
        <v>-9500</v>
      </c>
      <c r="JN88" s="0" t="n">
        <f aca="false">-$B$66</f>
        <v>-9500</v>
      </c>
      <c r="JO88" s="0" t="n">
        <f aca="false">-$B$66</f>
        <v>-9500</v>
      </c>
      <c r="JP88" s="0" t="n">
        <f aca="false">-$B$66</f>
        <v>-9500</v>
      </c>
      <c r="JQ88" s="0" t="n">
        <f aca="false">-$B$66</f>
        <v>-9500</v>
      </c>
      <c r="JR88" s="0" t="n">
        <f aca="false">-$B$66</f>
        <v>-9500</v>
      </c>
      <c r="JS88" s="0" t="n">
        <f aca="false">-$B$66</f>
        <v>-9500</v>
      </c>
      <c r="JT88" s="0" t="n">
        <f aca="false">-$B$66</f>
        <v>-9500</v>
      </c>
      <c r="JU88" s="0" t="n">
        <f aca="false">-$B$66</f>
        <v>-9500</v>
      </c>
      <c r="JV88" s="0" t="n">
        <f aca="false">-$B$66</f>
        <v>-9500</v>
      </c>
      <c r="JW88" s="0" t="n">
        <f aca="false">-$B$66</f>
        <v>-9500</v>
      </c>
      <c r="JX88" s="0" t="n">
        <f aca="false">-$B$66</f>
        <v>-9500</v>
      </c>
      <c r="JY88" s="0" t="n">
        <f aca="false">-$B$66</f>
        <v>-9500</v>
      </c>
      <c r="JZ88" s="0" t="n">
        <f aca="false">-$B$66</f>
        <v>-9500</v>
      </c>
      <c r="KA88" s="0" t="n">
        <f aca="false">-$B$66</f>
        <v>-9500</v>
      </c>
      <c r="KB88" s="0" t="n">
        <f aca="false">-$B$66</f>
        <v>-9500</v>
      </c>
      <c r="KC88" s="0" t="n">
        <f aca="false">-$B$66</f>
        <v>-9500</v>
      </c>
      <c r="KD88" s="0" t="n">
        <f aca="false">-$B$66</f>
        <v>-9500</v>
      </c>
      <c r="KE88" s="0" t="n">
        <f aca="false">-$B$66</f>
        <v>-9500</v>
      </c>
      <c r="KF88" s="0" t="n">
        <f aca="false">-$B$66</f>
        <v>-9500</v>
      </c>
      <c r="KG88" s="0" t="n">
        <f aca="false">-$B$66</f>
        <v>-9500</v>
      </c>
      <c r="KH88" s="0" t="n">
        <f aca="false">-$B$66</f>
        <v>-9500</v>
      </c>
      <c r="KI88" s="0" t="n">
        <f aca="false">-$B$66</f>
        <v>-9500</v>
      </c>
      <c r="KJ88" s="0" t="n">
        <f aca="false">-$B$66</f>
        <v>-9500</v>
      </c>
      <c r="KK88" s="0" t="n">
        <f aca="false">-$B$66</f>
        <v>-9500</v>
      </c>
      <c r="KL88" s="0" t="n">
        <f aca="false">-$B$66</f>
        <v>-9500</v>
      </c>
      <c r="KM88" s="0" t="n">
        <f aca="false">-$B$66</f>
        <v>-9500</v>
      </c>
      <c r="KN88" s="0" t="n">
        <f aca="false">-$B$66</f>
        <v>-9500</v>
      </c>
      <c r="KO88" s="0" t="n">
        <f aca="false">-$B$66</f>
        <v>-9500</v>
      </c>
      <c r="KP88" s="0" t="n">
        <f aca="false">-$B$66</f>
        <v>-9500</v>
      </c>
      <c r="KQ88" s="0" t="n">
        <f aca="false">-$B$66</f>
        <v>-9500</v>
      </c>
      <c r="KR88" s="0" t="n">
        <f aca="false">-$B$66</f>
        <v>-9500</v>
      </c>
      <c r="KS88" s="0" t="n">
        <f aca="false">-$B$66</f>
        <v>-9500</v>
      </c>
      <c r="KT88" s="0" t="n">
        <f aca="false">-$B$66</f>
        <v>-9500</v>
      </c>
      <c r="KU88" s="0" t="n">
        <f aca="false">-$B$66</f>
        <v>-9500</v>
      </c>
      <c r="KV88" s="0" t="n">
        <f aca="false">-$B$66</f>
        <v>-9500</v>
      </c>
      <c r="KW88" s="0" t="n">
        <f aca="false">-$B$66</f>
        <v>-9500</v>
      </c>
      <c r="KX88" s="0" t="n">
        <f aca="false">-$B$66</f>
        <v>-9500</v>
      </c>
      <c r="KY88" s="0" t="n">
        <f aca="false">-$B$66</f>
        <v>-9500</v>
      </c>
      <c r="KZ88" s="0" t="n">
        <f aca="false">-$B$66</f>
        <v>-9500</v>
      </c>
      <c r="LA88" s="0" t="n">
        <f aca="false">-$B$66</f>
        <v>-9500</v>
      </c>
      <c r="LB88" s="0" t="n">
        <f aca="false">-$B$66</f>
        <v>-9500</v>
      </c>
      <c r="LC88" s="0" t="n">
        <f aca="false">-$B$66</f>
        <v>-9500</v>
      </c>
      <c r="LD88" s="0" t="n">
        <f aca="false">-$B$66</f>
        <v>-9500</v>
      </c>
      <c r="LE88" s="0" t="n">
        <f aca="false">-$B$66</f>
        <v>-9500</v>
      </c>
      <c r="LF88" s="0" t="n">
        <f aca="false">-$B$66</f>
        <v>-9500</v>
      </c>
      <c r="LG88" s="0" t="n">
        <f aca="false">-$B$66</f>
        <v>-9500</v>
      </c>
      <c r="LH88" s="0" t="n">
        <f aca="false">-$B$66</f>
        <v>-9500</v>
      </c>
      <c r="LI88" s="0" t="n">
        <f aca="false">-$B$66</f>
        <v>-9500</v>
      </c>
      <c r="LJ88" s="0" t="n">
        <f aca="false">-$B$66</f>
        <v>-9500</v>
      </c>
      <c r="LK88" s="0" t="n">
        <f aca="false">-$B$66</f>
        <v>-9500</v>
      </c>
      <c r="LL88" s="0" t="n">
        <f aca="false">-$B$66</f>
        <v>-9500</v>
      </c>
      <c r="LM88" s="0" t="n">
        <f aca="false">-$B$66</f>
        <v>-9500</v>
      </c>
      <c r="LN88" s="0" t="n">
        <f aca="false">-$B$66</f>
        <v>-9500</v>
      </c>
      <c r="LO88" s="0" t="n">
        <f aca="false">-$B$66</f>
        <v>-9500</v>
      </c>
      <c r="LP88" s="0" t="n">
        <f aca="false">-$B$66</f>
        <v>-9500</v>
      </c>
      <c r="LQ88" s="0" t="n">
        <f aca="false">-$B$66</f>
        <v>-9500</v>
      </c>
      <c r="LR88" s="0" t="n">
        <f aca="false">-$B$66</f>
        <v>-9500</v>
      </c>
      <c r="LS88" s="0" t="n">
        <f aca="false">-$B$66</f>
        <v>-9500</v>
      </c>
      <c r="LT88" s="0" t="n">
        <f aca="false">-$B$66</f>
        <v>-9500</v>
      </c>
      <c r="LU88" s="0" t="n">
        <f aca="false">-$B$66</f>
        <v>-9500</v>
      </c>
      <c r="LV88" s="0" t="n">
        <f aca="false">-$B$66</f>
        <v>-9500</v>
      </c>
      <c r="LW88" s="0" t="n">
        <f aca="false">-$B$66</f>
        <v>-9500</v>
      </c>
      <c r="LX88" s="0" t="n">
        <f aca="false">-$B$66</f>
        <v>-9500</v>
      </c>
      <c r="LY88" s="0" t="n">
        <f aca="false">-$B$66</f>
        <v>-9500</v>
      </c>
      <c r="LZ88" s="0" t="n">
        <f aca="false">-$B$66</f>
        <v>-9500</v>
      </c>
      <c r="MA88" s="0" t="n">
        <f aca="false">-$B$66</f>
        <v>-9500</v>
      </c>
      <c r="MB88" s="0" t="n">
        <f aca="false">-$B$66</f>
        <v>-9500</v>
      </c>
      <c r="MC88" s="0" t="n">
        <f aca="false">-$B$66</f>
        <v>-9500</v>
      </c>
      <c r="MD88" s="0" t="n">
        <f aca="false">-$B$66</f>
        <v>-9500</v>
      </c>
      <c r="ME88" s="0" t="n">
        <f aca="false">-$B$66</f>
        <v>-9500</v>
      </c>
      <c r="MF88" s="0" t="n">
        <f aca="false">-$B$66</f>
        <v>-9500</v>
      </c>
      <c r="MG88" s="0" t="n">
        <f aca="false">-$B$66</f>
        <v>-9500</v>
      </c>
      <c r="MH88" s="0" t="n">
        <f aca="false">-$B$66</f>
        <v>-9500</v>
      </c>
      <c r="MI88" s="0" t="n">
        <f aca="false">-$B$66</f>
        <v>-9500</v>
      </c>
      <c r="MJ88" s="0" t="n">
        <f aca="false">-$B$66</f>
        <v>-9500</v>
      </c>
      <c r="MK88" s="0" t="n">
        <f aca="false">-$B$66</f>
        <v>-9500</v>
      </c>
      <c r="ML88" s="0" t="n">
        <f aca="false">-$B$66</f>
        <v>-9500</v>
      </c>
      <c r="MM88" s="0" t="n">
        <f aca="false">-$B$66</f>
        <v>-9500</v>
      </c>
      <c r="MN88" s="0" t="n">
        <f aca="false">-$B$66</f>
        <v>-9500</v>
      </c>
      <c r="MO88" s="0" t="n">
        <f aca="false">-$B$66</f>
        <v>-9500</v>
      </c>
      <c r="MP88" s="0" t="n">
        <f aca="false">-$B$66</f>
        <v>-9500</v>
      </c>
      <c r="MQ88" s="0" t="n">
        <f aca="false">-$B$66</f>
        <v>-9500</v>
      </c>
      <c r="MR88" s="0" t="n">
        <f aca="false">-$B$66</f>
        <v>-9500</v>
      </c>
      <c r="MS88" s="0" t="n">
        <f aca="false">-$B$66</f>
        <v>-9500</v>
      </c>
      <c r="MT88" s="0" t="n">
        <f aca="false">-$B$66</f>
        <v>-9500</v>
      </c>
      <c r="MU88" s="0" t="n">
        <f aca="false">-$B$66</f>
        <v>-9500</v>
      </c>
      <c r="MV88" s="0" t="n">
        <f aca="false">-$B$66</f>
        <v>-9500</v>
      </c>
      <c r="MW88" s="0" t="n">
        <f aca="false">-$B$66</f>
        <v>-9500</v>
      </c>
      <c r="MX88" s="0" t="n">
        <f aca="false">-$B$66</f>
        <v>-9500</v>
      </c>
      <c r="MY88" s="0" t="n">
        <f aca="false">-$B$66</f>
        <v>-9500</v>
      </c>
      <c r="MZ88" s="0" t="n">
        <f aca="false">-$B$66</f>
        <v>-9500</v>
      </c>
      <c r="NA88" s="0" t="n">
        <f aca="false">-$B$66</f>
        <v>-9500</v>
      </c>
      <c r="NB88" s="0" t="n">
        <f aca="false">-$B$66</f>
        <v>-9500</v>
      </c>
      <c r="NC88" s="0" t="n">
        <f aca="false">-$B$66</f>
        <v>-9500</v>
      </c>
      <c r="ND88" s="0" t="n">
        <f aca="false">-$B$66</f>
        <v>-9500</v>
      </c>
      <c r="NE88" s="0" t="n">
        <f aca="false">-$B$66</f>
        <v>-9500</v>
      </c>
      <c r="NF88" s="0" t="n">
        <f aca="false">-$B$66</f>
        <v>-9500</v>
      </c>
      <c r="NG88" s="0" t="n">
        <f aca="false">-$B$66</f>
        <v>-9500</v>
      </c>
      <c r="NH88" s="0" t="n">
        <f aca="false">-$B$66</f>
        <v>-9500</v>
      </c>
      <c r="NI88" s="0" t="n">
        <f aca="false">-$B$66</f>
        <v>-9500</v>
      </c>
      <c r="NJ88" s="0" t="n">
        <f aca="false">-$B$66</f>
        <v>-9500</v>
      </c>
      <c r="NK88" s="0" t="n">
        <f aca="false">-$B$66</f>
        <v>-9500</v>
      </c>
      <c r="NL88" s="0" t="n">
        <f aca="false">-$B$66</f>
        <v>-9500</v>
      </c>
      <c r="NM88" s="0" t="n">
        <f aca="false">-$B$66</f>
        <v>-9500</v>
      </c>
      <c r="NN88" s="0" t="n">
        <f aca="false">-$B$66</f>
        <v>-9500</v>
      </c>
      <c r="NO88" s="0" t="n">
        <f aca="false">-$B$66</f>
        <v>-9500</v>
      </c>
      <c r="NP88" s="0" t="n">
        <f aca="false">-$B$66</f>
        <v>-9500</v>
      </c>
      <c r="NQ88" s="0" t="n">
        <f aca="false">-$B$66</f>
        <v>-9500</v>
      </c>
      <c r="NR88" s="0" t="n">
        <f aca="false">-$B$66</f>
        <v>-9500</v>
      </c>
      <c r="NS88" s="0" t="n">
        <f aca="false">-$B$66</f>
        <v>-9500</v>
      </c>
      <c r="NT88" s="0" t="n">
        <f aca="false">-$B$66</f>
        <v>-9500</v>
      </c>
      <c r="NU88" s="0" t="n">
        <f aca="false">-$B$66</f>
        <v>-9500</v>
      </c>
      <c r="NV88" s="0" t="n">
        <f aca="false">-$B$66</f>
        <v>-9500</v>
      </c>
      <c r="NW88" s="0" t="n">
        <f aca="false">-$B$66</f>
        <v>-9500</v>
      </c>
      <c r="NX88" s="0" t="n">
        <f aca="false">-$B$66</f>
        <v>-9500</v>
      </c>
      <c r="NY88" s="0" t="n">
        <f aca="false">-$B$66</f>
        <v>-9500</v>
      </c>
      <c r="NZ88" s="0" t="n">
        <f aca="false">-$B$66</f>
        <v>-9500</v>
      </c>
      <c r="OA88" s="0" t="n">
        <f aca="false">-$B$66</f>
        <v>-9500</v>
      </c>
      <c r="OB88" s="0" t="n">
        <f aca="false">-$B$66</f>
        <v>-9500</v>
      </c>
      <c r="OC88" s="0" t="n">
        <f aca="false">-$B$66</f>
        <v>-9500</v>
      </c>
      <c r="OD88" s="0" t="n">
        <f aca="false">-$B$66</f>
        <v>-9500</v>
      </c>
      <c r="OE88" s="0" t="n">
        <f aca="false">-$B$66</f>
        <v>-9500</v>
      </c>
      <c r="OF88" s="0" t="n">
        <f aca="false">-$B$66</f>
        <v>-9500</v>
      </c>
      <c r="OG88" s="0" t="n">
        <f aca="false">-$B$66</f>
        <v>-9500</v>
      </c>
      <c r="OH88" s="0" t="n">
        <f aca="false">-$B$66</f>
        <v>-9500</v>
      </c>
      <c r="OI88" s="0" t="n">
        <f aca="false">-$B$66</f>
        <v>-9500</v>
      </c>
      <c r="OJ88" s="0" t="n">
        <f aca="false">-$B$66</f>
        <v>-9500</v>
      </c>
      <c r="OK88" s="0" t="n">
        <f aca="false">-$B$66</f>
        <v>-9500</v>
      </c>
      <c r="OL88" s="0" t="n">
        <f aca="false">-$B$66</f>
        <v>-9500</v>
      </c>
      <c r="OM88" s="0" t="n">
        <f aca="false">-$B$66</f>
        <v>-9500</v>
      </c>
      <c r="ON88" s="0" t="n">
        <f aca="false">-$B$66</f>
        <v>-9500</v>
      </c>
      <c r="OO88" s="0" t="n">
        <f aca="false">-$B$66</f>
        <v>-9500</v>
      </c>
      <c r="OP88" s="0" t="n">
        <f aca="false">-$B$66</f>
        <v>-9500</v>
      </c>
      <c r="OQ88" s="0" t="n">
        <f aca="false">-$B$66</f>
        <v>-9500</v>
      </c>
      <c r="OR88" s="0" t="n">
        <f aca="false">-$B$66</f>
        <v>-9500</v>
      </c>
      <c r="OS88" s="0" t="n">
        <f aca="false">-$B$66</f>
        <v>-9500</v>
      </c>
      <c r="OT88" s="0" t="n">
        <f aca="false">-$B$66</f>
        <v>-9500</v>
      </c>
      <c r="OU88" s="0" t="n">
        <f aca="false">-$B$66</f>
        <v>-9500</v>
      </c>
      <c r="OV88" s="0" t="n">
        <f aca="false">-$B$66</f>
        <v>-9500</v>
      </c>
      <c r="OW88" s="0" t="n">
        <f aca="false">-$B$66</f>
        <v>-9500</v>
      </c>
      <c r="OX88" s="0" t="n">
        <f aca="false">-$B$66</f>
        <v>-9500</v>
      </c>
      <c r="OY88" s="0" t="n">
        <f aca="false">-$B$66</f>
        <v>-9500</v>
      </c>
      <c r="OZ88" s="0" t="n">
        <f aca="false">-$B$66</f>
        <v>-9500</v>
      </c>
      <c r="PA88" s="0" t="n">
        <f aca="false">-$B$66</f>
        <v>-9500</v>
      </c>
      <c r="PB88" s="0" t="n">
        <f aca="false">-$B$66</f>
        <v>-9500</v>
      </c>
      <c r="PC88" s="0" t="n">
        <f aca="false">-$B$66</f>
        <v>-9500</v>
      </c>
      <c r="PD88" s="0" t="n">
        <f aca="false">-$B$66</f>
        <v>-9500</v>
      </c>
      <c r="PE88" s="0" t="n">
        <f aca="false">-$B$66</f>
        <v>-9500</v>
      </c>
      <c r="PF88" s="0" t="n">
        <f aca="false">-$B$66</f>
        <v>-9500</v>
      </c>
      <c r="PG88" s="0" t="n">
        <f aca="false">-$B$66</f>
        <v>-9500</v>
      </c>
      <c r="PH88" s="0" t="n">
        <f aca="false">-$B$66</f>
        <v>-9500</v>
      </c>
      <c r="PI88" s="0" t="n">
        <f aca="false">-$B$66</f>
        <v>-9500</v>
      </c>
      <c r="PJ88" s="0" t="n">
        <f aca="false">-$B$66</f>
        <v>-9500</v>
      </c>
      <c r="PK88" s="0" t="n">
        <f aca="false">-$B$66</f>
        <v>-9500</v>
      </c>
      <c r="PL88" s="0" t="n">
        <f aca="false">-$B$66</f>
        <v>-9500</v>
      </c>
      <c r="PM88" s="0" t="n">
        <f aca="false">-$B$66</f>
        <v>-9500</v>
      </c>
      <c r="PN88" s="0" t="n">
        <f aca="false">-$B$66</f>
        <v>-9500</v>
      </c>
      <c r="PO88" s="0" t="n">
        <f aca="false">-$B$66</f>
        <v>-9500</v>
      </c>
      <c r="PP88" s="0" t="n">
        <f aca="false">-$B$66</f>
        <v>-9500</v>
      </c>
      <c r="PQ88" s="0" t="n">
        <f aca="false">-$B$66</f>
        <v>-9500</v>
      </c>
      <c r="PR88" s="0" t="n">
        <f aca="false">-$B$66</f>
        <v>-9500</v>
      </c>
      <c r="PS88" s="0" t="n">
        <f aca="false">-$B$66</f>
        <v>-9500</v>
      </c>
      <c r="PT88" s="0" t="n">
        <f aca="false">-$B$66</f>
        <v>-9500</v>
      </c>
      <c r="PU88" s="0" t="n">
        <f aca="false">-$B$66</f>
        <v>-9500</v>
      </c>
      <c r="PV88" s="0" t="n">
        <f aca="false">-$B$66</f>
        <v>-9500</v>
      </c>
      <c r="PW88" s="0" t="n">
        <f aca="false">-$B$66</f>
        <v>-9500</v>
      </c>
      <c r="PX88" s="0" t="n">
        <f aca="false">-$B$66</f>
        <v>-9500</v>
      </c>
      <c r="PY88" s="0" t="n">
        <f aca="false">-$B$66</f>
        <v>-9500</v>
      </c>
      <c r="PZ88" s="0" t="n">
        <f aca="false">-$B$66</f>
        <v>-9500</v>
      </c>
      <c r="QA88" s="0" t="n">
        <f aca="false">-$B$66</f>
        <v>-9500</v>
      </c>
      <c r="QB88" s="0" t="n">
        <f aca="false">-$B$66</f>
        <v>-9500</v>
      </c>
      <c r="QC88" s="0" t="n">
        <f aca="false">-$B$66</f>
        <v>-9500</v>
      </c>
      <c r="QD88" s="0" t="n">
        <f aca="false">-$B$66</f>
        <v>-9500</v>
      </c>
      <c r="QE88" s="0" t="n">
        <f aca="false">-$B$66</f>
        <v>-9500</v>
      </c>
      <c r="QF88" s="0" t="n">
        <f aca="false">-$B$66</f>
        <v>-9500</v>
      </c>
      <c r="QG88" s="0" t="n">
        <f aca="false">-$B$66</f>
        <v>-9500</v>
      </c>
      <c r="QH88" s="0" t="n">
        <f aca="false">-$B$66</f>
        <v>-9500</v>
      </c>
      <c r="QI88" s="0" t="n">
        <f aca="false">-$B$66</f>
        <v>-9500</v>
      </c>
      <c r="QJ88" s="0" t="n">
        <f aca="false">-$B$66</f>
        <v>-9500</v>
      </c>
      <c r="QK88" s="0" t="n">
        <f aca="false">-$B$66</f>
        <v>-9500</v>
      </c>
      <c r="QL88" s="0" t="n">
        <f aca="false">-$B$66</f>
        <v>-9500</v>
      </c>
      <c r="QM88" s="0" t="n">
        <f aca="false">-$B$66</f>
        <v>-9500</v>
      </c>
      <c r="QN88" s="0" t="n">
        <f aca="false">-$B$66</f>
        <v>-9500</v>
      </c>
      <c r="QO88" s="0" t="n">
        <f aca="false">-$B$66</f>
        <v>-9500</v>
      </c>
      <c r="QP88" s="0" t="n">
        <f aca="false">-$B$66</f>
        <v>-9500</v>
      </c>
      <c r="QQ88" s="0" t="n">
        <f aca="false">-$B$66</f>
        <v>-9500</v>
      </c>
      <c r="QR88" s="0" t="n">
        <f aca="false">-$B$66</f>
        <v>-9500</v>
      </c>
      <c r="QS88" s="0" t="n">
        <f aca="false">-$B$66</f>
        <v>-9500</v>
      </c>
      <c r="QT88" s="0" t="n">
        <f aca="false">-$B$66</f>
        <v>-9500</v>
      </c>
      <c r="QU88" s="0" t="n">
        <f aca="false">-$B$66</f>
        <v>-9500</v>
      </c>
      <c r="QV88" s="0" t="n">
        <f aca="false">-$B$66</f>
        <v>-9500</v>
      </c>
      <c r="QW88" s="0" t="n">
        <f aca="false">-$B$66</f>
        <v>-9500</v>
      </c>
      <c r="QX88" s="0" t="n">
        <f aca="false">-$B$66</f>
        <v>-9500</v>
      </c>
      <c r="QY88" s="0" t="n">
        <f aca="false">-$B$66</f>
        <v>-9500</v>
      </c>
      <c r="QZ88" s="0" t="n">
        <f aca="false">-$B$66</f>
        <v>-9500</v>
      </c>
      <c r="RA88" s="0" t="n">
        <f aca="false">-$B$66</f>
        <v>-9500</v>
      </c>
      <c r="RB88" s="0" t="n">
        <f aca="false">-$B$66</f>
        <v>-9500</v>
      </c>
      <c r="RC88" s="0" t="n">
        <f aca="false">-$B$66</f>
        <v>-9500</v>
      </c>
      <c r="RD88" s="0" t="n">
        <f aca="false">-$B$66</f>
        <v>-9500</v>
      </c>
      <c r="RE88" s="0" t="n">
        <f aca="false">-$B$66</f>
        <v>-9500</v>
      </c>
      <c r="RF88" s="0" t="n">
        <f aca="false">-$B$66</f>
        <v>-9500</v>
      </c>
      <c r="RG88" s="0" t="n">
        <f aca="false">-$B$66</f>
        <v>-9500</v>
      </c>
      <c r="RH88" s="0" t="n">
        <f aca="false">-$B$66</f>
        <v>-9500</v>
      </c>
      <c r="RI88" s="0" t="n">
        <f aca="false">-$B$66</f>
        <v>-9500</v>
      </c>
      <c r="RJ88" s="0" t="n">
        <f aca="false">-$B$66</f>
        <v>-9500</v>
      </c>
      <c r="RK88" s="0" t="n">
        <f aca="false">-$B$66</f>
        <v>-9500</v>
      </c>
      <c r="RL88" s="0" t="n">
        <f aca="false">-$B$66</f>
        <v>-9500</v>
      </c>
      <c r="RM88" s="0" t="n">
        <f aca="false">-$B$66</f>
        <v>-9500</v>
      </c>
      <c r="RN88" s="0" t="n">
        <f aca="false">-$B$66</f>
        <v>-9500</v>
      </c>
      <c r="RO88" s="0" t="n">
        <f aca="false">-$B$66</f>
        <v>-9500</v>
      </c>
      <c r="RP88" s="0" t="n">
        <f aca="false">-$B$66</f>
        <v>-9500</v>
      </c>
      <c r="RQ88" s="0" t="n">
        <f aca="false">-$B$66</f>
        <v>-9500</v>
      </c>
      <c r="RR88" s="0" t="n">
        <f aca="false">-$B$66</f>
        <v>-9500</v>
      </c>
      <c r="RS88" s="0" t="n">
        <f aca="false">-$B$66</f>
        <v>-9500</v>
      </c>
      <c r="RT88" s="0" t="n">
        <f aca="false">-$B$66</f>
        <v>-9500</v>
      </c>
      <c r="RU88" s="0" t="n">
        <f aca="false">-$B$66</f>
        <v>-9500</v>
      </c>
      <c r="RV88" s="0" t="n">
        <f aca="false">-$B$66</f>
        <v>-9500</v>
      </c>
      <c r="RW88" s="0" t="n">
        <f aca="false">-$B$66</f>
        <v>-9500</v>
      </c>
      <c r="RX88" s="0" t="n">
        <f aca="false">-$B$66</f>
        <v>-9500</v>
      </c>
      <c r="RY88" s="0" t="n">
        <f aca="false">-$B$66</f>
        <v>-9500</v>
      </c>
      <c r="RZ88" s="0" t="n">
        <f aca="false">-$B$66</f>
        <v>-9500</v>
      </c>
      <c r="SA88" s="0" t="n">
        <f aca="false">-$B$66</f>
        <v>-9500</v>
      </c>
      <c r="SB88" s="0" t="n">
        <f aca="false">-$B$66</f>
        <v>-9500</v>
      </c>
      <c r="SC88" s="0" t="n">
        <f aca="false">-$B$66</f>
        <v>-9500</v>
      </c>
      <c r="SD88" s="0" t="n">
        <f aca="false">-$B$66</f>
        <v>-9500</v>
      </c>
      <c r="SE88" s="0" t="n">
        <f aca="false">-$B$66</f>
        <v>-9500</v>
      </c>
      <c r="SF88" s="0" t="n">
        <f aca="false">-$B$66</f>
        <v>-9500</v>
      </c>
      <c r="SG88" s="0" t="n">
        <f aca="false">-$B$66</f>
        <v>-9500</v>
      </c>
      <c r="SH88" s="0" t="n">
        <f aca="false">-$B$66</f>
        <v>-9500</v>
      </c>
      <c r="SI88" s="0" t="n">
        <f aca="false">-$B$66</f>
        <v>-9500</v>
      </c>
      <c r="SJ88" s="0" t="n">
        <f aca="false">-$B$66</f>
        <v>-9500</v>
      </c>
      <c r="SK88" s="0" t="n">
        <f aca="false">-$B$66</f>
        <v>-9500</v>
      </c>
      <c r="SL88" s="0" t="n">
        <f aca="false">-$B$66</f>
        <v>-9500</v>
      </c>
      <c r="SM88" s="0" t="n">
        <f aca="false">-$B$66</f>
        <v>-9500</v>
      </c>
      <c r="SN88" s="0" t="n">
        <f aca="false">-$B$66</f>
        <v>-9500</v>
      </c>
      <c r="SO88" s="0" t="n">
        <f aca="false">-$B$66</f>
        <v>-9500</v>
      </c>
      <c r="SP88" s="0" t="n">
        <f aca="false">-$B$66</f>
        <v>-9500</v>
      </c>
      <c r="SQ88" s="0" t="n">
        <f aca="false">-$B$66</f>
        <v>-9500</v>
      </c>
      <c r="SR88" s="0" t="n">
        <f aca="false">-$B$66</f>
        <v>-9500</v>
      </c>
      <c r="SS88" s="0" t="n">
        <f aca="false">-$B$66</f>
        <v>-9500</v>
      </c>
      <c r="ST88" s="0" t="n">
        <f aca="false">-$B$66</f>
        <v>-9500</v>
      </c>
      <c r="SU88" s="0" t="n">
        <f aca="false">-$B$66</f>
        <v>-9500</v>
      </c>
      <c r="SV88" s="0" t="n">
        <f aca="false">-$B$66</f>
        <v>-9500</v>
      </c>
      <c r="SW88" s="0" t="n">
        <f aca="false">-$B$66</f>
        <v>-9500</v>
      </c>
      <c r="SX88" s="0" t="n">
        <f aca="false">-$B$66</f>
        <v>-9500</v>
      </c>
      <c r="SY88" s="0" t="n">
        <f aca="false">-$B$66</f>
        <v>-9500</v>
      </c>
      <c r="SZ88" s="0" t="n">
        <f aca="false">-$B$66</f>
        <v>-9500</v>
      </c>
      <c r="TA88" s="0" t="n">
        <f aca="false">-$B$66</f>
        <v>-9500</v>
      </c>
      <c r="TB88" s="0" t="n">
        <f aca="false">-$B$66</f>
        <v>-9500</v>
      </c>
      <c r="TC88" s="0" t="n">
        <f aca="false">-$B$66</f>
        <v>-9500</v>
      </c>
      <c r="TD88" s="0" t="n">
        <f aca="false">-$B$66</f>
        <v>-9500</v>
      </c>
      <c r="TE88" s="0" t="n">
        <f aca="false">-$B$66</f>
        <v>-9500</v>
      </c>
      <c r="TF88" s="0" t="n">
        <f aca="false">-$B$66</f>
        <v>-9500</v>
      </c>
      <c r="TG88" s="0" t="n">
        <f aca="false">-$B$66</f>
        <v>-9500</v>
      </c>
      <c r="TH88" s="0" t="n">
        <f aca="false">-$B$66</f>
        <v>-9500</v>
      </c>
      <c r="TI88" s="0" t="n">
        <f aca="false">-$B$66</f>
        <v>-9500</v>
      </c>
      <c r="TJ88" s="0" t="n">
        <f aca="false">-$B$66</f>
        <v>-9500</v>
      </c>
      <c r="TK88" s="0" t="n">
        <f aca="false">-$B$66</f>
        <v>-9500</v>
      </c>
      <c r="TL88" s="0" t="n">
        <f aca="false">-$B$66</f>
        <v>-9500</v>
      </c>
      <c r="TM88" s="0" t="n">
        <f aca="false">-$B$66</f>
        <v>-9500</v>
      </c>
      <c r="TN88" s="0" t="n">
        <f aca="false">-$B$66</f>
        <v>-9500</v>
      </c>
      <c r="TO88" s="0" t="n">
        <f aca="false">-$B$66</f>
        <v>-9500</v>
      </c>
      <c r="TP88" s="0" t="n">
        <f aca="false">-$B$66</f>
        <v>-9500</v>
      </c>
      <c r="TQ88" s="0" t="n">
        <f aca="false">-$B$66</f>
        <v>-9500</v>
      </c>
      <c r="TR88" s="0" t="n">
        <f aca="false">-$B$66</f>
        <v>-9500</v>
      </c>
      <c r="TS88" s="0" t="n">
        <f aca="false">-$B$66</f>
        <v>-9500</v>
      </c>
      <c r="TT88" s="0" t="n">
        <f aca="false">-$B$66</f>
        <v>-9500</v>
      </c>
      <c r="TU88" s="0" t="n">
        <f aca="false">-$B$66</f>
        <v>-9500</v>
      </c>
      <c r="TV88" s="0" t="n">
        <f aca="false">-$B$66</f>
        <v>-9500</v>
      </c>
      <c r="TW88" s="0" t="n">
        <f aca="false">-$B$66</f>
        <v>-9500</v>
      </c>
      <c r="TX88" s="0" t="n">
        <f aca="false">-$B$66</f>
        <v>-9500</v>
      </c>
      <c r="TY88" s="0" t="n">
        <f aca="false">-$B$66</f>
        <v>-9500</v>
      </c>
      <c r="TZ88" s="0" t="n">
        <f aca="false">-$B$66</f>
        <v>-9500</v>
      </c>
      <c r="UA88" s="0" t="n">
        <f aca="false">-$B$66</f>
        <v>-9500</v>
      </c>
      <c r="UB88" s="0" t="n">
        <f aca="false">-$B$66</f>
        <v>-9500</v>
      </c>
      <c r="UC88" s="0" t="n">
        <f aca="false">-$B$66</f>
        <v>-9500</v>
      </c>
      <c r="UD88" s="0" t="n">
        <f aca="false">-$B$66</f>
        <v>-9500</v>
      </c>
      <c r="UE88" s="0" t="n">
        <f aca="false">-$B$66</f>
        <v>-9500</v>
      </c>
      <c r="UF88" s="0" t="n">
        <f aca="false">-$B$66</f>
        <v>-9500</v>
      </c>
      <c r="UG88" s="0" t="n">
        <f aca="false">-$B$66</f>
        <v>-9500</v>
      </c>
      <c r="UH88" s="0" t="n">
        <f aca="false">-$B$66</f>
        <v>-9500</v>
      </c>
      <c r="UI88" s="0" t="n">
        <f aca="false">-$B$66</f>
        <v>-9500</v>
      </c>
      <c r="UJ88" s="0" t="n">
        <f aca="false">-$B$66</f>
        <v>-9500</v>
      </c>
      <c r="UK88" s="0" t="n">
        <f aca="false">-$B$66</f>
        <v>-9500</v>
      </c>
      <c r="UL88" s="0" t="n">
        <f aca="false">-$B$66</f>
        <v>-9500</v>
      </c>
      <c r="UM88" s="0" t="n">
        <f aca="false">-$B$66</f>
        <v>-9500</v>
      </c>
      <c r="UN88" s="0" t="n">
        <f aca="false">-$B$66</f>
        <v>-9500</v>
      </c>
      <c r="UO88" s="0" t="n">
        <f aca="false">-$B$66</f>
        <v>-9500</v>
      </c>
      <c r="UP88" s="0" t="n">
        <f aca="false">-$B$66</f>
        <v>-9500</v>
      </c>
      <c r="UQ88" s="0" t="n">
        <f aca="false">-$B$66</f>
        <v>-9500</v>
      </c>
      <c r="UR88" s="0" t="n">
        <f aca="false">-$B$66</f>
        <v>-9500</v>
      </c>
      <c r="US88" s="0" t="n">
        <f aca="false">-$B$66</f>
        <v>-9500</v>
      </c>
      <c r="UT88" s="0" t="n">
        <f aca="false">-$B$66</f>
        <v>-9500</v>
      </c>
      <c r="UU88" s="0" t="n">
        <f aca="false">-$B$66</f>
        <v>-9500</v>
      </c>
      <c r="UV88" s="0" t="n">
        <f aca="false">-$B$66</f>
        <v>-9500</v>
      </c>
      <c r="UW88" s="0" t="n">
        <f aca="false">-$B$66</f>
        <v>-9500</v>
      </c>
      <c r="UX88" s="0" t="n">
        <f aca="false">-$B$66</f>
        <v>-9500</v>
      </c>
      <c r="UY88" s="0" t="n">
        <f aca="false">-$B$66</f>
        <v>-9500</v>
      </c>
      <c r="UZ88" s="0" t="n">
        <f aca="false">-$B$66</f>
        <v>-9500</v>
      </c>
      <c r="VA88" s="0" t="n">
        <f aca="false">-$B$66</f>
        <v>-9500</v>
      </c>
      <c r="VB88" s="0" t="n">
        <f aca="false">-$B$66</f>
        <v>-9500</v>
      </c>
      <c r="VC88" s="0" t="n">
        <f aca="false">-$B$66</f>
        <v>-9500</v>
      </c>
      <c r="VD88" s="0" t="n">
        <f aca="false">-$B$66</f>
        <v>-9500</v>
      </c>
      <c r="VE88" s="0" t="n">
        <f aca="false">-$B$66</f>
        <v>-9500</v>
      </c>
      <c r="VF88" s="0" t="n">
        <f aca="false">-$B$66</f>
        <v>-9500</v>
      </c>
      <c r="VG88" s="0" t="n">
        <f aca="false">-$B$66</f>
        <v>-9500</v>
      </c>
      <c r="VH88" s="0" t="n">
        <f aca="false">-$B$66</f>
        <v>-9500</v>
      </c>
      <c r="VI88" s="0" t="n">
        <f aca="false">-$B$66</f>
        <v>-9500</v>
      </c>
      <c r="VJ88" s="0" t="n">
        <f aca="false">-$B$66</f>
        <v>-9500</v>
      </c>
      <c r="VK88" s="0" t="n">
        <f aca="false">-$B$66</f>
        <v>-9500</v>
      </c>
      <c r="VL88" s="0" t="n">
        <f aca="false">-$B$66</f>
        <v>-9500</v>
      </c>
      <c r="VM88" s="0" t="n">
        <f aca="false">-$B$66</f>
        <v>-9500</v>
      </c>
      <c r="VN88" s="0" t="n">
        <f aca="false">-$B$66</f>
        <v>-9500</v>
      </c>
      <c r="VO88" s="0" t="n">
        <f aca="false">-$B$66</f>
        <v>-9500</v>
      </c>
      <c r="VP88" s="0" t="n">
        <f aca="false">-$B$66</f>
        <v>-9500</v>
      </c>
      <c r="VQ88" s="0" t="n">
        <f aca="false">-$B$66</f>
        <v>-9500</v>
      </c>
      <c r="VR88" s="0" t="n">
        <f aca="false">-$B$66</f>
        <v>-9500</v>
      </c>
      <c r="VS88" s="0" t="n">
        <f aca="false">-$B$66</f>
        <v>-9500</v>
      </c>
      <c r="VT88" s="0" t="n">
        <f aca="false">-$B$66</f>
        <v>-9500</v>
      </c>
      <c r="VU88" s="0" t="n">
        <f aca="false">-$B$66</f>
        <v>-9500</v>
      </c>
      <c r="VV88" s="0" t="n">
        <f aca="false">-$B$66</f>
        <v>-9500</v>
      </c>
      <c r="VW88" s="0" t="n">
        <f aca="false">-$B$66</f>
        <v>-9500</v>
      </c>
      <c r="VX88" s="0" t="n">
        <f aca="false">-$B$66</f>
        <v>-9500</v>
      </c>
      <c r="VY88" s="0" t="n">
        <f aca="false">-$B$66</f>
        <v>-9500</v>
      </c>
      <c r="VZ88" s="0" t="n">
        <f aca="false">-$B$66</f>
        <v>-9500</v>
      </c>
      <c r="WA88" s="0" t="n">
        <f aca="false">-$B$66</f>
        <v>-9500</v>
      </c>
      <c r="WB88" s="0" t="n">
        <f aca="false">-$B$66</f>
        <v>-9500</v>
      </c>
      <c r="WC88" s="0" t="n">
        <f aca="false">-$B$66</f>
        <v>-9500</v>
      </c>
      <c r="WD88" s="0" t="n">
        <f aca="false">-$B$66</f>
        <v>-9500</v>
      </c>
      <c r="WE88" s="0" t="n">
        <f aca="false">-$B$66</f>
        <v>-9500</v>
      </c>
      <c r="WF88" s="0" t="n">
        <f aca="false">-$B$66</f>
        <v>-9500</v>
      </c>
      <c r="WG88" s="0" t="n">
        <f aca="false">-$B$66</f>
        <v>-9500</v>
      </c>
      <c r="WH88" s="0" t="n">
        <f aca="false">-$B$66</f>
        <v>-9500</v>
      </c>
      <c r="WI88" s="0" t="n">
        <f aca="false">-$B$66</f>
        <v>-9500</v>
      </c>
      <c r="WJ88" s="0" t="n">
        <f aca="false">-$B$66</f>
        <v>-9500</v>
      </c>
      <c r="WK88" s="0" t="n">
        <f aca="false">-$B$66</f>
        <v>-9500</v>
      </c>
      <c r="WL88" s="0" t="n">
        <f aca="false">-$B$66</f>
        <v>-9500</v>
      </c>
      <c r="WM88" s="0" t="n">
        <f aca="false">-$B$66</f>
        <v>-9500</v>
      </c>
      <c r="WN88" s="0" t="n">
        <f aca="false">-$B$66</f>
        <v>-9500</v>
      </c>
      <c r="WO88" s="0" t="n">
        <f aca="false">-$B$66</f>
        <v>-9500</v>
      </c>
      <c r="WP88" s="0" t="n">
        <f aca="false">-$B$66</f>
        <v>-9500</v>
      </c>
      <c r="WQ88" s="0" t="n">
        <f aca="false">-$B$66</f>
        <v>-9500</v>
      </c>
      <c r="WR88" s="0" t="n">
        <f aca="false">-$B$66</f>
        <v>-9500</v>
      </c>
      <c r="WS88" s="0" t="n">
        <f aca="false">-$B$66</f>
        <v>-9500</v>
      </c>
      <c r="WT88" s="0" t="n">
        <f aca="false">-$B$66</f>
        <v>-9500</v>
      </c>
      <c r="WU88" s="0" t="n">
        <f aca="false">-$B$66</f>
        <v>-9500</v>
      </c>
      <c r="WV88" s="0" t="n">
        <f aca="false">-$B$66</f>
        <v>-9500</v>
      </c>
      <c r="WW88" s="0" t="n">
        <f aca="false">-$B$66</f>
        <v>-9500</v>
      </c>
      <c r="WX88" s="0" t="n">
        <f aca="false">-$B$66</f>
        <v>-9500</v>
      </c>
      <c r="WY88" s="0" t="n">
        <f aca="false">-$B$66</f>
        <v>-9500</v>
      </c>
      <c r="WZ88" s="0" t="n">
        <f aca="false">-$B$66</f>
        <v>-9500</v>
      </c>
      <c r="XA88" s="0" t="n">
        <f aca="false">-$B$66</f>
        <v>-9500</v>
      </c>
      <c r="XB88" s="0" t="n">
        <f aca="false">-$B$66</f>
        <v>-9500</v>
      </c>
      <c r="XC88" s="0" t="n">
        <f aca="false">-$B$66</f>
        <v>-9500</v>
      </c>
      <c r="XD88" s="0" t="n">
        <f aca="false">-$B$66</f>
        <v>-9500</v>
      </c>
      <c r="XE88" s="0" t="n">
        <f aca="false">-$B$66</f>
        <v>-9500</v>
      </c>
      <c r="XF88" s="0" t="n">
        <f aca="false">-$B$66</f>
        <v>-9500</v>
      </c>
      <c r="XG88" s="0" t="n">
        <f aca="false">-$B$66</f>
        <v>-9500</v>
      </c>
      <c r="XH88" s="0" t="n">
        <f aca="false">-$B$66</f>
        <v>-9500</v>
      </c>
      <c r="XI88" s="0" t="n">
        <f aca="false">-$B$66</f>
        <v>-9500</v>
      </c>
      <c r="XJ88" s="0" t="n">
        <f aca="false">-$B$66</f>
        <v>-9500</v>
      </c>
      <c r="XK88" s="0" t="n">
        <f aca="false">-$B$66</f>
        <v>-9500</v>
      </c>
      <c r="XL88" s="0" t="n">
        <f aca="false">-$B$66</f>
        <v>-9500</v>
      </c>
      <c r="XM88" s="0" t="n">
        <f aca="false">-$B$66</f>
        <v>-9500</v>
      </c>
      <c r="XN88" s="0" t="n">
        <f aca="false">-$B$66</f>
        <v>-9500</v>
      </c>
      <c r="XO88" s="0" t="n">
        <f aca="false">-$B$66</f>
        <v>-9500</v>
      </c>
      <c r="XP88" s="0" t="n">
        <f aca="false">-$B$66</f>
        <v>-9500</v>
      </c>
      <c r="XQ88" s="0" t="n">
        <f aca="false">-$B$66</f>
        <v>-9500</v>
      </c>
      <c r="XR88" s="0" t="n">
        <f aca="false">-$B$66</f>
        <v>-9500</v>
      </c>
      <c r="XS88" s="0" t="n">
        <f aca="false">-$B$66</f>
        <v>-9500</v>
      </c>
      <c r="XT88" s="0" t="n">
        <f aca="false">-$B$66</f>
        <v>-9500</v>
      </c>
      <c r="XU88" s="0" t="n">
        <f aca="false">-$B$66</f>
        <v>-9500</v>
      </c>
      <c r="XV88" s="0" t="n">
        <f aca="false">-$B$66</f>
        <v>-9500</v>
      </c>
      <c r="XW88" s="0" t="n">
        <f aca="false">-$B$66</f>
        <v>-9500</v>
      </c>
      <c r="XX88" s="0" t="n">
        <f aca="false">-$B$66</f>
        <v>-9500</v>
      </c>
      <c r="XY88" s="0" t="n">
        <f aca="false">-$B$66</f>
        <v>-9500</v>
      </c>
      <c r="XZ88" s="0" t="n">
        <f aca="false">-$B$66</f>
        <v>-9500</v>
      </c>
      <c r="YA88" s="0" t="n">
        <f aca="false">-$B$66</f>
        <v>-9500</v>
      </c>
      <c r="YB88" s="0" t="n">
        <f aca="false">-$B$66</f>
        <v>-9500</v>
      </c>
      <c r="YC88" s="0" t="n">
        <f aca="false">-$B$66</f>
        <v>-9500</v>
      </c>
      <c r="YD88" s="0" t="n">
        <f aca="false">-$B$66</f>
        <v>-9500</v>
      </c>
      <c r="YE88" s="0" t="n">
        <f aca="false">-$B$66</f>
        <v>-9500</v>
      </c>
      <c r="YF88" s="0" t="n">
        <f aca="false">-$B$66</f>
        <v>-9500</v>
      </c>
      <c r="YG88" s="0" t="n">
        <f aca="false">-$B$66</f>
        <v>-9500</v>
      </c>
      <c r="YH88" s="0" t="n">
        <f aca="false">-$B$66</f>
        <v>-9500</v>
      </c>
      <c r="YI88" s="0" t="n">
        <f aca="false">-$B$66</f>
        <v>-9500</v>
      </c>
      <c r="YJ88" s="0" t="n">
        <f aca="false">-$B$66</f>
        <v>-9500</v>
      </c>
      <c r="YK88" s="0" t="n">
        <f aca="false">-$B$66</f>
        <v>-9500</v>
      </c>
      <c r="YL88" s="0" t="n">
        <f aca="false">-$B$66</f>
        <v>-9500</v>
      </c>
      <c r="YM88" s="0" t="n">
        <f aca="false">-$B$66</f>
        <v>-9500</v>
      </c>
      <c r="YN88" s="0" t="n">
        <f aca="false">-$B$66</f>
        <v>-9500</v>
      </c>
      <c r="YO88" s="0" t="n">
        <f aca="false">-$B$66</f>
        <v>-9500</v>
      </c>
      <c r="YP88" s="0" t="n">
        <f aca="false">-$B$66</f>
        <v>-9500</v>
      </c>
      <c r="YQ88" s="0" t="n">
        <f aca="false">-$B$66</f>
        <v>-9500</v>
      </c>
      <c r="YR88" s="0" t="n">
        <f aca="false">-$B$66</f>
        <v>-9500</v>
      </c>
      <c r="YS88" s="0" t="n">
        <f aca="false">-$B$66</f>
        <v>-9500</v>
      </c>
      <c r="YT88" s="0" t="n">
        <f aca="false">-$B$66</f>
        <v>-9500</v>
      </c>
      <c r="YU88" s="0" t="n">
        <f aca="false">-$B$66</f>
        <v>-9500</v>
      </c>
      <c r="YV88" s="0" t="n">
        <f aca="false">-$B$66</f>
        <v>-9500</v>
      </c>
      <c r="YW88" s="0" t="n">
        <f aca="false">-$B$66</f>
        <v>-9500</v>
      </c>
      <c r="YX88" s="0" t="n">
        <f aca="false">-$B$66</f>
        <v>-9500</v>
      </c>
      <c r="YY88" s="0" t="n">
        <f aca="false">-$B$66</f>
        <v>-9500</v>
      </c>
      <c r="YZ88" s="0" t="n">
        <f aca="false">-$B$66</f>
        <v>-9500</v>
      </c>
      <c r="ZA88" s="0" t="n">
        <f aca="false">-$B$66</f>
        <v>-9500</v>
      </c>
      <c r="ZB88" s="0" t="n">
        <f aca="false">-$B$66</f>
        <v>-9500</v>
      </c>
      <c r="ZC88" s="0" t="n">
        <f aca="false">-$B$66</f>
        <v>-9500</v>
      </c>
      <c r="ZD88" s="0" t="n">
        <f aca="false">-$B$66</f>
        <v>-9500</v>
      </c>
      <c r="ZE88" s="0" t="n">
        <f aca="false">-$B$66</f>
        <v>-9500</v>
      </c>
      <c r="ZF88" s="0" t="n">
        <f aca="false">-$B$66</f>
        <v>-9500</v>
      </c>
      <c r="ZG88" s="0" t="n">
        <f aca="false">-$B$66</f>
        <v>-9500</v>
      </c>
      <c r="ZH88" s="0" t="n">
        <f aca="false">-$B$66</f>
        <v>-9500</v>
      </c>
      <c r="ZI88" s="0" t="n">
        <f aca="false">-$B$66</f>
        <v>-9500</v>
      </c>
      <c r="ZJ88" s="0" t="n">
        <f aca="false">-$B$66</f>
        <v>-9500</v>
      </c>
      <c r="ZK88" s="0" t="n">
        <f aca="false">-$B$66</f>
        <v>-9500</v>
      </c>
      <c r="ZL88" s="0" t="n">
        <f aca="false">-$B$66</f>
        <v>-9500</v>
      </c>
      <c r="ZM88" s="0" t="n">
        <f aca="false">-$B$66</f>
        <v>-9500</v>
      </c>
      <c r="ZN88" s="0" t="n">
        <f aca="false">-$B$66</f>
        <v>-9500</v>
      </c>
      <c r="ZO88" s="0" t="n">
        <f aca="false">-$B$66</f>
        <v>-9500</v>
      </c>
      <c r="ZP88" s="0" t="n">
        <f aca="false">-$B$66</f>
        <v>-9500</v>
      </c>
      <c r="ZQ88" s="0" t="n">
        <f aca="false">-$B$66</f>
        <v>-9500</v>
      </c>
      <c r="ZR88" s="0" t="n">
        <f aca="false">-$B$66</f>
        <v>-9500</v>
      </c>
      <c r="ZS88" s="0" t="n">
        <f aca="false">-$B$66</f>
        <v>-9500</v>
      </c>
      <c r="ZT88" s="0" t="n">
        <f aca="false">-$B$66</f>
        <v>-9500</v>
      </c>
      <c r="ZU88" s="0" t="n">
        <f aca="false">-$B$66</f>
        <v>-9500</v>
      </c>
      <c r="ZV88" s="0" t="n">
        <f aca="false">-$B$66</f>
        <v>-9500</v>
      </c>
      <c r="ZW88" s="0" t="n">
        <f aca="false">-$B$66</f>
        <v>-9500</v>
      </c>
      <c r="ZX88" s="0" t="n">
        <f aca="false">-$B$66</f>
        <v>-9500</v>
      </c>
      <c r="ZY88" s="0" t="n">
        <f aca="false">-$B$66</f>
        <v>-9500</v>
      </c>
      <c r="ZZ88" s="0" t="n">
        <f aca="false">-$B$66</f>
        <v>-9500</v>
      </c>
      <c r="AAA88" s="0" t="n">
        <f aca="false">-$B$66</f>
        <v>-9500</v>
      </c>
      <c r="AAB88" s="0" t="n">
        <f aca="false">-$B$66</f>
        <v>-9500</v>
      </c>
      <c r="AAC88" s="0" t="n">
        <f aca="false">-$B$66</f>
        <v>-9500</v>
      </c>
      <c r="AAD88" s="0" t="n">
        <f aca="false">-$B$66</f>
        <v>-9500</v>
      </c>
      <c r="AAE88" s="0" t="n">
        <f aca="false">-$B$66</f>
        <v>-9500</v>
      </c>
      <c r="AAF88" s="0" t="n">
        <f aca="false">-$B$66</f>
        <v>-9500</v>
      </c>
      <c r="AAG88" s="0" t="n">
        <f aca="false">-$B$66</f>
        <v>-9500</v>
      </c>
      <c r="AAH88" s="0" t="n">
        <f aca="false">-$B$66</f>
        <v>-9500</v>
      </c>
      <c r="AAI88" s="0" t="n">
        <f aca="false">-$B$66</f>
        <v>-9500</v>
      </c>
      <c r="AAJ88" s="0" t="n">
        <f aca="false">-$B$66</f>
        <v>-9500</v>
      </c>
      <c r="AAK88" s="0" t="n">
        <f aca="false">-$B$66</f>
        <v>-9500</v>
      </c>
      <c r="AAL88" s="0" t="n">
        <f aca="false">-$B$66</f>
        <v>-9500</v>
      </c>
      <c r="AAM88" s="0" t="n">
        <f aca="false">-$B$66</f>
        <v>-9500</v>
      </c>
      <c r="AAN88" s="0" t="n">
        <f aca="false">-$B$66</f>
        <v>-9500</v>
      </c>
      <c r="AAO88" s="0" t="n">
        <f aca="false">-$B$66</f>
        <v>-9500</v>
      </c>
      <c r="AAP88" s="0" t="n">
        <f aca="false">-$B$66</f>
        <v>-9500</v>
      </c>
      <c r="AAQ88" s="0" t="n">
        <f aca="false">-$B$66</f>
        <v>-9500</v>
      </c>
      <c r="AAR88" s="0" t="n">
        <f aca="false">-$B$66</f>
        <v>-9500</v>
      </c>
      <c r="AAS88" s="0" t="n">
        <f aca="false">-$B$66</f>
        <v>-9500</v>
      </c>
      <c r="AAT88" s="0" t="n">
        <f aca="false">-$B$66</f>
        <v>-9500</v>
      </c>
      <c r="AAU88" s="0" t="n">
        <f aca="false">-$B$66</f>
        <v>-9500</v>
      </c>
      <c r="AAV88" s="0" t="n">
        <f aca="false">-$B$66</f>
        <v>-9500</v>
      </c>
      <c r="AAW88" s="0" t="n">
        <f aca="false">-$B$66</f>
        <v>-9500</v>
      </c>
      <c r="AAX88" s="0" t="n">
        <f aca="false">-$B$66</f>
        <v>-9500</v>
      </c>
      <c r="AAY88" s="0" t="n">
        <f aca="false">-$B$66</f>
        <v>-9500</v>
      </c>
      <c r="AAZ88" s="0" t="n">
        <f aca="false">-$B$66</f>
        <v>-9500</v>
      </c>
      <c r="ABA88" s="0" t="n">
        <f aca="false">-$B$66</f>
        <v>-9500</v>
      </c>
      <c r="ABB88" s="0" t="n">
        <f aca="false">-$B$66</f>
        <v>-9500</v>
      </c>
      <c r="ABC88" s="0" t="n">
        <f aca="false">-$B$66</f>
        <v>-9500</v>
      </c>
      <c r="ABD88" s="0" t="n">
        <f aca="false">-$B$66</f>
        <v>-9500</v>
      </c>
      <c r="ABE88" s="0" t="n">
        <f aca="false">-$B$66</f>
        <v>-9500</v>
      </c>
      <c r="ABF88" s="0" t="n">
        <f aca="false">-$B$66</f>
        <v>-9500</v>
      </c>
      <c r="ABG88" s="0" t="n">
        <f aca="false">-$B$66</f>
        <v>-9500</v>
      </c>
      <c r="ABH88" s="0" t="n">
        <f aca="false">-$B$66</f>
        <v>-9500</v>
      </c>
      <c r="ABI88" s="0" t="n">
        <f aca="false">-$B$66</f>
        <v>-9500</v>
      </c>
      <c r="ABJ88" s="0" t="n">
        <f aca="false">-$B$66</f>
        <v>-9500</v>
      </c>
      <c r="ABK88" s="0" t="n">
        <f aca="false">-$B$66</f>
        <v>-9500</v>
      </c>
      <c r="ABL88" s="0" t="n">
        <f aca="false">-$B$66</f>
        <v>-9500</v>
      </c>
      <c r="ABM88" s="0" t="n">
        <f aca="false">-$B$66</f>
        <v>-9500</v>
      </c>
      <c r="ABN88" s="0" t="n">
        <f aca="false">-$B$66</f>
        <v>-9500</v>
      </c>
      <c r="ABO88" s="0" t="n">
        <f aca="false">-$B$66</f>
        <v>-9500</v>
      </c>
      <c r="ABP88" s="0" t="n">
        <f aca="false">-$B$66</f>
        <v>-9500</v>
      </c>
      <c r="ABQ88" s="0" t="n">
        <f aca="false">-$B$66</f>
        <v>-9500</v>
      </c>
      <c r="ABR88" s="0" t="n">
        <f aca="false">-$B$66</f>
        <v>-9500</v>
      </c>
      <c r="ABS88" s="0" t="n">
        <f aca="false">-$B$66</f>
        <v>-9500</v>
      </c>
      <c r="ABT88" s="0" t="n">
        <f aca="false">-$B$66</f>
        <v>-9500</v>
      </c>
      <c r="ABU88" s="0" t="n">
        <f aca="false">-$B$66</f>
        <v>-9500</v>
      </c>
      <c r="ABV88" s="0" t="n">
        <f aca="false">-$B$66</f>
        <v>-9500</v>
      </c>
      <c r="ABW88" s="0" t="n">
        <f aca="false">-$B$66</f>
        <v>-9500</v>
      </c>
      <c r="ABX88" s="0" t="n">
        <f aca="false">-$B$66</f>
        <v>-9500</v>
      </c>
      <c r="ABY88" s="0" t="n">
        <f aca="false">-$B$66</f>
        <v>-9500</v>
      </c>
      <c r="ABZ88" s="0" t="n">
        <f aca="false">-$B$66</f>
        <v>-9500</v>
      </c>
      <c r="ACA88" s="0" t="n">
        <f aca="false">-$B$66</f>
        <v>-9500</v>
      </c>
      <c r="ACB88" s="0" t="n">
        <f aca="false">-$B$66</f>
        <v>-9500</v>
      </c>
      <c r="ACC88" s="0" t="n">
        <f aca="false">-$B$66</f>
        <v>-9500</v>
      </c>
      <c r="ACD88" s="0" t="n">
        <f aca="false">-$B$66</f>
        <v>-9500</v>
      </c>
      <c r="ACE88" s="0" t="n">
        <f aca="false">-$B$66</f>
        <v>-9500</v>
      </c>
      <c r="ACF88" s="0" t="n">
        <f aca="false">-$B$66</f>
        <v>-9500</v>
      </c>
      <c r="ACG88" s="0" t="n">
        <f aca="false">-$B$66</f>
        <v>-9500</v>
      </c>
      <c r="ACH88" s="0" t="n">
        <f aca="false">-$B$66</f>
        <v>-9500</v>
      </c>
      <c r="ACI88" s="0" t="n">
        <f aca="false">-$B$66</f>
        <v>-9500</v>
      </c>
      <c r="ACJ88" s="0" t="n">
        <f aca="false">-$B$66</f>
        <v>-9500</v>
      </c>
      <c r="ACK88" s="0" t="n">
        <f aca="false">-$B$66</f>
        <v>-9500</v>
      </c>
      <c r="ACL88" s="0" t="n">
        <f aca="false">-$B$66</f>
        <v>-9500</v>
      </c>
      <c r="ACM88" s="0" t="n">
        <f aca="false">-$B$66</f>
        <v>-9500</v>
      </c>
      <c r="ACN88" s="0" t="n">
        <f aca="false">-$B$66</f>
        <v>-9500</v>
      </c>
      <c r="ACO88" s="0" t="n">
        <f aca="false">-$B$66</f>
        <v>-9500</v>
      </c>
      <c r="ACP88" s="0" t="n">
        <f aca="false">-$B$66</f>
        <v>-9500</v>
      </c>
      <c r="ACQ88" s="0" t="n">
        <f aca="false">-$B$66</f>
        <v>-9500</v>
      </c>
      <c r="ACR88" s="0" t="n">
        <f aca="false">-$B$66</f>
        <v>-9500</v>
      </c>
      <c r="ACS88" s="0" t="n">
        <f aca="false">-$B$66</f>
        <v>-9500</v>
      </c>
      <c r="ACT88" s="0" t="n">
        <f aca="false">-$B$66</f>
        <v>-9500</v>
      </c>
      <c r="ACU88" s="0" t="n">
        <f aca="false">-$B$66</f>
        <v>-9500</v>
      </c>
      <c r="ACV88" s="0" t="n">
        <f aca="false">-$B$66</f>
        <v>-9500</v>
      </c>
      <c r="ACW88" s="0" t="n">
        <f aca="false">-$B$66</f>
        <v>-9500</v>
      </c>
      <c r="ACX88" s="0" t="n">
        <f aca="false">-$B$66</f>
        <v>-9500</v>
      </c>
      <c r="ACY88" s="0" t="n">
        <f aca="false">-$B$66</f>
        <v>-9500</v>
      </c>
      <c r="ACZ88" s="0" t="n">
        <f aca="false">-$B$66</f>
        <v>-9500</v>
      </c>
      <c r="ADA88" s="0" t="n">
        <f aca="false">-$B$66</f>
        <v>-9500</v>
      </c>
      <c r="ADB88" s="0" t="n">
        <f aca="false">-$B$66</f>
        <v>-9500</v>
      </c>
      <c r="ADC88" s="0" t="n">
        <f aca="false">-$B$66</f>
        <v>-9500</v>
      </c>
      <c r="ADD88" s="0" t="n">
        <f aca="false">-$B$66</f>
        <v>-9500</v>
      </c>
      <c r="ADE88" s="0" t="n">
        <f aca="false">-$B$66</f>
        <v>-9500</v>
      </c>
      <c r="ADF88" s="0" t="n">
        <f aca="false">-$B$66</f>
        <v>-9500</v>
      </c>
      <c r="ADG88" s="0" t="n">
        <f aca="false">-$B$66</f>
        <v>-9500</v>
      </c>
      <c r="ADH88" s="0" t="n">
        <f aca="false">-$B$66</f>
        <v>-9500</v>
      </c>
      <c r="ADI88" s="0" t="n">
        <f aca="false">-$B$66</f>
        <v>-9500</v>
      </c>
      <c r="ADJ88" s="0" t="n">
        <f aca="false">-$B$66</f>
        <v>-9500</v>
      </c>
      <c r="ADK88" s="0" t="n">
        <f aca="false">-$B$66</f>
        <v>-9500</v>
      </c>
      <c r="ADL88" s="0" t="n">
        <f aca="false">-$B$66</f>
        <v>-9500</v>
      </c>
      <c r="ADM88" s="0" t="n">
        <f aca="false">-$B$66</f>
        <v>-9500</v>
      </c>
      <c r="ADN88" s="0" t="n">
        <f aca="false">-$B$66</f>
        <v>-9500</v>
      </c>
      <c r="ADO88" s="0" t="n">
        <f aca="false">-$B$66</f>
        <v>-9500</v>
      </c>
      <c r="ADP88" s="0" t="n">
        <f aca="false">-$B$66</f>
        <v>-9500</v>
      </c>
      <c r="ADQ88" s="0" t="n">
        <f aca="false">-$B$66</f>
        <v>-9500</v>
      </c>
      <c r="ADR88" s="0" t="n">
        <f aca="false">-$B$66</f>
        <v>-9500</v>
      </c>
      <c r="ADS88" s="0" t="n">
        <f aca="false">-$B$66</f>
        <v>-9500</v>
      </c>
      <c r="ADT88" s="0" t="n">
        <f aca="false">-$B$66</f>
        <v>-9500</v>
      </c>
      <c r="ADU88" s="0" t="n">
        <f aca="false">-$B$66</f>
        <v>-9500</v>
      </c>
      <c r="ADV88" s="0" t="n">
        <f aca="false">-$B$66</f>
        <v>-9500</v>
      </c>
      <c r="ADW88" s="0" t="n">
        <f aca="false">-$B$66</f>
        <v>-9500</v>
      </c>
      <c r="ADX88" s="0" t="n">
        <f aca="false">-$B$66</f>
        <v>-9500</v>
      </c>
      <c r="ADY88" s="0" t="n">
        <f aca="false">-$B$66</f>
        <v>-9500</v>
      </c>
      <c r="ADZ88" s="0" t="n">
        <f aca="false">-$B$66</f>
        <v>-9500</v>
      </c>
      <c r="AEA88" s="0" t="n">
        <f aca="false">-$B$66</f>
        <v>-9500</v>
      </c>
      <c r="AEB88" s="0" t="n">
        <f aca="false">-$B$66</f>
        <v>-9500</v>
      </c>
      <c r="AEC88" s="0" t="n">
        <f aca="false">-$B$66</f>
        <v>-9500</v>
      </c>
      <c r="AED88" s="0" t="n">
        <f aca="false">-$B$66</f>
        <v>-9500</v>
      </c>
      <c r="AEE88" s="0" t="n">
        <f aca="false">-$B$66</f>
        <v>-9500</v>
      </c>
      <c r="AEF88" s="0" t="n">
        <f aca="false">-$B$66</f>
        <v>-9500</v>
      </c>
      <c r="AEG88" s="0" t="n">
        <f aca="false">-$B$66</f>
        <v>-9500</v>
      </c>
      <c r="AEH88" s="0" t="n">
        <f aca="false">-$B$66</f>
        <v>-9500</v>
      </c>
      <c r="AEI88" s="0" t="n">
        <f aca="false">-$B$66</f>
        <v>-9500</v>
      </c>
      <c r="AEJ88" s="0" t="n">
        <f aca="false">-$B$66</f>
        <v>-9500</v>
      </c>
      <c r="AEK88" s="0" t="n">
        <f aca="false">-$B$66</f>
        <v>-9500</v>
      </c>
      <c r="AEL88" s="0" t="n">
        <f aca="false">-$B$66</f>
        <v>-9500</v>
      </c>
      <c r="AEM88" s="0" t="n">
        <f aca="false">-$B$66</f>
        <v>-9500</v>
      </c>
      <c r="AEN88" s="0" t="n">
        <f aca="false">-$B$66</f>
        <v>-9500</v>
      </c>
      <c r="AEO88" s="0" t="n">
        <f aca="false">-$B$66</f>
        <v>-9500</v>
      </c>
      <c r="AEP88" s="0" t="n">
        <f aca="false">-$B$66</f>
        <v>-9500</v>
      </c>
      <c r="AEQ88" s="0" t="n">
        <f aca="false">-$B$66</f>
        <v>-9500</v>
      </c>
      <c r="AER88" s="0" t="n">
        <f aca="false">-$B$66</f>
        <v>-9500</v>
      </c>
      <c r="AES88" s="0" t="n">
        <f aca="false">-$B$66</f>
        <v>-9500</v>
      </c>
      <c r="AET88" s="0" t="n">
        <f aca="false">-$B$66</f>
        <v>-9500</v>
      </c>
      <c r="AEU88" s="0" t="n">
        <f aca="false">-$B$66</f>
        <v>-9500</v>
      </c>
      <c r="AEV88" s="0" t="n">
        <f aca="false">-$B$66</f>
        <v>-9500</v>
      </c>
      <c r="AEW88" s="0" t="n">
        <f aca="false">-$B$66</f>
        <v>-9500</v>
      </c>
      <c r="AEX88" s="0" t="n">
        <f aca="false">-$B$66</f>
        <v>-9500</v>
      </c>
      <c r="AEY88" s="0" t="n">
        <f aca="false">-$B$66</f>
        <v>-9500</v>
      </c>
      <c r="AEZ88" s="0" t="n">
        <f aca="false">-$B$66</f>
        <v>-9500</v>
      </c>
      <c r="AFA88" s="0" t="n">
        <f aca="false">-$B$66</f>
        <v>-9500</v>
      </c>
      <c r="AFB88" s="0" t="n">
        <f aca="false">-$B$66</f>
        <v>-9500</v>
      </c>
      <c r="AFC88" s="0" t="n">
        <f aca="false">-$B$66</f>
        <v>-9500</v>
      </c>
      <c r="AFD88" s="0" t="n">
        <f aca="false">-$B$66</f>
        <v>-9500</v>
      </c>
      <c r="AFE88" s="0" t="n">
        <f aca="false">-$B$66</f>
        <v>-9500</v>
      </c>
      <c r="AFF88" s="0" t="n">
        <f aca="false">-$B$66</f>
        <v>-9500</v>
      </c>
      <c r="AFG88" s="0" t="n">
        <f aca="false">-$B$66</f>
        <v>-9500</v>
      </c>
      <c r="AFH88" s="0" t="n">
        <f aca="false">-$B$66</f>
        <v>-9500</v>
      </c>
      <c r="AFI88" s="0" t="n">
        <f aca="false">-$B$66</f>
        <v>-9500</v>
      </c>
      <c r="AFJ88" s="0" t="n">
        <f aca="false">-$B$66</f>
        <v>-9500</v>
      </c>
      <c r="AFK88" s="0" t="n">
        <f aca="false">-$B$66</f>
        <v>-9500</v>
      </c>
      <c r="AFL88" s="0" t="n">
        <f aca="false">-$B$66</f>
        <v>-9500</v>
      </c>
      <c r="AFM88" s="0" t="n">
        <f aca="false">-$B$66</f>
        <v>-9500</v>
      </c>
      <c r="AFN88" s="0" t="n">
        <f aca="false">-$B$66</f>
        <v>-9500</v>
      </c>
      <c r="AFO88" s="0" t="n">
        <f aca="false">-$B$66</f>
        <v>-9500</v>
      </c>
      <c r="AFP88" s="0" t="n">
        <f aca="false">-$B$66</f>
        <v>-9500</v>
      </c>
      <c r="AFQ88" s="0" t="n">
        <f aca="false">-$B$66</f>
        <v>-9500</v>
      </c>
      <c r="AFR88" s="0" t="n">
        <f aca="false">-$B$66</f>
        <v>-9500</v>
      </c>
      <c r="AFS88" s="0" t="n">
        <f aca="false">-$B$66</f>
        <v>-9500</v>
      </c>
      <c r="AFT88" s="0" t="n">
        <f aca="false">-$B$66</f>
        <v>-9500</v>
      </c>
      <c r="AFU88" s="0" t="n">
        <f aca="false">-$B$66</f>
        <v>-9500</v>
      </c>
      <c r="AFV88" s="0" t="n">
        <f aca="false">-$B$66</f>
        <v>-9500</v>
      </c>
      <c r="AFW88" s="0" t="n">
        <f aca="false">-$B$66</f>
        <v>-9500</v>
      </c>
      <c r="AFX88" s="0" t="n">
        <f aca="false">-$B$66</f>
        <v>-9500</v>
      </c>
      <c r="AFY88" s="0" t="n">
        <f aca="false">-$B$66</f>
        <v>-9500</v>
      </c>
      <c r="AFZ88" s="0" t="n">
        <f aca="false">-$B$66</f>
        <v>-9500</v>
      </c>
      <c r="AGA88" s="0" t="n">
        <f aca="false">-$B$66</f>
        <v>-9500</v>
      </c>
      <c r="AGB88" s="0" t="n">
        <f aca="false">-$B$66</f>
        <v>-9500</v>
      </c>
      <c r="AGC88" s="0" t="n">
        <f aca="false">-$B$66</f>
        <v>-9500</v>
      </c>
      <c r="AGD88" s="0" t="n">
        <f aca="false">-$B$66</f>
        <v>-9500</v>
      </c>
      <c r="AGE88" s="0" t="n">
        <f aca="false">-$B$66</f>
        <v>-9500</v>
      </c>
      <c r="AGF88" s="0" t="n">
        <f aca="false">-$B$66</f>
        <v>-9500</v>
      </c>
      <c r="AGG88" s="0" t="n">
        <f aca="false">-$B$66</f>
        <v>-9500</v>
      </c>
      <c r="AGH88" s="0" t="n">
        <f aca="false">-$B$66</f>
        <v>-9500</v>
      </c>
      <c r="AGI88" s="0" t="n">
        <f aca="false">-$B$66</f>
        <v>-9500</v>
      </c>
      <c r="AGJ88" s="0" t="n">
        <f aca="false">-$B$66</f>
        <v>-9500</v>
      </c>
      <c r="AGK88" s="0" t="n">
        <f aca="false">-$B$66</f>
        <v>-9500</v>
      </c>
      <c r="AGL88" s="0" t="n">
        <f aca="false">-$B$66</f>
        <v>-9500</v>
      </c>
      <c r="AGM88" s="0" t="n">
        <f aca="false">-$B$66</f>
        <v>-9500</v>
      </c>
      <c r="AGN88" s="0" t="n">
        <f aca="false">-$B$66</f>
        <v>-9500</v>
      </c>
      <c r="AGO88" s="0" t="n">
        <f aca="false">-$B$66</f>
        <v>-9500</v>
      </c>
      <c r="AGP88" s="0" t="n">
        <f aca="false">-$B$66</f>
        <v>-9500</v>
      </c>
      <c r="AGQ88" s="0" t="n">
        <f aca="false">-$B$66</f>
        <v>-9500</v>
      </c>
      <c r="AGR88" s="0" t="n">
        <f aca="false">-$B$66</f>
        <v>-9500</v>
      </c>
      <c r="AGS88" s="0" t="n">
        <f aca="false">-$B$66</f>
        <v>-9500</v>
      </c>
      <c r="AGT88" s="0" t="n">
        <f aca="false">-$B$66</f>
        <v>-9500</v>
      </c>
      <c r="AGU88" s="0" t="n">
        <f aca="false">-$B$66</f>
        <v>-9500</v>
      </c>
      <c r="AGV88" s="0" t="n">
        <f aca="false">-$B$66</f>
        <v>-9500</v>
      </c>
      <c r="AGW88" s="0" t="n">
        <f aca="false">-$B$66</f>
        <v>-9500</v>
      </c>
      <c r="AGX88" s="0" t="n">
        <f aca="false">-$B$66</f>
        <v>-9500</v>
      </c>
      <c r="AGY88" s="0" t="n">
        <f aca="false">-$B$66</f>
        <v>-9500</v>
      </c>
      <c r="AGZ88" s="0" t="n">
        <f aca="false">-$B$66</f>
        <v>-9500</v>
      </c>
      <c r="AHA88" s="0" t="n">
        <f aca="false">-$B$66</f>
        <v>-9500</v>
      </c>
      <c r="AHB88" s="0" t="n">
        <f aca="false">-$B$66</f>
        <v>-9500</v>
      </c>
      <c r="AHC88" s="0" t="n">
        <f aca="false">-$B$66</f>
        <v>-9500</v>
      </c>
      <c r="AHD88" s="0" t="n">
        <f aca="false">-$B$66</f>
        <v>-9500</v>
      </c>
      <c r="AHE88" s="0" t="n">
        <f aca="false">-$B$66</f>
        <v>-9500</v>
      </c>
      <c r="AHF88" s="0" t="n">
        <f aca="false">-$B$66</f>
        <v>-9500</v>
      </c>
      <c r="AHG88" s="0" t="n">
        <f aca="false">-$B$66</f>
        <v>-9500</v>
      </c>
      <c r="AHH88" s="0" t="n">
        <f aca="false">-$B$66</f>
        <v>-9500</v>
      </c>
      <c r="AHI88" s="0" t="n">
        <f aca="false">-$B$66</f>
        <v>-9500</v>
      </c>
      <c r="AHJ88" s="0" t="n">
        <f aca="false">-$B$66</f>
        <v>-9500</v>
      </c>
      <c r="AHK88" s="0" t="n">
        <f aca="false">-$B$66</f>
        <v>-9500</v>
      </c>
      <c r="AHL88" s="0" t="n">
        <f aca="false">-$B$66</f>
        <v>-9500</v>
      </c>
      <c r="AHM88" s="0" t="n">
        <f aca="false">-$B$66</f>
        <v>-9500</v>
      </c>
      <c r="AHN88" s="0" t="n">
        <f aca="false">-$B$66</f>
        <v>-9500</v>
      </c>
      <c r="AHO88" s="0" t="n">
        <f aca="false">-$B$66</f>
        <v>-9500</v>
      </c>
      <c r="AHP88" s="0" t="n">
        <f aca="false">-$B$66</f>
        <v>-9500</v>
      </c>
      <c r="AHQ88" s="0" t="n">
        <f aca="false">-$B$66</f>
        <v>-9500</v>
      </c>
      <c r="AHR88" s="0" t="n">
        <f aca="false">-$B$66</f>
        <v>-9500</v>
      </c>
      <c r="AHS88" s="0" t="n">
        <f aca="false">-$B$66</f>
        <v>-9500</v>
      </c>
      <c r="AHT88" s="0" t="n">
        <f aca="false">-$B$66</f>
        <v>-9500</v>
      </c>
      <c r="AHU88" s="0" t="n">
        <f aca="false">-$B$66</f>
        <v>-9500</v>
      </c>
      <c r="AHV88" s="0" t="n">
        <f aca="false">-$B$66</f>
        <v>-9500</v>
      </c>
      <c r="AHW88" s="0" t="n">
        <f aca="false">-$B$66</f>
        <v>-9500</v>
      </c>
      <c r="AHX88" s="0" t="n">
        <f aca="false">-$B$66</f>
        <v>-9500</v>
      </c>
      <c r="AHY88" s="0" t="n">
        <f aca="false">-$B$66</f>
        <v>-9500</v>
      </c>
      <c r="AHZ88" s="0" t="n">
        <f aca="false">-$B$66</f>
        <v>-9500</v>
      </c>
      <c r="AIA88" s="0" t="n">
        <f aca="false">-$B$66</f>
        <v>-9500</v>
      </c>
      <c r="AIB88" s="0" t="n">
        <f aca="false">-$B$66</f>
        <v>-9500</v>
      </c>
      <c r="AIC88" s="0" t="n">
        <f aca="false">-$B$66</f>
        <v>-9500</v>
      </c>
      <c r="AID88" s="0" t="n">
        <f aca="false">-$B$66</f>
        <v>-9500</v>
      </c>
      <c r="AIE88" s="0" t="n">
        <f aca="false">-$B$66</f>
        <v>-9500</v>
      </c>
      <c r="AIF88" s="0" t="n">
        <f aca="false">-$B$66</f>
        <v>-9500</v>
      </c>
      <c r="AIG88" s="0" t="n">
        <f aca="false">-$B$66</f>
        <v>-9500</v>
      </c>
      <c r="AIH88" s="0" t="n">
        <f aca="false">-$B$66</f>
        <v>-9500</v>
      </c>
      <c r="AII88" s="0" t="n">
        <f aca="false">-$B$66</f>
        <v>-9500</v>
      </c>
      <c r="AIJ88" s="0" t="n">
        <f aca="false">-$B$66</f>
        <v>-9500</v>
      </c>
      <c r="AIK88" s="0" t="n">
        <f aca="false">-$B$66</f>
        <v>-9500</v>
      </c>
      <c r="AIL88" s="0" t="n">
        <f aca="false">-$B$66</f>
        <v>-9500</v>
      </c>
      <c r="AIM88" s="0" t="n">
        <f aca="false">-$B$66</f>
        <v>-9500</v>
      </c>
      <c r="AIN88" s="0" t="n">
        <f aca="false">-$B$66</f>
        <v>-9500</v>
      </c>
      <c r="AIO88" s="0" t="n">
        <f aca="false">-$B$66</f>
        <v>-9500</v>
      </c>
      <c r="AIP88" s="0" t="n">
        <f aca="false">-$B$66</f>
        <v>-9500</v>
      </c>
      <c r="AIQ88" s="0" t="n">
        <f aca="false">-$B$66</f>
        <v>-9500</v>
      </c>
      <c r="AIR88" s="0" t="n">
        <f aca="false">-$B$66</f>
        <v>-9500</v>
      </c>
      <c r="AIS88" s="0" t="n">
        <f aca="false">-$B$66</f>
        <v>-9500</v>
      </c>
      <c r="AIT88" s="0" t="n">
        <f aca="false">-$B$66</f>
        <v>-9500</v>
      </c>
      <c r="AIU88" s="0" t="n">
        <f aca="false">-$B$66</f>
        <v>-9500</v>
      </c>
      <c r="AIV88" s="0" t="n">
        <f aca="false">-$B$66</f>
        <v>-9500</v>
      </c>
      <c r="AIW88" s="0" t="n">
        <f aca="false">-$B$66</f>
        <v>-9500</v>
      </c>
      <c r="AIX88" s="0" t="n">
        <f aca="false">-$B$66</f>
        <v>-9500</v>
      </c>
      <c r="AIY88" s="0" t="n">
        <f aca="false">-$B$66</f>
        <v>-9500</v>
      </c>
      <c r="AIZ88" s="0" t="n">
        <f aca="false">-$B$66</f>
        <v>-9500</v>
      </c>
      <c r="AJA88" s="0" t="n">
        <f aca="false">-$B$66</f>
        <v>-9500</v>
      </c>
      <c r="AJB88" s="0" t="n">
        <f aca="false">-$B$66</f>
        <v>-9500</v>
      </c>
      <c r="AJC88" s="0" t="n">
        <f aca="false">-$B$66</f>
        <v>-9500</v>
      </c>
      <c r="AJD88" s="0" t="n">
        <f aca="false">-$B$66</f>
        <v>-9500</v>
      </c>
      <c r="AJE88" s="0" t="n">
        <f aca="false">-$B$66</f>
        <v>-9500</v>
      </c>
      <c r="AJF88" s="0" t="n">
        <f aca="false">-$B$66</f>
        <v>-9500</v>
      </c>
      <c r="AJG88" s="0" t="n">
        <f aca="false">-$B$66</f>
        <v>-9500</v>
      </c>
      <c r="AJH88" s="0" t="n">
        <f aca="false">-$B$66</f>
        <v>-9500</v>
      </c>
      <c r="AJI88" s="0" t="n">
        <f aca="false">-$B$66</f>
        <v>-9500</v>
      </c>
      <c r="AJJ88" s="0" t="n">
        <f aca="false">-$B$66</f>
        <v>-9500</v>
      </c>
      <c r="AJK88" s="0" t="n">
        <f aca="false">-$B$66</f>
        <v>-9500</v>
      </c>
      <c r="AJL88" s="0" t="n">
        <f aca="false">-$B$66</f>
        <v>-9500</v>
      </c>
      <c r="AJM88" s="0" t="n">
        <f aca="false">-$B$66</f>
        <v>-9500</v>
      </c>
      <c r="AJN88" s="0" t="n">
        <f aca="false">-$B$66</f>
        <v>-9500</v>
      </c>
      <c r="AJO88" s="0" t="n">
        <f aca="false">-$B$66</f>
        <v>-9500</v>
      </c>
      <c r="AJP88" s="0" t="n">
        <f aca="false">-$B$66</f>
        <v>-9500</v>
      </c>
      <c r="AJQ88" s="0" t="n">
        <f aca="false">-$B$66</f>
        <v>-9500</v>
      </c>
      <c r="AJR88" s="0" t="n">
        <f aca="false">-$B$66</f>
        <v>-9500</v>
      </c>
      <c r="AJS88" s="0" t="n">
        <f aca="false">-$B$66</f>
        <v>-9500</v>
      </c>
      <c r="AJT88" s="0" t="n">
        <f aca="false">-$B$66</f>
        <v>-9500</v>
      </c>
      <c r="AJU88" s="0" t="n">
        <f aca="false">-$B$66</f>
        <v>-9500</v>
      </c>
      <c r="AJV88" s="0" t="n">
        <f aca="false">-$B$66</f>
        <v>-9500</v>
      </c>
      <c r="AJW88" s="0" t="n">
        <f aca="false">-$B$66</f>
        <v>-9500</v>
      </c>
      <c r="AJX88" s="0" t="n">
        <f aca="false">-$B$66</f>
        <v>-9500</v>
      </c>
      <c r="AJY88" s="0" t="n">
        <f aca="false">-$B$66</f>
        <v>-9500</v>
      </c>
      <c r="AJZ88" s="0" t="n">
        <f aca="false">-$B$66</f>
        <v>-9500</v>
      </c>
      <c r="AKA88" s="0" t="n">
        <f aca="false">-$B$66</f>
        <v>-9500</v>
      </c>
      <c r="AKB88" s="0" t="n">
        <f aca="false">-$B$66</f>
        <v>-9500</v>
      </c>
      <c r="AKC88" s="0" t="n">
        <f aca="false">-$B$66</f>
        <v>-9500</v>
      </c>
      <c r="AKD88" s="0" t="n">
        <f aca="false">-$B$66</f>
        <v>-9500</v>
      </c>
      <c r="AKE88" s="0" t="n">
        <f aca="false">-$B$66</f>
        <v>-9500</v>
      </c>
      <c r="AKF88" s="0" t="n">
        <f aca="false">-$B$66</f>
        <v>-9500</v>
      </c>
      <c r="AKG88" s="0" t="n">
        <f aca="false">-$B$66</f>
        <v>-9500</v>
      </c>
      <c r="AKH88" s="0" t="n">
        <f aca="false">-$B$66</f>
        <v>-9500</v>
      </c>
      <c r="AKI88" s="0" t="n">
        <f aca="false">-$B$66</f>
        <v>-9500</v>
      </c>
      <c r="AKJ88" s="0" t="n">
        <f aca="false">-$B$66</f>
        <v>-9500</v>
      </c>
      <c r="AKK88" s="0" t="n">
        <f aca="false">-$B$66</f>
        <v>-9500</v>
      </c>
      <c r="AKL88" s="0" t="n">
        <f aca="false">-$B$66</f>
        <v>-9500</v>
      </c>
      <c r="AKM88" s="0" t="n">
        <f aca="false">-$B$66</f>
        <v>-9500</v>
      </c>
      <c r="AKN88" s="0" t="n">
        <f aca="false">-$B$66</f>
        <v>-9500</v>
      </c>
      <c r="AKO88" s="0" t="n">
        <f aca="false">-$B$66</f>
        <v>-9500</v>
      </c>
      <c r="AKP88" s="0" t="n">
        <f aca="false">-$B$66</f>
        <v>-9500</v>
      </c>
      <c r="AKQ88" s="0" t="n">
        <f aca="false">-$B$66</f>
        <v>-9500</v>
      </c>
      <c r="AKR88" s="0" t="n">
        <f aca="false">-$B$66</f>
        <v>-9500</v>
      </c>
      <c r="AKS88" s="0" t="n">
        <f aca="false">-$B$66</f>
        <v>-9500</v>
      </c>
      <c r="AKT88" s="0" t="n">
        <f aca="false">-$B$66</f>
        <v>-9500</v>
      </c>
      <c r="AKU88" s="0" t="n">
        <f aca="false">-$B$66</f>
        <v>-9500</v>
      </c>
      <c r="AKV88" s="0" t="n">
        <f aca="false">-$B$66</f>
        <v>-9500</v>
      </c>
      <c r="AKW88" s="0" t="n">
        <f aca="false">-$B$66</f>
        <v>-9500</v>
      </c>
      <c r="AKX88" s="0" t="n">
        <f aca="false">-$B$66</f>
        <v>-9500</v>
      </c>
      <c r="AKY88" s="0" t="n">
        <f aca="false">-$B$66</f>
        <v>-9500</v>
      </c>
      <c r="AKZ88" s="0" t="n">
        <f aca="false">-$B$66</f>
        <v>-9500</v>
      </c>
      <c r="ALA88" s="0" t="n">
        <f aca="false">-$B$66</f>
        <v>-9500</v>
      </c>
      <c r="ALB88" s="0" t="n">
        <f aca="false">-$B$66</f>
        <v>-9500</v>
      </c>
      <c r="ALC88" s="0" t="n">
        <f aca="false">-$B$66</f>
        <v>-9500</v>
      </c>
      <c r="ALD88" s="0" t="n">
        <f aca="false">-$B$66</f>
        <v>-9500</v>
      </c>
      <c r="ALE88" s="0" t="n">
        <f aca="false">-$B$66</f>
        <v>-9500</v>
      </c>
      <c r="ALF88" s="0" t="n">
        <f aca="false">-$B$66</f>
        <v>-9500</v>
      </c>
      <c r="ALG88" s="0" t="n">
        <f aca="false">-$B$66</f>
        <v>-9500</v>
      </c>
      <c r="ALH88" s="0" t="n">
        <f aca="false">-$B$66</f>
        <v>-9500</v>
      </c>
      <c r="ALI88" s="0" t="n">
        <f aca="false">-$B$66</f>
        <v>-9500</v>
      </c>
      <c r="ALJ88" s="0" t="n">
        <f aca="false">-$B$66</f>
        <v>-9500</v>
      </c>
      <c r="ALK88" s="0" t="n">
        <f aca="false">-$B$66</f>
        <v>-9500</v>
      </c>
      <c r="ALL88" s="0" t="n">
        <f aca="false">-$B$66</f>
        <v>-9500</v>
      </c>
      <c r="ALM88" s="0" t="n">
        <f aca="false">-$B$66</f>
        <v>-9500</v>
      </c>
    </row>
    <row r="89" customFormat="false" ht="14.5" hidden="false" customHeight="false" outlineLevel="0" collapsed="false">
      <c r="A89" s="10" t="s">
        <v>15</v>
      </c>
      <c r="B89" s="0" t="n">
        <f aca="false">-$B$67</f>
        <v>-500</v>
      </c>
      <c r="C89" s="0" t="n">
        <f aca="false">-$B$67</f>
        <v>-500</v>
      </c>
      <c r="D89" s="0" t="n">
        <f aca="false">-$B$67</f>
        <v>-500</v>
      </c>
      <c r="E89" s="0" t="n">
        <f aca="false">-$B$67</f>
        <v>-500</v>
      </c>
      <c r="F89" s="0" t="n">
        <f aca="false">-$B$67</f>
        <v>-500</v>
      </c>
      <c r="G89" s="0" t="n">
        <f aca="false">-$B$67</f>
        <v>-500</v>
      </c>
      <c r="H89" s="0" t="n">
        <f aca="false">-$B$67</f>
        <v>-500</v>
      </c>
      <c r="I89" s="0" t="n">
        <f aca="false">-$B$67</f>
        <v>-500</v>
      </c>
      <c r="J89" s="0" t="n">
        <f aca="false">-$B$67</f>
        <v>-500</v>
      </c>
      <c r="K89" s="0" t="n">
        <f aca="false">-$B$67</f>
        <v>-500</v>
      </c>
      <c r="L89" s="0" t="n">
        <f aca="false">-$B$67</f>
        <v>-500</v>
      </c>
      <c r="M89" s="0" t="n">
        <f aca="false">-$B$67</f>
        <v>-500</v>
      </c>
      <c r="N89" s="0" t="n">
        <f aca="false">-$B$67</f>
        <v>-500</v>
      </c>
      <c r="O89" s="0" t="n">
        <f aca="false">-$B$67</f>
        <v>-500</v>
      </c>
      <c r="P89" s="0" t="n">
        <f aca="false">-$B$67</f>
        <v>-500</v>
      </c>
      <c r="Q89" s="0" t="n">
        <f aca="false">-$B$67</f>
        <v>-500</v>
      </c>
      <c r="R89" s="0" t="n">
        <f aca="false">-$B$67</f>
        <v>-500</v>
      </c>
      <c r="S89" s="0" t="n">
        <f aca="false">-$B$67</f>
        <v>-500</v>
      </c>
      <c r="T89" s="0" t="n">
        <f aca="false">-$B$67</f>
        <v>-500</v>
      </c>
      <c r="U89" s="0" t="n">
        <f aca="false">-$B$67</f>
        <v>-500</v>
      </c>
      <c r="V89" s="0" t="n">
        <f aca="false">-$B$67</f>
        <v>-500</v>
      </c>
      <c r="W89" s="0" t="n">
        <f aca="false">-$B$67</f>
        <v>-500</v>
      </c>
      <c r="X89" s="0" t="n">
        <f aca="false">-$B$67</f>
        <v>-500</v>
      </c>
      <c r="Y89" s="0" t="n">
        <f aca="false">-$B$67</f>
        <v>-500</v>
      </c>
      <c r="Z89" s="0" t="n">
        <f aca="false">-$B$67</f>
        <v>-500</v>
      </c>
      <c r="AA89" s="0" t="n">
        <f aca="false">-$B$67</f>
        <v>-500</v>
      </c>
      <c r="AB89" s="0" t="n">
        <f aca="false">-$B$67</f>
        <v>-500</v>
      </c>
      <c r="AC89" s="0" t="n">
        <f aca="false">-$B$67</f>
        <v>-500</v>
      </c>
      <c r="AD89" s="0" t="n">
        <f aca="false">-$B$67</f>
        <v>-500</v>
      </c>
      <c r="AE89" s="0" t="n">
        <f aca="false">-$B$67</f>
        <v>-500</v>
      </c>
      <c r="AF89" s="0" t="n">
        <f aca="false">-$B$67</f>
        <v>-500</v>
      </c>
      <c r="AG89" s="0" t="n">
        <f aca="false">-$B$67</f>
        <v>-500</v>
      </c>
      <c r="AH89" s="0" t="n">
        <f aca="false">-$B$67</f>
        <v>-500</v>
      </c>
      <c r="AI89" s="0" t="n">
        <f aca="false">-$B$67</f>
        <v>-500</v>
      </c>
      <c r="AJ89" s="0" t="n">
        <f aca="false">-$B$67</f>
        <v>-500</v>
      </c>
      <c r="AK89" s="0" t="n">
        <f aca="false">-$B$67</f>
        <v>-500</v>
      </c>
      <c r="AL89" s="0" t="n">
        <f aca="false">-$B$67</f>
        <v>-500</v>
      </c>
      <c r="AM89" s="0" t="n">
        <f aca="false">-$B$67</f>
        <v>-500</v>
      </c>
      <c r="AN89" s="0" t="n">
        <f aca="false">-$B$67</f>
        <v>-500</v>
      </c>
      <c r="AO89" s="0" t="n">
        <f aca="false">-$B$67</f>
        <v>-500</v>
      </c>
      <c r="AP89" s="0" t="n">
        <f aca="false">-$B$67</f>
        <v>-500</v>
      </c>
      <c r="AQ89" s="0" t="n">
        <f aca="false">-$B$67</f>
        <v>-500</v>
      </c>
      <c r="AR89" s="0" t="n">
        <f aca="false">-$B$67</f>
        <v>-500</v>
      </c>
      <c r="AS89" s="0" t="n">
        <f aca="false">-$B$67</f>
        <v>-500</v>
      </c>
      <c r="AT89" s="0" t="n">
        <f aca="false">-$B$67</f>
        <v>-500</v>
      </c>
      <c r="AU89" s="0" t="n">
        <f aca="false">-$B$67</f>
        <v>-500</v>
      </c>
      <c r="AV89" s="0" t="n">
        <f aca="false">-$B$67</f>
        <v>-500</v>
      </c>
      <c r="AW89" s="0" t="n">
        <f aca="false">-$B$67</f>
        <v>-500</v>
      </c>
      <c r="AX89" s="0" t="n">
        <f aca="false">-$B$67</f>
        <v>-500</v>
      </c>
      <c r="AY89" s="0" t="n">
        <f aca="false">-$B$67</f>
        <v>-500</v>
      </c>
      <c r="AZ89" s="0" t="n">
        <f aca="false">-$B$67</f>
        <v>-500</v>
      </c>
      <c r="BA89" s="0" t="n">
        <f aca="false">-$B$67</f>
        <v>-500</v>
      </c>
      <c r="BB89" s="0" t="n">
        <f aca="false">-$B$67</f>
        <v>-500</v>
      </c>
      <c r="BC89" s="0" t="n">
        <f aca="false">-$B$67</f>
        <v>-500</v>
      </c>
      <c r="BD89" s="0" t="n">
        <f aca="false">-$B$67</f>
        <v>-500</v>
      </c>
      <c r="BE89" s="0" t="n">
        <f aca="false">-$B$67</f>
        <v>-500</v>
      </c>
      <c r="BF89" s="0" t="n">
        <f aca="false">-$B$67</f>
        <v>-500</v>
      </c>
      <c r="BG89" s="0" t="n">
        <f aca="false">-$B$67</f>
        <v>-500</v>
      </c>
      <c r="BH89" s="0" t="n">
        <f aca="false">-$B$67</f>
        <v>-500</v>
      </c>
      <c r="BI89" s="0" t="n">
        <f aca="false">-$B$67</f>
        <v>-500</v>
      </c>
      <c r="BJ89" s="0" t="n">
        <f aca="false">-$B$67</f>
        <v>-500</v>
      </c>
      <c r="BK89" s="0" t="n">
        <f aca="false">-$B$67</f>
        <v>-500</v>
      </c>
      <c r="BL89" s="0" t="n">
        <f aca="false">-$B$67</f>
        <v>-500</v>
      </c>
      <c r="BM89" s="0" t="n">
        <f aca="false">-$B$67</f>
        <v>-500</v>
      </c>
      <c r="BN89" s="0" t="n">
        <f aca="false">-$B$67</f>
        <v>-500</v>
      </c>
      <c r="BO89" s="0" t="n">
        <f aca="false">-$B$67</f>
        <v>-500</v>
      </c>
      <c r="BP89" s="0" t="n">
        <f aca="false">-$B$67</f>
        <v>-500</v>
      </c>
      <c r="BQ89" s="0" t="n">
        <f aca="false">-$B$67</f>
        <v>-500</v>
      </c>
      <c r="BR89" s="0" t="n">
        <f aca="false">-$B$67</f>
        <v>-500</v>
      </c>
      <c r="BS89" s="0" t="n">
        <f aca="false">-$B$67</f>
        <v>-500</v>
      </c>
      <c r="BT89" s="0" t="n">
        <f aca="false">-$B$67</f>
        <v>-500</v>
      </c>
      <c r="BU89" s="0" t="n">
        <f aca="false">-$B$67</f>
        <v>-500</v>
      </c>
      <c r="BV89" s="0" t="n">
        <f aca="false">-$B$67</f>
        <v>-500</v>
      </c>
      <c r="BW89" s="0" t="n">
        <f aca="false">-$B$67</f>
        <v>-500</v>
      </c>
      <c r="BX89" s="0" t="n">
        <f aca="false">-$B$67</f>
        <v>-500</v>
      </c>
      <c r="BY89" s="0" t="n">
        <f aca="false">-$B$67</f>
        <v>-500</v>
      </c>
      <c r="BZ89" s="0" t="n">
        <f aca="false">-$B$67</f>
        <v>-500</v>
      </c>
      <c r="CA89" s="0" t="n">
        <f aca="false">-$B$67</f>
        <v>-500</v>
      </c>
      <c r="CB89" s="0" t="n">
        <f aca="false">-$B$67</f>
        <v>-500</v>
      </c>
      <c r="CC89" s="0" t="n">
        <f aca="false">-$B$67</f>
        <v>-500</v>
      </c>
      <c r="CD89" s="0" t="n">
        <f aca="false">-$B$67</f>
        <v>-500</v>
      </c>
      <c r="CE89" s="0" t="n">
        <f aca="false">-$B$67</f>
        <v>-500</v>
      </c>
      <c r="CF89" s="0" t="n">
        <f aca="false">-$B$67</f>
        <v>-500</v>
      </c>
      <c r="CG89" s="0" t="n">
        <f aca="false">-$B$67</f>
        <v>-500</v>
      </c>
      <c r="CH89" s="0" t="n">
        <f aca="false">-$B$67</f>
        <v>-500</v>
      </c>
      <c r="CI89" s="0" t="n">
        <f aca="false">-$B$67</f>
        <v>-500</v>
      </c>
      <c r="CJ89" s="0" t="n">
        <f aca="false">-$B$67</f>
        <v>-500</v>
      </c>
      <c r="CK89" s="0" t="n">
        <f aca="false">-$B$67</f>
        <v>-500</v>
      </c>
      <c r="CL89" s="0" t="n">
        <f aca="false">-$B$67</f>
        <v>-500</v>
      </c>
      <c r="CM89" s="0" t="n">
        <f aca="false">-$B$67</f>
        <v>-500</v>
      </c>
      <c r="CN89" s="0" t="n">
        <f aca="false">-$B$67</f>
        <v>-500</v>
      </c>
      <c r="CO89" s="0" t="n">
        <f aca="false">-$B$67</f>
        <v>-500</v>
      </c>
      <c r="CP89" s="0" t="n">
        <f aca="false">-$B$67</f>
        <v>-500</v>
      </c>
      <c r="CQ89" s="0" t="n">
        <f aca="false">-$B$67</f>
        <v>-500</v>
      </c>
      <c r="CR89" s="0" t="n">
        <f aca="false">-$B$67</f>
        <v>-500</v>
      </c>
      <c r="CS89" s="0" t="n">
        <f aca="false">-$B$67</f>
        <v>-500</v>
      </c>
      <c r="CT89" s="0" t="n">
        <f aca="false">-$B$67</f>
        <v>-500</v>
      </c>
      <c r="CU89" s="0" t="n">
        <f aca="false">-$B$67</f>
        <v>-500</v>
      </c>
      <c r="CV89" s="0" t="n">
        <f aca="false">-$B$67</f>
        <v>-500</v>
      </c>
      <c r="CW89" s="0" t="n">
        <f aca="false">-$B$67</f>
        <v>-500</v>
      </c>
      <c r="CX89" s="0" t="n">
        <f aca="false">-$B$67</f>
        <v>-500</v>
      </c>
      <c r="CY89" s="0" t="n">
        <f aca="false">-$B$67</f>
        <v>-500</v>
      </c>
      <c r="CZ89" s="0" t="n">
        <f aca="false">-$B$67</f>
        <v>-500</v>
      </c>
      <c r="DA89" s="0" t="n">
        <f aca="false">-$B$67</f>
        <v>-500</v>
      </c>
      <c r="DB89" s="0" t="n">
        <f aca="false">-$B$67</f>
        <v>-500</v>
      </c>
      <c r="DC89" s="0" t="n">
        <f aca="false">-$B$67</f>
        <v>-500</v>
      </c>
      <c r="DD89" s="0" t="n">
        <f aca="false">-$B$67</f>
        <v>-500</v>
      </c>
      <c r="DE89" s="0" t="n">
        <f aca="false">-$B$67</f>
        <v>-500</v>
      </c>
      <c r="DF89" s="0" t="n">
        <f aca="false">-$B$67</f>
        <v>-500</v>
      </c>
      <c r="DG89" s="0" t="n">
        <f aca="false">-$B$67</f>
        <v>-500</v>
      </c>
      <c r="DH89" s="0" t="n">
        <f aca="false">-$B$67</f>
        <v>-500</v>
      </c>
      <c r="DI89" s="0" t="n">
        <f aca="false">-$B$67</f>
        <v>-500</v>
      </c>
      <c r="DJ89" s="0" t="n">
        <f aca="false">-$B$67</f>
        <v>-500</v>
      </c>
      <c r="DK89" s="0" t="n">
        <f aca="false">-$B$67</f>
        <v>-500</v>
      </c>
      <c r="DL89" s="0" t="n">
        <f aca="false">-$B$67</f>
        <v>-500</v>
      </c>
      <c r="DM89" s="0" t="n">
        <f aca="false">-$B$67</f>
        <v>-500</v>
      </c>
      <c r="DN89" s="0" t="n">
        <f aca="false">-$B$67</f>
        <v>-500</v>
      </c>
      <c r="DO89" s="0" t="n">
        <f aca="false">-$B$67</f>
        <v>-500</v>
      </c>
      <c r="DP89" s="0" t="n">
        <f aca="false">-$B$67</f>
        <v>-500</v>
      </c>
      <c r="DQ89" s="0" t="n">
        <f aca="false">-$B$67</f>
        <v>-500</v>
      </c>
      <c r="DR89" s="0" t="n">
        <f aca="false">-$B$67</f>
        <v>-500</v>
      </c>
      <c r="DS89" s="0" t="n">
        <f aca="false">-$B$67</f>
        <v>-500</v>
      </c>
      <c r="DT89" s="0" t="n">
        <f aca="false">-$B$67</f>
        <v>-500</v>
      </c>
      <c r="DU89" s="0" t="n">
        <f aca="false">-$B$67</f>
        <v>-500</v>
      </c>
      <c r="DV89" s="0" t="n">
        <f aca="false">-$B$67</f>
        <v>-500</v>
      </c>
      <c r="DW89" s="0" t="n">
        <f aca="false">-$B$67</f>
        <v>-500</v>
      </c>
      <c r="DX89" s="0" t="n">
        <f aca="false">-$B$67</f>
        <v>-500</v>
      </c>
      <c r="DY89" s="0" t="n">
        <f aca="false">-$B$67</f>
        <v>-500</v>
      </c>
      <c r="DZ89" s="0" t="n">
        <f aca="false">-$B$67</f>
        <v>-500</v>
      </c>
      <c r="EA89" s="0" t="n">
        <f aca="false">-$B$67</f>
        <v>-500</v>
      </c>
      <c r="EB89" s="0" t="n">
        <f aca="false">-$B$67</f>
        <v>-500</v>
      </c>
      <c r="EC89" s="0" t="n">
        <f aca="false">-$B$67</f>
        <v>-500</v>
      </c>
      <c r="ED89" s="0" t="n">
        <f aca="false">-$B$67</f>
        <v>-500</v>
      </c>
      <c r="EE89" s="0" t="n">
        <f aca="false">-$B$67</f>
        <v>-500</v>
      </c>
      <c r="EF89" s="0" t="n">
        <f aca="false">-$B$67</f>
        <v>-500</v>
      </c>
      <c r="EG89" s="0" t="n">
        <f aca="false">-$B$67</f>
        <v>-500</v>
      </c>
      <c r="EH89" s="0" t="n">
        <f aca="false">-$B$67</f>
        <v>-500</v>
      </c>
      <c r="EI89" s="0" t="n">
        <f aca="false">-$B$67</f>
        <v>-500</v>
      </c>
      <c r="EJ89" s="0" t="n">
        <f aca="false">-$B$67</f>
        <v>-500</v>
      </c>
      <c r="EK89" s="0" t="n">
        <f aca="false">-$B$67</f>
        <v>-500</v>
      </c>
      <c r="EL89" s="0" t="n">
        <f aca="false">-$B$67</f>
        <v>-500</v>
      </c>
      <c r="EM89" s="0" t="n">
        <f aca="false">-$B$67</f>
        <v>-500</v>
      </c>
      <c r="EN89" s="0" t="n">
        <f aca="false">-$B$67</f>
        <v>-500</v>
      </c>
      <c r="EO89" s="0" t="n">
        <f aca="false">-$B$67</f>
        <v>-500</v>
      </c>
      <c r="EP89" s="0" t="n">
        <f aca="false">-$B$67</f>
        <v>-500</v>
      </c>
      <c r="EQ89" s="0" t="n">
        <f aca="false">-$B$67</f>
        <v>-500</v>
      </c>
      <c r="ER89" s="0" t="n">
        <f aca="false">-$B$67</f>
        <v>-500</v>
      </c>
      <c r="ES89" s="0" t="n">
        <f aca="false">-$B$67</f>
        <v>-500</v>
      </c>
      <c r="ET89" s="0" t="n">
        <f aca="false">-$B$67</f>
        <v>-500</v>
      </c>
      <c r="EU89" s="0" t="n">
        <f aca="false">-$B$67</f>
        <v>-500</v>
      </c>
      <c r="EV89" s="0" t="n">
        <f aca="false">-$B$67</f>
        <v>-500</v>
      </c>
      <c r="EW89" s="0" t="n">
        <f aca="false">-$B$67</f>
        <v>-500</v>
      </c>
      <c r="EX89" s="0" t="n">
        <f aca="false">-$B$67</f>
        <v>-500</v>
      </c>
      <c r="EY89" s="0" t="n">
        <f aca="false">-$B$67</f>
        <v>-500</v>
      </c>
      <c r="EZ89" s="0" t="n">
        <f aca="false">-$B$67</f>
        <v>-500</v>
      </c>
      <c r="FA89" s="0" t="n">
        <f aca="false">-$B$67</f>
        <v>-500</v>
      </c>
      <c r="FB89" s="0" t="n">
        <f aca="false">-$B$67</f>
        <v>-500</v>
      </c>
      <c r="FC89" s="0" t="n">
        <f aca="false">-$B$67</f>
        <v>-500</v>
      </c>
      <c r="FD89" s="0" t="n">
        <f aca="false">-$B$67</f>
        <v>-500</v>
      </c>
      <c r="FE89" s="0" t="n">
        <f aca="false">-$B$67</f>
        <v>-500</v>
      </c>
      <c r="FF89" s="0" t="n">
        <f aca="false">-$B$67</f>
        <v>-500</v>
      </c>
      <c r="FG89" s="0" t="n">
        <f aca="false">-$B$67</f>
        <v>-500</v>
      </c>
      <c r="FH89" s="0" t="n">
        <f aca="false">-$B$67</f>
        <v>-500</v>
      </c>
      <c r="FI89" s="0" t="n">
        <f aca="false">-$B$67</f>
        <v>-500</v>
      </c>
      <c r="FJ89" s="0" t="n">
        <f aca="false">-$B$67</f>
        <v>-500</v>
      </c>
      <c r="FK89" s="0" t="n">
        <f aca="false">-$B$67</f>
        <v>-500</v>
      </c>
      <c r="FL89" s="0" t="n">
        <f aca="false">-$B$67</f>
        <v>-500</v>
      </c>
      <c r="FM89" s="0" t="n">
        <f aca="false">-$B$67</f>
        <v>-500</v>
      </c>
      <c r="FN89" s="0" t="n">
        <f aca="false">-$B$67</f>
        <v>-500</v>
      </c>
      <c r="FO89" s="0" t="n">
        <f aca="false">-$B$67</f>
        <v>-500</v>
      </c>
      <c r="FP89" s="0" t="n">
        <f aca="false">-$B$67</f>
        <v>-500</v>
      </c>
      <c r="FQ89" s="0" t="n">
        <f aca="false">-$B$67</f>
        <v>-500</v>
      </c>
      <c r="FR89" s="0" t="n">
        <f aca="false">-$B$67</f>
        <v>-500</v>
      </c>
      <c r="FS89" s="0" t="n">
        <f aca="false">-$B$67</f>
        <v>-500</v>
      </c>
      <c r="FT89" s="0" t="n">
        <f aca="false">-$B$67</f>
        <v>-500</v>
      </c>
      <c r="FU89" s="0" t="n">
        <f aca="false">-$B$67</f>
        <v>-500</v>
      </c>
      <c r="FV89" s="0" t="n">
        <f aca="false">-$B$67</f>
        <v>-500</v>
      </c>
      <c r="FW89" s="0" t="n">
        <f aca="false">-$B$67</f>
        <v>-500</v>
      </c>
      <c r="FX89" s="0" t="n">
        <f aca="false">-$B$67</f>
        <v>-500</v>
      </c>
      <c r="FY89" s="0" t="n">
        <f aca="false">-$B$67</f>
        <v>-500</v>
      </c>
      <c r="FZ89" s="0" t="n">
        <f aca="false">-$B$67</f>
        <v>-500</v>
      </c>
      <c r="GA89" s="0" t="n">
        <f aca="false">-$B$67</f>
        <v>-500</v>
      </c>
      <c r="GB89" s="0" t="n">
        <f aca="false">-$B$67</f>
        <v>-500</v>
      </c>
      <c r="GC89" s="0" t="n">
        <f aca="false">-$B$67</f>
        <v>-500</v>
      </c>
      <c r="GD89" s="0" t="n">
        <f aca="false">-$B$67</f>
        <v>-500</v>
      </c>
      <c r="GE89" s="0" t="n">
        <f aca="false">-$B$67</f>
        <v>-500</v>
      </c>
      <c r="GF89" s="0" t="n">
        <f aca="false">-$B$67</f>
        <v>-500</v>
      </c>
      <c r="GG89" s="0" t="n">
        <f aca="false">-$B$67</f>
        <v>-500</v>
      </c>
      <c r="GH89" s="0" t="n">
        <f aca="false">-$B$67</f>
        <v>-500</v>
      </c>
      <c r="GI89" s="0" t="n">
        <f aca="false">-$B$67</f>
        <v>-500</v>
      </c>
      <c r="GJ89" s="0" t="n">
        <f aca="false">-$B$67</f>
        <v>-500</v>
      </c>
      <c r="GK89" s="0" t="n">
        <f aca="false">-$B$67</f>
        <v>-500</v>
      </c>
      <c r="GL89" s="0" t="n">
        <f aca="false">-$B$67</f>
        <v>-500</v>
      </c>
      <c r="GM89" s="0" t="n">
        <f aca="false">-$B$67</f>
        <v>-500</v>
      </c>
      <c r="GN89" s="0" t="n">
        <f aca="false">-$B$67</f>
        <v>-500</v>
      </c>
      <c r="GO89" s="0" t="n">
        <f aca="false">-$B$67</f>
        <v>-500</v>
      </c>
      <c r="GP89" s="0" t="n">
        <f aca="false">-$B$67</f>
        <v>-500</v>
      </c>
      <c r="GQ89" s="0" t="n">
        <f aca="false">-$B$67</f>
        <v>-500</v>
      </c>
      <c r="GR89" s="0" t="n">
        <f aca="false">-$B$67</f>
        <v>-500</v>
      </c>
      <c r="GS89" s="0" t="n">
        <f aca="false">-$B$67</f>
        <v>-500</v>
      </c>
      <c r="GT89" s="0" t="n">
        <f aca="false">-$B$67</f>
        <v>-500</v>
      </c>
      <c r="GU89" s="0" t="n">
        <f aca="false">-$B$67</f>
        <v>-500</v>
      </c>
      <c r="GV89" s="0" t="n">
        <f aca="false">-$B$67</f>
        <v>-500</v>
      </c>
      <c r="GW89" s="0" t="n">
        <f aca="false">-$B$67</f>
        <v>-500</v>
      </c>
      <c r="GX89" s="0" t="n">
        <f aca="false">-$B$67</f>
        <v>-500</v>
      </c>
      <c r="GY89" s="0" t="n">
        <f aca="false">-$B$67</f>
        <v>-500</v>
      </c>
      <c r="GZ89" s="0" t="n">
        <f aca="false">-$B$67</f>
        <v>-500</v>
      </c>
      <c r="HA89" s="0" t="n">
        <f aca="false">-$B$67</f>
        <v>-500</v>
      </c>
      <c r="HB89" s="0" t="n">
        <f aca="false">-$B$67</f>
        <v>-500</v>
      </c>
      <c r="HC89" s="0" t="n">
        <f aca="false">-$B$67</f>
        <v>-500</v>
      </c>
      <c r="HD89" s="0" t="n">
        <f aca="false">-$B$67</f>
        <v>-500</v>
      </c>
      <c r="HE89" s="0" t="n">
        <f aca="false">-$B$67</f>
        <v>-500</v>
      </c>
      <c r="HF89" s="0" t="n">
        <f aca="false">-$B$67</f>
        <v>-500</v>
      </c>
      <c r="HG89" s="0" t="n">
        <f aca="false">-$B$67</f>
        <v>-500</v>
      </c>
      <c r="HH89" s="0" t="n">
        <f aca="false">-$B$67</f>
        <v>-500</v>
      </c>
      <c r="HI89" s="0" t="n">
        <f aca="false">-$B$67</f>
        <v>-500</v>
      </c>
      <c r="HJ89" s="0" t="n">
        <f aca="false">-$B$67</f>
        <v>-500</v>
      </c>
      <c r="HK89" s="0" t="n">
        <f aca="false">-$B$67</f>
        <v>-500</v>
      </c>
      <c r="HL89" s="0" t="n">
        <f aca="false">-$B$67</f>
        <v>-500</v>
      </c>
      <c r="HM89" s="0" t="n">
        <f aca="false">-$B$67</f>
        <v>-500</v>
      </c>
      <c r="HN89" s="0" t="n">
        <f aca="false">-$B$67</f>
        <v>-500</v>
      </c>
      <c r="HO89" s="0" t="n">
        <f aca="false">-$B$67</f>
        <v>-500</v>
      </c>
      <c r="HP89" s="0" t="n">
        <f aca="false">-$B$67</f>
        <v>-500</v>
      </c>
      <c r="HQ89" s="0" t="n">
        <f aca="false">-$B$67</f>
        <v>-500</v>
      </c>
      <c r="HR89" s="0" t="n">
        <f aca="false">-$B$67</f>
        <v>-500</v>
      </c>
      <c r="HS89" s="0" t="n">
        <f aca="false">-$B$67</f>
        <v>-500</v>
      </c>
      <c r="HT89" s="0" t="n">
        <f aca="false">-$B$67</f>
        <v>-500</v>
      </c>
      <c r="HU89" s="0" t="n">
        <f aca="false">-$B$67</f>
        <v>-500</v>
      </c>
      <c r="HV89" s="0" t="n">
        <f aca="false">-$B$67</f>
        <v>-500</v>
      </c>
      <c r="HW89" s="0" t="n">
        <f aca="false">-$B$67</f>
        <v>-500</v>
      </c>
      <c r="HX89" s="0" t="n">
        <f aca="false">-$B$67</f>
        <v>-500</v>
      </c>
      <c r="HY89" s="0" t="n">
        <f aca="false">-$B$67</f>
        <v>-500</v>
      </c>
      <c r="HZ89" s="0" t="n">
        <f aca="false">-$B$67</f>
        <v>-500</v>
      </c>
      <c r="IA89" s="0" t="n">
        <f aca="false">-$B$67</f>
        <v>-500</v>
      </c>
      <c r="IB89" s="0" t="n">
        <f aca="false">-$B$67</f>
        <v>-500</v>
      </c>
      <c r="IC89" s="0" t="n">
        <f aca="false">-$B$67</f>
        <v>-500</v>
      </c>
      <c r="ID89" s="0" t="n">
        <f aca="false">-$B$67</f>
        <v>-500</v>
      </c>
      <c r="IE89" s="0" t="n">
        <f aca="false">-$B$67</f>
        <v>-500</v>
      </c>
      <c r="IF89" s="0" t="n">
        <f aca="false">-$B$67</f>
        <v>-500</v>
      </c>
      <c r="IG89" s="0" t="n">
        <f aca="false">-$B$67</f>
        <v>-500</v>
      </c>
      <c r="IH89" s="0" t="n">
        <f aca="false">-$B$67</f>
        <v>-500</v>
      </c>
      <c r="II89" s="0" t="n">
        <f aca="false">-$B$67</f>
        <v>-500</v>
      </c>
      <c r="IJ89" s="0" t="n">
        <f aca="false">-$B$67</f>
        <v>-500</v>
      </c>
      <c r="IK89" s="0" t="n">
        <f aca="false">-$B$67</f>
        <v>-500</v>
      </c>
      <c r="IL89" s="0" t="n">
        <f aca="false">-$B$67</f>
        <v>-500</v>
      </c>
      <c r="IM89" s="0" t="n">
        <f aca="false">-$B$67</f>
        <v>-500</v>
      </c>
      <c r="IN89" s="0" t="n">
        <f aca="false">-$B$67</f>
        <v>-500</v>
      </c>
      <c r="IO89" s="0" t="n">
        <f aca="false">-$B$67</f>
        <v>-500</v>
      </c>
      <c r="IP89" s="0" t="n">
        <f aca="false">-$B$67</f>
        <v>-500</v>
      </c>
      <c r="IQ89" s="0" t="n">
        <f aca="false">-$B$67</f>
        <v>-500</v>
      </c>
      <c r="IR89" s="0" t="n">
        <f aca="false">-$B$67</f>
        <v>-500</v>
      </c>
      <c r="IS89" s="0" t="n">
        <f aca="false">-$B$67</f>
        <v>-500</v>
      </c>
      <c r="IT89" s="0" t="n">
        <f aca="false">-$B$67</f>
        <v>-500</v>
      </c>
      <c r="IU89" s="0" t="n">
        <f aca="false">-$B$67</f>
        <v>-500</v>
      </c>
      <c r="IV89" s="0" t="n">
        <f aca="false">-$B$67</f>
        <v>-500</v>
      </c>
      <c r="IW89" s="0" t="n">
        <f aca="false">-$B$67</f>
        <v>-500</v>
      </c>
      <c r="IX89" s="0" t="n">
        <f aca="false">-$B$67</f>
        <v>-500</v>
      </c>
      <c r="IY89" s="0" t="n">
        <f aca="false">-$B$67</f>
        <v>-500</v>
      </c>
      <c r="IZ89" s="0" t="n">
        <f aca="false">-$B$67</f>
        <v>-500</v>
      </c>
      <c r="JA89" s="0" t="n">
        <f aca="false">-$B$67</f>
        <v>-500</v>
      </c>
      <c r="JB89" s="0" t="n">
        <f aca="false">-$B$67</f>
        <v>-500</v>
      </c>
      <c r="JC89" s="0" t="n">
        <f aca="false">-$B$67</f>
        <v>-500</v>
      </c>
      <c r="JD89" s="0" t="n">
        <f aca="false">-$B$67</f>
        <v>-500</v>
      </c>
      <c r="JE89" s="0" t="n">
        <f aca="false">-$B$67</f>
        <v>-500</v>
      </c>
      <c r="JF89" s="0" t="n">
        <f aca="false">-$B$67</f>
        <v>-500</v>
      </c>
      <c r="JG89" s="0" t="n">
        <f aca="false">-$B$67</f>
        <v>-500</v>
      </c>
      <c r="JH89" s="0" t="n">
        <f aca="false">-$B$67</f>
        <v>-500</v>
      </c>
      <c r="JI89" s="0" t="n">
        <f aca="false">-$B$67</f>
        <v>-500</v>
      </c>
      <c r="JJ89" s="0" t="n">
        <f aca="false">-$B$67</f>
        <v>-500</v>
      </c>
      <c r="JK89" s="0" t="n">
        <f aca="false">-$B$67</f>
        <v>-500</v>
      </c>
      <c r="JL89" s="0" t="n">
        <f aca="false">-$B$67</f>
        <v>-500</v>
      </c>
      <c r="JM89" s="0" t="n">
        <f aca="false">-$B$67</f>
        <v>-500</v>
      </c>
      <c r="JN89" s="0" t="n">
        <f aca="false">-$B$67</f>
        <v>-500</v>
      </c>
      <c r="JO89" s="0" t="n">
        <f aca="false">-$B$67</f>
        <v>-500</v>
      </c>
      <c r="JP89" s="0" t="n">
        <f aca="false">-$B$67</f>
        <v>-500</v>
      </c>
      <c r="JQ89" s="0" t="n">
        <f aca="false">-$B$67</f>
        <v>-500</v>
      </c>
      <c r="JR89" s="0" t="n">
        <f aca="false">-$B$67</f>
        <v>-500</v>
      </c>
      <c r="JS89" s="0" t="n">
        <f aca="false">-$B$67</f>
        <v>-500</v>
      </c>
      <c r="JT89" s="0" t="n">
        <f aca="false">-$B$67</f>
        <v>-500</v>
      </c>
      <c r="JU89" s="0" t="n">
        <f aca="false">-$B$67</f>
        <v>-500</v>
      </c>
      <c r="JV89" s="0" t="n">
        <f aca="false">-$B$67</f>
        <v>-500</v>
      </c>
      <c r="JW89" s="0" t="n">
        <f aca="false">-$B$67</f>
        <v>-500</v>
      </c>
      <c r="JX89" s="0" t="n">
        <f aca="false">-$B$67</f>
        <v>-500</v>
      </c>
      <c r="JY89" s="0" t="n">
        <f aca="false">-$B$67</f>
        <v>-500</v>
      </c>
      <c r="JZ89" s="0" t="n">
        <f aca="false">-$B$67</f>
        <v>-500</v>
      </c>
      <c r="KA89" s="0" t="n">
        <f aca="false">-$B$67</f>
        <v>-500</v>
      </c>
      <c r="KB89" s="0" t="n">
        <f aca="false">-$B$67</f>
        <v>-500</v>
      </c>
      <c r="KC89" s="0" t="n">
        <f aca="false">-$B$67</f>
        <v>-500</v>
      </c>
      <c r="KD89" s="0" t="n">
        <f aca="false">-$B$67</f>
        <v>-500</v>
      </c>
      <c r="KE89" s="0" t="n">
        <f aca="false">-$B$67</f>
        <v>-500</v>
      </c>
      <c r="KF89" s="0" t="n">
        <f aca="false">-$B$67</f>
        <v>-500</v>
      </c>
      <c r="KG89" s="0" t="n">
        <f aca="false">-$B$67</f>
        <v>-500</v>
      </c>
      <c r="KH89" s="0" t="n">
        <f aca="false">-$B$67</f>
        <v>-500</v>
      </c>
      <c r="KI89" s="0" t="n">
        <f aca="false">-$B$67</f>
        <v>-500</v>
      </c>
      <c r="KJ89" s="0" t="n">
        <f aca="false">-$B$67</f>
        <v>-500</v>
      </c>
      <c r="KK89" s="0" t="n">
        <f aca="false">-$B$67</f>
        <v>-500</v>
      </c>
      <c r="KL89" s="0" t="n">
        <f aca="false">-$B$67</f>
        <v>-500</v>
      </c>
      <c r="KM89" s="0" t="n">
        <f aca="false">-$B$67</f>
        <v>-500</v>
      </c>
      <c r="KN89" s="0" t="n">
        <f aca="false">-$B$67</f>
        <v>-500</v>
      </c>
      <c r="KO89" s="0" t="n">
        <f aca="false">-$B$67</f>
        <v>-500</v>
      </c>
      <c r="KP89" s="0" t="n">
        <f aca="false">-$B$67</f>
        <v>-500</v>
      </c>
      <c r="KQ89" s="0" t="n">
        <f aca="false">-$B$67</f>
        <v>-500</v>
      </c>
      <c r="KR89" s="0" t="n">
        <f aca="false">-$B$67</f>
        <v>-500</v>
      </c>
      <c r="KS89" s="0" t="n">
        <f aca="false">-$B$67</f>
        <v>-500</v>
      </c>
      <c r="KT89" s="0" t="n">
        <f aca="false">-$B$67</f>
        <v>-500</v>
      </c>
      <c r="KU89" s="0" t="n">
        <f aca="false">-$B$67</f>
        <v>-500</v>
      </c>
      <c r="KV89" s="0" t="n">
        <f aca="false">-$B$67</f>
        <v>-500</v>
      </c>
      <c r="KW89" s="0" t="n">
        <f aca="false">-$B$67</f>
        <v>-500</v>
      </c>
      <c r="KX89" s="0" t="n">
        <f aca="false">-$B$67</f>
        <v>-500</v>
      </c>
      <c r="KY89" s="0" t="n">
        <f aca="false">-$B$67</f>
        <v>-500</v>
      </c>
      <c r="KZ89" s="0" t="n">
        <f aca="false">-$B$67</f>
        <v>-500</v>
      </c>
      <c r="LA89" s="0" t="n">
        <f aca="false">-$B$67</f>
        <v>-500</v>
      </c>
      <c r="LB89" s="0" t="n">
        <f aca="false">-$B$67</f>
        <v>-500</v>
      </c>
      <c r="LC89" s="0" t="n">
        <f aca="false">-$B$67</f>
        <v>-500</v>
      </c>
      <c r="LD89" s="0" t="n">
        <f aca="false">-$B$67</f>
        <v>-500</v>
      </c>
      <c r="LE89" s="0" t="n">
        <f aca="false">-$B$67</f>
        <v>-500</v>
      </c>
      <c r="LF89" s="0" t="n">
        <f aca="false">-$B$67</f>
        <v>-500</v>
      </c>
      <c r="LG89" s="0" t="n">
        <f aca="false">-$B$67</f>
        <v>-500</v>
      </c>
      <c r="LH89" s="0" t="n">
        <f aca="false">-$B$67</f>
        <v>-500</v>
      </c>
      <c r="LI89" s="0" t="n">
        <f aca="false">-$B$67</f>
        <v>-500</v>
      </c>
      <c r="LJ89" s="0" t="n">
        <f aca="false">-$B$67</f>
        <v>-500</v>
      </c>
      <c r="LK89" s="0" t="n">
        <f aca="false">-$B$67</f>
        <v>-500</v>
      </c>
      <c r="LL89" s="0" t="n">
        <f aca="false">-$B$67</f>
        <v>-500</v>
      </c>
      <c r="LM89" s="0" t="n">
        <f aca="false">-$B$67</f>
        <v>-500</v>
      </c>
      <c r="LN89" s="0" t="n">
        <f aca="false">-$B$67</f>
        <v>-500</v>
      </c>
      <c r="LO89" s="0" t="n">
        <f aca="false">-$B$67</f>
        <v>-500</v>
      </c>
      <c r="LP89" s="0" t="n">
        <f aca="false">-$B$67</f>
        <v>-500</v>
      </c>
      <c r="LQ89" s="0" t="n">
        <f aca="false">-$B$67</f>
        <v>-500</v>
      </c>
      <c r="LR89" s="0" t="n">
        <f aca="false">-$B$67</f>
        <v>-500</v>
      </c>
      <c r="LS89" s="0" t="n">
        <f aca="false">-$B$67</f>
        <v>-500</v>
      </c>
      <c r="LT89" s="0" t="n">
        <f aca="false">-$B$67</f>
        <v>-500</v>
      </c>
      <c r="LU89" s="0" t="n">
        <f aca="false">-$B$67</f>
        <v>-500</v>
      </c>
      <c r="LV89" s="0" t="n">
        <f aca="false">-$B$67</f>
        <v>-500</v>
      </c>
      <c r="LW89" s="0" t="n">
        <f aca="false">-$B$67</f>
        <v>-500</v>
      </c>
      <c r="LX89" s="0" t="n">
        <f aca="false">-$B$67</f>
        <v>-500</v>
      </c>
      <c r="LY89" s="0" t="n">
        <f aca="false">-$B$67</f>
        <v>-500</v>
      </c>
      <c r="LZ89" s="0" t="n">
        <f aca="false">-$B$67</f>
        <v>-500</v>
      </c>
      <c r="MA89" s="0" t="n">
        <f aca="false">-$B$67</f>
        <v>-500</v>
      </c>
      <c r="MB89" s="0" t="n">
        <f aca="false">-$B$67</f>
        <v>-500</v>
      </c>
      <c r="MC89" s="0" t="n">
        <f aca="false">-$B$67</f>
        <v>-500</v>
      </c>
      <c r="MD89" s="0" t="n">
        <f aca="false">-$B$67</f>
        <v>-500</v>
      </c>
      <c r="ME89" s="0" t="n">
        <f aca="false">-$B$67</f>
        <v>-500</v>
      </c>
      <c r="MF89" s="0" t="n">
        <f aca="false">-$B$67</f>
        <v>-500</v>
      </c>
      <c r="MG89" s="0" t="n">
        <f aca="false">-$B$67</f>
        <v>-500</v>
      </c>
      <c r="MH89" s="0" t="n">
        <f aca="false">-$B$67</f>
        <v>-500</v>
      </c>
      <c r="MI89" s="0" t="n">
        <f aca="false">-$B$67</f>
        <v>-500</v>
      </c>
      <c r="MJ89" s="0" t="n">
        <f aca="false">-$B$67</f>
        <v>-500</v>
      </c>
      <c r="MK89" s="0" t="n">
        <f aca="false">-$B$67</f>
        <v>-500</v>
      </c>
      <c r="ML89" s="0" t="n">
        <f aca="false">-$B$67</f>
        <v>-500</v>
      </c>
      <c r="MM89" s="0" t="n">
        <f aca="false">-$B$67</f>
        <v>-500</v>
      </c>
      <c r="MN89" s="0" t="n">
        <f aca="false">-$B$67</f>
        <v>-500</v>
      </c>
      <c r="MO89" s="0" t="n">
        <f aca="false">-$B$67</f>
        <v>-500</v>
      </c>
      <c r="MP89" s="0" t="n">
        <f aca="false">-$B$67</f>
        <v>-500</v>
      </c>
      <c r="MQ89" s="0" t="n">
        <f aca="false">-$B$67</f>
        <v>-500</v>
      </c>
      <c r="MR89" s="0" t="n">
        <f aca="false">-$B$67</f>
        <v>-500</v>
      </c>
      <c r="MS89" s="0" t="n">
        <f aca="false">-$B$67</f>
        <v>-500</v>
      </c>
      <c r="MT89" s="0" t="n">
        <f aca="false">-$B$67</f>
        <v>-500</v>
      </c>
      <c r="MU89" s="0" t="n">
        <f aca="false">-$B$67</f>
        <v>-500</v>
      </c>
      <c r="MV89" s="0" t="n">
        <f aca="false">-$B$67</f>
        <v>-500</v>
      </c>
      <c r="MW89" s="0" t="n">
        <f aca="false">-$B$67</f>
        <v>-500</v>
      </c>
      <c r="MX89" s="0" t="n">
        <f aca="false">-$B$67</f>
        <v>-500</v>
      </c>
      <c r="MY89" s="0" t="n">
        <f aca="false">-$B$67</f>
        <v>-500</v>
      </c>
      <c r="MZ89" s="0" t="n">
        <f aca="false">-$B$67</f>
        <v>-500</v>
      </c>
      <c r="NA89" s="0" t="n">
        <f aca="false">-$B$67</f>
        <v>-500</v>
      </c>
      <c r="NB89" s="0" t="n">
        <f aca="false">-$B$67</f>
        <v>-500</v>
      </c>
      <c r="NC89" s="0" t="n">
        <f aca="false">-$B$67</f>
        <v>-500</v>
      </c>
      <c r="ND89" s="0" t="n">
        <f aca="false">-$B$67</f>
        <v>-500</v>
      </c>
      <c r="NE89" s="0" t="n">
        <f aca="false">-$B$67</f>
        <v>-500</v>
      </c>
      <c r="NF89" s="0" t="n">
        <f aca="false">-$B$67</f>
        <v>-500</v>
      </c>
      <c r="NG89" s="0" t="n">
        <f aca="false">-$B$67</f>
        <v>-500</v>
      </c>
      <c r="NH89" s="0" t="n">
        <f aca="false">-$B$67</f>
        <v>-500</v>
      </c>
      <c r="NI89" s="0" t="n">
        <f aca="false">-$B$67</f>
        <v>-500</v>
      </c>
      <c r="NJ89" s="0" t="n">
        <f aca="false">-$B$67</f>
        <v>-500</v>
      </c>
      <c r="NK89" s="0" t="n">
        <f aca="false">-$B$67</f>
        <v>-500</v>
      </c>
      <c r="NL89" s="0" t="n">
        <f aca="false">-$B$67</f>
        <v>-500</v>
      </c>
      <c r="NM89" s="0" t="n">
        <f aca="false">-$B$67</f>
        <v>-500</v>
      </c>
      <c r="NN89" s="0" t="n">
        <f aca="false">-$B$67</f>
        <v>-500</v>
      </c>
      <c r="NO89" s="0" t="n">
        <f aca="false">-$B$67</f>
        <v>-500</v>
      </c>
      <c r="NP89" s="0" t="n">
        <f aca="false">-$B$67</f>
        <v>-500</v>
      </c>
      <c r="NQ89" s="0" t="n">
        <f aca="false">-$B$67</f>
        <v>-500</v>
      </c>
      <c r="NR89" s="0" t="n">
        <f aca="false">-$B$67</f>
        <v>-500</v>
      </c>
      <c r="NS89" s="0" t="n">
        <f aca="false">-$B$67</f>
        <v>-500</v>
      </c>
      <c r="NT89" s="0" t="n">
        <f aca="false">-$B$67</f>
        <v>-500</v>
      </c>
      <c r="NU89" s="0" t="n">
        <f aca="false">-$B$67</f>
        <v>-500</v>
      </c>
      <c r="NV89" s="0" t="n">
        <f aca="false">-$B$67</f>
        <v>-500</v>
      </c>
      <c r="NW89" s="0" t="n">
        <f aca="false">-$B$67</f>
        <v>-500</v>
      </c>
      <c r="NX89" s="0" t="n">
        <f aca="false">-$B$67</f>
        <v>-500</v>
      </c>
      <c r="NY89" s="0" t="n">
        <f aca="false">-$B$67</f>
        <v>-500</v>
      </c>
      <c r="NZ89" s="0" t="n">
        <f aca="false">-$B$67</f>
        <v>-500</v>
      </c>
      <c r="OA89" s="0" t="n">
        <f aca="false">-$B$67</f>
        <v>-500</v>
      </c>
      <c r="OB89" s="0" t="n">
        <f aca="false">-$B$67</f>
        <v>-500</v>
      </c>
      <c r="OC89" s="0" t="n">
        <f aca="false">-$B$67</f>
        <v>-500</v>
      </c>
      <c r="OD89" s="0" t="n">
        <f aca="false">-$B$67</f>
        <v>-500</v>
      </c>
      <c r="OE89" s="0" t="n">
        <f aca="false">-$B$67</f>
        <v>-500</v>
      </c>
      <c r="OF89" s="0" t="n">
        <f aca="false">-$B$67</f>
        <v>-500</v>
      </c>
      <c r="OG89" s="0" t="n">
        <f aca="false">-$B$67</f>
        <v>-500</v>
      </c>
      <c r="OH89" s="0" t="n">
        <f aca="false">-$B$67</f>
        <v>-500</v>
      </c>
      <c r="OI89" s="0" t="n">
        <f aca="false">-$B$67</f>
        <v>-500</v>
      </c>
      <c r="OJ89" s="0" t="n">
        <f aca="false">-$B$67</f>
        <v>-500</v>
      </c>
      <c r="OK89" s="0" t="n">
        <f aca="false">-$B$67</f>
        <v>-500</v>
      </c>
      <c r="OL89" s="0" t="n">
        <f aca="false">-$B$67</f>
        <v>-500</v>
      </c>
      <c r="OM89" s="0" t="n">
        <f aca="false">-$B$67</f>
        <v>-500</v>
      </c>
      <c r="ON89" s="0" t="n">
        <f aca="false">-$B$67</f>
        <v>-500</v>
      </c>
      <c r="OO89" s="0" t="n">
        <f aca="false">-$B$67</f>
        <v>-500</v>
      </c>
      <c r="OP89" s="0" t="n">
        <f aca="false">-$B$67</f>
        <v>-500</v>
      </c>
      <c r="OQ89" s="0" t="n">
        <f aca="false">-$B$67</f>
        <v>-500</v>
      </c>
      <c r="OR89" s="0" t="n">
        <f aca="false">-$B$67</f>
        <v>-500</v>
      </c>
      <c r="OS89" s="0" t="n">
        <f aca="false">-$B$67</f>
        <v>-500</v>
      </c>
      <c r="OT89" s="0" t="n">
        <f aca="false">-$B$67</f>
        <v>-500</v>
      </c>
      <c r="OU89" s="0" t="n">
        <f aca="false">-$B$67</f>
        <v>-500</v>
      </c>
      <c r="OV89" s="0" t="n">
        <f aca="false">-$B$67</f>
        <v>-500</v>
      </c>
      <c r="OW89" s="0" t="n">
        <f aca="false">-$B$67</f>
        <v>-500</v>
      </c>
      <c r="OX89" s="0" t="n">
        <f aca="false">-$B$67</f>
        <v>-500</v>
      </c>
      <c r="OY89" s="0" t="n">
        <f aca="false">-$B$67</f>
        <v>-500</v>
      </c>
      <c r="OZ89" s="0" t="n">
        <f aca="false">-$B$67</f>
        <v>-500</v>
      </c>
      <c r="PA89" s="0" t="n">
        <f aca="false">-$B$67</f>
        <v>-500</v>
      </c>
      <c r="PB89" s="0" t="n">
        <f aca="false">-$B$67</f>
        <v>-500</v>
      </c>
      <c r="PC89" s="0" t="n">
        <f aca="false">-$B$67</f>
        <v>-500</v>
      </c>
      <c r="PD89" s="0" t="n">
        <f aca="false">-$B$67</f>
        <v>-500</v>
      </c>
      <c r="PE89" s="0" t="n">
        <f aca="false">-$B$67</f>
        <v>-500</v>
      </c>
      <c r="PF89" s="0" t="n">
        <f aca="false">-$B$67</f>
        <v>-500</v>
      </c>
      <c r="PG89" s="0" t="n">
        <f aca="false">-$B$67</f>
        <v>-500</v>
      </c>
      <c r="PH89" s="0" t="n">
        <f aca="false">-$B$67</f>
        <v>-500</v>
      </c>
      <c r="PI89" s="0" t="n">
        <f aca="false">-$B$67</f>
        <v>-500</v>
      </c>
      <c r="PJ89" s="0" t="n">
        <f aca="false">-$B$67</f>
        <v>-500</v>
      </c>
      <c r="PK89" s="0" t="n">
        <f aca="false">-$B$67</f>
        <v>-500</v>
      </c>
      <c r="PL89" s="0" t="n">
        <f aca="false">-$B$67</f>
        <v>-500</v>
      </c>
      <c r="PM89" s="0" t="n">
        <f aca="false">-$B$67</f>
        <v>-500</v>
      </c>
      <c r="PN89" s="0" t="n">
        <f aca="false">-$B$67</f>
        <v>-500</v>
      </c>
      <c r="PO89" s="0" t="n">
        <f aca="false">-$B$67</f>
        <v>-500</v>
      </c>
      <c r="PP89" s="0" t="n">
        <f aca="false">-$B$67</f>
        <v>-500</v>
      </c>
      <c r="PQ89" s="0" t="n">
        <f aca="false">-$B$67</f>
        <v>-500</v>
      </c>
      <c r="PR89" s="0" t="n">
        <f aca="false">-$B$67</f>
        <v>-500</v>
      </c>
      <c r="PS89" s="0" t="n">
        <f aca="false">-$B$67</f>
        <v>-500</v>
      </c>
      <c r="PT89" s="0" t="n">
        <f aca="false">-$B$67</f>
        <v>-500</v>
      </c>
      <c r="PU89" s="0" t="n">
        <f aca="false">-$B$67</f>
        <v>-500</v>
      </c>
      <c r="PV89" s="0" t="n">
        <f aca="false">-$B$67</f>
        <v>-500</v>
      </c>
      <c r="PW89" s="0" t="n">
        <f aca="false">-$B$67</f>
        <v>-500</v>
      </c>
      <c r="PX89" s="0" t="n">
        <f aca="false">-$B$67</f>
        <v>-500</v>
      </c>
      <c r="PY89" s="0" t="n">
        <f aca="false">-$B$67</f>
        <v>-500</v>
      </c>
      <c r="PZ89" s="0" t="n">
        <f aca="false">-$B$67</f>
        <v>-500</v>
      </c>
      <c r="QA89" s="0" t="n">
        <f aca="false">-$B$67</f>
        <v>-500</v>
      </c>
      <c r="QB89" s="0" t="n">
        <f aca="false">-$B$67</f>
        <v>-500</v>
      </c>
      <c r="QC89" s="0" t="n">
        <f aca="false">-$B$67</f>
        <v>-500</v>
      </c>
      <c r="QD89" s="0" t="n">
        <f aca="false">-$B$67</f>
        <v>-500</v>
      </c>
      <c r="QE89" s="0" t="n">
        <f aca="false">-$B$67</f>
        <v>-500</v>
      </c>
      <c r="QF89" s="0" t="n">
        <f aca="false">-$B$67</f>
        <v>-500</v>
      </c>
      <c r="QG89" s="0" t="n">
        <f aca="false">-$B$67</f>
        <v>-500</v>
      </c>
      <c r="QH89" s="0" t="n">
        <f aca="false">-$B$67</f>
        <v>-500</v>
      </c>
      <c r="QI89" s="0" t="n">
        <f aca="false">-$B$67</f>
        <v>-500</v>
      </c>
      <c r="QJ89" s="0" t="n">
        <f aca="false">-$B$67</f>
        <v>-500</v>
      </c>
      <c r="QK89" s="0" t="n">
        <f aca="false">-$B$67</f>
        <v>-500</v>
      </c>
      <c r="QL89" s="0" t="n">
        <f aca="false">-$B$67</f>
        <v>-500</v>
      </c>
      <c r="QM89" s="0" t="n">
        <f aca="false">-$B$67</f>
        <v>-500</v>
      </c>
      <c r="QN89" s="0" t="n">
        <f aca="false">-$B$67</f>
        <v>-500</v>
      </c>
      <c r="QO89" s="0" t="n">
        <f aca="false">-$B$67</f>
        <v>-500</v>
      </c>
      <c r="QP89" s="0" t="n">
        <f aca="false">-$B$67</f>
        <v>-500</v>
      </c>
      <c r="QQ89" s="0" t="n">
        <f aca="false">-$B$67</f>
        <v>-500</v>
      </c>
      <c r="QR89" s="0" t="n">
        <f aca="false">-$B$67</f>
        <v>-500</v>
      </c>
      <c r="QS89" s="0" t="n">
        <f aca="false">-$B$67</f>
        <v>-500</v>
      </c>
      <c r="QT89" s="0" t="n">
        <f aca="false">-$B$67</f>
        <v>-500</v>
      </c>
      <c r="QU89" s="0" t="n">
        <f aca="false">-$B$67</f>
        <v>-500</v>
      </c>
      <c r="QV89" s="0" t="n">
        <f aca="false">-$B$67</f>
        <v>-500</v>
      </c>
      <c r="QW89" s="0" t="n">
        <f aca="false">-$B$67</f>
        <v>-500</v>
      </c>
      <c r="QX89" s="0" t="n">
        <f aca="false">-$B$67</f>
        <v>-500</v>
      </c>
      <c r="QY89" s="0" t="n">
        <f aca="false">-$B$67</f>
        <v>-500</v>
      </c>
      <c r="QZ89" s="0" t="n">
        <f aca="false">-$B$67</f>
        <v>-500</v>
      </c>
      <c r="RA89" s="0" t="n">
        <f aca="false">-$B$67</f>
        <v>-500</v>
      </c>
      <c r="RB89" s="0" t="n">
        <f aca="false">-$B$67</f>
        <v>-500</v>
      </c>
      <c r="RC89" s="0" t="n">
        <f aca="false">-$B$67</f>
        <v>-500</v>
      </c>
      <c r="RD89" s="0" t="n">
        <f aca="false">-$B$67</f>
        <v>-500</v>
      </c>
      <c r="RE89" s="0" t="n">
        <f aca="false">-$B$67</f>
        <v>-500</v>
      </c>
      <c r="RF89" s="0" t="n">
        <f aca="false">-$B$67</f>
        <v>-500</v>
      </c>
      <c r="RG89" s="0" t="n">
        <f aca="false">-$B$67</f>
        <v>-500</v>
      </c>
      <c r="RH89" s="0" t="n">
        <f aca="false">-$B$67</f>
        <v>-500</v>
      </c>
      <c r="RI89" s="0" t="n">
        <f aca="false">-$B$67</f>
        <v>-500</v>
      </c>
      <c r="RJ89" s="0" t="n">
        <f aca="false">-$B$67</f>
        <v>-500</v>
      </c>
      <c r="RK89" s="0" t="n">
        <f aca="false">-$B$67</f>
        <v>-500</v>
      </c>
      <c r="RL89" s="0" t="n">
        <f aca="false">-$B$67</f>
        <v>-500</v>
      </c>
      <c r="RM89" s="0" t="n">
        <f aca="false">-$B$67</f>
        <v>-500</v>
      </c>
      <c r="RN89" s="0" t="n">
        <f aca="false">-$B$67</f>
        <v>-500</v>
      </c>
      <c r="RO89" s="0" t="n">
        <f aca="false">-$B$67</f>
        <v>-500</v>
      </c>
      <c r="RP89" s="0" t="n">
        <f aca="false">-$B$67</f>
        <v>-500</v>
      </c>
      <c r="RQ89" s="0" t="n">
        <f aca="false">-$B$67</f>
        <v>-500</v>
      </c>
      <c r="RR89" s="0" t="n">
        <f aca="false">-$B$67</f>
        <v>-500</v>
      </c>
      <c r="RS89" s="0" t="n">
        <f aca="false">-$B$67</f>
        <v>-500</v>
      </c>
      <c r="RT89" s="0" t="n">
        <f aca="false">-$B$67</f>
        <v>-500</v>
      </c>
      <c r="RU89" s="0" t="n">
        <f aca="false">-$B$67</f>
        <v>-500</v>
      </c>
      <c r="RV89" s="0" t="n">
        <f aca="false">-$B$67</f>
        <v>-500</v>
      </c>
      <c r="RW89" s="0" t="n">
        <f aca="false">-$B$67</f>
        <v>-500</v>
      </c>
      <c r="RX89" s="0" t="n">
        <f aca="false">-$B$67</f>
        <v>-500</v>
      </c>
      <c r="RY89" s="0" t="n">
        <f aca="false">-$B$67</f>
        <v>-500</v>
      </c>
      <c r="RZ89" s="0" t="n">
        <f aca="false">-$B$67</f>
        <v>-500</v>
      </c>
      <c r="SA89" s="0" t="n">
        <f aca="false">-$B$67</f>
        <v>-500</v>
      </c>
      <c r="SB89" s="0" t="n">
        <f aca="false">-$B$67</f>
        <v>-500</v>
      </c>
      <c r="SC89" s="0" t="n">
        <f aca="false">-$B$67</f>
        <v>-500</v>
      </c>
      <c r="SD89" s="0" t="n">
        <f aca="false">-$B$67</f>
        <v>-500</v>
      </c>
      <c r="SE89" s="0" t="n">
        <f aca="false">-$B$67</f>
        <v>-500</v>
      </c>
      <c r="SF89" s="0" t="n">
        <f aca="false">-$B$67</f>
        <v>-500</v>
      </c>
      <c r="SG89" s="0" t="n">
        <f aca="false">-$B$67</f>
        <v>-500</v>
      </c>
      <c r="SH89" s="0" t="n">
        <f aca="false">-$B$67</f>
        <v>-500</v>
      </c>
      <c r="SI89" s="0" t="n">
        <f aca="false">-$B$67</f>
        <v>-500</v>
      </c>
      <c r="SJ89" s="0" t="n">
        <f aca="false">-$B$67</f>
        <v>-500</v>
      </c>
      <c r="SK89" s="0" t="n">
        <f aca="false">-$B$67</f>
        <v>-500</v>
      </c>
      <c r="SL89" s="0" t="n">
        <f aca="false">-$B$67</f>
        <v>-500</v>
      </c>
      <c r="SM89" s="0" t="n">
        <f aca="false">-$B$67</f>
        <v>-500</v>
      </c>
      <c r="SN89" s="0" t="n">
        <f aca="false">-$B$67</f>
        <v>-500</v>
      </c>
      <c r="SO89" s="0" t="n">
        <f aca="false">-$B$67</f>
        <v>-500</v>
      </c>
      <c r="SP89" s="0" t="n">
        <f aca="false">-$B$67</f>
        <v>-500</v>
      </c>
      <c r="SQ89" s="0" t="n">
        <f aca="false">-$B$67</f>
        <v>-500</v>
      </c>
      <c r="SR89" s="0" t="n">
        <f aca="false">-$B$67</f>
        <v>-500</v>
      </c>
      <c r="SS89" s="0" t="n">
        <f aca="false">-$B$67</f>
        <v>-500</v>
      </c>
      <c r="ST89" s="0" t="n">
        <f aca="false">-$B$67</f>
        <v>-500</v>
      </c>
      <c r="SU89" s="0" t="n">
        <f aca="false">-$B$67</f>
        <v>-500</v>
      </c>
      <c r="SV89" s="0" t="n">
        <f aca="false">-$B$67</f>
        <v>-500</v>
      </c>
      <c r="SW89" s="0" t="n">
        <f aca="false">-$B$67</f>
        <v>-500</v>
      </c>
      <c r="SX89" s="0" t="n">
        <f aca="false">-$B$67</f>
        <v>-500</v>
      </c>
      <c r="SY89" s="0" t="n">
        <f aca="false">-$B$67</f>
        <v>-500</v>
      </c>
      <c r="SZ89" s="0" t="n">
        <f aca="false">-$B$67</f>
        <v>-500</v>
      </c>
      <c r="TA89" s="0" t="n">
        <f aca="false">-$B$67</f>
        <v>-500</v>
      </c>
      <c r="TB89" s="0" t="n">
        <f aca="false">-$B$67</f>
        <v>-500</v>
      </c>
      <c r="TC89" s="0" t="n">
        <f aca="false">-$B$67</f>
        <v>-500</v>
      </c>
      <c r="TD89" s="0" t="n">
        <f aca="false">-$B$67</f>
        <v>-500</v>
      </c>
      <c r="TE89" s="0" t="n">
        <f aca="false">-$B$67</f>
        <v>-500</v>
      </c>
      <c r="TF89" s="0" t="n">
        <f aca="false">-$B$67</f>
        <v>-500</v>
      </c>
      <c r="TG89" s="0" t="n">
        <f aca="false">-$B$67</f>
        <v>-500</v>
      </c>
      <c r="TH89" s="0" t="n">
        <f aca="false">-$B$67</f>
        <v>-500</v>
      </c>
      <c r="TI89" s="0" t="n">
        <f aca="false">-$B$67</f>
        <v>-500</v>
      </c>
      <c r="TJ89" s="0" t="n">
        <f aca="false">-$B$67</f>
        <v>-500</v>
      </c>
      <c r="TK89" s="0" t="n">
        <f aca="false">-$B$67</f>
        <v>-500</v>
      </c>
      <c r="TL89" s="0" t="n">
        <f aca="false">-$B$67</f>
        <v>-500</v>
      </c>
      <c r="TM89" s="0" t="n">
        <f aca="false">-$B$67</f>
        <v>-500</v>
      </c>
      <c r="TN89" s="0" t="n">
        <f aca="false">-$B$67</f>
        <v>-500</v>
      </c>
      <c r="TO89" s="0" t="n">
        <f aca="false">-$B$67</f>
        <v>-500</v>
      </c>
      <c r="TP89" s="0" t="n">
        <f aca="false">-$B$67</f>
        <v>-500</v>
      </c>
      <c r="TQ89" s="0" t="n">
        <f aca="false">-$B$67</f>
        <v>-500</v>
      </c>
      <c r="TR89" s="0" t="n">
        <f aca="false">-$B$67</f>
        <v>-500</v>
      </c>
      <c r="TS89" s="0" t="n">
        <f aca="false">-$B$67</f>
        <v>-500</v>
      </c>
      <c r="TT89" s="0" t="n">
        <f aca="false">-$B$67</f>
        <v>-500</v>
      </c>
      <c r="TU89" s="0" t="n">
        <f aca="false">-$B$67</f>
        <v>-500</v>
      </c>
      <c r="TV89" s="0" t="n">
        <f aca="false">-$B$67</f>
        <v>-500</v>
      </c>
      <c r="TW89" s="0" t="n">
        <f aca="false">-$B$67</f>
        <v>-500</v>
      </c>
      <c r="TX89" s="0" t="n">
        <f aca="false">-$B$67</f>
        <v>-500</v>
      </c>
      <c r="TY89" s="0" t="n">
        <f aca="false">-$B$67</f>
        <v>-500</v>
      </c>
      <c r="TZ89" s="0" t="n">
        <f aca="false">-$B$67</f>
        <v>-500</v>
      </c>
      <c r="UA89" s="0" t="n">
        <f aca="false">-$B$67</f>
        <v>-500</v>
      </c>
      <c r="UB89" s="0" t="n">
        <f aca="false">-$B$67</f>
        <v>-500</v>
      </c>
      <c r="UC89" s="0" t="n">
        <f aca="false">-$B$67</f>
        <v>-500</v>
      </c>
      <c r="UD89" s="0" t="n">
        <f aca="false">-$B$67</f>
        <v>-500</v>
      </c>
      <c r="UE89" s="0" t="n">
        <f aca="false">-$B$67</f>
        <v>-500</v>
      </c>
      <c r="UF89" s="0" t="n">
        <f aca="false">-$B$67</f>
        <v>-500</v>
      </c>
      <c r="UG89" s="0" t="n">
        <f aca="false">-$B$67</f>
        <v>-500</v>
      </c>
      <c r="UH89" s="0" t="n">
        <f aca="false">-$B$67</f>
        <v>-500</v>
      </c>
      <c r="UI89" s="0" t="n">
        <f aca="false">-$B$67</f>
        <v>-500</v>
      </c>
      <c r="UJ89" s="0" t="n">
        <f aca="false">-$B$67</f>
        <v>-500</v>
      </c>
      <c r="UK89" s="0" t="n">
        <f aca="false">-$B$67</f>
        <v>-500</v>
      </c>
      <c r="UL89" s="0" t="n">
        <f aca="false">-$B$67</f>
        <v>-500</v>
      </c>
      <c r="UM89" s="0" t="n">
        <f aca="false">-$B$67</f>
        <v>-500</v>
      </c>
      <c r="UN89" s="0" t="n">
        <f aca="false">-$B$67</f>
        <v>-500</v>
      </c>
      <c r="UO89" s="0" t="n">
        <f aca="false">-$B$67</f>
        <v>-500</v>
      </c>
      <c r="UP89" s="0" t="n">
        <f aca="false">-$B$67</f>
        <v>-500</v>
      </c>
      <c r="UQ89" s="0" t="n">
        <f aca="false">-$B$67</f>
        <v>-500</v>
      </c>
      <c r="UR89" s="0" t="n">
        <f aca="false">-$B$67</f>
        <v>-500</v>
      </c>
      <c r="US89" s="0" t="n">
        <f aca="false">-$B$67</f>
        <v>-500</v>
      </c>
      <c r="UT89" s="0" t="n">
        <f aca="false">-$B$67</f>
        <v>-500</v>
      </c>
      <c r="UU89" s="0" t="n">
        <f aca="false">-$B$67</f>
        <v>-500</v>
      </c>
      <c r="UV89" s="0" t="n">
        <f aca="false">-$B$67</f>
        <v>-500</v>
      </c>
      <c r="UW89" s="0" t="n">
        <f aca="false">-$B$67</f>
        <v>-500</v>
      </c>
      <c r="UX89" s="0" t="n">
        <f aca="false">-$B$67</f>
        <v>-500</v>
      </c>
      <c r="UY89" s="0" t="n">
        <f aca="false">-$B$67</f>
        <v>-500</v>
      </c>
      <c r="UZ89" s="0" t="n">
        <f aca="false">-$B$67</f>
        <v>-500</v>
      </c>
      <c r="VA89" s="0" t="n">
        <f aca="false">-$B$67</f>
        <v>-500</v>
      </c>
      <c r="VB89" s="0" t="n">
        <f aca="false">-$B$67</f>
        <v>-500</v>
      </c>
      <c r="VC89" s="0" t="n">
        <f aca="false">-$B$67</f>
        <v>-500</v>
      </c>
      <c r="VD89" s="0" t="n">
        <f aca="false">-$B$67</f>
        <v>-500</v>
      </c>
      <c r="VE89" s="0" t="n">
        <f aca="false">-$B$67</f>
        <v>-500</v>
      </c>
      <c r="VF89" s="0" t="n">
        <f aca="false">-$B$67</f>
        <v>-500</v>
      </c>
      <c r="VG89" s="0" t="n">
        <f aca="false">-$B$67</f>
        <v>-500</v>
      </c>
      <c r="VH89" s="0" t="n">
        <f aca="false">-$B$67</f>
        <v>-500</v>
      </c>
      <c r="VI89" s="0" t="n">
        <f aca="false">-$B$67</f>
        <v>-500</v>
      </c>
      <c r="VJ89" s="0" t="n">
        <f aca="false">-$B$67</f>
        <v>-500</v>
      </c>
      <c r="VK89" s="0" t="n">
        <f aca="false">-$B$67</f>
        <v>-500</v>
      </c>
      <c r="VL89" s="0" t="n">
        <f aca="false">-$B$67</f>
        <v>-500</v>
      </c>
      <c r="VM89" s="0" t="n">
        <f aca="false">-$B$67</f>
        <v>-500</v>
      </c>
      <c r="VN89" s="0" t="n">
        <f aca="false">-$B$67</f>
        <v>-500</v>
      </c>
      <c r="VO89" s="0" t="n">
        <f aca="false">-$B$67</f>
        <v>-500</v>
      </c>
      <c r="VP89" s="0" t="n">
        <f aca="false">-$B$67</f>
        <v>-500</v>
      </c>
      <c r="VQ89" s="0" t="n">
        <f aca="false">-$B$67</f>
        <v>-500</v>
      </c>
      <c r="VR89" s="0" t="n">
        <f aca="false">-$B$67</f>
        <v>-500</v>
      </c>
      <c r="VS89" s="0" t="n">
        <f aca="false">-$B$67</f>
        <v>-500</v>
      </c>
      <c r="VT89" s="0" t="n">
        <f aca="false">-$B$67</f>
        <v>-500</v>
      </c>
      <c r="VU89" s="0" t="n">
        <f aca="false">-$B$67</f>
        <v>-500</v>
      </c>
      <c r="VV89" s="0" t="n">
        <f aca="false">-$B$67</f>
        <v>-500</v>
      </c>
      <c r="VW89" s="0" t="n">
        <f aca="false">-$B$67</f>
        <v>-500</v>
      </c>
      <c r="VX89" s="0" t="n">
        <f aca="false">-$B$67</f>
        <v>-500</v>
      </c>
      <c r="VY89" s="0" t="n">
        <f aca="false">-$B$67</f>
        <v>-500</v>
      </c>
      <c r="VZ89" s="0" t="n">
        <f aca="false">-$B$67</f>
        <v>-500</v>
      </c>
      <c r="WA89" s="0" t="n">
        <f aca="false">-$B$67</f>
        <v>-500</v>
      </c>
      <c r="WB89" s="0" t="n">
        <f aca="false">-$B$67</f>
        <v>-500</v>
      </c>
      <c r="WC89" s="0" t="n">
        <f aca="false">-$B$67</f>
        <v>-500</v>
      </c>
      <c r="WD89" s="0" t="n">
        <f aca="false">-$B$67</f>
        <v>-500</v>
      </c>
      <c r="WE89" s="0" t="n">
        <f aca="false">-$B$67</f>
        <v>-500</v>
      </c>
      <c r="WF89" s="0" t="n">
        <f aca="false">-$B$67</f>
        <v>-500</v>
      </c>
      <c r="WG89" s="0" t="n">
        <f aca="false">-$B$67</f>
        <v>-500</v>
      </c>
      <c r="WH89" s="0" t="n">
        <f aca="false">-$B$67</f>
        <v>-500</v>
      </c>
      <c r="WI89" s="0" t="n">
        <f aca="false">-$B$67</f>
        <v>-500</v>
      </c>
      <c r="WJ89" s="0" t="n">
        <f aca="false">-$B$67</f>
        <v>-500</v>
      </c>
      <c r="WK89" s="0" t="n">
        <f aca="false">-$B$67</f>
        <v>-500</v>
      </c>
      <c r="WL89" s="0" t="n">
        <f aca="false">-$B$67</f>
        <v>-500</v>
      </c>
      <c r="WM89" s="0" t="n">
        <f aca="false">-$B$67</f>
        <v>-500</v>
      </c>
      <c r="WN89" s="0" t="n">
        <f aca="false">-$B$67</f>
        <v>-500</v>
      </c>
      <c r="WO89" s="0" t="n">
        <f aca="false">-$B$67</f>
        <v>-500</v>
      </c>
      <c r="WP89" s="0" t="n">
        <f aca="false">-$B$67</f>
        <v>-500</v>
      </c>
      <c r="WQ89" s="0" t="n">
        <f aca="false">-$B$67</f>
        <v>-500</v>
      </c>
      <c r="WR89" s="0" t="n">
        <f aca="false">-$B$67</f>
        <v>-500</v>
      </c>
      <c r="WS89" s="0" t="n">
        <f aca="false">-$B$67</f>
        <v>-500</v>
      </c>
      <c r="WT89" s="0" t="n">
        <f aca="false">-$B$67</f>
        <v>-500</v>
      </c>
      <c r="WU89" s="0" t="n">
        <f aca="false">-$B$67</f>
        <v>-500</v>
      </c>
      <c r="WV89" s="0" t="n">
        <f aca="false">-$B$67</f>
        <v>-500</v>
      </c>
      <c r="WW89" s="0" t="n">
        <f aca="false">-$B$67</f>
        <v>-500</v>
      </c>
      <c r="WX89" s="0" t="n">
        <f aca="false">-$B$67</f>
        <v>-500</v>
      </c>
      <c r="WY89" s="0" t="n">
        <f aca="false">-$B$67</f>
        <v>-500</v>
      </c>
      <c r="WZ89" s="0" t="n">
        <f aca="false">-$B$67</f>
        <v>-500</v>
      </c>
      <c r="XA89" s="0" t="n">
        <f aca="false">-$B$67</f>
        <v>-500</v>
      </c>
      <c r="XB89" s="0" t="n">
        <f aca="false">-$B$67</f>
        <v>-500</v>
      </c>
      <c r="XC89" s="0" t="n">
        <f aca="false">-$B$67</f>
        <v>-500</v>
      </c>
      <c r="XD89" s="0" t="n">
        <f aca="false">-$B$67</f>
        <v>-500</v>
      </c>
      <c r="XE89" s="0" t="n">
        <f aca="false">-$B$67</f>
        <v>-500</v>
      </c>
      <c r="XF89" s="0" t="n">
        <f aca="false">-$B$67</f>
        <v>-500</v>
      </c>
      <c r="XG89" s="0" t="n">
        <f aca="false">-$B$67</f>
        <v>-500</v>
      </c>
      <c r="XH89" s="0" t="n">
        <f aca="false">-$B$67</f>
        <v>-500</v>
      </c>
      <c r="XI89" s="0" t="n">
        <f aca="false">-$B$67</f>
        <v>-500</v>
      </c>
      <c r="XJ89" s="0" t="n">
        <f aca="false">-$B$67</f>
        <v>-500</v>
      </c>
      <c r="XK89" s="0" t="n">
        <f aca="false">-$B$67</f>
        <v>-500</v>
      </c>
      <c r="XL89" s="0" t="n">
        <f aca="false">-$B$67</f>
        <v>-500</v>
      </c>
      <c r="XM89" s="0" t="n">
        <f aca="false">-$B$67</f>
        <v>-500</v>
      </c>
      <c r="XN89" s="0" t="n">
        <f aca="false">-$B$67</f>
        <v>-500</v>
      </c>
      <c r="XO89" s="0" t="n">
        <f aca="false">-$B$67</f>
        <v>-500</v>
      </c>
      <c r="XP89" s="0" t="n">
        <f aca="false">-$B$67</f>
        <v>-500</v>
      </c>
      <c r="XQ89" s="0" t="n">
        <f aca="false">-$B$67</f>
        <v>-500</v>
      </c>
      <c r="XR89" s="0" t="n">
        <f aca="false">-$B$67</f>
        <v>-500</v>
      </c>
      <c r="XS89" s="0" t="n">
        <f aca="false">-$B$67</f>
        <v>-500</v>
      </c>
      <c r="XT89" s="0" t="n">
        <f aca="false">-$B$67</f>
        <v>-500</v>
      </c>
      <c r="XU89" s="0" t="n">
        <f aca="false">-$B$67</f>
        <v>-500</v>
      </c>
      <c r="XV89" s="0" t="n">
        <f aca="false">-$B$67</f>
        <v>-500</v>
      </c>
      <c r="XW89" s="0" t="n">
        <f aca="false">-$B$67</f>
        <v>-500</v>
      </c>
      <c r="XX89" s="0" t="n">
        <f aca="false">-$B$67</f>
        <v>-500</v>
      </c>
      <c r="XY89" s="0" t="n">
        <f aca="false">-$B$67</f>
        <v>-500</v>
      </c>
      <c r="XZ89" s="0" t="n">
        <f aca="false">-$B$67</f>
        <v>-500</v>
      </c>
      <c r="YA89" s="0" t="n">
        <f aca="false">-$B$67</f>
        <v>-500</v>
      </c>
      <c r="YB89" s="0" t="n">
        <f aca="false">-$B$67</f>
        <v>-500</v>
      </c>
      <c r="YC89" s="0" t="n">
        <f aca="false">-$B$67</f>
        <v>-500</v>
      </c>
      <c r="YD89" s="0" t="n">
        <f aca="false">-$B$67</f>
        <v>-500</v>
      </c>
      <c r="YE89" s="0" t="n">
        <f aca="false">-$B$67</f>
        <v>-500</v>
      </c>
      <c r="YF89" s="0" t="n">
        <f aca="false">-$B$67</f>
        <v>-500</v>
      </c>
      <c r="YG89" s="0" t="n">
        <f aca="false">-$B$67</f>
        <v>-500</v>
      </c>
      <c r="YH89" s="0" t="n">
        <f aca="false">-$B$67</f>
        <v>-500</v>
      </c>
      <c r="YI89" s="0" t="n">
        <f aca="false">-$B$67</f>
        <v>-500</v>
      </c>
      <c r="YJ89" s="0" t="n">
        <f aca="false">-$B$67</f>
        <v>-500</v>
      </c>
      <c r="YK89" s="0" t="n">
        <f aca="false">-$B$67</f>
        <v>-500</v>
      </c>
      <c r="YL89" s="0" t="n">
        <f aca="false">-$B$67</f>
        <v>-500</v>
      </c>
      <c r="YM89" s="0" t="n">
        <f aca="false">-$B$67</f>
        <v>-500</v>
      </c>
      <c r="YN89" s="0" t="n">
        <f aca="false">-$B$67</f>
        <v>-500</v>
      </c>
      <c r="YO89" s="0" t="n">
        <f aca="false">-$B$67</f>
        <v>-500</v>
      </c>
      <c r="YP89" s="0" t="n">
        <f aca="false">-$B$67</f>
        <v>-500</v>
      </c>
      <c r="YQ89" s="0" t="n">
        <f aca="false">-$B$67</f>
        <v>-500</v>
      </c>
      <c r="YR89" s="0" t="n">
        <f aca="false">-$B$67</f>
        <v>-500</v>
      </c>
      <c r="YS89" s="0" t="n">
        <f aca="false">-$B$67</f>
        <v>-500</v>
      </c>
      <c r="YT89" s="0" t="n">
        <f aca="false">-$B$67</f>
        <v>-500</v>
      </c>
      <c r="YU89" s="0" t="n">
        <f aca="false">-$B$67</f>
        <v>-500</v>
      </c>
      <c r="YV89" s="0" t="n">
        <f aca="false">-$B$67</f>
        <v>-500</v>
      </c>
      <c r="YW89" s="0" t="n">
        <f aca="false">-$B$67</f>
        <v>-500</v>
      </c>
      <c r="YX89" s="0" t="n">
        <f aca="false">-$B$67</f>
        <v>-500</v>
      </c>
      <c r="YY89" s="0" t="n">
        <f aca="false">-$B$67</f>
        <v>-500</v>
      </c>
      <c r="YZ89" s="0" t="n">
        <f aca="false">-$B$67</f>
        <v>-500</v>
      </c>
      <c r="ZA89" s="0" t="n">
        <f aca="false">-$B$67</f>
        <v>-500</v>
      </c>
      <c r="ZB89" s="0" t="n">
        <f aca="false">-$B$67</f>
        <v>-500</v>
      </c>
      <c r="ZC89" s="0" t="n">
        <f aca="false">-$B$67</f>
        <v>-500</v>
      </c>
      <c r="ZD89" s="0" t="n">
        <f aca="false">-$B$67</f>
        <v>-500</v>
      </c>
      <c r="ZE89" s="0" t="n">
        <f aca="false">-$B$67</f>
        <v>-500</v>
      </c>
      <c r="ZF89" s="0" t="n">
        <f aca="false">-$B$67</f>
        <v>-500</v>
      </c>
      <c r="ZG89" s="0" t="n">
        <f aca="false">-$B$67</f>
        <v>-500</v>
      </c>
      <c r="ZH89" s="0" t="n">
        <f aca="false">-$B$67</f>
        <v>-500</v>
      </c>
      <c r="ZI89" s="0" t="n">
        <f aca="false">-$B$67</f>
        <v>-500</v>
      </c>
      <c r="ZJ89" s="0" t="n">
        <f aca="false">-$B$67</f>
        <v>-500</v>
      </c>
      <c r="ZK89" s="0" t="n">
        <f aca="false">-$B$67</f>
        <v>-500</v>
      </c>
      <c r="ZL89" s="0" t="n">
        <f aca="false">-$B$67</f>
        <v>-500</v>
      </c>
      <c r="ZM89" s="0" t="n">
        <f aca="false">-$B$67</f>
        <v>-500</v>
      </c>
      <c r="ZN89" s="0" t="n">
        <f aca="false">-$B$67</f>
        <v>-500</v>
      </c>
      <c r="ZO89" s="0" t="n">
        <f aca="false">-$B$67</f>
        <v>-500</v>
      </c>
      <c r="ZP89" s="0" t="n">
        <f aca="false">-$B$67</f>
        <v>-500</v>
      </c>
      <c r="ZQ89" s="0" t="n">
        <f aca="false">-$B$67</f>
        <v>-500</v>
      </c>
      <c r="ZR89" s="0" t="n">
        <f aca="false">-$B$67</f>
        <v>-500</v>
      </c>
      <c r="ZS89" s="0" t="n">
        <f aca="false">-$B$67</f>
        <v>-500</v>
      </c>
      <c r="ZT89" s="0" t="n">
        <f aca="false">-$B$67</f>
        <v>-500</v>
      </c>
      <c r="ZU89" s="0" t="n">
        <f aca="false">-$B$67</f>
        <v>-500</v>
      </c>
      <c r="ZV89" s="0" t="n">
        <f aca="false">-$B$67</f>
        <v>-500</v>
      </c>
      <c r="ZW89" s="0" t="n">
        <f aca="false">-$B$67</f>
        <v>-500</v>
      </c>
      <c r="ZX89" s="0" t="n">
        <f aca="false">-$B$67</f>
        <v>-500</v>
      </c>
      <c r="ZY89" s="0" t="n">
        <f aca="false">-$B$67</f>
        <v>-500</v>
      </c>
      <c r="ZZ89" s="0" t="n">
        <f aca="false">-$B$67</f>
        <v>-500</v>
      </c>
      <c r="AAA89" s="0" t="n">
        <f aca="false">-$B$67</f>
        <v>-500</v>
      </c>
      <c r="AAB89" s="0" t="n">
        <f aca="false">-$B$67</f>
        <v>-500</v>
      </c>
      <c r="AAC89" s="0" t="n">
        <f aca="false">-$B$67</f>
        <v>-500</v>
      </c>
      <c r="AAD89" s="0" t="n">
        <f aca="false">-$B$67</f>
        <v>-500</v>
      </c>
      <c r="AAE89" s="0" t="n">
        <f aca="false">-$B$67</f>
        <v>-500</v>
      </c>
      <c r="AAF89" s="0" t="n">
        <f aca="false">-$B$67</f>
        <v>-500</v>
      </c>
      <c r="AAG89" s="0" t="n">
        <f aca="false">-$B$67</f>
        <v>-500</v>
      </c>
      <c r="AAH89" s="0" t="n">
        <f aca="false">-$B$67</f>
        <v>-500</v>
      </c>
      <c r="AAI89" s="0" t="n">
        <f aca="false">-$B$67</f>
        <v>-500</v>
      </c>
      <c r="AAJ89" s="0" t="n">
        <f aca="false">-$B$67</f>
        <v>-500</v>
      </c>
      <c r="AAK89" s="0" t="n">
        <f aca="false">-$B$67</f>
        <v>-500</v>
      </c>
      <c r="AAL89" s="0" t="n">
        <f aca="false">-$B$67</f>
        <v>-500</v>
      </c>
      <c r="AAM89" s="0" t="n">
        <f aca="false">-$B$67</f>
        <v>-500</v>
      </c>
      <c r="AAN89" s="0" t="n">
        <f aca="false">-$B$67</f>
        <v>-500</v>
      </c>
      <c r="AAO89" s="0" t="n">
        <f aca="false">-$B$67</f>
        <v>-500</v>
      </c>
      <c r="AAP89" s="0" t="n">
        <f aca="false">-$B$67</f>
        <v>-500</v>
      </c>
      <c r="AAQ89" s="0" t="n">
        <f aca="false">-$B$67</f>
        <v>-500</v>
      </c>
      <c r="AAR89" s="0" t="n">
        <f aca="false">-$B$67</f>
        <v>-500</v>
      </c>
      <c r="AAS89" s="0" t="n">
        <f aca="false">-$B$67</f>
        <v>-500</v>
      </c>
      <c r="AAT89" s="0" t="n">
        <f aca="false">-$B$67</f>
        <v>-500</v>
      </c>
      <c r="AAU89" s="0" t="n">
        <f aca="false">-$B$67</f>
        <v>-500</v>
      </c>
      <c r="AAV89" s="0" t="n">
        <f aca="false">-$B$67</f>
        <v>-500</v>
      </c>
      <c r="AAW89" s="0" t="n">
        <f aca="false">-$B$67</f>
        <v>-500</v>
      </c>
      <c r="AAX89" s="0" t="n">
        <f aca="false">-$B$67</f>
        <v>-500</v>
      </c>
      <c r="AAY89" s="0" t="n">
        <f aca="false">-$B$67</f>
        <v>-500</v>
      </c>
      <c r="AAZ89" s="0" t="n">
        <f aca="false">-$B$67</f>
        <v>-500</v>
      </c>
      <c r="ABA89" s="0" t="n">
        <f aca="false">-$B$67</f>
        <v>-500</v>
      </c>
      <c r="ABB89" s="0" t="n">
        <f aca="false">-$B$67</f>
        <v>-500</v>
      </c>
      <c r="ABC89" s="0" t="n">
        <f aca="false">-$B$67</f>
        <v>-500</v>
      </c>
      <c r="ABD89" s="0" t="n">
        <f aca="false">-$B$67</f>
        <v>-500</v>
      </c>
      <c r="ABE89" s="0" t="n">
        <f aca="false">-$B$67</f>
        <v>-500</v>
      </c>
      <c r="ABF89" s="0" t="n">
        <f aca="false">-$B$67</f>
        <v>-500</v>
      </c>
      <c r="ABG89" s="0" t="n">
        <f aca="false">-$B$67</f>
        <v>-500</v>
      </c>
      <c r="ABH89" s="0" t="n">
        <f aca="false">-$B$67</f>
        <v>-500</v>
      </c>
      <c r="ABI89" s="0" t="n">
        <f aca="false">-$B$67</f>
        <v>-500</v>
      </c>
      <c r="ABJ89" s="0" t="n">
        <f aca="false">-$B$67</f>
        <v>-500</v>
      </c>
      <c r="ABK89" s="0" t="n">
        <f aca="false">-$B$67</f>
        <v>-500</v>
      </c>
      <c r="ABL89" s="0" t="n">
        <f aca="false">-$B$67</f>
        <v>-500</v>
      </c>
      <c r="ABM89" s="0" t="n">
        <f aca="false">-$B$67</f>
        <v>-500</v>
      </c>
      <c r="ABN89" s="0" t="n">
        <f aca="false">-$B$67</f>
        <v>-500</v>
      </c>
      <c r="ABO89" s="0" t="n">
        <f aca="false">-$B$67</f>
        <v>-500</v>
      </c>
      <c r="ABP89" s="0" t="n">
        <f aca="false">-$B$67</f>
        <v>-500</v>
      </c>
      <c r="ABQ89" s="0" t="n">
        <f aca="false">-$B$67</f>
        <v>-500</v>
      </c>
      <c r="ABR89" s="0" t="n">
        <f aca="false">-$B$67</f>
        <v>-500</v>
      </c>
      <c r="ABS89" s="0" t="n">
        <f aca="false">-$B$67</f>
        <v>-500</v>
      </c>
      <c r="ABT89" s="0" t="n">
        <f aca="false">-$B$67</f>
        <v>-500</v>
      </c>
      <c r="ABU89" s="0" t="n">
        <f aca="false">-$B$67</f>
        <v>-500</v>
      </c>
      <c r="ABV89" s="0" t="n">
        <f aca="false">-$B$67</f>
        <v>-500</v>
      </c>
      <c r="ABW89" s="0" t="n">
        <f aca="false">-$B$67</f>
        <v>-500</v>
      </c>
      <c r="ABX89" s="0" t="n">
        <f aca="false">-$B$67</f>
        <v>-500</v>
      </c>
      <c r="ABY89" s="0" t="n">
        <f aca="false">-$B$67</f>
        <v>-500</v>
      </c>
      <c r="ABZ89" s="0" t="n">
        <f aca="false">-$B$67</f>
        <v>-500</v>
      </c>
      <c r="ACA89" s="0" t="n">
        <f aca="false">-$B$67</f>
        <v>-500</v>
      </c>
      <c r="ACB89" s="0" t="n">
        <f aca="false">-$B$67</f>
        <v>-500</v>
      </c>
      <c r="ACC89" s="0" t="n">
        <f aca="false">-$B$67</f>
        <v>-500</v>
      </c>
      <c r="ACD89" s="0" t="n">
        <f aca="false">-$B$67</f>
        <v>-500</v>
      </c>
      <c r="ACE89" s="0" t="n">
        <f aca="false">-$B$67</f>
        <v>-500</v>
      </c>
      <c r="ACF89" s="0" t="n">
        <f aca="false">-$B$67</f>
        <v>-500</v>
      </c>
      <c r="ACG89" s="0" t="n">
        <f aca="false">-$B$67</f>
        <v>-500</v>
      </c>
      <c r="ACH89" s="0" t="n">
        <f aca="false">-$B$67</f>
        <v>-500</v>
      </c>
      <c r="ACI89" s="0" t="n">
        <f aca="false">-$B$67</f>
        <v>-500</v>
      </c>
      <c r="ACJ89" s="0" t="n">
        <f aca="false">-$B$67</f>
        <v>-500</v>
      </c>
      <c r="ACK89" s="0" t="n">
        <f aca="false">-$B$67</f>
        <v>-500</v>
      </c>
      <c r="ACL89" s="0" t="n">
        <f aca="false">-$B$67</f>
        <v>-500</v>
      </c>
      <c r="ACM89" s="0" t="n">
        <f aca="false">-$B$67</f>
        <v>-500</v>
      </c>
      <c r="ACN89" s="0" t="n">
        <f aca="false">-$B$67</f>
        <v>-500</v>
      </c>
      <c r="ACO89" s="0" t="n">
        <f aca="false">-$B$67</f>
        <v>-500</v>
      </c>
      <c r="ACP89" s="0" t="n">
        <f aca="false">-$B$67</f>
        <v>-500</v>
      </c>
      <c r="ACQ89" s="0" t="n">
        <f aca="false">-$B$67</f>
        <v>-500</v>
      </c>
      <c r="ACR89" s="0" t="n">
        <f aca="false">-$B$67</f>
        <v>-500</v>
      </c>
      <c r="ACS89" s="0" t="n">
        <f aca="false">-$B$67</f>
        <v>-500</v>
      </c>
      <c r="ACT89" s="0" t="n">
        <f aca="false">-$B$67</f>
        <v>-500</v>
      </c>
      <c r="ACU89" s="0" t="n">
        <f aca="false">-$B$67</f>
        <v>-500</v>
      </c>
      <c r="ACV89" s="0" t="n">
        <f aca="false">-$B$67</f>
        <v>-500</v>
      </c>
      <c r="ACW89" s="0" t="n">
        <f aca="false">-$B$67</f>
        <v>-500</v>
      </c>
      <c r="ACX89" s="0" t="n">
        <f aca="false">-$B$67</f>
        <v>-500</v>
      </c>
      <c r="ACY89" s="0" t="n">
        <f aca="false">-$B$67</f>
        <v>-500</v>
      </c>
      <c r="ACZ89" s="0" t="n">
        <f aca="false">-$B$67</f>
        <v>-500</v>
      </c>
      <c r="ADA89" s="0" t="n">
        <f aca="false">-$B$67</f>
        <v>-500</v>
      </c>
      <c r="ADB89" s="0" t="n">
        <f aca="false">-$B$67</f>
        <v>-500</v>
      </c>
      <c r="ADC89" s="0" t="n">
        <f aca="false">-$B$67</f>
        <v>-500</v>
      </c>
      <c r="ADD89" s="0" t="n">
        <f aca="false">-$B$67</f>
        <v>-500</v>
      </c>
      <c r="ADE89" s="0" t="n">
        <f aca="false">-$B$67</f>
        <v>-500</v>
      </c>
      <c r="ADF89" s="0" t="n">
        <f aca="false">-$B$67</f>
        <v>-500</v>
      </c>
      <c r="ADG89" s="0" t="n">
        <f aca="false">-$B$67</f>
        <v>-500</v>
      </c>
      <c r="ADH89" s="0" t="n">
        <f aca="false">-$B$67</f>
        <v>-500</v>
      </c>
      <c r="ADI89" s="0" t="n">
        <f aca="false">-$B$67</f>
        <v>-500</v>
      </c>
      <c r="ADJ89" s="0" t="n">
        <f aca="false">-$B$67</f>
        <v>-500</v>
      </c>
      <c r="ADK89" s="0" t="n">
        <f aca="false">-$B$67</f>
        <v>-500</v>
      </c>
      <c r="ADL89" s="0" t="n">
        <f aca="false">-$B$67</f>
        <v>-500</v>
      </c>
      <c r="ADM89" s="0" t="n">
        <f aca="false">-$B$67</f>
        <v>-500</v>
      </c>
      <c r="ADN89" s="0" t="n">
        <f aca="false">-$B$67</f>
        <v>-500</v>
      </c>
      <c r="ADO89" s="0" t="n">
        <f aca="false">-$B$67</f>
        <v>-500</v>
      </c>
      <c r="ADP89" s="0" t="n">
        <f aca="false">-$B$67</f>
        <v>-500</v>
      </c>
      <c r="ADQ89" s="0" t="n">
        <f aca="false">-$B$67</f>
        <v>-500</v>
      </c>
      <c r="ADR89" s="0" t="n">
        <f aca="false">-$B$67</f>
        <v>-500</v>
      </c>
      <c r="ADS89" s="0" t="n">
        <f aca="false">-$B$67</f>
        <v>-500</v>
      </c>
      <c r="ADT89" s="0" t="n">
        <f aca="false">-$B$67</f>
        <v>-500</v>
      </c>
      <c r="ADU89" s="0" t="n">
        <f aca="false">-$B$67</f>
        <v>-500</v>
      </c>
      <c r="ADV89" s="0" t="n">
        <f aca="false">-$B$67</f>
        <v>-500</v>
      </c>
      <c r="ADW89" s="0" t="n">
        <f aca="false">-$B$67</f>
        <v>-500</v>
      </c>
      <c r="ADX89" s="0" t="n">
        <f aca="false">-$B$67</f>
        <v>-500</v>
      </c>
      <c r="ADY89" s="0" t="n">
        <f aca="false">-$B$67</f>
        <v>-500</v>
      </c>
      <c r="ADZ89" s="0" t="n">
        <f aca="false">-$B$67</f>
        <v>-500</v>
      </c>
      <c r="AEA89" s="0" t="n">
        <f aca="false">-$B$67</f>
        <v>-500</v>
      </c>
      <c r="AEB89" s="0" t="n">
        <f aca="false">-$B$67</f>
        <v>-500</v>
      </c>
      <c r="AEC89" s="0" t="n">
        <f aca="false">-$B$67</f>
        <v>-500</v>
      </c>
      <c r="AED89" s="0" t="n">
        <f aca="false">-$B$67</f>
        <v>-500</v>
      </c>
      <c r="AEE89" s="0" t="n">
        <f aca="false">-$B$67</f>
        <v>-500</v>
      </c>
      <c r="AEF89" s="0" t="n">
        <f aca="false">-$B$67</f>
        <v>-500</v>
      </c>
      <c r="AEG89" s="0" t="n">
        <f aca="false">-$B$67</f>
        <v>-500</v>
      </c>
      <c r="AEH89" s="0" t="n">
        <f aca="false">-$B$67</f>
        <v>-500</v>
      </c>
      <c r="AEI89" s="0" t="n">
        <f aca="false">-$B$67</f>
        <v>-500</v>
      </c>
      <c r="AEJ89" s="0" t="n">
        <f aca="false">-$B$67</f>
        <v>-500</v>
      </c>
      <c r="AEK89" s="0" t="n">
        <f aca="false">-$B$67</f>
        <v>-500</v>
      </c>
      <c r="AEL89" s="0" t="n">
        <f aca="false">-$B$67</f>
        <v>-500</v>
      </c>
      <c r="AEM89" s="0" t="n">
        <f aca="false">-$B$67</f>
        <v>-500</v>
      </c>
      <c r="AEN89" s="0" t="n">
        <f aca="false">-$B$67</f>
        <v>-500</v>
      </c>
      <c r="AEO89" s="0" t="n">
        <f aca="false">-$B$67</f>
        <v>-500</v>
      </c>
      <c r="AEP89" s="0" t="n">
        <f aca="false">-$B$67</f>
        <v>-500</v>
      </c>
      <c r="AEQ89" s="0" t="n">
        <f aca="false">-$B$67</f>
        <v>-500</v>
      </c>
      <c r="AER89" s="0" t="n">
        <f aca="false">-$B$67</f>
        <v>-500</v>
      </c>
      <c r="AES89" s="0" t="n">
        <f aca="false">-$B$67</f>
        <v>-500</v>
      </c>
      <c r="AET89" s="0" t="n">
        <f aca="false">-$B$67</f>
        <v>-500</v>
      </c>
      <c r="AEU89" s="0" t="n">
        <f aca="false">-$B$67</f>
        <v>-500</v>
      </c>
      <c r="AEV89" s="0" t="n">
        <f aca="false">-$B$67</f>
        <v>-500</v>
      </c>
      <c r="AEW89" s="0" t="n">
        <f aca="false">-$B$67</f>
        <v>-500</v>
      </c>
      <c r="AEX89" s="0" t="n">
        <f aca="false">-$B$67</f>
        <v>-500</v>
      </c>
      <c r="AEY89" s="0" t="n">
        <f aca="false">-$B$67</f>
        <v>-500</v>
      </c>
      <c r="AEZ89" s="0" t="n">
        <f aca="false">-$B$67</f>
        <v>-500</v>
      </c>
      <c r="AFA89" s="0" t="n">
        <f aca="false">-$B$67</f>
        <v>-500</v>
      </c>
      <c r="AFB89" s="0" t="n">
        <f aca="false">-$B$67</f>
        <v>-500</v>
      </c>
      <c r="AFC89" s="0" t="n">
        <f aca="false">-$B$67</f>
        <v>-500</v>
      </c>
      <c r="AFD89" s="0" t="n">
        <f aca="false">-$B$67</f>
        <v>-500</v>
      </c>
      <c r="AFE89" s="0" t="n">
        <f aca="false">-$B$67</f>
        <v>-500</v>
      </c>
      <c r="AFF89" s="0" t="n">
        <f aca="false">-$B$67</f>
        <v>-500</v>
      </c>
      <c r="AFG89" s="0" t="n">
        <f aca="false">-$B$67</f>
        <v>-500</v>
      </c>
      <c r="AFH89" s="0" t="n">
        <f aca="false">-$B$67</f>
        <v>-500</v>
      </c>
      <c r="AFI89" s="0" t="n">
        <f aca="false">-$B$67</f>
        <v>-500</v>
      </c>
      <c r="AFJ89" s="0" t="n">
        <f aca="false">-$B$67</f>
        <v>-500</v>
      </c>
      <c r="AFK89" s="0" t="n">
        <f aca="false">-$B$67</f>
        <v>-500</v>
      </c>
      <c r="AFL89" s="0" t="n">
        <f aca="false">-$B$67</f>
        <v>-500</v>
      </c>
      <c r="AFM89" s="0" t="n">
        <f aca="false">-$B$67</f>
        <v>-500</v>
      </c>
      <c r="AFN89" s="0" t="n">
        <f aca="false">-$B$67</f>
        <v>-500</v>
      </c>
      <c r="AFO89" s="0" t="n">
        <f aca="false">-$B$67</f>
        <v>-500</v>
      </c>
      <c r="AFP89" s="0" t="n">
        <f aca="false">-$B$67</f>
        <v>-500</v>
      </c>
      <c r="AFQ89" s="0" t="n">
        <f aca="false">-$B$67</f>
        <v>-500</v>
      </c>
      <c r="AFR89" s="0" t="n">
        <f aca="false">-$B$67</f>
        <v>-500</v>
      </c>
      <c r="AFS89" s="0" t="n">
        <f aca="false">-$B$67</f>
        <v>-500</v>
      </c>
      <c r="AFT89" s="0" t="n">
        <f aca="false">-$B$67</f>
        <v>-500</v>
      </c>
      <c r="AFU89" s="0" t="n">
        <f aca="false">-$B$67</f>
        <v>-500</v>
      </c>
      <c r="AFV89" s="0" t="n">
        <f aca="false">-$B$67</f>
        <v>-500</v>
      </c>
      <c r="AFW89" s="0" t="n">
        <f aca="false">-$B$67</f>
        <v>-500</v>
      </c>
      <c r="AFX89" s="0" t="n">
        <f aca="false">-$B$67</f>
        <v>-500</v>
      </c>
      <c r="AFY89" s="0" t="n">
        <f aca="false">-$B$67</f>
        <v>-500</v>
      </c>
      <c r="AFZ89" s="0" t="n">
        <f aca="false">-$B$67</f>
        <v>-500</v>
      </c>
      <c r="AGA89" s="0" t="n">
        <f aca="false">-$B$67</f>
        <v>-500</v>
      </c>
      <c r="AGB89" s="0" t="n">
        <f aca="false">-$B$67</f>
        <v>-500</v>
      </c>
      <c r="AGC89" s="0" t="n">
        <f aca="false">-$B$67</f>
        <v>-500</v>
      </c>
      <c r="AGD89" s="0" t="n">
        <f aca="false">-$B$67</f>
        <v>-500</v>
      </c>
      <c r="AGE89" s="0" t="n">
        <f aca="false">-$B$67</f>
        <v>-500</v>
      </c>
      <c r="AGF89" s="0" t="n">
        <f aca="false">-$B$67</f>
        <v>-500</v>
      </c>
      <c r="AGG89" s="0" t="n">
        <f aca="false">-$B$67</f>
        <v>-500</v>
      </c>
      <c r="AGH89" s="0" t="n">
        <f aca="false">-$B$67</f>
        <v>-500</v>
      </c>
      <c r="AGI89" s="0" t="n">
        <f aca="false">-$B$67</f>
        <v>-500</v>
      </c>
      <c r="AGJ89" s="0" t="n">
        <f aca="false">-$B$67</f>
        <v>-500</v>
      </c>
      <c r="AGK89" s="0" t="n">
        <f aca="false">-$B$67</f>
        <v>-500</v>
      </c>
      <c r="AGL89" s="0" t="n">
        <f aca="false">-$B$67</f>
        <v>-500</v>
      </c>
      <c r="AGM89" s="0" t="n">
        <f aca="false">-$B$67</f>
        <v>-500</v>
      </c>
      <c r="AGN89" s="0" t="n">
        <f aca="false">-$B$67</f>
        <v>-500</v>
      </c>
      <c r="AGO89" s="0" t="n">
        <f aca="false">-$B$67</f>
        <v>-500</v>
      </c>
      <c r="AGP89" s="0" t="n">
        <f aca="false">-$B$67</f>
        <v>-500</v>
      </c>
      <c r="AGQ89" s="0" t="n">
        <f aca="false">-$B$67</f>
        <v>-500</v>
      </c>
      <c r="AGR89" s="0" t="n">
        <f aca="false">-$B$67</f>
        <v>-500</v>
      </c>
      <c r="AGS89" s="0" t="n">
        <f aca="false">-$B$67</f>
        <v>-500</v>
      </c>
      <c r="AGT89" s="0" t="n">
        <f aca="false">-$B$67</f>
        <v>-500</v>
      </c>
      <c r="AGU89" s="0" t="n">
        <f aca="false">-$B$67</f>
        <v>-500</v>
      </c>
      <c r="AGV89" s="0" t="n">
        <f aca="false">-$B$67</f>
        <v>-500</v>
      </c>
      <c r="AGW89" s="0" t="n">
        <f aca="false">-$B$67</f>
        <v>-500</v>
      </c>
      <c r="AGX89" s="0" t="n">
        <f aca="false">-$B$67</f>
        <v>-500</v>
      </c>
      <c r="AGY89" s="0" t="n">
        <f aca="false">-$B$67</f>
        <v>-500</v>
      </c>
      <c r="AGZ89" s="0" t="n">
        <f aca="false">-$B$67</f>
        <v>-500</v>
      </c>
      <c r="AHA89" s="0" t="n">
        <f aca="false">-$B$67</f>
        <v>-500</v>
      </c>
      <c r="AHB89" s="0" t="n">
        <f aca="false">-$B$67</f>
        <v>-500</v>
      </c>
      <c r="AHC89" s="0" t="n">
        <f aca="false">-$B$67</f>
        <v>-500</v>
      </c>
      <c r="AHD89" s="0" t="n">
        <f aca="false">-$B$67</f>
        <v>-500</v>
      </c>
      <c r="AHE89" s="0" t="n">
        <f aca="false">-$B$67</f>
        <v>-500</v>
      </c>
      <c r="AHF89" s="0" t="n">
        <f aca="false">-$B$67</f>
        <v>-500</v>
      </c>
      <c r="AHG89" s="0" t="n">
        <f aca="false">-$B$67</f>
        <v>-500</v>
      </c>
      <c r="AHH89" s="0" t="n">
        <f aca="false">-$B$67</f>
        <v>-500</v>
      </c>
      <c r="AHI89" s="0" t="n">
        <f aca="false">-$B$67</f>
        <v>-500</v>
      </c>
      <c r="AHJ89" s="0" t="n">
        <f aca="false">-$B$67</f>
        <v>-500</v>
      </c>
      <c r="AHK89" s="0" t="n">
        <f aca="false">-$B$67</f>
        <v>-500</v>
      </c>
      <c r="AHL89" s="0" t="n">
        <f aca="false">-$B$67</f>
        <v>-500</v>
      </c>
      <c r="AHM89" s="0" t="n">
        <f aca="false">-$B$67</f>
        <v>-500</v>
      </c>
      <c r="AHN89" s="0" t="n">
        <f aca="false">-$B$67</f>
        <v>-500</v>
      </c>
      <c r="AHO89" s="0" t="n">
        <f aca="false">-$B$67</f>
        <v>-500</v>
      </c>
      <c r="AHP89" s="0" t="n">
        <f aca="false">-$B$67</f>
        <v>-500</v>
      </c>
      <c r="AHQ89" s="0" t="n">
        <f aca="false">-$B$67</f>
        <v>-500</v>
      </c>
      <c r="AHR89" s="0" t="n">
        <f aca="false">-$B$67</f>
        <v>-500</v>
      </c>
      <c r="AHS89" s="0" t="n">
        <f aca="false">-$B$67</f>
        <v>-500</v>
      </c>
      <c r="AHT89" s="0" t="n">
        <f aca="false">-$B$67</f>
        <v>-500</v>
      </c>
      <c r="AHU89" s="0" t="n">
        <f aca="false">-$B$67</f>
        <v>-500</v>
      </c>
      <c r="AHV89" s="0" t="n">
        <f aca="false">-$B$67</f>
        <v>-500</v>
      </c>
      <c r="AHW89" s="0" t="n">
        <f aca="false">-$B$67</f>
        <v>-500</v>
      </c>
      <c r="AHX89" s="0" t="n">
        <f aca="false">-$B$67</f>
        <v>-500</v>
      </c>
      <c r="AHY89" s="0" t="n">
        <f aca="false">-$B$67</f>
        <v>-500</v>
      </c>
      <c r="AHZ89" s="0" t="n">
        <f aca="false">-$B$67</f>
        <v>-500</v>
      </c>
      <c r="AIA89" s="0" t="n">
        <f aca="false">-$B$67</f>
        <v>-500</v>
      </c>
      <c r="AIB89" s="0" t="n">
        <f aca="false">-$B$67</f>
        <v>-500</v>
      </c>
      <c r="AIC89" s="0" t="n">
        <f aca="false">-$B$67</f>
        <v>-500</v>
      </c>
      <c r="AID89" s="0" t="n">
        <f aca="false">-$B$67</f>
        <v>-500</v>
      </c>
      <c r="AIE89" s="0" t="n">
        <f aca="false">-$B$67</f>
        <v>-500</v>
      </c>
      <c r="AIF89" s="0" t="n">
        <f aca="false">-$B$67</f>
        <v>-500</v>
      </c>
      <c r="AIG89" s="0" t="n">
        <f aca="false">-$B$67</f>
        <v>-500</v>
      </c>
      <c r="AIH89" s="0" t="n">
        <f aca="false">-$B$67</f>
        <v>-500</v>
      </c>
      <c r="AII89" s="0" t="n">
        <f aca="false">-$B$67</f>
        <v>-500</v>
      </c>
      <c r="AIJ89" s="0" t="n">
        <f aca="false">-$B$67</f>
        <v>-500</v>
      </c>
      <c r="AIK89" s="0" t="n">
        <f aca="false">-$B$67</f>
        <v>-500</v>
      </c>
      <c r="AIL89" s="0" t="n">
        <f aca="false">-$B$67</f>
        <v>-500</v>
      </c>
      <c r="AIM89" s="0" t="n">
        <f aca="false">-$B$67</f>
        <v>-500</v>
      </c>
      <c r="AIN89" s="0" t="n">
        <f aca="false">-$B$67</f>
        <v>-500</v>
      </c>
      <c r="AIO89" s="0" t="n">
        <f aca="false">-$B$67</f>
        <v>-500</v>
      </c>
      <c r="AIP89" s="0" t="n">
        <f aca="false">-$B$67</f>
        <v>-500</v>
      </c>
      <c r="AIQ89" s="0" t="n">
        <f aca="false">-$B$67</f>
        <v>-500</v>
      </c>
      <c r="AIR89" s="0" t="n">
        <f aca="false">-$B$67</f>
        <v>-500</v>
      </c>
      <c r="AIS89" s="0" t="n">
        <f aca="false">-$B$67</f>
        <v>-500</v>
      </c>
      <c r="AIT89" s="0" t="n">
        <f aca="false">-$B$67</f>
        <v>-500</v>
      </c>
      <c r="AIU89" s="0" t="n">
        <f aca="false">-$B$67</f>
        <v>-500</v>
      </c>
      <c r="AIV89" s="0" t="n">
        <f aca="false">-$B$67</f>
        <v>-500</v>
      </c>
      <c r="AIW89" s="0" t="n">
        <f aca="false">-$B$67</f>
        <v>-500</v>
      </c>
      <c r="AIX89" s="0" t="n">
        <f aca="false">-$B$67</f>
        <v>-500</v>
      </c>
      <c r="AIY89" s="0" t="n">
        <f aca="false">-$B$67</f>
        <v>-500</v>
      </c>
      <c r="AIZ89" s="0" t="n">
        <f aca="false">-$B$67</f>
        <v>-500</v>
      </c>
      <c r="AJA89" s="0" t="n">
        <f aca="false">-$B$67</f>
        <v>-500</v>
      </c>
      <c r="AJB89" s="0" t="n">
        <f aca="false">-$B$67</f>
        <v>-500</v>
      </c>
      <c r="AJC89" s="0" t="n">
        <f aca="false">-$B$67</f>
        <v>-500</v>
      </c>
      <c r="AJD89" s="0" t="n">
        <f aca="false">-$B$67</f>
        <v>-500</v>
      </c>
      <c r="AJE89" s="0" t="n">
        <f aca="false">-$B$67</f>
        <v>-500</v>
      </c>
      <c r="AJF89" s="0" t="n">
        <f aca="false">-$B$67</f>
        <v>-500</v>
      </c>
      <c r="AJG89" s="0" t="n">
        <f aca="false">-$B$67</f>
        <v>-500</v>
      </c>
      <c r="AJH89" s="0" t="n">
        <f aca="false">-$B$67</f>
        <v>-500</v>
      </c>
      <c r="AJI89" s="0" t="n">
        <f aca="false">-$B$67</f>
        <v>-500</v>
      </c>
      <c r="AJJ89" s="0" t="n">
        <f aca="false">-$B$67</f>
        <v>-500</v>
      </c>
      <c r="AJK89" s="0" t="n">
        <f aca="false">-$B$67</f>
        <v>-500</v>
      </c>
      <c r="AJL89" s="0" t="n">
        <f aca="false">-$B$67</f>
        <v>-500</v>
      </c>
      <c r="AJM89" s="0" t="n">
        <f aca="false">-$B$67</f>
        <v>-500</v>
      </c>
      <c r="AJN89" s="0" t="n">
        <f aca="false">-$B$67</f>
        <v>-500</v>
      </c>
      <c r="AJO89" s="0" t="n">
        <f aca="false">-$B$67</f>
        <v>-500</v>
      </c>
      <c r="AJP89" s="0" t="n">
        <f aca="false">-$B$67</f>
        <v>-500</v>
      </c>
      <c r="AJQ89" s="0" t="n">
        <f aca="false">-$B$67</f>
        <v>-500</v>
      </c>
      <c r="AJR89" s="0" t="n">
        <f aca="false">-$B$67</f>
        <v>-500</v>
      </c>
      <c r="AJS89" s="0" t="n">
        <f aca="false">-$B$67</f>
        <v>-500</v>
      </c>
      <c r="AJT89" s="0" t="n">
        <f aca="false">-$B$67</f>
        <v>-500</v>
      </c>
      <c r="AJU89" s="0" t="n">
        <f aca="false">-$B$67</f>
        <v>-500</v>
      </c>
      <c r="AJV89" s="0" t="n">
        <f aca="false">-$B$67</f>
        <v>-500</v>
      </c>
      <c r="AJW89" s="0" t="n">
        <f aca="false">-$B$67</f>
        <v>-500</v>
      </c>
      <c r="AJX89" s="0" t="n">
        <f aca="false">-$B$67</f>
        <v>-500</v>
      </c>
      <c r="AJY89" s="0" t="n">
        <f aca="false">-$B$67</f>
        <v>-500</v>
      </c>
      <c r="AJZ89" s="0" t="n">
        <f aca="false">-$B$67</f>
        <v>-500</v>
      </c>
      <c r="AKA89" s="0" t="n">
        <f aca="false">-$B$67</f>
        <v>-500</v>
      </c>
      <c r="AKB89" s="0" t="n">
        <f aca="false">-$B$67</f>
        <v>-500</v>
      </c>
      <c r="AKC89" s="0" t="n">
        <f aca="false">-$B$67</f>
        <v>-500</v>
      </c>
      <c r="AKD89" s="0" t="n">
        <f aca="false">-$B$67</f>
        <v>-500</v>
      </c>
      <c r="AKE89" s="0" t="n">
        <f aca="false">-$B$67</f>
        <v>-500</v>
      </c>
      <c r="AKF89" s="0" t="n">
        <f aca="false">-$B$67</f>
        <v>-500</v>
      </c>
      <c r="AKG89" s="0" t="n">
        <f aca="false">-$B$67</f>
        <v>-500</v>
      </c>
      <c r="AKH89" s="0" t="n">
        <f aca="false">-$B$67</f>
        <v>-500</v>
      </c>
      <c r="AKI89" s="0" t="n">
        <f aca="false">-$B$67</f>
        <v>-500</v>
      </c>
      <c r="AKJ89" s="0" t="n">
        <f aca="false">-$B$67</f>
        <v>-500</v>
      </c>
      <c r="AKK89" s="0" t="n">
        <f aca="false">-$B$67</f>
        <v>-500</v>
      </c>
      <c r="AKL89" s="0" t="n">
        <f aca="false">-$B$67</f>
        <v>-500</v>
      </c>
      <c r="AKM89" s="0" t="n">
        <f aca="false">-$B$67</f>
        <v>-500</v>
      </c>
      <c r="AKN89" s="0" t="n">
        <f aca="false">-$B$67</f>
        <v>-500</v>
      </c>
      <c r="AKO89" s="0" t="n">
        <f aca="false">-$B$67</f>
        <v>-500</v>
      </c>
      <c r="AKP89" s="0" t="n">
        <f aca="false">-$B$67</f>
        <v>-500</v>
      </c>
      <c r="AKQ89" s="0" t="n">
        <f aca="false">-$B$67</f>
        <v>-500</v>
      </c>
      <c r="AKR89" s="0" t="n">
        <f aca="false">-$B$67</f>
        <v>-500</v>
      </c>
      <c r="AKS89" s="0" t="n">
        <f aca="false">-$B$67</f>
        <v>-500</v>
      </c>
      <c r="AKT89" s="0" t="n">
        <f aca="false">-$B$67</f>
        <v>-500</v>
      </c>
      <c r="AKU89" s="0" t="n">
        <f aca="false">-$B$67</f>
        <v>-500</v>
      </c>
      <c r="AKV89" s="0" t="n">
        <f aca="false">-$B$67</f>
        <v>-500</v>
      </c>
      <c r="AKW89" s="0" t="n">
        <f aca="false">-$B$67</f>
        <v>-500</v>
      </c>
      <c r="AKX89" s="0" t="n">
        <f aca="false">-$B$67</f>
        <v>-500</v>
      </c>
      <c r="AKY89" s="0" t="n">
        <f aca="false">-$B$67</f>
        <v>-500</v>
      </c>
      <c r="AKZ89" s="0" t="n">
        <f aca="false">-$B$67</f>
        <v>-500</v>
      </c>
      <c r="ALA89" s="0" t="n">
        <f aca="false">-$B$67</f>
        <v>-500</v>
      </c>
      <c r="ALB89" s="0" t="n">
        <f aca="false">-$B$67</f>
        <v>-500</v>
      </c>
      <c r="ALC89" s="0" t="n">
        <f aca="false">-$B$67</f>
        <v>-500</v>
      </c>
      <c r="ALD89" s="0" t="n">
        <f aca="false">-$B$67</f>
        <v>-500</v>
      </c>
      <c r="ALE89" s="0" t="n">
        <f aca="false">-$B$67</f>
        <v>-500</v>
      </c>
      <c r="ALF89" s="0" t="n">
        <f aca="false">-$B$67</f>
        <v>-500</v>
      </c>
      <c r="ALG89" s="0" t="n">
        <f aca="false">-$B$67</f>
        <v>-500</v>
      </c>
      <c r="ALH89" s="0" t="n">
        <f aca="false">-$B$67</f>
        <v>-500</v>
      </c>
      <c r="ALI89" s="0" t="n">
        <f aca="false">-$B$67</f>
        <v>-500</v>
      </c>
      <c r="ALJ89" s="0" t="n">
        <f aca="false">-$B$67</f>
        <v>-500</v>
      </c>
      <c r="ALK89" s="0" t="n">
        <f aca="false">-$B$67</f>
        <v>-500</v>
      </c>
      <c r="ALL89" s="0" t="n">
        <f aca="false">-$B$67</f>
        <v>-500</v>
      </c>
      <c r="ALM89" s="0" t="n">
        <f aca="false">-$B$67</f>
        <v>-500</v>
      </c>
    </row>
    <row r="90" customFormat="false" ht="14.5" hidden="false" customHeight="false" outlineLevel="0" collapsed="false">
      <c r="A90" s="10" t="s">
        <v>17</v>
      </c>
      <c r="B90" s="0" t="n">
        <f aca="false">-$B$70</f>
        <v>-4000</v>
      </c>
      <c r="C90" s="0" t="n">
        <f aca="false">-$B$70</f>
        <v>-4000</v>
      </c>
      <c r="D90" s="0" t="n">
        <f aca="false">-$B$70</f>
        <v>-4000</v>
      </c>
      <c r="E90" s="0" t="n">
        <f aca="false">-$B$70</f>
        <v>-4000</v>
      </c>
      <c r="F90" s="0" t="n">
        <f aca="false">-$B$70</f>
        <v>-4000</v>
      </c>
      <c r="G90" s="0" t="n">
        <f aca="false">-$B$70</f>
        <v>-4000</v>
      </c>
      <c r="H90" s="0" t="n">
        <f aca="false">-$B$70</f>
        <v>-4000</v>
      </c>
      <c r="I90" s="0" t="n">
        <f aca="false">-$B$70</f>
        <v>-4000</v>
      </c>
      <c r="J90" s="0" t="n">
        <f aca="false">-$B$70</f>
        <v>-4000</v>
      </c>
      <c r="K90" s="0" t="n">
        <f aca="false">-$B$70</f>
        <v>-4000</v>
      </c>
      <c r="L90" s="0" t="n">
        <f aca="false">-$B$70</f>
        <v>-4000</v>
      </c>
      <c r="M90" s="0" t="n">
        <f aca="false">-$B$70</f>
        <v>-4000</v>
      </c>
      <c r="N90" s="0" t="n">
        <f aca="false">-$B$70</f>
        <v>-4000</v>
      </c>
      <c r="O90" s="0" t="n">
        <f aca="false">-$B$70</f>
        <v>-4000</v>
      </c>
      <c r="P90" s="0" t="n">
        <f aca="false">-$B$70</f>
        <v>-4000</v>
      </c>
      <c r="Q90" s="0" t="n">
        <f aca="false">-$B$70</f>
        <v>-4000</v>
      </c>
      <c r="R90" s="0" t="n">
        <f aca="false">-$B$70</f>
        <v>-4000</v>
      </c>
      <c r="S90" s="0" t="n">
        <f aca="false">-$B$70</f>
        <v>-4000</v>
      </c>
      <c r="T90" s="0" t="n">
        <f aca="false">-$B$70</f>
        <v>-4000</v>
      </c>
      <c r="U90" s="0" t="n">
        <f aca="false">-$B$70</f>
        <v>-4000</v>
      </c>
      <c r="V90" s="0" t="n">
        <f aca="false">-$B$70</f>
        <v>-4000</v>
      </c>
      <c r="W90" s="0" t="n">
        <f aca="false">-$B$70</f>
        <v>-4000</v>
      </c>
      <c r="X90" s="0" t="n">
        <f aca="false">-$B$70</f>
        <v>-4000</v>
      </c>
      <c r="Y90" s="0" t="n">
        <f aca="false">-$B$70</f>
        <v>-4000</v>
      </c>
      <c r="Z90" s="0" t="n">
        <f aca="false">-$B$70</f>
        <v>-4000</v>
      </c>
      <c r="AA90" s="0" t="n">
        <f aca="false">-$B$70</f>
        <v>-4000</v>
      </c>
      <c r="AB90" s="0" t="n">
        <f aca="false">-$B$70</f>
        <v>-4000</v>
      </c>
      <c r="AC90" s="0" t="n">
        <f aca="false">-$B$70</f>
        <v>-4000</v>
      </c>
      <c r="AD90" s="0" t="n">
        <f aca="false">-$B$70</f>
        <v>-4000</v>
      </c>
      <c r="AE90" s="0" t="n">
        <f aca="false">-$B$70</f>
        <v>-4000</v>
      </c>
      <c r="AF90" s="0" t="n">
        <f aca="false">-$B$70</f>
        <v>-4000</v>
      </c>
      <c r="AG90" s="0" t="n">
        <f aca="false">-$B$70</f>
        <v>-4000</v>
      </c>
      <c r="AH90" s="0" t="n">
        <f aca="false">-$B$70</f>
        <v>-4000</v>
      </c>
      <c r="AI90" s="0" t="n">
        <f aca="false">-$B$70</f>
        <v>-4000</v>
      </c>
      <c r="AJ90" s="0" t="n">
        <f aca="false">-$B$70</f>
        <v>-4000</v>
      </c>
      <c r="AK90" s="0" t="n">
        <f aca="false">-$B$70</f>
        <v>-4000</v>
      </c>
      <c r="AL90" s="0" t="n">
        <f aca="false">-$B$70</f>
        <v>-4000</v>
      </c>
      <c r="AM90" s="0" t="n">
        <f aca="false">-$B$70</f>
        <v>-4000</v>
      </c>
      <c r="AN90" s="0" t="n">
        <f aca="false">-$B$70</f>
        <v>-4000</v>
      </c>
      <c r="AO90" s="0" t="n">
        <f aca="false">-$B$70</f>
        <v>-4000</v>
      </c>
      <c r="AP90" s="0" t="n">
        <f aca="false">-$B$70</f>
        <v>-4000</v>
      </c>
      <c r="AQ90" s="0" t="n">
        <f aca="false">-$B$70</f>
        <v>-4000</v>
      </c>
      <c r="AR90" s="0" t="n">
        <f aca="false">-$B$70</f>
        <v>-4000</v>
      </c>
      <c r="AS90" s="0" t="n">
        <f aca="false">-$B$70</f>
        <v>-4000</v>
      </c>
      <c r="AT90" s="0" t="n">
        <f aca="false">-$B$70</f>
        <v>-4000</v>
      </c>
      <c r="AU90" s="0" t="n">
        <f aca="false">-$B$70</f>
        <v>-4000</v>
      </c>
      <c r="AV90" s="0" t="n">
        <f aca="false">-$B$70</f>
        <v>-4000</v>
      </c>
      <c r="AW90" s="0" t="n">
        <f aca="false">-$B$70</f>
        <v>-4000</v>
      </c>
      <c r="AX90" s="0" t="n">
        <f aca="false">-$B$70</f>
        <v>-4000</v>
      </c>
      <c r="AY90" s="0" t="n">
        <f aca="false">-$B$70</f>
        <v>-4000</v>
      </c>
      <c r="AZ90" s="0" t="n">
        <f aca="false">-$B$70</f>
        <v>-4000</v>
      </c>
      <c r="BA90" s="0" t="n">
        <f aca="false">-$B$70</f>
        <v>-4000</v>
      </c>
      <c r="BB90" s="0" t="n">
        <f aca="false">-$B$70</f>
        <v>-4000</v>
      </c>
      <c r="BC90" s="0" t="n">
        <f aca="false">-$B$70</f>
        <v>-4000</v>
      </c>
      <c r="BD90" s="0" t="n">
        <f aca="false">-$B$70</f>
        <v>-4000</v>
      </c>
      <c r="BE90" s="0" t="n">
        <f aca="false">-$B$70</f>
        <v>-4000</v>
      </c>
      <c r="BF90" s="0" t="n">
        <f aca="false">-$B$70</f>
        <v>-4000</v>
      </c>
      <c r="BG90" s="0" t="n">
        <f aca="false">-$B$70</f>
        <v>-4000</v>
      </c>
      <c r="BH90" s="0" t="n">
        <f aca="false">-$B$70</f>
        <v>-4000</v>
      </c>
      <c r="BI90" s="0" t="n">
        <f aca="false">-$B$70</f>
        <v>-4000</v>
      </c>
      <c r="BJ90" s="0" t="n">
        <f aca="false">-$B$70</f>
        <v>-4000</v>
      </c>
      <c r="BK90" s="0" t="n">
        <f aca="false">-$B$70</f>
        <v>-4000</v>
      </c>
      <c r="BL90" s="0" t="n">
        <f aca="false">-$B$70</f>
        <v>-4000</v>
      </c>
      <c r="BM90" s="0" t="n">
        <f aca="false">-$B$70</f>
        <v>-4000</v>
      </c>
      <c r="BN90" s="0" t="n">
        <f aca="false">-$B$70</f>
        <v>-4000</v>
      </c>
      <c r="BO90" s="0" t="n">
        <f aca="false">-$B$70</f>
        <v>-4000</v>
      </c>
      <c r="BP90" s="0" t="n">
        <f aca="false">-$B$70</f>
        <v>-4000</v>
      </c>
      <c r="BQ90" s="0" t="n">
        <f aca="false">-$B$70</f>
        <v>-4000</v>
      </c>
      <c r="BR90" s="0" t="n">
        <f aca="false">-$B$70</f>
        <v>-4000</v>
      </c>
      <c r="BS90" s="0" t="n">
        <f aca="false">-$B$70</f>
        <v>-4000</v>
      </c>
      <c r="BT90" s="0" t="n">
        <f aca="false">-$B$70</f>
        <v>-4000</v>
      </c>
      <c r="BU90" s="0" t="n">
        <f aca="false">-$B$70</f>
        <v>-4000</v>
      </c>
      <c r="BV90" s="0" t="n">
        <f aca="false">-$B$70</f>
        <v>-4000</v>
      </c>
      <c r="BW90" s="0" t="n">
        <f aca="false">-$B$70</f>
        <v>-4000</v>
      </c>
      <c r="BX90" s="0" t="n">
        <f aca="false">-$B$70</f>
        <v>-4000</v>
      </c>
      <c r="BY90" s="0" t="n">
        <f aca="false">-$B$70</f>
        <v>-4000</v>
      </c>
      <c r="BZ90" s="0" t="n">
        <f aca="false">-$B$70</f>
        <v>-4000</v>
      </c>
      <c r="CA90" s="0" t="n">
        <f aca="false">-$B$70</f>
        <v>-4000</v>
      </c>
      <c r="CB90" s="0" t="n">
        <f aca="false">-$B$70</f>
        <v>-4000</v>
      </c>
      <c r="CC90" s="0" t="n">
        <f aca="false">-$B$70</f>
        <v>-4000</v>
      </c>
      <c r="CD90" s="0" t="n">
        <f aca="false">-$B$70</f>
        <v>-4000</v>
      </c>
      <c r="CE90" s="0" t="n">
        <f aca="false">-$B$70</f>
        <v>-4000</v>
      </c>
      <c r="CF90" s="0" t="n">
        <f aca="false">-$B$70</f>
        <v>-4000</v>
      </c>
      <c r="CG90" s="0" t="n">
        <f aca="false">-$B$70</f>
        <v>-4000</v>
      </c>
      <c r="CH90" s="0" t="n">
        <f aca="false">-$B$70</f>
        <v>-4000</v>
      </c>
      <c r="CI90" s="0" t="n">
        <f aca="false">-$B$70</f>
        <v>-4000</v>
      </c>
      <c r="CJ90" s="0" t="n">
        <f aca="false">-$B$70</f>
        <v>-4000</v>
      </c>
      <c r="CK90" s="0" t="n">
        <f aca="false">-$B$70</f>
        <v>-4000</v>
      </c>
      <c r="CL90" s="0" t="n">
        <f aca="false">-$B$70</f>
        <v>-4000</v>
      </c>
      <c r="CM90" s="0" t="n">
        <f aca="false">-$B$70</f>
        <v>-4000</v>
      </c>
      <c r="CN90" s="0" t="n">
        <f aca="false">-$B$70</f>
        <v>-4000</v>
      </c>
      <c r="CO90" s="0" t="n">
        <f aca="false">-$B$70</f>
        <v>-4000</v>
      </c>
      <c r="CP90" s="0" t="n">
        <f aca="false">-$B$70</f>
        <v>-4000</v>
      </c>
      <c r="CQ90" s="0" t="n">
        <f aca="false">-$B$70</f>
        <v>-4000</v>
      </c>
      <c r="CR90" s="0" t="n">
        <f aca="false">-$B$70</f>
        <v>-4000</v>
      </c>
      <c r="CS90" s="0" t="n">
        <f aca="false">-$B$70</f>
        <v>-4000</v>
      </c>
      <c r="CT90" s="0" t="n">
        <f aca="false">-$B$70</f>
        <v>-4000</v>
      </c>
      <c r="CU90" s="0" t="n">
        <f aca="false">-$B$70</f>
        <v>-4000</v>
      </c>
      <c r="CV90" s="0" t="n">
        <f aca="false">-$B$70</f>
        <v>-4000</v>
      </c>
      <c r="CW90" s="0" t="n">
        <f aca="false">-$B$70</f>
        <v>-4000</v>
      </c>
      <c r="CX90" s="0" t="n">
        <f aca="false">-$B$70</f>
        <v>-4000</v>
      </c>
      <c r="CY90" s="0" t="n">
        <f aca="false">-$B$70</f>
        <v>-4000</v>
      </c>
      <c r="CZ90" s="0" t="n">
        <f aca="false">-$B$70</f>
        <v>-4000</v>
      </c>
      <c r="DA90" s="0" t="n">
        <f aca="false">-$B$70</f>
        <v>-4000</v>
      </c>
      <c r="DB90" s="0" t="n">
        <f aca="false">-$B$70</f>
        <v>-4000</v>
      </c>
      <c r="DC90" s="0" t="n">
        <f aca="false">-$B$70</f>
        <v>-4000</v>
      </c>
      <c r="DD90" s="0" t="n">
        <f aca="false">-$B$70</f>
        <v>-4000</v>
      </c>
      <c r="DE90" s="0" t="n">
        <f aca="false">-$B$70</f>
        <v>-4000</v>
      </c>
      <c r="DF90" s="0" t="n">
        <f aca="false">-$B$70</f>
        <v>-4000</v>
      </c>
      <c r="DG90" s="0" t="n">
        <f aca="false">-$B$70</f>
        <v>-4000</v>
      </c>
      <c r="DH90" s="0" t="n">
        <f aca="false">-$B$70</f>
        <v>-4000</v>
      </c>
      <c r="DI90" s="0" t="n">
        <f aca="false">-$B$70</f>
        <v>-4000</v>
      </c>
      <c r="DJ90" s="0" t="n">
        <f aca="false">-$B$70</f>
        <v>-4000</v>
      </c>
      <c r="DK90" s="0" t="n">
        <f aca="false">-$B$70</f>
        <v>-4000</v>
      </c>
      <c r="DL90" s="0" t="n">
        <f aca="false">-$B$70</f>
        <v>-4000</v>
      </c>
      <c r="DM90" s="0" t="n">
        <f aca="false">-$B$70</f>
        <v>-4000</v>
      </c>
      <c r="DN90" s="0" t="n">
        <f aca="false">-$B$70</f>
        <v>-4000</v>
      </c>
      <c r="DO90" s="0" t="n">
        <f aca="false">-$B$70</f>
        <v>-4000</v>
      </c>
      <c r="DP90" s="0" t="n">
        <f aca="false">-$B$70</f>
        <v>-4000</v>
      </c>
      <c r="DQ90" s="0" t="n">
        <f aca="false">-$B$70</f>
        <v>-4000</v>
      </c>
      <c r="DR90" s="0" t="n">
        <f aca="false">-$B$70</f>
        <v>-4000</v>
      </c>
      <c r="DS90" s="0" t="n">
        <f aca="false">-$B$70</f>
        <v>-4000</v>
      </c>
      <c r="DT90" s="0" t="n">
        <f aca="false">-$B$70</f>
        <v>-4000</v>
      </c>
      <c r="DU90" s="0" t="n">
        <f aca="false">-$B$70</f>
        <v>-4000</v>
      </c>
      <c r="DV90" s="0" t="n">
        <f aca="false">-$B$70</f>
        <v>-4000</v>
      </c>
      <c r="DW90" s="0" t="n">
        <f aca="false">-$B$70</f>
        <v>-4000</v>
      </c>
      <c r="DX90" s="0" t="n">
        <f aca="false">-$B$70</f>
        <v>-4000</v>
      </c>
      <c r="DY90" s="0" t="n">
        <f aca="false">-$B$70</f>
        <v>-4000</v>
      </c>
      <c r="DZ90" s="0" t="n">
        <f aca="false">-$B$70</f>
        <v>-4000</v>
      </c>
      <c r="EA90" s="0" t="n">
        <f aca="false">-$B$70</f>
        <v>-4000</v>
      </c>
      <c r="EB90" s="0" t="n">
        <f aca="false">-$B$70</f>
        <v>-4000</v>
      </c>
      <c r="EC90" s="0" t="n">
        <f aca="false">-$B$70</f>
        <v>-4000</v>
      </c>
      <c r="ED90" s="0" t="n">
        <f aca="false">-$B$70</f>
        <v>-4000</v>
      </c>
      <c r="EE90" s="0" t="n">
        <f aca="false">-$B$70</f>
        <v>-4000</v>
      </c>
      <c r="EF90" s="0" t="n">
        <f aca="false">-$B$70</f>
        <v>-4000</v>
      </c>
      <c r="EG90" s="0" t="n">
        <f aca="false">-$B$70</f>
        <v>-4000</v>
      </c>
      <c r="EH90" s="0" t="n">
        <f aca="false">-$B$70</f>
        <v>-4000</v>
      </c>
      <c r="EI90" s="0" t="n">
        <f aca="false">-$B$70</f>
        <v>-4000</v>
      </c>
      <c r="EJ90" s="0" t="n">
        <f aca="false">-$B$70</f>
        <v>-4000</v>
      </c>
      <c r="EK90" s="0" t="n">
        <f aca="false">-$B$70</f>
        <v>-4000</v>
      </c>
      <c r="EL90" s="0" t="n">
        <f aca="false">-$B$70</f>
        <v>-4000</v>
      </c>
      <c r="EM90" s="0" t="n">
        <f aca="false">-$B$70</f>
        <v>-4000</v>
      </c>
      <c r="EN90" s="0" t="n">
        <f aca="false">-$B$70</f>
        <v>-4000</v>
      </c>
      <c r="EO90" s="0" t="n">
        <f aca="false">-$B$70</f>
        <v>-4000</v>
      </c>
      <c r="EP90" s="0" t="n">
        <f aca="false">-$B$70</f>
        <v>-4000</v>
      </c>
      <c r="EQ90" s="0" t="n">
        <f aca="false">-$B$70</f>
        <v>-4000</v>
      </c>
      <c r="ER90" s="0" t="n">
        <f aca="false">-$B$70</f>
        <v>-4000</v>
      </c>
      <c r="ES90" s="0" t="n">
        <f aca="false">-$B$70</f>
        <v>-4000</v>
      </c>
      <c r="ET90" s="0" t="n">
        <f aca="false">-$B$70</f>
        <v>-4000</v>
      </c>
      <c r="EU90" s="0" t="n">
        <f aca="false">-$B$70</f>
        <v>-4000</v>
      </c>
      <c r="EV90" s="0" t="n">
        <f aca="false">-$B$70</f>
        <v>-4000</v>
      </c>
      <c r="EW90" s="0" t="n">
        <f aca="false">-$B$70</f>
        <v>-4000</v>
      </c>
      <c r="EX90" s="0" t="n">
        <f aca="false">-$B$70</f>
        <v>-4000</v>
      </c>
      <c r="EY90" s="0" t="n">
        <f aca="false">-$B$70</f>
        <v>-4000</v>
      </c>
      <c r="EZ90" s="0" t="n">
        <f aca="false">-$B$70</f>
        <v>-4000</v>
      </c>
      <c r="FA90" s="0" t="n">
        <f aca="false">-$B$70</f>
        <v>-4000</v>
      </c>
      <c r="FB90" s="0" t="n">
        <f aca="false">-$B$70</f>
        <v>-4000</v>
      </c>
      <c r="FC90" s="0" t="n">
        <f aca="false">-$B$70</f>
        <v>-4000</v>
      </c>
      <c r="FD90" s="0" t="n">
        <f aca="false">-$B$70</f>
        <v>-4000</v>
      </c>
      <c r="FE90" s="0" t="n">
        <f aca="false">-$B$70</f>
        <v>-4000</v>
      </c>
      <c r="FF90" s="0" t="n">
        <f aca="false">-$B$70</f>
        <v>-4000</v>
      </c>
      <c r="FG90" s="0" t="n">
        <f aca="false">-$B$70</f>
        <v>-4000</v>
      </c>
      <c r="FH90" s="0" t="n">
        <f aca="false">-$B$70</f>
        <v>-4000</v>
      </c>
      <c r="FI90" s="0" t="n">
        <f aca="false">-$B$70</f>
        <v>-4000</v>
      </c>
      <c r="FJ90" s="0" t="n">
        <f aca="false">-$B$70</f>
        <v>-4000</v>
      </c>
      <c r="FK90" s="0" t="n">
        <f aca="false">-$B$70</f>
        <v>-4000</v>
      </c>
      <c r="FL90" s="0" t="n">
        <f aca="false">-$B$70</f>
        <v>-4000</v>
      </c>
      <c r="FM90" s="0" t="n">
        <f aca="false">-$B$70</f>
        <v>-4000</v>
      </c>
      <c r="FN90" s="0" t="n">
        <f aca="false">-$B$70</f>
        <v>-4000</v>
      </c>
      <c r="FO90" s="0" t="n">
        <f aca="false">-$B$70</f>
        <v>-4000</v>
      </c>
      <c r="FP90" s="0" t="n">
        <f aca="false">-$B$70</f>
        <v>-4000</v>
      </c>
      <c r="FQ90" s="0" t="n">
        <f aca="false">-$B$70</f>
        <v>-4000</v>
      </c>
      <c r="FR90" s="0" t="n">
        <f aca="false">-$B$70</f>
        <v>-4000</v>
      </c>
      <c r="FS90" s="0" t="n">
        <f aca="false">-$B$70</f>
        <v>-4000</v>
      </c>
      <c r="FT90" s="0" t="n">
        <f aca="false">-$B$70</f>
        <v>-4000</v>
      </c>
      <c r="FU90" s="0" t="n">
        <f aca="false">-$B$70</f>
        <v>-4000</v>
      </c>
      <c r="FV90" s="0" t="n">
        <f aca="false">-$B$70</f>
        <v>-4000</v>
      </c>
      <c r="FW90" s="0" t="n">
        <f aca="false">-$B$70</f>
        <v>-4000</v>
      </c>
      <c r="FX90" s="0" t="n">
        <f aca="false">-$B$70</f>
        <v>-4000</v>
      </c>
      <c r="FY90" s="0" t="n">
        <f aca="false">-$B$70</f>
        <v>-4000</v>
      </c>
      <c r="FZ90" s="0" t="n">
        <f aca="false">-$B$70</f>
        <v>-4000</v>
      </c>
      <c r="GA90" s="0" t="n">
        <f aca="false">-$B$70</f>
        <v>-4000</v>
      </c>
      <c r="GB90" s="0" t="n">
        <f aca="false">-$B$70</f>
        <v>-4000</v>
      </c>
      <c r="GC90" s="0" t="n">
        <f aca="false">-$B$70</f>
        <v>-4000</v>
      </c>
      <c r="GD90" s="0" t="n">
        <f aca="false">-$B$70</f>
        <v>-4000</v>
      </c>
      <c r="GE90" s="0" t="n">
        <f aca="false">-$B$70</f>
        <v>-4000</v>
      </c>
      <c r="GF90" s="0" t="n">
        <f aca="false">-$B$70</f>
        <v>-4000</v>
      </c>
      <c r="GG90" s="0" t="n">
        <f aca="false">-$B$70</f>
        <v>-4000</v>
      </c>
      <c r="GH90" s="0" t="n">
        <f aca="false">-$B$70</f>
        <v>-4000</v>
      </c>
      <c r="GI90" s="0" t="n">
        <f aca="false">-$B$70</f>
        <v>-4000</v>
      </c>
      <c r="GJ90" s="0" t="n">
        <f aca="false">-$B$70</f>
        <v>-4000</v>
      </c>
      <c r="GK90" s="0" t="n">
        <f aca="false">-$B$70</f>
        <v>-4000</v>
      </c>
      <c r="GL90" s="0" t="n">
        <f aca="false">-$B$70</f>
        <v>-4000</v>
      </c>
      <c r="GM90" s="0" t="n">
        <f aca="false">-$B$70</f>
        <v>-4000</v>
      </c>
      <c r="GN90" s="0" t="n">
        <f aca="false">-$B$70</f>
        <v>-4000</v>
      </c>
      <c r="GO90" s="0" t="n">
        <f aca="false">-$B$70</f>
        <v>-4000</v>
      </c>
      <c r="GP90" s="0" t="n">
        <f aca="false">-$B$70</f>
        <v>-4000</v>
      </c>
      <c r="GQ90" s="0" t="n">
        <f aca="false">-$B$70</f>
        <v>-4000</v>
      </c>
      <c r="GR90" s="0" t="n">
        <f aca="false">-$B$70</f>
        <v>-4000</v>
      </c>
      <c r="GS90" s="0" t="n">
        <f aca="false">-$B$70</f>
        <v>-4000</v>
      </c>
      <c r="GT90" s="0" t="n">
        <f aca="false">-$B$70</f>
        <v>-4000</v>
      </c>
      <c r="GU90" s="0" t="n">
        <f aca="false">-$B$70</f>
        <v>-4000</v>
      </c>
      <c r="GV90" s="0" t="n">
        <f aca="false">-$B$70</f>
        <v>-4000</v>
      </c>
      <c r="GW90" s="0" t="n">
        <f aca="false">-$B$70</f>
        <v>-4000</v>
      </c>
      <c r="GX90" s="0" t="n">
        <f aca="false">-$B$70</f>
        <v>-4000</v>
      </c>
      <c r="GY90" s="0" t="n">
        <f aca="false">-$B$70</f>
        <v>-4000</v>
      </c>
      <c r="GZ90" s="0" t="n">
        <f aca="false">-$B$70</f>
        <v>-4000</v>
      </c>
      <c r="HA90" s="0" t="n">
        <f aca="false">-$B$70</f>
        <v>-4000</v>
      </c>
      <c r="HB90" s="0" t="n">
        <f aca="false">-$B$70</f>
        <v>-4000</v>
      </c>
      <c r="HC90" s="0" t="n">
        <f aca="false">-$B$70</f>
        <v>-4000</v>
      </c>
      <c r="HD90" s="0" t="n">
        <f aca="false">-$B$70</f>
        <v>-4000</v>
      </c>
      <c r="HE90" s="0" t="n">
        <f aca="false">-$B$70</f>
        <v>-4000</v>
      </c>
      <c r="HF90" s="0" t="n">
        <f aca="false">-$B$70</f>
        <v>-4000</v>
      </c>
      <c r="HG90" s="0" t="n">
        <f aca="false">-$B$70</f>
        <v>-4000</v>
      </c>
      <c r="HH90" s="0" t="n">
        <f aca="false">-$B$70</f>
        <v>-4000</v>
      </c>
      <c r="HI90" s="0" t="n">
        <f aca="false">-$B$70</f>
        <v>-4000</v>
      </c>
      <c r="HJ90" s="0" t="n">
        <f aca="false">-$B$70</f>
        <v>-4000</v>
      </c>
      <c r="HK90" s="0" t="n">
        <f aca="false">-$B$70</f>
        <v>-4000</v>
      </c>
      <c r="HL90" s="0" t="n">
        <f aca="false">-$B$70</f>
        <v>-4000</v>
      </c>
      <c r="HM90" s="0" t="n">
        <f aca="false">-$B$70</f>
        <v>-4000</v>
      </c>
      <c r="HN90" s="0" t="n">
        <f aca="false">-$B$70</f>
        <v>-4000</v>
      </c>
      <c r="HO90" s="0" t="n">
        <f aca="false">-$B$70</f>
        <v>-4000</v>
      </c>
      <c r="HP90" s="0" t="n">
        <f aca="false">-$B$70</f>
        <v>-4000</v>
      </c>
      <c r="HQ90" s="0" t="n">
        <f aca="false">-$B$70</f>
        <v>-4000</v>
      </c>
      <c r="HR90" s="0" t="n">
        <f aca="false">-$B$70</f>
        <v>-4000</v>
      </c>
      <c r="HS90" s="0" t="n">
        <f aca="false">-$B$70</f>
        <v>-4000</v>
      </c>
      <c r="HT90" s="0" t="n">
        <f aca="false">-$B$70</f>
        <v>-4000</v>
      </c>
      <c r="HU90" s="0" t="n">
        <f aca="false">-$B$70</f>
        <v>-4000</v>
      </c>
      <c r="HV90" s="0" t="n">
        <f aca="false">-$B$70</f>
        <v>-4000</v>
      </c>
      <c r="HW90" s="0" t="n">
        <f aca="false">-$B$70</f>
        <v>-4000</v>
      </c>
      <c r="HX90" s="0" t="n">
        <f aca="false">-$B$70</f>
        <v>-4000</v>
      </c>
      <c r="HY90" s="0" t="n">
        <f aca="false">-$B$70</f>
        <v>-4000</v>
      </c>
      <c r="HZ90" s="0" t="n">
        <f aca="false">-$B$70</f>
        <v>-4000</v>
      </c>
      <c r="IA90" s="0" t="n">
        <f aca="false">-$B$70</f>
        <v>-4000</v>
      </c>
      <c r="IB90" s="0" t="n">
        <f aca="false">-$B$70</f>
        <v>-4000</v>
      </c>
      <c r="IC90" s="0" t="n">
        <f aca="false">-$B$70</f>
        <v>-4000</v>
      </c>
      <c r="ID90" s="0" t="n">
        <f aca="false">-$B$70</f>
        <v>-4000</v>
      </c>
      <c r="IE90" s="0" t="n">
        <f aca="false">-$B$70</f>
        <v>-4000</v>
      </c>
      <c r="IF90" s="0" t="n">
        <f aca="false">-$B$70</f>
        <v>-4000</v>
      </c>
      <c r="IG90" s="0" t="n">
        <f aca="false">-$B$70</f>
        <v>-4000</v>
      </c>
      <c r="IH90" s="0" t="n">
        <f aca="false">-$B$70</f>
        <v>-4000</v>
      </c>
      <c r="II90" s="0" t="n">
        <f aca="false">-$B$70</f>
        <v>-4000</v>
      </c>
      <c r="IJ90" s="0" t="n">
        <f aca="false">-$B$70</f>
        <v>-4000</v>
      </c>
      <c r="IK90" s="0" t="n">
        <f aca="false">-$B$70</f>
        <v>-4000</v>
      </c>
      <c r="IL90" s="0" t="n">
        <f aca="false">-$B$70</f>
        <v>-4000</v>
      </c>
      <c r="IM90" s="0" t="n">
        <f aca="false">-$B$70</f>
        <v>-4000</v>
      </c>
      <c r="IN90" s="0" t="n">
        <f aca="false">-$B$70</f>
        <v>-4000</v>
      </c>
      <c r="IO90" s="0" t="n">
        <f aca="false">-$B$70</f>
        <v>-4000</v>
      </c>
      <c r="IP90" s="0" t="n">
        <f aca="false">-$B$70</f>
        <v>-4000</v>
      </c>
      <c r="IQ90" s="0" t="n">
        <f aca="false">-$B$70</f>
        <v>-4000</v>
      </c>
      <c r="IR90" s="0" t="n">
        <f aca="false">-$B$70</f>
        <v>-4000</v>
      </c>
      <c r="IS90" s="0" t="n">
        <f aca="false">-$B$70</f>
        <v>-4000</v>
      </c>
      <c r="IT90" s="0" t="n">
        <f aca="false">-$B$70</f>
        <v>-4000</v>
      </c>
      <c r="IU90" s="0" t="n">
        <f aca="false">-$B$70</f>
        <v>-4000</v>
      </c>
      <c r="IV90" s="0" t="n">
        <f aca="false">-$B$70</f>
        <v>-4000</v>
      </c>
      <c r="IW90" s="0" t="n">
        <f aca="false">-$B$70</f>
        <v>-4000</v>
      </c>
      <c r="IX90" s="0" t="n">
        <f aca="false">-$B$70</f>
        <v>-4000</v>
      </c>
      <c r="IY90" s="0" t="n">
        <f aca="false">-$B$70</f>
        <v>-4000</v>
      </c>
      <c r="IZ90" s="0" t="n">
        <f aca="false">-$B$70</f>
        <v>-4000</v>
      </c>
      <c r="JA90" s="0" t="n">
        <f aca="false">-$B$70</f>
        <v>-4000</v>
      </c>
      <c r="JB90" s="0" t="n">
        <f aca="false">-$B$70</f>
        <v>-4000</v>
      </c>
      <c r="JC90" s="0" t="n">
        <f aca="false">-$B$70</f>
        <v>-4000</v>
      </c>
      <c r="JD90" s="0" t="n">
        <f aca="false">-$B$70</f>
        <v>-4000</v>
      </c>
      <c r="JE90" s="0" t="n">
        <f aca="false">-$B$70</f>
        <v>-4000</v>
      </c>
      <c r="JF90" s="0" t="n">
        <f aca="false">-$B$70</f>
        <v>-4000</v>
      </c>
      <c r="JG90" s="0" t="n">
        <f aca="false">-$B$70</f>
        <v>-4000</v>
      </c>
      <c r="JH90" s="0" t="n">
        <f aca="false">-$B$70</f>
        <v>-4000</v>
      </c>
      <c r="JI90" s="0" t="n">
        <f aca="false">-$B$70</f>
        <v>-4000</v>
      </c>
      <c r="JJ90" s="0" t="n">
        <f aca="false">-$B$70</f>
        <v>-4000</v>
      </c>
      <c r="JK90" s="0" t="n">
        <f aca="false">-$B$70</f>
        <v>-4000</v>
      </c>
      <c r="JL90" s="0" t="n">
        <f aca="false">-$B$70</f>
        <v>-4000</v>
      </c>
      <c r="JM90" s="0" t="n">
        <f aca="false">-$B$70</f>
        <v>-4000</v>
      </c>
      <c r="JN90" s="0" t="n">
        <f aca="false">-$B$70</f>
        <v>-4000</v>
      </c>
      <c r="JO90" s="0" t="n">
        <f aca="false">-$B$70</f>
        <v>-4000</v>
      </c>
      <c r="JP90" s="0" t="n">
        <f aca="false">-$B$70</f>
        <v>-4000</v>
      </c>
      <c r="JQ90" s="0" t="n">
        <f aca="false">-$B$70</f>
        <v>-4000</v>
      </c>
      <c r="JR90" s="0" t="n">
        <f aca="false">-$B$70</f>
        <v>-4000</v>
      </c>
      <c r="JS90" s="0" t="n">
        <f aca="false">-$B$70</f>
        <v>-4000</v>
      </c>
      <c r="JT90" s="0" t="n">
        <f aca="false">-$B$70</f>
        <v>-4000</v>
      </c>
      <c r="JU90" s="0" t="n">
        <f aca="false">-$B$70</f>
        <v>-4000</v>
      </c>
      <c r="JV90" s="0" t="n">
        <f aca="false">-$B$70</f>
        <v>-4000</v>
      </c>
      <c r="JW90" s="0" t="n">
        <f aca="false">-$B$70</f>
        <v>-4000</v>
      </c>
      <c r="JX90" s="0" t="n">
        <f aca="false">-$B$70</f>
        <v>-4000</v>
      </c>
      <c r="JY90" s="0" t="n">
        <f aca="false">-$B$70</f>
        <v>-4000</v>
      </c>
      <c r="JZ90" s="0" t="n">
        <f aca="false">-$B$70</f>
        <v>-4000</v>
      </c>
      <c r="KA90" s="0" t="n">
        <f aca="false">-$B$70</f>
        <v>-4000</v>
      </c>
      <c r="KB90" s="0" t="n">
        <f aca="false">-$B$70</f>
        <v>-4000</v>
      </c>
      <c r="KC90" s="0" t="n">
        <f aca="false">-$B$70</f>
        <v>-4000</v>
      </c>
      <c r="KD90" s="0" t="n">
        <f aca="false">-$B$70</f>
        <v>-4000</v>
      </c>
      <c r="KE90" s="0" t="n">
        <f aca="false">-$B$70</f>
        <v>-4000</v>
      </c>
      <c r="KF90" s="0" t="n">
        <f aca="false">-$B$70</f>
        <v>-4000</v>
      </c>
      <c r="KG90" s="0" t="n">
        <f aca="false">-$B$70</f>
        <v>-4000</v>
      </c>
      <c r="KH90" s="0" t="n">
        <f aca="false">-$B$70</f>
        <v>-4000</v>
      </c>
      <c r="KI90" s="0" t="n">
        <f aca="false">-$B$70</f>
        <v>-4000</v>
      </c>
      <c r="KJ90" s="0" t="n">
        <f aca="false">-$B$70</f>
        <v>-4000</v>
      </c>
      <c r="KK90" s="0" t="n">
        <f aca="false">-$B$70</f>
        <v>-4000</v>
      </c>
      <c r="KL90" s="0" t="n">
        <f aca="false">-$B$70</f>
        <v>-4000</v>
      </c>
      <c r="KM90" s="0" t="n">
        <f aca="false">-$B$70</f>
        <v>-4000</v>
      </c>
      <c r="KN90" s="0" t="n">
        <f aca="false">-$B$70</f>
        <v>-4000</v>
      </c>
      <c r="KO90" s="0" t="n">
        <f aca="false">-$B$70</f>
        <v>-4000</v>
      </c>
      <c r="KP90" s="0" t="n">
        <f aca="false">-$B$70</f>
        <v>-4000</v>
      </c>
      <c r="KQ90" s="0" t="n">
        <f aca="false">-$B$70</f>
        <v>-4000</v>
      </c>
      <c r="KR90" s="0" t="n">
        <f aca="false">-$B$70</f>
        <v>-4000</v>
      </c>
      <c r="KS90" s="0" t="n">
        <f aca="false">-$B$70</f>
        <v>-4000</v>
      </c>
      <c r="KT90" s="0" t="n">
        <f aca="false">-$B$70</f>
        <v>-4000</v>
      </c>
      <c r="KU90" s="0" t="n">
        <f aca="false">-$B$70</f>
        <v>-4000</v>
      </c>
      <c r="KV90" s="0" t="n">
        <f aca="false">-$B$70</f>
        <v>-4000</v>
      </c>
      <c r="KW90" s="0" t="n">
        <f aca="false">-$B$70</f>
        <v>-4000</v>
      </c>
      <c r="KX90" s="0" t="n">
        <f aca="false">-$B$70</f>
        <v>-4000</v>
      </c>
      <c r="KY90" s="0" t="n">
        <f aca="false">-$B$70</f>
        <v>-4000</v>
      </c>
      <c r="KZ90" s="0" t="n">
        <f aca="false">-$B$70</f>
        <v>-4000</v>
      </c>
      <c r="LA90" s="0" t="n">
        <f aca="false">-$B$70</f>
        <v>-4000</v>
      </c>
      <c r="LB90" s="0" t="n">
        <f aca="false">-$B$70</f>
        <v>-4000</v>
      </c>
      <c r="LC90" s="0" t="n">
        <f aca="false">-$B$70</f>
        <v>-4000</v>
      </c>
      <c r="LD90" s="0" t="n">
        <f aca="false">-$B$70</f>
        <v>-4000</v>
      </c>
      <c r="LE90" s="0" t="n">
        <f aca="false">-$B$70</f>
        <v>-4000</v>
      </c>
      <c r="LF90" s="0" t="n">
        <f aca="false">-$B$70</f>
        <v>-4000</v>
      </c>
      <c r="LG90" s="0" t="n">
        <f aca="false">-$B$70</f>
        <v>-4000</v>
      </c>
      <c r="LH90" s="0" t="n">
        <f aca="false">-$B$70</f>
        <v>-4000</v>
      </c>
      <c r="LI90" s="0" t="n">
        <f aca="false">-$B$70</f>
        <v>-4000</v>
      </c>
      <c r="LJ90" s="0" t="n">
        <f aca="false">-$B$70</f>
        <v>-4000</v>
      </c>
      <c r="LK90" s="0" t="n">
        <f aca="false">-$B$70</f>
        <v>-4000</v>
      </c>
      <c r="LL90" s="0" t="n">
        <f aca="false">-$B$70</f>
        <v>-4000</v>
      </c>
      <c r="LM90" s="0" t="n">
        <f aca="false">-$B$70</f>
        <v>-4000</v>
      </c>
      <c r="LN90" s="0" t="n">
        <f aca="false">-$B$70</f>
        <v>-4000</v>
      </c>
      <c r="LO90" s="0" t="n">
        <f aca="false">-$B$70</f>
        <v>-4000</v>
      </c>
      <c r="LP90" s="0" t="n">
        <f aca="false">-$B$70</f>
        <v>-4000</v>
      </c>
      <c r="LQ90" s="0" t="n">
        <f aca="false">-$B$70</f>
        <v>-4000</v>
      </c>
      <c r="LR90" s="0" t="n">
        <f aca="false">-$B$70</f>
        <v>-4000</v>
      </c>
      <c r="LS90" s="0" t="n">
        <f aca="false">-$B$70</f>
        <v>-4000</v>
      </c>
      <c r="LT90" s="0" t="n">
        <f aca="false">-$B$70</f>
        <v>-4000</v>
      </c>
      <c r="LU90" s="0" t="n">
        <f aca="false">-$B$70</f>
        <v>-4000</v>
      </c>
      <c r="LV90" s="0" t="n">
        <f aca="false">-$B$70</f>
        <v>-4000</v>
      </c>
      <c r="LW90" s="0" t="n">
        <f aca="false">-$B$70</f>
        <v>-4000</v>
      </c>
      <c r="LX90" s="0" t="n">
        <f aca="false">-$B$70</f>
        <v>-4000</v>
      </c>
      <c r="LY90" s="0" t="n">
        <f aca="false">-$B$70</f>
        <v>-4000</v>
      </c>
      <c r="LZ90" s="0" t="n">
        <f aca="false">-$B$70</f>
        <v>-4000</v>
      </c>
      <c r="MA90" s="0" t="n">
        <f aca="false">-$B$70</f>
        <v>-4000</v>
      </c>
      <c r="MB90" s="0" t="n">
        <f aca="false">-$B$70</f>
        <v>-4000</v>
      </c>
      <c r="MC90" s="0" t="n">
        <f aca="false">-$B$70</f>
        <v>-4000</v>
      </c>
      <c r="MD90" s="0" t="n">
        <f aca="false">-$B$70</f>
        <v>-4000</v>
      </c>
      <c r="ME90" s="0" t="n">
        <f aca="false">-$B$70</f>
        <v>-4000</v>
      </c>
      <c r="MF90" s="0" t="n">
        <f aca="false">-$B$70</f>
        <v>-4000</v>
      </c>
      <c r="MG90" s="0" t="n">
        <f aca="false">-$B$70</f>
        <v>-4000</v>
      </c>
      <c r="MH90" s="0" t="n">
        <f aca="false">-$B$70</f>
        <v>-4000</v>
      </c>
      <c r="MI90" s="0" t="n">
        <f aca="false">-$B$70</f>
        <v>-4000</v>
      </c>
      <c r="MJ90" s="0" t="n">
        <f aca="false">-$B$70</f>
        <v>-4000</v>
      </c>
      <c r="MK90" s="0" t="n">
        <f aca="false">-$B$70</f>
        <v>-4000</v>
      </c>
      <c r="ML90" s="0" t="n">
        <f aca="false">-$B$70</f>
        <v>-4000</v>
      </c>
      <c r="MM90" s="0" t="n">
        <f aca="false">-$B$70</f>
        <v>-4000</v>
      </c>
      <c r="MN90" s="0" t="n">
        <f aca="false">-$B$70</f>
        <v>-4000</v>
      </c>
      <c r="MO90" s="0" t="n">
        <f aca="false">-$B$70</f>
        <v>-4000</v>
      </c>
      <c r="MP90" s="0" t="n">
        <f aca="false">-$B$70</f>
        <v>-4000</v>
      </c>
      <c r="MQ90" s="0" t="n">
        <f aca="false">-$B$70</f>
        <v>-4000</v>
      </c>
      <c r="MR90" s="0" t="n">
        <f aca="false">-$B$70</f>
        <v>-4000</v>
      </c>
      <c r="MS90" s="0" t="n">
        <f aca="false">-$B$70</f>
        <v>-4000</v>
      </c>
      <c r="MT90" s="0" t="n">
        <f aca="false">-$B$70</f>
        <v>-4000</v>
      </c>
      <c r="MU90" s="0" t="n">
        <f aca="false">-$B$70</f>
        <v>-4000</v>
      </c>
      <c r="MV90" s="0" t="n">
        <f aca="false">-$B$70</f>
        <v>-4000</v>
      </c>
      <c r="MW90" s="0" t="n">
        <f aca="false">-$B$70</f>
        <v>-4000</v>
      </c>
      <c r="MX90" s="0" t="n">
        <f aca="false">-$B$70</f>
        <v>-4000</v>
      </c>
      <c r="MY90" s="0" t="n">
        <f aca="false">-$B$70</f>
        <v>-4000</v>
      </c>
      <c r="MZ90" s="0" t="n">
        <f aca="false">-$B$70</f>
        <v>-4000</v>
      </c>
      <c r="NA90" s="0" t="n">
        <f aca="false">-$B$70</f>
        <v>-4000</v>
      </c>
      <c r="NB90" s="0" t="n">
        <f aca="false">-$B$70</f>
        <v>-4000</v>
      </c>
      <c r="NC90" s="0" t="n">
        <f aca="false">-$B$70</f>
        <v>-4000</v>
      </c>
      <c r="ND90" s="0" t="n">
        <f aca="false">-$B$70</f>
        <v>-4000</v>
      </c>
      <c r="NE90" s="0" t="n">
        <f aca="false">-$B$70</f>
        <v>-4000</v>
      </c>
      <c r="NF90" s="0" t="n">
        <f aca="false">-$B$70</f>
        <v>-4000</v>
      </c>
      <c r="NG90" s="0" t="n">
        <f aca="false">-$B$70</f>
        <v>-4000</v>
      </c>
      <c r="NH90" s="0" t="n">
        <f aca="false">-$B$70</f>
        <v>-4000</v>
      </c>
      <c r="NI90" s="0" t="n">
        <f aca="false">-$B$70</f>
        <v>-4000</v>
      </c>
      <c r="NJ90" s="0" t="n">
        <f aca="false">-$B$70</f>
        <v>-4000</v>
      </c>
      <c r="NK90" s="0" t="n">
        <f aca="false">-$B$70</f>
        <v>-4000</v>
      </c>
      <c r="NL90" s="0" t="n">
        <f aca="false">-$B$70</f>
        <v>-4000</v>
      </c>
      <c r="NM90" s="0" t="n">
        <f aca="false">-$B$70</f>
        <v>-4000</v>
      </c>
      <c r="NN90" s="0" t="n">
        <f aca="false">-$B$70</f>
        <v>-4000</v>
      </c>
      <c r="NO90" s="0" t="n">
        <f aca="false">-$B$70</f>
        <v>-4000</v>
      </c>
      <c r="NP90" s="0" t="n">
        <f aca="false">-$B$70</f>
        <v>-4000</v>
      </c>
      <c r="NQ90" s="0" t="n">
        <f aca="false">-$B$70</f>
        <v>-4000</v>
      </c>
      <c r="NR90" s="0" t="n">
        <f aca="false">-$B$70</f>
        <v>-4000</v>
      </c>
      <c r="NS90" s="0" t="n">
        <f aca="false">-$B$70</f>
        <v>-4000</v>
      </c>
      <c r="NT90" s="0" t="n">
        <f aca="false">-$B$70</f>
        <v>-4000</v>
      </c>
      <c r="NU90" s="0" t="n">
        <f aca="false">-$B$70</f>
        <v>-4000</v>
      </c>
      <c r="NV90" s="0" t="n">
        <f aca="false">-$B$70</f>
        <v>-4000</v>
      </c>
      <c r="NW90" s="0" t="n">
        <f aca="false">-$B$70</f>
        <v>-4000</v>
      </c>
      <c r="NX90" s="0" t="n">
        <f aca="false">-$B$70</f>
        <v>-4000</v>
      </c>
      <c r="NY90" s="0" t="n">
        <f aca="false">-$B$70</f>
        <v>-4000</v>
      </c>
      <c r="NZ90" s="0" t="n">
        <f aca="false">-$B$70</f>
        <v>-4000</v>
      </c>
      <c r="OA90" s="0" t="n">
        <f aca="false">-$B$70</f>
        <v>-4000</v>
      </c>
      <c r="OB90" s="0" t="n">
        <f aca="false">-$B$70</f>
        <v>-4000</v>
      </c>
      <c r="OC90" s="0" t="n">
        <f aca="false">-$B$70</f>
        <v>-4000</v>
      </c>
      <c r="OD90" s="0" t="n">
        <f aca="false">-$B$70</f>
        <v>-4000</v>
      </c>
      <c r="OE90" s="0" t="n">
        <f aca="false">-$B$70</f>
        <v>-4000</v>
      </c>
      <c r="OF90" s="0" t="n">
        <f aca="false">-$B$70</f>
        <v>-4000</v>
      </c>
      <c r="OG90" s="0" t="n">
        <f aca="false">-$B$70</f>
        <v>-4000</v>
      </c>
      <c r="OH90" s="0" t="n">
        <f aca="false">-$B$70</f>
        <v>-4000</v>
      </c>
      <c r="OI90" s="0" t="n">
        <f aca="false">-$B$70</f>
        <v>-4000</v>
      </c>
      <c r="OJ90" s="0" t="n">
        <f aca="false">-$B$70</f>
        <v>-4000</v>
      </c>
      <c r="OK90" s="0" t="n">
        <f aca="false">-$B$70</f>
        <v>-4000</v>
      </c>
      <c r="OL90" s="0" t="n">
        <f aca="false">-$B$70</f>
        <v>-4000</v>
      </c>
      <c r="OM90" s="0" t="n">
        <f aca="false">-$B$70</f>
        <v>-4000</v>
      </c>
      <c r="ON90" s="0" t="n">
        <f aca="false">-$B$70</f>
        <v>-4000</v>
      </c>
      <c r="OO90" s="0" t="n">
        <f aca="false">-$B$70</f>
        <v>-4000</v>
      </c>
      <c r="OP90" s="0" t="n">
        <f aca="false">-$B$70</f>
        <v>-4000</v>
      </c>
      <c r="OQ90" s="0" t="n">
        <f aca="false">-$B$70</f>
        <v>-4000</v>
      </c>
      <c r="OR90" s="0" t="n">
        <f aca="false">-$B$70</f>
        <v>-4000</v>
      </c>
      <c r="OS90" s="0" t="n">
        <f aca="false">-$B$70</f>
        <v>-4000</v>
      </c>
      <c r="OT90" s="0" t="n">
        <f aca="false">-$B$70</f>
        <v>-4000</v>
      </c>
      <c r="OU90" s="0" t="n">
        <f aca="false">-$B$70</f>
        <v>-4000</v>
      </c>
      <c r="OV90" s="0" t="n">
        <f aca="false">-$B$70</f>
        <v>-4000</v>
      </c>
      <c r="OW90" s="0" t="n">
        <f aca="false">-$B$70</f>
        <v>-4000</v>
      </c>
      <c r="OX90" s="0" t="n">
        <f aca="false">-$B$70</f>
        <v>-4000</v>
      </c>
      <c r="OY90" s="0" t="n">
        <f aca="false">-$B$70</f>
        <v>-4000</v>
      </c>
      <c r="OZ90" s="0" t="n">
        <f aca="false">-$B$70</f>
        <v>-4000</v>
      </c>
      <c r="PA90" s="0" t="n">
        <f aca="false">-$B$70</f>
        <v>-4000</v>
      </c>
      <c r="PB90" s="0" t="n">
        <f aca="false">-$B$70</f>
        <v>-4000</v>
      </c>
      <c r="PC90" s="0" t="n">
        <f aca="false">-$B$70</f>
        <v>-4000</v>
      </c>
      <c r="PD90" s="0" t="n">
        <f aca="false">-$B$70</f>
        <v>-4000</v>
      </c>
      <c r="PE90" s="0" t="n">
        <f aca="false">-$B$70</f>
        <v>-4000</v>
      </c>
      <c r="PF90" s="0" t="n">
        <f aca="false">-$B$70</f>
        <v>-4000</v>
      </c>
      <c r="PG90" s="0" t="n">
        <f aca="false">-$B$70</f>
        <v>-4000</v>
      </c>
      <c r="PH90" s="0" t="n">
        <f aca="false">-$B$70</f>
        <v>-4000</v>
      </c>
      <c r="PI90" s="0" t="n">
        <f aca="false">-$B$70</f>
        <v>-4000</v>
      </c>
      <c r="PJ90" s="0" t="n">
        <f aca="false">-$B$70</f>
        <v>-4000</v>
      </c>
      <c r="PK90" s="0" t="n">
        <f aca="false">-$B$70</f>
        <v>-4000</v>
      </c>
      <c r="PL90" s="0" t="n">
        <f aca="false">-$B$70</f>
        <v>-4000</v>
      </c>
      <c r="PM90" s="0" t="n">
        <f aca="false">-$B$70</f>
        <v>-4000</v>
      </c>
      <c r="PN90" s="0" t="n">
        <f aca="false">-$B$70</f>
        <v>-4000</v>
      </c>
      <c r="PO90" s="0" t="n">
        <f aca="false">-$B$70</f>
        <v>-4000</v>
      </c>
      <c r="PP90" s="0" t="n">
        <f aca="false">-$B$70</f>
        <v>-4000</v>
      </c>
      <c r="PQ90" s="0" t="n">
        <f aca="false">-$B$70</f>
        <v>-4000</v>
      </c>
      <c r="PR90" s="0" t="n">
        <f aca="false">-$B$70</f>
        <v>-4000</v>
      </c>
      <c r="PS90" s="0" t="n">
        <f aca="false">-$B$70</f>
        <v>-4000</v>
      </c>
      <c r="PT90" s="0" t="n">
        <f aca="false">-$B$70</f>
        <v>-4000</v>
      </c>
      <c r="PU90" s="0" t="n">
        <f aca="false">-$B$70</f>
        <v>-4000</v>
      </c>
      <c r="PV90" s="0" t="n">
        <f aca="false">-$B$70</f>
        <v>-4000</v>
      </c>
      <c r="PW90" s="0" t="n">
        <f aca="false">-$B$70</f>
        <v>-4000</v>
      </c>
      <c r="PX90" s="0" t="n">
        <f aca="false">-$B$70</f>
        <v>-4000</v>
      </c>
      <c r="PY90" s="0" t="n">
        <f aca="false">-$B$70</f>
        <v>-4000</v>
      </c>
      <c r="PZ90" s="0" t="n">
        <f aca="false">-$B$70</f>
        <v>-4000</v>
      </c>
      <c r="QA90" s="0" t="n">
        <f aca="false">-$B$70</f>
        <v>-4000</v>
      </c>
      <c r="QB90" s="0" t="n">
        <f aca="false">-$B$70</f>
        <v>-4000</v>
      </c>
      <c r="QC90" s="0" t="n">
        <f aca="false">-$B$70</f>
        <v>-4000</v>
      </c>
      <c r="QD90" s="0" t="n">
        <f aca="false">-$B$70</f>
        <v>-4000</v>
      </c>
      <c r="QE90" s="0" t="n">
        <f aca="false">-$B$70</f>
        <v>-4000</v>
      </c>
      <c r="QF90" s="0" t="n">
        <f aca="false">-$B$70</f>
        <v>-4000</v>
      </c>
      <c r="QG90" s="0" t="n">
        <f aca="false">-$B$70</f>
        <v>-4000</v>
      </c>
      <c r="QH90" s="0" t="n">
        <f aca="false">-$B$70</f>
        <v>-4000</v>
      </c>
      <c r="QI90" s="0" t="n">
        <f aca="false">-$B$70</f>
        <v>-4000</v>
      </c>
      <c r="QJ90" s="0" t="n">
        <f aca="false">-$B$70</f>
        <v>-4000</v>
      </c>
      <c r="QK90" s="0" t="n">
        <f aca="false">-$B$70</f>
        <v>-4000</v>
      </c>
      <c r="QL90" s="0" t="n">
        <f aca="false">-$B$70</f>
        <v>-4000</v>
      </c>
      <c r="QM90" s="0" t="n">
        <f aca="false">-$B$70</f>
        <v>-4000</v>
      </c>
      <c r="QN90" s="0" t="n">
        <f aca="false">-$B$70</f>
        <v>-4000</v>
      </c>
      <c r="QO90" s="0" t="n">
        <f aca="false">-$B$70</f>
        <v>-4000</v>
      </c>
      <c r="QP90" s="0" t="n">
        <f aca="false">-$B$70</f>
        <v>-4000</v>
      </c>
      <c r="QQ90" s="0" t="n">
        <f aca="false">-$B$70</f>
        <v>-4000</v>
      </c>
      <c r="QR90" s="0" t="n">
        <f aca="false">-$B$70</f>
        <v>-4000</v>
      </c>
      <c r="QS90" s="0" t="n">
        <f aca="false">-$B$70</f>
        <v>-4000</v>
      </c>
      <c r="QT90" s="0" t="n">
        <f aca="false">-$B$70</f>
        <v>-4000</v>
      </c>
      <c r="QU90" s="0" t="n">
        <f aca="false">-$B$70</f>
        <v>-4000</v>
      </c>
      <c r="QV90" s="0" t="n">
        <f aca="false">-$B$70</f>
        <v>-4000</v>
      </c>
      <c r="QW90" s="0" t="n">
        <f aca="false">-$B$70</f>
        <v>-4000</v>
      </c>
      <c r="QX90" s="0" t="n">
        <f aca="false">-$B$70</f>
        <v>-4000</v>
      </c>
      <c r="QY90" s="0" t="n">
        <f aca="false">-$B$70</f>
        <v>-4000</v>
      </c>
      <c r="QZ90" s="0" t="n">
        <f aca="false">-$B$70</f>
        <v>-4000</v>
      </c>
      <c r="RA90" s="0" t="n">
        <f aca="false">-$B$70</f>
        <v>-4000</v>
      </c>
      <c r="RB90" s="0" t="n">
        <f aca="false">-$B$70</f>
        <v>-4000</v>
      </c>
      <c r="RC90" s="0" t="n">
        <f aca="false">-$B$70</f>
        <v>-4000</v>
      </c>
      <c r="RD90" s="0" t="n">
        <f aca="false">-$B$70</f>
        <v>-4000</v>
      </c>
      <c r="RE90" s="0" t="n">
        <f aca="false">-$B$70</f>
        <v>-4000</v>
      </c>
      <c r="RF90" s="0" t="n">
        <f aca="false">-$B$70</f>
        <v>-4000</v>
      </c>
      <c r="RG90" s="0" t="n">
        <f aca="false">-$B$70</f>
        <v>-4000</v>
      </c>
      <c r="RH90" s="0" t="n">
        <f aca="false">-$B$70</f>
        <v>-4000</v>
      </c>
      <c r="RI90" s="0" t="n">
        <f aca="false">-$B$70</f>
        <v>-4000</v>
      </c>
      <c r="RJ90" s="0" t="n">
        <f aca="false">-$B$70</f>
        <v>-4000</v>
      </c>
      <c r="RK90" s="0" t="n">
        <f aca="false">-$B$70</f>
        <v>-4000</v>
      </c>
      <c r="RL90" s="0" t="n">
        <f aca="false">-$B$70</f>
        <v>-4000</v>
      </c>
      <c r="RM90" s="0" t="n">
        <f aca="false">-$B$70</f>
        <v>-4000</v>
      </c>
      <c r="RN90" s="0" t="n">
        <f aca="false">-$B$70</f>
        <v>-4000</v>
      </c>
      <c r="RO90" s="0" t="n">
        <f aca="false">-$B$70</f>
        <v>-4000</v>
      </c>
      <c r="RP90" s="0" t="n">
        <f aca="false">-$B$70</f>
        <v>-4000</v>
      </c>
      <c r="RQ90" s="0" t="n">
        <f aca="false">-$B$70</f>
        <v>-4000</v>
      </c>
      <c r="RR90" s="0" t="n">
        <f aca="false">-$B$70</f>
        <v>-4000</v>
      </c>
      <c r="RS90" s="0" t="n">
        <f aca="false">-$B$70</f>
        <v>-4000</v>
      </c>
      <c r="RT90" s="0" t="n">
        <f aca="false">-$B$70</f>
        <v>-4000</v>
      </c>
      <c r="RU90" s="0" t="n">
        <f aca="false">-$B$70</f>
        <v>-4000</v>
      </c>
      <c r="RV90" s="0" t="n">
        <f aca="false">-$B$70</f>
        <v>-4000</v>
      </c>
      <c r="RW90" s="0" t="n">
        <f aca="false">-$B$70</f>
        <v>-4000</v>
      </c>
      <c r="RX90" s="0" t="n">
        <f aca="false">-$B$70</f>
        <v>-4000</v>
      </c>
      <c r="RY90" s="0" t="n">
        <f aca="false">-$B$70</f>
        <v>-4000</v>
      </c>
      <c r="RZ90" s="0" t="n">
        <f aca="false">-$B$70</f>
        <v>-4000</v>
      </c>
      <c r="SA90" s="0" t="n">
        <f aca="false">-$B$70</f>
        <v>-4000</v>
      </c>
      <c r="SB90" s="0" t="n">
        <f aca="false">-$B$70</f>
        <v>-4000</v>
      </c>
      <c r="SC90" s="0" t="n">
        <f aca="false">-$B$70</f>
        <v>-4000</v>
      </c>
      <c r="SD90" s="0" t="n">
        <f aca="false">-$B$70</f>
        <v>-4000</v>
      </c>
      <c r="SE90" s="0" t="n">
        <f aca="false">-$B$70</f>
        <v>-4000</v>
      </c>
      <c r="SF90" s="0" t="n">
        <f aca="false">-$B$70</f>
        <v>-4000</v>
      </c>
      <c r="SG90" s="0" t="n">
        <f aca="false">-$B$70</f>
        <v>-4000</v>
      </c>
      <c r="SH90" s="0" t="n">
        <f aca="false">-$B$70</f>
        <v>-4000</v>
      </c>
      <c r="SI90" s="0" t="n">
        <f aca="false">-$B$70</f>
        <v>-4000</v>
      </c>
      <c r="SJ90" s="0" t="n">
        <f aca="false">-$B$70</f>
        <v>-4000</v>
      </c>
      <c r="SK90" s="0" t="n">
        <f aca="false">-$B$70</f>
        <v>-4000</v>
      </c>
      <c r="SL90" s="0" t="n">
        <f aca="false">-$B$70</f>
        <v>-4000</v>
      </c>
      <c r="SM90" s="0" t="n">
        <f aca="false">-$B$70</f>
        <v>-4000</v>
      </c>
      <c r="SN90" s="0" t="n">
        <f aca="false">-$B$70</f>
        <v>-4000</v>
      </c>
      <c r="SO90" s="0" t="n">
        <f aca="false">-$B$70</f>
        <v>-4000</v>
      </c>
      <c r="SP90" s="0" t="n">
        <f aca="false">-$B$70</f>
        <v>-4000</v>
      </c>
      <c r="SQ90" s="0" t="n">
        <f aca="false">-$B$70</f>
        <v>-4000</v>
      </c>
      <c r="SR90" s="0" t="n">
        <f aca="false">-$B$70</f>
        <v>-4000</v>
      </c>
      <c r="SS90" s="0" t="n">
        <f aca="false">-$B$70</f>
        <v>-4000</v>
      </c>
      <c r="ST90" s="0" t="n">
        <f aca="false">-$B$70</f>
        <v>-4000</v>
      </c>
      <c r="SU90" s="0" t="n">
        <f aca="false">-$B$70</f>
        <v>-4000</v>
      </c>
      <c r="SV90" s="0" t="n">
        <f aca="false">-$B$70</f>
        <v>-4000</v>
      </c>
      <c r="SW90" s="0" t="n">
        <f aca="false">-$B$70</f>
        <v>-4000</v>
      </c>
      <c r="SX90" s="0" t="n">
        <f aca="false">-$B$70</f>
        <v>-4000</v>
      </c>
      <c r="SY90" s="0" t="n">
        <f aca="false">-$B$70</f>
        <v>-4000</v>
      </c>
      <c r="SZ90" s="0" t="n">
        <f aca="false">-$B$70</f>
        <v>-4000</v>
      </c>
      <c r="TA90" s="0" t="n">
        <f aca="false">-$B$70</f>
        <v>-4000</v>
      </c>
      <c r="TB90" s="0" t="n">
        <f aca="false">-$B$70</f>
        <v>-4000</v>
      </c>
      <c r="TC90" s="0" t="n">
        <f aca="false">-$B$70</f>
        <v>-4000</v>
      </c>
      <c r="TD90" s="0" t="n">
        <f aca="false">-$B$70</f>
        <v>-4000</v>
      </c>
      <c r="TE90" s="0" t="n">
        <f aca="false">-$B$70</f>
        <v>-4000</v>
      </c>
      <c r="TF90" s="0" t="n">
        <f aca="false">-$B$70</f>
        <v>-4000</v>
      </c>
      <c r="TG90" s="0" t="n">
        <f aca="false">-$B$70</f>
        <v>-4000</v>
      </c>
      <c r="TH90" s="0" t="n">
        <f aca="false">-$B$70</f>
        <v>-4000</v>
      </c>
      <c r="TI90" s="0" t="n">
        <f aca="false">-$B$70</f>
        <v>-4000</v>
      </c>
      <c r="TJ90" s="0" t="n">
        <f aca="false">-$B$70</f>
        <v>-4000</v>
      </c>
      <c r="TK90" s="0" t="n">
        <f aca="false">-$B$70</f>
        <v>-4000</v>
      </c>
      <c r="TL90" s="0" t="n">
        <f aca="false">-$B$70</f>
        <v>-4000</v>
      </c>
      <c r="TM90" s="0" t="n">
        <f aca="false">-$B$70</f>
        <v>-4000</v>
      </c>
      <c r="TN90" s="0" t="n">
        <f aca="false">-$B$70</f>
        <v>-4000</v>
      </c>
      <c r="TO90" s="0" t="n">
        <f aca="false">-$B$70</f>
        <v>-4000</v>
      </c>
      <c r="TP90" s="0" t="n">
        <f aca="false">-$B$70</f>
        <v>-4000</v>
      </c>
      <c r="TQ90" s="0" t="n">
        <f aca="false">-$B$70</f>
        <v>-4000</v>
      </c>
      <c r="TR90" s="0" t="n">
        <f aca="false">-$B$70</f>
        <v>-4000</v>
      </c>
      <c r="TS90" s="0" t="n">
        <f aca="false">-$B$70</f>
        <v>-4000</v>
      </c>
      <c r="TT90" s="0" t="n">
        <f aca="false">-$B$70</f>
        <v>-4000</v>
      </c>
      <c r="TU90" s="0" t="n">
        <f aca="false">-$B$70</f>
        <v>-4000</v>
      </c>
      <c r="TV90" s="0" t="n">
        <f aca="false">-$B$70</f>
        <v>-4000</v>
      </c>
      <c r="TW90" s="0" t="n">
        <f aca="false">-$B$70</f>
        <v>-4000</v>
      </c>
      <c r="TX90" s="0" t="n">
        <f aca="false">-$B$70</f>
        <v>-4000</v>
      </c>
      <c r="TY90" s="0" t="n">
        <f aca="false">-$B$70</f>
        <v>-4000</v>
      </c>
      <c r="TZ90" s="0" t="n">
        <f aca="false">-$B$70</f>
        <v>-4000</v>
      </c>
      <c r="UA90" s="0" t="n">
        <f aca="false">-$B$70</f>
        <v>-4000</v>
      </c>
      <c r="UB90" s="0" t="n">
        <f aca="false">-$B$70</f>
        <v>-4000</v>
      </c>
      <c r="UC90" s="0" t="n">
        <f aca="false">-$B$70</f>
        <v>-4000</v>
      </c>
      <c r="UD90" s="0" t="n">
        <f aca="false">-$B$70</f>
        <v>-4000</v>
      </c>
      <c r="UE90" s="0" t="n">
        <f aca="false">-$B$70</f>
        <v>-4000</v>
      </c>
      <c r="UF90" s="0" t="n">
        <f aca="false">-$B$70</f>
        <v>-4000</v>
      </c>
      <c r="UG90" s="0" t="n">
        <f aca="false">-$B$70</f>
        <v>-4000</v>
      </c>
      <c r="UH90" s="0" t="n">
        <f aca="false">-$B$70</f>
        <v>-4000</v>
      </c>
      <c r="UI90" s="0" t="n">
        <f aca="false">-$B$70</f>
        <v>-4000</v>
      </c>
      <c r="UJ90" s="0" t="n">
        <f aca="false">-$B$70</f>
        <v>-4000</v>
      </c>
      <c r="UK90" s="0" t="n">
        <f aca="false">-$B$70</f>
        <v>-4000</v>
      </c>
      <c r="UL90" s="0" t="n">
        <f aca="false">-$B$70</f>
        <v>-4000</v>
      </c>
      <c r="UM90" s="0" t="n">
        <f aca="false">-$B$70</f>
        <v>-4000</v>
      </c>
      <c r="UN90" s="0" t="n">
        <f aca="false">-$B$70</f>
        <v>-4000</v>
      </c>
      <c r="UO90" s="0" t="n">
        <f aca="false">-$B$70</f>
        <v>-4000</v>
      </c>
      <c r="UP90" s="0" t="n">
        <f aca="false">-$B$70</f>
        <v>-4000</v>
      </c>
      <c r="UQ90" s="0" t="n">
        <f aca="false">-$B$70</f>
        <v>-4000</v>
      </c>
      <c r="UR90" s="0" t="n">
        <f aca="false">-$B$70</f>
        <v>-4000</v>
      </c>
      <c r="US90" s="0" t="n">
        <f aca="false">-$B$70</f>
        <v>-4000</v>
      </c>
      <c r="UT90" s="0" t="n">
        <f aca="false">-$B$70</f>
        <v>-4000</v>
      </c>
      <c r="UU90" s="0" t="n">
        <f aca="false">-$B$70</f>
        <v>-4000</v>
      </c>
      <c r="UV90" s="0" t="n">
        <f aca="false">-$B$70</f>
        <v>-4000</v>
      </c>
      <c r="UW90" s="0" t="n">
        <f aca="false">-$B$70</f>
        <v>-4000</v>
      </c>
      <c r="UX90" s="0" t="n">
        <f aca="false">-$B$70</f>
        <v>-4000</v>
      </c>
      <c r="UY90" s="0" t="n">
        <f aca="false">-$B$70</f>
        <v>-4000</v>
      </c>
      <c r="UZ90" s="0" t="n">
        <f aca="false">-$B$70</f>
        <v>-4000</v>
      </c>
      <c r="VA90" s="0" t="n">
        <f aca="false">-$B$70</f>
        <v>-4000</v>
      </c>
      <c r="VB90" s="0" t="n">
        <f aca="false">-$B$70</f>
        <v>-4000</v>
      </c>
      <c r="VC90" s="0" t="n">
        <f aca="false">-$B$70</f>
        <v>-4000</v>
      </c>
      <c r="VD90" s="0" t="n">
        <f aca="false">-$B$70</f>
        <v>-4000</v>
      </c>
      <c r="VE90" s="0" t="n">
        <f aca="false">-$B$70</f>
        <v>-4000</v>
      </c>
      <c r="VF90" s="0" t="n">
        <f aca="false">-$B$70</f>
        <v>-4000</v>
      </c>
      <c r="VG90" s="0" t="n">
        <f aca="false">-$B$70</f>
        <v>-4000</v>
      </c>
      <c r="VH90" s="0" t="n">
        <f aca="false">-$B$70</f>
        <v>-4000</v>
      </c>
      <c r="VI90" s="0" t="n">
        <f aca="false">-$B$70</f>
        <v>-4000</v>
      </c>
      <c r="VJ90" s="0" t="n">
        <f aca="false">-$B$70</f>
        <v>-4000</v>
      </c>
      <c r="VK90" s="0" t="n">
        <f aca="false">-$B$70</f>
        <v>-4000</v>
      </c>
      <c r="VL90" s="0" t="n">
        <f aca="false">-$B$70</f>
        <v>-4000</v>
      </c>
      <c r="VM90" s="0" t="n">
        <f aca="false">-$B$70</f>
        <v>-4000</v>
      </c>
      <c r="VN90" s="0" t="n">
        <f aca="false">-$B$70</f>
        <v>-4000</v>
      </c>
      <c r="VO90" s="0" t="n">
        <f aca="false">-$B$70</f>
        <v>-4000</v>
      </c>
      <c r="VP90" s="0" t="n">
        <f aca="false">-$B$70</f>
        <v>-4000</v>
      </c>
      <c r="VQ90" s="0" t="n">
        <f aca="false">-$B$70</f>
        <v>-4000</v>
      </c>
      <c r="VR90" s="0" t="n">
        <f aca="false">-$B$70</f>
        <v>-4000</v>
      </c>
      <c r="VS90" s="0" t="n">
        <f aca="false">-$B$70</f>
        <v>-4000</v>
      </c>
      <c r="VT90" s="0" t="n">
        <f aca="false">-$B$70</f>
        <v>-4000</v>
      </c>
      <c r="VU90" s="0" t="n">
        <f aca="false">-$B$70</f>
        <v>-4000</v>
      </c>
      <c r="VV90" s="0" t="n">
        <f aca="false">-$B$70</f>
        <v>-4000</v>
      </c>
      <c r="VW90" s="0" t="n">
        <f aca="false">-$B$70</f>
        <v>-4000</v>
      </c>
      <c r="VX90" s="0" t="n">
        <f aca="false">-$B$70</f>
        <v>-4000</v>
      </c>
      <c r="VY90" s="0" t="n">
        <f aca="false">-$B$70</f>
        <v>-4000</v>
      </c>
      <c r="VZ90" s="0" t="n">
        <f aca="false">-$B$70</f>
        <v>-4000</v>
      </c>
      <c r="WA90" s="0" t="n">
        <f aca="false">-$B$70</f>
        <v>-4000</v>
      </c>
      <c r="WB90" s="0" t="n">
        <f aca="false">-$B$70</f>
        <v>-4000</v>
      </c>
      <c r="WC90" s="0" t="n">
        <f aca="false">-$B$70</f>
        <v>-4000</v>
      </c>
      <c r="WD90" s="0" t="n">
        <f aca="false">-$B$70</f>
        <v>-4000</v>
      </c>
      <c r="WE90" s="0" t="n">
        <f aca="false">-$B$70</f>
        <v>-4000</v>
      </c>
      <c r="WF90" s="0" t="n">
        <f aca="false">-$B$70</f>
        <v>-4000</v>
      </c>
      <c r="WG90" s="0" t="n">
        <f aca="false">-$B$70</f>
        <v>-4000</v>
      </c>
      <c r="WH90" s="0" t="n">
        <f aca="false">-$B$70</f>
        <v>-4000</v>
      </c>
      <c r="WI90" s="0" t="n">
        <f aca="false">-$B$70</f>
        <v>-4000</v>
      </c>
      <c r="WJ90" s="0" t="n">
        <f aca="false">-$B$70</f>
        <v>-4000</v>
      </c>
      <c r="WK90" s="0" t="n">
        <f aca="false">-$B$70</f>
        <v>-4000</v>
      </c>
      <c r="WL90" s="0" t="n">
        <f aca="false">-$B$70</f>
        <v>-4000</v>
      </c>
      <c r="WM90" s="0" t="n">
        <f aca="false">-$B$70</f>
        <v>-4000</v>
      </c>
      <c r="WN90" s="0" t="n">
        <f aca="false">-$B$70</f>
        <v>-4000</v>
      </c>
      <c r="WO90" s="0" t="n">
        <f aca="false">-$B$70</f>
        <v>-4000</v>
      </c>
      <c r="WP90" s="0" t="n">
        <f aca="false">-$B$70</f>
        <v>-4000</v>
      </c>
      <c r="WQ90" s="0" t="n">
        <f aca="false">-$B$70</f>
        <v>-4000</v>
      </c>
      <c r="WR90" s="0" t="n">
        <f aca="false">-$B$70</f>
        <v>-4000</v>
      </c>
      <c r="WS90" s="0" t="n">
        <f aca="false">-$B$70</f>
        <v>-4000</v>
      </c>
      <c r="WT90" s="0" t="n">
        <f aca="false">-$B$70</f>
        <v>-4000</v>
      </c>
      <c r="WU90" s="0" t="n">
        <f aca="false">-$B$70</f>
        <v>-4000</v>
      </c>
      <c r="WV90" s="0" t="n">
        <f aca="false">-$B$70</f>
        <v>-4000</v>
      </c>
      <c r="WW90" s="0" t="n">
        <f aca="false">-$B$70</f>
        <v>-4000</v>
      </c>
      <c r="WX90" s="0" t="n">
        <f aca="false">-$B$70</f>
        <v>-4000</v>
      </c>
      <c r="WY90" s="0" t="n">
        <f aca="false">-$B$70</f>
        <v>-4000</v>
      </c>
      <c r="WZ90" s="0" t="n">
        <f aca="false">-$B$70</f>
        <v>-4000</v>
      </c>
      <c r="XA90" s="0" t="n">
        <f aca="false">-$B$70</f>
        <v>-4000</v>
      </c>
      <c r="XB90" s="0" t="n">
        <f aca="false">-$B$70</f>
        <v>-4000</v>
      </c>
      <c r="XC90" s="0" t="n">
        <f aca="false">-$B$70</f>
        <v>-4000</v>
      </c>
      <c r="XD90" s="0" t="n">
        <f aca="false">-$B$70</f>
        <v>-4000</v>
      </c>
      <c r="XE90" s="0" t="n">
        <f aca="false">-$B$70</f>
        <v>-4000</v>
      </c>
      <c r="XF90" s="0" t="n">
        <f aca="false">-$B$70</f>
        <v>-4000</v>
      </c>
      <c r="XG90" s="0" t="n">
        <f aca="false">-$B$70</f>
        <v>-4000</v>
      </c>
      <c r="XH90" s="0" t="n">
        <f aca="false">-$B$70</f>
        <v>-4000</v>
      </c>
      <c r="XI90" s="0" t="n">
        <f aca="false">-$B$70</f>
        <v>-4000</v>
      </c>
      <c r="XJ90" s="0" t="n">
        <f aca="false">-$B$70</f>
        <v>-4000</v>
      </c>
      <c r="XK90" s="0" t="n">
        <f aca="false">-$B$70</f>
        <v>-4000</v>
      </c>
      <c r="XL90" s="0" t="n">
        <f aca="false">-$B$70</f>
        <v>-4000</v>
      </c>
      <c r="XM90" s="0" t="n">
        <f aca="false">-$B$70</f>
        <v>-4000</v>
      </c>
      <c r="XN90" s="0" t="n">
        <f aca="false">-$B$70</f>
        <v>-4000</v>
      </c>
      <c r="XO90" s="0" t="n">
        <f aca="false">-$B$70</f>
        <v>-4000</v>
      </c>
      <c r="XP90" s="0" t="n">
        <f aca="false">-$B$70</f>
        <v>-4000</v>
      </c>
      <c r="XQ90" s="0" t="n">
        <f aca="false">-$B$70</f>
        <v>-4000</v>
      </c>
      <c r="XR90" s="0" t="n">
        <f aca="false">-$B$70</f>
        <v>-4000</v>
      </c>
      <c r="XS90" s="0" t="n">
        <f aca="false">-$B$70</f>
        <v>-4000</v>
      </c>
      <c r="XT90" s="0" t="n">
        <f aca="false">-$B$70</f>
        <v>-4000</v>
      </c>
      <c r="XU90" s="0" t="n">
        <f aca="false">-$B$70</f>
        <v>-4000</v>
      </c>
      <c r="XV90" s="0" t="n">
        <f aca="false">-$B$70</f>
        <v>-4000</v>
      </c>
      <c r="XW90" s="0" t="n">
        <f aca="false">-$B$70</f>
        <v>-4000</v>
      </c>
      <c r="XX90" s="0" t="n">
        <f aca="false">-$B$70</f>
        <v>-4000</v>
      </c>
      <c r="XY90" s="0" t="n">
        <f aca="false">-$B$70</f>
        <v>-4000</v>
      </c>
      <c r="XZ90" s="0" t="n">
        <f aca="false">-$B$70</f>
        <v>-4000</v>
      </c>
      <c r="YA90" s="0" t="n">
        <f aca="false">-$B$70</f>
        <v>-4000</v>
      </c>
      <c r="YB90" s="0" t="n">
        <f aca="false">-$B$70</f>
        <v>-4000</v>
      </c>
      <c r="YC90" s="0" t="n">
        <f aca="false">-$B$70</f>
        <v>-4000</v>
      </c>
      <c r="YD90" s="0" t="n">
        <f aca="false">-$B$70</f>
        <v>-4000</v>
      </c>
      <c r="YE90" s="0" t="n">
        <f aca="false">-$B$70</f>
        <v>-4000</v>
      </c>
      <c r="YF90" s="0" t="n">
        <f aca="false">-$B$70</f>
        <v>-4000</v>
      </c>
      <c r="YG90" s="0" t="n">
        <f aca="false">-$B$70</f>
        <v>-4000</v>
      </c>
      <c r="YH90" s="0" t="n">
        <f aca="false">-$B$70</f>
        <v>-4000</v>
      </c>
      <c r="YI90" s="0" t="n">
        <f aca="false">-$B$70</f>
        <v>-4000</v>
      </c>
      <c r="YJ90" s="0" t="n">
        <f aca="false">-$B$70</f>
        <v>-4000</v>
      </c>
      <c r="YK90" s="0" t="n">
        <f aca="false">-$B$70</f>
        <v>-4000</v>
      </c>
      <c r="YL90" s="0" t="n">
        <f aca="false">-$B$70</f>
        <v>-4000</v>
      </c>
      <c r="YM90" s="0" t="n">
        <f aca="false">-$B$70</f>
        <v>-4000</v>
      </c>
      <c r="YN90" s="0" t="n">
        <f aca="false">-$B$70</f>
        <v>-4000</v>
      </c>
      <c r="YO90" s="0" t="n">
        <f aca="false">-$B$70</f>
        <v>-4000</v>
      </c>
      <c r="YP90" s="0" t="n">
        <f aca="false">-$B$70</f>
        <v>-4000</v>
      </c>
      <c r="YQ90" s="0" t="n">
        <f aca="false">-$B$70</f>
        <v>-4000</v>
      </c>
      <c r="YR90" s="0" t="n">
        <f aca="false">-$B$70</f>
        <v>-4000</v>
      </c>
      <c r="YS90" s="0" t="n">
        <f aca="false">-$B$70</f>
        <v>-4000</v>
      </c>
      <c r="YT90" s="0" t="n">
        <f aca="false">-$B$70</f>
        <v>-4000</v>
      </c>
      <c r="YU90" s="0" t="n">
        <f aca="false">-$B$70</f>
        <v>-4000</v>
      </c>
      <c r="YV90" s="0" t="n">
        <f aca="false">-$B$70</f>
        <v>-4000</v>
      </c>
      <c r="YW90" s="0" t="n">
        <f aca="false">-$B$70</f>
        <v>-4000</v>
      </c>
      <c r="YX90" s="0" t="n">
        <f aca="false">-$B$70</f>
        <v>-4000</v>
      </c>
      <c r="YY90" s="0" t="n">
        <f aca="false">-$B$70</f>
        <v>-4000</v>
      </c>
      <c r="YZ90" s="0" t="n">
        <f aca="false">-$B$70</f>
        <v>-4000</v>
      </c>
      <c r="ZA90" s="0" t="n">
        <f aca="false">-$B$70</f>
        <v>-4000</v>
      </c>
      <c r="ZB90" s="0" t="n">
        <f aca="false">-$B$70</f>
        <v>-4000</v>
      </c>
      <c r="ZC90" s="0" t="n">
        <f aca="false">-$B$70</f>
        <v>-4000</v>
      </c>
      <c r="ZD90" s="0" t="n">
        <f aca="false">-$B$70</f>
        <v>-4000</v>
      </c>
      <c r="ZE90" s="0" t="n">
        <f aca="false">-$B$70</f>
        <v>-4000</v>
      </c>
      <c r="ZF90" s="0" t="n">
        <f aca="false">-$B$70</f>
        <v>-4000</v>
      </c>
      <c r="ZG90" s="0" t="n">
        <f aca="false">-$B$70</f>
        <v>-4000</v>
      </c>
      <c r="ZH90" s="0" t="n">
        <f aca="false">-$B$70</f>
        <v>-4000</v>
      </c>
      <c r="ZI90" s="0" t="n">
        <f aca="false">-$B$70</f>
        <v>-4000</v>
      </c>
      <c r="ZJ90" s="0" t="n">
        <f aca="false">-$B$70</f>
        <v>-4000</v>
      </c>
      <c r="ZK90" s="0" t="n">
        <f aca="false">-$B$70</f>
        <v>-4000</v>
      </c>
      <c r="ZL90" s="0" t="n">
        <f aca="false">-$B$70</f>
        <v>-4000</v>
      </c>
      <c r="ZM90" s="0" t="n">
        <f aca="false">-$B$70</f>
        <v>-4000</v>
      </c>
      <c r="ZN90" s="0" t="n">
        <f aca="false">-$B$70</f>
        <v>-4000</v>
      </c>
      <c r="ZO90" s="0" t="n">
        <f aca="false">-$B$70</f>
        <v>-4000</v>
      </c>
      <c r="ZP90" s="0" t="n">
        <f aca="false">-$B$70</f>
        <v>-4000</v>
      </c>
      <c r="ZQ90" s="0" t="n">
        <f aca="false">-$B$70</f>
        <v>-4000</v>
      </c>
      <c r="ZR90" s="0" t="n">
        <f aca="false">-$B$70</f>
        <v>-4000</v>
      </c>
      <c r="ZS90" s="0" t="n">
        <f aca="false">-$B$70</f>
        <v>-4000</v>
      </c>
      <c r="ZT90" s="0" t="n">
        <f aca="false">-$B$70</f>
        <v>-4000</v>
      </c>
      <c r="ZU90" s="0" t="n">
        <f aca="false">-$B$70</f>
        <v>-4000</v>
      </c>
      <c r="ZV90" s="0" t="n">
        <f aca="false">-$B$70</f>
        <v>-4000</v>
      </c>
      <c r="ZW90" s="0" t="n">
        <f aca="false">-$B$70</f>
        <v>-4000</v>
      </c>
      <c r="ZX90" s="0" t="n">
        <f aca="false">-$B$70</f>
        <v>-4000</v>
      </c>
      <c r="ZY90" s="0" t="n">
        <f aca="false">-$B$70</f>
        <v>-4000</v>
      </c>
      <c r="ZZ90" s="0" t="n">
        <f aca="false">-$B$70</f>
        <v>-4000</v>
      </c>
      <c r="AAA90" s="0" t="n">
        <f aca="false">-$B$70</f>
        <v>-4000</v>
      </c>
      <c r="AAB90" s="0" t="n">
        <f aca="false">-$B$70</f>
        <v>-4000</v>
      </c>
      <c r="AAC90" s="0" t="n">
        <f aca="false">-$B$70</f>
        <v>-4000</v>
      </c>
      <c r="AAD90" s="0" t="n">
        <f aca="false">-$B$70</f>
        <v>-4000</v>
      </c>
      <c r="AAE90" s="0" t="n">
        <f aca="false">-$B$70</f>
        <v>-4000</v>
      </c>
      <c r="AAF90" s="0" t="n">
        <f aca="false">-$B$70</f>
        <v>-4000</v>
      </c>
      <c r="AAG90" s="0" t="n">
        <f aca="false">-$B$70</f>
        <v>-4000</v>
      </c>
      <c r="AAH90" s="0" t="n">
        <f aca="false">-$B$70</f>
        <v>-4000</v>
      </c>
      <c r="AAI90" s="0" t="n">
        <f aca="false">-$B$70</f>
        <v>-4000</v>
      </c>
      <c r="AAJ90" s="0" t="n">
        <f aca="false">-$B$70</f>
        <v>-4000</v>
      </c>
      <c r="AAK90" s="0" t="n">
        <f aca="false">-$B$70</f>
        <v>-4000</v>
      </c>
      <c r="AAL90" s="0" t="n">
        <f aca="false">-$B$70</f>
        <v>-4000</v>
      </c>
      <c r="AAM90" s="0" t="n">
        <f aca="false">-$B$70</f>
        <v>-4000</v>
      </c>
      <c r="AAN90" s="0" t="n">
        <f aca="false">-$B$70</f>
        <v>-4000</v>
      </c>
      <c r="AAO90" s="0" t="n">
        <f aca="false">-$B$70</f>
        <v>-4000</v>
      </c>
      <c r="AAP90" s="0" t="n">
        <f aca="false">-$B$70</f>
        <v>-4000</v>
      </c>
      <c r="AAQ90" s="0" t="n">
        <f aca="false">-$B$70</f>
        <v>-4000</v>
      </c>
      <c r="AAR90" s="0" t="n">
        <f aca="false">-$B$70</f>
        <v>-4000</v>
      </c>
      <c r="AAS90" s="0" t="n">
        <f aca="false">-$B$70</f>
        <v>-4000</v>
      </c>
      <c r="AAT90" s="0" t="n">
        <f aca="false">-$B$70</f>
        <v>-4000</v>
      </c>
      <c r="AAU90" s="0" t="n">
        <f aca="false">-$B$70</f>
        <v>-4000</v>
      </c>
      <c r="AAV90" s="0" t="n">
        <f aca="false">-$B$70</f>
        <v>-4000</v>
      </c>
      <c r="AAW90" s="0" t="n">
        <f aca="false">-$B$70</f>
        <v>-4000</v>
      </c>
      <c r="AAX90" s="0" t="n">
        <f aca="false">-$B$70</f>
        <v>-4000</v>
      </c>
      <c r="AAY90" s="0" t="n">
        <f aca="false">-$B$70</f>
        <v>-4000</v>
      </c>
      <c r="AAZ90" s="0" t="n">
        <f aca="false">-$B$70</f>
        <v>-4000</v>
      </c>
      <c r="ABA90" s="0" t="n">
        <f aca="false">-$B$70</f>
        <v>-4000</v>
      </c>
      <c r="ABB90" s="0" t="n">
        <f aca="false">-$B$70</f>
        <v>-4000</v>
      </c>
      <c r="ABC90" s="0" t="n">
        <f aca="false">-$B$70</f>
        <v>-4000</v>
      </c>
      <c r="ABD90" s="0" t="n">
        <f aca="false">-$B$70</f>
        <v>-4000</v>
      </c>
      <c r="ABE90" s="0" t="n">
        <f aca="false">-$B$70</f>
        <v>-4000</v>
      </c>
      <c r="ABF90" s="0" t="n">
        <f aca="false">-$B$70</f>
        <v>-4000</v>
      </c>
      <c r="ABG90" s="0" t="n">
        <f aca="false">-$B$70</f>
        <v>-4000</v>
      </c>
      <c r="ABH90" s="0" t="n">
        <f aca="false">-$B$70</f>
        <v>-4000</v>
      </c>
      <c r="ABI90" s="0" t="n">
        <f aca="false">-$B$70</f>
        <v>-4000</v>
      </c>
      <c r="ABJ90" s="0" t="n">
        <f aca="false">-$B$70</f>
        <v>-4000</v>
      </c>
      <c r="ABK90" s="0" t="n">
        <f aca="false">-$B$70</f>
        <v>-4000</v>
      </c>
      <c r="ABL90" s="0" t="n">
        <f aca="false">-$B$70</f>
        <v>-4000</v>
      </c>
      <c r="ABM90" s="0" t="n">
        <f aca="false">-$B$70</f>
        <v>-4000</v>
      </c>
      <c r="ABN90" s="0" t="n">
        <f aca="false">-$B$70</f>
        <v>-4000</v>
      </c>
      <c r="ABO90" s="0" t="n">
        <f aca="false">-$B$70</f>
        <v>-4000</v>
      </c>
      <c r="ABP90" s="0" t="n">
        <f aca="false">-$B$70</f>
        <v>-4000</v>
      </c>
      <c r="ABQ90" s="0" t="n">
        <f aca="false">-$B$70</f>
        <v>-4000</v>
      </c>
      <c r="ABR90" s="0" t="n">
        <f aca="false">-$B$70</f>
        <v>-4000</v>
      </c>
      <c r="ABS90" s="0" t="n">
        <f aca="false">-$B$70</f>
        <v>-4000</v>
      </c>
      <c r="ABT90" s="0" t="n">
        <f aca="false">-$B$70</f>
        <v>-4000</v>
      </c>
      <c r="ABU90" s="0" t="n">
        <f aca="false">-$B$70</f>
        <v>-4000</v>
      </c>
      <c r="ABV90" s="0" t="n">
        <f aca="false">-$B$70</f>
        <v>-4000</v>
      </c>
      <c r="ABW90" s="0" t="n">
        <f aca="false">-$B$70</f>
        <v>-4000</v>
      </c>
      <c r="ABX90" s="0" t="n">
        <f aca="false">-$B$70</f>
        <v>-4000</v>
      </c>
      <c r="ABY90" s="0" t="n">
        <f aca="false">-$B$70</f>
        <v>-4000</v>
      </c>
      <c r="ABZ90" s="0" t="n">
        <f aca="false">-$B$70</f>
        <v>-4000</v>
      </c>
      <c r="ACA90" s="0" t="n">
        <f aca="false">-$B$70</f>
        <v>-4000</v>
      </c>
      <c r="ACB90" s="0" t="n">
        <f aca="false">-$B$70</f>
        <v>-4000</v>
      </c>
      <c r="ACC90" s="0" t="n">
        <f aca="false">-$B$70</f>
        <v>-4000</v>
      </c>
      <c r="ACD90" s="0" t="n">
        <f aca="false">-$B$70</f>
        <v>-4000</v>
      </c>
      <c r="ACE90" s="0" t="n">
        <f aca="false">-$B$70</f>
        <v>-4000</v>
      </c>
      <c r="ACF90" s="0" t="n">
        <f aca="false">-$B$70</f>
        <v>-4000</v>
      </c>
      <c r="ACG90" s="0" t="n">
        <f aca="false">-$B$70</f>
        <v>-4000</v>
      </c>
      <c r="ACH90" s="0" t="n">
        <f aca="false">-$B$70</f>
        <v>-4000</v>
      </c>
      <c r="ACI90" s="0" t="n">
        <f aca="false">-$B$70</f>
        <v>-4000</v>
      </c>
      <c r="ACJ90" s="0" t="n">
        <f aca="false">-$B$70</f>
        <v>-4000</v>
      </c>
      <c r="ACK90" s="0" t="n">
        <f aca="false">-$B$70</f>
        <v>-4000</v>
      </c>
      <c r="ACL90" s="0" t="n">
        <f aca="false">-$B$70</f>
        <v>-4000</v>
      </c>
      <c r="ACM90" s="0" t="n">
        <f aca="false">-$B$70</f>
        <v>-4000</v>
      </c>
      <c r="ACN90" s="0" t="n">
        <f aca="false">-$B$70</f>
        <v>-4000</v>
      </c>
      <c r="ACO90" s="0" t="n">
        <f aca="false">-$B$70</f>
        <v>-4000</v>
      </c>
      <c r="ACP90" s="0" t="n">
        <f aca="false">-$B$70</f>
        <v>-4000</v>
      </c>
      <c r="ACQ90" s="0" t="n">
        <f aca="false">-$B$70</f>
        <v>-4000</v>
      </c>
      <c r="ACR90" s="0" t="n">
        <f aca="false">-$B$70</f>
        <v>-4000</v>
      </c>
      <c r="ACS90" s="0" t="n">
        <f aca="false">-$B$70</f>
        <v>-4000</v>
      </c>
      <c r="ACT90" s="0" t="n">
        <f aca="false">-$B$70</f>
        <v>-4000</v>
      </c>
      <c r="ACU90" s="0" t="n">
        <f aca="false">-$B$70</f>
        <v>-4000</v>
      </c>
      <c r="ACV90" s="0" t="n">
        <f aca="false">-$B$70</f>
        <v>-4000</v>
      </c>
      <c r="ACW90" s="0" t="n">
        <f aca="false">-$B$70</f>
        <v>-4000</v>
      </c>
      <c r="ACX90" s="0" t="n">
        <f aca="false">-$B$70</f>
        <v>-4000</v>
      </c>
      <c r="ACY90" s="0" t="n">
        <f aca="false">-$B$70</f>
        <v>-4000</v>
      </c>
      <c r="ACZ90" s="0" t="n">
        <f aca="false">-$B$70</f>
        <v>-4000</v>
      </c>
      <c r="ADA90" s="0" t="n">
        <f aca="false">-$B$70</f>
        <v>-4000</v>
      </c>
      <c r="ADB90" s="0" t="n">
        <f aca="false">-$B$70</f>
        <v>-4000</v>
      </c>
      <c r="ADC90" s="0" t="n">
        <f aca="false">-$B$70</f>
        <v>-4000</v>
      </c>
      <c r="ADD90" s="0" t="n">
        <f aca="false">-$B$70</f>
        <v>-4000</v>
      </c>
      <c r="ADE90" s="0" t="n">
        <f aca="false">-$B$70</f>
        <v>-4000</v>
      </c>
      <c r="ADF90" s="0" t="n">
        <f aca="false">-$B$70</f>
        <v>-4000</v>
      </c>
      <c r="ADG90" s="0" t="n">
        <f aca="false">-$B$70</f>
        <v>-4000</v>
      </c>
      <c r="ADH90" s="0" t="n">
        <f aca="false">-$B$70</f>
        <v>-4000</v>
      </c>
      <c r="ADI90" s="0" t="n">
        <f aca="false">-$B$70</f>
        <v>-4000</v>
      </c>
      <c r="ADJ90" s="0" t="n">
        <f aca="false">-$B$70</f>
        <v>-4000</v>
      </c>
      <c r="ADK90" s="0" t="n">
        <f aca="false">-$B$70</f>
        <v>-4000</v>
      </c>
      <c r="ADL90" s="0" t="n">
        <f aca="false">-$B$70</f>
        <v>-4000</v>
      </c>
      <c r="ADM90" s="0" t="n">
        <f aca="false">-$B$70</f>
        <v>-4000</v>
      </c>
      <c r="ADN90" s="0" t="n">
        <f aca="false">-$B$70</f>
        <v>-4000</v>
      </c>
      <c r="ADO90" s="0" t="n">
        <f aca="false">-$B$70</f>
        <v>-4000</v>
      </c>
      <c r="ADP90" s="0" t="n">
        <f aca="false">-$B$70</f>
        <v>-4000</v>
      </c>
      <c r="ADQ90" s="0" t="n">
        <f aca="false">-$B$70</f>
        <v>-4000</v>
      </c>
      <c r="ADR90" s="0" t="n">
        <f aca="false">-$B$70</f>
        <v>-4000</v>
      </c>
      <c r="ADS90" s="0" t="n">
        <f aca="false">-$B$70</f>
        <v>-4000</v>
      </c>
      <c r="ADT90" s="0" t="n">
        <f aca="false">-$B$70</f>
        <v>-4000</v>
      </c>
      <c r="ADU90" s="0" t="n">
        <f aca="false">-$B$70</f>
        <v>-4000</v>
      </c>
      <c r="ADV90" s="0" t="n">
        <f aca="false">-$B$70</f>
        <v>-4000</v>
      </c>
      <c r="ADW90" s="0" t="n">
        <f aca="false">-$B$70</f>
        <v>-4000</v>
      </c>
      <c r="ADX90" s="0" t="n">
        <f aca="false">-$B$70</f>
        <v>-4000</v>
      </c>
      <c r="ADY90" s="0" t="n">
        <f aca="false">-$B$70</f>
        <v>-4000</v>
      </c>
      <c r="ADZ90" s="0" t="n">
        <f aca="false">-$B$70</f>
        <v>-4000</v>
      </c>
      <c r="AEA90" s="0" t="n">
        <f aca="false">-$B$70</f>
        <v>-4000</v>
      </c>
      <c r="AEB90" s="0" t="n">
        <f aca="false">-$B$70</f>
        <v>-4000</v>
      </c>
      <c r="AEC90" s="0" t="n">
        <f aca="false">-$B$70</f>
        <v>-4000</v>
      </c>
      <c r="AED90" s="0" t="n">
        <f aca="false">-$B$70</f>
        <v>-4000</v>
      </c>
      <c r="AEE90" s="0" t="n">
        <f aca="false">-$B$70</f>
        <v>-4000</v>
      </c>
      <c r="AEF90" s="0" t="n">
        <f aca="false">-$B$70</f>
        <v>-4000</v>
      </c>
      <c r="AEG90" s="0" t="n">
        <f aca="false">-$B$70</f>
        <v>-4000</v>
      </c>
      <c r="AEH90" s="0" t="n">
        <f aca="false">-$B$70</f>
        <v>-4000</v>
      </c>
      <c r="AEI90" s="0" t="n">
        <f aca="false">-$B$70</f>
        <v>-4000</v>
      </c>
      <c r="AEJ90" s="0" t="n">
        <f aca="false">-$B$70</f>
        <v>-4000</v>
      </c>
      <c r="AEK90" s="0" t="n">
        <f aca="false">-$B$70</f>
        <v>-4000</v>
      </c>
      <c r="AEL90" s="0" t="n">
        <f aca="false">-$B$70</f>
        <v>-4000</v>
      </c>
      <c r="AEM90" s="0" t="n">
        <f aca="false">-$B$70</f>
        <v>-4000</v>
      </c>
      <c r="AEN90" s="0" t="n">
        <f aca="false">-$B$70</f>
        <v>-4000</v>
      </c>
      <c r="AEO90" s="0" t="n">
        <f aca="false">-$B$70</f>
        <v>-4000</v>
      </c>
      <c r="AEP90" s="0" t="n">
        <f aca="false">-$B$70</f>
        <v>-4000</v>
      </c>
      <c r="AEQ90" s="0" t="n">
        <f aca="false">-$B$70</f>
        <v>-4000</v>
      </c>
      <c r="AER90" s="0" t="n">
        <f aca="false">-$B$70</f>
        <v>-4000</v>
      </c>
      <c r="AES90" s="0" t="n">
        <f aca="false">-$B$70</f>
        <v>-4000</v>
      </c>
      <c r="AET90" s="0" t="n">
        <f aca="false">-$B$70</f>
        <v>-4000</v>
      </c>
      <c r="AEU90" s="0" t="n">
        <f aca="false">-$B$70</f>
        <v>-4000</v>
      </c>
      <c r="AEV90" s="0" t="n">
        <f aca="false">-$B$70</f>
        <v>-4000</v>
      </c>
      <c r="AEW90" s="0" t="n">
        <f aca="false">-$B$70</f>
        <v>-4000</v>
      </c>
      <c r="AEX90" s="0" t="n">
        <f aca="false">-$B$70</f>
        <v>-4000</v>
      </c>
      <c r="AEY90" s="0" t="n">
        <f aca="false">-$B$70</f>
        <v>-4000</v>
      </c>
      <c r="AEZ90" s="0" t="n">
        <f aca="false">-$B$70</f>
        <v>-4000</v>
      </c>
      <c r="AFA90" s="0" t="n">
        <f aca="false">-$B$70</f>
        <v>-4000</v>
      </c>
      <c r="AFB90" s="0" t="n">
        <f aca="false">-$B$70</f>
        <v>-4000</v>
      </c>
      <c r="AFC90" s="0" t="n">
        <f aca="false">-$B$70</f>
        <v>-4000</v>
      </c>
      <c r="AFD90" s="0" t="n">
        <f aca="false">-$B$70</f>
        <v>-4000</v>
      </c>
      <c r="AFE90" s="0" t="n">
        <f aca="false">-$B$70</f>
        <v>-4000</v>
      </c>
      <c r="AFF90" s="0" t="n">
        <f aca="false">-$B$70</f>
        <v>-4000</v>
      </c>
      <c r="AFG90" s="0" t="n">
        <f aca="false">-$B$70</f>
        <v>-4000</v>
      </c>
      <c r="AFH90" s="0" t="n">
        <f aca="false">-$B$70</f>
        <v>-4000</v>
      </c>
      <c r="AFI90" s="0" t="n">
        <f aca="false">-$B$70</f>
        <v>-4000</v>
      </c>
      <c r="AFJ90" s="0" t="n">
        <f aca="false">-$B$70</f>
        <v>-4000</v>
      </c>
      <c r="AFK90" s="0" t="n">
        <f aca="false">-$B$70</f>
        <v>-4000</v>
      </c>
      <c r="AFL90" s="0" t="n">
        <f aca="false">-$B$70</f>
        <v>-4000</v>
      </c>
      <c r="AFM90" s="0" t="n">
        <f aca="false">-$B$70</f>
        <v>-4000</v>
      </c>
      <c r="AFN90" s="0" t="n">
        <f aca="false">-$B$70</f>
        <v>-4000</v>
      </c>
      <c r="AFO90" s="0" t="n">
        <f aca="false">-$B$70</f>
        <v>-4000</v>
      </c>
      <c r="AFP90" s="0" t="n">
        <f aca="false">-$B$70</f>
        <v>-4000</v>
      </c>
      <c r="AFQ90" s="0" t="n">
        <f aca="false">-$B$70</f>
        <v>-4000</v>
      </c>
      <c r="AFR90" s="0" t="n">
        <f aca="false">-$B$70</f>
        <v>-4000</v>
      </c>
      <c r="AFS90" s="0" t="n">
        <f aca="false">-$B$70</f>
        <v>-4000</v>
      </c>
      <c r="AFT90" s="0" t="n">
        <f aca="false">-$B$70</f>
        <v>-4000</v>
      </c>
      <c r="AFU90" s="0" t="n">
        <f aca="false">-$B$70</f>
        <v>-4000</v>
      </c>
      <c r="AFV90" s="0" t="n">
        <f aca="false">-$B$70</f>
        <v>-4000</v>
      </c>
      <c r="AFW90" s="0" t="n">
        <f aca="false">-$B$70</f>
        <v>-4000</v>
      </c>
      <c r="AFX90" s="0" t="n">
        <f aca="false">-$B$70</f>
        <v>-4000</v>
      </c>
      <c r="AFY90" s="0" t="n">
        <f aca="false">-$B$70</f>
        <v>-4000</v>
      </c>
      <c r="AFZ90" s="0" t="n">
        <f aca="false">-$B$70</f>
        <v>-4000</v>
      </c>
      <c r="AGA90" s="0" t="n">
        <f aca="false">-$B$70</f>
        <v>-4000</v>
      </c>
      <c r="AGB90" s="0" t="n">
        <f aca="false">-$B$70</f>
        <v>-4000</v>
      </c>
      <c r="AGC90" s="0" t="n">
        <f aca="false">-$B$70</f>
        <v>-4000</v>
      </c>
      <c r="AGD90" s="0" t="n">
        <f aca="false">-$B$70</f>
        <v>-4000</v>
      </c>
      <c r="AGE90" s="0" t="n">
        <f aca="false">-$B$70</f>
        <v>-4000</v>
      </c>
      <c r="AGF90" s="0" t="n">
        <f aca="false">-$B$70</f>
        <v>-4000</v>
      </c>
      <c r="AGG90" s="0" t="n">
        <f aca="false">-$B$70</f>
        <v>-4000</v>
      </c>
      <c r="AGH90" s="0" t="n">
        <f aca="false">-$B$70</f>
        <v>-4000</v>
      </c>
      <c r="AGI90" s="0" t="n">
        <f aca="false">-$B$70</f>
        <v>-4000</v>
      </c>
      <c r="AGJ90" s="0" t="n">
        <f aca="false">-$B$70</f>
        <v>-4000</v>
      </c>
      <c r="AGK90" s="0" t="n">
        <f aca="false">-$B$70</f>
        <v>-4000</v>
      </c>
      <c r="AGL90" s="0" t="n">
        <f aca="false">-$B$70</f>
        <v>-4000</v>
      </c>
      <c r="AGM90" s="0" t="n">
        <f aca="false">-$B$70</f>
        <v>-4000</v>
      </c>
      <c r="AGN90" s="0" t="n">
        <f aca="false">-$B$70</f>
        <v>-4000</v>
      </c>
      <c r="AGO90" s="0" t="n">
        <f aca="false">-$B$70</f>
        <v>-4000</v>
      </c>
      <c r="AGP90" s="0" t="n">
        <f aca="false">-$B$70</f>
        <v>-4000</v>
      </c>
      <c r="AGQ90" s="0" t="n">
        <f aca="false">-$B$70</f>
        <v>-4000</v>
      </c>
      <c r="AGR90" s="0" t="n">
        <f aca="false">-$B$70</f>
        <v>-4000</v>
      </c>
      <c r="AGS90" s="0" t="n">
        <f aca="false">-$B$70</f>
        <v>-4000</v>
      </c>
      <c r="AGT90" s="0" t="n">
        <f aca="false">-$B$70</f>
        <v>-4000</v>
      </c>
      <c r="AGU90" s="0" t="n">
        <f aca="false">-$B$70</f>
        <v>-4000</v>
      </c>
      <c r="AGV90" s="0" t="n">
        <f aca="false">-$B$70</f>
        <v>-4000</v>
      </c>
      <c r="AGW90" s="0" t="n">
        <f aca="false">-$B$70</f>
        <v>-4000</v>
      </c>
      <c r="AGX90" s="0" t="n">
        <f aca="false">-$B$70</f>
        <v>-4000</v>
      </c>
      <c r="AGY90" s="0" t="n">
        <f aca="false">-$B$70</f>
        <v>-4000</v>
      </c>
      <c r="AGZ90" s="0" t="n">
        <f aca="false">-$B$70</f>
        <v>-4000</v>
      </c>
      <c r="AHA90" s="0" t="n">
        <f aca="false">-$B$70</f>
        <v>-4000</v>
      </c>
      <c r="AHB90" s="0" t="n">
        <f aca="false">-$B$70</f>
        <v>-4000</v>
      </c>
      <c r="AHC90" s="0" t="n">
        <f aca="false">-$B$70</f>
        <v>-4000</v>
      </c>
      <c r="AHD90" s="0" t="n">
        <f aca="false">-$B$70</f>
        <v>-4000</v>
      </c>
      <c r="AHE90" s="0" t="n">
        <f aca="false">-$B$70</f>
        <v>-4000</v>
      </c>
      <c r="AHF90" s="0" t="n">
        <f aca="false">-$B$70</f>
        <v>-4000</v>
      </c>
      <c r="AHG90" s="0" t="n">
        <f aca="false">-$B$70</f>
        <v>-4000</v>
      </c>
      <c r="AHH90" s="0" t="n">
        <f aca="false">-$B$70</f>
        <v>-4000</v>
      </c>
      <c r="AHI90" s="0" t="n">
        <f aca="false">-$B$70</f>
        <v>-4000</v>
      </c>
      <c r="AHJ90" s="0" t="n">
        <f aca="false">-$B$70</f>
        <v>-4000</v>
      </c>
      <c r="AHK90" s="0" t="n">
        <f aca="false">-$B$70</f>
        <v>-4000</v>
      </c>
      <c r="AHL90" s="0" t="n">
        <f aca="false">-$B$70</f>
        <v>-4000</v>
      </c>
      <c r="AHM90" s="0" t="n">
        <f aca="false">-$B$70</f>
        <v>-4000</v>
      </c>
      <c r="AHN90" s="0" t="n">
        <f aca="false">-$B$70</f>
        <v>-4000</v>
      </c>
      <c r="AHO90" s="0" t="n">
        <f aca="false">-$B$70</f>
        <v>-4000</v>
      </c>
      <c r="AHP90" s="0" t="n">
        <f aca="false">-$B$70</f>
        <v>-4000</v>
      </c>
      <c r="AHQ90" s="0" t="n">
        <f aca="false">-$B$70</f>
        <v>-4000</v>
      </c>
      <c r="AHR90" s="0" t="n">
        <f aca="false">-$B$70</f>
        <v>-4000</v>
      </c>
      <c r="AHS90" s="0" t="n">
        <f aca="false">-$B$70</f>
        <v>-4000</v>
      </c>
      <c r="AHT90" s="0" t="n">
        <f aca="false">-$B$70</f>
        <v>-4000</v>
      </c>
      <c r="AHU90" s="0" t="n">
        <f aca="false">-$B$70</f>
        <v>-4000</v>
      </c>
      <c r="AHV90" s="0" t="n">
        <f aca="false">-$B$70</f>
        <v>-4000</v>
      </c>
      <c r="AHW90" s="0" t="n">
        <f aca="false">-$B$70</f>
        <v>-4000</v>
      </c>
      <c r="AHX90" s="0" t="n">
        <f aca="false">-$B$70</f>
        <v>-4000</v>
      </c>
      <c r="AHY90" s="0" t="n">
        <f aca="false">-$B$70</f>
        <v>-4000</v>
      </c>
      <c r="AHZ90" s="0" t="n">
        <f aca="false">-$B$70</f>
        <v>-4000</v>
      </c>
      <c r="AIA90" s="0" t="n">
        <f aca="false">-$B$70</f>
        <v>-4000</v>
      </c>
      <c r="AIB90" s="0" t="n">
        <f aca="false">-$B$70</f>
        <v>-4000</v>
      </c>
      <c r="AIC90" s="0" t="n">
        <f aca="false">-$B$70</f>
        <v>-4000</v>
      </c>
      <c r="AID90" s="0" t="n">
        <f aca="false">-$B$70</f>
        <v>-4000</v>
      </c>
      <c r="AIE90" s="0" t="n">
        <f aca="false">-$B$70</f>
        <v>-4000</v>
      </c>
      <c r="AIF90" s="0" t="n">
        <f aca="false">-$B$70</f>
        <v>-4000</v>
      </c>
      <c r="AIG90" s="0" t="n">
        <f aca="false">-$B$70</f>
        <v>-4000</v>
      </c>
      <c r="AIH90" s="0" t="n">
        <f aca="false">-$B$70</f>
        <v>-4000</v>
      </c>
      <c r="AII90" s="0" t="n">
        <f aca="false">-$B$70</f>
        <v>-4000</v>
      </c>
      <c r="AIJ90" s="0" t="n">
        <f aca="false">-$B$70</f>
        <v>-4000</v>
      </c>
      <c r="AIK90" s="0" t="n">
        <f aca="false">-$B$70</f>
        <v>-4000</v>
      </c>
      <c r="AIL90" s="0" t="n">
        <f aca="false">-$B$70</f>
        <v>-4000</v>
      </c>
      <c r="AIM90" s="0" t="n">
        <f aca="false">-$B$70</f>
        <v>-4000</v>
      </c>
      <c r="AIN90" s="0" t="n">
        <f aca="false">-$B$70</f>
        <v>-4000</v>
      </c>
      <c r="AIO90" s="0" t="n">
        <f aca="false">-$B$70</f>
        <v>-4000</v>
      </c>
      <c r="AIP90" s="0" t="n">
        <f aca="false">-$B$70</f>
        <v>-4000</v>
      </c>
      <c r="AIQ90" s="0" t="n">
        <f aca="false">-$B$70</f>
        <v>-4000</v>
      </c>
      <c r="AIR90" s="0" t="n">
        <f aca="false">-$B$70</f>
        <v>-4000</v>
      </c>
      <c r="AIS90" s="0" t="n">
        <f aca="false">-$B$70</f>
        <v>-4000</v>
      </c>
      <c r="AIT90" s="0" t="n">
        <f aca="false">-$B$70</f>
        <v>-4000</v>
      </c>
      <c r="AIU90" s="0" t="n">
        <f aca="false">-$B$70</f>
        <v>-4000</v>
      </c>
      <c r="AIV90" s="0" t="n">
        <f aca="false">-$B$70</f>
        <v>-4000</v>
      </c>
      <c r="AIW90" s="0" t="n">
        <f aca="false">-$B$70</f>
        <v>-4000</v>
      </c>
      <c r="AIX90" s="0" t="n">
        <f aca="false">-$B$70</f>
        <v>-4000</v>
      </c>
      <c r="AIY90" s="0" t="n">
        <f aca="false">-$B$70</f>
        <v>-4000</v>
      </c>
      <c r="AIZ90" s="0" t="n">
        <f aca="false">-$B$70</f>
        <v>-4000</v>
      </c>
      <c r="AJA90" s="0" t="n">
        <f aca="false">-$B$70</f>
        <v>-4000</v>
      </c>
      <c r="AJB90" s="0" t="n">
        <f aca="false">-$B$70</f>
        <v>-4000</v>
      </c>
      <c r="AJC90" s="0" t="n">
        <f aca="false">-$B$70</f>
        <v>-4000</v>
      </c>
      <c r="AJD90" s="0" t="n">
        <f aca="false">-$B$70</f>
        <v>-4000</v>
      </c>
      <c r="AJE90" s="0" t="n">
        <f aca="false">-$B$70</f>
        <v>-4000</v>
      </c>
      <c r="AJF90" s="0" t="n">
        <f aca="false">-$B$70</f>
        <v>-4000</v>
      </c>
      <c r="AJG90" s="0" t="n">
        <f aca="false">-$B$70</f>
        <v>-4000</v>
      </c>
      <c r="AJH90" s="0" t="n">
        <f aca="false">-$B$70</f>
        <v>-4000</v>
      </c>
      <c r="AJI90" s="0" t="n">
        <f aca="false">-$B$70</f>
        <v>-4000</v>
      </c>
      <c r="AJJ90" s="0" t="n">
        <f aca="false">-$B$70</f>
        <v>-4000</v>
      </c>
      <c r="AJK90" s="0" t="n">
        <f aca="false">-$B$70</f>
        <v>-4000</v>
      </c>
      <c r="AJL90" s="0" t="n">
        <f aca="false">-$B$70</f>
        <v>-4000</v>
      </c>
      <c r="AJM90" s="0" t="n">
        <f aca="false">-$B$70</f>
        <v>-4000</v>
      </c>
      <c r="AJN90" s="0" t="n">
        <f aca="false">-$B$70</f>
        <v>-4000</v>
      </c>
      <c r="AJO90" s="0" t="n">
        <f aca="false">-$B$70</f>
        <v>-4000</v>
      </c>
      <c r="AJP90" s="0" t="n">
        <f aca="false">-$B$70</f>
        <v>-4000</v>
      </c>
      <c r="AJQ90" s="0" t="n">
        <f aca="false">-$B$70</f>
        <v>-4000</v>
      </c>
      <c r="AJR90" s="0" t="n">
        <f aca="false">-$B$70</f>
        <v>-4000</v>
      </c>
      <c r="AJS90" s="0" t="n">
        <f aca="false">-$B$70</f>
        <v>-4000</v>
      </c>
      <c r="AJT90" s="0" t="n">
        <f aca="false">-$B$70</f>
        <v>-4000</v>
      </c>
      <c r="AJU90" s="0" t="n">
        <f aca="false">-$B$70</f>
        <v>-4000</v>
      </c>
      <c r="AJV90" s="0" t="n">
        <f aca="false">-$B$70</f>
        <v>-4000</v>
      </c>
      <c r="AJW90" s="0" t="n">
        <f aca="false">-$B$70</f>
        <v>-4000</v>
      </c>
      <c r="AJX90" s="0" t="n">
        <f aca="false">-$B$70</f>
        <v>-4000</v>
      </c>
      <c r="AJY90" s="0" t="n">
        <f aca="false">-$B$70</f>
        <v>-4000</v>
      </c>
      <c r="AJZ90" s="0" t="n">
        <f aca="false">-$B$70</f>
        <v>-4000</v>
      </c>
      <c r="AKA90" s="0" t="n">
        <f aca="false">-$B$70</f>
        <v>-4000</v>
      </c>
      <c r="AKB90" s="0" t="n">
        <f aca="false">-$B$70</f>
        <v>-4000</v>
      </c>
      <c r="AKC90" s="0" t="n">
        <f aca="false">-$B$70</f>
        <v>-4000</v>
      </c>
      <c r="AKD90" s="0" t="n">
        <f aca="false">-$B$70</f>
        <v>-4000</v>
      </c>
      <c r="AKE90" s="0" t="n">
        <f aca="false">-$B$70</f>
        <v>-4000</v>
      </c>
      <c r="AKF90" s="0" t="n">
        <f aca="false">-$B$70</f>
        <v>-4000</v>
      </c>
      <c r="AKG90" s="0" t="n">
        <f aca="false">-$B$70</f>
        <v>-4000</v>
      </c>
      <c r="AKH90" s="0" t="n">
        <f aca="false">-$B$70</f>
        <v>-4000</v>
      </c>
      <c r="AKI90" s="0" t="n">
        <f aca="false">-$B$70</f>
        <v>-4000</v>
      </c>
      <c r="AKJ90" s="0" t="n">
        <f aca="false">-$B$70</f>
        <v>-4000</v>
      </c>
      <c r="AKK90" s="0" t="n">
        <f aca="false">-$B$70</f>
        <v>-4000</v>
      </c>
      <c r="AKL90" s="0" t="n">
        <f aca="false">-$B$70</f>
        <v>-4000</v>
      </c>
      <c r="AKM90" s="0" t="n">
        <f aca="false">-$B$70</f>
        <v>-4000</v>
      </c>
      <c r="AKN90" s="0" t="n">
        <f aca="false">-$B$70</f>
        <v>-4000</v>
      </c>
      <c r="AKO90" s="0" t="n">
        <f aca="false">-$B$70</f>
        <v>-4000</v>
      </c>
      <c r="AKP90" s="0" t="n">
        <f aca="false">-$B$70</f>
        <v>-4000</v>
      </c>
      <c r="AKQ90" s="0" t="n">
        <f aca="false">-$B$70</f>
        <v>-4000</v>
      </c>
      <c r="AKR90" s="0" t="n">
        <f aca="false">-$B$70</f>
        <v>-4000</v>
      </c>
      <c r="AKS90" s="0" t="n">
        <f aca="false">-$B$70</f>
        <v>-4000</v>
      </c>
      <c r="AKT90" s="0" t="n">
        <f aca="false">-$B$70</f>
        <v>-4000</v>
      </c>
      <c r="AKU90" s="0" t="n">
        <f aca="false">-$B$70</f>
        <v>-4000</v>
      </c>
      <c r="AKV90" s="0" t="n">
        <f aca="false">-$B$70</f>
        <v>-4000</v>
      </c>
      <c r="AKW90" s="0" t="n">
        <f aca="false">-$B$70</f>
        <v>-4000</v>
      </c>
      <c r="AKX90" s="0" t="n">
        <f aca="false">-$B$70</f>
        <v>-4000</v>
      </c>
      <c r="AKY90" s="0" t="n">
        <f aca="false">-$B$70</f>
        <v>-4000</v>
      </c>
      <c r="AKZ90" s="0" t="n">
        <f aca="false">-$B$70</f>
        <v>-4000</v>
      </c>
      <c r="ALA90" s="0" t="n">
        <f aca="false">-$B$70</f>
        <v>-4000</v>
      </c>
      <c r="ALB90" s="0" t="n">
        <f aca="false">-$B$70</f>
        <v>-4000</v>
      </c>
      <c r="ALC90" s="0" t="n">
        <f aca="false">-$B$70</f>
        <v>-4000</v>
      </c>
      <c r="ALD90" s="0" t="n">
        <f aca="false">-$B$70</f>
        <v>-4000</v>
      </c>
      <c r="ALE90" s="0" t="n">
        <f aca="false">-$B$70</f>
        <v>-4000</v>
      </c>
      <c r="ALF90" s="0" t="n">
        <f aca="false">-$B$70</f>
        <v>-4000</v>
      </c>
      <c r="ALG90" s="0" t="n">
        <f aca="false">-$B$70</f>
        <v>-4000</v>
      </c>
      <c r="ALH90" s="0" t="n">
        <f aca="false">-$B$70</f>
        <v>-4000</v>
      </c>
      <c r="ALI90" s="0" t="n">
        <f aca="false">-$B$70</f>
        <v>-4000</v>
      </c>
      <c r="ALJ90" s="0" t="n">
        <f aca="false">-$B$70</f>
        <v>-4000</v>
      </c>
      <c r="ALK90" s="0" t="n">
        <f aca="false">-$B$70</f>
        <v>-4000</v>
      </c>
      <c r="ALL90" s="0" t="n">
        <f aca="false">-$B$70</f>
        <v>-4000</v>
      </c>
      <c r="ALM90" s="0" t="n">
        <f aca="false">-$B$70</f>
        <v>-4000</v>
      </c>
    </row>
    <row r="91" customFormat="false" ht="14.5" hidden="false" customHeight="false" outlineLevel="0" collapsed="false">
      <c r="A91" s="20" t="s">
        <v>86</v>
      </c>
      <c r="B91" s="0" t="n">
        <f aca="false">SUM(B88:B90)</f>
        <v>-14000</v>
      </c>
      <c r="C91" s="0" t="n">
        <f aca="false">SUM(C88:C90)</f>
        <v>-14000</v>
      </c>
      <c r="D91" s="0" t="n">
        <f aca="false">SUM(D88:D90)</f>
        <v>-14000</v>
      </c>
      <c r="E91" s="0" t="n">
        <f aca="false">SUM(E88:E90)</f>
        <v>-14000</v>
      </c>
      <c r="F91" s="0" t="n">
        <f aca="false">SUM(F88:F90)</f>
        <v>-14000</v>
      </c>
      <c r="G91" s="0" t="n">
        <f aca="false">SUM(G88:G90)</f>
        <v>-14000</v>
      </c>
      <c r="H91" s="0" t="n">
        <f aca="false">SUM(H88:H90)</f>
        <v>-14000</v>
      </c>
      <c r="I91" s="0" t="n">
        <f aca="false">SUM(I88:I90)</f>
        <v>-14000</v>
      </c>
      <c r="J91" s="0" t="n">
        <f aca="false">SUM(J88:J90)</f>
        <v>-14000</v>
      </c>
      <c r="K91" s="0" t="n">
        <f aca="false">SUM(K88:K90)</f>
        <v>-14000</v>
      </c>
      <c r="L91" s="0" t="n">
        <f aca="false">SUM(L88:L90)</f>
        <v>-14000</v>
      </c>
      <c r="M91" s="0" t="n">
        <f aca="false">SUM(M88:M90)</f>
        <v>-14000</v>
      </c>
      <c r="N91" s="0" t="n">
        <f aca="false">SUM(N88:N90)</f>
        <v>-14000</v>
      </c>
      <c r="O91" s="0" t="n">
        <f aca="false">SUM(O88:O90)</f>
        <v>-14000</v>
      </c>
      <c r="P91" s="0" t="n">
        <f aca="false">SUM(P88:P90)</f>
        <v>-14000</v>
      </c>
      <c r="Q91" s="0" t="n">
        <f aca="false">SUM(Q88:Q90)</f>
        <v>-14000</v>
      </c>
      <c r="R91" s="0" t="n">
        <f aca="false">SUM(R88:R90)</f>
        <v>-14000</v>
      </c>
      <c r="S91" s="0" t="n">
        <f aca="false">SUM(S88:S90)</f>
        <v>-14000</v>
      </c>
      <c r="T91" s="0" t="n">
        <f aca="false">SUM(T88:T90)</f>
        <v>-14000</v>
      </c>
      <c r="U91" s="0" t="n">
        <f aca="false">SUM(U88:U90)</f>
        <v>-14000</v>
      </c>
      <c r="V91" s="0" t="n">
        <f aca="false">SUM(V88:V90)</f>
        <v>-14000</v>
      </c>
      <c r="W91" s="0" t="n">
        <f aca="false">SUM(W88:W90)</f>
        <v>-14000</v>
      </c>
      <c r="X91" s="0" t="n">
        <f aca="false">SUM(X88:X90)</f>
        <v>-14000</v>
      </c>
      <c r="Y91" s="0" t="n">
        <f aca="false">SUM(Y88:Y90)</f>
        <v>-14000</v>
      </c>
      <c r="Z91" s="0" t="n">
        <f aca="false">SUM(Z88:Z90)</f>
        <v>-14000</v>
      </c>
      <c r="AA91" s="0" t="n">
        <f aca="false">SUM(AA88:AA90)</f>
        <v>-14000</v>
      </c>
      <c r="AB91" s="0" t="n">
        <f aca="false">SUM(AB88:AB90)</f>
        <v>-14000</v>
      </c>
      <c r="AC91" s="0" t="n">
        <f aca="false">SUM(AC88:AC90)</f>
        <v>-14000</v>
      </c>
      <c r="AD91" s="0" t="n">
        <f aca="false">SUM(AD88:AD90)</f>
        <v>-14000</v>
      </c>
      <c r="AE91" s="0" t="n">
        <f aca="false">SUM(AE88:AE90)</f>
        <v>-14000</v>
      </c>
      <c r="AF91" s="0" t="n">
        <f aca="false">SUM(AF88:AF90)</f>
        <v>-14000</v>
      </c>
      <c r="AG91" s="0" t="n">
        <f aca="false">SUM(AG88:AG90)</f>
        <v>-14000</v>
      </c>
      <c r="AH91" s="0" t="n">
        <f aca="false">SUM(AH88:AH90)</f>
        <v>-14000</v>
      </c>
      <c r="AI91" s="0" t="n">
        <f aca="false">SUM(AI88:AI90)</f>
        <v>-14000</v>
      </c>
      <c r="AJ91" s="0" t="n">
        <f aca="false">SUM(AJ88:AJ90)</f>
        <v>-14000</v>
      </c>
      <c r="AK91" s="0" t="n">
        <f aca="false">SUM(AK88:AK90)</f>
        <v>-14000</v>
      </c>
      <c r="AL91" s="0" t="n">
        <f aca="false">SUM(AL88:AL90)</f>
        <v>-14000</v>
      </c>
      <c r="AM91" s="0" t="n">
        <f aca="false">SUM(AM88:AM90)</f>
        <v>-14000</v>
      </c>
      <c r="AN91" s="0" t="n">
        <f aca="false">SUM(AN88:AN90)</f>
        <v>-14000</v>
      </c>
      <c r="AO91" s="0" t="n">
        <f aca="false">SUM(AO88:AO90)</f>
        <v>-14000</v>
      </c>
      <c r="AP91" s="0" t="n">
        <f aca="false">SUM(AP88:AP90)</f>
        <v>-14000</v>
      </c>
      <c r="AQ91" s="0" t="n">
        <f aca="false">SUM(AQ88:AQ90)</f>
        <v>-14000</v>
      </c>
      <c r="AR91" s="0" t="n">
        <f aca="false">SUM(AR88:AR90)</f>
        <v>-14000</v>
      </c>
      <c r="AS91" s="0" t="n">
        <f aca="false">SUM(AS88:AS90)</f>
        <v>-14000</v>
      </c>
      <c r="AT91" s="0" t="n">
        <f aca="false">SUM(AT88:AT90)</f>
        <v>-14000</v>
      </c>
      <c r="AU91" s="0" t="n">
        <f aca="false">SUM(AU88:AU90)</f>
        <v>-14000</v>
      </c>
      <c r="AV91" s="0" t="n">
        <f aca="false">SUM(AV88:AV90)</f>
        <v>-14000</v>
      </c>
      <c r="AW91" s="0" t="n">
        <f aca="false">SUM(AW88:AW90)</f>
        <v>-14000</v>
      </c>
      <c r="AX91" s="0" t="n">
        <f aca="false">SUM(AX88:AX90)</f>
        <v>-14000</v>
      </c>
      <c r="AY91" s="0" t="n">
        <f aca="false">SUM(AY88:AY90)</f>
        <v>-14000</v>
      </c>
      <c r="AZ91" s="0" t="n">
        <f aca="false">SUM(AZ88:AZ90)</f>
        <v>-14000</v>
      </c>
      <c r="BA91" s="0" t="n">
        <f aca="false">SUM(BA88:BA90)</f>
        <v>-14000</v>
      </c>
      <c r="BB91" s="0" t="n">
        <f aca="false">SUM(BB88:BB90)</f>
        <v>-14000</v>
      </c>
      <c r="BC91" s="0" t="n">
        <f aca="false">SUM(BC88:BC90)</f>
        <v>-14000</v>
      </c>
      <c r="BD91" s="0" t="n">
        <f aca="false">SUM(BD88:BD90)</f>
        <v>-14000</v>
      </c>
      <c r="BE91" s="0" t="n">
        <f aca="false">SUM(BE88:BE90)</f>
        <v>-14000</v>
      </c>
      <c r="BF91" s="0" t="n">
        <f aca="false">SUM(BF88:BF90)</f>
        <v>-14000</v>
      </c>
      <c r="BG91" s="0" t="n">
        <f aca="false">SUM(BG88:BG90)</f>
        <v>-14000</v>
      </c>
      <c r="BH91" s="0" t="n">
        <f aca="false">SUM(BH88:BH90)</f>
        <v>-14000</v>
      </c>
      <c r="BI91" s="0" t="n">
        <f aca="false">SUM(BI88:BI90)</f>
        <v>-14000</v>
      </c>
      <c r="BJ91" s="0" t="n">
        <f aca="false">SUM(BJ88:BJ90)</f>
        <v>-14000</v>
      </c>
      <c r="BK91" s="0" t="n">
        <f aca="false">SUM(BK88:BK90)</f>
        <v>-14000</v>
      </c>
      <c r="BL91" s="0" t="n">
        <f aca="false">SUM(BL88:BL90)</f>
        <v>-14000</v>
      </c>
      <c r="BM91" s="0" t="n">
        <f aca="false">SUM(BM88:BM90)</f>
        <v>-14000</v>
      </c>
      <c r="BN91" s="0" t="n">
        <f aca="false">SUM(BN88:BN90)</f>
        <v>-14000</v>
      </c>
      <c r="BO91" s="0" t="n">
        <f aca="false">SUM(BO88:BO90)</f>
        <v>-14000</v>
      </c>
      <c r="BP91" s="0" t="n">
        <f aca="false">SUM(BP88:BP90)</f>
        <v>-14000</v>
      </c>
      <c r="BQ91" s="0" t="n">
        <f aca="false">SUM(BQ88:BQ90)</f>
        <v>-14000</v>
      </c>
      <c r="BR91" s="0" t="n">
        <f aca="false">SUM(BR88:BR90)</f>
        <v>-14000</v>
      </c>
      <c r="BS91" s="0" t="n">
        <f aca="false">SUM(BS88:BS90)</f>
        <v>-14000</v>
      </c>
      <c r="BT91" s="0" t="n">
        <f aca="false">SUM(BT88:BT90)</f>
        <v>-14000</v>
      </c>
      <c r="BU91" s="0" t="n">
        <f aca="false">SUM(BU88:BU90)</f>
        <v>-14000</v>
      </c>
      <c r="BV91" s="0" t="n">
        <f aca="false">SUM(BV88:BV90)</f>
        <v>-14000</v>
      </c>
      <c r="BW91" s="0" t="n">
        <f aca="false">SUM(BW88:BW90)</f>
        <v>-14000</v>
      </c>
      <c r="BX91" s="0" t="n">
        <f aca="false">SUM(BX88:BX90)</f>
        <v>-14000</v>
      </c>
      <c r="BY91" s="0" t="n">
        <f aca="false">SUM(BY88:BY90)</f>
        <v>-14000</v>
      </c>
      <c r="BZ91" s="0" t="n">
        <f aca="false">SUM(BZ88:BZ90)</f>
        <v>-14000</v>
      </c>
      <c r="CA91" s="0" t="n">
        <f aca="false">SUM(CA88:CA90)</f>
        <v>-14000</v>
      </c>
      <c r="CB91" s="0" t="n">
        <f aca="false">SUM(CB88:CB90)</f>
        <v>-14000</v>
      </c>
      <c r="CC91" s="0" t="n">
        <f aca="false">SUM(CC88:CC90)</f>
        <v>-14000</v>
      </c>
      <c r="CD91" s="0" t="n">
        <f aca="false">SUM(CD88:CD90)</f>
        <v>-14000</v>
      </c>
      <c r="CE91" s="0" t="n">
        <f aca="false">SUM(CE88:CE90)</f>
        <v>-14000</v>
      </c>
      <c r="CF91" s="0" t="n">
        <f aca="false">SUM(CF88:CF90)</f>
        <v>-14000</v>
      </c>
      <c r="CG91" s="0" t="n">
        <f aca="false">SUM(CG88:CG90)</f>
        <v>-14000</v>
      </c>
      <c r="CH91" s="0" t="n">
        <f aca="false">SUM(CH88:CH90)</f>
        <v>-14000</v>
      </c>
      <c r="CI91" s="0" t="n">
        <f aca="false">SUM(CI88:CI90)</f>
        <v>-14000</v>
      </c>
      <c r="CJ91" s="0" t="n">
        <f aca="false">SUM(CJ88:CJ90)</f>
        <v>-14000</v>
      </c>
      <c r="CK91" s="0" t="n">
        <f aca="false">SUM(CK88:CK90)</f>
        <v>-14000</v>
      </c>
      <c r="CL91" s="0" t="n">
        <f aca="false">SUM(CL88:CL90)</f>
        <v>-14000</v>
      </c>
      <c r="CM91" s="0" t="n">
        <f aca="false">SUM(CM88:CM90)</f>
        <v>-14000</v>
      </c>
      <c r="CN91" s="0" t="n">
        <f aca="false">SUM(CN88:CN90)</f>
        <v>-14000</v>
      </c>
      <c r="CO91" s="0" t="n">
        <f aca="false">SUM(CO88:CO90)</f>
        <v>-14000</v>
      </c>
      <c r="CP91" s="0" t="n">
        <f aca="false">SUM(CP88:CP90)</f>
        <v>-14000</v>
      </c>
      <c r="CQ91" s="0" t="n">
        <f aca="false">SUM(CQ88:CQ90)</f>
        <v>-14000</v>
      </c>
      <c r="CR91" s="0" t="n">
        <f aca="false">SUM(CR88:CR90)</f>
        <v>-14000</v>
      </c>
      <c r="CS91" s="0" t="n">
        <f aca="false">SUM(CS88:CS90)</f>
        <v>-14000</v>
      </c>
      <c r="CT91" s="0" t="n">
        <f aca="false">SUM(CT88:CT90)</f>
        <v>-14000</v>
      </c>
      <c r="CU91" s="0" t="n">
        <f aca="false">SUM(CU88:CU90)</f>
        <v>-14000</v>
      </c>
      <c r="CV91" s="0" t="n">
        <f aca="false">SUM(CV88:CV90)</f>
        <v>-14000</v>
      </c>
      <c r="CW91" s="0" t="n">
        <f aca="false">SUM(CW88:CW90)</f>
        <v>-14000</v>
      </c>
      <c r="CX91" s="0" t="n">
        <f aca="false">SUM(CX88:CX90)</f>
        <v>-14000</v>
      </c>
      <c r="CY91" s="0" t="n">
        <f aca="false">SUM(CY88:CY90)</f>
        <v>-14000</v>
      </c>
      <c r="CZ91" s="0" t="n">
        <f aca="false">SUM(CZ88:CZ90)</f>
        <v>-14000</v>
      </c>
      <c r="DA91" s="0" t="n">
        <f aca="false">SUM(DA88:DA90)</f>
        <v>-14000</v>
      </c>
      <c r="DB91" s="0" t="n">
        <f aca="false">SUM(DB88:DB90)</f>
        <v>-14000</v>
      </c>
      <c r="DC91" s="0" t="n">
        <f aca="false">SUM(DC88:DC90)</f>
        <v>-14000</v>
      </c>
      <c r="DD91" s="0" t="n">
        <f aca="false">SUM(DD88:DD90)</f>
        <v>-14000</v>
      </c>
      <c r="DE91" s="0" t="n">
        <f aca="false">SUM(DE88:DE90)</f>
        <v>-14000</v>
      </c>
      <c r="DF91" s="0" t="n">
        <f aca="false">SUM(DF88:DF90)</f>
        <v>-14000</v>
      </c>
      <c r="DG91" s="0" t="n">
        <f aca="false">SUM(DG88:DG90)</f>
        <v>-14000</v>
      </c>
      <c r="DH91" s="0" t="n">
        <f aca="false">SUM(DH88:DH90)</f>
        <v>-14000</v>
      </c>
      <c r="DI91" s="0" t="n">
        <f aca="false">SUM(DI88:DI90)</f>
        <v>-14000</v>
      </c>
      <c r="DJ91" s="0" t="n">
        <f aca="false">SUM(DJ88:DJ90)</f>
        <v>-14000</v>
      </c>
      <c r="DK91" s="0" t="n">
        <f aca="false">SUM(DK88:DK90)</f>
        <v>-14000</v>
      </c>
      <c r="DL91" s="0" t="n">
        <f aca="false">SUM(DL88:DL90)</f>
        <v>-14000</v>
      </c>
      <c r="DM91" s="0" t="n">
        <f aca="false">SUM(DM88:DM90)</f>
        <v>-14000</v>
      </c>
      <c r="DN91" s="0" t="n">
        <f aca="false">SUM(DN88:DN90)</f>
        <v>-14000</v>
      </c>
      <c r="DO91" s="0" t="n">
        <f aca="false">SUM(DO88:DO90)</f>
        <v>-14000</v>
      </c>
      <c r="DP91" s="0" t="n">
        <f aca="false">SUM(DP88:DP90)</f>
        <v>-14000</v>
      </c>
      <c r="DQ91" s="0" t="n">
        <f aca="false">SUM(DQ88:DQ90)</f>
        <v>-14000</v>
      </c>
      <c r="DR91" s="0" t="n">
        <f aca="false">SUM(DR88:DR90)</f>
        <v>-14000</v>
      </c>
      <c r="DS91" s="0" t="n">
        <f aca="false">SUM(DS88:DS90)</f>
        <v>-14000</v>
      </c>
      <c r="DT91" s="0" t="n">
        <f aca="false">SUM(DT88:DT90)</f>
        <v>-14000</v>
      </c>
      <c r="DU91" s="0" t="n">
        <f aca="false">SUM(DU88:DU90)</f>
        <v>-14000</v>
      </c>
      <c r="DV91" s="0" t="n">
        <f aca="false">SUM(DV88:DV90)</f>
        <v>-14000</v>
      </c>
      <c r="DW91" s="0" t="n">
        <f aca="false">SUM(DW88:DW90)</f>
        <v>-14000</v>
      </c>
      <c r="DX91" s="0" t="n">
        <f aca="false">SUM(DX88:DX90)</f>
        <v>-14000</v>
      </c>
      <c r="DY91" s="0" t="n">
        <f aca="false">SUM(DY88:DY90)</f>
        <v>-14000</v>
      </c>
      <c r="DZ91" s="0" t="n">
        <f aca="false">SUM(DZ88:DZ90)</f>
        <v>-14000</v>
      </c>
      <c r="EA91" s="0" t="n">
        <f aca="false">SUM(EA88:EA90)</f>
        <v>-14000</v>
      </c>
      <c r="EB91" s="0" t="n">
        <f aca="false">SUM(EB88:EB90)</f>
        <v>-14000</v>
      </c>
      <c r="EC91" s="0" t="n">
        <f aca="false">SUM(EC88:EC90)</f>
        <v>-14000</v>
      </c>
      <c r="ED91" s="0" t="n">
        <f aca="false">SUM(ED88:ED90)</f>
        <v>-14000</v>
      </c>
      <c r="EE91" s="0" t="n">
        <f aca="false">SUM(EE88:EE90)</f>
        <v>-14000</v>
      </c>
      <c r="EF91" s="0" t="n">
        <f aca="false">SUM(EF88:EF90)</f>
        <v>-14000</v>
      </c>
      <c r="EG91" s="0" t="n">
        <f aca="false">SUM(EG88:EG90)</f>
        <v>-14000</v>
      </c>
      <c r="EH91" s="0" t="n">
        <f aca="false">SUM(EH88:EH90)</f>
        <v>-14000</v>
      </c>
      <c r="EI91" s="0" t="n">
        <f aca="false">SUM(EI88:EI90)</f>
        <v>-14000</v>
      </c>
      <c r="EJ91" s="0" t="n">
        <f aca="false">SUM(EJ88:EJ90)</f>
        <v>-14000</v>
      </c>
      <c r="EK91" s="0" t="n">
        <f aca="false">SUM(EK88:EK90)</f>
        <v>-14000</v>
      </c>
      <c r="EL91" s="0" t="n">
        <f aca="false">SUM(EL88:EL90)</f>
        <v>-14000</v>
      </c>
      <c r="EM91" s="0" t="n">
        <f aca="false">SUM(EM88:EM90)</f>
        <v>-14000</v>
      </c>
      <c r="EN91" s="0" t="n">
        <f aca="false">SUM(EN88:EN90)</f>
        <v>-14000</v>
      </c>
      <c r="EO91" s="0" t="n">
        <f aca="false">SUM(EO88:EO90)</f>
        <v>-14000</v>
      </c>
      <c r="EP91" s="0" t="n">
        <f aca="false">SUM(EP88:EP90)</f>
        <v>-14000</v>
      </c>
      <c r="EQ91" s="0" t="n">
        <f aca="false">SUM(EQ88:EQ90)</f>
        <v>-14000</v>
      </c>
      <c r="ER91" s="0" t="n">
        <f aca="false">SUM(ER88:ER90)</f>
        <v>-14000</v>
      </c>
      <c r="ES91" s="0" t="n">
        <f aca="false">SUM(ES88:ES90)</f>
        <v>-14000</v>
      </c>
      <c r="ET91" s="0" t="n">
        <f aca="false">SUM(ET88:ET90)</f>
        <v>-14000</v>
      </c>
      <c r="EU91" s="0" t="n">
        <f aca="false">SUM(EU88:EU90)</f>
        <v>-14000</v>
      </c>
      <c r="EV91" s="0" t="n">
        <f aca="false">SUM(EV88:EV90)</f>
        <v>-14000</v>
      </c>
      <c r="EW91" s="0" t="n">
        <f aca="false">SUM(EW88:EW90)</f>
        <v>-14000</v>
      </c>
      <c r="EX91" s="0" t="n">
        <f aca="false">SUM(EX88:EX90)</f>
        <v>-14000</v>
      </c>
      <c r="EY91" s="0" t="n">
        <f aca="false">SUM(EY88:EY90)</f>
        <v>-14000</v>
      </c>
      <c r="EZ91" s="0" t="n">
        <f aca="false">SUM(EZ88:EZ90)</f>
        <v>-14000</v>
      </c>
      <c r="FA91" s="0" t="n">
        <f aca="false">SUM(FA88:FA90)</f>
        <v>-14000</v>
      </c>
      <c r="FB91" s="0" t="n">
        <f aca="false">SUM(FB88:FB90)</f>
        <v>-14000</v>
      </c>
      <c r="FC91" s="0" t="n">
        <f aca="false">SUM(FC88:FC90)</f>
        <v>-14000</v>
      </c>
      <c r="FD91" s="0" t="n">
        <f aca="false">SUM(FD88:FD90)</f>
        <v>-14000</v>
      </c>
      <c r="FE91" s="0" t="n">
        <f aca="false">SUM(FE88:FE90)</f>
        <v>-14000</v>
      </c>
      <c r="FF91" s="0" t="n">
        <f aca="false">SUM(FF88:FF90)</f>
        <v>-14000</v>
      </c>
      <c r="FG91" s="0" t="n">
        <f aca="false">SUM(FG88:FG90)</f>
        <v>-14000</v>
      </c>
      <c r="FH91" s="0" t="n">
        <f aca="false">SUM(FH88:FH90)</f>
        <v>-14000</v>
      </c>
      <c r="FI91" s="0" t="n">
        <f aca="false">SUM(FI88:FI90)</f>
        <v>-14000</v>
      </c>
      <c r="FJ91" s="0" t="n">
        <f aca="false">SUM(FJ88:FJ90)</f>
        <v>-14000</v>
      </c>
      <c r="FK91" s="0" t="n">
        <f aca="false">SUM(FK88:FK90)</f>
        <v>-14000</v>
      </c>
      <c r="FL91" s="0" t="n">
        <f aca="false">SUM(FL88:FL90)</f>
        <v>-14000</v>
      </c>
      <c r="FM91" s="0" t="n">
        <f aca="false">SUM(FM88:FM90)</f>
        <v>-14000</v>
      </c>
      <c r="FN91" s="0" t="n">
        <f aca="false">SUM(FN88:FN90)</f>
        <v>-14000</v>
      </c>
      <c r="FO91" s="0" t="n">
        <f aca="false">SUM(FO88:FO90)</f>
        <v>-14000</v>
      </c>
      <c r="FP91" s="0" t="n">
        <f aca="false">SUM(FP88:FP90)</f>
        <v>-14000</v>
      </c>
      <c r="FQ91" s="0" t="n">
        <f aca="false">SUM(FQ88:FQ90)</f>
        <v>-14000</v>
      </c>
      <c r="FR91" s="0" t="n">
        <f aca="false">SUM(FR88:FR90)</f>
        <v>-14000</v>
      </c>
      <c r="FS91" s="0" t="n">
        <f aca="false">SUM(FS88:FS90)</f>
        <v>-14000</v>
      </c>
      <c r="FT91" s="0" t="n">
        <f aca="false">SUM(FT88:FT90)</f>
        <v>-14000</v>
      </c>
      <c r="FU91" s="0" t="n">
        <f aca="false">SUM(FU88:FU90)</f>
        <v>-14000</v>
      </c>
      <c r="FV91" s="0" t="n">
        <f aca="false">SUM(FV88:FV90)</f>
        <v>-14000</v>
      </c>
      <c r="FW91" s="0" t="n">
        <f aca="false">SUM(FW88:FW90)</f>
        <v>-14000</v>
      </c>
      <c r="FX91" s="0" t="n">
        <f aca="false">SUM(FX88:FX90)</f>
        <v>-14000</v>
      </c>
      <c r="FY91" s="0" t="n">
        <f aca="false">SUM(FY88:FY90)</f>
        <v>-14000</v>
      </c>
      <c r="FZ91" s="0" t="n">
        <f aca="false">SUM(FZ88:FZ90)</f>
        <v>-14000</v>
      </c>
      <c r="GA91" s="0" t="n">
        <f aca="false">SUM(GA88:GA90)</f>
        <v>-14000</v>
      </c>
      <c r="GB91" s="0" t="n">
        <f aca="false">SUM(GB88:GB90)</f>
        <v>-14000</v>
      </c>
      <c r="GC91" s="0" t="n">
        <f aca="false">SUM(GC88:GC90)</f>
        <v>-14000</v>
      </c>
      <c r="GD91" s="0" t="n">
        <f aca="false">SUM(GD88:GD90)</f>
        <v>-14000</v>
      </c>
      <c r="GE91" s="0" t="n">
        <f aca="false">SUM(GE88:GE90)</f>
        <v>-14000</v>
      </c>
      <c r="GF91" s="0" t="n">
        <f aca="false">SUM(GF88:GF90)</f>
        <v>-14000</v>
      </c>
      <c r="GG91" s="0" t="n">
        <f aca="false">SUM(GG88:GG90)</f>
        <v>-14000</v>
      </c>
      <c r="GH91" s="0" t="n">
        <f aca="false">SUM(GH88:GH90)</f>
        <v>-14000</v>
      </c>
      <c r="GI91" s="0" t="n">
        <f aca="false">SUM(GI88:GI90)</f>
        <v>-14000</v>
      </c>
      <c r="GJ91" s="0" t="n">
        <f aca="false">SUM(GJ88:GJ90)</f>
        <v>-14000</v>
      </c>
      <c r="GK91" s="0" t="n">
        <f aca="false">SUM(GK88:GK90)</f>
        <v>-14000</v>
      </c>
      <c r="GL91" s="0" t="n">
        <f aca="false">SUM(GL88:GL90)</f>
        <v>-14000</v>
      </c>
      <c r="GM91" s="0" t="n">
        <f aca="false">SUM(GM88:GM90)</f>
        <v>-14000</v>
      </c>
      <c r="GN91" s="0" t="n">
        <f aca="false">SUM(GN88:GN90)</f>
        <v>-14000</v>
      </c>
      <c r="GO91" s="0" t="n">
        <f aca="false">SUM(GO88:GO90)</f>
        <v>-14000</v>
      </c>
      <c r="GP91" s="0" t="n">
        <f aca="false">SUM(GP88:GP90)</f>
        <v>-14000</v>
      </c>
      <c r="GQ91" s="0" t="n">
        <f aca="false">SUM(GQ88:GQ90)</f>
        <v>-14000</v>
      </c>
      <c r="GR91" s="0" t="n">
        <f aca="false">SUM(GR88:GR90)</f>
        <v>-14000</v>
      </c>
      <c r="GS91" s="0" t="n">
        <f aca="false">SUM(GS88:GS90)</f>
        <v>-14000</v>
      </c>
      <c r="GT91" s="0" t="n">
        <f aca="false">SUM(GT88:GT90)</f>
        <v>-14000</v>
      </c>
      <c r="GU91" s="0" t="n">
        <f aca="false">SUM(GU88:GU90)</f>
        <v>-14000</v>
      </c>
      <c r="GV91" s="0" t="n">
        <f aca="false">SUM(GV88:GV90)</f>
        <v>-14000</v>
      </c>
      <c r="GW91" s="0" t="n">
        <f aca="false">SUM(GW88:GW90)</f>
        <v>-14000</v>
      </c>
      <c r="GX91" s="0" t="n">
        <f aca="false">SUM(GX88:GX90)</f>
        <v>-14000</v>
      </c>
      <c r="GY91" s="0" t="n">
        <f aca="false">SUM(GY88:GY90)</f>
        <v>-14000</v>
      </c>
      <c r="GZ91" s="0" t="n">
        <f aca="false">SUM(GZ88:GZ90)</f>
        <v>-14000</v>
      </c>
      <c r="HA91" s="0" t="n">
        <f aca="false">SUM(HA88:HA90)</f>
        <v>-14000</v>
      </c>
      <c r="HB91" s="0" t="n">
        <f aca="false">SUM(HB88:HB90)</f>
        <v>-14000</v>
      </c>
      <c r="HC91" s="0" t="n">
        <f aca="false">SUM(HC88:HC90)</f>
        <v>-14000</v>
      </c>
      <c r="HD91" s="0" t="n">
        <f aca="false">SUM(HD88:HD90)</f>
        <v>-14000</v>
      </c>
      <c r="HE91" s="0" t="n">
        <f aca="false">SUM(HE88:HE90)</f>
        <v>-14000</v>
      </c>
      <c r="HF91" s="0" t="n">
        <f aca="false">SUM(HF88:HF90)</f>
        <v>-14000</v>
      </c>
      <c r="HG91" s="0" t="n">
        <f aca="false">SUM(HG88:HG90)</f>
        <v>-14000</v>
      </c>
      <c r="HH91" s="0" t="n">
        <f aca="false">SUM(HH88:HH90)</f>
        <v>-14000</v>
      </c>
      <c r="HI91" s="0" t="n">
        <f aca="false">SUM(HI88:HI90)</f>
        <v>-14000</v>
      </c>
      <c r="HJ91" s="0" t="n">
        <f aca="false">SUM(HJ88:HJ90)</f>
        <v>-14000</v>
      </c>
      <c r="HK91" s="0" t="n">
        <f aca="false">SUM(HK88:HK90)</f>
        <v>-14000</v>
      </c>
      <c r="HL91" s="0" t="n">
        <f aca="false">SUM(HL88:HL90)</f>
        <v>-14000</v>
      </c>
      <c r="HM91" s="0" t="n">
        <f aca="false">SUM(HM88:HM90)</f>
        <v>-14000</v>
      </c>
      <c r="HN91" s="0" t="n">
        <f aca="false">SUM(HN88:HN90)</f>
        <v>-14000</v>
      </c>
      <c r="HO91" s="0" t="n">
        <f aca="false">SUM(HO88:HO90)</f>
        <v>-14000</v>
      </c>
      <c r="HP91" s="0" t="n">
        <f aca="false">SUM(HP88:HP90)</f>
        <v>-14000</v>
      </c>
      <c r="HQ91" s="0" t="n">
        <f aca="false">SUM(HQ88:HQ90)</f>
        <v>-14000</v>
      </c>
      <c r="HR91" s="0" t="n">
        <f aca="false">SUM(HR88:HR90)</f>
        <v>-14000</v>
      </c>
      <c r="HS91" s="0" t="n">
        <f aca="false">SUM(HS88:HS90)</f>
        <v>-14000</v>
      </c>
      <c r="HT91" s="0" t="n">
        <f aca="false">SUM(HT88:HT90)</f>
        <v>-14000</v>
      </c>
      <c r="HU91" s="0" t="n">
        <f aca="false">SUM(HU88:HU90)</f>
        <v>-14000</v>
      </c>
      <c r="HV91" s="0" t="n">
        <f aca="false">SUM(HV88:HV90)</f>
        <v>-14000</v>
      </c>
      <c r="HW91" s="0" t="n">
        <f aca="false">SUM(HW88:HW90)</f>
        <v>-14000</v>
      </c>
      <c r="HX91" s="0" t="n">
        <f aca="false">SUM(HX88:HX90)</f>
        <v>-14000</v>
      </c>
      <c r="HY91" s="0" t="n">
        <f aca="false">SUM(HY88:HY90)</f>
        <v>-14000</v>
      </c>
      <c r="HZ91" s="0" t="n">
        <f aca="false">SUM(HZ88:HZ90)</f>
        <v>-14000</v>
      </c>
      <c r="IA91" s="0" t="n">
        <f aca="false">SUM(IA88:IA90)</f>
        <v>-14000</v>
      </c>
      <c r="IB91" s="0" t="n">
        <f aca="false">SUM(IB88:IB90)</f>
        <v>-14000</v>
      </c>
      <c r="IC91" s="0" t="n">
        <f aca="false">SUM(IC88:IC90)</f>
        <v>-14000</v>
      </c>
      <c r="ID91" s="0" t="n">
        <f aca="false">SUM(ID88:ID90)</f>
        <v>-14000</v>
      </c>
      <c r="IE91" s="0" t="n">
        <f aca="false">SUM(IE88:IE90)</f>
        <v>-14000</v>
      </c>
      <c r="IF91" s="0" t="n">
        <f aca="false">SUM(IF88:IF90)</f>
        <v>-14000</v>
      </c>
      <c r="IG91" s="0" t="n">
        <f aca="false">SUM(IG88:IG90)</f>
        <v>-14000</v>
      </c>
      <c r="IH91" s="0" t="n">
        <f aca="false">SUM(IH88:IH90)</f>
        <v>-14000</v>
      </c>
      <c r="II91" s="0" t="n">
        <f aca="false">SUM(II88:II90)</f>
        <v>-14000</v>
      </c>
      <c r="IJ91" s="0" t="n">
        <f aca="false">SUM(IJ88:IJ90)</f>
        <v>-14000</v>
      </c>
      <c r="IK91" s="0" t="n">
        <f aca="false">SUM(IK88:IK90)</f>
        <v>-14000</v>
      </c>
      <c r="IL91" s="0" t="n">
        <f aca="false">SUM(IL88:IL90)</f>
        <v>-14000</v>
      </c>
      <c r="IM91" s="0" t="n">
        <f aca="false">SUM(IM88:IM90)</f>
        <v>-14000</v>
      </c>
      <c r="IN91" s="0" t="n">
        <f aca="false">SUM(IN88:IN90)</f>
        <v>-14000</v>
      </c>
      <c r="IO91" s="0" t="n">
        <f aca="false">SUM(IO88:IO90)</f>
        <v>-14000</v>
      </c>
      <c r="IP91" s="0" t="n">
        <f aca="false">SUM(IP88:IP90)</f>
        <v>-14000</v>
      </c>
      <c r="IQ91" s="0" t="n">
        <f aca="false">SUM(IQ88:IQ90)</f>
        <v>-14000</v>
      </c>
      <c r="IR91" s="0" t="n">
        <f aca="false">SUM(IR88:IR90)</f>
        <v>-14000</v>
      </c>
      <c r="IS91" s="0" t="n">
        <f aca="false">SUM(IS88:IS90)</f>
        <v>-14000</v>
      </c>
      <c r="IT91" s="0" t="n">
        <f aca="false">SUM(IT88:IT90)</f>
        <v>-14000</v>
      </c>
      <c r="IU91" s="0" t="n">
        <f aca="false">SUM(IU88:IU90)</f>
        <v>-14000</v>
      </c>
      <c r="IV91" s="0" t="n">
        <f aca="false">SUM(IV88:IV90)</f>
        <v>-14000</v>
      </c>
      <c r="IW91" s="0" t="n">
        <f aca="false">SUM(IW88:IW90)</f>
        <v>-14000</v>
      </c>
      <c r="IX91" s="0" t="n">
        <f aca="false">SUM(IX88:IX90)</f>
        <v>-14000</v>
      </c>
      <c r="IY91" s="0" t="n">
        <f aca="false">SUM(IY88:IY90)</f>
        <v>-14000</v>
      </c>
      <c r="IZ91" s="0" t="n">
        <f aca="false">SUM(IZ88:IZ90)</f>
        <v>-14000</v>
      </c>
      <c r="JA91" s="0" t="n">
        <f aca="false">SUM(JA88:JA90)</f>
        <v>-14000</v>
      </c>
      <c r="JB91" s="0" t="n">
        <f aca="false">SUM(JB88:JB90)</f>
        <v>-14000</v>
      </c>
      <c r="JC91" s="0" t="n">
        <f aca="false">SUM(JC88:JC90)</f>
        <v>-14000</v>
      </c>
      <c r="JD91" s="0" t="n">
        <f aca="false">SUM(JD88:JD90)</f>
        <v>-14000</v>
      </c>
      <c r="JE91" s="0" t="n">
        <f aca="false">SUM(JE88:JE90)</f>
        <v>-14000</v>
      </c>
      <c r="JF91" s="0" t="n">
        <f aca="false">SUM(JF88:JF90)</f>
        <v>-14000</v>
      </c>
      <c r="JG91" s="0" t="n">
        <f aca="false">SUM(JG88:JG90)</f>
        <v>-14000</v>
      </c>
      <c r="JH91" s="0" t="n">
        <f aca="false">SUM(JH88:JH90)</f>
        <v>-14000</v>
      </c>
      <c r="JI91" s="0" t="n">
        <f aca="false">SUM(JI88:JI90)</f>
        <v>-14000</v>
      </c>
      <c r="JJ91" s="0" t="n">
        <f aca="false">SUM(JJ88:JJ90)</f>
        <v>-14000</v>
      </c>
      <c r="JK91" s="0" t="n">
        <f aca="false">SUM(JK88:JK90)</f>
        <v>-14000</v>
      </c>
      <c r="JL91" s="0" t="n">
        <f aca="false">SUM(JL88:JL90)</f>
        <v>-14000</v>
      </c>
      <c r="JM91" s="0" t="n">
        <f aca="false">SUM(JM88:JM90)</f>
        <v>-14000</v>
      </c>
      <c r="JN91" s="0" t="n">
        <f aca="false">SUM(JN88:JN90)</f>
        <v>-14000</v>
      </c>
      <c r="JO91" s="0" t="n">
        <f aca="false">SUM(JO88:JO90)</f>
        <v>-14000</v>
      </c>
      <c r="JP91" s="0" t="n">
        <f aca="false">SUM(JP88:JP90)</f>
        <v>-14000</v>
      </c>
      <c r="JQ91" s="0" t="n">
        <f aca="false">SUM(JQ88:JQ90)</f>
        <v>-14000</v>
      </c>
      <c r="JR91" s="0" t="n">
        <f aca="false">SUM(JR88:JR90)</f>
        <v>-14000</v>
      </c>
      <c r="JS91" s="0" t="n">
        <f aca="false">SUM(JS88:JS90)</f>
        <v>-14000</v>
      </c>
      <c r="JT91" s="0" t="n">
        <f aca="false">SUM(JT88:JT90)</f>
        <v>-14000</v>
      </c>
      <c r="JU91" s="0" t="n">
        <f aca="false">SUM(JU88:JU90)</f>
        <v>-14000</v>
      </c>
      <c r="JV91" s="0" t="n">
        <f aca="false">SUM(JV88:JV90)</f>
        <v>-14000</v>
      </c>
      <c r="JW91" s="0" t="n">
        <f aca="false">SUM(JW88:JW90)</f>
        <v>-14000</v>
      </c>
      <c r="JX91" s="0" t="n">
        <f aca="false">SUM(JX88:JX90)</f>
        <v>-14000</v>
      </c>
      <c r="JY91" s="0" t="n">
        <f aca="false">SUM(JY88:JY90)</f>
        <v>-14000</v>
      </c>
      <c r="JZ91" s="0" t="n">
        <f aca="false">SUM(JZ88:JZ90)</f>
        <v>-14000</v>
      </c>
      <c r="KA91" s="0" t="n">
        <f aca="false">SUM(KA88:KA90)</f>
        <v>-14000</v>
      </c>
      <c r="KB91" s="0" t="n">
        <f aca="false">SUM(KB88:KB90)</f>
        <v>-14000</v>
      </c>
      <c r="KC91" s="0" t="n">
        <f aca="false">SUM(KC88:KC90)</f>
        <v>-14000</v>
      </c>
      <c r="KD91" s="0" t="n">
        <f aca="false">SUM(KD88:KD90)</f>
        <v>-14000</v>
      </c>
      <c r="KE91" s="0" t="n">
        <f aca="false">SUM(KE88:KE90)</f>
        <v>-14000</v>
      </c>
      <c r="KF91" s="0" t="n">
        <f aca="false">SUM(KF88:KF90)</f>
        <v>-14000</v>
      </c>
      <c r="KG91" s="0" t="n">
        <f aca="false">SUM(KG88:KG90)</f>
        <v>-14000</v>
      </c>
      <c r="KH91" s="0" t="n">
        <f aca="false">SUM(KH88:KH90)</f>
        <v>-14000</v>
      </c>
      <c r="KI91" s="0" t="n">
        <f aca="false">SUM(KI88:KI90)</f>
        <v>-14000</v>
      </c>
      <c r="KJ91" s="0" t="n">
        <f aca="false">SUM(KJ88:KJ90)</f>
        <v>-14000</v>
      </c>
      <c r="KK91" s="0" t="n">
        <f aca="false">SUM(KK88:KK90)</f>
        <v>-14000</v>
      </c>
      <c r="KL91" s="0" t="n">
        <f aca="false">SUM(KL88:KL90)</f>
        <v>-14000</v>
      </c>
      <c r="KM91" s="0" t="n">
        <f aca="false">SUM(KM88:KM90)</f>
        <v>-14000</v>
      </c>
      <c r="KN91" s="0" t="n">
        <f aca="false">SUM(KN88:KN90)</f>
        <v>-14000</v>
      </c>
      <c r="KO91" s="0" t="n">
        <f aca="false">SUM(KO88:KO90)</f>
        <v>-14000</v>
      </c>
      <c r="KP91" s="0" t="n">
        <f aca="false">SUM(KP88:KP90)</f>
        <v>-14000</v>
      </c>
      <c r="KQ91" s="0" t="n">
        <f aca="false">SUM(KQ88:KQ90)</f>
        <v>-14000</v>
      </c>
      <c r="KR91" s="0" t="n">
        <f aca="false">SUM(KR88:KR90)</f>
        <v>-14000</v>
      </c>
      <c r="KS91" s="0" t="n">
        <f aca="false">SUM(KS88:KS90)</f>
        <v>-14000</v>
      </c>
      <c r="KT91" s="0" t="n">
        <f aca="false">SUM(KT88:KT90)</f>
        <v>-14000</v>
      </c>
      <c r="KU91" s="0" t="n">
        <f aca="false">SUM(KU88:KU90)</f>
        <v>-14000</v>
      </c>
      <c r="KV91" s="0" t="n">
        <f aca="false">SUM(KV88:KV90)</f>
        <v>-14000</v>
      </c>
      <c r="KW91" s="0" t="n">
        <f aca="false">SUM(KW88:KW90)</f>
        <v>-14000</v>
      </c>
      <c r="KX91" s="0" t="n">
        <f aca="false">SUM(KX88:KX90)</f>
        <v>-14000</v>
      </c>
      <c r="KY91" s="0" t="n">
        <f aca="false">SUM(KY88:KY90)</f>
        <v>-14000</v>
      </c>
      <c r="KZ91" s="0" t="n">
        <f aca="false">SUM(KZ88:KZ90)</f>
        <v>-14000</v>
      </c>
      <c r="LA91" s="0" t="n">
        <f aca="false">SUM(LA88:LA90)</f>
        <v>-14000</v>
      </c>
      <c r="LB91" s="0" t="n">
        <f aca="false">SUM(LB88:LB90)</f>
        <v>-14000</v>
      </c>
      <c r="LC91" s="0" t="n">
        <f aca="false">SUM(LC88:LC90)</f>
        <v>-14000</v>
      </c>
      <c r="LD91" s="0" t="n">
        <f aca="false">SUM(LD88:LD90)</f>
        <v>-14000</v>
      </c>
      <c r="LE91" s="0" t="n">
        <f aca="false">SUM(LE88:LE90)</f>
        <v>-14000</v>
      </c>
      <c r="LF91" s="0" t="n">
        <f aca="false">SUM(LF88:LF90)</f>
        <v>-14000</v>
      </c>
      <c r="LG91" s="0" t="n">
        <f aca="false">SUM(LG88:LG90)</f>
        <v>-14000</v>
      </c>
      <c r="LH91" s="0" t="n">
        <f aca="false">SUM(LH88:LH90)</f>
        <v>-14000</v>
      </c>
      <c r="LI91" s="0" t="n">
        <f aca="false">SUM(LI88:LI90)</f>
        <v>-14000</v>
      </c>
      <c r="LJ91" s="0" t="n">
        <f aca="false">SUM(LJ88:LJ90)</f>
        <v>-14000</v>
      </c>
      <c r="LK91" s="0" t="n">
        <f aca="false">SUM(LK88:LK90)</f>
        <v>-14000</v>
      </c>
      <c r="LL91" s="0" t="n">
        <f aca="false">SUM(LL88:LL90)</f>
        <v>-14000</v>
      </c>
      <c r="LM91" s="0" t="n">
        <f aca="false">SUM(LM88:LM90)</f>
        <v>-14000</v>
      </c>
      <c r="LN91" s="0" t="n">
        <f aca="false">SUM(LN88:LN90)</f>
        <v>-14000</v>
      </c>
      <c r="LO91" s="0" t="n">
        <f aca="false">SUM(LO88:LO90)</f>
        <v>-14000</v>
      </c>
      <c r="LP91" s="0" t="n">
        <f aca="false">SUM(LP88:LP90)</f>
        <v>-14000</v>
      </c>
      <c r="LQ91" s="0" t="n">
        <f aca="false">SUM(LQ88:LQ90)</f>
        <v>-14000</v>
      </c>
      <c r="LR91" s="0" t="n">
        <f aca="false">SUM(LR88:LR90)</f>
        <v>-14000</v>
      </c>
      <c r="LS91" s="0" t="n">
        <f aca="false">SUM(LS88:LS90)</f>
        <v>-14000</v>
      </c>
      <c r="LT91" s="0" t="n">
        <f aca="false">SUM(LT88:LT90)</f>
        <v>-14000</v>
      </c>
      <c r="LU91" s="0" t="n">
        <f aca="false">SUM(LU88:LU90)</f>
        <v>-14000</v>
      </c>
      <c r="LV91" s="0" t="n">
        <f aca="false">SUM(LV88:LV90)</f>
        <v>-14000</v>
      </c>
      <c r="LW91" s="0" t="n">
        <f aca="false">SUM(LW88:LW90)</f>
        <v>-14000</v>
      </c>
      <c r="LX91" s="0" t="n">
        <f aca="false">SUM(LX88:LX90)</f>
        <v>-14000</v>
      </c>
      <c r="LY91" s="0" t="n">
        <f aca="false">SUM(LY88:LY90)</f>
        <v>-14000</v>
      </c>
      <c r="LZ91" s="0" t="n">
        <f aca="false">SUM(LZ88:LZ90)</f>
        <v>-14000</v>
      </c>
      <c r="MA91" s="0" t="n">
        <f aca="false">SUM(MA88:MA90)</f>
        <v>-14000</v>
      </c>
      <c r="MB91" s="0" t="n">
        <f aca="false">SUM(MB88:MB90)</f>
        <v>-14000</v>
      </c>
      <c r="MC91" s="0" t="n">
        <f aca="false">SUM(MC88:MC90)</f>
        <v>-14000</v>
      </c>
      <c r="MD91" s="0" t="n">
        <f aca="false">SUM(MD88:MD90)</f>
        <v>-14000</v>
      </c>
      <c r="ME91" s="0" t="n">
        <f aca="false">SUM(ME88:ME90)</f>
        <v>-14000</v>
      </c>
      <c r="MF91" s="0" t="n">
        <f aca="false">SUM(MF88:MF90)</f>
        <v>-14000</v>
      </c>
      <c r="MG91" s="0" t="n">
        <f aca="false">SUM(MG88:MG90)</f>
        <v>-14000</v>
      </c>
      <c r="MH91" s="0" t="n">
        <f aca="false">SUM(MH88:MH90)</f>
        <v>-14000</v>
      </c>
      <c r="MI91" s="0" t="n">
        <f aca="false">SUM(MI88:MI90)</f>
        <v>-14000</v>
      </c>
      <c r="MJ91" s="0" t="n">
        <f aca="false">SUM(MJ88:MJ90)</f>
        <v>-14000</v>
      </c>
      <c r="MK91" s="0" t="n">
        <f aca="false">SUM(MK88:MK90)</f>
        <v>-14000</v>
      </c>
      <c r="ML91" s="0" t="n">
        <f aca="false">SUM(ML88:ML90)</f>
        <v>-14000</v>
      </c>
      <c r="MM91" s="0" t="n">
        <f aca="false">SUM(MM88:MM90)</f>
        <v>-14000</v>
      </c>
      <c r="MN91" s="0" t="n">
        <f aca="false">SUM(MN88:MN90)</f>
        <v>-14000</v>
      </c>
      <c r="MO91" s="0" t="n">
        <f aca="false">SUM(MO88:MO90)</f>
        <v>-14000</v>
      </c>
      <c r="MP91" s="0" t="n">
        <f aca="false">SUM(MP88:MP90)</f>
        <v>-14000</v>
      </c>
      <c r="MQ91" s="0" t="n">
        <f aca="false">SUM(MQ88:MQ90)</f>
        <v>-14000</v>
      </c>
      <c r="MR91" s="0" t="n">
        <f aca="false">SUM(MR88:MR90)</f>
        <v>-14000</v>
      </c>
      <c r="MS91" s="0" t="n">
        <f aca="false">SUM(MS88:MS90)</f>
        <v>-14000</v>
      </c>
      <c r="MT91" s="0" t="n">
        <f aca="false">SUM(MT88:MT90)</f>
        <v>-14000</v>
      </c>
      <c r="MU91" s="0" t="n">
        <f aca="false">SUM(MU88:MU90)</f>
        <v>-14000</v>
      </c>
      <c r="MV91" s="0" t="n">
        <f aca="false">SUM(MV88:MV90)</f>
        <v>-14000</v>
      </c>
      <c r="MW91" s="0" t="n">
        <f aca="false">SUM(MW88:MW90)</f>
        <v>-14000</v>
      </c>
      <c r="MX91" s="0" t="n">
        <f aca="false">SUM(MX88:MX90)</f>
        <v>-14000</v>
      </c>
      <c r="MY91" s="0" t="n">
        <f aca="false">SUM(MY88:MY90)</f>
        <v>-14000</v>
      </c>
      <c r="MZ91" s="0" t="n">
        <f aca="false">SUM(MZ88:MZ90)</f>
        <v>-14000</v>
      </c>
      <c r="NA91" s="0" t="n">
        <f aca="false">SUM(NA88:NA90)</f>
        <v>-14000</v>
      </c>
      <c r="NB91" s="0" t="n">
        <f aca="false">SUM(NB88:NB90)</f>
        <v>-14000</v>
      </c>
      <c r="NC91" s="0" t="n">
        <f aca="false">SUM(NC88:NC90)</f>
        <v>-14000</v>
      </c>
      <c r="ND91" s="0" t="n">
        <f aca="false">SUM(ND88:ND90)</f>
        <v>-14000</v>
      </c>
      <c r="NE91" s="0" t="n">
        <f aca="false">SUM(NE88:NE90)</f>
        <v>-14000</v>
      </c>
      <c r="NF91" s="0" t="n">
        <f aca="false">SUM(NF88:NF90)</f>
        <v>-14000</v>
      </c>
      <c r="NG91" s="0" t="n">
        <f aca="false">SUM(NG88:NG90)</f>
        <v>-14000</v>
      </c>
      <c r="NH91" s="0" t="n">
        <f aca="false">SUM(NH88:NH90)</f>
        <v>-14000</v>
      </c>
      <c r="NI91" s="0" t="n">
        <f aca="false">SUM(NI88:NI90)</f>
        <v>-14000</v>
      </c>
      <c r="NJ91" s="0" t="n">
        <f aca="false">SUM(NJ88:NJ90)</f>
        <v>-14000</v>
      </c>
      <c r="NK91" s="0" t="n">
        <f aca="false">SUM(NK88:NK90)</f>
        <v>-14000</v>
      </c>
      <c r="NL91" s="0" t="n">
        <f aca="false">SUM(NL88:NL90)</f>
        <v>-14000</v>
      </c>
      <c r="NM91" s="0" t="n">
        <f aca="false">SUM(NM88:NM90)</f>
        <v>-14000</v>
      </c>
      <c r="NN91" s="0" t="n">
        <f aca="false">SUM(NN88:NN90)</f>
        <v>-14000</v>
      </c>
      <c r="NO91" s="0" t="n">
        <f aca="false">SUM(NO88:NO90)</f>
        <v>-14000</v>
      </c>
      <c r="NP91" s="0" t="n">
        <f aca="false">SUM(NP88:NP90)</f>
        <v>-14000</v>
      </c>
      <c r="NQ91" s="0" t="n">
        <f aca="false">SUM(NQ88:NQ90)</f>
        <v>-14000</v>
      </c>
      <c r="NR91" s="0" t="n">
        <f aca="false">SUM(NR88:NR90)</f>
        <v>-14000</v>
      </c>
      <c r="NS91" s="0" t="n">
        <f aca="false">SUM(NS88:NS90)</f>
        <v>-14000</v>
      </c>
      <c r="NT91" s="0" t="n">
        <f aca="false">SUM(NT88:NT90)</f>
        <v>-14000</v>
      </c>
      <c r="NU91" s="0" t="n">
        <f aca="false">SUM(NU88:NU90)</f>
        <v>-14000</v>
      </c>
      <c r="NV91" s="0" t="n">
        <f aca="false">SUM(NV88:NV90)</f>
        <v>-14000</v>
      </c>
      <c r="NW91" s="0" t="n">
        <f aca="false">SUM(NW88:NW90)</f>
        <v>-14000</v>
      </c>
      <c r="NX91" s="0" t="n">
        <f aca="false">SUM(NX88:NX90)</f>
        <v>-14000</v>
      </c>
      <c r="NY91" s="0" t="n">
        <f aca="false">SUM(NY88:NY90)</f>
        <v>-14000</v>
      </c>
      <c r="NZ91" s="0" t="n">
        <f aca="false">SUM(NZ88:NZ90)</f>
        <v>-14000</v>
      </c>
      <c r="OA91" s="0" t="n">
        <f aca="false">SUM(OA88:OA90)</f>
        <v>-14000</v>
      </c>
      <c r="OB91" s="0" t="n">
        <f aca="false">SUM(OB88:OB90)</f>
        <v>-14000</v>
      </c>
      <c r="OC91" s="0" t="n">
        <f aca="false">SUM(OC88:OC90)</f>
        <v>-14000</v>
      </c>
      <c r="OD91" s="0" t="n">
        <f aca="false">SUM(OD88:OD90)</f>
        <v>-14000</v>
      </c>
      <c r="OE91" s="0" t="n">
        <f aca="false">SUM(OE88:OE90)</f>
        <v>-14000</v>
      </c>
      <c r="OF91" s="0" t="n">
        <f aca="false">SUM(OF88:OF90)</f>
        <v>-14000</v>
      </c>
      <c r="OG91" s="0" t="n">
        <f aca="false">SUM(OG88:OG90)</f>
        <v>-14000</v>
      </c>
      <c r="OH91" s="0" t="n">
        <f aca="false">SUM(OH88:OH90)</f>
        <v>-14000</v>
      </c>
      <c r="OI91" s="0" t="n">
        <f aca="false">SUM(OI88:OI90)</f>
        <v>-14000</v>
      </c>
      <c r="OJ91" s="0" t="n">
        <f aca="false">SUM(OJ88:OJ90)</f>
        <v>-14000</v>
      </c>
      <c r="OK91" s="0" t="n">
        <f aca="false">SUM(OK88:OK90)</f>
        <v>-14000</v>
      </c>
      <c r="OL91" s="0" t="n">
        <f aca="false">SUM(OL88:OL90)</f>
        <v>-14000</v>
      </c>
      <c r="OM91" s="0" t="n">
        <f aca="false">SUM(OM88:OM90)</f>
        <v>-14000</v>
      </c>
      <c r="ON91" s="0" t="n">
        <f aca="false">SUM(ON88:ON90)</f>
        <v>-14000</v>
      </c>
      <c r="OO91" s="0" t="n">
        <f aca="false">SUM(OO88:OO90)</f>
        <v>-14000</v>
      </c>
      <c r="OP91" s="0" t="n">
        <f aca="false">SUM(OP88:OP90)</f>
        <v>-14000</v>
      </c>
      <c r="OQ91" s="0" t="n">
        <f aca="false">SUM(OQ88:OQ90)</f>
        <v>-14000</v>
      </c>
      <c r="OR91" s="0" t="n">
        <f aca="false">SUM(OR88:OR90)</f>
        <v>-14000</v>
      </c>
      <c r="OS91" s="0" t="n">
        <f aca="false">SUM(OS88:OS90)</f>
        <v>-14000</v>
      </c>
      <c r="OT91" s="0" t="n">
        <f aca="false">SUM(OT88:OT90)</f>
        <v>-14000</v>
      </c>
      <c r="OU91" s="0" t="n">
        <f aca="false">SUM(OU88:OU90)</f>
        <v>-14000</v>
      </c>
      <c r="OV91" s="0" t="n">
        <f aca="false">SUM(OV88:OV90)</f>
        <v>-14000</v>
      </c>
      <c r="OW91" s="0" t="n">
        <f aca="false">SUM(OW88:OW90)</f>
        <v>-14000</v>
      </c>
      <c r="OX91" s="0" t="n">
        <f aca="false">SUM(OX88:OX90)</f>
        <v>-14000</v>
      </c>
      <c r="OY91" s="0" t="n">
        <f aca="false">SUM(OY88:OY90)</f>
        <v>-14000</v>
      </c>
      <c r="OZ91" s="0" t="n">
        <f aca="false">SUM(OZ88:OZ90)</f>
        <v>-14000</v>
      </c>
      <c r="PA91" s="0" t="n">
        <f aca="false">SUM(PA88:PA90)</f>
        <v>-14000</v>
      </c>
      <c r="PB91" s="0" t="n">
        <f aca="false">SUM(PB88:PB90)</f>
        <v>-14000</v>
      </c>
      <c r="PC91" s="0" t="n">
        <f aca="false">SUM(PC88:PC90)</f>
        <v>-14000</v>
      </c>
      <c r="PD91" s="0" t="n">
        <f aca="false">SUM(PD88:PD90)</f>
        <v>-14000</v>
      </c>
      <c r="PE91" s="0" t="n">
        <f aca="false">SUM(PE88:PE90)</f>
        <v>-14000</v>
      </c>
      <c r="PF91" s="0" t="n">
        <f aca="false">SUM(PF88:PF90)</f>
        <v>-14000</v>
      </c>
      <c r="PG91" s="0" t="n">
        <f aca="false">SUM(PG88:PG90)</f>
        <v>-14000</v>
      </c>
      <c r="PH91" s="0" t="n">
        <f aca="false">SUM(PH88:PH90)</f>
        <v>-14000</v>
      </c>
      <c r="PI91" s="0" t="n">
        <f aca="false">SUM(PI88:PI90)</f>
        <v>-14000</v>
      </c>
      <c r="PJ91" s="0" t="n">
        <f aca="false">SUM(PJ88:PJ90)</f>
        <v>-14000</v>
      </c>
      <c r="PK91" s="0" t="n">
        <f aca="false">SUM(PK88:PK90)</f>
        <v>-14000</v>
      </c>
      <c r="PL91" s="0" t="n">
        <f aca="false">SUM(PL88:PL90)</f>
        <v>-14000</v>
      </c>
      <c r="PM91" s="0" t="n">
        <f aca="false">SUM(PM88:PM90)</f>
        <v>-14000</v>
      </c>
      <c r="PN91" s="0" t="n">
        <f aca="false">SUM(PN88:PN90)</f>
        <v>-14000</v>
      </c>
      <c r="PO91" s="0" t="n">
        <f aca="false">SUM(PO88:PO90)</f>
        <v>-14000</v>
      </c>
      <c r="PP91" s="0" t="n">
        <f aca="false">SUM(PP88:PP90)</f>
        <v>-14000</v>
      </c>
      <c r="PQ91" s="0" t="n">
        <f aca="false">SUM(PQ88:PQ90)</f>
        <v>-14000</v>
      </c>
      <c r="PR91" s="0" t="n">
        <f aca="false">SUM(PR88:PR90)</f>
        <v>-14000</v>
      </c>
      <c r="PS91" s="0" t="n">
        <f aca="false">SUM(PS88:PS90)</f>
        <v>-14000</v>
      </c>
      <c r="PT91" s="0" t="n">
        <f aca="false">SUM(PT88:PT90)</f>
        <v>-14000</v>
      </c>
      <c r="PU91" s="0" t="n">
        <f aca="false">SUM(PU88:PU90)</f>
        <v>-14000</v>
      </c>
      <c r="PV91" s="0" t="n">
        <f aca="false">SUM(PV88:PV90)</f>
        <v>-14000</v>
      </c>
      <c r="PW91" s="0" t="n">
        <f aca="false">SUM(PW88:PW90)</f>
        <v>-14000</v>
      </c>
      <c r="PX91" s="0" t="n">
        <f aca="false">SUM(PX88:PX90)</f>
        <v>-14000</v>
      </c>
      <c r="PY91" s="0" t="n">
        <f aca="false">SUM(PY88:PY90)</f>
        <v>-14000</v>
      </c>
      <c r="PZ91" s="0" t="n">
        <f aca="false">SUM(PZ88:PZ90)</f>
        <v>-14000</v>
      </c>
      <c r="QA91" s="0" t="n">
        <f aca="false">SUM(QA88:QA90)</f>
        <v>-14000</v>
      </c>
      <c r="QB91" s="0" t="n">
        <f aca="false">SUM(QB88:QB90)</f>
        <v>-14000</v>
      </c>
      <c r="QC91" s="0" t="n">
        <f aca="false">SUM(QC88:QC90)</f>
        <v>-14000</v>
      </c>
      <c r="QD91" s="0" t="n">
        <f aca="false">SUM(QD88:QD90)</f>
        <v>-14000</v>
      </c>
      <c r="QE91" s="0" t="n">
        <f aca="false">SUM(QE88:QE90)</f>
        <v>-14000</v>
      </c>
      <c r="QF91" s="0" t="n">
        <f aca="false">SUM(QF88:QF90)</f>
        <v>-14000</v>
      </c>
      <c r="QG91" s="0" t="n">
        <f aca="false">SUM(QG88:QG90)</f>
        <v>-14000</v>
      </c>
      <c r="QH91" s="0" t="n">
        <f aca="false">SUM(QH88:QH90)</f>
        <v>-14000</v>
      </c>
      <c r="QI91" s="0" t="n">
        <f aca="false">SUM(QI88:QI90)</f>
        <v>-14000</v>
      </c>
      <c r="QJ91" s="0" t="n">
        <f aca="false">SUM(QJ88:QJ90)</f>
        <v>-14000</v>
      </c>
      <c r="QK91" s="0" t="n">
        <f aca="false">SUM(QK88:QK90)</f>
        <v>-14000</v>
      </c>
      <c r="QL91" s="0" t="n">
        <f aca="false">SUM(QL88:QL90)</f>
        <v>-14000</v>
      </c>
      <c r="QM91" s="0" t="n">
        <f aca="false">SUM(QM88:QM90)</f>
        <v>-14000</v>
      </c>
      <c r="QN91" s="0" t="n">
        <f aca="false">SUM(QN88:QN90)</f>
        <v>-14000</v>
      </c>
      <c r="QO91" s="0" t="n">
        <f aca="false">SUM(QO88:QO90)</f>
        <v>-14000</v>
      </c>
      <c r="QP91" s="0" t="n">
        <f aca="false">SUM(QP88:QP90)</f>
        <v>-14000</v>
      </c>
      <c r="QQ91" s="0" t="n">
        <f aca="false">SUM(QQ88:QQ90)</f>
        <v>-14000</v>
      </c>
      <c r="QR91" s="0" t="n">
        <f aca="false">SUM(QR88:QR90)</f>
        <v>-14000</v>
      </c>
      <c r="QS91" s="0" t="n">
        <f aca="false">SUM(QS88:QS90)</f>
        <v>-14000</v>
      </c>
      <c r="QT91" s="0" t="n">
        <f aca="false">SUM(QT88:QT90)</f>
        <v>-14000</v>
      </c>
      <c r="QU91" s="0" t="n">
        <f aca="false">SUM(QU88:QU90)</f>
        <v>-14000</v>
      </c>
      <c r="QV91" s="0" t="n">
        <f aca="false">SUM(QV88:QV90)</f>
        <v>-14000</v>
      </c>
      <c r="QW91" s="0" t="n">
        <f aca="false">SUM(QW88:QW90)</f>
        <v>-14000</v>
      </c>
      <c r="QX91" s="0" t="n">
        <f aca="false">SUM(QX88:QX90)</f>
        <v>-14000</v>
      </c>
      <c r="QY91" s="0" t="n">
        <f aca="false">SUM(QY88:QY90)</f>
        <v>-14000</v>
      </c>
      <c r="QZ91" s="0" t="n">
        <f aca="false">SUM(QZ88:QZ90)</f>
        <v>-14000</v>
      </c>
      <c r="RA91" s="0" t="n">
        <f aca="false">SUM(RA88:RA90)</f>
        <v>-14000</v>
      </c>
      <c r="RB91" s="0" t="n">
        <f aca="false">SUM(RB88:RB90)</f>
        <v>-14000</v>
      </c>
      <c r="RC91" s="0" t="n">
        <f aca="false">SUM(RC88:RC90)</f>
        <v>-14000</v>
      </c>
      <c r="RD91" s="0" t="n">
        <f aca="false">SUM(RD88:RD90)</f>
        <v>-14000</v>
      </c>
      <c r="RE91" s="0" t="n">
        <f aca="false">SUM(RE88:RE90)</f>
        <v>-14000</v>
      </c>
      <c r="RF91" s="0" t="n">
        <f aca="false">SUM(RF88:RF90)</f>
        <v>-14000</v>
      </c>
      <c r="RG91" s="0" t="n">
        <f aca="false">SUM(RG88:RG90)</f>
        <v>-14000</v>
      </c>
      <c r="RH91" s="0" t="n">
        <f aca="false">SUM(RH88:RH90)</f>
        <v>-14000</v>
      </c>
      <c r="RI91" s="0" t="n">
        <f aca="false">SUM(RI88:RI90)</f>
        <v>-14000</v>
      </c>
      <c r="RJ91" s="0" t="n">
        <f aca="false">SUM(RJ88:RJ90)</f>
        <v>-14000</v>
      </c>
      <c r="RK91" s="0" t="n">
        <f aca="false">SUM(RK88:RK90)</f>
        <v>-14000</v>
      </c>
      <c r="RL91" s="0" t="n">
        <f aca="false">SUM(RL88:RL90)</f>
        <v>-14000</v>
      </c>
      <c r="RM91" s="0" t="n">
        <f aca="false">SUM(RM88:RM90)</f>
        <v>-14000</v>
      </c>
      <c r="RN91" s="0" t="n">
        <f aca="false">SUM(RN88:RN90)</f>
        <v>-14000</v>
      </c>
      <c r="RO91" s="0" t="n">
        <f aca="false">SUM(RO88:RO90)</f>
        <v>-14000</v>
      </c>
      <c r="RP91" s="0" t="n">
        <f aca="false">SUM(RP88:RP90)</f>
        <v>-14000</v>
      </c>
      <c r="RQ91" s="0" t="n">
        <f aca="false">SUM(RQ88:RQ90)</f>
        <v>-14000</v>
      </c>
      <c r="RR91" s="0" t="n">
        <f aca="false">SUM(RR88:RR90)</f>
        <v>-14000</v>
      </c>
      <c r="RS91" s="0" t="n">
        <f aca="false">SUM(RS88:RS90)</f>
        <v>-14000</v>
      </c>
      <c r="RT91" s="0" t="n">
        <f aca="false">SUM(RT88:RT90)</f>
        <v>-14000</v>
      </c>
      <c r="RU91" s="0" t="n">
        <f aca="false">SUM(RU88:RU90)</f>
        <v>-14000</v>
      </c>
      <c r="RV91" s="0" t="n">
        <f aca="false">SUM(RV88:RV90)</f>
        <v>-14000</v>
      </c>
      <c r="RW91" s="0" t="n">
        <f aca="false">SUM(RW88:RW90)</f>
        <v>-14000</v>
      </c>
      <c r="RX91" s="0" t="n">
        <f aca="false">SUM(RX88:RX90)</f>
        <v>-14000</v>
      </c>
      <c r="RY91" s="0" t="n">
        <f aca="false">SUM(RY88:RY90)</f>
        <v>-14000</v>
      </c>
      <c r="RZ91" s="0" t="n">
        <f aca="false">SUM(RZ88:RZ90)</f>
        <v>-14000</v>
      </c>
      <c r="SA91" s="0" t="n">
        <f aca="false">SUM(SA88:SA90)</f>
        <v>-14000</v>
      </c>
      <c r="SB91" s="0" t="n">
        <f aca="false">SUM(SB88:SB90)</f>
        <v>-14000</v>
      </c>
      <c r="SC91" s="0" t="n">
        <f aca="false">SUM(SC88:SC90)</f>
        <v>-14000</v>
      </c>
      <c r="SD91" s="0" t="n">
        <f aca="false">SUM(SD88:SD90)</f>
        <v>-14000</v>
      </c>
      <c r="SE91" s="0" t="n">
        <f aca="false">SUM(SE88:SE90)</f>
        <v>-14000</v>
      </c>
      <c r="SF91" s="0" t="n">
        <f aca="false">SUM(SF88:SF90)</f>
        <v>-14000</v>
      </c>
      <c r="SG91" s="0" t="n">
        <f aca="false">SUM(SG88:SG90)</f>
        <v>-14000</v>
      </c>
      <c r="SH91" s="0" t="n">
        <f aca="false">SUM(SH88:SH90)</f>
        <v>-14000</v>
      </c>
      <c r="SI91" s="0" t="n">
        <f aca="false">SUM(SI88:SI90)</f>
        <v>-14000</v>
      </c>
      <c r="SJ91" s="0" t="n">
        <f aca="false">SUM(SJ88:SJ90)</f>
        <v>-14000</v>
      </c>
      <c r="SK91" s="0" t="n">
        <f aca="false">SUM(SK88:SK90)</f>
        <v>-14000</v>
      </c>
      <c r="SL91" s="0" t="n">
        <f aca="false">SUM(SL88:SL90)</f>
        <v>-14000</v>
      </c>
      <c r="SM91" s="0" t="n">
        <f aca="false">SUM(SM88:SM90)</f>
        <v>-14000</v>
      </c>
      <c r="SN91" s="0" t="n">
        <f aca="false">SUM(SN88:SN90)</f>
        <v>-14000</v>
      </c>
      <c r="SO91" s="0" t="n">
        <f aca="false">SUM(SO88:SO90)</f>
        <v>-14000</v>
      </c>
      <c r="SP91" s="0" t="n">
        <f aca="false">SUM(SP88:SP90)</f>
        <v>-14000</v>
      </c>
      <c r="SQ91" s="0" t="n">
        <f aca="false">SUM(SQ88:SQ90)</f>
        <v>-14000</v>
      </c>
      <c r="SR91" s="0" t="n">
        <f aca="false">SUM(SR88:SR90)</f>
        <v>-14000</v>
      </c>
      <c r="SS91" s="0" t="n">
        <f aca="false">SUM(SS88:SS90)</f>
        <v>-14000</v>
      </c>
      <c r="ST91" s="0" t="n">
        <f aca="false">SUM(ST88:ST90)</f>
        <v>-14000</v>
      </c>
      <c r="SU91" s="0" t="n">
        <f aca="false">SUM(SU88:SU90)</f>
        <v>-14000</v>
      </c>
      <c r="SV91" s="0" t="n">
        <f aca="false">SUM(SV88:SV90)</f>
        <v>-14000</v>
      </c>
      <c r="SW91" s="0" t="n">
        <f aca="false">SUM(SW88:SW90)</f>
        <v>-14000</v>
      </c>
      <c r="SX91" s="0" t="n">
        <f aca="false">SUM(SX88:SX90)</f>
        <v>-14000</v>
      </c>
      <c r="SY91" s="0" t="n">
        <f aca="false">SUM(SY88:SY90)</f>
        <v>-14000</v>
      </c>
      <c r="SZ91" s="0" t="n">
        <f aca="false">SUM(SZ88:SZ90)</f>
        <v>-14000</v>
      </c>
      <c r="TA91" s="0" t="n">
        <f aca="false">SUM(TA88:TA90)</f>
        <v>-14000</v>
      </c>
      <c r="TB91" s="0" t="n">
        <f aca="false">SUM(TB88:TB90)</f>
        <v>-14000</v>
      </c>
      <c r="TC91" s="0" t="n">
        <f aca="false">SUM(TC88:TC90)</f>
        <v>-14000</v>
      </c>
      <c r="TD91" s="0" t="n">
        <f aca="false">SUM(TD88:TD90)</f>
        <v>-14000</v>
      </c>
      <c r="TE91" s="0" t="n">
        <f aca="false">SUM(TE88:TE90)</f>
        <v>-14000</v>
      </c>
      <c r="TF91" s="0" t="n">
        <f aca="false">SUM(TF88:TF90)</f>
        <v>-14000</v>
      </c>
      <c r="TG91" s="0" t="n">
        <f aca="false">SUM(TG88:TG90)</f>
        <v>-14000</v>
      </c>
      <c r="TH91" s="0" t="n">
        <f aca="false">SUM(TH88:TH90)</f>
        <v>-14000</v>
      </c>
      <c r="TI91" s="0" t="n">
        <f aca="false">SUM(TI88:TI90)</f>
        <v>-14000</v>
      </c>
      <c r="TJ91" s="0" t="n">
        <f aca="false">SUM(TJ88:TJ90)</f>
        <v>-14000</v>
      </c>
      <c r="TK91" s="0" t="n">
        <f aca="false">SUM(TK88:TK90)</f>
        <v>-14000</v>
      </c>
      <c r="TL91" s="0" t="n">
        <f aca="false">SUM(TL88:TL90)</f>
        <v>-14000</v>
      </c>
      <c r="TM91" s="0" t="n">
        <f aca="false">SUM(TM88:TM90)</f>
        <v>-14000</v>
      </c>
      <c r="TN91" s="0" t="n">
        <f aca="false">SUM(TN88:TN90)</f>
        <v>-14000</v>
      </c>
      <c r="TO91" s="0" t="n">
        <f aca="false">SUM(TO88:TO90)</f>
        <v>-14000</v>
      </c>
      <c r="TP91" s="0" t="n">
        <f aca="false">SUM(TP88:TP90)</f>
        <v>-14000</v>
      </c>
      <c r="TQ91" s="0" t="n">
        <f aca="false">SUM(TQ88:TQ90)</f>
        <v>-14000</v>
      </c>
      <c r="TR91" s="0" t="n">
        <f aca="false">SUM(TR88:TR90)</f>
        <v>-14000</v>
      </c>
      <c r="TS91" s="0" t="n">
        <f aca="false">SUM(TS88:TS90)</f>
        <v>-14000</v>
      </c>
      <c r="TT91" s="0" t="n">
        <f aca="false">SUM(TT88:TT90)</f>
        <v>-14000</v>
      </c>
      <c r="TU91" s="0" t="n">
        <f aca="false">SUM(TU88:TU90)</f>
        <v>-14000</v>
      </c>
      <c r="TV91" s="0" t="n">
        <f aca="false">SUM(TV88:TV90)</f>
        <v>-14000</v>
      </c>
      <c r="TW91" s="0" t="n">
        <f aca="false">SUM(TW88:TW90)</f>
        <v>-14000</v>
      </c>
      <c r="TX91" s="0" t="n">
        <f aca="false">SUM(TX88:TX90)</f>
        <v>-14000</v>
      </c>
      <c r="TY91" s="0" t="n">
        <f aca="false">SUM(TY88:TY90)</f>
        <v>-14000</v>
      </c>
      <c r="TZ91" s="0" t="n">
        <f aca="false">SUM(TZ88:TZ90)</f>
        <v>-14000</v>
      </c>
      <c r="UA91" s="0" t="n">
        <f aca="false">SUM(UA88:UA90)</f>
        <v>-14000</v>
      </c>
      <c r="UB91" s="0" t="n">
        <f aca="false">SUM(UB88:UB90)</f>
        <v>-14000</v>
      </c>
      <c r="UC91" s="0" t="n">
        <f aca="false">SUM(UC88:UC90)</f>
        <v>-14000</v>
      </c>
      <c r="UD91" s="0" t="n">
        <f aca="false">SUM(UD88:UD90)</f>
        <v>-14000</v>
      </c>
      <c r="UE91" s="0" t="n">
        <f aca="false">SUM(UE88:UE90)</f>
        <v>-14000</v>
      </c>
      <c r="UF91" s="0" t="n">
        <f aca="false">SUM(UF88:UF90)</f>
        <v>-14000</v>
      </c>
      <c r="UG91" s="0" t="n">
        <f aca="false">SUM(UG88:UG90)</f>
        <v>-14000</v>
      </c>
      <c r="UH91" s="0" t="n">
        <f aca="false">SUM(UH88:UH90)</f>
        <v>-14000</v>
      </c>
      <c r="UI91" s="0" t="n">
        <f aca="false">SUM(UI88:UI90)</f>
        <v>-14000</v>
      </c>
      <c r="UJ91" s="0" t="n">
        <f aca="false">SUM(UJ88:UJ90)</f>
        <v>-14000</v>
      </c>
      <c r="UK91" s="0" t="n">
        <f aca="false">SUM(UK88:UK90)</f>
        <v>-14000</v>
      </c>
      <c r="UL91" s="0" t="n">
        <f aca="false">SUM(UL88:UL90)</f>
        <v>-14000</v>
      </c>
      <c r="UM91" s="0" t="n">
        <f aca="false">SUM(UM88:UM90)</f>
        <v>-14000</v>
      </c>
      <c r="UN91" s="0" t="n">
        <f aca="false">SUM(UN88:UN90)</f>
        <v>-14000</v>
      </c>
      <c r="UO91" s="0" t="n">
        <f aca="false">SUM(UO88:UO90)</f>
        <v>-14000</v>
      </c>
      <c r="UP91" s="0" t="n">
        <f aca="false">SUM(UP88:UP90)</f>
        <v>-14000</v>
      </c>
      <c r="UQ91" s="0" t="n">
        <f aca="false">SUM(UQ88:UQ90)</f>
        <v>-14000</v>
      </c>
      <c r="UR91" s="0" t="n">
        <f aca="false">SUM(UR88:UR90)</f>
        <v>-14000</v>
      </c>
      <c r="US91" s="0" t="n">
        <f aca="false">SUM(US88:US90)</f>
        <v>-14000</v>
      </c>
      <c r="UT91" s="0" t="n">
        <f aca="false">SUM(UT88:UT90)</f>
        <v>-14000</v>
      </c>
      <c r="UU91" s="0" t="n">
        <f aca="false">SUM(UU88:UU90)</f>
        <v>-14000</v>
      </c>
      <c r="UV91" s="0" t="n">
        <f aca="false">SUM(UV88:UV90)</f>
        <v>-14000</v>
      </c>
      <c r="UW91" s="0" t="n">
        <f aca="false">SUM(UW88:UW90)</f>
        <v>-14000</v>
      </c>
      <c r="UX91" s="0" t="n">
        <f aca="false">SUM(UX88:UX90)</f>
        <v>-14000</v>
      </c>
      <c r="UY91" s="0" t="n">
        <f aca="false">SUM(UY88:UY90)</f>
        <v>-14000</v>
      </c>
      <c r="UZ91" s="0" t="n">
        <f aca="false">SUM(UZ88:UZ90)</f>
        <v>-14000</v>
      </c>
      <c r="VA91" s="0" t="n">
        <f aca="false">SUM(VA88:VA90)</f>
        <v>-14000</v>
      </c>
      <c r="VB91" s="0" t="n">
        <f aca="false">SUM(VB88:VB90)</f>
        <v>-14000</v>
      </c>
      <c r="VC91" s="0" t="n">
        <f aca="false">SUM(VC88:VC90)</f>
        <v>-14000</v>
      </c>
      <c r="VD91" s="0" t="n">
        <f aca="false">SUM(VD88:VD90)</f>
        <v>-14000</v>
      </c>
      <c r="VE91" s="0" t="n">
        <f aca="false">SUM(VE88:VE90)</f>
        <v>-14000</v>
      </c>
      <c r="VF91" s="0" t="n">
        <f aca="false">SUM(VF88:VF90)</f>
        <v>-14000</v>
      </c>
      <c r="VG91" s="0" t="n">
        <f aca="false">SUM(VG88:VG90)</f>
        <v>-14000</v>
      </c>
      <c r="VH91" s="0" t="n">
        <f aca="false">SUM(VH88:VH90)</f>
        <v>-14000</v>
      </c>
      <c r="VI91" s="0" t="n">
        <f aca="false">SUM(VI88:VI90)</f>
        <v>-14000</v>
      </c>
      <c r="VJ91" s="0" t="n">
        <f aca="false">SUM(VJ88:VJ90)</f>
        <v>-14000</v>
      </c>
      <c r="VK91" s="0" t="n">
        <f aca="false">SUM(VK88:VK90)</f>
        <v>-14000</v>
      </c>
      <c r="VL91" s="0" t="n">
        <f aca="false">SUM(VL88:VL90)</f>
        <v>-14000</v>
      </c>
      <c r="VM91" s="0" t="n">
        <f aca="false">SUM(VM88:VM90)</f>
        <v>-14000</v>
      </c>
      <c r="VN91" s="0" t="n">
        <f aca="false">SUM(VN88:VN90)</f>
        <v>-14000</v>
      </c>
      <c r="VO91" s="0" t="n">
        <f aca="false">SUM(VO88:VO90)</f>
        <v>-14000</v>
      </c>
      <c r="VP91" s="0" t="n">
        <f aca="false">SUM(VP88:VP90)</f>
        <v>-14000</v>
      </c>
      <c r="VQ91" s="0" t="n">
        <f aca="false">SUM(VQ88:VQ90)</f>
        <v>-14000</v>
      </c>
      <c r="VR91" s="0" t="n">
        <f aca="false">SUM(VR88:VR90)</f>
        <v>-14000</v>
      </c>
      <c r="VS91" s="0" t="n">
        <f aca="false">SUM(VS88:VS90)</f>
        <v>-14000</v>
      </c>
      <c r="VT91" s="0" t="n">
        <f aca="false">SUM(VT88:VT90)</f>
        <v>-14000</v>
      </c>
      <c r="VU91" s="0" t="n">
        <f aca="false">SUM(VU88:VU90)</f>
        <v>-14000</v>
      </c>
      <c r="VV91" s="0" t="n">
        <f aca="false">SUM(VV88:VV90)</f>
        <v>-14000</v>
      </c>
      <c r="VW91" s="0" t="n">
        <f aca="false">SUM(VW88:VW90)</f>
        <v>-14000</v>
      </c>
      <c r="VX91" s="0" t="n">
        <f aca="false">SUM(VX88:VX90)</f>
        <v>-14000</v>
      </c>
      <c r="VY91" s="0" t="n">
        <f aca="false">SUM(VY88:VY90)</f>
        <v>-14000</v>
      </c>
      <c r="VZ91" s="0" t="n">
        <f aca="false">SUM(VZ88:VZ90)</f>
        <v>-14000</v>
      </c>
      <c r="WA91" s="0" t="n">
        <f aca="false">SUM(WA88:WA90)</f>
        <v>-14000</v>
      </c>
      <c r="WB91" s="0" t="n">
        <f aca="false">SUM(WB88:WB90)</f>
        <v>-14000</v>
      </c>
      <c r="WC91" s="0" t="n">
        <f aca="false">SUM(WC88:WC90)</f>
        <v>-14000</v>
      </c>
      <c r="WD91" s="0" t="n">
        <f aca="false">SUM(WD88:WD90)</f>
        <v>-14000</v>
      </c>
      <c r="WE91" s="0" t="n">
        <f aca="false">SUM(WE88:WE90)</f>
        <v>-14000</v>
      </c>
      <c r="WF91" s="0" t="n">
        <f aca="false">SUM(WF88:WF90)</f>
        <v>-14000</v>
      </c>
      <c r="WG91" s="0" t="n">
        <f aca="false">SUM(WG88:WG90)</f>
        <v>-14000</v>
      </c>
      <c r="WH91" s="0" t="n">
        <f aca="false">SUM(WH88:WH90)</f>
        <v>-14000</v>
      </c>
      <c r="WI91" s="0" t="n">
        <f aca="false">SUM(WI88:WI90)</f>
        <v>-14000</v>
      </c>
      <c r="WJ91" s="0" t="n">
        <f aca="false">SUM(WJ88:WJ90)</f>
        <v>-14000</v>
      </c>
      <c r="WK91" s="0" t="n">
        <f aca="false">SUM(WK88:WK90)</f>
        <v>-14000</v>
      </c>
      <c r="WL91" s="0" t="n">
        <f aca="false">SUM(WL88:WL90)</f>
        <v>-14000</v>
      </c>
      <c r="WM91" s="0" t="n">
        <f aca="false">SUM(WM88:WM90)</f>
        <v>-14000</v>
      </c>
      <c r="WN91" s="0" t="n">
        <f aca="false">SUM(WN88:WN90)</f>
        <v>-14000</v>
      </c>
      <c r="WO91" s="0" t="n">
        <f aca="false">SUM(WO88:WO90)</f>
        <v>-14000</v>
      </c>
      <c r="WP91" s="0" t="n">
        <f aca="false">SUM(WP88:WP90)</f>
        <v>-14000</v>
      </c>
      <c r="WQ91" s="0" t="n">
        <f aca="false">SUM(WQ88:WQ90)</f>
        <v>-14000</v>
      </c>
      <c r="WR91" s="0" t="n">
        <f aca="false">SUM(WR88:WR90)</f>
        <v>-14000</v>
      </c>
      <c r="WS91" s="0" t="n">
        <f aca="false">SUM(WS88:WS90)</f>
        <v>-14000</v>
      </c>
      <c r="WT91" s="0" t="n">
        <f aca="false">SUM(WT88:WT90)</f>
        <v>-14000</v>
      </c>
      <c r="WU91" s="0" t="n">
        <f aca="false">SUM(WU88:WU90)</f>
        <v>-14000</v>
      </c>
      <c r="WV91" s="0" t="n">
        <f aca="false">SUM(WV88:WV90)</f>
        <v>-14000</v>
      </c>
      <c r="WW91" s="0" t="n">
        <f aca="false">SUM(WW88:WW90)</f>
        <v>-14000</v>
      </c>
      <c r="WX91" s="0" t="n">
        <f aca="false">SUM(WX88:WX90)</f>
        <v>-14000</v>
      </c>
      <c r="WY91" s="0" t="n">
        <f aca="false">SUM(WY88:WY90)</f>
        <v>-14000</v>
      </c>
      <c r="WZ91" s="0" t="n">
        <f aca="false">SUM(WZ88:WZ90)</f>
        <v>-14000</v>
      </c>
      <c r="XA91" s="0" t="n">
        <f aca="false">SUM(XA88:XA90)</f>
        <v>-14000</v>
      </c>
      <c r="XB91" s="0" t="n">
        <f aca="false">SUM(XB88:XB90)</f>
        <v>-14000</v>
      </c>
      <c r="XC91" s="0" t="n">
        <f aca="false">SUM(XC88:XC90)</f>
        <v>-14000</v>
      </c>
      <c r="XD91" s="0" t="n">
        <f aca="false">SUM(XD88:XD90)</f>
        <v>-14000</v>
      </c>
      <c r="XE91" s="0" t="n">
        <f aca="false">SUM(XE88:XE90)</f>
        <v>-14000</v>
      </c>
      <c r="XF91" s="0" t="n">
        <f aca="false">SUM(XF88:XF90)</f>
        <v>-14000</v>
      </c>
      <c r="XG91" s="0" t="n">
        <f aca="false">SUM(XG88:XG90)</f>
        <v>-14000</v>
      </c>
      <c r="XH91" s="0" t="n">
        <f aca="false">SUM(XH88:XH90)</f>
        <v>-14000</v>
      </c>
      <c r="XI91" s="0" t="n">
        <f aca="false">SUM(XI88:XI90)</f>
        <v>-14000</v>
      </c>
      <c r="XJ91" s="0" t="n">
        <f aca="false">SUM(XJ88:XJ90)</f>
        <v>-14000</v>
      </c>
      <c r="XK91" s="0" t="n">
        <f aca="false">SUM(XK88:XK90)</f>
        <v>-14000</v>
      </c>
      <c r="XL91" s="0" t="n">
        <f aca="false">SUM(XL88:XL90)</f>
        <v>-14000</v>
      </c>
      <c r="XM91" s="0" t="n">
        <f aca="false">SUM(XM88:XM90)</f>
        <v>-14000</v>
      </c>
      <c r="XN91" s="0" t="n">
        <f aca="false">SUM(XN88:XN90)</f>
        <v>-14000</v>
      </c>
      <c r="XO91" s="0" t="n">
        <f aca="false">SUM(XO88:XO90)</f>
        <v>-14000</v>
      </c>
      <c r="XP91" s="0" t="n">
        <f aca="false">SUM(XP88:XP90)</f>
        <v>-14000</v>
      </c>
      <c r="XQ91" s="0" t="n">
        <f aca="false">SUM(XQ88:XQ90)</f>
        <v>-14000</v>
      </c>
      <c r="XR91" s="0" t="n">
        <f aca="false">SUM(XR88:XR90)</f>
        <v>-14000</v>
      </c>
      <c r="XS91" s="0" t="n">
        <f aca="false">SUM(XS88:XS90)</f>
        <v>-14000</v>
      </c>
      <c r="XT91" s="0" t="n">
        <f aca="false">SUM(XT88:XT90)</f>
        <v>-14000</v>
      </c>
      <c r="XU91" s="0" t="n">
        <f aca="false">SUM(XU88:XU90)</f>
        <v>-14000</v>
      </c>
      <c r="XV91" s="0" t="n">
        <f aca="false">SUM(XV88:XV90)</f>
        <v>-14000</v>
      </c>
      <c r="XW91" s="0" t="n">
        <f aca="false">SUM(XW88:XW90)</f>
        <v>-14000</v>
      </c>
      <c r="XX91" s="0" t="n">
        <f aca="false">SUM(XX88:XX90)</f>
        <v>-14000</v>
      </c>
      <c r="XY91" s="0" t="n">
        <f aca="false">SUM(XY88:XY90)</f>
        <v>-14000</v>
      </c>
      <c r="XZ91" s="0" t="n">
        <f aca="false">SUM(XZ88:XZ90)</f>
        <v>-14000</v>
      </c>
      <c r="YA91" s="0" t="n">
        <f aca="false">SUM(YA88:YA90)</f>
        <v>-14000</v>
      </c>
      <c r="YB91" s="0" t="n">
        <f aca="false">SUM(YB88:YB90)</f>
        <v>-14000</v>
      </c>
      <c r="YC91" s="0" t="n">
        <f aca="false">SUM(YC88:YC90)</f>
        <v>-14000</v>
      </c>
      <c r="YD91" s="0" t="n">
        <f aca="false">SUM(YD88:YD90)</f>
        <v>-14000</v>
      </c>
      <c r="YE91" s="0" t="n">
        <f aca="false">SUM(YE88:YE90)</f>
        <v>-14000</v>
      </c>
      <c r="YF91" s="0" t="n">
        <f aca="false">SUM(YF88:YF90)</f>
        <v>-14000</v>
      </c>
      <c r="YG91" s="0" t="n">
        <f aca="false">SUM(YG88:YG90)</f>
        <v>-14000</v>
      </c>
      <c r="YH91" s="0" t="n">
        <f aca="false">SUM(YH88:YH90)</f>
        <v>-14000</v>
      </c>
      <c r="YI91" s="0" t="n">
        <f aca="false">SUM(YI88:YI90)</f>
        <v>-14000</v>
      </c>
      <c r="YJ91" s="0" t="n">
        <f aca="false">SUM(YJ88:YJ90)</f>
        <v>-14000</v>
      </c>
      <c r="YK91" s="0" t="n">
        <f aca="false">SUM(YK88:YK90)</f>
        <v>-14000</v>
      </c>
      <c r="YL91" s="0" t="n">
        <f aca="false">SUM(YL88:YL90)</f>
        <v>-14000</v>
      </c>
      <c r="YM91" s="0" t="n">
        <f aca="false">SUM(YM88:YM90)</f>
        <v>-14000</v>
      </c>
      <c r="YN91" s="0" t="n">
        <f aca="false">SUM(YN88:YN90)</f>
        <v>-14000</v>
      </c>
      <c r="YO91" s="0" t="n">
        <f aca="false">SUM(YO88:YO90)</f>
        <v>-14000</v>
      </c>
      <c r="YP91" s="0" t="n">
        <f aca="false">SUM(YP88:YP90)</f>
        <v>-14000</v>
      </c>
      <c r="YQ91" s="0" t="n">
        <f aca="false">SUM(YQ88:YQ90)</f>
        <v>-14000</v>
      </c>
      <c r="YR91" s="0" t="n">
        <f aca="false">SUM(YR88:YR90)</f>
        <v>-14000</v>
      </c>
      <c r="YS91" s="0" t="n">
        <f aca="false">SUM(YS88:YS90)</f>
        <v>-14000</v>
      </c>
      <c r="YT91" s="0" t="n">
        <f aca="false">SUM(YT88:YT90)</f>
        <v>-14000</v>
      </c>
      <c r="YU91" s="0" t="n">
        <f aca="false">SUM(YU88:YU90)</f>
        <v>-14000</v>
      </c>
      <c r="YV91" s="0" t="n">
        <f aca="false">SUM(YV88:YV90)</f>
        <v>-14000</v>
      </c>
      <c r="YW91" s="0" t="n">
        <f aca="false">SUM(YW88:YW90)</f>
        <v>-14000</v>
      </c>
      <c r="YX91" s="0" t="n">
        <f aca="false">SUM(YX88:YX90)</f>
        <v>-14000</v>
      </c>
      <c r="YY91" s="0" t="n">
        <f aca="false">SUM(YY88:YY90)</f>
        <v>-14000</v>
      </c>
      <c r="YZ91" s="0" t="n">
        <f aca="false">SUM(YZ88:YZ90)</f>
        <v>-14000</v>
      </c>
      <c r="ZA91" s="0" t="n">
        <f aca="false">SUM(ZA88:ZA90)</f>
        <v>-14000</v>
      </c>
      <c r="ZB91" s="0" t="n">
        <f aca="false">SUM(ZB88:ZB90)</f>
        <v>-14000</v>
      </c>
      <c r="ZC91" s="0" t="n">
        <f aca="false">SUM(ZC88:ZC90)</f>
        <v>-14000</v>
      </c>
      <c r="ZD91" s="0" t="n">
        <f aca="false">SUM(ZD88:ZD90)</f>
        <v>-14000</v>
      </c>
      <c r="ZE91" s="0" t="n">
        <f aca="false">SUM(ZE88:ZE90)</f>
        <v>-14000</v>
      </c>
      <c r="ZF91" s="0" t="n">
        <f aca="false">SUM(ZF88:ZF90)</f>
        <v>-14000</v>
      </c>
      <c r="ZG91" s="0" t="n">
        <f aca="false">SUM(ZG88:ZG90)</f>
        <v>-14000</v>
      </c>
      <c r="ZH91" s="0" t="n">
        <f aca="false">SUM(ZH88:ZH90)</f>
        <v>-14000</v>
      </c>
      <c r="ZI91" s="0" t="n">
        <f aca="false">SUM(ZI88:ZI90)</f>
        <v>-14000</v>
      </c>
      <c r="ZJ91" s="0" t="n">
        <f aca="false">SUM(ZJ88:ZJ90)</f>
        <v>-14000</v>
      </c>
      <c r="ZK91" s="0" t="n">
        <f aca="false">SUM(ZK88:ZK90)</f>
        <v>-14000</v>
      </c>
      <c r="ZL91" s="0" t="n">
        <f aca="false">SUM(ZL88:ZL90)</f>
        <v>-14000</v>
      </c>
      <c r="ZM91" s="0" t="n">
        <f aca="false">SUM(ZM88:ZM90)</f>
        <v>-14000</v>
      </c>
      <c r="ZN91" s="0" t="n">
        <f aca="false">SUM(ZN88:ZN90)</f>
        <v>-14000</v>
      </c>
      <c r="ZO91" s="0" t="n">
        <f aca="false">SUM(ZO88:ZO90)</f>
        <v>-14000</v>
      </c>
      <c r="ZP91" s="0" t="n">
        <f aca="false">SUM(ZP88:ZP90)</f>
        <v>-14000</v>
      </c>
      <c r="ZQ91" s="0" t="n">
        <f aca="false">SUM(ZQ88:ZQ90)</f>
        <v>-14000</v>
      </c>
      <c r="ZR91" s="0" t="n">
        <f aca="false">SUM(ZR88:ZR90)</f>
        <v>-14000</v>
      </c>
      <c r="ZS91" s="0" t="n">
        <f aca="false">SUM(ZS88:ZS90)</f>
        <v>-14000</v>
      </c>
      <c r="ZT91" s="0" t="n">
        <f aca="false">SUM(ZT88:ZT90)</f>
        <v>-14000</v>
      </c>
      <c r="ZU91" s="0" t="n">
        <f aca="false">SUM(ZU88:ZU90)</f>
        <v>-14000</v>
      </c>
      <c r="ZV91" s="0" t="n">
        <f aca="false">SUM(ZV88:ZV90)</f>
        <v>-14000</v>
      </c>
      <c r="ZW91" s="0" t="n">
        <f aca="false">SUM(ZW88:ZW90)</f>
        <v>-14000</v>
      </c>
      <c r="ZX91" s="0" t="n">
        <f aca="false">SUM(ZX88:ZX90)</f>
        <v>-14000</v>
      </c>
      <c r="ZY91" s="0" t="n">
        <f aca="false">SUM(ZY88:ZY90)</f>
        <v>-14000</v>
      </c>
      <c r="ZZ91" s="0" t="n">
        <f aca="false">SUM(ZZ88:ZZ90)</f>
        <v>-14000</v>
      </c>
      <c r="AAA91" s="0" t="n">
        <f aca="false">SUM(AAA88:AAA90)</f>
        <v>-14000</v>
      </c>
      <c r="AAB91" s="0" t="n">
        <f aca="false">SUM(AAB88:AAB90)</f>
        <v>-14000</v>
      </c>
      <c r="AAC91" s="0" t="n">
        <f aca="false">SUM(AAC88:AAC90)</f>
        <v>-14000</v>
      </c>
      <c r="AAD91" s="0" t="n">
        <f aca="false">SUM(AAD88:AAD90)</f>
        <v>-14000</v>
      </c>
      <c r="AAE91" s="0" t="n">
        <f aca="false">SUM(AAE88:AAE90)</f>
        <v>-14000</v>
      </c>
      <c r="AAF91" s="0" t="n">
        <f aca="false">SUM(AAF88:AAF90)</f>
        <v>-14000</v>
      </c>
      <c r="AAG91" s="0" t="n">
        <f aca="false">SUM(AAG88:AAG90)</f>
        <v>-14000</v>
      </c>
      <c r="AAH91" s="0" t="n">
        <f aca="false">SUM(AAH88:AAH90)</f>
        <v>-14000</v>
      </c>
      <c r="AAI91" s="0" t="n">
        <f aca="false">SUM(AAI88:AAI90)</f>
        <v>-14000</v>
      </c>
      <c r="AAJ91" s="0" t="n">
        <f aca="false">SUM(AAJ88:AAJ90)</f>
        <v>-14000</v>
      </c>
      <c r="AAK91" s="0" t="n">
        <f aca="false">SUM(AAK88:AAK90)</f>
        <v>-14000</v>
      </c>
      <c r="AAL91" s="0" t="n">
        <f aca="false">SUM(AAL88:AAL90)</f>
        <v>-14000</v>
      </c>
      <c r="AAM91" s="0" t="n">
        <f aca="false">SUM(AAM88:AAM90)</f>
        <v>-14000</v>
      </c>
      <c r="AAN91" s="0" t="n">
        <f aca="false">SUM(AAN88:AAN90)</f>
        <v>-14000</v>
      </c>
      <c r="AAO91" s="0" t="n">
        <f aca="false">SUM(AAO88:AAO90)</f>
        <v>-14000</v>
      </c>
      <c r="AAP91" s="0" t="n">
        <f aca="false">SUM(AAP88:AAP90)</f>
        <v>-14000</v>
      </c>
      <c r="AAQ91" s="0" t="n">
        <f aca="false">SUM(AAQ88:AAQ90)</f>
        <v>-14000</v>
      </c>
      <c r="AAR91" s="0" t="n">
        <f aca="false">SUM(AAR88:AAR90)</f>
        <v>-14000</v>
      </c>
      <c r="AAS91" s="0" t="n">
        <f aca="false">SUM(AAS88:AAS90)</f>
        <v>-14000</v>
      </c>
      <c r="AAT91" s="0" t="n">
        <f aca="false">SUM(AAT88:AAT90)</f>
        <v>-14000</v>
      </c>
      <c r="AAU91" s="0" t="n">
        <f aca="false">SUM(AAU88:AAU90)</f>
        <v>-14000</v>
      </c>
      <c r="AAV91" s="0" t="n">
        <f aca="false">SUM(AAV88:AAV90)</f>
        <v>-14000</v>
      </c>
      <c r="AAW91" s="0" t="n">
        <f aca="false">SUM(AAW88:AAW90)</f>
        <v>-14000</v>
      </c>
      <c r="AAX91" s="0" t="n">
        <f aca="false">SUM(AAX88:AAX90)</f>
        <v>-14000</v>
      </c>
      <c r="AAY91" s="0" t="n">
        <f aca="false">SUM(AAY88:AAY90)</f>
        <v>-14000</v>
      </c>
      <c r="AAZ91" s="0" t="n">
        <f aca="false">SUM(AAZ88:AAZ90)</f>
        <v>-14000</v>
      </c>
      <c r="ABA91" s="0" t="n">
        <f aca="false">SUM(ABA88:ABA90)</f>
        <v>-14000</v>
      </c>
      <c r="ABB91" s="0" t="n">
        <f aca="false">SUM(ABB88:ABB90)</f>
        <v>-14000</v>
      </c>
      <c r="ABC91" s="0" t="n">
        <f aca="false">SUM(ABC88:ABC90)</f>
        <v>-14000</v>
      </c>
      <c r="ABD91" s="0" t="n">
        <f aca="false">SUM(ABD88:ABD90)</f>
        <v>-14000</v>
      </c>
      <c r="ABE91" s="0" t="n">
        <f aca="false">SUM(ABE88:ABE90)</f>
        <v>-14000</v>
      </c>
      <c r="ABF91" s="0" t="n">
        <f aca="false">SUM(ABF88:ABF90)</f>
        <v>-14000</v>
      </c>
      <c r="ABG91" s="0" t="n">
        <f aca="false">SUM(ABG88:ABG90)</f>
        <v>-14000</v>
      </c>
      <c r="ABH91" s="0" t="n">
        <f aca="false">SUM(ABH88:ABH90)</f>
        <v>-14000</v>
      </c>
      <c r="ABI91" s="0" t="n">
        <f aca="false">SUM(ABI88:ABI90)</f>
        <v>-14000</v>
      </c>
      <c r="ABJ91" s="0" t="n">
        <f aca="false">SUM(ABJ88:ABJ90)</f>
        <v>-14000</v>
      </c>
      <c r="ABK91" s="0" t="n">
        <f aca="false">SUM(ABK88:ABK90)</f>
        <v>-14000</v>
      </c>
      <c r="ABL91" s="0" t="n">
        <f aca="false">SUM(ABL88:ABL90)</f>
        <v>-14000</v>
      </c>
      <c r="ABM91" s="0" t="n">
        <f aca="false">SUM(ABM88:ABM90)</f>
        <v>-14000</v>
      </c>
      <c r="ABN91" s="0" t="n">
        <f aca="false">SUM(ABN88:ABN90)</f>
        <v>-14000</v>
      </c>
      <c r="ABO91" s="0" t="n">
        <f aca="false">SUM(ABO88:ABO90)</f>
        <v>-14000</v>
      </c>
      <c r="ABP91" s="0" t="n">
        <f aca="false">SUM(ABP88:ABP90)</f>
        <v>-14000</v>
      </c>
      <c r="ABQ91" s="0" t="n">
        <f aca="false">SUM(ABQ88:ABQ90)</f>
        <v>-14000</v>
      </c>
      <c r="ABR91" s="0" t="n">
        <f aca="false">SUM(ABR88:ABR90)</f>
        <v>-14000</v>
      </c>
      <c r="ABS91" s="0" t="n">
        <f aca="false">SUM(ABS88:ABS90)</f>
        <v>-14000</v>
      </c>
      <c r="ABT91" s="0" t="n">
        <f aca="false">SUM(ABT88:ABT90)</f>
        <v>-14000</v>
      </c>
      <c r="ABU91" s="0" t="n">
        <f aca="false">SUM(ABU88:ABU90)</f>
        <v>-14000</v>
      </c>
      <c r="ABV91" s="0" t="n">
        <f aca="false">SUM(ABV88:ABV90)</f>
        <v>-14000</v>
      </c>
      <c r="ABW91" s="0" t="n">
        <f aca="false">SUM(ABW88:ABW90)</f>
        <v>-14000</v>
      </c>
      <c r="ABX91" s="0" t="n">
        <f aca="false">SUM(ABX88:ABX90)</f>
        <v>-14000</v>
      </c>
      <c r="ABY91" s="0" t="n">
        <f aca="false">SUM(ABY88:ABY90)</f>
        <v>-14000</v>
      </c>
      <c r="ABZ91" s="0" t="n">
        <f aca="false">SUM(ABZ88:ABZ90)</f>
        <v>-14000</v>
      </c>
      <c r="ACA91" s="0" t="n">
        <f aca="false">SUM(ACA88:ACA90)</f>
        <v>-14000</v>
      </c>
      <c r="ACB91" s="0" t="n">
        <f aca="false">SUM(ACB88:ACB90)</f>
        <v>-14000</v>
      </c>
      <c r="ACC91" s="0" t="n">
        <f aca="false">SUM(ACC88:ACC90)</f>
        <v>-14000</v>
      </c>
      <c r="ACD91" s="0" t="n">
        <f aca="false">SUM(ACD88:ACD90)</f>
        <v>-14000</v>
      </c>
      <c r="ACE91" s="0" t="n">
        <f aca="false">SUM(ACE88:ACE90)</f>
        <v>-14000</v>
      </c>
      <c r="ACF91" s="0" t="n">
        <f aca="false">SUM(ACF88:ACF90)</f>
        <v>-14000</v>
      </c>
      <c r="ACG91" s="0" t="n">
        <f aca="false">SUM(ACG88:ACG90)</f>
        <v>-14000</v>
      </c>
      <c r="ACH91" s="0" t="n">
        <f aca="false">SUM(ACH88:ACH90)</f>
        <v>-14000</v>
      </c>
      <c r="ACI91" s="0" t="n">
        <f aca="false">SUM(ACI88:ACI90)</f>
        <v>-14000</v>
      </c>
      <c r="ACJ91" s="0" t="n">
        <f aca="false">SUM(ACJ88:ACJ90)</f>
        <v>-14000</v>
      </c>
      <c r="ACK91" s="0" t="n">
        <f aca="false">SUM(ACK88:ACK90)</f>
        <v>-14000</v>
      </c>
      <c r="ACL91" s="0" t="n">
        <f aca="false">SUM(ACL88:ACL90)</f>
        <v>-14000</v>
      </c>
      <c r="ACM91" s="0" t="n">
        <f aca="false">SUM(ACM88:ACM90)</f>
        <v>-14000</v>
      </c>
      <c r="ACN91" s="0" t="n">
        <f aca="false">SUM(ACN88:ACN90)</f>
        <v>-14000</v>
      </c>
      <c r="ACO91" s="0" t="n">
        <f aca="false">SUM(ACO88:ACO90)</f>
        <v>-14000</v>
      </c>
      <c r="ACP91" s="0" t="n">
        <f aca="false">SUM(ACP88:ACP90)</f>
        <v>-14000</v>
      </c>
      <c r="ACQ91" s="0" t="n">
        <f aca="false">SUM(ACQ88:ACQ90)</f>
        <v>-14000</v>
      </c>
      <c r="ACR91" s="0" t="n">
        <f aca="false">SUM(ACR88:ACR90)</f>
        <v>-14000</v>
      </c>
      <c r="ACS91" s="0" t="n">
        <f aca="false">SUM(ACS88:ACS90)</f>
        <v>-14000</v>
      </c>
      <c r="ACT91" s="0" t="n">
        <f aca="false">SUM(ACT88:ACT90)</f>
        <v>-14000</v>
      </c>
      <c r="ACU91" s="0" t="n">
        <f aca="false">SUM(ACU88:ACU90)</f>
        <v>-14000</v>
      </c>
      <c r="ACV91" s="0" t="n">
        <f aca="false">SUM(ACV88:ACV90)</f>
        <v>-14000</v>
      </c>
      <c r="ACW91" s="0" t="n">
        <f aca="false">SUM(ACW88:ACW90)</f>
        <v>-14000</v>
      </c>
      <c r="ACX91" s="0" t="n">
        <f aca="false">SUM(ACX88:ACX90)</f>
        <v>-14000</v>
      </c>
      <c r="ACY91" s="0" t="n">
        <f aca="false">SUM(ACY88:ACY90)</f>
        <v>-14000</v>
      </c>
      <c r="ACZ91" s="0" t="n">
        <f aca="false">SUM(ACZ88:ACZ90)</f>
        <v>-14000</v>
      </c>
      <c r="ADA91" s="0" t="n">
        <f aca="false">SUM(ADA88:ADA90)</f>
        <v>-14000</v>
      </c>
      <c r="ADB91" s="0" t="n">
        <f aca="false">SUM(ADB88:ADB90)</f>
        <v>-14000</v>
      </c>
      <c r="ADC91" s="0" t="n">
        <f aca="false">SUM(ADC88:ADC90)</f>
        <v>-14000</v>
      </c>
      <c r="ADD91" s="0" t="n">
        <f aca="false">SUM(ADD88:ADD90)</f>
        <v>-14000</v>
      </c>
      <c r="ADE91" s="0" t="n">
        <f aca="false">SUM(ADE88:ADE90)</f>
        <v>-14000</v>
      </c>
      <c r="ADF91" s="0" t="n">
        <f aca="false">SUM(ADF88:ADF90)</f>
        <v>-14000</v>
      </c>
      <c r="ADG91" s="0" t="n">
        <f aca="false">SUM(ADG88:ADG90)</f>
        <v>-14000</v>
      </c>
      <c r="ADH91" s="0" t="n">
        <f aca="false">SUM(ADH88:ADH90)</f>
        <v>-14000</v>
      </c>
      <c r="ADI91" s="0" t="n">
        <f aca="false">SUM(ADI88:ADI90)</f>
        <v>-14000</v>
      </c>
      <c r="ADJ91" s="0" t="n">
        <f aca="false">SUM(ADJ88:ADJ90)</f>
        <v>-14000</v>
      </c>
      <c r="ADK91" s="0" t="n">
        <f aca="false">SUM(ADK88:ADK90)</f>
        <v>-14000</v>
      </c>
      <c r="ADL91" s="0" t="n">
        <f aca="false">SUM(ADL88:ADL90)</f>
        <v>-14000</v>
      </c>
      <c r="ADM91" s="0" t="n">
        <f aca="false">SUM(ADM88:ADM90)</f>
        <v>-14000</v>
      </c>
      <c r="ADN91" s="0" t="n">
        <f aca="false">SUM(ADN88:ADN90)</f>
        <v>-14000</v>
      </c>
      <c r="ADO91" s="0" t="n">
        <f aca="false">SUM(ADO88:ADO90)</f>
        <v>-14000</v>
      </c>
      <c r="ADP91" s="0" t="n">
        <f aca="false">SUM(ADP88:ADP90)</f>
        <v>-14000</v>
      </c>
      <c r="ADQ91" s="0" t="n">
        <f aca="false">SUM(ADQ88:ADQ90)</f>
        <v>-14000</v>
      </c>
      <c r="ADR91" s="0" t="n">
        <f aca="false">SUM(ADR88:ADR90)</f>
        <v>-14000</v>
      </c>
      <c r="ADS91" s="0" t="n">
        <f aca="false">SUM(ADS88:ADS90)</f>
        <v>-14000</v>
      </c>
      <c r="ADT91" s="0" t="n">
        <f aca="false">SUM(ADT88:ADT90)</f>
        <v>-14000</v>
      </c>
      <c r="ADU91" s="0" t="n">
        <f aca="false">SUM(ADU88:ADU90)</f>
        <v>-14000</v>
      </c>
      <c r="ADV91" s="0" t="n">
        <f aca="false">SUM(ADV88:ADV90)</f>
        <v>-14000</v>
      </c>
      <c r="ADW91" s="0" t="n">
        <f aca="false">SUM(ADW88:ADW90)</f>
        <v>-14000</v>
      </c>
      <c r="ADX91" s="0" t="n">
        <f aca="false">SUM(ADX88:ADX90)</f>
        <v>-14000</v>
      </c>
      <c r="ADY91" s="0" t="n">
        <f aca="false">SUM(ADY88:ADY90)</f>
        <v>-14000</v>
      </c>
      <c r="ADZ91" s="0" t="n">
        <f aca="false">SUM(ADZ88:ADZ90)</f>
        <v>-14000</v>
      </c>
      <c r="AEA91" s="0" t="n">
        <f aca="false">SUM(AEA88:AEA90)</f>
        <v>-14000</v>
      </c>
      <c r="AEB91" s="0" t="n">
        <f aca="false">SUM(AEB88:AEB90)</f>
        <v>-14000</v>
      </c>
      <c r="AEC91" s="0" t="n">
        <f aca="false">SUM(AEC88:AEC90)</f>
        <v>-14000</v>
      </c>
      <c r="AED91" s="0" t="n">
        <f aca="false">SUM(AED88:AED90)</f>
        <v>-14000</v>
      </c>
      <c r="AEE91" s="0" t="n">
        <f aca="false">SUM(AEE88:AEE90)</f>
        <v>-14000</v>
      </c>
      <c r="AEF91" s="0" t="n">
        <f aca="false">SUM(AEF88:AEF90)</f>
        <v>-14000</v>
      </c>
      <c r="AEG91" s="0" t="n">
        <f aca="false">SUM(AEG88:AEG90)</f>
        <v>-14000</v>
      </c>
      <c r="AEH91" s="0" t="n">
        <f aca="false">SUM(AEH88:AEH90)</f>
        <v>-14000</v>
      </c>
      <c r="AEI91" s="0" t="n">
        <f aca="false">SUM(AEI88:AEI90)</f>
        <v>-14000</v>
      </c>
      <c r="AEJ91" s="0" t="n">
        <f aca="false">SUM(AEJ88:AEJ90)</f>
        <v>-14000</v>
      </c>
      <c r="AEK91" s="0" t="n">
        <f aca="false">SUM(AEK88:AEK90)</f>
        <v>-14000</v>
      </c>
      <c r="AEL91" s="0" t="n">
        <f aca="false">SUM(AEL88:AEL90)</f>
        <v>-14000</v>
      </c>
      <c r="AEM91" s="0" t="n">
        <f aca="false">SUM(AEM88:AEM90)</f>
        <v>-14000</v>
      </c>
      <c r="AEN91" s="0" t="n">
        <f aca="false">SUM(AEN88:AEN90)</f>
        <v>-14000</v>
      </c>
      <c r="AEO91" s="0" t="n">
        <f aca="false">SUM(AEO88:AEO90)</f>
        <v>-14000</v>
      </c>
      <c r="AEP91" s="0" t="n">
        <f aca="false">SUM(AEP88:AEP90)</f>
        <v>-14000</v>
      </c>
      <c r="AEQ91" s="0" t="n">
        <f aca="false">SUM(AEQ88:AEQ90)</f>
        <v>-14000</v>
      </c>
      <c r="AER91" s="0" t="n">
        <f aca="false">SUM(AER88:AER90)</f>
        <v>-14000</v>
      </c>
      <c r="AES91" s="0" t="n">
        <f aca="false">SUM(AES88:AES90)</f>
        <v>-14000</v>
      </c>
      <c r="AET91" s="0" t="n">
        <f aca="false">SUM(AET88:AET90)</f>
        <v>-14000</v>
      </c>
      <c r="AEU91" s="0" t="n">
        <f aca="false">SUM(AEU88:AEU90)</f>
        <v>-14000</v>
      </c>
      <c r="AEV91" s="0" t="n">
        <f aca="false">SUM(AEV88:AEV90)</f>
        <v>-14000</v>
      </c>
      <c r="AEW91" s="0" t="n">
        <f aca="false">SUM(AEW88:AEW90)</f>
        <v>-14000</v>
      </c>
      <c r="AEX91" s="0" t="n">
        <f aca="false">SUM(AEX88:AEX90)</f>
        <v>-14000</v>
      </c>
      <c r="AEY91" s="0" t="n">
        <f aca="false">SUM(AEY88:AEY90)</f>
        <v>-14000</v>
      </c>
      <c r="AEZ91" s="0" t="n">
        <f aca="false">SUM(AEZ88:AEZ90)</f>
        <v>-14000</v>
      </c>
      <c r="AFA91" s="0" t="n">
        <f aca="false">SUM(AFA88:AFA90)</f>
        <v>-14000</v>
      </c>
      <c r="AFB91" s="0" t="n">
        <f aca="false">SUM(AFB88:AFB90)</f>
        <v>-14000</v>
      </c>
      <c r="AFC91" s="0" t="n">
        <f aca="false">SUM(AFC88:AFC90)</f>
        <v>-14000</v>
      </c>
      <c r="AFD91" s="0" t="n">
        <f aca="false">SUM(AFD88:AFD90)</f>
        <v>-14000</v>
      </c>
      <c r="AFE91" s="0" t="n">
        <f aca="false">SUM(AFE88:AFE90)</f>
        <v>-14000</v>
      </c>
      <c r="AFF91" s="0" t="n">
        <f aca="false">SUM(AFF88:AFF90)</f>
        <v>-14000</v>
      </c>
      <c r="AFG91" s="0" t="n">
        <f aca="false">SUM(AFG88:AFG90)</f>
        <v>-14000</v>
      </c>
      <c r="AFH91" s="0" t="n">
        <f aca="false">SUM(AFH88:AFH90)</f>
        <v>-14000</v>
      </c>
      <c r="AFI91" s="0" t="n">
        <f aca="false">SUM(AFI88:AFI90)</f>
        <v>-14000</v>
      </c>
      <c r="AFJ91" s="0" t="n">
        <f aca="false">SUM(AFJ88:AFJ90)</f>
        <v>-14000</v>
      </c>
      <c r="AFK91" s="0" t="n">
        <f aca="false">SUM(AFK88:AFK90)</f>
        <v>-14000</v>
      </c>
      <c r="AFL91" s="0" t="n">
        <f aca="false">SUM(AFL88:AFL90)</f>
        <v>-14000</v>
      </c>
      <c r="AFM91" s="0" t="n">
        <f aca="false">SUM(AFM88:AFM90)</f>
        <v>-14000</v>
      </c>
      <c r="AFN91" s="0" t="n">
        <f aca="false">SUM(AFN88:AFN90)</f>
        <v>-14000</v>
      </c>
      <c r="AFO91" s="0" t="n">
        <f aca="false">SUM(AFO88:AFO90)</f>
        <v>-14000</v>
      </c>
      <c r="AFP91" s="0" t="n">
        <f aca="false">SUM(AFP88:AFP90)</f>
        <v>-14000</v>
      </c>
      <c r="AFQ91" s="0" t="n">
        <f aca="false">SUM(AFQ88:AFQ90)</f>
        <v>-14000</v>
      </c>
      <c r="AFR91" s="0" t="n">
        <f aca="false">SUM(AFR88:AFR90)</f>
        <v>-14000</v>
      </c>
      <c r="AFS91" s="0" t="n">
        <f aca="false">SUM(AFS88:AFS90)</f>
        <v>-14000</v>
      </c>
      <c r="AFT91" s="0" t="n">
        <f aca="false">SUM(AFT88:AFT90)</f>
        <v>-14000</v>
      </c>
      <c r="AFU91" s="0" t="n">
        <f aca="false">SUM(AFU88:AFU90)</f>
        <v>-14000</v>
      </c>
      <c r="AFV91" s="0" t="n">
        <f aca="false">SUM(AFV88:AFV90)</f>
        <v>-14000</v>
      </c>
      <c r="AFW91" s="0" t="n">
        <f aca="false">SUM(AFW88:AFW90)</f>
        <v>-14000</v>
      </c>
      <c r="AFX91" s="0" t="n">
        <f aca="false">SUM(AFX88:AFX90)</f>
        <v>-14000</v>
      </c>
      <c r="AFY91" s="0" t="n">
        <f aca="false">SUM(AFY88:AFY90)</f>
        <v>-14000</v>
      </c>
      <c r="AFZ91" s="0" t="n">
        <f aca="false">SUM(AFZ88:AFZ90)</f>
        <v>-14000</v>
      </c>
      <c r="AGA91" s="0" t="n">
        <f aca="false">SUM(AGA88:AGA90)</f>
        <v>-14000</v>
      </c>
      <c r="AGB91" s="0" t="n">
        <f aca="false">SUM(AGB88:AGB90)</f>
        <v>-14000</v>
      </c>
      <c r="AGC91" s="0" t="n">
        <f aca="false">SUM(AGC88:AGC90)</f>
        <v>-14000</v>
      </c>
      <c r="AGD91" s="0" t="n">
        <f aca="false">SUM(AGD88:AGD90)</f>
        <v>-14000</v>
      </c>
      <c r="AGE91" s="0" t="n">
        <f aca="false">SUM(AGE88:AGE90)</f>
        <v>-14000</v>
      </c>
      <c r="AGF91" s="0" t="n">
        <f aca="false">SUM(AGF88:AGF90)</f>
        <v>-14000</v>
      </c>
      <c r="AGG91" s="0" t="n">
        <f aca="false">SUM(AGG88:AGG90)</f>
        <v>-14000</v>
      </c>
      <c r="AGH91" s="0" t="n">
        <f aca="false">SUM(AGH88:AGH90)</f>
        <v>-14000</v>
      </c>
      <c r="AGI91" s="0" t="n">
        <f aca="false">SUM(AGI88:AGI90)</f>
        <v>-14000</v>
      </c>
      <c r="AGJ91" s="0" t="n">
        <f aca="false">SUM(AGJ88:AGJ90)</f>
        <v>-14000</v>
      </c>
      <c r="AGK91" s="0" t="n">
        <f aca="false">SUM(AGK88:AGK90)</f>
        <v>-14000</v>
      </c>
      <c r="AGL91" s="0" t="n">
        <f aca="false">SUM(AGL88:AGL90)</f>
        <v>-14000</v>
      </c>
      <c r="AGM91" s="0" t="n">
        <f aca="false">SUM(AGM88:AGM90)</f>
        <v>-14000</v>
      </c>
      <c r="AGN91" s="0" t="n">
        <f aca="false">SUM(AGN88:AGN90)</f>
        <v>-14000</v>
      </c>
      <c r="AGO91" s="0" t="n">
        <f aca="false">SUM(AGO88:AGO90)</f>
        <v>-14000</v>
      </c>
      <c r="AGP91" s="0" t="n">
        <f aca="false">SUM(AGP88:AGP90)</f>
        <v>-14000</v>
      </c>
      <c r="AGQ91" s="0" t="n">
        <f aca="false">SUM(AGQ88:AGQ90)</f>
        <v>-14000</v>
      </c>
      <c r="AGR91" s="0" t="n">
        <f aca="false">SUM(AGR88:AGR90)</f>
        <v>-14000</v>
      </c>
      <c r="AGS91" s="0" t="n">
        <f aca="false">SUM(AGS88:AGS90)</f>
        <v>-14000</v>
      </c>
      <c r="AGT91" s="0" t="n">
        <f aca="false">SUM(AGT88:AGT90)</f>
        <v>-14000</v>
      </c>
      <c r="AGU91" s="0" t="n">
        <f aca="false">SUM(AGU88:AGU90)</f>
        <v>-14000</v>
      </c>
      <c r="AGV91" s="0" t="n">
        <f aca="false">SUM(AGV88:AGV90)</f>
        <v>-14000</v>
      </c>
      <c r="AGW91" s="0" t="n">
        <f aca="false">SUM(AGW88:AGW90)</f>
        <v>-14000</v>
      </c>
      <c r="AGX91" s="0" t="n">
        <f aca="false">SUM(AGX88:AGX90)</f>
        <v>-14000</v>
      </c>
      <c r="AGY91" s="0" t="n">
        <f aca="false">SUM(AGY88:AGY90)</f>
        <v>-14000</v>
      </c>
      <c r="AGZ91" s="0" t="n">
        <f aca="false">SUM(AGZ88:AGZ90)</f>
        <v>-14000</v>
      </c>
      <c r="AHA91" s="0" t="n">
        <f aca="false">SUM(AHA88:AHA90)</f>
        <v>-14000</v>
      </c>
      <c r="AHB91" s="0" t="n">
        <f aca="false">SUM(AHB88:AHB90)</f>
        <v>-14000</v>
      </c>
      <c r="AHC91" s="0" t="n">
        <f aca="false">SUM(AHC88:AHC90)</f>
        <v>-14000</v>
      </c>
      <c r="AHD91" s="0" t="n">
        <f aca="false">SUM(AHD88:AHD90)</f>
        <v>-14000</v>
      </c>
      <c r="AHE91" s="0" t="n">
        <f aca="false">SUM(AHE88:AHE90)</f>
        <v>-14000</v>
      </c>
      <c r="AHF91" s="0" t="n">
        <f aca="false">SUM(AHF88:AHF90)</f>
        <v>-14000</v>
      </c>
      <c r="AHG91" s="0" t="n">
        <f aca="false">SUM(AHG88:AHG90)</f>
        <v>-14000</v>
      </c>
      <c r="AHH91" s="0" t="n">
        <f aca="false">SUM(AHH88:AHH90)</f>
        <v>-14000</v>
      </c>
      <c r="AHI91" s="0" t="n">
        <f aca="false">SUM(AHI88:AHI90)</f>
        <v>-14000</v>
      </c>
      <c r="AHJ91" s="0" t="n">
        <f aca="false">SUM(AHJ88:AHJ90)</f>
        <v>-14000</v>
      </c>
      <c r="AHK91" s="0" t="n">
        <f aca="false">SUM(AHK88:AHK90)</f>
        <v>-14000</v>
      </c>
      <c r="AHL91" s="0" t="n">
        <f aca="false">SUM(AHL88:AHL90)</f>
        <v>-14000</v>
      </c>
      <c r="AHM91" s="0" t="n">
        <f aca="false">SUM(AHM88:AHM90)</f>
        <v>-14000</v>
      </c>
      <c r="AHN91" s="0" t="n">
        <f aca="false">SUM(AHN88:AHN90)</f>
        <v>-14000</v>
      </c>
      <c r="AHO91" s="0" t="n">
        <f aca="false">SUM(AHO88:AHO90)</f>
        <v>-14000</v>
      </c>
      <c r="AHP91" s="0" t="n">
        <f aca="false">SUM(AHP88:AHP90)</f>
        <v>-14000</v>
      </c>
      <c r="AHQ91" s="0" t="n">
        <f aca="false">SUM(AHQ88:AHQ90)</f>
        <v>-14000</v>
      </c>
      <c r="AHR91" s="0" t="n">
        <f aca="false">SUM(AHR88:AHR90)</f>
        <v>-14000</v>
      </c>
      <c r="AHS91" s="0" t="n">
        <f aca="false">SUM(AHS88:AHS90)</f>
        <v>-14000</v>
      </c>
      <c r="AHT91" s="0" t="n">
        <f aca="false">SUM(AHT88:AHT90)</f>
        <v>-14000</v>
      </c>
      <c r="AHU91" s="0" t="n">
        <f aca="false">SUM(AHU88:AHU90)</f>
        <v>-14000</v>
      </c>
      <c r="AHV91" s="0" t="n">
        <f aca="false">SUM(AHV88:AHV90)</f>
        <v>-14000</v>
      </c>
      <c r="AHW91" s="0" t="n">
        <f aca="false">SUM(AHW88:AHW90)</f>
        <v>-14000</v>
      </c>
      <c r="AHX91" s="0" t="n">
        <f aca="false">SUM(AHX88:AHX90)</f>
        <v>-14000</v>
      </c>
      <c r="AHY91" s="0" t="n">
        <f aca="false">SUM(AHY88:AHY90)</f>
        <v>-14000</v>
      </c>
      <c r="AHZ91" s="0" t="n">
        <f aca="false">SUM(AHZ88:AHZ90)</f>
        <v>-14000</v>
      </c>
      <c r="AIA91" s="0" t="n">
        <f aca="false">SUM(AIA88:AIA90)</f>
        <v>-14000</v>
      </c>
      <c r="AIB91" s="0" t="n">
        <f aca="false">SUM(AIB88:AIB90)</f>
        <v>-14000</v>
      </c>
      <c r="AIC91" s="0" t="n">
        <f aca="false">SUM(AIC88:AIC90)</f>
        <v>-14000</v>
      </c>
      <c r="AID91" s="0" t="n">
        <f aca="false">SUM(AID88:AID90)</f>
        <v>-14000</v>
      </c>
      <c r="AIE91" s="0" t="n">
        <f aca="false">SUM(AIE88:AIE90)</f>
        <v>-14000</v>
      </c>
      <c r="AIF91" s="0" t="n">
        <f aca="false">SUM(AIF88:AIF90)</f>
        <v>-14000</v>
      </c>
      <c r="AIG91" s="0" t="n">
        <f aca="false">SUM(AIG88:AIG90)</f>
        <v>-14000</v>
      </c>
      <c r="AIH91" s="0" t="n">
        <f aca="false">SUM(AIH88:AIH90)</f>
        <v>-14000</v>
      </c>
      <c r="AII91" s="0" t="n">
        <f aca="false">SUM(AII88:AII90)</f>
        <v>-14000</v>
      </c>
      <c r="AIJ91" s="0" t="n">
        <f aca="false">SUM(AIJ88:AIJ90)</f>
        <v>-14000</v>
      </c>
      <c r="AIK91" s="0" t="n">
        <f aca="false">SUM(AIK88:AIK90)</f>
        <v>-14000</v>
      </c>
      <c r="AIL91" s="0" t="n">
        <f aca="false">SUM(AIL88:AIL90)</f>
        <v>-14000</v>
      </c>
      <c r="AIM91" s="0" t="n">
        <f aca="false">SUM(AIM88:AIM90)</f>
        <v>-14000</v>
      </c>
      <c r="AIN91" s="0" t="n">
        <f aca="false">SUM(AIN88:AIN90)</f>
        <v>-14000</v>
      </c>
      <c r="AIO91" s="0" t="n">
        <f aca="false">SUM(AIO88:AIO90)</f>
        <v>-14000</v>
      </c>
      <c r="AIP91" s="0" t="n">
        <f aca="false">SUM(AIP88:AIP90)</f>
        <v>-14000</v>
      </c>
      <c r="AIQ91" s="0" t="n">
        <f aca="false">SUM(AIQ88:AIQ90)</f>
        <v>-14000</v>
      </c>
      <c r="AIR91" s="0" t="n">
        <f aca="false">SUM(AIR88:AIR90)</f>
        <v>-14000</v>
      </c>
      <c r="AIS91" s="0" t="n">
        <f aca="false">SUM(AIS88:AIS90)</f>
        <v>-14000</v>
      </c>
      <c r="AIT91" s="0" t="n">
        <f aca="false">SUM(AIT88:AIT90)</f>
        <v>-14000</v>
      </c>
      <c r="AIU91" s="0" t="n">
        <f aca="false">SUM(AIU88:AIU90)</f>
        <v>-14000</v>
      </c>
      <c r="AIV91" s="0" t="n">
        <f aca="false">SUM(AIV88:AIV90)</f>
        <v>-14000</v>
      </c>
      <c r="AIW91" s="0" t="n">
        <f aca="false">SUM(AIW88:AIW90)</f>
        <v>-14000</v>
      </c>
      <c r="AIX91" s="0" t="n">
        <f aca="false">SUM(AIX88:AIX90)</f>
        <v>-14000</v>
      </c>
      <c r="AIY91" s="0" t="n">
        <f aca="false">SUM(AIY88:AIY90)</f>
        <v>-14000</v>
      </c>
      <c r="AIZ91" s="0" t="n">
        <f aca="false">SUM(AIZ88:AIZ90)</f>
        <v>-14000</v>
      </c>
      <c r="AJA91" s="0" t="n">
        <f aca="false">SUM(AJA88:AJA90)</f>
        <v>-14000</v>
      </c>
      <c r="AJB91" s="0" t="n">
        <f aca="false">SUM(AJB88:AJB90)</f>
        <v>-14000</v>
      </c>
      <c r="AJC91" s="0" t="n">
        <f aca="false">SUM(AJC88:AJC90)</f>
        <v>-14000</v>
      </c>
      <c r="AJD91" s="0" t="n">
        <f aca="false">SUM(AJD88:AJD90)</f>
        <v>-14000</v>
      </c>
      <c r="AJE91" s="0" t="n">
        <f aca="false">SUM(AJE88:AJE90)</f>
        <v>-14000</v>
      </c>
      <c r="AJF91" s="0" t="n">
        <f aca="false">SUM(AJF88:AJF90)</f>
        <v>-14000</v>
      </c>
      <c r="AJG91" s="0" t="n">
        <f aca="false">SUM(AJG88:AJG90)</f>
        <v>-14000</v>
      </c>
      <c r="AJH91" s="0" t="n">
        <f aca="false">SUM(AJH88:AJH90)</f>
        <v>-14000</v>
      </c>
      <c r="AJI91" s="0" t="n">
        <f aca="false">SUM(AJI88:AJI90)</f>
        <v>-14000</v>
      </c>
      <c r="AJJ91" s="0" t="n">
        <f aca="false">SUM(AJJ88:AJJ90)</f>
        <v>-14000</v>
      </c>
      <c r="AJK91" s="0" t="n">
        <f aca="false">SUM(AJK88:AJK90)</f>
        <v>-14000</v>
      </c>
      <c r="AJL91" s="0" t="n">
        <f aca="false">SUM(AJL88:AJL90)</f>
        <v>-14000</v>
      </c>
      <c r="AJM91" s="0" t="n">
        <f aca="false">SUM(AJM88:AJM90)</f>
        <v>-14000</v>
      </c>
      <c r="AJN91" s="0" t="n">
        <f aca="false">SUM(AJN88:AJN90)</f>
        <v>-14000</v>
      </c>
      <c r="AJO91" s="0" t="n">
        <f aca="false">SUM(AJO88:AJO90)</f>
        <v>-14000</v>
      </c>
      <c r="AJP91" s="0" t="n">
        <f aca="false">SUM(AJP88:AJP90)</f>
        <v>-14000</v>
      </c>
      <c r="AJQ91" s="0" t="n">
        <f aca="false">SUM(AJQ88:AJQ90)</f>
        <v>-14000</v>
      </c>
      <c r="AJR91" s="0" t="n">
        <f aca="false">SUM(AJR88:AJR90)</f>
        <v>-14000</v>
      </c>
      <c r="AJS91" s="0" t="n">
        <f aca="false">SUM(AJS88:AJS90)</f>
        <v>-14000</v>
      </c>
      <c r="AJT91" s="0" t="n">
        <f aca="false">SUM(AJT88:AJT90)</f>
        <v>-14000</v>
      </c>
      <c r="AJU91" s="0" t="n">
        <f aca="false">SUM(AJU88:AJU90)</f>
        <v>-14000</v>
      </c>
      <c r="AJV91" s="0" t="n">
        <f aca="false">SUM(AJV88:AJV90)</f>
        <v>-14000</v>
      </c>
      <c r="AJW91" s="0" t="n">
        <f aca="false">SUM(AJW88:AJW90)</f>
        <v>-14000</v>
      </c>
      <c r="AJX91" s="0" t="n">
        <f aca="false">SUM(AJX88:AJX90)</f>
        <v>-14000</v>
      </c>
      <c r="AJY91" s="0" t="n">
        <f aca="false">SUM(AJY88:AJY90)</f>
        <v>-14000</v>
      </c>
      <c r="AJZ91" s="0" t="n">
        <f aca="false">SUM(AJZ88:AJZ90)</f>
        <v>-14000</v>
      </c>
      <c r="AKA91" s="0" t="n">
        <f aca="false">SUM(AKA88:AKA90)</f>
        <v>-14000</v>
      </c>
      <c r="AKB91" s="0" t="n">
        <f aca="false">SUM(AKB88:AKB90)</f>
        <v>-14000</v>
      </c>
      <c r="AKC91" s="0" t="n">
        <f aca="false">SUM(AKC88:AKC90)</f>
        <v>-14000</v>
      </c>
      <c r="AKD91" s="0" t="n">
        <f aca="false">SUM(AKD88:AKD90)</f>
        <v>-14000</v>
      </c>
      <c r="AKE91" s="0" t="n">
        <f aca="false">SUM(AKE88:AKE90)</f>
        <v>-14000</v>
      </c>
      <c r="AKF91" s="0" t="n">
        <f aca="false">SUM(AKF88:AKF90)</f>
        <v>-14000</v>
      </c>
      <c r="AKG91" s="0" t="n">
        <f aca="false">SUM(AKG88:AKG90)</f>
        <v>-14000</v>
      </c>
      <c r="AKH91" s="0" t="n">
        <f aca="false">SUM(AKH88:AKH90)</f>
        <v>-14000</v>
      </c>
      <c r="AKI91" s="0" t="n">
        <f aca="false">SUM(AKI88:AKI90)</f>
        <v>-14000</v>
      </c>
      <c r="AKJ91" s="0" t="n">
        <f aca="false">SUM(AKJ88:AKJ90)</f>
        <v>-14000</v>
      </c>
      <c r="AKK91" s="0" t="n">
        <f aca="false">SUM(AKK88:AKK90)</f>
        <v>-14000</v>
      </c>
      <c r="AKL91" s="0" t="n">
        <f aca="false">SUM(AKL88:AKL90)</f>
        <v>-14000</v>
      </c>
      <c r="AKM91" s="0" t="n">
        <f aca="false">SUM(AKM88:AKM90)</f>
        <v>-14000</v>
      </c>
      <c r="AKN91" s="0" t="n">
        <f aca="false">SUM(AKN88:AKN90)</f>
        <v>-14000</v>
      </c>
      <c r="AKO91" s="0" t="n">
        <f aca="false">SUM(AKO88:AKO90)</f>
        <v>-14000</v>
      </c>
      <c r="AKP91" s="0" t="n">
        <f aca="false">SUM(AKP88:AKP90)</f>
        <v>-14000</v>
      </c>
      <c r="AKQ91" s="0" t="n">
        <f aca="false">SUM(AKQ88:AKQ90)</f>
        <v>-14000</v>
      </c>
      <c r="AKR91" s="0" t="n">
        <f aca="false">SUM(AKR88:AKR90)</f>
        <v>-14000</v>
      </c>
      <c r="AKS91" s="0" t="n">
        <f aca="false">SUM(AKS88:AKS90)</f>
        <v>-14000</v>
      </c>
      <c r="AKT91" s="0" t="n">
        <f aca="false">SUM(AKT88:AKT90)</f>
        <v>-14000</v>
      </c>
      <c r="AKU91" s="0" t="n">
        <f aca="false">SUM(AKU88:AKU90)</f>
        <v>-14000</v>
      </c>
      <c r="AKV91" s="0" t="n">
        <f aca="false">SUM(AKV88:AKV90)</f>
        <v>-14000</v>
      </c>
      <c r="AKW91" s="0" t="n">
        <f aca="false">SUM(AKW88:AKW90)</f>
        <v>-14000</v>
      </c>
      <c r="AKX91" s="0" t="n">
        <f aca="false">SUM(AKX88:AKX90)</f>
        <v>-14000</v>
      </c>
      <c r="AKY91" s="0" t="n">
        <f aca="false">SUM(AKY88:AKY90)</f>
        <v>-14000</v>
      </c>
      <c r="AKZ91" s="0" t="n">
        <f aca="false">SUM(AKZ88:AKZ90)</f>
        <v>-14000</v>
      </c>
      <c r="ALA91" s="0" t="n">
        <f aca="false">SUM(ALA88:ALA90)</f>
        <v>-14000</v>
      </c>
      <c r="ALB91" s="0" t="n">
        <f aca="false">SUM(ALB88:ALB90)</f>
        <v>-14000</v>
      </c>
      <c r="ALC91" s="0" t="n">
        <f aca="false">SUM(ALC88:ALC90)</f>
        <v>-14000</v>
      </c>
      <c r="ALD91" s="0" t="n">
        <f aca="false">SUM(ALD88:ALD90)</f>
        <v>-14000</v>
      </c>
      <c r="ALE91" s="0" t="n">
        <f aca="false">SUM(ALE88:ALE90)</f>
        <v>-14000</v>
      </c>
      <c r="ALF91" s="0" t="n">
        <f aca="false">SUM(ALF88:ALF90)</f>
        <v>-14000</v>
      </c>
      <c r="ALG91" s="0" t="n">
        <f aca="false">SUM(ALG88:ALG90)</f>
        <v>-14000</v>
      </c>
      <c r="ALH91" s="0" t="n">
        <f aca="false">SUM(ALH88:ALH90)</f>
        <v>-14000</v>
      </c>
      <c r="ALI91" s="0" t="n">
        <f aca="false">SUM(ALI88:ALI90)</f>
        <v>-14000</v>
      </c>
      <c r="ALJ91" s="0" t="n">
        <f aca="false">SUM(ALJ88:ALJ90)</f>
        <v>-14000</v>
      </c>
      <c r="ALK91" s="0" t="n">
        <f aca="false">SUM(ALK88:ALK90)</f>
        <v>-14000</v>
      </c>
      <c r="ALL91" s="0" t="n">
        <f aca="false">SUM(ALL88:ALL90)</f>
        <v>-14000</v>
      </c>
      <c r="ALM91" s="0" t="n">
        <f aca="false">SUM(ALM88:ALM90)</f>
        <v>-14000</v>
      </c>
    </row>
    <row r="92" customFormat="false" ht="14.5" hidden="false" customHeight="false" outlineLevel="0" collapsed="false">
      <c r="A92" s="10"/>
    </row>
    <row r="93" customFormat="false" ht="14.5" hidden="false" customHeight="false" outlineLevel="0" collapsed="false">
      <c r="A93" s="94" t="s">
        <v>87</v>
      </c>
    </row>
    <row r="94" customFormat="false" ht="14.5" hidden="false" customHeight="false" outlineLevel="0" collapsed="false">
      <c r="A94" s="91" t="s">
        <v>33</v>
      </c>
      <c r="B94" s="0" t="n">
        <f aca="false">B82*B83</f>
        <v>32460.484165085</v>
      </c>
      <c r="C94" s="0" t="n">
        <f aca="false">C82*C83</f>
        <v>30272.1117288424</v>
      </c>
      <c r="D94" s="0" t="n">
        <f aca="false">D82*D83</f>
        <v>28571.573096587</v>
      </c>
      <c r="E94" s="0" t="n">
        <f aca="false">E82*E83</f>
        <v>31490.1782957041</v>
      </c>
      <c r="F94" s="0" t="n">
        <f aca="false">F82*F83</f>
        <v>30795.6120905894</v>
      </c>
      <c r="G94" s="0" t="n">
        <f aca="false">G82*G83</f>
        <v>32483.9107910626</v>
      </c>
      <c r="H94" s="0" t="n">
        <f aca="false">H82*H83</f>
        <v>28122.3771061977</v>
      </c>
      <c r="I94" s="0" t="n">
        <f aca="false">I82*I83</f>
        <v>30103.0772452932</v>
      </c>
      <c r="J94" s="0" t="n">
        <f aca="false">J82*J83</f>
        <v>30619.2567864388</v>
      </c>
      <c r="K94" s="0" t="n">
        <f aca="false">K82*K83</f>
        <v>27007.6463752934</v>
      </c>
      <c r="L94" s="0" t="n">
        <f aca="false">L82*L83</f>
        <v>29509.2132995279</v>
      </c>
      <c r="M94" s="0" t="n">
        <f aca="false">M82*M83</f>
        <v>30148.1142959227</v>
      </c>
      <c r="N94" s="0" t="n">
        <f aca="false">N82*N83</f>
        <v>29343.3668735375</v>
      </c>
      <c r="O94" s="0" t="n">
        <f aca="false">O82*O83</f>
        <v>29655.768316485</v>
      </c>
      <c r="P94" s="0" t="n">
        <f aca="false">P82*P83</f>
        <v>31395.5458080346</v>
      </c>
      <c r="Q94" s="0" t="n">
        <f aca="false">Q82*Q83</f>
        <v>25862.274940631</v>
      </c>
      <c r="R94" s="0" t="n">
        <f aca="false">R82*R83</f>
        <v>28034.4916544538</v>
      </c>
      <c r="S94" s="0" t="n">
        <f aca="false">S82*S83</f>
        <v>26285.4686923602</v>
      </c>
      <c r="T94" s="0" t="n">
        <f aca="false">T82*T83</f>
        <v>29319.1396663914</v>
      </c>
      <c r="U94" s="0" t="n">
        <f aca="false">U82*U83</f>
        <v>26083.8242617021</v>
      </c>
      <c r="V94" s="0" t="n">
        <f aca="false">V82*V83</f>
        <v>29405.0939636902</v>
      </c>
      <c r="W94" s="0" t="n">
        <f aca="false">W82*W83</f>
        <v>30104.5497947412</v>
      </c>
      <c r="X94" s="0" t="n">
        <f aca="false">X82*X83</f>
        <v>30786.357705733</v>
      </c>
      <c r="Y94" s="0" t="n">
        <f aca="false">Y82*Y83</f>
        <v>30035.1525248191</v>
      </c>
      <c r="Z94" s="0" t="n">
        <f aca="false">Z82*Z83</f>
        <v>29492.5718152503</v>
      </c>
      <c r="AA94" s="0" t="n">
        <f aca="false">AA82*AA83</f>
        <v>30196.6462254053</v>
      </c>
      <c r="AB94" s="0" t="n">
        <f aca="false">AB82*AB83</f>
        <v>29881.3449077123</v>
      </c>
      <c r="AC94" s="0" t="n">
        <f aca="false">AC82*AC83</f>
        <v>27447.6114403932</v>
      </c>
      <c r="AD94" s="0" t="n">
        <f aca="false">AD82*AD83</f>
        <v>29065.4724044268</v>
      </c>
      <c r="AE94" s="0" t="n">
        <f aca="false">AE82*AE83</f>
        <v>29224.0874001599</v>
      </c>
      <c r="AF94" s="0" t="n">
        <f aca="false">AF82*AF83</f>
        <v>25297.735461176</v>
      </c>
      <c r="AG94" s="0" t="n">
        <f aca="false">AG82*AG83</f>
        <v>32011.5986762036</v>
      </c>
      <c r="AH94" s="0" t="n">
        <f aca="false">AH82*AH83</f>
        <v>29248.2676682226</v>
      </c>
      <c r="AI94" s="0" t="n">
        <f aca="false">AI82*AI83</f>
        <v>28379.9632388281</v>
      </c>
      <c r="AJ94" s="0" t="n">
        <f aca="false">AJ82*AJ83</f>
        <v>32879.9780389491</v>
      </c>
      <c r="AK94" s="0" t="n">
        <f aca="false">AK82*AK83</f>
        <v>31660.8029273331</v>
      </c>
      <c r="AL94" s="0" t="n">
        <f aca="false">AL82*AL83</f>
        <v>30065.5624653553</v>
      </c>
      <c r="AM94" s="0" t="n">
        <f aca="false">AM82*AM83</f>
        <v>29427.6379370076</v>
      </c>
      <c r="AN94" s="0" t="n">
        <f aca="false">AN82*AN83</f>
        <v>30878.1806118088</v>
      </c>
      <c r="AO94" s="0" t="n">
        <f aca="false">AO82*AO83</f>
        <v>27109.5117845542</v>
      </c>
      <c r="AP94" s="0" t="n">
        <f aca="false">AP82*AP83</f>
        <v>29295.0987262924</v>
      </c>
      <c r="AQ94" s="0" t="n">
        <f aca="false">AQ82*AQ83</f>
        <v>31706.6058383601</v>
      </c>
      <c r="AR94" s="0" t="n">
        <f aca="false">AR82*AR83</f>
        <v>30708.2672393439</v>
      </c>
      <c r="AS94" s="0" t="n">
        <f aca="false">AS82*AS83</f>
        <v>27165.0912711639</v>
      </c>
      <c r="AT94" s="0" t="n">
        <f aca="false">AT82*AT83</f>
        <v>30771.9363854616</v>
      </c>
      <c r="AU94" s="0" t="n">
        <f aca="false">AU82*AU83</f>
        <v>27924.6868010361</v>
      </c>
      <c r="AV94" s="0" t="n">
        <f aca="false">AV82*AV83</f>
        <v>33159.9657510336</v>
      </c>
      <c r="AW94" s="0" t="n">
        <f aca="false">AW82*AW83</f>
        <v>29766.6378851583</v>
      </c>
      <c r="AX94" s="0" t="n">
        <f aca="false">AX82*AX83</f>
        <v>27512.2058972931</v>
      </c>
      <c r="AY94" s="0" t="n">
        <f aca="false">AY82*AY83</f>
        <v>33189.7791679961</v>
      </c>
      <c r="AZ94" s="0" t="n">
        <f aca="false">AZ82*AZ83</f>
        <v>30189.3875273557</v>
      </c>
      <c r="BA94" s="0" t="n">
        <f aca="false">BA82*BA83</f>
        <v>30528.1319139313</v>
      </c>
      <c r="BB94" s="0" t="n">
        <f aca="false">BB82*BB83</f>
        <v>27958.0425790738</v>
      </c>
      <c r="BC94" s="0" t="n">
        <f aca="false">BC82*BC83</f>
        <v>32584.8501075895</v>
      </c>
      <c r="BD94" s="0" t="n">
        <f aca="false">BD82*BD83</f>
        <v>27314.6557119598</v>
      </c>
      <c r="BE94" s="0" t="n">
        <f aca="false">BE82*BE83</f>
        <v>28165.3027557783</v>
      </c>
      <c r="BF94" s="0" t="n">
        <f aca="false">BF82*BF83</f>
        <v>25197.6545610858</v>
      </c>
      <c r="BG94" s="0" t="n">
        <f aca="false">BG82*BG83</f>
        <v>27786.048486963</v>
      </c>
      <c r="BH94" s="0" t="n">
        <f aca="false">BH82*BH83</f>
        <v>29669.4436817577</v>
      </c>
      <c r="BI94" s="0" t="n">
        <f aca="false">BI82*BI83</f>
        <v>32665.6798181947</v>
      </c>
      <c r="BJ94" s="0" t="n">
        <f aca="false">BJ82*BJ83</f>
        <v>31533.6335743339</v>
      </c>
      <c r="BK94" s="0" t="n">
        <f aca="false">BK82*BK83</f>
        <v>31808.4132809068</v>
      </c>
      <c r="BL94" s="0" t="n">
        <f aca="false">BL82*BL83</f>
        <v>30996.2705301513</v>
      </c>
      <c r="BM94" s="0" t="n">
        <f aca="false">BM82*BM83</f>
        <v>31225.7547517608</v>
      </c>
      <c r="BN94" s="0" t="n">
        <f aca="false">BN82*BN83</f>
        <v>29612.3131538481</v>
      </c>
      <c r="BO94" s="0" t="n">
        <f aca="false">BO82*BO83</f>
        <v>30845.7718771556</v>
      </c>
      <c r="BP94" s="0" t="n">
        <f aca="false">BP82*BP83</f>
        <v>32250.7414694653</v>
      </c>
      <c r="BQ94" s="0" t="n">
        <f aca="false">BQ82*BQ83</f>
        <v>29480.6162323893</v>
      </c>
      <c r="BR94" s="0" t="n">
        <f aca="false">BR82*BR83</f>
        <v>32457.2994819419</v>
      </c>
      <c r="BS94" s="0" t="n">
        <f aca="false">BS82*BS83</f>
        <v>26868.0052637096</v>
      </c>
      <c r="BT94" s="0" t="n">
        <f aca="false">BT82*BT83</f>
        <v>28969.0647756273</v>
      </c>
      <c r="BU94" s="0" t="n">
        <f aca="false">BU82*BU83</f>
        <v>26726.1313575047</v>
      </c>
      <c r="BV94" s="0" t="n">
        <f aca="false">BV82*BV83</f>
        <v>27516.0727408243</v>
      </c>
      <c r="BW94" s="0" t="n">
        <f aca="false">BW82*BW83</f>
        <v>27447.8612045087</v>
      </c>
      <c r="BX94" s="0" t="n">
        <f aca="false">BX82*BX83</f>
        <v>27265.1286585672</v>
      </c>
      <c r="BY94" s="0" t="n">
        <f aca="false">BY82*BY83</f>
        <v>27923.8695120541</v>
      </c>
      <c r="BZ94" s="0" t="n">
        <f aca="false">BZ82*BZ83</f>
        <v>31336.0766332873</v>
      </c>
      <c r="CA94" s="0" t="n">
        <f aca="false">CA82*CA83</f>
        <v>30653.5912553696</v>
      </c>
      <c r="CB94" s="0" t="n">
        <f aca="false">CB82*CB83</f>
        <v>28973.9254891053</v>
      </c>
      <c r="CC94" s="0" t="n">
        <f aca="false">CC82*CC83</f>
        <v>29465.1002322966</v>
      </c>
      <c r="CD94" s="0" t="n">
        <f aca="false">CD82*CD83</f>
        <v>30290.1457044086</v>
      </c>
      <c r="CE94" s="0" t="n">
        <f aca="false">CE82*CE83</f>
        <v>30394.7131205456</v>
      </c>
      <c r="CF94" s="0" t="n">
        <f aca="false">CF82*CF83</f>
        <v>29969.4431128391</v>
      </c>
      <c r="CG94" s="0" t="n">
        <f aca="false">CG82*CG83</f>
        <v>28773.6658000411</v>
      </c>
      <c r="CH94" s="0" t="n">
        <f aca="false">CH82*CH83</f>
        <v>32649.8391651835</v>
      </c>
      <c r="CI94" s="0" t="n">
        <f aca="false">CI82*CI83</f>
        <v>29743.3086222715</v>
      </c>
      <c r="CJ94" s="0" t="n">
        <f aca="false">CJ82*CJ83</f>
        <v>31722.6723519927</v>
      </c>
      <c r="CK94" s="0" t="n">
        <f aca="false">CK82*CK83</f>
        <v>29835.9962797232</v>
      </c>
      <c r="CL94" s="0" t="n">
        <f aca="false">CL82*CL83</f>
        <v>29059.5820874804</v>
      </c>
      <c r="CM94" s="0" t="n">
        <f aca="false">CM82*CM83</f>
        <v>31098.1301688966</v>
      </c>
      <c r="CN94" s="0" t="n">
        <f aca="false">CN82*CN83</f>
        <v>30526.1962862385</v>
      </c>
      <c r="CO94" s="0" t="n">
        <f aca="false">CO82*CO83</f>
        <v>32703.0809428496</v>
      </c>
      <c r="CP94" s="0" t="n">
        <f aca="false">CP82*CP83</f>
        <v>30750.4982295624</v>
      </c>
      <c r="CQ94" s="0" t="n">
        <f aca="false">CQ82*CQ83</f>
        <v>28781.6493110563</v>
      </c>
      <c r="CR94" s="0" t="n">
        <f aca="false">CR82*CR83</f>
        <v>30863.0150863791</v>
      </c>
      <c r="CS94" s="0" t="n">
        <f aca="false">CS82*CS83</f>
        <v>27997.6199817189</v>
      </c>
      <c r="CT94" s="0" t="n">
        <f aca="false">CT82*CT83</f>
        <v>27103.2814069611</v>
      </c>
      <c r="CU94" s="0" t="n">
        <f aca="false">CU82*CU83</f>
        <v>27610.4780115658</v>
      </c>
      <c r="CV94" s="0" t="n">
        <f aca="false">CV82*CV83</f>
        <v>27762.8625552299</v>
      </c>
      <c r="CW94" s="0" t="n">
        <f aca="false">CW82*CW83</f>
        <v>30058.7449479257</v>
      </c>
      <c r="CX94" s="0" t="n">
        <f aca="false">CX82*CX83</f>
        <v>30696.9800176434</v>
      </c>
      <c r="CY94" s="0" t="n">
        <f aca="false">CY82*CY83</f>
        <v>28976.9386761465</v>
      </c>
      <c r="CZ94" s="0" t="n">
        <f aca="false">CZ82*CZ83</f>
        <v>30259.860737315</v>
      </c>
      <c r="DA94" s="0" t="n">
        <f aca="false">DA82*DA83</f>
        <v>26287.4107558965</v>
      </c>
      <c r="DB94" s="0" t="n">
        <f aca="false">DB82*DB83</f>
        <v>22658.838133541</v>
      </c>
      <c r="DC94" s="0" t="n">
        <f aca="false">DC82*DC83</f>
        <v>31365.7377179959</v>
      </c>
      <c r="DD94" s="0" t="n">
        <f aca="false">DD82*DD83</f>
        <v>27401.1818607497</v>
      </c>
      <c r="DE94" s="0" t="n">
        <f aca="false">DE82*DE83</f>
        <v>31044.8734051979</v>
      </c>
      <c r="DF94" s="0" t="n">
        <f aca="false">DF82*DF83</f>
        <v>27159.2374132257</v>
      </c>
      <c r="DG94" s="0" t="n">
        <f aca="false">DG82*DG83</f>
        <v>31754.158232557</v>
      </c>
      <c r="DH94" s="0" t="n">
        <f aca="false">DH82*DH83</f>
        <v>31890.0755611121</v>
      </c>
      <c r="DI94" s="0" t="n">
        <f aca="false">DI82*DI83</f>
        <v>28464.1455562152</v>
      </c>
      <c r="DJ94" s="0" t="n">
        <f aca="false">DJ82*DJ83</f>
        <v>29406.4531892552</v>
      </c>
      <c r="DK94" s="0" t="n">
        <f aca="false">DK82*DK83</f>
        <v>28664.4577664899</v>
      </c>
      <c r="DL94" s="0" t="n">
        <f aca="false">DL82*DL83</f>
        <v>31575.8385888283</v>
      </c>
      <c r="DM94" s="0" t="n">
        <f aca="false">DM82*DM83</f>
        <v>31292.4670647308</v>
      </c>
      <c r="DN94" s="0" t="n">
        <f aca="false">DN82*DN83</f>
        <v>34137.4520672122</v>
      </c>
      <c r="DO94" s="0" t="n">
        <f aca="false">DO82*DO83</f>
        <v>30286.9104871861</v>
      </c>
      <c r="DP94" s="0" t="n">
        <f aca="false">DP82*DP83</f>
        <v>32343.4384143518</v>
      </c>
      <c r="DQ94" s="0" t="n">
        <f aca="false">DQ82*DQ83</f>
        <v>32407.2869511626</v>
      </c>
      <c r="DR94" s="0" t="n">
        <f aca="false">DR82*DR83</f>
        <v>22312.0567175191</v>
      </c>
      <c r="DS94" s="0" t="n">
        <f aca="false">DS82*DS83</f>
        <v>30019.0839967875</v>
      </c>
      <c r="DT94" s="0" t="n">
        <f aca="false">DT82*DT83</f>
        <v>33384.0513526933</v>
      </c>
      <c r="DU94" s="0" t="n">
        <f aca="false">DU82*DU83</f>
        <v>30735.3253183988</v>
      </c>
      <c r="DV94" s="0" t="n">
        <f aca="false">DV82*DV83</f>
        <v>30588.0410194548</v>
      </c>
      <c r="DW94" s="0" t="n">
        <f aca="false">DW82*DW83</f>
        <v>31162.3116278217</v>
      </c>
      <c r="DX94" s="0" t="n">
        <f aca="false">DX82*DX83</f>
        <v>31184.9137850462</v>
      </c>
      <c r="DY94" s="0" t="n">
        <f aca="false">DY82*DY83</f>
        <v>31607.9281332271</v>
      </c>
      <c r="DZ94" s="0" t="n">
        <f aca="false">DZ82*DZ83</f>
        <v>28324.2449210023</v>
      </c>
      <c r="EA94" s="0" t="n">
        <f aca="false">EA82*EA83</f>
        <v>24283.4683942565</v>
      </c>
      <c r="EB94" s="0" t="n">
        <f aca="false">EB82*EB83</f>
        <v>29787.5264239105</v>
      </c>
      <c r="EC94" s="0" t="n">
        <f aca="false">EC82*EC83</f>
        <v>29182.3518723846</v>
      </c>
      <c r="ED94" s="0" t="n">
        <f aca="false">ED82*ED83</f>
        <v>32676.7073230479</v>
      </c>
      <c r="EE94" s="0" t="n">
        <f aca="false">EE82*EE83</f>
        <v>29808.1632667961</v>
      </c>
      <c r="EF94" s="0" t="n">
        <f aca="false">EF82*EF83</f>
        <v>29983.871616034</v>
      </c>
      <c r="EG94" s="0" t="n">
        <f aca="false">EG82*EG83</f>
        <v>30390.9226307853</v>
      </c>
      <c r="EH94" s="0" t="n">
        <f aca="false">EH82*EH83</f>
        <v>28905.7134234297</v>
      </c>
      <c r="EI94" s="0" t="n">
        <f aca="false">EI82*EI83</f>
        <v>27525.6586059363</v>
      </c>
      <c r="EJ94" s="0" t="n">
        <f aca="false">EJ82*EJ83</f>
        <v>31430.1032809663</v>
      </c>
      <c r="EK94" s="0" t="n">
        <f aca="false">EK82*EK83</f>
        <v>31439.9037268893</v>
      </c>
      <c r="EL94" s="0" t="n">
        <f aca="false">EL82*EL83</f>
        <v>30264.1951162646</v>
      </c>
      <c r="EM94" s="0" t="n">
        <f aca="false">EM82*EM83</f>
        <v>30219.5558428578</v>
      </c>
      <c r="EN94" s="0" t="n">
        <f aca="false">EN82*EN83</f>
        <v>30044.0354418321</v>
      </c>
      <c r="EO94" s="0" t="n">
        <f aca="false">EO82*EO83</f>
        <v>29890.7931585657</v>
      </c>
      <c r="EP94" s="0" t="n">
        <f aca="false">EP82*EP83</f>
        <v>31154.4358222327</v>
      </c>
      <c r="EQ94" s="0" t="n">
        <f aca="false">EQ82*EQ83</f>
        <v>32904.436796823</v>
      </c>
      <c r="ER94" s="0" t="n">
        <f aca="false">ER82*ER83</f>
        <v>29851.6565365628</v>
      </c>
      <c r="ES94" s="0" t="n">
        <f aca="false">ES82*ES83</f>
        <v>30627.9926668512</v>
      </c>
      <c r="ET94" s="0" t="n">
        <f aca="false">ET82*ET83</f>
        <v>31607.0338193511</v>
      </c>
      <c r="EU94" s="0" t="n">
        <f aca="false">EU82*EU83</f>
        <v>30310.7201716614</v>
      </c>
      <c r="EV94" s="0" t="n">
        <f aca="false">EV82*EV83</f>
        <v>30470.2873847856</v>
      </c>
      <c r="EW94" s="0" t="n">
        <f aca="false">EW82*EW83</f>
        <v>28610.3517465593</v>
      </c>
      <c r="EX94" s="0" t="n">
        <f aca="false">EX82*EX83</f>
        <v>28317.0391547035</v>
      </c>
      <c r="EY94" s="0" t="n">
        <f aca="false">EY82*EY83</f>
        <v>31697.1844201602</v>
      </c>
      <c r="EZ94" s="0" t="n">
        <f aca="false">EZ82*EZ83</f>
        <v>27992.1073226444</v>
      </c>
      <c r="FA94" s="0" t="n">
        <f aca="false">FA82*FA83</f>
        <v>31308.2598017478</v>
      </c>
      <c r="FB94" s="0" t="n">
        <f aca="false">FB82*FB83</f>
        <v>30276.2489823276</v>
      </c>
      <c r="FC94" s="0" t="n">
        <f aca="false">FC82*FC83</f>
        <v>27968.8019527689</v>
      </c>
      <c r="FD94" s="0" t="n">
        <f aca="false">FD82*FD83</f>
        <v>31981.2884474394</v>
      </c>
      <c r="FE94" s="0" t="n">
        <f aca="false">FE82*FE83</f>
        <v>28739.1254792559</v>
      </c>
      <c r="FF94" s="0" t="n">
        <f aca="false">FF82*FF83</f>
        <v>26935.9980328377</v>
      </c>
      <c r="FG94" s="0" t="n">
        <f aca="false">FG82*FG83</f>
        <v>30211.3001702588</v>
      </c>
      <c r="FH94" s="0" t="n">
        <f aca="false">FH82*FH83</f>
        <v>30511.1817534712</v>
      </c>
      <c r="FI94" s="0" t="n">
        <f aca="false">FI82*FI83</f>
        <v>25040.1900712972</v>
      </c>
      <c r="FJ94" s="0" t="n">
        <f aca="false">FJ82*FJ83</f>
        <v>28547.2652047304</v>
      </c>
      <c r="FK94" s="0" t="n">
        <f aca="false">FK82*FK83</f>
        <v>31475.6445853796</v>
      </c>
      <c r="FL94" s="0" t="n">
        <f aca="false">FL82*FL83</f>
        <v>26157.9246441688</v>
      </c>
      <c r="FM94" s="0" t="n">
        <f aca="false">FM82*FM83</f>
        <v>31367.9769567127</v>
      </c>
      <c r="FN94" s="0" t="n">
        <f aca="false">FN82*FN83</f>
        <v>29841.2026733331</v>
      </c>
      <c r="FO94" s="0" t="n">
        <f aca="false">FO82*FO83</f>
        <v>27918.5361656521</v>
      </c>
      <c r="FP94" s="0" t="n">
        <f aca="false">FP82*FP83</f>
        <v>29094.5661175826</v>
      </c>
      <c r="FQ94" s="0" t="n">
        <f aca="false">FQ82*FQ83</f>
        <v>26794.2842814817</v>
      </c>
      <c r="FR94" s="0" t="n">
        <f aca="false">FR82*FR83</f>
        <v>30920.3622274312</v>
      </c>
      <c r="FS94" s="0" t="n">
        <f aca="false">FS82*FS83</f>
        <v>25140.5113480381</v>
      </c>
      <c r="FT94" s="0" t="n">
        <f aca="false">FT82*FT83</f>
        <v>28736.750329869</v>
      </c>
      <c r="FU94" s="0" t="n">
        <f aca="false">FU82*FU83</f>
        <v>28587.7559811372</v>
      </c>
      <c r="FV94" s="0" t="n">
        <f aca="false">FV82*FV83</f>
        <v>28659.1815170933</v>
      </c>
      <c r="FW94" s="0" t="n">
        <f aca="false">FW82*FW83</f>
        <v>31660.3298638504</v>
      </c>
      <c r="FX94" s="0" t="n">
        <f aca="false">FX82*FX83</f>
        <v>28732.2039453961</v>
      </c>
      <c r="FY94" s="0" t="n">
        <f aca="false">FY82*FY83</f>
        <v>28591.0687982449</v>
      </c>
      <c r="FZ94" s="0" t="n">
        <f aca="false">FZ82*FZ83</f>
        <v>26085.642216361</v>
      </c>
      <c r="GA94" s="0" t="n">
        <f aca="false">GA82*GA83</f>
        <v>27942.0746465705</v>
      </c>
      <c r="GB94" s="0" t="n">
        <f aca="false">GB82*GB83</f>
        <v>29030.5194143087</v>
      </c>
      <c r="GC94" s="0" t="n">
        <f aca="false">GC82*GC83</f>
        <v>30638.9444209438</v>
      </c>
      <c r="GD94" s="0" t="n">
        <f aca="false">GD82*GD83</f>
        <v>27373.7607967955</v>
      </c>
      <c r="GE94" s="0" t="n">
        <f aca="false">GE82*GE83</f>
        <v>29265.4917232258</v>
      </c>
      <c r="GF94" s="0" t="n">
        <f aca="false">GF82*GF83</f>
        <v>28256.1640583257</v>
      </c>
      <c r="GG94" s="0" t="n">
        <f aca="false">GG82*GG83</f>
        <v>29551.9119248298</v>
      </c>
      <c r="GH94" s="0" t="n">
        <f aca="false">GH82*GH83</f>
        <v>30745.9041897114</v>
      </c>
      <c r="GI94" s="0" t="n">
        <f aca="false">GI82*GI83</f>
        <v>30540.4447035263</v>
      </c>
      <c r="GJ94" s="0" t="n">
        <f aca="false">GJ82*GJ83</f>
        <v>30742.6105118097</v>
      </c>
      <c r="GK94" s="0" t="n">
        <f aca="false">GK82*GK83</f>
        <v>29053.2596022215</v>
      </c>
      <c r="GL94" s="0" t="n">
        <f aca="false">GL82*GL83</f>
        <v>30088.5417444816</v>
      </c>
      <c r="GM94" s="0" t="n">
        <f aca="false">GM82*GM83</f>
        <v>27879.0396903617</v>
      </c>
      <c r="GN94" s="0" t="n">
        <f aca="false">GN82*GN83</f>
        <v>32057.7967185452</v>
      </c>
      <c r="GO94" s="0" t="n">
        <f aca="false">GO82*GO83</f>
        <v>28129.4594260755</v>
      </c>
      <c r="GP94" s="0" t="n">
        <f aca="false">GP82*GP83</f>
        <v>29780.7673108725</v>
      </c>
      <c r="GQ94" s="0" t="n">
        <f aca="false">GQ82*GQ83</f>
        <v>25791.1274257007</v>
      </c>
      <c r="GR94" s="0" t="n">
        <f aca="false">GR82*GR83</f>
        <v>32369.7805969061</v>
      </c>
      <c r="GS94" s="0" t="n">
        <f aca="false">GS82*GS83</f>
        <v>28990.7460083293</v>
      </c>
      <c r="GT94" s="0" t="n">
        <f aca="false">GT82*GT83</f>
        <v>30568.1210522655</v>
      </c>
      <c r="GU94" s="0" t="n">
        <f aca="false">GU82*GU83</f>
        <v>29452.9132281926</v>
      </c>
      <c r="GV94" s="0" t="n">
        <f aca="false">GV82*GV83</f>
        <v>28187.9800895761</v>
      </c>
      <c r="GW94" s="0" t="n">
        <f aca="false">GW82*GW83</f>
        <v>32266.5129182038</v>
      </c>
      <c r="GX94" s="0" t="n">
        <f aca="false">GX82*GX83</f>
        <v>27645.8897378955</v>
      </c>
      <c r="GY94" s="0" t="n">
        <f aca="false">GY82*GY83</f>
        <v>29263.1059006083</v>
      </c>
      <c r="GZ94" s="0" t="n">
        <f aca="false">GZ82*GZ83</f>
        <v>32363.9850412541</v>
      </c>
      <c r="HA94" s="0" t="n">
        <f aca="false">HA82*HA83</f>
        <v>29784.5943688651</v>
      </c>
      <c r="HB94" s="0" t="n">
        <f aca="false">HB82*HB83</f>
        <v>29690.2251511461</v>
      </c>
      <c r="HC94" s="0" t="n">
        <f aca="false">HC82*HC83</f>
        <v>29531.4132475104</v>
      </c>
      <c r="HD94" s="0" t="n">
        <f aca="false">HD82*HD83</f>
        <v>31747.9364681795</v>
      </c>
      <c r="HE94" s="0" t="n">
        <f aca="false">HE82*HE83</f>
        <v>31532.6397703299</v>
      </c>
      <c r="HF94" s="0" t="n">
        <f aca="false">HF82*HF83</f>
        <v>25156.919776794</v>
      </c>
      <c r="HG94" s="0" t="n">
        <f aca="false">HG82*HG83</f>
        <v>31355.1075976816</v>
      </c>
      <c r="HH94" s="0" t="n">
        <f aca="false">HH82*HH83</f>
        <v>30239.8044805366</v>
      </c>
      <c r="HI94" s="0" t="n">
        <f aca="false">HI82*HI83</f>
        <v>31029.0010986783</v>
      </c>
      <c r="HJ94" s="0" t="n">
        <f aca="false">HJ82*HJ83</f>
        <v>28572.5476555139</v>
      </c>
      <c r="HK94" s="0" t="n">
        <f aca="false">HK82*HK83</f>
        <v>30597.0783364273</v>
      </c>
      <c r="HL94" s="0" t="n">
        <f aca="false">HL82*HL83</f>
        <v>31995.1885948185</v>
      </c>
      <c r="HM94" s="0" t="n">
        <f aca="false">HM82*HM83</f>
        <v>29652.994364843</v>
      </c>
      <c r="HN94" s="0" t="n">
        <f aca="false">HN82*HN83</f>
        <v>30271.9044238627</v>
      </c>
      <c r="HO94" s="0" t="n">
        <f aca="false">HO82*HO83</f>
        <v>31109.1334437639</v>
      </c>
      <c r="HP94" s="0" t="n">
        <f aca="false">HP82*HP83</f>
        <v>25643.7167776147</v>
      </c>
      <c r="HQ94" s="0" t="n">
        <f aca="false">HQ82*HQ83</f>
        <v>29132.5546364785</v>
      </c>
      <c r="HR94" s="0" t="n">
        <f aca="false">HR82*HR83</f>
        <v>27870.8974106392</v>
      </c>
      <c r="HS94" s="0" t="n">
        <f aca="false">HS82*HS83</f>
        <v>28019.402250181</v>
      </c>
      <c r="HT94" s="0" t="n">
        <f aca="false">HT82*HT83</f>
        <v>33171.9160956285</v>
      </c>
      <c r="HU94" s="0" t="n">
        <f aca="false">HU82*HU83</f>
        <v>28892.0712898409</v>
      </c>
      <c r="HV94" s="0" t="n">
        <f aca="false">HV82*HV83</f>
        <v>27780.5573157844</v>
      </c>
      <c r="HW94" s="0" t="n">
        <f aca="false">HW82*HW83</f>
        <v>28839.8972105708</v>
      </c>
      <c r="HX94" s="0" t="n">
        <f aca="false">HX82*HX83</f>
        <v>31652.0231412387</v>
      </c>
      <c r="HY94" s="0" t="n">
        <f aca="false">HY82*HY83</f>
        <v>28895.6378150474</v>
      </c>
      <c r="HZ94" s="0" t="n">
        <f aca="false">HZ82*HZ83</f>
        <v>29581.9213098274</v>
      </c>
      <c r="IA94" s="0" t="n">
        <f aca="false">IA82*IA83</f>
        <v>32628.4656800649</v>
      </c>
      <c r="IB94" s="0" t="n">
        <f aca="false">IB82*IB83</f>
        <v>27752.7442140798</v>
      </c>
      <c r="IC94" s="0" t="n">
        <f aca="false">IC82*IC83</f>
        <v>29395.1950878453</v>
      </c>
      <c r="ID94" s="0" t="n">
        <f aca="false">ID82*ID83</f>
        <v>26715.3359246054</v>
      </c>
      <c r="IE94" s="0" t="n">
        <f aca="false">IE82*IE83</f>
        <v>31172.6554894185</v>
      </c>
      <c r="IF94" s="0" t="n">
        <f aca="false">IF82*IF83</f>
        <v>26412.3694057091</v>
      </c>
      <c r="IG94" s="0" t="n">
        <f aca="false">IG82*IG83</f>
        <v>28303.5261297148</v>
      </c>
      <c r="IH94" s="0" t="n">
        <f aca="false">IH82*IH83</f>
        <v>29516.0161668314</v>
      </c>
      <c r="II94" s="0" t="n">
        <f aca="false">II82*II83</f>
        <v>32674.9361134944</v>
      </c>
      <c r="IJ94" s="0" t="n">
        <f aca="false">IJ82*IJ83</f>
        <v>28824.3455716333</v>
      </c>
      <c r="IK94" s="0" t="n">
        <f aca="false">IK82*IK83</f>
        <v>32058.426798874</v>
      </c>
      <c r="IL94" s="0" t="n">
        <f aca="false">IL82*IL83</f>
        <v>34426.5883676181</v>
      </c>
      <c r="IM94" s="0" t="n">
        <f aca="false">IM82*IM83</f>
        <v>30976.5627479613</v>
      </c>
      <c r="IN94" s="0" t="n">
        <f aca="false">IN82*IN83</f>
        <v>26707.486037995</v>
      </c>
      <c r="IO94" s="0" t="n">
        <f aca="false">IO82*IO83</f>
        <v>30199.4914316092</v>
      </c>
      <c r="IP94" s="0" t="n">
        <f aca="false">IP82*IP83</f>
        <v>32536.3468901204</v>
      </c>
      <c r="IQ94" s="0" t="n">
        <f aca="false">IQ82*IQ83</f>
        <v>31156.2751925047</v>
      </c>
      <c r="IR94" s="0" t="n">
        <f aca="false">IR82*IR83</f>
        <v>27474.7315174069</v>
      </c>
      <c r="IS94" s="0" t="n">
        <f aca="false">IS82*IS83</f>
        <v>29114.5765663915</v>
      </c>
      <c r="IT94" s="0" t="n">
        <f aca="false">IT82*IT83</f>
        <v>32442.8198139692</v>
      </c>
      <c r="IU94" s="0" t="n">
        <f aca="false">IU82*IU83</f>
        <v>28561.799570813</v>
      </c>
      <c r="IV94" s="0" t="n">
        <f aca="false">IV82*IV83</f>
        <v>29977.4463299686</v>
      </c>
      <c r="IW94" s="0" t="n">
        <f aca="false">IW82*IW83</f>
        <v>29214.432462108</v>
      </c>
      <c r="IX94" s="0" t="n">
        <f aca="false">IX82*IX83</f>
        <v>27972.4034142345</v>
      </c>
      <c r="IY94" s="0" t="n">
        <f aca="false">IY82*IY83</f>
        <v>32070.125027021</v>
      </c>
      <c r="IZ94" s="0" t="n">
        <f aca="false">IZ82*IZ83</f>
        <v>30856.2883300265</v>
      </c>
      <c r="JA94" s="0" t="n">
        <f aca="false">JA82*JA83</f>
        <v>27166.7608092084</v>
      </c>
      <c r="JB94" s="0" t="n">
        <f aca="false">JB82*JB83</f>
        <v>29541.0391357228</v>
      </c>
      <c r="JC94" s="0" t="n">
        <f aca="false">JC82*JC83</f>
        <v>26449.7085247852</v>
      </c>
      <c r="JD94" s="0" t="n">
        <f aca="false">JD82*JD83</f>
        <v>27933.8725242743</v>
      </c>
      <c r="JE94" s="0" t="n">
        <f aca="false">JE82*JE83</f>
        <v>32013.1323461277</v>
      </c>
      <c r="JF94" s="0" t="n">
        <f aca="false">JF82*JF83</f>
        <v>31105.8121841927</v>
      </c>
      <c r="JG94" s="0" t="n">
        <f aca="false">JG82*JG83</f>
        <v>30832.3287675252</v>
      </c>
      <c r="JH94" s="0" t="n">
        <f aca="false">JH82*JH83</f>
        <v>27576.2459920243</v>
      </c>
      <c r="JI94" s="0" t="n">
        <f aca="false">JI82*JI83</f>
        <v>27945.1439238893</v>
      </c>
      <c r="JJ94" s="0" t="n">
        <f aca="false">JJ82*JJ83</f>
        <v>28602.0946932637</v>
      </c>
      <c r="JK94" s="0" t="n">
        <f aca="false">JK82*JK83</f>
        <v>27679.1198089423</v>
      </c>
      <c r="JL94" s="0" t="n">
        <f aca="false">JL82*JL83</f>
        <v>29393.9643725281</v>
      </c>
      <c r="JM94" s="0" t="n">
        <f aca="false">JM82*JM83</f>
        <v>30812.8744691432</v>
      </c>
      <c r="JN94" s="0" t="n">
        <f aca="false">JN82*JN83</f>
        <v>29019.4948527682</v>
      </c>
      <c r="JO94" s="0" t="n">
        <f aca="false">JO82*JO83</f>
        <v>31535.2702537756</v>
      </c>
      <c r="JP94" s="0" t="n">
        <f aca="false">JP82*JP83</f>
        <v>30087.4392425642</v>
      </c>
      <c r="JQ94" s="0" t="n">
        <f aca="false">JQ82*JQ83</f>
        <v>26658.6097320076</v>
      </c>
      <c r="JR94" s="0" t="n">
        <f aca="false">JR82*JR83</f>
        <v>25896.2647058882</v>
      </c>
      <c r="JS94" s="0" t="n">
        <f aca="false">JS82*JS83</f>
        <v>25776.9124689859</v>
      </c>
      <c r="JT94" s="0" t="n">
        <f aca="false">JT82*JT83</f>
        <v>28495.5603956467</v>
      </c>
      <c r="JU94" s="0" t="n">
        <f aca="false">JU82*JU83</f>
        <v>27945.3284482333</v>
      </c>
      <c r="JV94" s="0" t="n">
        <f aca="false">JV82*JV83</f>
        <v>31605.106212034</v>
      </c>
      <c r="JW94" s="0" t="n">
        <f aca="false">JW82*JW83</f>
        <v>32076.5474932192</v>
      </c>
      <c r="JX94" s="0" t="n">
        <f aca="false">JX82*JX83</f>
        <v>28332.6949082436</v>
      </c>
      <c r="JY94" s="0" t="n">
        <f aca="false">JY82*JY83</f>
        <v>30912.8039190971</v>
      </c>
      <c r="JZ94" s="0" t="n">
        <f aca="false">JZ82*JZ83</f>
        <v>32006.113772222</v>
      </c>
      <c r="KA94" s="0" t="n">
        <f aca="false">KA82*KA83</f>
        <v>31814.1247479239</v>
      </c>
      <c r="KB94" s="0" t="n">
        <f aca="false">KB82*KB83</f>
        <v>30205.9421014672</v>
      </c>
      <c r="KC94" s="0" t="n">
        <f aca="false">KC82*KC83</f>
        <v>31650.7241366484</v>
      </c>
      <c r="KD94" s="0" t="n">
        <f aca="false">KD82*KD83</f>
        <v>28358.6138327118</v>
      </c>
      <c r="KE94" s="0" t="n">
        <f aca="false">KE82*KE83</f>
        <v>27579.5132195458</v>
      </c>
      <c r="KF94" s="0" t="n">
        <f aca="false">KF82*KF83</f>
        <v>30132.2591541856</v>
      </c>
      <c r="KG94" s="0" t="n">
        <f aca="false">KG82*KG83</f>
        <v>33817.2090409721</v>
      </c>
      <c r="KH94" s="0" t="n">
        <f aca="false">KH82*KH83</f>
        <v>29202.01760606</v>
      </c>
      <c r="KI94" s="0" t="n">
        <f aca="false">KI82*KI83</f>
        <v>29010.8914686277</v>
      </c>
      <c r="KJ94" s="0" t="n">
        <f aca="false">KJ82*KJ83</f>
        <v>30762.4836662211</v>
      </c>
      <c r="KK94" s="0" t="n">
        <f aca="false">KK82*KK83</f>
        <v>29964.8621026852</v>
      </c>
      <c r="KL94" s="0" t="n">
        <f aca="false">KL82*KL83</f>
        <v>32190.3877236568</v>
      </c>
      <c r="KM94" s="0" t="n">
        <f aca="false">KM82*KM83</f>
        <v>29616.0949380499</v>
      </c>
      <c r="KN94" s="0" t="n">
        <f aca="false">KN82*KN83</f>
        <v>29027.2649199226</v>
      </c>
      <c r="KO94" s="0" t="n">
        <f aca="false">KO82*KO83</f>
        <v>33980.9087398324</v>
      </c>
      <c r="KP94" s="0" t="n">
        <f aca="false">KP82*KP83</f>
        <v>30238.7531542357</v>
      </c>
      <c r="KQ94" s="0" t="n">
        <f aca="false">KQ82*KQ83</f>
        <v>28692.7866816879</v>
      </c>
      <c r="KR94" s="0" t="n">
        <f aca="false">KR82*KR83</f>
        <v>27639.3851153489</v>
      </c>
      <c r="KS94" s="0" t="n">
        <f aca="false">KS82*KS83</f>
        <v>26673.5008031777</v>
      </c>
      <c r="KT94" s="0" t="n">
        <f aca="false">KT82*KT83</f>
        <v>30138.7795854457</v>
      </c>
      <c r="KU94" s="0" t="n">
        <f aca="false">KU82*KU83</f>
        <v>30508.7877360199</v>
      </c>
      <c r="KV94" s="0" t="n">
        <f aca="false">KV82*KV83</f>
        <v>29579.8796504527</v>
      </c>
      <c r="KW94" s="0" t="n">
        <f aca="false">KW82*KW83</f>
        <v>30107.5418813693</v>
      </c>
      <c r="KX94" s="0" t="n">
        <f aca="false">KX82*KX83</f>
        <v>30575.8900504539</v>
      </c>
      <c r="KY94" s="0" t="n">
        <f aca="false">KY82*KY83</f>
        <v>30850.4472620231</v>
      </c>
      <c r="KZ94" s="0" t="n">
        <f aca="false">KZ82*KZ83</f>
        <v>28156.3458044209</v>
      </c>
      <c r="LA94" s="0" t="n">
        <f aca="false">LA82*LA83</f>
        <v>30527.9458478665</v>
      </c>
      <c r="LB94" s="0" t="n">
        <f aca="false">LB82*LB83</f>
        <v>30800.2755794852</v>
      </c>
      <c r="LC94" s="0" t="n">
        <f aca="false">LC82*LC83</f>
        <v>30560.2855846439</v>
      </c>
      <c r="LD94" s="0" t="n">
        <f aca="false">LD82*LD83</f>
        <v>25165.7319342496</v>
      </c>
      <c r="LE94" s="0" t="n">
        <f aca="false">LE82*LE83</f>
        <v>29803.1582087809</v>
      </c>
      <c r="LF94" s="0" t="n">
        <f aca="false">LF82*LF83</f>
        <v>27577.5678506618</v>
      </c>
      <c r="LG94" s="0" t="n">
        <f aca="false">LG82*LG83</f>
        <v>30828.6412201719</v>
      </c>
      <c r="LH94" s="0" t="n">
        <f aca="false">LH82*LH83</f>
        <v>27712.7683547492</v>
      </c>
      <c r="LI94" s="0" t="n">
        <f aca="false">LI82*LI83</f>
        <v>31061.1989765069</v>
      </c>
      <c r="LJ94" s="0" t="n">
        <f aca="false">LJ82*LJ83</f>
        <v>25006.6980951452</v>
      </c>
      <c r="LK94" s="0" t="n">
        <f aca="false">LK82*LK83</f>
        <v>30239.5002069392</v>
      </c>
      <c r="LL94" s="0" t="n">
        <f aca="false">LL82*LL83</f>
        <v>31803.0425737026</v>
      </c>
      <c r="LM94" s="0" t="n">
        <f aca="false">LM82*LM83</f>
        <v>30130.7341077184</v>
      </c>
      <c r="LN94" s="0" t="n">
        <f aca="false">LN82*LN83</f>
        <v>29509.0688865732</v>
      </c>
      <c r="LO94" s="0" t="n">
        <f aca="false">LO82*LO83</f>
        <v>29545.3863876812</v>
      </c>
      <c r="LP94" s="0" t="n">
        <f aca="false">LP82*LP83</f>
        <v>29788.6141053233</v>
      </c>
      <c r="LQ94" s="0" t="n">
        <f aca="false">LQ82*LQ83</f>
        <v>30106.7035671241</v>
      </c>
      <c r="LR94" s="0" t="n">
        <f aca="false">LR82*LR83</f>
        <v>27536.69625121</v>
      </c>
      <c r="LS94" s="0" t="n">
        <f aca="false">LS82*LS83</f>
        <v>30417.7592537602</v>
      </c>
      <c r="LT94" s="0" t="n">
        <f aca="false">LT82*LT83</f>
        <v>33422.5869813004</v>
      </c>
      <c r="LU94" s="0" t="n">
        <f aca="false">LU82*LU83</f>
        <v>31572.2105763611</v>
      </c>
      <c r="LV94" s="0" t="n">
        <f aca="false">LV82*LV83</f>
        <v>28037.160882583</v>
      </c>
      <c r="LW94" s="0" t="n">
        <f aca="false">LW82*LW83</f>
        <v>31966.6828940246</v>
      </c>
      <c r="LX94" s="0" t="n">
        <f aca="false">LX82*LX83</f>
        <v>29623.1162232272</v>
      </c>
      <c r="LY94" s="0" t="n">
        <f aca="false">LY82*LY83</f>
        <v>30879.6713186627</v>
      </c>
      <c r="LZ94" s="0" t="n">
        <f aca="false">LZ82*LZ83</f>
        <v>30113.8399836945</v>
      </c>
      <c r="MA94" s="0" t="n">
        <f aca="false">MA82*MA83</f>
        <v>29324.7000435134</v>
      </c>
      <c r="MB94" s="0" t="n">
        <f aca="false">MB82*MB83</f>
        <v>30933.7509002607</v>
      </c>
      <c r="MC94" s="0" t="n">
        <f aca="false">MC82*MC83</f>
        <v>30098.2067677251</v>
      </c>
      <c r="MD94" s="0" t="n">
        <f aca="false">MD82*MD83</f>
        <v>32405.3860457156</v>
      </c>
      <c r="ME94" s="0" t="n">
        <f aca="false">ME82*ME83</f>
        <v>29510.1549234065</v>
      </c>
      <c r="MF94" s="0" t="n">
        <f aca="false">MF82*MF83</f>
        <v>28018.7632242575</v>
      </c>
      <c r="MG94" s="0" t="n">
        <f aca="false">MG82*MG83</f>
        <v>28055.9380157587</v>
      </c>
      <c r="MH94" s="0" t="n">
        <f aca="false">MH82*MH83</f>
        <v>29097.1453188818</v>
      </c>
      <c r="MI94" s="0" t="n">
        <f aca="false">MI82*MI83</f>
        <v>28203.1770037829</v>
      </c>
      <c r="MJ94" s="0" t="n">
        <f aca="false">MJ82*MJ83</f>
        <v>29423.6449183424</v>
      </c>
      <c r="MK94" s="0" t="n">
        <f aca="false">MK82*MK83</f>
        <v>31571.6808355567</v>
      </c>
      <c r="ML94" s="0" t="n">
        <f aca="false">ML82*ML83</f>
        <v>29331.7540018822</v>
      </c>
      <c r="MM94" s="0" t="n">
        <f aca="false">MM82*MM83</f>
        <v>27696.2363467056</v>
      </c>
      <c r="MN94" s="0" t="n">
        <f aca="false">MN82*MN83</f>
        <v>31251.4019061357</v>
      </c>
      <c r="MO94" s="0" t="n">
        <f aca="false">MO82*MO83</f>
        <v>28647.2944638764</v>
      </c>
      <c r="MP94" s="0" t="n">
        <f aca="false">MP82*MP83</f>
        <v>30234.0878402105</v>
      </c>
      <c r="MQ94" s="0" t="n">
        <f aca="false">MQ82*MQ83</f>
        <v>26446.3159120518</v>
      </c>
      <c r="MR94" s="0" t="n">
        <f aca="false">MR82*MR83</f>
        <v>29178.6099093888</v>
      </c>
      <c r="MS94" s="0" t="n">
        <f aca="false">MS82*MS83</f>
        <v>30334.5060597246</v>
      </c>
      <c r="MT94" s="0" t="n">
        <f aca="false">MT82*MT83</f>
        <v>31074.8427422519</v>
      </c>
      <c r="MU94" s="0" t="n">
        <f aca="false">MU82*MU83</f>
        <v>30770.3060354507</v>
      </c>
      <c r="MV94" s="0" t="n">
        <f aca="false">MV82*MV83</f>
        <v>32427.0365635356</v>
      </c>
      <c r="MW94" s="0" t="n">
        <f aca="false">MW82*MW83</f>
        <v>29580.6488762516</v>
      </c>
      <c r="MX94" s="0" t="n">
        <f aca="false">MX82*MX83</f>
        <v>28709.9004290883</v>
      </c>
      <c r="MY94" s="0" t="n">
        <f aca="false">MY82*MY83</f>
        <v>29530.6447853395</v>
      </c>
      <c r="MZ94" s="0" t="n">
        <f aca="false">MZ82*MZ83</f>
        <v>29347.2999695465</v>
      </c>
      <c r="NA94" s="0" t="n">
        <f aca="false">NA82*NA83</f>
        <v>34072.8294627572</v>
      </c>
      <c r="NB94" s="0" t="n">
        <f aca="false">NB82*NB83</f>
        <v>31546.4419923201</v>
      </c>
      <c r="NC94" s="0" t="n">
        <f aca="false">NC82*NC83</f>
        <v>32399.7531197249</v>
      </c>
      <c r="ND94" s="0" t="n">
        <f aca="false">ND82*ND83</f>
        <v>33815.6792075665</v>
      </c>
      <c r="NE94" s="0" t="n">
        <f aca="false">NE82*NE83</f>
        <v>32848.9762056777</v>
      </c>
      <c r="NF94" s="0" t="n">
        <f aca="false">NF82*NF83</f>
        <v>30864.4559532661</v>
      </c>
      <c r="NG94" s="0" t="n">
        <f aca="false">NG82*NG83</f>
        <v>28414.5649039237</v>
      </c>
      <c r="NH94" s="0" t="n">
        <f aca="false">NH82*NH83</f>
        <v>29637.3335119869</v>
      </c>
      <c r="NI94" s="0" t="n">
        <f aca="false">NI82*NI83</f>
        <v>24856.0434603567</v>
      </c>
      <c r="NJ94" s="0" t="n">
        <f aca="false">NJ82*NJ83</f>
        <v>30325.673047796</v>
      </c>
      <c r="NK94" s="0" t="n">
        <f aca="false">NK82*NK83</f>
        <v>30485.8423178812</v>
      </c>
      <c r="NL94" s="0" t="n">
        <f aca="false">NL82*NL83</f>
        <v>33820.8745984034</v>
      </c>
      <c r="NM94" s="0" t="n">
        <f aca="false">NM82*NM83</f>
        <v>30138.9094882356</v>
      </c>
      <c r="NN94" s="0" t="n">
        <f aca="false">NN82*NN83</f>
        <v>30035.1779278363</v>
      </c>
      <c r="NO94" s="0" t="n">
        <f aca="false">NO82*NO83</f>
        <v>28535.8467914667</v>
      </c>
      <c r="NP94" s="0" t="n">
        <f aca="false">NP82*NP83</f>
        <v>32982.3402597108</v>
      </c>
      <c r="NQ94" s="0" t="n">
        <f aca="false">NQ82*NQ83</f>
        <v>28147.8497459124</v>
      </c>
      <c r="NR94" s="0" t="n">
        <f aca="false">NR82*NR83</f>
        <v>33187.1273900291</v>
      </c>
      <c r="NS94" s="0" t="n">
        <f aca="false">NS82*NS83</f>
        <v>26812.1146054141</v>
      </c>
      <c r="NT94" s="0" t="n">
        <f aca="false">NT82*NT83</f>
        <v>23585.3898328085</v>
      </c>
      <c r="NU94" s="0" t="n">
        <f aca="false">NU82*NU83</f>
        <v>28040.4305710339</v>
      </c>
      <c r="NV94" s="0" t="n">
        <f aca="false">NV82*NV83</f>
        <v>29579.720635249</v>
      </c>
      <c r="NW94" s="0" t="n">
        <f aca="false">NW82*NW83</f>
        <v>28076.2156942226</v>
      </c>
      <c r="NX94" s="0" t="n">
        <f aca="false">NX82*NX83</f>
        <v>29541.4685752405</v>
      </c>
      <c r="NY94" s="0" t="n">
        <f aca="false">NY82*NY83</f>
        <v>30522.9717901207</v>
      </c>
      <c r="NZ94" s="0" t="n">
        <f aca="false">NZ82*NZ83</f>
        <v>28901.8928935569</v>
      </c>
      <c r="OA94" s="0" t="n">
        <f aca="false">OA82*OA83</f>
        <v>32609.2943718835</v>
      </c>
      <c r="OB94" s="0" t="n">
        <f aca="false">OB82*OB83</f>
        <v>30547.1042787116</v>
      </c>
      <c r="OC94" s="0" t="n">
        <f aca="false">OC82*OC83</f>
        <v>30741.0448218523</v>
      </c>
      <c r="OD94" s="0" t="n">
        <f aca="false">OD82*OD83</f>
        <v>29447.1478330469</v>
      </c>
      <c r="OE94" s="0" t="n">
        <f aca="false">OE82*OE83</f>
        <v>28972.3258837871</v>
      </c>
      <c r="OF94" s="0" t="n">
        <f aca="false">OF82*OF83</f>
        <v>30784.1679074476</v>
      </c>
      <c r="OG94" s="0" t="n">
        <f aca="false">OG82*OG83</f>
        <v>33084.3405373093</v>
      </c>
      <c r="OH94" s="0" t="n">
        <f aca="false">OH82*OH83</f>
        <v>28515.8705062582</v>
      </c>
      <c r="OI94" s="0" t="n">
        <f aca="false">OI82*OI83</f>
        <v>29348.523967804</v>
      </c>
      <c r="OJ94" s="0" t="n">
        <f aca="false">OJ82*OJ83</f>
        <v>27114.3926366108</v>
      </c>
      <c r="OK94" s="0" t="n">
        <f aca="false">OK82*OK83</f>
        <v>29034.6198802294</v>
      </c>
      <c r="OL94" s="0" t="n">
        <f aca="false">OL82*OL83</f>
        <v>32830.8073462465</v>
      </c>
      <c r="OM94" s="0" t="n">
        <f aca="false">OM82*OM83</f>
        <v>26551.5830941844</v>
      </c>
      <c r="ON94" s="0" t="n">
        <f aca="false">ON82*ON83</f>
        <v>29102.8930689925</v>
      </c>
      <c r="OO94" s="0" t="n">
        <f aca="false">OO82*OO83</f>
        <v>31011.3233207115</v>
      </c>
      <c r="OP94" s="0" t="n">
        <f aca="false">OP82*OP83</f>
        <v>29892.8052658108</v>
      </c>
      <c r="OQ94" s="0" t="n">
        <f aca="false">OQ82*OQ83</f>
        <v>31123.529302634</v>
      </c>
      <c r="OR94" s="0" t="n">
        <f aca="false">OR82*OR83</f>
        <v>29032.2988059223</v>
      </c>
      <c r="OS94" s="0" t="n">
        <f aca="false">OS82*OS83</f>
        <v>26208.6836872789</v>
      </c>
      <c r="OT94" s="0" t="n">
        <f aca="false">OT82*OT83</f>
        <v>32514.3438126321</v>
      </c>
      <c r="OU94" s="0" t="n">
        <f aca="false">OU82*OU83</f>
        <v>31112.1248055444</v>
      </c>
      <c r="OV94" s="0" t="n">
        <f aca="false">OV82*OV83</f>
        <v>27430.2853229927</v>
      </c>
      <c r="OW94" s="0" t="n">
        <f aca="false">OW82*OW83</f>
        <v>29795.906120162</v>
      </c>
      <c r="OX94" s="0" t="n">
        <f aca="false">OX82*OX83</f>
        <v>29028.8847331681</v>
      </c>
      <c r="OY94" s="0" t="n">
        <f aca="false">OY82*OY83</f>
        <v>29674.6028125668</v>
      </c>
      <c r="OZ94" s="0" t="n">
        <f aca="false">OZ82*OZ83</f>
        <v>31006.8141893044</v>
      </c>
      <c r="PA94" s="0" t="n">
        <f aca="false">PA82*PA83</f>
        <v>25989.8194338626</v>
      </c>
      <c r="PB94" s="0" t="n">
        <f aca="false">PB82*PB83</f>
        <v>29857.5398796609</v>
      </c>
      <c r="PC94" s="0" t="n">
        <f aca="false">PC82*PC83</f>
        <v>31098.8046672687</v>
      </c>
      <c r="PD94" s="0" t="n">
        <f aca="false">PD82*PD83</f>
        <v>28390.2577240963</v>
      </c>
      <c r="PE94" s="0" t="n">
        <f aca="false">PE82*PE83</f>
        <v>28800.8376278654</v>
      </c>
      <c r="PF94" s="0" t="n">
        <f aca="false">PF82*PF83</f>
        <v>29371.7271881713</v>
      </c>
      <c r="PG94" s="0" t="n">
        <f aca="false">PG82*PG83</f>
        <v>30413.4727939664</v>
      </c>
      <c r="PH94" s="0" t="n">
        <f aca="false">PH82*PH83</f>
        <v>30196.1697864501</v>
      </c>
      <c r="PI94" s="0" t="n">
        <f aca="false">PI82*PI83</f>
        <v>27698.0652388403</v>
      </c>
      <c r="PJ94" s="0" t="n">
        <f aca="false">PJ82*PJ83</f>
        <v>26571.8580870894</v>
      </c>
      <c r="PK94" s="0" t="n">
        <f aca="false">PK82*PK83</f>
        <v>32133.0670541106</v>
      </c>
      <c r="PL94" s="0" t="n">
        <f aca="false">PL82*PL83</f>
        <v>32068.1689387478</v>
      </c>
      <c r="PM94" s="0" t="n">
        <f aca="false">PM82*PM83</f>
        <v>28961.9768806922</v>
      </c>
      <c r="PN94" s="0" t="n">
        <f aca="false">PN82*PN83</f>
        <v>32497.2652986436</v>
      </c>
      <c r="PO94" s="0" t="n">
        <f aca="false">PO82*PO83</f>
        <v>29350.0534058004</v>
      </c>
      <c r="PP94" s="0" t="n">
        <f aca="false">PP82*PP83</f>
        <v>29659.2724131796</v>
      </c>
      <c r="PQ94" s="0" t="n">
        <f aca="false">PQ82*PQ83</f>
        <v>31097.3598681126</v>
      </c>
      <c r="PR94" s="0" t="n">
        <f aca="false">PR82*PR83</f>
        <v>32295.7688265541</v>
      </c>
      <c r="PS94" s="0" t="n">
        <f aca="false">PS82*PS83</f>
        <v>31302.780574534</v>
      </c>
      <c r="PT94" s="0" t="n">
        <f aca="false">PT82*PT83</f>
        <v>28728.0276966308</v>
      </c>
      <c r="PU94" s="0" t="n">
        <f aca="false">PU82*PU83</f>
        <v>29648.7466542708</v>
      </c>
      <c r="PV94" s="0" t="n">
        <f aca="false">PV82*PV83</f>
        <v>31167.6127966191</v>
      </c>
      <c r="PW94" s="0" t="n">
        <f aca="false">PW82*PW83</f>
        <v>27721.9138340104</v>
      </c>
      <c r="PX94" s="0" t="n">
        <f aca="false">PX82*PX83</f>
        <v>30135.2025481832</v>
      </c>
      <c r="PY94" s="0" t="n">
        <f aca="false">PY82*PY83</f>
        <v>27977.6815034467</v>
      </c>
      <c r="PZ94" s="0" t="n">
        <f aca="false">PZ82*PZ83</f>
        <v>28225.773822544</v>
      </c>
      <c r="QA94" s="0" t="n">
        <f aca="false">QA82*QA83</f>
        <v>29086.8125362565</v>
      </c>
      <c r="QB94" s="0" t="n">
        <f aca="false">QB82*QB83</f>
        <v>29924.0221079372</v>
      </c>
      <c r="QC94" s="0" t="n">
        <f aca="false">QC82*QC83</f>
        <v>30030.4891517196</v>
      </c>
      <c r="QD94" s="0" t="n">
        <f aca="false">QD82*QD83</f>
        <v>30991.4721915789</v>
      </c>
      <c r="QE94" s="0" t="n">
        <f aca="false">QE82*QE83</f>
        <v>29835.7748230123</v>
      </c>
      <c r="QF94" s="0" t="n">
        <f aca="false">QF82*QF83</f>
        <v>29079.3520668849</v>
      </c>
      <c r="QG94" s="0" t="n">
        <f aca="false">QG82*QG83</f>
        <v>30765.9303167239</v>
      </c>
      <c r="QH94" s="0" t="n">
        <f aca="false">QH82*QH83</f>
        <v>28797.2312689299</v>
      </c>
      <c r="QI94" s="0" t="n">
        <f aca="false">QI82*QI83</f>
        <v>28019.5921016596</v>
      </c>
      <c r="QJ94" s="0" t="n">
        <f aca="false">QJ82*QJ83</f>
        <v>28117.7096808596</v>
      </c>
      <c r="QK94" s="0" t="n">
        <f aca="false">QK82*QK83</f>
        <v>30515.6472199838</v>
      </c>
      <c r="QL94" s="0" t="n">
        <f aca="false">QL82*QL83</f>
        <v>26389.77240122</v>
      </c>
      <c r="QM94" s="0" t="n">
        <f aca="false">QM82*QM83</f>
        <v>28555.400875646</v>
      </c>
      <c r="QN94" s="0" t="n">
        <f aca="false">QN82*QN83</f>
        <v>30514.8360486092</v>
      </c>
      <c r="QO94" s="0" t="n">
        <f aca="false">QO82*QO83</f>
        <v>28785.7027425556</v>
      </c>
      <c r="QP94" s="0" t="n">
        <f aca="false">QP82*QP83</f>
        <v>25825.7451767839</v>
      </c>
      <c r="QQ94" s="0" t="n">
        <f aca="false">QQ82*QQ83</f>
        <v>29778.1956890615</v>
      </c>
      <c r="QR94" s="0" t="n">
        <f aca="false">QR82*QR83</f>
        <v>28933.6930275228</v>
      </c>
      <c r="QS94" s="0" t="n">
        <f aca="false">QS82*QS83</f>
        <v>25284.0057682546</v>
      </c>
      <c r="QT94" s="0" t="n">
        <f aca="false">QT82*QT83</f>
        <v>30365.6485212131</v>
      </c>
      <c r="QU94" s="0" t="n">
        <f aca="false">QU82*QU83</f>
        <v>29640.2255980999</v>
      </c>
      <c r="QV94" s="0" t="n">
        <f aca="false">QV82*QV83</f>
        <v>31554.8402190365</v>
      </c>
      <c r="QW94" s="0" t="n">
        <f aca="false">QW82*QW83</f>
        <v>29302.2961116441</v>
      </c>
      <c r="QX94" s="0" t="n">
        <f aca="false">QX82*QX83</f>
        <v>32663.3277402288</v>
      </c>
      <c r="QY94" s="0" t="n">
        <f aca="false">QY82*QY83</f>
        <v>30299.3916004608</v>
      </c>
      <c r="QZ94" s="0" t="n">
        <f aca="false">QZ82*QZ83</f>
        <v>28565.8186945032</v>
      </c>
      <c r="RA94" s="0" t="n">
        <f aca="false">RA82*RA83</f>
        <v>32233.0245722387</v>
      </c>
      <c r="RB94" s="0" t="n">
        <f aca="false">RB82*RB83</f>
        <v>31569.2007954235</v>
      </c>
      <c r="RC94" s="0" t="n">
        <f aca="false">RC82*RC83</f>
        <v>28886.6109755085</v>
      </c>
      <c r="RD94" s="0" t="n">
        <f aca="false">RD82*RD83</f>
        <v>28194.8540084794</v>
      </c>
      <c r="RE94" s="0" t="n">
        <f aca="false">RE82*RE83</f>
        <v>28356.3899762091</v>
      </c>
      <c r="RF94" s="0" t="n">
        <f aca="false">RF82*RF83</f>
        <v>30352.0693298054</v>
      </c>
      <c r="RG94" s="0" t="n">
        <f aca="false">RG82*RG83</f>
        <v>28374.4406756756</v>
      </c>
      <c r="RH94" s="0" t="n">
        <f aca="false">RH82*RH83</f>
        <v>30117.1441530766</v>
      </c>
      <c r="RI94" s="0" t="n">
        <f aca="false">RI82*RI83</f>
        <v>28059.5962592722</v>
      </c>
      <c r="RJ94" s="0" t="n">
        <f aca="false">RJ82*RJ83</f>
        <v>26731.0434615453</v>
      </c>
      <c r="RK94" s="0" t="n">
        <f aca="false">RK82*RK83</f>
        <v>29385.2390559692</v>
      </c>
      <c r="RL94" s="0" t="n">
        <f aca="false">RL82*RL83</f>
        <v>33630.5420480071</v>
      </c>
      <c r="RM94" s="0" t="n">
        <f aca="false">RM82*RM83</f>
        <v>27857.9464423071</v>
      </c>
      <c r="RN94" s="0" t="n">
        <f aca="false">RN82*RN83</f>
        <v>27876.8648520762</v>
      </c>
      <c r="RO94" s="0" t="n">
        <f aca="false">RO82*RO83</f>
        <v>29803.8905576185</v>
      </c>
      <c r="RP94" s="0" t="n">
        <f aca="false">RP82*RP83</f>
        <v>31845.0720489346</v>
      </c>
      <c r="RQ94" s="0" t="n">
        <f aca="false">RQ82*RQ83</f>
        <v>28349.5438314719</v>
      </c>
      <c r="RR94" s="0" t="n">
        <f aca="false">RR82*RR83</f>
        <v>31623.0216081619</v>
      </c>
      <c r="RS94" s="0" t="n">
        <f aca="false">RS82*RS83</f>
        <v>29551.9774140352</v>
      </c>
      <c r="RT94" s="0" t="n">
        <f aca="false">RT82*RT83</f>
        <v>29273.8364190782</v>
      </c>
      <c r="RU94" s="0" t="n">
        <f aca="false">RU82*RU83</f>
        <v>29664.0224908552</v>
      </c>
      <c r="RV94" s="0" t="n">
        <f aca="false">RV82*RV83</f>
        <v>31356.0348858381</v>
      </c>
      <c r="RW94" s="0" t="n">
        <f aca="false">RW82*RW83</f>
        <v>30918.3195300538</v>
      </c>
      <c r="RX94" s="0" t="n">
        <f aca="false">RX82*RX83</f>
        <v>31982.6379908877</v>
      </c>
      <c r="RY94" s="0" t="n">
        <f aca="false">RY82*RY83</f>
        <v>29754.2699872628</v>
      </c>
      <c r="RZ94" s="0" t="n">
        <f aca="false">RZ82*RZ83</f>
        <v>30386.1179246631</v>
      </c>
      <c r="SA94" s="0" t="n">
        <f aca="false">SA82*SA83</f>
        <v>30831.3550319533</v>
      </c>
      <c r="SB94" s="0" t="n">
        <f aca="false">SB82*SB83</f>
        <v>30561.6497089759</v>
      </c>
      <c r="SC94" s="0" t="n">
        <f aca="false">SC82*SC83</f>
        <v>30569.4436990433</v>
      </c>
      <c r="SD94" s="0" t="n">
        <f aca="false">SD82*SD83</f>
        <v>28764.1456277762</v>
      </c>
      <c r="SE94" s="0" t="n">
        <f aca="false">SE82*SE83</f>
        <v>28034.5943535416</v>
      </c>
      <c r="SF94" s="0" t="n">
        <f aca="false">SF82*SF83</f>
        <v>28444.2782320872</v>
      </c>
      <c r="SG94" s="0" t="n">
        <f aca="false">SG82*SG83</f>
        <v>29807.9897166913</v>
      </c>
      <c r="SH94" s="0" t="n">
        <f aca="false">SH82*SH83</f>
        <v>30604.3879919092</v>
      </c>
      <c r="SI94" s="0" t="n">
        <f aca="false">SI82*SI83</f>
        <v>28582.8431176767</v>
      </c>
      <c r="SJ94" s="0" t="n">
        <f aca="false">SJ82*SJ83</f>
        <v>28204.6076580045</v>
      </c>
      <c r="SK94" s="0" t="n">
        <f aca="false">SK82*SK83</f>
        <v>29561.4696218809</v>
      </c>
      <c r="SL94" s="0" t="n">
        <f aca="false">SL82*SL83</f>
        <v>29632.1335858506</v>
      </c>
      <c r="SM94" s="0" t="n">
        <f aca="false">SM82*SM83</f>
        <v>31122.3648920429</v>
      </c>
      <c r="SN94" s="0" t="n">
        <f aca="false">SN82*SN83</f>
        <v>26251.5653875508</v>
      </c>
      <c r="SO94" s="0" t="n">
        <f aca="false">SO82*SO83</f>
        <v>29883.60093323</v>
      </c>
      <c r="SP94" s="0" t="n">
        <f aca="false">SP82*SP83</f>
        <v>27745.292631462</v>
      </c>
      <c r="SQ94" s="0" t="n">
        <f aca="false">SQ82*SQ83</f>
        <v>32422.1138942169</v>
      </c>
      <c r="SR94" s="0" t="n">
        <f aca="false">SR82*SR83</f>
        <v>27212.340125914</v>
      </c>
      <c r="SS94" s="0" t="n">
        <f aca="false">SS82*SS83</f>
        <v>31616.7797818496</v>
      </c>
      <c r="ST94" s="0" t="n">
        <f aca="false">ST82*ST83</f>
        <v>30021.9302658748</v>
      </c>
      <c r="SU94" s="0" t="n">
        <f aca="false">SU82*SU83</f>
        <v>26975.8152959854</v>
      </c>
      <c r="SV94" s="0" t="n">
        <f aca="false">SV82*SV83</f>
        <v>29095.2620416426</v>
      </c>
      <c r="SW94" s="0" t="n">
        <f aca="false">SW82*SW83</f>
        <v>31005.3018361866</v>
      </c>
      <c r="SX94" s="0" t="n">
        <f aca="false">SX82*SX83</f>
        <v>29112.8114551284</v>
      </c>
      <c r="SY94" s="0" t="n">
        <f aca="false">SY82*SY83</f>
        <v>29141.1958407845</v>
      </c>
      <c r="SZ94" s="0" t="n">
        <f aca="false">SZ82*SZ83</f>
        <v>33379.7125984219</v>
      </c>
      <c r="TA94" s="0" t="n">
        <f aca="false">TA82*TA83</f>
        <v>29701.3916200967</v>
      </c>
      <c r="TB94" s="0" t="n">
        <f aca="false">TB82*TB83</f>
        <v>28491.1188356198</v>
      </c>
      <c r="TC94" s="0" t="n">
        <f aca="false">TC82*TC83</f>
        <v>29152.2371474407</v>
      </c>
      <c r="TD94" s="0" t="n">
        <f aca="false">TD82*TD83</f>
        <v>32275.9693023137</v>
      </c>
      <c r="TE94" s="0" t="n">
        <f aca="false">TE82*TE83</f>
        <v>23254.6539522535</v>
      </c>
      <c r="TF94" s="0" t="n">
        <f aca="false">TF82*TF83</f>
        <v>31387.6153523302</v>
      </c>
      <c r="TG94" s="0" t="n">
        <f aca="false">TG82*TG83</f>
        <v>31044.9867419433</v>
      </c>
      <c r="TH94" s="0" t="n">
        <f aca="false">TH82*TH83</f>
        <v>29332.6026092167</v>
      </c>
      <c r="TI94" s="0" t="n">
        <f aca="false">TI82*TI83</f>
        <v>30635.9030433703</v>
      </c>
      <c r="TJ94" s="0" t="n">
        <f aca="false">TJ82*TJ83</f>
        <v>25992.93896218</v>
      </c>
      <c r="TK94" s="0" t="n">
        <f aca="false">TK82*TK83</f>
        <v>30820.8514227584</v>
      </c>
      <c r="TL94" s="0" t="n">
        <f aca="false">TL82*TL83</f>
        <v>24472.1443392688</v>
      </c>
      <c r="TM94" s="0" t="n">
        <f aca="false">TM82*TM83</f>
        <v>29730.7674794102</v>
      </c>
      <c r="TN94" s="0" t="n">
        <f aca="false">TN82*TN83</f>
        <v>29594.4876297828</v>
      </c>
      <c r="TO94" s="0" t="n">
        <f aca="false">TO82*TO83</f>
        <v>30970.0173134929</v>
      </c>
      <c r="TP94" s="0" t="n">
        <f aca="false">TP82*TP83</f>
        <v>29929.8362893376</v>
      </c>
      <c r="TQ94" s="0" t="n">
        <f aca="false">TQ82*TQ83</f>
        <v>25602.7791749457</v>
      </c>
      <c r="TR94" s="0" t="n">
        <f aca="false">TR82*TR83</f>
        <v>30903.9251313247</v>
      </c>
      <c r="TS94" s="0" t="n">
        <f aca="false">TS82*TS83</f>
        <v>34400.3756711114</v>
      </c>
      <c r="TT94" s="0" t="n">
        <f aca="false">TT82*TT83</f>
        <v>29359.1928680551</v>
      </c>
      <c r="TU94" s="0" t="n">
        <f aca="false">TU82*TU83</f>
        <v>29986.673769181</v>
      </c>
      <c r="TV94" s="0" t="n">
        <f aca="false">TV82*TV83</f>
        <v>30942.6567033752</v>
      </c>
      <c r="TW94" s="0" t="n">
        <f aca="false">TW82*TW83</f>
        <v>30666.9705378457</v>
      </c>
      <c r="TX94" s="0" t="n">
        <f aca="false">TX82*TX83</f>
        <v>30190.7849103749</v>
      </c>
      <c r="TY94" s="0" t="n">
        <f aca="false">TY82*TY83</f>
        <v>32376.005806309</v>
      </c>
      <c r="TZ94" s="0" t="n">
        <f aca="false">TZ82*TZ83</f>
        <v>29309.6244040065</v>
      </c>
      <c r="UA94" s="0" t="n">
        <f aca="false">UA82*UA83</f>
        <v>29460.6802331359</v>
      </c>
      <c r="UB94" s="0" t="n">
        <f aca="false">UB82*UB83</f>
        <v>32409.9081557877</v>
      </c>
      <c r="UC94" s="0" t="n">
        <f aca="false">UC82*UC83</f>
        <v>24934.5091452033</v>
      </c>
      <c r="UD94" s="0" t="n">
        <f aca="false">UD82*UD83</f>
        <v>27715.8278427516</v>
      </c>
      <c r="UE94" s="0" t="n">
        <f aca="false">UE82*UE83</f>
        <v>31021.7968517038</v>
      </c>
      <c r="UF94" s="0" t="n">
        <f aca="false">UF82*UF83</f>
        <v>30053.7403652334</v>
      </c>
      <c r="UG94" s="0" t="n">
        <f aca="false">UG82*UG83</f>
        <v>28841.0097905427</v>
      </c>
      <c r="UH94" s="0" t="n">
        <f aca="false">UH82*UH83</f>
        <v>28927.6358592757</v>
      </c>
      <c r="UI94" s="0" t="n">
        <f aca="false">UI82*UI83</f>
        <v>31518.4131244573</v>
      </c>
      <c r="UJ94" s="0" t="n">
        <f aca="false">UJ82*UJ83</f>
        <v>28154.8925137742</v>
      </c>
      <c r="UK94" s="0" t="n">
        <f aca="false">UK82*UK83</f>
        <v>31856.8268542312</v>
      </c>
      <c r="UL94" s="0" t="n">
        <f aca="false">UL82*UL83</f>
        <v>28605.7739894135</v>
      </c>
      <c r="UM94" s="0" t="n">
        <f aca="false">UM82*UM83</f>
        <v>27826.0453703849</v>
      </c>
      <c r="UN94" s="0" t="n">
        <f aca="false">UN82*UN83</f>
        <v>30832.5384095536</v>
      </c>
      <c r="UO94" s="0" t="n">
        <f aca="false">UO82*UO83</f>
        <v>32932.8060787452</v>
      </c>
      <c r="UP94" s="0" t="n">
        <f aca="false">UP82*UP83</f>
        <v>27071.6287056129</v>
      </c>
      <c r="UQ94" s="0" t="n">
        <f aca="false">UQ82*UQ83</f>
        <v>34152.170271445</v>
      </c>
      <c r="UR94" s="0" t="n">
        <f aca="false">UR82*UR83</f>
        <v>29278.7173159146</v>
      </c>
      <c r="US94" s="0" t="n">
        <f aca="false">US82*US83</f>
        <v>32276.969922762</v>
      </c>
      <c r="UT94" s="0" t="n">
        <f aca="false">UT82*UT83</f>
        <v>28225.3403272232</v>
      </c>
      <c r="UU94" s="0" t="n">
        <f aca="false">UU82*UU83</f>
        <v>27564.7404120552</v>
      </c>
      <c r="UV94" s="0" t="n">
        <f aca="false">UV82*UV83</f>
        <v>30192.0793988999</v>
      </c>
      <c r="UW94" s="0" t="n">
        <f aca="false">UW82*UW83</f>
        <v>31504.7573060664</v>
      </c>
      <c r="UX94" s="0" t="n">
        <f aca="false">UX82*UX83</f>
        <v>29706.165334935</v>
      </c>
      <c r="UY94" s="0" t="n">
        <f aca="false">UY82*UY83</f>
        <v>22657.9656531835</v>
      </c>
      <c r="UZ94" s="0" t="n">
        <f aca="false">UZ82*UZ83</f>
        <v>27978.1897861205</v>
      </c>
      <c r="VA94" s="0" t="n">
        <f aca="false">VA82*VA83</f>
        <v>27083.8474229163</v>
      </c>
      <c r="VB94" s="0" t="n">
        <f aca="false">VB82*VB83</f>
        <v>26465.5072859946</v>
      </c>
      <c r="VC94" s="0" t="n">
        <f aca="false">VC82*VC83</f>
        <v>27166.204831485</v>
      </c>
      <c r="VD94" s="0" t="n">
        <f aca="false">VD82*VD83</f>
        <v>29749.3339718529</v>
      </c>
      <c r="VE94" s="0" t="n">
        <f aca="false">VE82*VE83</f>
        <v>26925.2752315727</v>
      </c>
      <c r="VF94" s="0" t="n">
        <f aca="false">VF82*VF83</f>
        <v>31198.5703562072</v>
      </c>
      <c r="VG94" s="0" t="n">
        <f aca="false">VG82*VG83</f>
        <v>28539.2364473937</v>
      </c>
      <c r="VH94" s="0" t="n">
        <f aca="false">VH82*VH83</f>
        <v>31236.4429491095</v>
      </c>
      <c r="VI94" s="0" t="n">
        <f aca="false">VI82*VI83</f>
        <v>26941.3341379095</v>
      </c>
      <c r="VJ94" s="0" t="n">
        <f aca="false">VJ82*VJ83</f>
        <v>33715.4782272244</v>
      </c>
      <c r="VK94" s="0" t="n">
        <f aca="false">VK82*VK83</f>
        <v>31375.9283624568</v>
      </c>
      <c r="VL94" s="0" t="n">
        <f aca="false">VL82*VL83</f>
        <v>30844.2095701037</v>
      </c>
      <c r="VM94" s="0" t="n">
        <f aca="false">VM82*VM83</f>
        <v>32360.8348135747</v>
      </c>
      <c r="VN94" s="0" t="n">
        <f aca="false">VN82*VN83</f>
        <v>28952.6257633731</v>
      </c>
      <c r="VO94" s="0" t="n">
        <f aca="false">VO82*VO83</f>
        <v>27453.1002606551</v>
      </c>
      <c r="VP94" s="0" t="n">
        <f aca="false">VP82*VP83</f>
        <v>29687.4770907605</v>
      </c>
      <c r="VQ94" s="0" t="n">
        <f aca="false">VQ82*VQ83</f>
        <v>26058.3034685938</v>
      </c>
      <c r="VR94" s="0" t="n">
        <f aca="false">VR82*VR83</f>
        <v>30515.2982955373</v>
      </c>
      <c r="VS94" s="0" t="n">
        <f aca="false">VS82*VS83</f>
        <v>30110.1547152543</v>
      </c>
      <c r="VT94" s="0" t="n">
        <f aca="false">VT82*VT83</f>
        <v>28435.1877186267</v>
      </c>
      <c r="VU94" s="0" t="n">
        <f aca="false">VU82*VU83</f>
        <v>32560.2502391479</v>
      </c>
      <c r="VV94" s="0" t="n">
        <f aca="false">VV82*VV83</f>
        <v>32036.296735326</v>
      </c>
      <c r="VW94" s="0" t="n">
        <f aca="false">VW82*VW83</f>
        <v>28684.7231902257</v>
      </c>
      <c r="VX94" s="0" t="n">
        <f aca="false">VX82*VX83</f>
        <v>30600.2308901935</v>
      </c>
      <c r="VY94" s="0" t="n">
        <f aca="false">VY82*VY83</f>
        <v>31348.0836170733</v>
      </c>
      <c r="VZ94" s="0" t="n">
        <f aca="false">VZ82*VZ83</f>
        <v>29225.0054723857</v>
      </c>
      <c r="WA94" s="0" t="n">
        <f aca="false">WA82*WA83</f>
        <v>29643.1018983033</v>
      </c>
      <c r="WB94" s="0" t="n">
        <f aca="false">WB82*WB83</f>
        <v>28994.4387379075</v>
      </c>
      <c r="WC94" s="0" t="n">
        <f aca="false">WC82*WC83</f>
        <v>28935.2926324524</v>
      </c>
      <c r="WD94" s="0" t="n">
        <f aca="false">WD82*WD83</f>
        <v>27308.8385422682</v>
      </c>
      <c r="WE94" s="0" t="n">
        <f aca="false">WE82*WE83</f>
        <v>31056.0881632924</v>
      </c>
      <c r="WF94" s="0" t="n">
        <f aca="false">WF82*WF83</f>
        <v>26843.6301991658</v>
      </c>
      <c r="WG94" s="0" t="n">
        <f aca="false">WG82*WG83</f>
        <v>30694.7147442788</v>
      </c>
      <c r="WH94" s="0" t="n">
        <f aca="false">WH82*WH83</f>
        <v>29692.5846111158</v>
      </c>
      <c r="WI94" s="0" t="n">
        <f aca="false">WI82*WI83</f>
        <v>30004.3664508343</v>
      </c>
      <c r="WJ94" s="0" t="n">
        <f aca="false">WJ82*WJ83</f>
        <v>27788.9331142681</v>
      </c>
      <c r="WK94" s="0" t="n">
        <f aca="false">WK82*WK83</f>
        <v>32198.4073613848</v>
      </c>
      <c r="WL94" s="0" t="n">
        <f aca="false">WL82*WL83</f>
        <v>32697.7982858163</v>
      </c>
      <c r="WM94" s="0" t="n">
        <f aca="false">WM82*WM83</f>
        <v>32640.7611052494</v>
      </c>
      <c r="WN94" s="0" t="n">
        <f aca="false">WN82*WN83</f>
        <v>31201.397067264</v>
      </c>
      <c r="WO94" s="0" t="n">
        <f aca="false">WO82*WO83</f>
        <v>31733.1297716106</v>
      </c>
      <c r="WP94" s="0" t="n">
        <f aca="false">WP82*WP83</f>
        <v>30823.77400287</v>
      </c>
      <c r="WQ94" s="0" t="n">
        <f aca="false">WQ82*WQ83</f>
        <v>29325.4960138565</v>
      </c>
      <c r="WR94" s="0" t="n">
        <f aca="false">WR82*WR83</f>
        <v>29850.2165179174</v>
      </c>
      <c r="WS94" s="0" t="n">
        <f aca="false">WS82*WS83</f>
        <v>22796.6803565137</v>
      </c>
      <c r="WT94" s="0" t="n">
        <f aca="false">WT82*WT83</f>
        <v>30752.7269167443</v>
      </c>
      <c r="WU94" s="0" t="n">
        <f aca="false">WU82*WU83</f>
        <v>29266.6319509949</v>
      </c>
      <c r="WV94" s="0" t="n">
        <f aca="false">WV82*WV83</f>
        <v>29981.1307800057</v>
      </c>
      <c r="WW94" s="0" t="n">
        <f aca="false">WW82*WW83</f>
        <v>27936.4867897835</v>
      </c>
      <c r="WX94" s="0" t="n">
        <f aca="false">WX82*WX83</f>
        <v>28183.8460644572</v>
      </c>
      <c r="WY94" s="0" t="n">
        <f aca="false">WY82*WY83</f>
        <v>28776.5140871323</v>
      </c>
      <c r="WZ94" s="0" t="n">
        <f aca="false">WZ82*WZ83</f>
        <v>30049.1568117241</v>
      </c>
      <c r="XA94" s="0" t="n">
        <f aca="false">XA82*XA83</f>
        <v>30089.3273987961</v>
      </c>
      <c r="XB94" s="0" t="n">
        <f aca="false">XB82*XB83</f>
        <v>27819.7406886794</v>
      </c>
      <c r="XC94" s="0" t="n">
        <f aca="false">XC82*XC83</f>
        <v>30118.7562141755</v>
      </c>
      <c r="XD94" s="0" t="n">
        <f aca="false">XD82*XD83</f>
        <v>31779.3846207681</v>
      </c>
      <c r="XE94" s="0" t="n">
        <f aca="false">XE82*XE83</f>
        <v>28654.7691724035</v>
      </c>
      <c r="XF94" s="0" t="n">
        <f aca="false">XF82*XF83</f>
        <v>30614.2865887404</v>
      </c>
      <c r="XG94" s="0" t="n">
        <f aca="false">XG82*XG83</f>
        <v>29973.0976219035</v>
      </c>
      <c r="XH94" s="0" t="n">
        <f aca="false">XH82*XH83</f>
        <v>32596.9367637734</v>
      </c>
      <c r="XI94" s="0" t="n">
        <f aca="false">XI82*XI83</f>
        <v>26913.0594478156</v>
      </c>
      <c r="XJ94" s="0" t="n">
        <f aca="false">XJ82*XJ83</f>
        <v>30799.5799587649</v>
      </c>
      <c r="XK94" s="0" t="n">
        <f aca="false">XK82*XK83</f>
        <v>30675.6082183709</v>
      </c>
      <c r="XL94" s="0" t="n">
        <f aca="false">XL82*XL83</f>
        <v>29559.1441207652</v>
      </c>
      <c r="XM94" s="0" t="n">
        <f aca="false">XM82*XM83</f>
        <v>28713.3981087403</v>
      </c>
      <c r="XN94" s="0" t="n">
        <f aca="false">XN82*XN83</f>
        <v>27935.0709179881</v>
      </c>
      <c r="XO94" s="0" t="n">
        <f aca="false">XO82*XO83</f>
        <v>28363.0566017698</v>
      </c>
      <c r="XP94" s="0" t="n">
        <f aca="false">XP82*XP83</f>
        <v>32513.044164708</v>
      </c>
      <c r="XQ94" s="0" t="n">
        <f aca="false">XQ82*XQ83</f>
        <v>30022.5889300398</v>
      </c>
      <c r="XR94" s="0" t="n">
        <f aca="false">XR82*XR83</f>
        <v>29286.9792458618</v>
      </c>
      <c r="XS94" s="0" t="n">
        <f aca="false">XS82*XS83</f>
        <v>31367.0567682672</v>
      </c>
      <c r="XT94" s="0" t="n">
        <f aca="false">XT82*XT83</f>
        <v>29131.057986138</v>
      </c>
      <c r="XU94" s="0" t="n">
        <f aca="false">XU82*XU83</f>
        <v>31176.8980801204</v>
      </c>
      <c r="XV94" s="0" t="n">
        <f aca="false">XV82*XV83</f>
        <v>27423.0153163888</v>
      </c>
      <c r="XW94" s="0" t="n">
        <f aca="false">XW82*XW83</f>
        <v>29059.848086484</v>
      </c>
      <c r="XX94" s="0" t="n">
        <f aca="false">XX82*XX83</f>
        <v>30068.7736151915</v>
      </c>
      <c r="XY94" s="0" t="n">
        <f aca="false">XY82*XY83</f>
        <v>30242.8367582754</v>
      </c>
      <c r="XZ94" s="0" t="n">
        <f aca="false">XZ82*XZ83</f>
        <v>30238.4083491834</v>
      </c>
      <c r="YA94" s="0" t="n">
        <f aca="false">YA82*YA83</f>
        <v>33124.4052772884</v>
      </c>
      <c r="YB94" s="0" t="n">
        <f aca="false">YB82*YB83</f>
        <v>30567.3516537198</v>
      </c>
      <c r="YC94" s="0" t="n">
        <f aca="false">YC82*YC83</f>
        <v>28520.4437714254</v>
      </c>
      <c r="YD94" s="0" t="n">
        <f aca="false">YD82*YD83</f>
        <v>22409.0768546407</v>
      </c>
      <c r="YE94" s="0" t="n">
        <f aca="false">YE82*YE83</f>
        <v>23938.3959935103</v>
      </c>
      <c r="YF94" s="0" t="n">
        <f aca="false">YF82*YF83</f>
        <v>31476.7382463743</v>
      </c>
      <c r="YG94" s="0" t="n">
        <f aca="false">YG82*YG83</f>
        <v>26329.0174229652</v>
      </c>
      <c r="YH94" s="0" t="n">
        <f aca="false">YH82*YH83</f>
        <v>30490.4481585417</v>
      </c>
      <c r="YI94" s="0" t="n">
        <f aca="false">YI82*YI83</f>
        <v>28746.799972392</v>
      </c>
      <c r="YJ94" s="0" t="n">
        <f aca="false">YJ82*YJ83</f>
        <v>26595.4395158071</v>
      </c>
      <c r="YK94" s="0" t="n">
        <f aca="false">YK82*YK83</f>
        <v>31120.3382666994</v>
      </c>
      <c r="YL94" s="0" t="n">
        <f aca="false">YL82*YL83</f>
        <v>31179.3027708877</v>
      </c>
      <c r="YM94" s="0" t="n">
        <f aca="false">YM82*YM83</f>
        <v>29691.767586298</v>
      </c>
      <c r="YN94" s="0" t="n">
        <f aca="false">YN82*YN83</f>
        <v>26611.24184977</v>
      </c>
      <c r="YO94" s="0" t="n">
        <f aca="false">YO82*YO83</f>
        <v>29249.2765032881</v>
      </c>
      <c r="YP94" s="0" t="n">
        <f aca="false">YP82*YP83</f>
        <v>32683.7483767373</v>
      </c>
      <c r="YQ94" s="0" t="n">
        <f aca="false">YQ82*YQ83</f>
        <v>28716.5189193593</v>
      </c>
      <c r="YR94" s="0" t="n">
        <f aca="false">YR82*YR83</f>
        <v>30744.271903064</v>
      </c>
      <c r="YS94" s="0" t="n">
        <f aca="false">YS82*YS83</f>
        <v>28235.5795926993</v>
      </c>
      <c r="YT94" s="0" t="n">
        <f aca="false">YT82*YT83</f>
        <v>27287.6278811479</v>
      </c>
      <c r="YU94" s="0" t="n">
        <f aca="false">YU82*YU83</f>
        <v>32943.7942004251</v>
      </c>
      <c r="YV94" s="0" t="n">
        <f aca="false">YV82*YV83</f>
        <v>28461.9025443791</v>
      </c>
      <c r="YW94" s="0" t="n">
        <f aca="false">YW82*YW83</f>
        <v>31311.0439785168</v>
      </c>
      <c r="YX94" s="0" t="n">
        <f aca="false">YX82*YX83</f>
        <v>31272.640773469</v>
      </c>
      <c r="YY94" s="0" t="n">
        <f aca="false">YY82*YY83</f>
        <v>29094.1177089347</v>
      </c>
      <c r="YZ94" s="0" t="n">
        <f aca="false">YZ82*YZ83</f>
        <v>28526.9170085315</v>
      </c>
      <c r="ZA94" s="0" t="n">
        <f aca="false">ZA82*ZA83</f>
        <v>25875.3048574601</v>
      </c>
      <c r="ZB94" s="0" t="n">
        <f aca="false">ZB82*ZB83</f>
        <v>27415.2485252208</v>
      </c>
      <c r="ZC94" s="0" t="n">
        <f aca="false">ZC82*ZC83</f>
        <v>30996.647958844</v>
      </c>
      <c r="ZD94" s="0" t="n">
        <f aca="false">ZD82*ZD83</f>
        <v>30804.917020406</v>
      </c>
      <c r="ZE94" s="0" t="n">
        <f aca="false">ZE82*ZE83</f>
        <v>30160.9435045376</v>
      </c>
      <c r="ZF94" s="0" t="n">
        <f aca="false">ZF82*ZF83</f>
        <v>27305.8670980483</v>
      </c>
      <c r="ZG94" s="0" t="n">
        <f aca="false">ZG82*ZG83</f>
        <v>29292.7861805017</v>
      </c>
      <c r="ZH94" s="0" t="n">
        <f aca="false">ZH82*ZH83</f>
        <v>33008.4199060654</v>
      </c>
      <c r="ZI94" s="0" t="n">
        <f aca="false">ZI82*ZI83</f>
        <v>31568.854804555</v>
      </c>
      <c r="ZJ94" s="0" t="n">
        <f aca="false">ZJ82*ZJ83</f>
        <v>28721.3658526599</v>
      </c>
      <c r="ZK94" s="0" t="n">
        <f aca="false">ZK82*ZK83</f>
        <v>27687.7654833956</v>
      </c>
      <c r="ZL94" s="0" t="n">
        <f aca="false">ZL82*ZL83</f>
        <v>28186.0054523624</v>
      </c>
      <c r="ZM94" s="0" t="n">
        <f aca="false">ZM82*ZM83</f>
        <v>28000.1459574242</v>
      </c>
      <c r="ZN94" s="0" t="n">
        <f aca="false">ZN82*ZN83</f>
        <v>24162.9334568434</v>
      </c>
      <c r="ZO94" s="0" t="n">
        <f aca="false">ZO82*ZO83</f>
        <v>28604.0318241333</v>
      </c>
      <c r="ZP94" s="0" t="n">
        <f aca="false">ZP82*ZP83</f>
        <v>26759.9208079688</v>
      </c>
      <c r="ZQ94" s="0" t="n">
        <f aca="false">ZQ82*ZQ83</f>
        <v>31433.8443188692</v>
      </c>
      <c r="ZR94" s="0" t="n">
        <f aca="false">ZR82*ZR83</f>
        <v>27987.3180828995</v>
      </c>
      <c r="ZS94" s="0" t="n">
        <f aca="false">ZS82*ZS83</f>
        <v>31734.2822722213</v>
      </c>
      <c r="ZT94" s="0" t="n">
        <f aca="false">ZT82*ZT83</f>
        <v>29690.3831350076</v>
      </c>
      <c r="ZU94" s="0" t="n">
        <f aca="false">ZU82*ZU83</f>
        <v>30016.0092672213</v>
      </c>
      <c r="ZV94" s="0" t="n">
        <f aca="false">ZV82*ZV83</f>
        <v>29748.2380499191</v>
      </c>
      <c r="ZW94" s="0" t="n">
        <f aca="false">ZW82*ZW83</f>
        <v>30276.9503600711</v>
      </c>
      <c r="ZX94" s="0" t="n">
        <f aca="false">ZX82*ZX83</f>
        <v>29659.2950378302</v>
      </c>
      <c r="ZY94" s="0" t="n">
        <f aca="false">ZY82*ZY83</f>
        <v>29015.0559288033</v>
      </c>
      <c r="ZZ94" s="0" t="n">
        <f aca="false">ZZ82*ZZ83</f>
        <v>29758.8047594581</v>
      </c>
      <c r="AAA94" s="0" t="n">
        <f aca="false">AAA82*AAA83</f>
        <v>28624.0723081339</v>
      </c>
      <c r="AAB94" s="0" t="n">
        <f aca="false">AAB82*AAB83</f>
        <v>30045.4044570464</v>
      </c>
      <c r="AAC94" s="0" t="n">
        <f aca="false">AAC82*AAC83</f>
        <v>25010.4854906599</v>
      </c>
      <c r="AAD94" s="0" t="n">
        <f aca="false">AAD82*AAD83</f>
        <v>31881.7058930933</v>
      </c>
      <c r="AAE94" s="0" t="n">
        <f aca="false">AAE82*AAE83</f>
        <v>28598.0119554179</v>
      </c>
      <c r="AAF94" s="0" t="n">
        <f aca="false">AAF82*AAF83</f>
        <v>28516.901792468</v>
      </c>
      <c r="AAG94" s="0" t="n">
        <f aca="false">AAG82*AAG83</f>
        <v>26671.8245617716</v>
      </c>
      <c r="AAH94" s="0" t="n">
        <f aca="false">AAH82*AAH83</f>
        <v>31966.3473161765</v>
      </c>
      <c r="AAI94" s="0" t="n">
        <f aca="false">AAI82*AAI83</f>
        <v>27613.9930580151</v>
      </c>
      <c r="AAJ94" s="0" t="n">
        <f aca="false">AAJ82*AAJ83</f>
        <v>31120.262703379</v>
      </c>
      <c r="AAK94" s="0" t="n">
        <f aca="false">AAK82*AAK83</f>
        <v>30704.9830444519</v>
      </c>
      <c r="AAL94" s="0" t="n">
        <f aca="false">AAL82*AAL83</f>
        <v>30843.1286972604</v>
      </c>
      <c r="AAM94" s="0" t="n">
        <f aca="false">AAM82*AAM83</f>
        <v>27082.3228072785</v>
      </c>
      <c r="AAN94" s="0" t="n">
        <f aca="false">AAN82*AAN83</f>
        <v>27646.2560557651</v>
      </c>
      <c r="AAO94" s="0" t="n">
        <f aca="false">AAO82*AAO83</f>
        <v>30200.6022746528</v>
      </c>
      <c r="AAP94" s="0" t="n">
        <f aca="false">AAP82*AAP83</f>
        <v>27876.3400114022</v>
      </c>
      <c r="AAQ94" s="0" t="n">
        <f aca="false">AAQ82*AAQ83</f>
        <v>29571.0603616209</v>
      </c>
      <c r="AAR94" s="0" t="n">
        <f aca="false">AAR82*AAR83</f>
        <v>32143.5354250972</v>
      </c>
      <c r="AAS94" s="0" t="n">
        <f aca="false">AAS82*AAS83</f>
        <v>30409.0053126192</v>
      </c>
      <c r="AAT94" s="0" t="n">
        <f aca="false">AAT82*AAT83</f>
        <v>27414.7956894718</v>
      </c>
      <c r="AAU94" s="0" t="n">
        <f aca="false">AAU82*AAU83</f>
        <v>27017.663490744</v>
      </c>
      <c r="AAV94" s="0" t="n">
        <f aca="false">AAV82*AAV83</f>
        <v>29161.2972368928</v>
      </c>
      <c r="AAW94" s="0" t="n">
        <f aca="false">AAW82*AAW83</f>
        <v>30500.5715479593</v>
      </c>
      <c r="AAX94" s="0" t="n">
        <f aca="false">AAX82*AAX83</f>
        <v>29964.4850749952</v>
      </c>
      <c r="AAY94" s="0" t="n">
        <f aca="false">AAY82*AAY83</f>
        <v>32324.9663959962</v>
      </c>
      <c r="AAZ94" s="0" t="n">
        <f aca="false">AAZ82*AAZ83</f>
        <v>30888.774723923</v>
      </c>
      <c r="ABA94" s="0" t="n">
        <f aca="false">ABA82*ABA83</f>
        <v>29720.2197117398</v>
      </c>
      <c r="ABB94" s="0" t="n">
        <f aca="false">ABB82*ABB83</f>
        <v>30773.9135566643</v>
      </c>
      <c r="ABC94" s="0" t="n">
        <f aca="false">ABC82*ABC83</f>
        <v>31411.3684285476</v>
      </c>
      <c r="ABD94" s="0" t="n">
        <f aca="false">ABD82*ABD83</f>
        <v>28410.0375034161</v>
      </c>
      <c r="ABE94" s="0" t="n">
        <f aca="false">ABE82*ABE83</f>
        <v>32247.4009353075</v>
      </c>
      <c r="ABF94" s="0" t="n">
        <f aca="false">ABF82*ABF83</f>
        <v>29064.2850982026</v>
      </c>
      <c r="ABG94" s="0" t="n">
        <f aca="false">ABG82*ABG83</f>
        <v>28725.886152145</v>
      </c>
      <c r="ABH94" s="0" t="n">
        <f aca="false">ABH82*ABH83</f>
        <v>29300.1850891215</v>
      </c>
      <c r="ABI94" s="0" t="n">
        <f aca="false">ABI82*ABI83</f>
        <v>27805.4131635006</v>
      </c>
      <c r="ABJ94" s="0" t="n">
        <f aca="false">ABJ82*ABJ83</f>
        <v>29710.4244387424</v>
      </c>
      <c r="ABK94" s="0" t="n">
        <f aca="false">ABK82*ABK83</f>
        <v>29962.2603450828</v>
      </c>
      <c r="ABL94" s="0" t="n">
        <f aca="false">ABL82*ABL83</f>
        <v>30545.3067938851</v>
      </c>
      <c r="ABM94" s="0" t="n">
        <f aca="false">ABM82*ABM83</f>
        <v>30879.9705876107</v>
      </c>
      <c r="ABN94" s="0" t="n">
        <f aca="false">ABN82*ABN83</f>
        <v>30222.30715897</v>
      </c>
      <c r="ABO94" s="0" t="n">
        <f aca="false">ABO82*ABO83</f>
        <v>29070.8356785829</v>
      </c>
      <c r="ABP94" s="0" t="n">
        <f aca="false">ABP82*ABP83</f>
        <v>30326.3007223208</v>
      </c>
      <c r="ABQ94" s="0" t="n">
        <f aca="false">ABQ82*ABQ83</f>
        <v>29050.575808768</v>
      </c>
      <c r="ABR94" s="0" t="n">
        <f aca="false">ABR82*ABR83</f>
        <v>28666.9782076562</v>
      </c>
      <c r="ABS94" s="0" t="n">
        <f aca="false">ABS82*ABS83</f>
        <v>26881.8781212543</v>
      </c>
      <c r="ABT94" s="0" t="n">
        <f aca="false">ABT82*ABT83</f>
        <v>26015.7929668535</v>
      </c>
      <c r="ABU94" s="0" t="n">
        <f aca="false">ABU82*ABU83</f>
        <v>27262.0713489669</v>
      </c>
      <c r="ABV94" s="0" t="n">
        <f aca="false">ABV82*ABV83</f>
        <v>26274.7023168255</v>
      </c>
      <c r="ABW94" s="0" t="n">
        <f aca="false">ABW82*ABW83</f>
        <v>30987.4945235696</v>
      </c>
      <c r="ABX94" s="0" t="n">
        <f aca="false">ABX82*ABX83</f>
        <v>24901.0684993924</v>
      </c>
      <c r="ABY94" s="0" t="n">
        <f aca="false">ABY82*ABY83</f>
        <v>30586.8162124395</v>
      </c>
      <c r="ABZ94" s="0" t="n">
        <f aca="false">ABZ82*ABZ83</f>
        <v>29357.7974740497</v>
      </c>
      <c r="ACA94" s="0" t="n">
        <f aca="false">ACA82*ACA83</f>
        <v>28451.3589655843</v>
      </c>
      <c r="ACB94" s="0" t="n">
        <f aca="false">ACB82*ACB83</f>
        <v>30294.2950872833</v>
      </c>
      <c r="ACC94" s="0" t="n">
        <f aca="false">ACC82*ACC83</f>
        <v>29335.002677067</v>
      </c>
      <c r="ACD94" s="0" t="n">
        <f aca="false">ACD82*ACD83</f>
        <v>31625.91715421</v>
      </c>
      <c r="ACE94" s="0" t="n">
        <f aca="false">ACE82*ACE83</f>
        <v>30197.6616320528</v>
      </c>
      <c r="ACF94" s="0" t="n">
        <f aca="false">ACF82*ACF83</f>
        <v>34020.530801922</v>
      </c>
      <c r="ACG94" s="0" t="n">
        <f aca="false">ACG82*ACG83</f>
        <v>32208.3366421002</v>
      </c>
      <c r="ACH94" s="0" t="n">
        <f aca="false">ACH82*ACH83</f>
        <v>27582.7561107551</v>
      </c>
      <c r="ACI94" s="0" t="n">
        <f aca="false">ACI82*ACI83</f>
        <v>31565.0506548932</v>
      </c>
      <c r="ACJ94" s="0" t="n">
        <f aca="false">ACJ82*ACJ83</f>
        <v>30955.7213764072</v>
      </c>
      <c r="ACK94" s="0" t="n">
        <f aca="false">ACK82*ACK83</f>
        <v>29266.7255450197</v>
      </c>
      <c r="ACL94" s="0" t="n">
        <f aca="false">ACL82*ACL83</f>
        <v>34100.1111725903</v>
      </c>
      <c r="ACM94" s="0" t="n">
        <f aca="false">ACM82*ACM83</f>
        <v>27265.1004042689</v>
      </c>
      <c r="ACN94" s="0" t="n">
        <f aca="false">ACN82*ACN83</f>
        <v>27740.6731089056</v>
      </c>
      <c r="ACO94" s="0" t="n">
        <f aca="false">ACO82*ACO83</f>
        <v>28950.0810150985</v>
      </c>
      <c r="ACP94" s="0" t="n">
        <f aca="false">ACP82*ACP83</f>
        <v>30141.8050292006</v>
      </c>
      <c r="ACQ94" s="0" t="n">
        <f aca="false">ACQ82*ACQ83</f>
        <v>26411.9182436773</v>
      </c>
      <c r="ACR94" s="0" t="n">
        <f aca="false">ACR82*ACR83</f>
        <v>28413.751949095</v>
      </c>
      <c r="ACS94" s="0" t="n">
        <f aca="false">ACS82*ACS83</f>
        <v>31901.8283415998</v>
      </c>
      <c r="ACT94" s="0" t="n">
        <f aca="false">ACT82*ACT83</f>
        <v>30035.8510667459</v>
      </c>
      <c r="ACU94" s="0" t="n">
        <f aca="false">ACU82*ACU83</f>
        <v>29225.0190830674</v>
      </c>
      <c r="ACV94" s="0" t="n">
        <f aca="false">ACV82*ACV83</f>
        <v>28118.2313702444</v>
      </c>
      <c r="ACW94" s="0" t="n">
        <f aca="false">ACW82*ACW83</f>
        <v>31239.1830503692</v>
      </c>
      <c r="ACX94" s="0" t="n">
        <f aca="false">ACX82*ACX83</f>
        <v>30869.8399930352</v>
      </c>
      <c r="ACY94" s="0" t="n">
        <f aca="false">ACY82*ACY83</f>
        <v>33559.5962773355</v>
      </c>
      <c r="ACZ94" s="0" t="n">
        <f aca="false">ACZ82*ACZ83</f>
        <v>33936.3701941588</v>
      </c>
      <c r="ADA94" s="0" t="n">
        <f aca="false">ADA82*ADA83</f>
        <v>32658.461196608</v>
      </c>
      <c r="ADB94" s="0" t="n">
        <f aca="false">ADB82*ADB83</f>
        <v>28242.8575308982</v>
      </c>
      <c r="ADC94" s="0" t="n">
        <f aca="false">ADC82*ADC83</f>
        <v>28939.4334315961</v>
      </c>
      <c r="ADD94" s="0" t="n">
        <f aca="false">ADD82*ADD83</f>
        <v>30406.6757274425</v>
      </c>
      <c r="ADE94" s="0" t="n">
        <f aca="false">ADE82*ADE83</f>
        <v>30434.4022050828</v>
      </c>
      <c r="ADF94" s="0" t="n">
        <f aca="false">ADF82*ADF83</f>
        <v>28331.0951682686</v>
      </c>
      <c r="ADG94" s="0" t="n">
        <f aca="false">ADG82*ADG83</f>
        <v>27181.1373234953</v>
      </c>
      <c r="ADH94" s="0" t="n">
        <f aca="false">ADH82*ADH83</f>
        <v>28771.834149905</v>
      </c>
      <c r="ADI94" s="0" t="n">
        <f aca="false">ADI82*ADI83</f>
        <v>27877.4621980668</v>
      </c>
      <c r="ADJ94" s="0" t="n">
        <f aca="false">ADJ82*ADJ83</f>
        <v>27428.5838250826</v>
      </c>
      <c r="ADK94" s="0" t="n">
        <f aca="false">ADK82*ADK83</f>
        <v>28303.63422465</v>
      </c>
      <c r="ADL94" s="0" t="n">
        <f aca="false">ADL82*ADL83</f>
        <v>22717.3844918578</v>
      </c>
      <c r="ADM94" s="0" t="n">
        <f aca="false">ADM82*ADM83</f>
        <v>30209.4457062558</v>
      </c>
      <c r="ADN94" s="0" t="n">
        <f aca="false">ADN82*ADN83</f>
        <v>31363.1101190144</v>
      </c>
      <c r="ADO94" s="0" t="n">
        <f aca="false">ADO82*ADO83</f>
        <v>31533.3518610331</v>
      </c>
      <c r="ADP94" s="0" t="n">
        <f aca="false">ADP82*ADP83</f>
        <v>31121.2275002239</v>
      </c>
      <c r="ADQ94" s="0" t="n">
        <f aca="false">ADQ82*ADQ83</f>
        <v>29713.7508403922</v>
      </c>
      <c r="ADR94" s="0" t="n">
        <f aca="false">ADR82*ADR83</f>
        <v>26708.956250668</v>
      </c>
      <c r="ADS94" s="0" t="n">
        <f aca="false">ADS82*ADS83</f>
        <v>28258.321620341</v>
      </c>
      <c r="ADT94" s="0" t="n">
        <f aca="false">ADT82*ADT83</f>
        <v>26784.2786439683</v>
      </c>
      <c r="ADU94" s="0" t="n">
        <f aca="false">ADU82*ADU83</f>
        <v>30049.5396269536</v>
      </c>
      <c r="ADV94" s="0" t="n">
        <f aca="false">ADV82*ADV83</f>
        <v>31364.4480628589</v>
      </c>
      <c r="ADW94" s="0" t="n">
        <f aca="false">ADW82*ADW83</f>
        <v>31339.92942787</v>
      </c>
      <c r="ADX94" s="0" t="n">
        <f aca="false">ADX82*ADX83</f>
        <v>34853.6313213755</v>
      </c>
      <c r="ADY94" s="0" t="n">
        <f aca="false">ADY82*ADY83</f>
        <v>25744.1010292632</v>
      </c>
      <c r="ADZ94" s="0" t="n">
        <f aca="false">ADZ82*ADZ83</f>
        <v>26570.1211519877</v>
      </c>
      <c r="AEA94" s="0" t="n">
        <f aca="false">AEA82*AEA83</f>
        <v>31024.3013096647</v>
      </c>
      <c r="AEB94" s="0" t="n">
        <f aca="false">AEB82*AEB83</f>
        <v>28491.635077723</v>
      </c>
      <c r="AEC94" s="0" t="n">
        <f aca="false">AEC82*AEC83</f>
        <v>30150.2374772135</v>
      </c>
      <c r="AED94" s="0" t="n">
        <f aca="false">AED82*AED83</f>
        <v>33491.8630826566</v>
      </c>
      <c r="AEE94" s="0" t="n">
        <f aca="false">AEE82*AEE83</f>
        <v>29982.0145873532</v>
      </c>
      <c r="AEF94" s="0" t="n">
        <f aca="false">AEF82*AEF83</f>
        <v>29923.0103700111</v>
      </c>
      <c r="AEG94" s="0" t="n">
        <f aca="false">AEG82*AEG83</f>
        <v>25086.8462257044</v>
      </c>
      <c r="AEH94" s="0" t="n">
        <f aca="false">AEH82*AEH83</f>
        <v>30141.9049251774</v>
      </c>
      <c r="AEI94" s="0" t="n">
        <f aca="false">AEI82*AEI83</f>
        <v>29478.0379585049</v>
      </c>
      <c r="AEJ94" s="0" t="n">
        <f aca="false">AEJ82*AEJ83</f>
        <v>29841.4440304171</v>
      </c>
      <c r="AEK94" s="0" t="n">
        <f aca="false">AEK82*AEK83</f>
        <v>26977.8576366003</v>
      </c>
      <c r="AEL94" s="0" t="n">
        <f aca="false">AEL82*AEL83</f>
        <v>30120.9763915847</v>
      </c>
      <c r="AEM94" s="0" t="n">
        <f aca="false">AEM82*AEM83</f>
        <v>30195.4184759137</v>
      </c>
      <c r="AEN94" s="0" t="n">
        <f aca="false">AEN82*AEN83</f>
        <v>31686.6518727266</v>
      </c>
      <c r="AEO94" s="0" t="n">
        <f aca="false">AEO82*AEO83</f>
        <v>29775.5093779057</v>
      </c>
      <c r="AEP94" s="0" t="n">
        <f aca="false">AEP82*AEP83</f>
        <v>27732.6062645538</v>
      </c>
      <c r="AEQ94" s="0" t="n">
        <f aca="false">AEQ82*AEQ83</f>
        <v>31020.4477176537</v>
      </c>
      <c r="AER94" s="0" t="n">
        <f aca="false">AER82*AER83</f>
        <v>29920.5166201191</v>
      </c>
      <c r="AES94" s="0" t="n">
        <f aca="false">AES82*AES83</f>
        <v>25387.9659314572</v>
      </c>
      <c r="AET94" s="0" t="n">
        <f aca="false">AET82*AET83</f>
        <v>31270.649653264</v>
      </c>
      <c r="AEU94" s="0" t="n">
        <f aca="false">AEU82*AEU83</f>
        <v>26687.9951174899</v>
      </c>
      <c r="AEV94" s="0" t="n">
        <f aca="false">AEV82*AEV83</f>
        <v>27278.9457969962</v>
      </c>
      <c r="AEW94" s="0" t="n">
        <f aca="false">AEW82*AEW83</f>
        <v>25872.6792238922</v>
      </c>
      <c r="AEX94" s="0" t="n">
        <f aca="false">AEX82*AEX83</f>
        <v>25168.4556387964</v>
      </c>
      <c r="AEY94" s="0" t="n">
        <f aca="false">AEY82*AEY83</f>
        <v>31956.5372400704</v>
      </c>
      <c r="AEZ94" s="0" t="n">
        <f aca="false">AEZ82*AEZ83</f>
        <v>29355.5606702882</v>
      </c>
      <c r="AFA94" s="0" t="n">
        <f aca="false">AFA82*AFA83</f>
        <v>33547.6489877884</v>
      </c>
      <c r="AFB94" s="0" t="n">
        <f aca="false">AFB82*AFB83</f>
        <v>29181.3014637386</v>
      </c>
      <c r="AFC94" s="0" t="n">
        <f aca="false">AFC82*AFC83</f>
        <v>30163.7862574013</v>
      </c>
      <c r="AFD94" s="0" t="n">
        <f aca="false">AFD82*AFD83</f>
        <v>27752.5221399772</v>
      </c>
      <c r="AFE94" s="0" t="n">
        <f aca="false">AFE82*AFE83</f>
        <v>30964.6451264484</v>
      </c>
      <c r="AFF94" s="0" t="n">
        <f aca="false">AFF82*AFF83</f>
        <v>29171.4581722586</v>
      </c>
      <c r="AFG94" s="0" t="n">
        <f aca="false">AFG82*AFG83</f>
        <v>30259.6856271723</v>
      </c>
      <c r="AFH94" s="0" t="n">
        <f aca="false">AFH82*AFH83</f>
        <v>30040.7322196677</v>
      </c>
      <c r="AFI94" s="0" t="n">
        <f aca="false">AFI82*AFI83</f>
        <v>28518.959405585</v>
      </c>
      <c r="AFJ94" s="0" t="n">
        <f aca="false">AFJ82*AFJ83</f>
        <v>30145.317445358</v>
      </c>
      <c r="AFK94" s="0" t="n">
        <f aca="false">AFK82*AFK83</f>
        <v>30830.7299472172</v>
      </c>
      <c r="AFL94" s="0" t="n">
        <f aca="false">AFL82*AFL83</f>
        <v>28203.9363469341</v>
      </c>
      <c r="AFM94" s="0" t="n">
        <f aca="false">AFM82*AFM83</f>
        <v>30956.5522580753</v>
      </c>
      <c r="AFN94" s="0" t="n">
        <f aca="false">AFN82*AFN83</f>
        <v>28606.454732793</v>
      </c>
      <c r="AFO94" s="0" t="n">
        <f aca="false">AFO82*AFO83</f>
        <v>29947.6831830612</v>
      </c>
      <c r="AFP94" s="0" t="n">
        <f aca="false">AFP82*AFP83</f>
        <v>29464.459323849</v>
      </c>
      <c r="AFQ94" s="0" t="n">
        <f aca="false">AFQ82*AFQ83</f>
        <v>27813.5631470737</v>
      </c>
      <c r="AFR94" s="0" t="n">
        <f aca="false">AFR82*AFR83</f>
        <v>28118.435227398</v>
      </c>
      <c r="AFS94" s="0" t="n">
        <f aca="false">AFS82*AFS83</f>
        <v>32651.2872575863</v>
      </c>
      <c r="AFT94" s="0" t="n">
        <f aca="false">AFT82*AFT83</f>
        <v>32852.1980879096</v>
      </c>
      <c r="AFU94" s="0" t="n">
        <f aca="false">AFU82*AFU83</f>
        <v>30338.8193708172</v>
      </c>
      <c r="AFV94" s="0" t="n">
        <f aca="false">AFV82*AFV83</f>
        <v>31992.561121183</v>
      </c>
      <c r="AFW94" s="0" t="n">
        <f aca="false">AFW82*AFW83</f>
        <v>30886.3954395101</v>
      </c>
      <c r="AFX94" s="0" t="n">
        <f aca="false">AFX82*AFX83</f>
        <v>30811.4990375218</v>
      </c>
      <c r="AFY94" s="0" t="n">
        <f aca="false">AFY82*AFY83</f>
        <v>29510.9556111225</v>
      </c>
      <c r="AFZ94" s="0" t="n">
        <f aca="false">AFZ82*AFZ83</f>
        <v>30778.7532000803</v>
      </c>
      <c r="AGA94" s="0" t="n">
        <f aca="false">AGA82*AGA83</f>
        <v>32034.2980118756</v>
      </c>
      <c r="AGB94" s="0" t="n">
        <f aca="false">AGB82*AGB83</f>
        <v>27495.9744460363</v>
      </c>
      <c r="AGC94" s="0" t="n">
        <f aca="false">AGC82*AGC83</f>
        <v>30477.3559291163</v>
      </c>
      <c r="AGD94" s="0" t="n">
        <f aca="false">AGD82*AGD83</f>
        <v>24544.4723419969</v>
      </c>
      <c r="AGE94" s="0" t="n">
        <f aca="false">AGE82*AGE83</f>
        <v>30971.653532589</v>
      </c>
      <c r="AGF94" s="0" t="n">
        <f aca="false">AGF82*AGF83</f>
        <v>29711.8319655085</v>
      </c>
      <c r="AGG94" s="0" t="n">
        <f aca="false">AGG82*AGG83</f>
        <v>32618.3131116728</v>
      </c>
      <c r="AGH94" s="0" t="n">
        <f aca="false">AGH82*AGH83</f>
        <v>30831.9609093212</v>
      </c>
      <c r="AGI94" s="0" t="n">
        <f aca="false">AGI82*AGI83</f>
        <v>32147.2042468493</v>
      </c>
      <c r="AGJ94" s="0" t="n">
        <f aca="false">AGJ82*AGJ83</f>
        <v>32893.3643154002</v>
      </c>
      <c r="AGK94" s="0" t="n">
        <f aca="false">AGK82*AGK83</f>
        <v>30144.185504526</v>
      </c>
      <c r="AGL94" s="0" t="n">
        <f aca="false">AGL82*AGL83</f>
        <v>31640.1446114626</v>
      </c>
      <c r="AGM94" s="0" t="n">
        <f aca="false">AGM82*AGM83</f>
        <v>27328.3583443675</v>
      </c>
      <c r="AGN94" s="0" t="n">
        <f aca="false">AGN82*AGN83</f>
        <v>28931.6555528263</v>
      </c>
      <c r="AGO94" s="0" t="n">
        <f aca="false">AGO82*AGO83</f>
        <v>30647.2937109545</v>
      </c>
      <c r="AGP94" s="0" t="n">
        <f aca="false">AGP82*AGP83</f>
        <v>30262.0787319893</v>
      </c>
      <c r="AGQ94" s="0" t="n">
        <f aca="false">AGQ82*AGQ83</f>
        <v>26541.5639869108</v>
      </c>
      <c r="AGR94" s="0" t="n">
        <f aca="false">AGR82*AGR83</f>
        <v>30166.3469567749</v>
      </c>
      <c r="AGS94" s="0" t="n">
        <f aca="false">AGS82*AGS83</f>
        <v>29850.5504557192</v>
      </c>
      <c r="AGT94" s="0" t="n">
        <f aca="false">AGT82*AGT83</f>
        <v>31679.4873054944</v>
      </c>
      <c r="AGU94" s="0" t="n">
        <f aca="false">AGU82*AGU83</f>
        <v>30513.141181808</v>
      </c>
      <c r="AGV94" s="0" t="n">
        <f aca="false">AGV82*AGV83</f>
        <v>26667.1205308653</v>
      </c>
      <c r="AGW94" s="0" t="n">
        <f aca="false">AGW82*AGW83</f>
        <v>34224.5907651597</v>
      </c>
      <c r="AGX94" s="0" t="n">
        <f aca="false">AGX82*AGX83</f>
        <v>28278.0275294688</v>
      </c>
      <c r="AGY94" s="0" t="n">
        <f aca="false">AGY82*AGY83</f>
        <v>28944.5929840279</v>
      </c>
      <c r="AGZ94" s="0" t="n">
        <f aca="false">AGZ82*AGZ83</f>
        <v>29237.1717264642</v>
      </c>
      <c r="AHA94" s="0" t="n">
        <f aca="false">AHA82*AHA83</f>
        <v>31984.124531393</v>
      </c>
      <c r="AHB94" s="0" t="n">
        <f aca="false">AHB82*AHB83</f>
        <v>29173.5744170828</v>
      </c>
      <c r="AHC94" s="0" t="n">
        <f aca="false">AHC82*AHC83</f>
        <v>33151.5113429824</v>
      </c>
      <c r="AHD94" s="0" t="n">
        <f aca="false">AHD82*AHD83</f>
        <v>28209.7610708832</v>
      </c>
      <c r="AHE94" s="0" t="n">
        <f aca="false">AHE82*AHE83</f>
        <v>29633.1093237915</v>
      </c>
      <c r="AHF94" s="0" t="n">
        <f aca="false">AHF82*AHF83</f>
        <v>32679.9280725703</v>
      </c>
      <c r="AHG94" s="0" t="n">
        <f aca="false">AHG82*AHG83</f>
        <v>28597.580089135</v>
      </c>
      <c r="AHH94" s="0" t="n">
        <f aca="false">AHH82*AHH83</f>
        <v>26594.6594192518</v>
      </c>
      <c r="AHI94" s="0" t="n">
        <f aca="false">AHI82*AHI83</f>
        <v>30713.1418191176</v>
      </c>
      <c r="AHJ94" s="0" t="n">
        <f aca="false">AHJ82*AHJ83</f>
        <v>29725.6704055829</v>
      </c>
      <c r="AHK94" s="0" t="n">
        <f aca="false">AHK82*AHK83</f>
        <v>30305.9774778434</v>
      </c>
      <c r="AHL94" s="0" t="n">
        <f aca="false">AHL82*AHL83</f>
        <v>30314.9370721669</v>
      </c>
      <c r="AHM94" s="0" t="n">
        <f aca="false">AHM82*AHM83</f>
        <v>30368.2307075281</v>
      </c>
      <c r="AHN94" s="0" t="n">
        <f aca="false">AHN82*AHN83</f>
        <v>30479.4192505535</v>
      </c>
      <c r="AHO94" s="0" t="n">
        <f aca="false">AHO82*AHO83</f>
        <v>29153.4579790361</v>
      </c>
      <c r="AHP94" s="0" t="n">
        <f aca="false">AHP82*AHP83</f>
        <v>33065.86670921</v>
      </c>
      <c r="AHQ94" s="0" t="n">
        <f aca="false">AHQ82*AHQ83</f>
        <v>30824.9914209214</v>
      </c>
      <c r="AHR94" s="0" t="n">
        <f aca="false">AHR82*AHR83</f>
        <v>30938.9607159301</v>
      </c>
      <c r="AHS94" s="0" t="n">
        <f aca="false">AHS82*AHS83</f>
        <v>28643.9230889287</v>
      </c>
      <c r="AHT94" s="0" t="n">
        <f aca="false">AHT82*AHT83</f>
        <v>29717.814940776</v>
      </c>
      <c r="AHU94" s="0" t="n">
        <f aca="false">AHU82*AHU83</f>
        <v>31874.8300924371</v>
      </c>
      <c r="AHV94" s="0" t="n">
        <f aca="false">AHV82*AHV83</f>
        <v>27374.6095652772</v>
      </c>
      <c r="AHW94" s="0" t="n">
        <f aca="false">AHW82*AHW83</f>
        <v>29072.1454699412</v>
      </c>
      <c r="AHX94" s="0" t="n">
        <f aca="false">AHX82*AHX83</f>
        <v>28856.9266269174</v>
      </c>
      <c r="AHY94" s="0" t="n">
        <f aca="false">AHY82*AHY83</f>
        <v>29781.1110370763</v>
      </c>
      <c r="AHZ94" s="0" t="n">
        <f aca="false">AHZ82*AHZ83</f>
        <v>25544.402629819</v>
      </c>
      <c r="AIA94" s="0" t="n">
        <f aca="false">AIA82*AIA83</f>
        <v>29455.7560887188</v>
      </c>
      <c r="AIB94" s="0" t="n">
        <f aca="false">AIB82*AIB83</f>
        <v>29878.6565403512</v>
      </c>
      <c r="AIC94" s="0" t="n">
        <f aca="false">AIC82*AIC83</f>
        <v>30135.9782145934</v>
      </c>
      <c r="AID94" s="0" t="n">
        <f aca="false">AID82*AID83</f>
        <v>31740.1210590835</v>
      </c>
      <c r="AIE94" s="0" t="n">
        <f aca="false">AIE82*AIE83</f>
        <v>29824.5896209715</v>
      </c>
      <c r="AIF94" s="0" t="n">
        <f aca="false">AIF82*AIF83</f>
        <v>27964.9513368586</v>
      </c>
      <c r="AIG94" s="0" t="n">
        <f aca="false">AIG82*AIG83</f>
        <v>28532.2540876602</v>
      </c>
      <c r="AIH94" s="0" t="n">
        <f aca="false">AIH82*AIH83</f>
        <v>27645.3264998117</v>
      </c>
      <c r="AII94" s="0" t="n">
        <f aca="false">AII82*AII83</f>
        <v>28753.4429674342</v>
      </c>
      <c r="AIJ94" s="0" t="n">
        <f aca="false">AIJ82*AIJ83</f>
        <v>31096.4670712302</v>
      </c>
      <c r="AIK94" s="0" t="n">
        <f aca="false">AIK82*AIK83</f>
        <v>32983.1285946043</v>
      </c>
      <c r="AIL94" s="0" t="n">
        <f aca="false">AIL82*AIL83</f>
        <v>30256.8280821085</v>
      </c>
      <c r="AIM94" s="0" t="n">
        <f aca="false">AIM82*AIM83</f>
        <v>27744.6163093853</v>
      </c>
      <c r="AIN94" s="0" t="n">
        <f aca="false">AIN82*AIN83</f>
        <v>31826.7257200361</v>
      </c>
      <c r="AIO94" s="0" t="n">
        <f aca="false">AIO82*AIO83</f>
        <v>29429.9895896405</v>
      </c>
      <c r="AIP94" s="0" t="n">
        <f aca="false">AIP82*AIP83</f>
        <v>32671.5158805122</v>
      </c>
      <c r="AIQ94" s="0" t="n">
        <f aca="false">AIQ82*AIQ83</f>
        <v>29938.8465205289</v>
      </c>
      <c r="AIR94" s="0" t="n">
        <f aca="false">AIR82*AIR83</f>
        <v>27624.0031071307</v>
      </c>
      <c r="AIS94" s="0" t="n">
        <f aca="false">AIS82*AIS83</f>
        <v>31317.9590902245</v>
      </c>
      <c r="AIT94" s="0" t="n">
        <f aca="false">AIT82*AIT83</f>
        <v>31154.4453573181</v>
      </c>
      <c r="AIU94" s="0" t="n">
        <f aca="false">AIU82*AIU83</f>
        <v>27009.5389197354</v>
      </c>
      <c r="AIV94" s="0" t="n">
        <f aca="false">AIV82*AIV83</f>
        <v>29475.0707321212</v>
      </c>
      <c r="AIW94" s="0" t="n">
        <f aca="false">AIW82*AIW83</f>
        <v>33030.2249222363</v>
      </c>
      <c r="AIX94" s="0" t="n">
        <f aca="false">AIX82*AIX83</f>
        <v>30341.525680723</v>
      </c>
      <c r="AIY94" s="0" t="n">
        <f aca="false">AIY82*AIY83</f>
        <v>29460.7725421196</v>
      </c>
      <c r="AIZ94" s="0" t="n">
        <f aca="false">AIZ82*AIZ83</f>
        <v>30479.8039312744</v>
      </c>
      <c r="AJA94" s="0" t="n">
        <f aca="false">AJA82*AJA83</f>
        <v>31918.1140522322</v>
      </c>
      <c r="AJB94" s="0" t="n">
        <f aca="false">AJB82*AJB83</f>
        <v>31264.0221226806</v>
      </c>
      <c r="AJC94" s="0" t="n">
        <f aca="false">AJC82*AJC83</f>
        <v>31298.9197518518</v>
      </c>
      <c r="AJD94" s="0" t="n">
        <f aca="false">AJD82*AJD83</f>
        <v>26454.901635931</v>
      </c>
      <c r="AJE94" s="0" t="n">
        <f aca="false">AJE82*AJE83</f>
        <v>30796.1086460497</v>
      </c>
      <c r="AJF94" s="0" t="n">
        <f aca="false">AJF82*AJF83</f>
        <v>32514.0157102258</v>
      </c>
      <c r="AJG94" s="0" t="n">
        <f aca="false">AJG82*AJG83</f>
        <v>20933.6679660802</v>
      </c>
      <c r="AJH94" s="0" t="n">
        <f aca="false">AJH82*AJH83</f>
        <v>29414.72832185</v>
      </c>
      <c r="AJI94" s="0" t="n">
        <f aca="false">AJI82*AJI83</f>
        <v>33070.833741543</v>
      </c>
      <c r="AJJ94" s="0" t="n">
        <f aca="false">AJJ82*AJJ83</f>
        <v>31275.695176677</v>
      </c>
      <c r="AJK94" s="0" t="n">
        <f aca="false">AJK82*AJK83</f>
        <v>31314.9323057586</v>
      </c>
      <c r="AJL94" s="0" t="n">
        <f aca="false">AJL82*AJL83</f>
        <v>30987.1159205213</v>
      </c>
      <c r="AJM94" s="0" t="n">
        <f aca="false">AJM82*AJM83</f>
        <v>29917.8626255244</v>
      </c>
      <c r="AJN94" s="0" t="n">
        <f aca="false">AJN82*AJN83</f>
        <v>33115.7240342329</v>
      </c>
      <c r="AJO94" s="0" t="n">
        <f aca="false">AJO82*AJO83</f>
        <v>30688.0509197469</v>
      </c>
      <c r="AJP94" s="0" t="n">
        <f aca="false">AJP82*AJP83</f>
        <v>32665.1921327357</v>
      </c>
      <c r="AJQ94" s="0" t="n">
        <f aca="false">AJQ82*AJQ83</f>
        <v>28802.1906343565</v>
      </c>
      <c r="AJR94" s="0" t="n">
        <f aca="false">AJR82*AJR83</f>
        <v>28616.2911720384</v>
      </c>
      <c r="AJS94" s="0" t="n">
        <f aca="false">AJS82*AJS83</f>
        <v>28458.8813365643</v>
      </c>
      <c r="AJT94" s="0" t="n">
        <f aca="false">AJT82*AJT83</f>
        <v>29057.7647761657</v>
      </c>
      <c r="AJU94" s="0" t="n">
        <f aca="false">AJU82*AJU83</f>
        <v>31524.0240142344</v>
      </c>
      <c r="AJV94" s="0" t="n">
        <f aca="false">AJV82*AJV83</f>
        <v>28302.0905276572</v>
      </c>
      <c r="AJW94" s="0" t="n">
        <f aca="false">AJW82*AJW83</f>
        <v>31973.1938855032</v>
      </c>
      <c r="AJX94" s="0" t="n">
        <f aca="false">AJX82*AJX83</f>
        <v>28246.4054139289</v>
      </c>
      <c r="AJY94" s="0" t="n">
        <f aca="false">AJY82*AJY83</f>
        <v>29089.4158039507</v>
      </c>
      <c r="AJZ94" s="0" t="n">
        <f aca="false">AJZ82*AJZ83</f>
        <v>27710.2126452022</v>
      </c>
      <c r="AKA94" s="0" t="n">
        <f aca="false">AKA82*AKA83</f>
        <v>28993.0516932425</v>
      </c>
      <c r="AKB94" s="0" t="n">
        <f aca="false">AKB82*AKB83</f>
        <v>28604.0193163954</v>
      </c>
      <c r="AKC94" s="0" t="n">
        <f aca="false">AKC82*AKC83</f>
        <v>31405.1387888002</v>
      </c>
      <c r="AKD94" s="0" t="n">
        <f aca="false">AKD82*AKD83</f>
        <v>28494.8815688829</v>
      </c>
      <c r="AKE94" s="0" t="n">
        <f aca="false">AKE82*AKE83</f>
        <v>32955.8941456413</v>
      </c>
      <c r="AKF94" s="0" t="n">
        <f aca="false">AKF82*AKF83</f>
        <v>29385.775869307</v>
      </c>
      <c r="AKG94" s="0" t="n">
        <f aca="false">AKG82*AKG83</f>
        <v>27821.2561786385</v>
      </c>
      <c r="AKH94" s="0" t="n">
        <f aca="false">AKH82*AKH83</f>
        <v>31624.290728836</v>
      </c>
      <c r="AKI94" s="0" t="n">
        <f aca="false">AKI82*AKI83</f>
        <v>27298.7598738858</v>
      </c>
      <c r="AKJ94" s="0" t="n">
        <f aca="false">AKJ82*AKJ83</f>
        <v>24630.7097538866</v>
      </c>
      <c r="AKK94" s="0" t="n">
        <f aca="false">AKK82*AKK83</f>
        <v>26217.5192311381</v>
      </c>
      <c r="AKL94" s="0" t="n">
        <f aca="false">AKL82*AKL83</f>
        <v>29322.0387395887</v>
      </c>
      <c r="AKM94" s="0" t="n">
        <f aca="false">AKM82*AKM83</f>
        <v>30133.4961223253</v>
      </c>
      <c r="AKN94" s="0" t="n">
        <f aca="false">AKN82*AKN83</f>
        <v>29329.5583753444</v>
      </c>
      <c r="AKO94" s="0" t="n">
        <f aca="false">AKO82*AKO83</f>
        <v>29610.0937509436</v>
      </c>
      <c r="AKP94" s="0" t="n">
        <f aca="false">AKP82*AKP83</f>
        <v>27299.9246016343</v>
      </c>
      <c r="AKQ94" s="0" t="n">
        <f aca="false">AKQ82*AKQ83</f>
        <v>29291.4804777056</v>
      </c>
      <c r="AKR94" s="0" t="n">
        <f aca="false">AKR82*AKR83</f>
        <v>30074.797720038</v>
      </c>
      <c r="AKS94" s="0" t="n">
        <f aca="false">AKS82*AKS83</f>
        <v>30326.948155643</v>
      </c>
      <c r="AKT94" s="0" t="n">
        <f aca="false">AKT82*AKT83</f>
        <v>31363.2258584429</v>
      </c>
      <c r="AKU94" s="0" t="n">
        <f aca="false">AKU82*AKU83</f>
        <v>28514.1110891568</v>
      </c>
      <c r="AKV94" s="0" t="n">
        <f aca="false">AKV82*AKV83</f>
        <v>28953.3697094812</v>
      </c>
      <c r="AKW94" s="0" t="n">
        <f aca="false">AKW82*AKW83</f>
        <v>31227.2813127754</v>
      </c>
      <c r="AKX94" s="0" t="n">
        <f aca="false">AKX82*AKX83</f>
        <v>27465.5805905478</v>
      </c>
      <c r="AKY94" s="0" t="n">
        <f aca="false">AKY82*AKY83</f>
        <v>30668.055015386</v>
      </c>
      <c r="AKZ94" s="0" t="n">
        <f aca="false">AKZ82*AKZ83</f>
        <v>27809.6518767627</v>
      </c>
      <c r="ALA94" s="0" t="n">
        <f aca="false">ALA82*ALA83</f>
        <v>32385.656961381</v>
      </c>
      <c r="ALB94" s="0" t="n">
        <f aca="false">ALB82*ALB83</f>
        <v>30679.144942545</v>
      </c>
      <c r="ALC94" s="0" t="n">
        <f aca="false">ALC82*ALC83</f>
        <v>30769.8421832839</v>
      </c>
      <c r="ALD94" s="0" t="n">
        <f aca="false">ALD82*ALD83</f>
        <v>31032.1312193124</v>
      </c>
      <c r="ALE94" s="0" t="n">
        <f aca="false">ALE82*ALE83</f>
        <v>27446.8608313299</v>
      </c>
      <c r="ALF94" s="0" t="n">
        <f aca="false">ALF82*ALF83</f>
        <v>26305.8287002026</v>
      </c>
      <c r="ALG94" s="0" t="n">
        <f aca="false">ALG82*ALG83</f>
        <v>31728.864555172</v>
      </c>
      <c r="ALH94" s="0" t="n">
        <f aca="false">ALH82*ALH83</f>
        <v>30800.1669072057</v>
      </c>
      <c r="ALI94" s="0" t="n">
        <f aca="false">ALI82*ALI83</f>
        <v>28753.7774039569</v>
      </c>
      <c r="ALJ94" s="0" t="n">
        <f aca="false">ALJ82*ALJ83</f>
        <v>30823.5163142597</v>
      </c>
      <c r="ALK94" s="0" t="n">
        <f aca="false">ALK82*ALK83</f>
        <v>30072.6968162586</v>
      </c>
      <c r="ALL94" s="0" t="n">
        <f aca="false">ALL82*ALL83</f>
        <v>28159.7372730017</v>
      </c>
      <c r="ALM94" s="0" t="n">
        <f aca="false">ALM82*ALM83</f>
        <v>27730.2284306728</v>
      </c>
    </row>
    <row r="95" customFormat="false" ht="14.5" hidden="false" customHeight="false" outlineLevel="0" collapsed="false">
      <c r="A95" s="91" t="s">
        <v>20</v>
      </c>
      <c r="B95" s="0" t="n">
        <f aca="false">-B85*B94</f>
        <v>-20234.9343198619</v>
      </c>
      <c r="C95" s="0" t="n">
        <f aca="false">-C85*C94</f>
        <v>-18395.5137469273</v>
      </c>
      <c r="D95" s="0" t="n">
        <f aca="false">-D85*D94</f>
        <v>-18634.318188926</v>
      </c>
      <c r="E95" s="0" t="n">
        <f aca="false">-E85*E94</f>
        <v>-19851.3401941672</v>
      </c>
      <c r="F95" s="0" t="n">
        <f aca="false">-F85*F94</f>
        <v>-18743.681487648</v>
      </c>
      <c r="G95" s="0" t="n">
        <f aca="false">-G85*G94</f>
        <v>-20969.36088455</v>
      </c>
      <c r="H95" s="0" t="n">
        <f aca="false">-H85*H94</f>
        <v>-16462.3628320837</v>
      </c>
      <c r="I95" s="0" t="n">
        <f aca="false">-I85*I94</f>
        <v>-19911.6070962657</v>
      </c>
      <c r="J95" s="0" t="n">
        <f aca="false">-J85*J94</f>
        <v>-18912.2313998164</v>
      </c>
      <c r="K95" s="0" t="n">
        <f aca="false">-K85*K94</f>
        <v>-14594.676345568</v>
      </c>
      <c r="L95" s="0" t="n">
        <f aca="false">-L85*L94</f>
        <v>-17642.6432812514</v>
      </c>
      <c r="M95" s="0" t="n">
        <f aca="false">-M85*M94</f>
        <v>-18788.5395492179</v>
      </c>
      <c r="N95" s="0" t="n">
        <f aca="false">-N85*N94</f>
        <v>-16650.8146441563</v>
      </c>
      <c r="O95" s="0" t="n">
        <f aca="false">-O85*O94</f>
        <v>-16626.7778335624</v>
      </c>
      <c r="P95" s="0" t="n">
        <f aca="false">-P85*P94</f>
        <v>-20091.5927412194</v>
      </c>
      <c r="Q95" s="0" t="n">
        <f aca="false">-Q85*Q94</f>
        <v>-13383.6675550595</v>
      </c>
      <c r="R95" s="0" t="n">
        <f aca="false">-R85*R94</f>
        <v>-15007.532685254</v>
      </c>
      <c r="S95" s="0" t="n">
        <f aca="false">-S85*S94</f>
        <v>-13868.0135688369</v>
      </c>
      <c r="T95" s="0" t="n">
        <f aca="false">-T85*T94</f>
        <v>-16692.5484532236</v>
      </c>
      <c r="U95" s="0" t="n">
        <f aca="false">-U85*U94</f>
        <v>-13099.2155314989</v>
      </c>
      <c r="V95" s="0" t="n">
        <f aca="false">-V85*V94</f>
        <v>-16957.8732566619</v>
      </c>
      <c r="W95" s="0" t="n">
        <f aca="false">-W85*W94</f>
        <v>-18667.7679567454</v>
      </c>
      <c r="X95" s="0" t="n">
        <f aca="false">-X85*X94</f>
        <v>-19701.3838023195</v>
      </c>
      <c r="Y95" s="0" t="n">
        <f aca="false">-Y85*Y94</f>
        <v>-17949.4906011241</v>
      </c>
      <c r="Z95" s="0" t="n">
        <f aca="false">-Z85*Z94</f>
        <v>-19725.3793932792</v>
      </c>
      <c r="AA95" s="0" t="n">
        <f aca="false">-AA85*AA94</f>
        <v>-20484.7723757813</v>
      </c>
      <c r="AB95" s="0" t="n">
        <f aca="false">-AB85*AB94</f>
        <v>-20718.9031352657</v>
      </c>
      <c r="AC95" s="0" t="n">
        <f aca="false">-AC85*AC94</f>
        <v>-14390.5680466216</v>
      </c>
      <c r="AD95" s="0" t="n">
        <f aca="false">-AD85*AD94</f>
        <v>-18427.6818916959</v>
      </c>
      <c r="AE95" s="0" t="n">
        <f aca="false">-AE85*AE94</f>
        <v>-17261.1113332561</v>
      </c>
      <c r="AF95" s="0" t="n">
        <f aca="false">-AF85*AF94</f>
        <v>-13151.9757195654</v>
      </c>
      <c r="AG95" s="0" t="n">
        <f aca="false">-AG85*AG94</f>
        <v>-20507.0686566351</v>
      </c>
      <c r="AH95" s="0" t="n">
        <f aca="false">-AH85*AH94</f>
        <v>-17158.4597935498</v>
      </c>
      <c r="AI95" s="0" t="n">
        <f aca="false">-AI85*AI94</f>
        <v>-16056.0989735593</v>
      </c>
      <c r="AJ95" s="0" t="n">
        <f aca="false">-AJ85*AJ94</f>
        <v>-22370.4944552082</v>
      </c>
      <c r="AK95" s="0" t="n">
        <f aca="false">-AK85*AK94</f>
        <v>-20145.423754998</v>
      </c>
      <c r="AL95" s="0" t="n">
        <f aca="false">-AL85*AL94</f>
        <v>-19519.3426670032</v>
      </c>
      <c r="AM95" s="0" t="n">
        <f aca="false">-AM85*AM94</f>
        <v>-19037.9971186332</v>
      </c>
      <c r="AN95" s="0" t="n">
        <f aca="false">-AN85*AN94</f>
        <v>-18793.1217819969</v>
      </c>
      <c r="AO95" s="0" t="n">
        <f aca="false">-AO85*AO94</f>
        <v>-13716.9858175212</v>
      </c>
      <c r="AP95" s="0" t="n">
        <f aca="false">-AP85*AP94</f>
        <v>-16982.1387899801</v>
      </c>
      <c r="AQ95" s="0" t="n">
        <f aca="false">-AQ85*AQ94</f>
        <v>-20017.144551278</v>
      </c>
      <c r="AR95" s="0" t="n">
        <f aca="false">-AR85*AR94</f>
        <v>-17523.479898668</v>
      </c>
      <c r="AS95" s="0" t="n">
        <f aca="false">-AS85*AS94</f>
        <v>-15336.0130922735</v>
      </c>
      <c r="AT95" s="0" t="n">
        <f aca="false">-AT85*AT94</f>
        <v>-18706.9428711769</v>
      </c>
      <c r="AU95" s="0" t="n">
        <f aca="false">-AU85*AU94</f>
        <v>-16266.6879500251</v>
      </c>
      <c r="AV95" s="0" t="n">
        <f aca="false">-AV85*AV94</f>
        <v>-22683.3669090064</v>
      </c>
      <c r="AW95" s="0" t="n">
        <f aca="false">-AW85*AW94</f>
        <v>-17829.3570928681</v>
      </c>
      <c r="AX95" s="0" t="n">
        <f aca="false">-AX85*AX94</f>
        <v>-14589.1236336994</v>
      </c>
      <c r="AY95" s="0" t="n">
        <f aca="false">-AY85*AY94</f>
        <v>-21605.6103449164</v>
      </c>
      <c r="AZ95" s="0" t="n">
        <f aca="false">-AZ85*AZ94</f>
        <v>-20538.8285911014</v>
      </c>
      <c r="BA95" s="0" t="n">
        <f aca="false">-BA85*BA94</f>
        <v>-18460.3356628752</v>
      </c>
      <c r="BB95" s="0" t="n">
        <f aca="false">-BB85*BB94</f>
        <v>-15033.9848668207</v>
      </c>
      <c r="BC95" s="0" t="n">
        <f aca="false">-BC85*BC94</f>
        <v>-21036.9392939277</v>
      </c>
      <c r="BD95" s="0" t="n">
        <f aca="false">-BD85*BD94</f>
        <v>-14714.9231240281</v>
      </c>
      <c r="BE95" s="0" t="n">
        <f aca="false">-BE85*BE94</f>
        <v>-16191.6415479219</v>
      </c>
      <c r="BF95" s="0" t="n">
        <f aca="false">-BF85*BF94</f>
        <v>-12799.0782864924</v>
      </c>
      <c r="BG95" s="0" t="n">
        <f aca="false">-BG85*BG94</f>
        <v>-17307.3712250589</v>
      </c>
      <c r="BH95" s="0" t="n">
        <f aca="false">-BH85*BH94</f>
        <v>-17303.5086858867</v>
      </c>
      <c r="BI95" s="0" t="n">
        <f aca="false">-BI85*BI94</f>
        <v>-22973.7054983571</v>
      </c>
      <c r="BJ95" s="0" t="n">
        <f aca="false">-BJ85*BJ94</f>
        <v>-20122.6493717342</v>
      </c>
      <c r="BK95" s="0" t="n">
        <f aca="false">-BK85*BK94</f>
        <v>-20621.5676050752</v>
      </c>
      <c r="BL95" s="0" t="n">
        <f aca="false">-BL85*BL94</f>
        <v>-19522.8030914235</v>
      </c>
      <c r="BM95" s="0" t="n">
        <f aca="false">-BM85*BM94</f>
        <v>-18184.5280671638</v>
      </c>
      <c r="BN95" s="0" t="n">
        <f aca="false">-BN85*BN94</f>
        <v>-16488.847708643</v>
      </c>
      <c r="BO95" s="0" t="n">
        <f aca="false">-BO85*BO94</f>
        <v>-18500.4410398791</v>
      </c>
      <c r="BP95" s="0" t="n">
        <f aca="false">-BP85*BP94</f>
        <v>-20159.5412952166</v>
      </c>
      <c r="BQ95" s="0" t="n">
        <f aca="false">-BQ85*BQ94</f>
        <v>-16996.3317430675</v>
      </c>
      <c r="BR95" s="0" t="n">
        <f aca="false">-BR85*BR94</f>
        <v>-20469.1733304161</v>
      </c>
      <c r="BS95" s="0" t="n">
        <f aca="false">-BS85*BS94</f>
        <v>-14244.0279577433</v>
      </c>
      <c r="BT95" s="0" t="n">
        <f aca="false">-BT85*BT94</f>
        <v>-17572.1483554245</v>
      </c>
      <c r="BU95" s="0" t="n">
        <f aca="false">-BU85*BU94</f>
        <v>-13674.033101507</v>
      </c>
      <c r="BV95" s="0" t="n">
        <f aca="false">-BV85*BV94</f>
        <v>-15970.921526546</v>
      </c>
      <c r="BW95" s="0" t="n">
        <f aca="false">-BW85*BW94</f>
        <v>-15120.4012272696</v>
      </c>
      <c r="BX95" s="0" t="n">
        <f aca="false">-BX85*BX94</f>
        <v>-14713.71793787</v>
      </c>
      <c r="BY95" s="0" t="n">
        <f aca="false">-BY85*BY94</f>
        <v>-15224.3607611743</v>
      </c>
      <c r="BZ95" s="0" t="n">
        <f aca="false">-BZ85*BZ94</f>
        <v>-20543.0386096595</v>
      </c>
      <c r="CA95" s="0" t="n">
        <f aca="false">-CA85*CA94</f>
        <v>-19333.1363929031</v>
      </c>
      <c r="CB95" s="0" t="n">
        <f aca="false">-CB85*CB94</f>
        <v>-15898.6357519715</v>
      </c>
      <c r="CC95" s="0" t="n">
        <f aca="false">-CC85*CC94</f>
        <v>-19695.1167711884</v>
      </c>
      <c r="CD95" s="0" t="n">
        <f aca="false">-CD85*CD94</f>
        <v>-22138.2038345101</v>
      </c>
      <c r="CE95" s="0" t="n">
        <f aca="false">-CE85*CE94</f>
        <v>-19517.0208707155</v>
      </c>
      <c r="CF95" s="0" t="n">
        <f aca="false">-CF85*CF94</f>
        <v>-19069.900490757</v>
      </c>
      <c r="CG95" s="0" t="n">
        <f aca="false">-CG85*CG94</f>
        <v>-15192.6468323859</v>
      </c>
      <c r="CH95" s="0" t="n">
        <f aca="false">-CH85*CH94</f>
        <v>-20347.8150152757</v>
      </c>
      <c r="CI95" s="0" t="n">
        <f aca="false">-CI85*CI94</f>
        <v>-19236.4519347205</v>
      </c>
      <c r="CJ95" s="0" t="n">
        <f aca="false">-CJ85*CJ94</f>
        <v>-22245.6913338002</v>
      </c>
      <c r="CK95" s="0" t="n">
        <f aca="false">-CK85*CK94</f>
        <v>-17600.3122997593</v>
      </c>
      <c r="CL95" s="0" t="n">
        <f aca="false">-CL85*CL94</f>
        <v>-16637.9619116949</v>
      </c>
      <c r="CM95" s="0" t="n">
        <f aca="false">-CM85*CM94</f>
        <v>-20550.0975075551</v>
      </c>
      <c r="CN95" s="0" t="n">
        <f aca="false">-CN85*CN94</f>
        <v>-19315.5464107672</v>
      </c>
      <c r="CO95" s="0" t="n">
        <f aca="false">-CO85*CO94</f>
        <v>-21192.3084323206</v>
      </c>
      <c r="CP95" s="0" t="n">
        <f aca="false">-CP85*CP94</f>
        <v>-17784.0833098499</v>
      </c>
      <c r="CQ95" s="0" t="n">
        <f aca="false">-CQ85*CQ94</f>
        <v>-16602.3299774961</v>
      </c>
      <c r="CR95" s="0" t="n">
        <f aca="false">-CR85*CR94</f>
        <v>-19170.0253129577</v>
      </c>
      <c r="CS95" s="0" t="n">
        <f aca="false">-CS85*CS94</f>
        <v>-16208.4121200962</v>
      </c>
      <c r="CT95" s="0" t="n">
        <f aca="false">-CT85*CT94</f>
        <v>-14024.2762254898</v>
      </c>
      <c r="CU95" s="0" t="n">
        <f aca="false">-CU85*CU94</f>
        <v>-15130.9778711033</v>
      </c>
      <c r="CV95" s="0" t="n">
        <f aca="false">-CV85*CV94</f>
        <v>-14827.2669635902</v>
      </c>
      <c r="CW95" s="0" t="n">
        <f aca="false">-CW85*CW94</f>
        <v>-18082.5306292439</v>
      </c>
      <c r="CX95" s="0" t="n">
        <f aca="false">-CX85*CX94</f>
        <v>-19062.2893481807</v>
      </c>
      <c r="CY95" s="0" t="n">
        <f aca="false">-CY85*CY94</f>
        <v>-17235.7011027287</v>
      </c>
      <c r="CZ95" s="0" t="n">
        <f aca="false">-CZ85*CZ94</f>
        <v>-18219.3440795335</v>
      </c>
      <c r="DA95" s="0" t="n">
        <f aca="false">-DA85*DA94</f>
        <v>-13297.9715535346</v>
      </c>
      <c r="DB95" s="0" t="n">
        <f aca="false">-DB85*DB94</f>
        <v>-10034.5437032545</v>
      </c>
      <c r="DC95" s="0" t="n">
        <f aca="false">-DC85*DC94</f>
        <v>-21215.246598074</v>
      </c>
      <c r="DD95" s="0" t="n">
        <f aca="false">-DD85*DD94</f>
        <v>-15556.3038366641</v>
      </c>
      <c r="DE95" s="0" t="n">
        <f aca="false">-DE85*DE94</f>
        <v>-18945.4108031649</v>
      </c>
      <c r="DF95" s="0" t="n">
        <f aca="false">-DF85*DF94</f>
        <v>-14891.9035786137</v>
      </c>
      <c r="DG95" s="0" t="n">
        <f aca="false">-DG85*DG94</f>
        <v>-19412.6662578881</v>
      </c>
      <c r="DH95" s="0" t="n">
        <f aca="false">-DH85*DH94</f>
        <v>-19444.0952935628</v>
      </c>
      <c r="DI95" s="0" t="n">
        <f aca="false">-DI85*DI94</f>
        <v>-15616.9446433903</v>
      </c>
      <c r="DJ95" s="0" t="n">
        <f aca="false">-DJ85*DJ94</f>
        <v>-17452.2055243564</v>
      </c>
      <c r="DK95" s="0" t="n">
        <f aca="false">-DK85*DK94</f>
        <v>-17253.4938120515</v>
      </c>
      <c r="DL95" s="0" t="n">
        <f aca="false">-DL85*DL94</f>
        <v>-20488.4778667615</v>
      </c>
      <c r="DM95" s="0" t="n">
        <f aca="false">-DM85*DM94</f>
        <v>-20033.7162762561</v>
      </c>
      <c r="DN95" s="0" t="n">
        <f aca="false">-DN85*DN94</f>
        <v>-23475.640962493</v>
      </c>
      <c r="DO95" s="0" t="n">
        <f aca="false">-DO85*DO94</f>
        <v>-21577.3391322439</v>
      </c>
      <c r="DP95" s="0" t="n">
        <f aca="false">-DP85*DP94</f>
        <v>-21719.8326848869</v>
      </c>
      <c r="DQ95" s="0" t="n">
        <f aca="false">-DQ85*DQ94</f>
        <v>-20194.1516867949</v>
      </c>
      <c r="DR95" s="0" t="n">
        <f aca="false">-DR85*DR94</f>
        <v>-11054.765297782</v>
      </c>
      <c r="DS95" s="0" t="n">
        <f aca="false">-DS85*DS94</f>
        <v>-16839.9978847835</v>
      </c>
      <c r="DT95" s="0" t="n">
        <f aca="false">-DT85*DT94</f>
        <v>-22948.6571011512</v>
      </c>
      <c r="DU95" s="0" t="n">
        <f aca="false">-DU85*DU94</f>
        <v>-19757.9820639526</v>
      </c>
      <c r="DV95" s="0" t="n">
        <f aca="false">-DV85*DV94</f>
        <v>-19466.4233150156</v>
      </c>
      <c r="DW95" s="0" t="n">
        <f aca="false">-DW85*DW94</f>
        <v>-17996.5161409523</v>
      </c>
      <c r="DX95" s="0" t="n">
        <f aca="false">-DX85*DX94</f>
        <v>-18455.4447637827</v>
      </c>
      <c r="DY95" s="0" t="n">
        <f aca="false">-DY85*DY94</f>
        <v>-20046.0095581795</v>
      </c>
      <c r="DZ95" s="0" t="n">
        <f aca="false">-DZ85*DZ94</f>
        <v>-15179.6753562486</v>
      </c>
      <c r="EA95" s="0" t="n">
        <f aca="false">-EA85*EA94</f>
        <v>-11688.6258839868</v>
      </c>
      <c r="EB95" s="0" t="n">
        <f aca="false">-EB85*EB94</f>
        <v>-17367.5810007014</v>
      </c>
      <c r="EC95" s="0" t="n">
        <f aca="false">-EC85*EC94</f>
        <v>-17326.4553499912</v>
      </c>
      <c r="ED95" s="0" t="n">
        <f aca="false">-ED85*ED94</f>
        <v>-19593.7761332521</v>
      </c>
      <c r="EE95" s="0" t="n">
        <f aca="false">-EE85*EE94</f>
        <v>-19212.4185791831</v>
      </c>
      <c r="EF95" s="0" t="n">
        <f aca="false">-EF85*EF94</f>
        <v>-18302.0045803789</v>
      </c>
      <c r="EG95" s="0" t="n">
        <f aca="false">-EG85*EG94</f>
        <v>-17823.6680218144</v>
      </c>
      <c r="EH95" s="0" t="n">
        <f aca="false">-EH85*EH94</f>
        <v>-16799.7015354799</v>
      </c>
      <c r="EI95" s="0" t="n">
        <f aca="false">-EI85*EI94</f>
        <v>-14564.2154001232</v>
      </c>
      <c r="EJ95" s="0" t="n">
        <f aca="false">-EJ85*EJ94</f>
        <v>-20156.8795571644</v>
      </c>
      <c r="EK95" s="0" t="n">
        <f aca="false">-EK85*EK94</f>
        <v>-19796.1713036391</v>
      </c>
      <c r="EL95" s="0" t="n">
        <f aca="false">-EL85*EL94</f>
        <v>-19837.0050855263</v>
      </c>
      <c r="EM95" s="0" t="n">
        <f aca="false">-EM85*EM94</f>
        <v>-18174.7162815006</v>
      </c>
      <c r="EN95" s="0" t="n">
        <f aca="false">-EN85*EN94</f>
        <v>-19478.3234817333</v>
      </c>
      <c r="EO95" s="0" t="n">
        <f aca="false">-EO85*EO94</f>
        <v>-17838.105196216</v>
      </c>
      <c r="EP95" s="0" t="n">
        <f aca="false">-EP85*EP94</f>
        <v>-18914.8331960287</v>
      </c>
      <c r="EQ95" s="0" t="n">
        <f aca="false">-EQ85*EQ94</f>
        <v>-20394.1729858801</v>
      </c>
      <c r="ER95" s="0" t="n">
        <f aca="false">-ER85*ER94</f>
        <v>-18444.2325823441</v>
      </c>
      <c r="ES95" s="0" t="n">
        <f aca="false">-ES85*ES94</f>
        <v>-19627.7436285275</v>
      </c>
      <c r="ET95" s="0" t="n">
        <f aca="false">-ET85*ET94</f>
        <v>-19952.8915307038</v>
      </c>
      <c r="EU95" s="0" t="n">
        <f aca="false">-EU85*EU94</f>
        <v>-20189.4729148956</v>
      </c>
      <c r="EV95" s="0" t="n">
        <f aca="false">-EV85*EV94</f>
        <v>-19343.3280839333</v>
      </c>
      <c r="EW95" s="0" t="n">
        <f aca="false">-EW85*EW94</f>
        <v>-15685.9604896019</v>
      </c>
      <c r="EX95" s="0" t="n">
        <f aca="false">-EX85*EX94</f>
        <v>-14568.953353442</v>
      </c>
      <c r="EY95" s="0" t="n">
        <f aca="false">-EY85*EY94</f>
        <v>-23246.9480848733</v>
      </c>
      <c r="EZ95" s="0" t="n">
        <f aca="false">-EZ85*EZ94</f>
        <v>-16089.2422379295</v>
      </c>
      <c r="FA95" s="0" t="n">
        <f aca="false">-FA85*FA94</f>
        <v>-21043.3675219347</v>
      </c>
      <c r="FB95" s="0" t="n">
        <f aca="false">-FB85*FB94</f>
        <v>-18882.7758898762</v>
      </c>
      <c r="FC95" s="0" t="n">
        <f aca="false">-FC85*FC94</f>
        <v>-17114.9923280461</v>
      </c>
      <c r="FD95" s="0" t="n">
        <f aca="false">-FD85*FD94</f>
        <v>-21711.7820658708</v>
      </c>
      <c r="FE95" s="0" t="n">
        <f aca="false">-FE85*FE94</f>
        <v>-15155.1562689608</v>
      </c>
      <c r="FF95" s="0" t="n">
        <f aca="false">-FF85*FF94</f>
        <v>-14407.9394329765</v>
      </c>
      <c r="FG95" s="0" t="n">
        <f aca="false">-FG85*FG94</f>
        <v>-18277.2581661125</v>
      </c>
      <c r="FH95" s="0" t="n">
        <f aca="false">-FH85*FH94</f>
        <v>-18632.3733458262</v>
      </c>
      <c r="FI95" s="0" t="n">
        <f aca="false">-FI85*FI94</f>
        <v>-12823.629287171</v>
      </c>
      <c r="FJ95" s="0" t="n">
        <f aca="false">-FJ85*FJ94</f>
        <v>-16960.7248931675</v>
      </c>
      <c r="FK95" s="0" t="n">
        <f aca="false">-FK85*FK94</f>
        <v>-21437.4276707259</v>
      </c>
      <c r="FL95" s="0" t="n">
        <f aca="false">-FL85*FL94</f>
        <v>-13789.0223311815</v>
      </c>
      <c r="FM95" s="0" t="n">
        <f aca="false">-FM85*FM94</f>
        <v>-21850.4685498441</v>
      </c>
      <c r="FN95" s="0" t="n">
        <f aca="false">-FN85*FN94</f>
        <v>-19262.8007070554</v>
      </c>
      <c r="FO95" s="0" t="n">
        <f aca="false">-FO85*FO94</f>
        <v>-16040.6172914509</v>
      </c>
      <c r="FP95" s="0" t="n">
        <f aca="false">-FP85*FP94</f>
        <v>-16614.1928359129</v>
      </c>
      <c r="FQ95" s="0" t="n">
        <f aca="false">-FQ85*FQ94</f>
        <v>-14537.427368756</v>
      </c>
      <c r="FR95" s="0" t="n">
        <f aca="false">-FR85*FR94</f>
        <v>-18416.0735402749</v>
      </c>
      <c r="FS95" s="0" t="n">
        <f aca="false">-FS85*FS94</f>
        <v>-12890.3273546985</v>
      </c>
      <c r="FT95" s="0" t="n">
        <f aca="false">-FT85*FT94</f>
        <v>-17037.3515085409</v>
      </c>
      <c r="FU95" s="0" t="n">
        <f aca="false">-FU85*FU94</f>
        <v>-18002.3786525078</v>
      </c>
      <c r="FV95" s="0" t="n">
        <f aca="false">-FV85*FV94</f>
        <v>-17962.1030374663</v>
      </c>
      <c r="FW95" s="0" t="n">
        <f aca="false">-FW85*FW94</f>
        <v>-20663.3613701426</v>
      </c>
      <c r="FX95" s="0" t="n">
        <f aca="false">-FX85*FX94</f>
        <v>-16937.1505430422</v>
      </c>
      <c r="FY95" s="0" t="n">
        <f aca="false">-FY85*FY94</f>
        <v>-17756.6926023604</v>
      </c>
      <c r="FZ95" s="0" t="n">
        <f aca="false">-FZ85*FZ94</f>
        <v>-13330.4866285741</v>
      </c>
      <c r="GA95" s="0" t="n">
        <f aca="false">-GA85*GA94</f>
        <v>-15816.556935081</v>
      </c>
      <c r="GB95" s="0" t="n">
        <f aca="false">-GB85*GB94</f>
        <v>-17111.8572184895</v>
      </c>
      <c r="GC95" s="0" t="n">
        <f aca="false">-GC85*GC94</f>
        <v>-17495.256871783</v>
      </c>
      <c r="GD95" s="0" t="n">
        <f aca="false">-GD85*GD94</f>
        <v>-15092.5801708218</v>
      </c>
      <c r="GE95" s="0" t="n">
        <f aca="false">-GE85*GE94</f>
        <v>-17865.750584804</v>
      </c>
      <c r="GF95" s="0" t="n">
        <f aca="false">-GF85*GF94</f>
        <v>-16572.8682168627</v>
      </c>
      <c r="GG95" s="0" t="n">
        <f aca="false">-GG85*GG94</f>
        <v>-17222.436630876</v>
      </c>
      <c r="GH95" s="0" t="n">
        <f aca="false">-GH85*GH94</f>
        <v>-18903.223699465</v>
      </c>
      <c r="GI95" s="0" t="n">
        <f aca="false">-GI85*GI94</f>
        <v>-19994.6596800904</v>
      </c>
      <c r="GJ95" s="0" t="n">
        <f aca="false">-GJ85*GJ94</f>
        <v>-17227.349966083</v>
      </c>
      <c r="GK95" s="0" t="n">
        <f aca="false">-GK85*GK94</f>
        <v>-16042.3798885244</v>
      </c>
      <c r="GL95" s="0" t="n">
        <f aca="false">-GL85*GL94</f>
        <v>-17753.0423113224</v>
      </c>
      <c r="GM95" s="0" t="n">
        <f aca="false">-GM85*GM94</f>
        <v>-16055.3406585753</v>
      </c>
      <c r="GN95" s="0" t="n">
        <f aca="false">-GN85*GN94</f>
        <v>-19873.7904697471</v>
      </c>
      <c r="GO95" s="0" t="n">
        <f aca="false">-GO85*GO94</f>
        <v>-15347.3651949273</v>
      </c>
      <c r="GP95" s="0" t="n">
        <f aca="false">-GP85*GP94</f>
        <v>-18882.3531118083</v>
      </c>
      <c r="GQ95" s="0" t="n">
        <f aca="false">-GQ85*GQ94</f>
        <v>-12961.6755595306</v>
      </c>
      <c r="GR95" s="0" t="n">
        <f aca="false">-GR85*GR94</f>
        <v>-22006.5607323076</v>
      </c>
      <c r="GS95" s="0" t="n">
        <f aca="false">-GS85*GS94</f>
        <v>-17120.5702956997</v>
      </c>
      <c r="GT95" s="0" t="n">
        <f aca="false">-GT85*GT94</f>
        <v>-19154.2148271904</v>
      </c>
      <c r="GU95" s="0" t="n">
        <f aca="false">-GU85*GU94</f>
        <v>-16707.9495125681</v>
      </c>
      <c r="GV95" s="0" t="n">
        <f aca="false">-GV85*GV94</f>
        <v>-17079.4189640403</v>
      </c>
      <c r="GW95" s="0" t="n">
        <f aca="false">-GW85*GW94</f>
        <v>-19698.4676237117</v>
      </c>
      <c r="GX95" s="0" t="n">
        <f aca="false">-GX85*GX94</f>
        <v>-15615.727774706</v>
      </c>
      <c r="GY95" s="0" t="n">
        <f aca="false">-GY85*GY94</f>
        <v>-16926.5690020122</v>
      </c>
      <c r="GZ95" s="0" t="n">
        <f aca="false">-GZ85*GZ94</f>
        <v>-21365.0812119193</v>
      </c>
      <c r="HA95" s="0" t="n">
        <f aca="false">-HA85*HA94</f>
        <v>-18227.0563850876</v>
      </c>
      <c r="HB95" s="0" t="n">
        <f aca="false">-HB85*HB94</f>
        <v>-17312.6340468996</v>
      </c>
      <c r="HC95" s="0" t="n">
        <f aca="false">-HC85*HC94</f>
        <v>-16853.19571402</v>
      </c>
      <c r="HD95" s="0" t="n">
        <f aca="false">-HD85*HD94</f>
        <v>-21681.4048564345</v>
      </c>
      <c r="HE95" s="0" t="n">
        <f aca="false">-HE85*HE94</f>
        <v>-20773.7592943433</v>
      </c>
      <c r="HF95" s="0" t="n">
        <f aca="false">-HF85*HF94</f>
        <v>-13264.2507488598</v>
      </c>
      <c r="HG95" s="0" t="n">
        <f aca="false">-HG85*HG94</f>
        <v>-20451.419932223</v>
      </c>
      <c r="HH95" s="0" t="n">
        <f aca="false">-HH85*HH94</f>
        <v>-19401.2016643023</v>
      </c>
      <c r="HI95" s="0" t="n">
        <f aca="false">-HI85*HI94</f>
        <v>-19674.650592255</v>
      </c>
      <c r="HJ95" s="0" t="n">
        <f aca="false">-HJ85*HJ94</f>
        <v>-16387.7322159145</v>
      </c>
      <c r="HK95" s="0" t="n">
        <f aca="false">-HK85*HK94</f>
        <v>-17890.4276062694</v>
      </c>
      <c r="HL95" s="0" t="n">
        <f aca="false">-HL85*HL94</f>
        <v>-21851.9759841414</v>
      </c>
      <c r="HM95" s="0" t="n">
        <f aca="false">-HM85*HM94</f>
        <v>-16676.1245762841</v>
      </c>
      <c r="HN95" s="0" t="n">
        <f aca="false">-HN85*HN94</f>
        <v>-17322.7321841944</v>
      </c>
      <c r="HO95" s="0" t="n">
        <f aca="false">-HO85*HO94</f>
        <v>-17750.6222325274</v>
      </c>
      <c r="HP95" s="0" t="n">
        <f aca="false">-HP85*HP94</f>
        <v>-12951.3598993621</v>
      </c>
      <c r="HQ95" s="0" t="n">
        <f aca="false">-HQ85*HQ94</f>
        <v>-17676.2997287726</v>
      </c>
      <c r="HR95" s="0" t="n">
        <f aca="false">-HR85*HR94</f>
        <v>-16275.1659670879</v>
      </c>
      <c r="HS95" s="0" t="n">
        <f aca="false">-HS85*HS94</f>
        <v>-16607.4214430482</v>
      </c>
      <c r="HT95" s="0" t="n">
        <f aca="false">-HT85*HT94</f>
        <v>-24492.3827296574</v>
      </c>
      <c r="HU95" s="0" t="n">
        <f aca="false">-HU85*HU94</f>
        <v>-16001.7631526632</v>
      </c>
      <c r="HV95" s="0" t="n">
        <f aca="false">-HV85*HV94</f>
        <v>-16441.1932161995</v>
      </c>
      <c r="HW95" s="0" t="n">
        <f aca="false">-HW85*HW94</f>
        <v>-16401.5864641479</v>
      </c>
      <c r="HX95" s="0" t="n">
        <f aca="false">-HX85*HX94</f>
        <v>-20937.6315656753</v>
      </c>
      <c r="HY95" s="0" t="n">
        <f aca="false">-HY85*HY94</f>
        <v>-16139.8566512255</v>
      </c>
      <c r="HZ95" s="0" t="n">
        <f aca="false">-HZ85*HZ94</f>
        <v>-16867.9838775143</v>
      </c>
      <c r="IA95" s="0" t="n">
        <f aca="false">-IA85*IA94</f>
        <v>-22404.3042793185</v>
      </c>
      <c r="IB95" s="0" t="n">
        <f aca="false">-IB85*IB94</f>
        <v>-14684.2736069959</v>
      </c>
      <c r="IC95" s="0" t="n">
        <f aca="false">-IC85*IC94</f>
        <v>-16472.5987576748</v>
      </c>
      <c r="ID95" s="0" t="n">
        <f aca="false">-ID85*ID94</f>
        <v>-14089.7385460851</v>
      </c>
      <c r="IE95" s="0" t="n">
        <f aca="false">-IE85*IE94</f>
        <v>-21284.0824774614</v>
      </c>
      <c r="IF95" s="0" t="n">
        <f aca="false">-IF85*IF94</f>
        <v>-14098.4246601356</v>
      </c>
      <c r="IG95" s="0" t="n">
        <f aca="false">-IG85*IG94</f>
        <v>-15570.556174416</v>
      </c>
      <c r="IH95" s="0" t="n">
        <f aca="false">-IH85*IH94</f>
        <v>-17723.3358946513</v>
      </c>
      <c r="II95" s="0" t="n">
        <f aca="false">-II85*II94</f>
        <v>-20630.0808046792</v>
      </c>
      <c r="IJ95" s="0" t="n">
        <f aca="false">-IJ85*IJ94</f>
        <v>-16595.0350555812</v>
      </c>
      <c r="IK95" s="0" t="n">
        <f aca="false">-IK85*IK94</f>
        <v>-23206.4712165857</v>
      </c>
      <c r="IL95" s="0" t="n">
        <f aca="false">-IL85*IL94</f>
        <v>-23134.722897944</v>
      </c>
      <c r="IM95" s="0" t="n">
        <f aca="false">-IM85*IM94</f>
        <v>-18487.1184265134</v>
      </c>
      <c r="IN95" s="0" t="n">
        <f aca="false">-IN85*IN94</f>
        <v>-14747.5222538742</v>
      </c>
      <c r="IO95" s="0" t="n">
        <f aca="false">-IO85*IO94</f>
        <v>-18831.157614991</v>
      </c>
      <c r="IP95" s="0" t="n">
        <f aca="false">-IP85*IP94</f>
        <v>-20761.1951371007</v>
      </c>
      <c r="IQ95" s="0" t="n">
        <f aca="false">-IQ85*IQ94</f>
        <v>-19191.9496292885</v>
      </c>
      <c r="IR95" s="0" t="n">
        <f aca="false">-IR85*IR94</f>
        <v>-14802.1645212693</v>
      </c>
      <c r="IS95" s="0" t="n">
        <f aca="false">-IS85*IS94</f>
        <v>-17381.6115653833</v>
      </c>
      <c r="IT95" s="0" t="n">
        <f aca="false">-IT85*IT94</f>
        <v>-21102.7255896083</v>
      </c>
      <c r="IU95" s="0" t="n">
        <f aca="false">-IU85*IU94</f>
        <v>-16378.0920480741</v>
      </c>
      <c r="IV95" s="0" t="n">
        <f aca="false">-IV85*IV94</f>
        <v>-19010.7191797531</v>
      </c>
      <c r="IW95" s="0" t="n">
        <f aca="false">-IW85*IW94</f>
        <v>-17186.703596257</v>
      </c>
      <c r="IX95" s="0" t="n">
        <f aca="false">-IX85*IX94</f>
        <v>-16098.5384326084</v>
      </c>
      <c r="IY95" s="0" t="n">
        <f aca="false">-IY85*IY94</f>
        <v>-20708.1129402557</v>
      </c>
      <c r="IZ95" s="0" t="n">
        <f aca="false">-IZ85*IZ94</f>
        <v>-19247.2050624683</v>
      </c>
      <c r="JA95" s="0" t="n">
        <f aca="false">-JA85*JA94</f>
        <v>-14006.8739852641</v>
      </c>
      <c r="JB95" s="0" t="n">
        <f aca="false">-JB85*JB94</f>
        <v>-17297.4204623562</v>
      </c>
      <c r="JC95" s="0" t="n">
        <f aca="false">-JC85*JC94</f>
        <v>-14268.577956111</v>
      </c>
      <c r="JD95" s="0" t="n">
        <f aca="false">-JD85*JD94</f>
        <v>-15587.4447412182</v>
      </c>
      <c r="JE95" s="0" t="n">
        <f aca="false">-JE85*JE94</f>
        <v>-19110.842551966</v>
      </c>
      <c r="JF95" s="0" t="n">
        <f aca="false">-JF85*JF94</f>
        <v>-19712.7497706688</v>
      </c>
      <c r="JG95" s="0" t="n">
        <f aca="false">-JG85*JG94</f>
        <v>-19763.0250823102</v>
      </c>
      <c r="JH95" s="0" t="n">
        <f aca="false">-JH85*JH94</f>
        <v>-15107.5607115967</v>
      </c>
      <c r="JI95" s="0" t="n">
        <f aca="false">-JI85*JI94</f>
        <v>-16601.5997180053</v>
      </c>
      <c r="JJ95" s="0" t="n">
        <f aca="false">-JJ85*JJ94</f>
        <v>-16473.1853009001</v>
      </c>
      <c r="JK95" s="0" t="n">
        <f aca="false">-JK85*JK94</f>
        <v>-15085.0207655409</v>
      </c>
      <c r="JL95" s="0" t="n">
        <f aca="false">-JL85*JL94</f>
        <v>-17495.3820031275</v>
      </c>
      <c r="JM95" s="0" t="n">
        <f aca="false">-JM85*JM94</f>
        <v>-18711.3893532455</v>
      </c>
      <c r="JN95" s="0" t="n">
        <f aca="false">-JN85*JN94</f>
        <v>-17233.9780781575</v>
      </c>
      <c r="JO95" s="0" t="n">
        <f aca="false">-JO85*JO94</f>
        <v>-18320.4414918961</v>
      </c>
      <c r="JP95" s="0" t="n">
        <f aca="false">-JP85*JP94</f>
        <v>-17889.2489107302</v>
      </c>
      <c r="JQ95" s="0" t="n">
        <f aca="false">-JQ85*JQ94</f>
        <v>-14263.7515494591</v>
      </c>
      <c r="JR95" s="0" t="n">
        <f aca="false">-JR85*JR94</f>
        <v>-13056.5602310397</v>
      </c>
      <c r="JS95" s="0" t="n">
        <f aca="false">-JS85*JS94</f>
        <v>-13481.3238521939</v>
      </c>
      <c r="JT95" s="0" t="n">
        <f aca="false">-JT85*JT94</f>
        <v>-16265.1240177154</v>
      </c>
      <c r="JU95" s="0" t="n">
        <f aca="false">-JU85*JU94</f>
        <v>-15735.0286159652</v>
      </c>
      <c r="JV95" s="0" t="n">
        <f aca="false">-JV85*JV94</f>
        <v>-19755.0992764359</v>
      </c>
      <c r="JW95" s="0" t="n">
        <f aca="false">-JW85*JW94</f>
        <v>-22511.5033168841</v>
      </c>
      <c r="JX95" s="0" t="n">
        <f aca="false">-JX85*JX94</f>
        <v>-15218.3727343527</v>
      </c>
      <c r="JY95" s="0" t="n">
        <f aca="false">-JY85*JY94</f>
        <v>-18741.9118986881</v>
      </c>
      <c r="JZ95" s="0" t="n">
        <f aca="false">-JZ85*JZ94</f>
        <v>-18915.8589881103</v>
      </c>
      <c r="KA95" s="0" t="n">
        <f aca="false">-KA85*KA94</f>
        <v>-19049.2517912838</v>
      </c>
      <c r="KB95" s="0" t="n">
        <f aca="false">-KB85*KB94</f>
        <v>-19126.2010113147</v>
      </c>
      <c r="KC95" s="0" t="n">
        <f aca="false">-KC85*KC94</f>
        <v>-18657.4402673207</v>
      </c>
      <c r="KD95" s="0" t="n">
        <f aca="false">-KD85*KD94</f>
        <v>-16334.9592243643</v>
      </c>
      <c r="KE95" s="0" t="n">
        <f aca="false">-KE85*KE94</f>
        <v>-16020.4942933009</v>
      </c>
      <c r="KF95" s="0" t="n">
        <f aca="false">-KF85*KF94</f>
        <v>-18315.8098401274</v>
      </c>
      <c r="KG95" s="0" t="n">
        <f aca="false">-KG85*KG94</f>
        <v>-24404.0768751574</v>
      </c>
      <c r="KH95" s="0" t="n">
        <f aca="false">-KH85*KH94</f>
        <v>-17301.0116761653</v>
      </c>
      <c r="KI95" s="0" t="n">
        <f aca="false">-KI85*KI94</f>
        <v>-16116.9855107639</v>
      </c>
      <c r="KJ95" s="0" t="n">
        <f aca="false">-KJ85*KJ94</f>
        <v>-19477.9752301572</v>
      </c>
      <c r="KK95" s="0" t="n">
        <f aca="false">-KK85*KK94</f>
        <v>-17298.9186360254</v>
      </c>
      <c r="KL95" s="0" t="n">
        <f aca="false">-KL85*KL94</f>
        <v>-20611.3125067787</v>
      </c>
      <c r="KM95" s="0" t="n">
        <f aca="false">-KM85*KM94</f>
        <v>-18080.2831085319</v>
      </c>
      <c r="KN95" s="0" t="n">
        <f aca="false">-KN85*KN94</f>
        <v>-16769.6479445571</v>
      </c>
      <c r="KO95" s="0" t="n">
        <f aca="false">-KO85*KO94</f>
        <v>-21775.9128287315</v>
      </c>
      <c r="KP95" s="0" t="n">
        <f aca="false">-KP85*KP94</f>
        <v>-16751.2389326746</v>
      </c>
      <c r="KQ95" s="0" t="n">
        <f aca="false">-KQ85*KQ94</f>
        <v>-16490.6306651378</v>
      </c>
      <c r="KR95" s="0" t="n">
        <f aca="false">-KR85*KR94</f>
        <v>-15718.261878522</v>
      </c>
      <c r="KS95" s="0" t="n">
        <f aca="false">-KS85*KS94</f>
        <v>-14530.3179094261</v>
      </c>
      <c r="KT95" s="0" t="n">
        <f aca="false">-KT85*KT94</f>
        <v>-17288.7340423772</v>
      </c>
      <c r="KU95" s="0" t="n">
        <f aca="false">-KU85*KU94</f>
        <v>-17609.827656824</v>
      </c>
      <c r="KV95" s="0" t="n">
        <f aca="false">-KV85*KV94</f>
        <v>-17296.3163271664</v>
      </c>
      <c r="KW95" s="0" t="n">
        <f aca="false">-KW85*KW94</f>
        <v>-16757.2919406999</v>
      </c>
      <c r="KX95" s="0" t="n">
        <f aca="false">-KX85*KX94</f>
        <v>-19111.1128152481</v>
      </c>
      <c r="KY95" s="0" t="n">
        <f aca="false">-KY85*KY94</f>
        <v>-19350.0996763307</v>
      </c>
      <c r="KZ95" s="0" t="n">
        <f aca="false">-KZ85*KZ94</f>
        <v>-15447.2843369467</v>
      </c>
      <c r="LA95" s="0" t="n">
        <f aca="false">-LA85*LA94</f>
        <v>-19438.5686691051</v>
      </c>
      <c r="LB95" s="0" t="n">
        <f aca="false">-LB85*LB94</f>
        <v>-21798.3380869626</v>
      </c>
      <c r="LC95" s="0" t="n">
        <f aca="false">-LC85*LC94</f>
        <v>-19178.2668210373</v>
      </c>
      <c r="LD95" s="0" t="n">
        <f aca="false">-LD85*LD94</f>
        <v>-12796.2072260897</v>
      </c>
      <c r="LE95" s="0" t="n">
        <f aca="false">-LE85*LE94</f>
        <v>-16853.9112669207</v>
      </c>
      <c r="LF95" s="0" t="n">
        <f aca="false">-LF85*LF94</f>
        <v>-15046.2207378705</v>
      </c>
      <c r="LG95" s="0" t="n">
        <f aca="false">-LG85*LG94</f>
        <v>-19341.9099571721</v>
      </c>
      <c r="LH95" s="0" t="n">
        <f aca="false">-LH85*LH94</f>
        <v>-14704.9575302109</v>
      </c>
      <c r="LI95" s="0" t="n">
        <f aca="false">-LI85*LI94</f>
        <v>-19644.075959049</v>
      </c>
      <c r="LJ95" s="0" t="n">
        <f aca="false">-LJ85*LJ94</f>
        <v>-12930.5960902212</v>
      </c>
      <c r="LK95" s="0" t="n">
        <f aca="false">-LK85*LK94</f>
        <v>-19239.5773880355</v>
      </c>
      <c r="LL95" s="0" t="n">
        <f aca="false">-LL85*LL94</f>
        <v>-19572.6973804434</v>
      </c>
      <c r="LM95" s="0" t="n">
        <f aca="false">-LM85*LM94</f>
        <v>-18013.6712462281</v>
      </c>
      <c r="LN95" s="0" t="n">
        <f aca="false">-LN85*LN94</f>
        <v>-19143.7611806268</v>
      </c>
      <c r="LO95" s="0" t="n">
        <f aca="false">-LO85*LO94</f>
        <v>-17110.9451247037</v>
      </c>
      <c r="LP95" s="0" t="n">
        <f aca="false">-LP85*LP94</f>
        <v>-18790.8134392418</v>
      </c>
      <c r="LQ95" s="0" t="n">
        <f aca="false">-LQ85*LQ94</f>
        <v>-17619.7332691</v>
      </c>
      <c r="LR95" s="0" t="n">
        <f aca="false">-LR85*LR94</f>
        <v>-14765.2824253837</v>
      </c>
      <c r="LS95" s="0" t="n">
        <f aca="false">-LS85*LS94</f>
        <v>-18082.1173784605</v>
      </c>
      <c r="LT95" s="0" t="n">
        <f aca="false">-LT85*LT94</f>
        <v>-21508.167622439</v>
      </c>
      <c r="LU95" s="0" t="n">
        <f aca="false">-LU85*LU94</f>
        <v>-19391.3704558824</v>
      </c>
      <c r="LV95" s="0" t="n">
        <f aca="false">-LV85*LV94</f>
        <v>-15171.0752403671</v>
      </c>
      <c r="LW95" s="0" t="n">
        <f aca="false">-LW85*LW94</f>
        <v>-20078.6895645399</v>
      </c>
      <c r="LX95" s="0" t="n">
        <f aca="false">-LX85*LX94</f>
        <v>-17659.0750582972</v>
      </c>
      <c r="LY95" s="0" t="n">
        <f aca="false">-LY85*LY94</f>
        <v>-18065.0302299336</v>
      </c>
      <c r="LZ95" s="0" t="n">
        <f aca="false">-LZ85*LZ94</f>
        <v>-17476.6839750051</v>
      </c>
      <c r="MA95" s="0" t="n">
        <f aca="false">-MA85*MA94</f>
        <v>-17598.4218999378</v>
      </c>
      <c r="MB95" s="0" t="n">
        <f aca="false">-MB85*MB94</f>
        <v>-20640.2427222892</v>
      </c>
      <c r="MC95" s="0" t="n">
        <f aca="false">-MC85*MC94</f>
        <v>-18649.1209267242</v>
      </c>
      <c r="MD95" s="0" t="n">
        <f aca="false">-MD85*MD94</f>
        <v>-25166.498588855</v>
      </c>
      <c r="ME95" s="0" t="n">
        <f aca="false">-ME85*ME94</f>
        <v>-18744.3858840701</v>
      </c>
      <c r="MF95" s="0" t="n">
        <f aca="false">-MF85*MF94</f>
        <v>-16013.797205428</v>
      </c>
      <c r="MG95" s="0" t="n">
        <f aca="false">-MG85*MG94</f>
        <v>-15029.7626865377</v>
      </c>
      <c r="MH95" s="0" t="n">
        <f aca="false">-MH85*MH94</f>
        <v>-17123.5663289921</v>
      </c>
      <c r="MI95" s="0" t="n">
        <f aca="false">-MI85*MI94</f>
        <v>-16590.7677014558</v>
      </c>
      <c r="MJ95" s="0" t="n">
        <f aca="false">-MJ85*MJ94</f>
        <v>-18386.0777001551</v>
      </c>
      <c r="MK95" s="0" t="n">
        <f aca="false">-MK85*MK94</f>
        <v>-20316.5424641829</v>
      </c>
      <c r="ML95" s="0" t="n">
        <f aca="false">-ML85*ML94</f>
        <v>-18750.8584672342</v>
      </c>
      <c r="MM95" s="0" t="n">
        <f aca="false">-MM85*MM94</f>
        <v>-15386.9767424148</v>
      </c>
      <c r="MN95" s="0" t="n">
        <f aca="false">-MN85*MN94</f>
        <v>-19985.8113505943</v>
      </c>
      <c r="MO95" s="0" t="n">
        <f aca="false">-MO85*MO94</f>
        <v>-18641.5814722041</v>
      </c>
      <c r="MP95" s="0" t="n">
        <f aca="false">-MP85*MP94</f>
        <v>-20100.0369897817</v>
      </c>
      <c r="MQ95" s="0" t="n">
        <f aca="false">-MQ85*MQ94</f>
        <v>-13318.3927056032</v>
      </c>
      <c r="MR95" s="0" t="n">
        <f aca="false">-MR85*MR94</f>
        <v>-17831.1171106638</v>
      </c>
      <c r="MS95" s="0" t="n">
        <f aca="false">-MS85*MS94</f>
        <v>-19273.8370132958</v>
      </c>
      <c r="MT95" s="0" t="n">
        <f aca="false">-MT85*MT94</f>
        <v>-18557.9496903434</v>
      </c>
      <c r="MU95" s="0" t="n">
        <f aca="false">-MU85*MU94</f>
        <v>-18031.4672163188</v>
      </c>
      <c r="MV95" s="0" t="n">
        <f aca="false">-MV85*MV94</f>
        <v>-21902.8993068899</v>
      </c>
      <c r="MW95" s="0" t="n">
        <f aca="false">-MW85*MW94</f>
        <v>-17403.9781448875</v>
      </c>
      <c r="MX95" s="0" t="n">
        <f aca="false">-MX85*MX94</f>
        <v>-15583.666888847</v>
      </c>
      <c r="MY95" s="0" t="n">
        <f aca="false">-MY85*MY94</f>
        <v>-18223.891084045</v>
      </c>
      <c r="MZ95" s="0" t="n">
        <f aca="false">-MZ85*MZ94</f>
        <v>-17788.8914009148</v>
      </c>
      <c r="NA95" s="0" t="n">
        <f aca="false">-NA85*NA94</f>
        <v>-23057.2946436008</v>
      </c>
      <c r="NB95" s="0" t="n">
        <f aca="false">-NB85*NB94</f>
        <v>-21167.3162504773</v>
      </c>
      <c r="NC95" s="0" t="n">
        <f aca="false">-NC85*NC94</f>
        <v>-20448.5488774463</v>
      </c>
      <c r="ND95" s="0" t="n">
        <f aca="false">-ND85*ND94</f>
        <v>-21326.3250629367</v>
      </c>
      <c r="NE95" s="0" t="n">
        <f aca="false">-NE85*NE94</f>
        <v>-23193.0907194271</v>
      </c>
      <c r="NF95" s="0" t="n">
        <f aca="false">-NF85*NF94</f>
        <v>-18733.2048365127</v>
      </c>
      <c r="NG95" s="0" t="n">
        <f aca="false">-NG85*NG94</f>
        <v>-16262.3619180907</v>
      </c>
      <c r="NH95" s="0" t="n">
        <f aca="false">-NH85*NH94</f>
        <v>-17415.7519381358</v>
      </c>
      <c r="NI95" s="0" t="n">
        <f aca="false">-NI85*NI94</f>
        <v>-12856.3313964094</v>
      </c>
      <c r="NJ95" s="0" t="n">
        <f aca="false">-NJ85*NJ94</f>
        <v>-17863.852935898</v>
      </c>
      <c r="NK95" s="0" t="n">
        <f aca="false">-NK85*NK94</f>
        <v>-19285.3100961751</v>
      </c>
      <c r="NL95" s="0" t="n">
        <f aca="false">-NL85*NL94</f>
        <v>-21751.9747821755</v>
      </c>
      <c r="NM95" s="0" t="n">
        <f aca="false">-NM85*NM94</f>
        <v>-20009.4536033271</v>
      </c>
      <c r="NN95" s="0" t="n">
        <f aca="false">-NN85*NN94</f>
        <v>-19943.7523223838</v>
      </c>
      <c r="NO95" s="0" t="n">
        <f aca="false">-NO85*NO94</f>
        <v>-15348.7231081175</v>
      </c>
      <c r="NP95" s="0" t="n">
        <f aca="false">-NP85*NP94</f>
        <v>-21053.3076700385</v>
      </c>
      <c r="NQ95" s="0" t="n">
        <f aca="false">-NQ85*NQ94</f>
        <v>-16309.4027934767</v>
      </c>
      <c r="NR95" s="0" t="n">
        <f aca="false">-NR85*NR94</f>
        <v>-20889.9983588905</v>
      </c>
      <c r="NS95" s="0" t="n">
        <f aca="false">-NS85*NS94</f>
        <v>-14790.0519758095</v>
      </c>
      <c r="NT95" s="0" t="n">
        <f aca="false">-NT85*NT94</f>
        <v>-11084.0631297689</v>
      </c>
      <c r="NU95" s="0" t="n">
        <f aca="false">-NU85*NU94</f>
        <v>-14770.6563365189</v>
      </c>
      <c r="NV95" s="0" t="n">
        <f aca="false">-NV85*NV94</f>
        <v>-17378.9944664891</v>
      </c>
      <c r="NW95" s="0" t="n">
        <f aca="false">-NW85*NW94</f>
        <v>-15960.5010588438</v>
      </c>
      <c r="NX95" s="0" t="n">
        <f aca="false">-NX85*NX94</f>
        <v>-17366.3861078152</v>
      </c>
      <c r="NY95" s="0" t="n">
        <f aca="false">-NY85*NY94</f>
        <v>-18417.0723454598</v>
      </c>
      <c r="NZ95" s="0" t="n">
        <f aca="false">-NZ85*NZ94</f>
        <v>-18159.5624885259</v>
      </c>
      <c r="OA95" s="0" t="n">
        <f aca="false">-OA85*OA94</f>
        <v>-20593.8394042209</v>
      </c>
      <c r="OB95" s="0" t="n">
        <f aca="false">-OB85*OB94</f>
        <v>-18539.1690492331</v>
      </c>
      <c r="OC95" s="0" t="n">
        <f aca="false">-OC85*OC94</f>
        <v>-18767.6577130805</v>
      </c>
      <c r="OD95" s="0" t="n">
        <f aca="false">-OD85*OD94</f>
        <v>-18001.1921002651</v>
      </c>
      <c r="OE95" s="0" t="n">
        <f aca="false">-OE85*OE94</f>
        <v>-17005.5905110194</v>
      </c>
      <c r="OF95" s="0" t="n">
        <f aca="false">-OF85*OF94</f>
        <v>-18988.3765050923</v>
      </c>
      <c r="OG95" s="0" t="n">
        <f aca="false">-OG85*OG94</f>
        <v>-21769.5754259685</v>
      </c>
      <c r="OH95" s="0" t="n">
        <f aca="false">-OH85*OH94</f>
        <v>-16548.7723320333</v>
      </c>
      <c r="OI95" s="0" t="n">
        <f aca="false">-OI85*OI94</f>
        <v>-17445.8236067747</v>
      </c>
      <c r="OJ95" s="0" t="n">
        <f aca="false">-OJ85*OJ94</f>
        <v>-13810.9028129596</v>
      </c>
      <c r="OK95" s="0" t="n">
        <f aca="false">-OK85*OK94</f>
        <v>-17672.5084275194</v>
      </c>
      <c r="OL95" s="0" t="n">
        <f aca="false">-OL85*OL94</f>
        <v>-20242.0511590586</v>
      </c>
      <c r="OM95" s="0" t="n">
        <f aca="false">-OM85*OM94</f>
        <v>-15133.9570345476</v>
      </c>
      <c r="ON95" s="0" t="n">
        <f aca="false">-ON85*ON94</f>
        <v>-18572.0818386502</v>
      </c>
      <c r="OO95" s="0" t="n">
        <f aca="false">-OO85*OO94</f>
        <v>-21310.5256356156</v>
      </c>
      <c r="OP95" s="0" t="n">
        <f aca="false">-OP85*OP94</f>
        <v>-17443.9942454703</v>
      </c>
      <c r="OQ95" s="0" t="n">
        <f aca="false">-OQ85*OQ94</f>
        <v>-19480.0986067266</v>
      </c>
      <c r="OR95" s="0" t="n">
        <f aca="false">-OR85*OR94</f>
        <v>-17166.5760700974</v>
      </c>
      <c r="OS95" s="0" t="n">
        <f aca="false">-OS85*OS94</f>
        <v>-13710.5328527699</v>
      </c>
      <c r="OT95" s="0" t="n">
        <f aca="false">-OT85*OT94</f>
        <v>-21921.3021325885</v>
      </c>
      <c r="OU95" s="0" t="n">
        <f aca="false">-OU85*OU94</f>
        <v>-18662.7606924506</v>
      </c>
      <c r="OV95" s="0" t="n">
        <f aca="false">-OV85*OV94</f>
        <v>-15777.7212568847</v>
      </c>
      <c r="OW95" s="0" t="n">
        <f aca="false">-OW85*OW94</f>
        <v>-17687.3579342491</v>
      </c>
      <c r="OX95" s="0" t="n">
        <f aca="false">-OX85*OX94</f>
        <v>-16223.3707962657</v>
      </c>
      <c r="OY95" s="0" t="n">
        <f aca="false">-OY85*OY94</f>
        <v>-18497.8041568646</v>
      </c>
      <c r="OZ95" s="0" t="n">
        <f aca="false">-OZ85*OZ94</f>
        <v>-20973.6440633645</v>
      </c>
      <c r="PA95" s="0" t="n">
        <f aca="false">-PA85*PA94</f>
        <v>-13075.8997882437</v>
      </c>
      <c r="PB95" s="0" t="n">
        <f aca="false">-PB85*PB94</f>
        <v>-18642.2020259673</v>
      </c>
      <c r="PC95" s="0" t="n">
        <f aca="false">-PC85*PC94</f>
        <v>-19959.9949865959</v>
      </c>
      <c r="PD95" s="0" t="n">
        <f aca="false">-PD85*PD94</f>
        <v>-15969.255605019</v>
      </c>
      <c r="PE95" s="0" t="n">
        <f aca="false">-PE85*PE94</f>
        <v>-18016.3169015985</v>
      </c>
      <c r="PF95" s="0" t="n">
        <f aca="false">-PF85*PF94</f>
        <v>-17857.9035326101</v>
      </c>
      <c r="PG95" s="0" t="n">
        <f aca="false">-PG85*PG94</f>
        <v>-19270.6350667959</v>
      </c>
      <c r="PH95" s="0" t="n">
        <f aca="false">-PH85*PH94</f>
        <v>-18139.2693476913</v>
      </c>
      <c r="PI95" s="0" t="n">
        <f aca="false">-PI85*PI94</f>
        <v>-15254.6783006994</v>
      </c>
      <c r="PJ95" s="0" t="n">
        <f aca="false">-PJ85*PJ94</f>
        <v>-14761.3956834417</v>
      </c>
      <c r="PK95" s="0" t="n">
        <f aca="false">-PK85*PK94</f>
        <v>-20513.9425720359</v>
      </c>
      <c r="PL95" s="0" t="n">
        <f aca="false">-PL85*PL94</f>
        <v>-20237.0674734516</v>
      </c>
      <c r="PM95" s="0" t="n">
        <f aca="false">-PM85*PM94</f>
        <v>-16675.4190471774</v>
      </c>
      <c r="PN95" s="0" t="n">
        <f aca="false">-PN85*PN94</f>
        <v>-22241.8106066649</v>
      </c>
      <c r="PO95" s="0" t="n">
        <f aca="false">-PO85*PO94</f>
        <v>-18265.6202430418</v>
      </c>
      <c r="PP95" s="0" t="n">
        <f aca="false">-PP85*PP94</f>
        <v>-17339.4793966844</v>
      </c>
      <c r="PQ95" s="0" t="n">
        <f aca="false">-PQ85*PQ94</f>
        <v>-19719.9610745892</v>
      </c>
      <c r="PR95" s="0" t="n">
        <f aca="false">-PR85*PR94</f>
        <v>-20975.3501374736</v>
      </c>
      <c r="PS95" s="0" t="n">
        <f aca="false">-PS85*PS94</f>
        <v>-21966.3909612056</v>
      </c>
      <c r="PT95" s="0" t="n">
        <f aca="false">-PT85*PT94</f>
        <v>-16749.4591211123</v>
      </c>
      <c r="PU95" s="0" t="n">
        <f aca="false">-PU85*PU94</f>
        <v>-18371.9866034256</v>
      </c>
      <c r="PV95" s="0" t="n">
        <f aca="false">-PV85*PV94</f>
        <v>-19294.4533149677</v>
      </c>
      <c r="PW95" s="0" t="n">
        <f aca="false">-PW85*PW94</f>
        <v>-15384.476134934</v>
      </c>
      <c r="PX95" s="0" t="n">
        <f aca="false">-PX85*PX94</f>
        <v>-20458.2370761527</v>
      </c>
      <c r="PY95" s="0" t="n">
        <f aca="false">-PY85*PY94</f>
        <v>-14708.6102229969</v>
      </c>
      <c r="PZ95" s="0" t="n">
        <f aca="false">-PZ85*PZ94</f>
        <v>-15119.6889948169</v>
      </c>
      <c r="QA95" s="0" t="n">
        <f aca="false">-QA85*QA94</f>
        <v>-17758.1659693494</v>
      </c>
      <c r="QB95" s="0" t="n">
        <f aca="false">-QB85*QB94</f>
        <v>-16745.4051518326</v>
      </c>
      <c r="QC95" s="0" t="n">
        <f aca="false">-QC85*QC94</f>
        <v>-19383.0513192095</v>
      </c>
      <c r="QD95" s="0" t="n">
        <f aca="false">-QD85*QD94</f>
        <v>-18242.2883500396</v>
      </c>
      <c r="QE95" s="0" t="n">
        <f aca="false">-QE85*QE94</f>
        <v>-18757.2030346266</v>
      </c>
      <c r="QF95" s="0" t="n">
        <f aca="false">-QF85*QF94</f>
        <v>-19357.097600978</v>
      </c>
      <c r="QG95" s="0" t="n">
        <f aca="false">-QG85*QG94</f>
        <v>-19399.7700806468</v>
      </c>
      <c r="QH95" s="0" t="n">
        <f aca="false">-QH85*QH94</f>
        <v>-16552.4128278642</v>
      </c>
      <c r="QI95" s="0" t="n">
        <f aca="false">-QI85*QI94</f>
        <v>-16513.2575201662</v>
      </c>
      <c r="QJ95" s="0" t="n">
        <f aca="false">-QJ85*QJ94</f>
        <v>-15264.5837463703</v>
      </c>
      <c r="QK95" s="0" t="n">
        <f aca="false">-QK85*QK94</f>
        <v>-18020.3482482762</v>
      </c>
      <c r="QL95" s="0" t="n">
        <f aca="false">-QL85*QL94</f>
        <v>-13710.3456881511</v>
      </c>
      <c r="QM95" s="0" t="n">
        <f aca="false">-QM85*QM94</f>
        <v>-17008.4804369191</v>
      </c>
      <c r="QN95" s="0" t="n">
        <f aca="false">-QN85*QN94</f>
        <v>-18753.1162181223</v>
      </c>
      <c r="QO95" s="0" t="n">
        <f aca="false">-QO85*QO94</f>
        <v>-17203.118371469</v>
      </c>
      <c r="QP95" s="0" t="n">
        <f aca="false">-QP85*QP94</f>
        <v>-13508.6708063453</v>
      </c>
      <c r="QQ95" s="0" t="n">
        <f aca="false">-QQ85*QQ94</f>
        <v>-18086.1978284399</v>
      </c>
      <c r="QR95" s="0" t="n">
        <f aca="false">-QR85*QR94</f>
        <v>-16372.2059948551</v>
      </c>
      <c r="QS95" s="0" t="n">
        <f aca="false">-QS85*QS94</f>
        <v>-13330.8743875284</v>
      </c>
      <c r="QT95" s="0" t="n">
        <f aca="false">-QT85*QT94</f>
        <v>-16789.755957744</v>
      </c>
      <c r="QU95" s="0" t="n">
        <f aca="false">-QU85*QU94</f>
        <v>-17808.9980971086</v>
      </c>
      <c r="QV95" s="0" t="n">
        <f aca="false">-QV85*QV94</f>
        <v>-19354.6385740505</v>
      </c>
      <c r="QW95" s="0" t="n">
        <f aca="false">-QW85*QW94</f>
        <v>-19065.4641357803</v>
      </c>
      <c r="QX95" s="0" t="n">
        <f aca="false">-QX85*QX94</f>
        <v>-24553.9783288481</v>
      </c>
      <c r="QY95" s="0" t="n">
        <f aca="false">-QY85*QY94</f>
        <v>-19906.9970040661</v>
      </c>
      <c r="QZ95" s="0" t="n">
        <f aca="false">-QZ85*QZ94</f>
        <v>-16791.122086358</v>
      </c>
      <c r="RA95" s="0" t="n">
        <f aca="false">-RA85*RA94</f>
        <v>-20907.0926471835</v>
      </c>
      <c r="RB95" s="0" t="n">
        <f aca="false">-RB85*RB94</f>
        <v>-18788.0229590951</v>
      </c>
      <c r="RC95" s="0" t="n">
        <f aca="false">-RC85*RC94</f>
        <v>-16211.8632213347</v>
      </c>
      <c r="RD95" s="0" t="n">
        <f aca="false">-RD85*RD94</f>
        <v>-15363.3192255242</v>
      </c>
      <c r="RE95" s="0" t="n">
        <f aca="false">-RE85*RE94</f>
        <v>-15965.9823539039</v>
      </c>
      <c r="RF95" s="0" t="n">
        <f aca="false">-RF85*RF94</f>
        <v>-17436.018307554</v>
      </c>
      <c r="RG95" s="0" t="n">
        <f aca="false">-RG85*RG94</f>
        <v>-15659.8292734184</v>
      </c>
      <c r="RH95" s="0" t="n">
        <f aca="false">-RH85*RH94</f>
        <v>-17466.5660867138</v>
      </c>
      <c r="RI95" s="0" t="n">
        <f aca="false">-RI85*RI94</f>
        <v>-15672.5400471255</v>
      </c>
      <c r="RJ95" s="0" t="n">
        <f aca="false">-RJ85*RJ94</f>
        <v>-14570.7315528917</v>
      </c>
      <c r="RK95" s="0" t="n">
        <f aca="false">-RK85*RK94</f>
        <v>-19912.2177242445</v>
      </c>
      <c r="RL95" s="0" t="n">
        <f aca="false">-RL85*RL94</f>
        <v>-22967.3368096536</v>
      </c>
      <c r="RM95" s="0" t="n">
        <f aca="false">-RM85*RM94</f>
        <v>-14620.9584428123</v>
      </c>
      <c r="RN95" s="0" t="n">
        <f aca="false">-RN85*RN94</f>
        <v>-15973.9630884369</v>
      </c>
      <c r="RO95" s="0" t="n">
        <f aca="false">-RO85*RO94</f>
        <v>-19986.1225855324</v>
      </c>
      <c r="RP95" s="0" t="n">
        <f aca="false">-RP85*RP94</f>
        <v>-18472.815753814</v>
      </c>
      <c r="RQ95" s="0" t="n">
        <f aca="false">-RQ85*RQ94</f>
        <v>-17776.3734728674</v>
      </c>
      <c r="RR95" s="0" t="n">
        <f aca="false">-RR85*RR94</f>
        <v>-20780.6779751444</v>
      </c>
      <c r="RS95" s="0" t="n">
        <f aca="false">-RS85*RS94</f>
        <v>-17675.9056719068</v>
      </c>
      <c r="RT95" s="0" t="n">
        <f aca="false">-RT85*RT94</f>
        <v>-16763.7231183988</v>
      </c>
      <c r="RU95" s="0" t="n">
        <f aca="false">-RU85*RU94</f>
        <v>-19102.2478336043</v>
      </c>
      <c r="RV95" s="0" t="n">
        <f aca="false">-RV85*RV94</f>
        <v>-21230.7252220093</v>
      </c>
      <c r="RW95" s="0" t="n">
        <f aca="false">-RW85*RW94</f>
        <v>-18873.1182831419</v>
      </c>
      <c r="RX95" s="0" t="n">
        <f aca="false">-RX85*RX94</f>
        <v>-20603.2129658627</v>
      </c>
      <c r="RY95" s="0" t="n">
        <f aca="false">-RY85*RY94</f>
        <v>-17111.9496540452</v>
      </c>
      <c r="RZ95" s="0" t="n">
        <f aca="false">-RZ85*RZ94</f>
        <v>-17797.7947743005</v>
      </c>
      <c r="SA95" s="0" t="n">
        <f aca="false">-SA85*SA94</f>
        <v>-19594.3123187122</v>
      </c>
      <c r="SB95" s="0" t="n">
        <f aca="false">-SB85*SB94</f>
        <v>-18110.3867993615</v>
      </c>
      <c r="SC95" s="0" t="n">
        <f aca="false">-SC85*SC94</f>
        <v>-20391.6715002563</v>
      </c>
      <c r="SD95" s="0" t="n">
        <f aca="false">-SD85*SD94</f>
        <v>-15893.4831038196</v>
      </c>
      <c r="SE95" s="0" t="n">
        <f aca="false">-SE85*SE94</f>
        <v>-16149.3798667687</v>
      </c>
      <c r="SF95" s="0" t="n">
        <f aca="false">-SF85*SF94</f>
        <v>-17096.2542075834</v>
      </c>
      <c r="SG95" s="0" t="n">
        <f aca="false">-SG85*SG94</f>
        <v>-17457.7133757573</v>
      </c>
      <c r="SH95" s="0" t="n">
        <f aca="false">-SH85*SH94</f>
        <v>-19872.117439587</v>
      </c>
      <c r="SI95" s="0" t="n">
        <f aca="false">-SI85*SI94</f>
        <v>-16959.6406234745</v>
      </c>
      <c r="SJ95" s="0" t="n">
        <f aca="false">-SJ85*SJ94</f>
        <v>-18411.6174652227</v>
      </c>
      <c r="SK95" s="0" t="n">
        <f aca="false">-SK85*SK94</f>
        <v>-16637.0767229711</v>
      </c>
      <c r="SL95" s="0" t="n">
        <f aca="false">-SL85*SL94</f>
        <v>-17361.1114181541</v>
      </c>
      <c r="SM95" s="0" t="n">
        <f aca="false">-SM85*SM94</f>
        <v>-18916.1625754358</v>
      </c>
      <c r="SN95" s="0" t="n">
        <f aca="false">-SN85*SN94</f>
        <v>-13524.187192685</v>
      </c>
      <c r="SO95" s="0" t="n">
        <f aca="false">-SO85*SO94</f>
        <v>-17065.390973795</v>
      </c>
      <c r="SP95" s="0" t="n">
        <f aca="false">-SP85*SP94</f>
        <v>-15683.3149225293</v>
      </c>
      <c r="SQ95" s="0" t="n">
        <f aca="false">-SQ85*SQ94</f>
        <v>-20442.8135523903</v>
      </c>
      <c r="SR95" s="0" t="n">
        <f aca="false">-SR85*SR94</f>
        <v>-15099.2575679664</v>
      </c>
      <c r="SS95" s="0" t="n">
        <f aca="false">-SS85*SS94</f>
        <v>-19555.1362761872</v>
      </c>
      <c r="ST95" s="0" t="n">
        <f aca="false">-ST85*ST94</f>
        <v>-18172.3837897896</v>
      </c>
      <c r="SU95" s="0" t="n">
        <f aca="false">-SU85*SU94</f>
        <v>-14486.2560725445</v>
      </c>
      <c r="SV95" s="0" t="n">
        <f aca="false">-SV85*SV94</f>
        <v>-16185.6140367335</v>
      </c>
      <c r="SW95" s="0" t="n">
        <f aca="false">-SW85*SW94</f>
        <v>-21024.250214196</v>
      </c>
      <c r="SX95" s="0" t="n">
        <f aca="false">-SX85*SX94</f>
        <v>-18885.5005671268</v>
      </c>
      <c r="SY95" s="0" t="n">
        <f aca="false">-SY85*SY94</f>
        <v>-18359.5004078688</v>
      </c>
      <c r="SZ95" s="0" t="n">
        <f aca="false">-SZ85*SZ94</f>
        <v>-22204.0450140568</v>
      </c>
      <c r="TA95" s="0" t="n">
        <f aca="false">-TA85*TA94</f>
        <v>-16223.5853433184</v>
      </c>
      <c r="TB95" s="0" t="n">
        <f aca="false">-TB85*TB94</f>
        <v>-17220.0678166881</v>
      </c>
      <c r="TC95" s="0" t="n">
        <f aca="false">-TC85*TC94</f>
        <v>-16466.0238431355</v>
      </c>
      <c r="TD95" s="0" t="n">
        <f aca="false">-TD85*TD94</f>
        <v>-21793.5229726042</v>
      </c>
      <c r="TE95" s="0" t="n">
        <f aca="false">-TE85*TE94</f>
        <v>-11453.4798473677</v>
      </c>
      <c r="TF95" s="0" t="n">
        <f aca="false">-TF85*TF94</f>
        <v>-19046.1734235498</v>
      </c>
      <c r="TG95" s="0" t="n">
        <f aca="false">-TG85*TG94</f>
        <v>-18504.0587616098</v>
      </c>
      <c r="TH95" s="0" t="n">
        <f aca="false">-TH85*TH94</f>
        <v>-17034.5347352662</v>
      </c>
      <c r="TI95" s="0" t="n">
        <f aca="false">-TI85*TI94</f>
        <v>-20687.1086028615</v>
      </c>
      <c r="TJ95" s="0" t="n">
        <f aca="false">-TJ85*TJ94</f>
        <v>-13748.2728555105</v>
      </c>
      <c r="TK95" s="0" t="n">
        <f aca="false">-TK85*TK94</f>
        <v>-19746.2842007643</v>
      </c>
      <c r="TL95" s="0" t="n">
        <f aca="false">-TL85*TL94</f>
        <v>-11812.7220633925</v>
      </c>
      <c r="TM95" s="0" t="n">
        <f aca="false">-TM85*TM94</f>
        <v>-18776.3592237579</v>
      </c>
      <c r="TN95" s="0" t="n">
        <f aca="false">-TN85*TN94</f>
        <v>-18063.1183187303</v>
      </c>
      <c r="TO95" s="0" t="n">
        <f aca="false">-TO85*TO94</f>
        <v>-19320.8640516214</v>
      </c>
      <c r="TP95" s="0" t="n">
        <f aca="false">-TP85*TP94</f>
        <v>-17295.0855438743</v>
      </c>
      <c r="TQ95" s="0" t="n">
        <f aca="false">-TQ85*TQ94</f>
        <v>-12944.3619017154</v>
      </c>
      <c r="TR95" s="0" t="n">
        <f aca="false">-TR85*TR94</f>
        <v>-21314.3434567807</v>
      </c>
      <c r="TS95" s="0" t="n">
        <f aca="false">-TS85*TS94</f>
        <v>-22791.0603752712</v>
      </c>
      <c r="TT95" s="0" t="n">
        <f aca="false">-TT85*TT94</f>
        <v>-17246.280183514</v>
      </c>
      <c r="TU95" s="0" t="n">
        <f aca="false">-TU85*TU94</f>
        <v>-18541.2324284851</v>
      </c>
      <c r="TV95" s="0" t="n">
        <f aca="false">-TV85*TV94</f>
        <v>-18947.3818111148</v>
      </c>
      <c r="TW95" s="0" t="n">
        <f aca="false">-TW85*TW94</f>
        <v>-19246.4762840301</v>
      </c>
      <c r="TX95" s="0" t="n">
        <f aca="false">-TX85*TX94</f>
        <v>-19159.0460151479</v>
      </c>
      <c r="TY95" s="0" t="n">
        <f aca="false">-TY85*TY94</f>
        <v>-22930.7123295336</v>
      </c>
      <c r="TZ95" s="0" t="n">
        <f aca="false">-TZ85*TZ94</f>
        <v>-16779.1117562527</v>
      </c>
      <c r="UA95" s="0" t="n">
        <f aca="false">-UA85*UA94</f>
        <v>-17303.7880122421</v>
      </c>
      <c r="UB95" s="0" t="n">
        <f aca="false">-UB85*UB94</f>
        <v>-20738.0409016451</v>
      </c>
      <c r="UC95" s="0" t="n">
        <f aca="false">-UC85*UC94</f>
        <v>-13174.4720032439</v>
      </c>
      <c r="UD95" s="0" t="n">
        <f aca="false">-UD85*UD94</f>
        <v>-14946.3056794123</v>
      </c>
      <c r="UE95" s="0" t="n">
        <f aca="false">-UE85*UE94</f>
        <v>-18631.1183632391</v>
      </c>
      <c r="UF95" s="0" t="n">
        <f aca="false">-UF85*UF94</f>
        <v>-17775.8279903243</v>
      </c>
      <c r="UG95" s="0" t="n">
        <f aca="false">-UG85*UG94</f>
        <v>-17316.4829348566</v>
      </c>
      <c r="UH95" s="0" t="n">
        <f aca="false">-UH85*UH94</f>
        <v>-17110.1092898148</v>
      </c>
      <c r="UI95" s="0" t="n">
        <f aca="false">-UI85*UI94</f>
        <v>-19182.9444298396</v>
      </c>
      <c r="UJ95" s="0" t="n">
        <f aca="false">-UJ85*UJ94</f>
        <v>-16502.4535273801</v>
      </c>
      <c r="UK95" s="0" t="n">
        <f aca="false">-UK85*UK94</f>
        <v>-20283.3978341143</v>
      </c>
      <c r="UL95" s="0" t="n">
        <f aca="false">-UL85*UL94</f>
        <v>-16349.873174659</v>
      </c>
      <c r="UM95" s="0" t="n">
        <f aca="false">-UM85*UM94</f>
        <v>-14405.4673837513</v>
      </c>
      <c r="UN95" s="0" t="n">
        <f aca="false">-UN85*UN94</f>
        <v>-18046.1901390792</v>
      </c>
      <c r="UO95" s="0" t="n">
        <f aca="false">-UO85*UO94</f>
        <v>-20844.2837663333</v>
      </c>
      <c r="UP95" s="0" t="n">
        <f aca="false">-UP85*UP94</f>
        <v>-15257.9631706725</v>
      </c>
      <c r="UQ95" s="0" t="n">
        <f aca="false">-UQ85*UQ94</f>
        <v>-23303.1265578176</v>
      </c>
      <c r="UR95" s="0" t="n">
        <f aca="false">-UR85*UR94</f>
        <v>-17353.6559298364</v>
      </c>
      <c r="US95" s="0" t="n">
        <f aca="false">-US85*US94</f>
        <v>-20205.1500787992</v>
      </c>
      <c r="UT95" s="0" t="n">
        <f aca="false">-UT85*UT94</f>
        <v>-16977.5553596371</v>
      </c>
      <c r="UU95" s="0" t="n">
        <f aca="false">-UU85*UU94</f>
        <v>-15978.3805687391</v>
      </c>
      <c r="UV95" s="0" t="n">
        <f aca="false">-UV85*UV94</f>
        <v>-19834.6258237518</v>
      </c>
      <c r="UW95" s="0" t="n">
        <f aca="false">-UW85*UW94</f>
        <v>-20215.2258013995</v>
      </c>
      <c r="UX95" s="0" t="n">
        <f aca="false">-UX85*UX94</f>
        <v>-17239.1472845853</v>
      </c>
      <c r="UY95" s="0" t="n">
        <f aca="false">-UY85*UY94</f>
        <v>-10668.8961986605</v>
      </c>
      <c r="UZ95" s="0" t="n">
        <f aca="false">-UZ85*UZ94</f>
        <v>-14766.6519062726</v>
      </c>
      <c r="VA95" s="0" t="n">
        <f aca="false">-VA85*VA94</f>
        <v>-15333.3340525151</v>
      </c>
      <c r="VB95" s="0" t="n">
        <f aca="false">-VB85*VB94</f>
        <v>-13792.8170423578</v>
      </c>
      <c r="VC95" s="0" t="n">
        <f aca="false">-VC85*VC94</f>
        <v>-15407.9475026735</v>
      </c>
      <c r="VD95" s="0" t="n">
        <f aca="false">-VD85*VD94</f>
        <v>-18414.3238550238</v>
      </c>
      <c r="VE95" s="0" t="n">
        <f aca="false">-VE85*VE94</f>
        <v>-15447.8703066391</v>
      </c>
      <c r="VF95" s="0" t="n">
        <f aca="false">-VF85*VF94</f>
        <v>-20396.0618293824</v>
      </c>
      <c r="VG95" s="0" t="n">
        <f aca="false">-VG85*VG94</f>
        <v>-18130.5432906129</v>
      </c>
      <c r="VH95" s="0" t="n">
        <f aca="false">-VH85*VH94</f>
        <v>-21610.0522413186</v>
      </c>
      <c r="VI95" s="0" t="n">
        <f aca="false">-VI85*VI94</f>
        <v>-14460.3635452</v>
      </c>
      <c r="VJ95" s="0" t="n">
        <f aca="false">-VJ85*VJ94</f>
        <v>-22846.0539421812</v>
      </c>
      <c r="VK95" s="0" t="n">
        <f aca="false">-VK85*VK94</f>
        <v>-19488.1888302562</v>
      </c>
      <c r="VL95" s="0" t="n">
        <f aca="false">-VL85*VL94</f>
        <v>-18926.0379180542</v>
      </c>
      <c r="VM95" s="0" t="n">
        <f aca="false">-VM85*VM94</f>
        <v>-19287.4253304702</v>
      </c>
      <c r="VN95" s="0" t="n">
        <f aca="false">-VN85*VN94</f>
        <v>-17969.9286677103</v>
      </c>
      <c r="VO95" s="0" t="n">
        <f aca="false">-VO85*VO94</f>
        <v>-14462.361351535</v>
      </c>
      <c r="VP95" s="0" t="n">
        <f aca="false">-VP85*VP94</f>
        <v>-17229.2676198445</v>
      </c>
      <c r="VQ95" s="0" t="n">
        <f aca="false">-VQ85*VQ94</f>
        <v>-13943.873287009</v>
      </c>
      <c r="VR95" s="0" t="n">
        <f aca="false">-VR85*VR94</f>
        <v>-17458.4789016948</v>
      </c>
      <c r="VS95" s="0" t="n">
        <f aca="false">-VS85*VS94</f>
        <v>-18101.6810458884</v>
      </c>
      <c r="VT95" s="0" t="n">
        <f aca="false">-VT85*VT94</f>
        <v>-17576.7685335555</v>
      </c>
      <c r="VU95" s="0" t="n">
        <f aca="false">-VU85*VU94</f>
        <v>-20285.7845468462</v>
      </c>
      <c r="VV95" s="0" t="n">
        <f aca="false">-VV85*VV94</f>
        <v>-22437.6980061824</v>
      </c>
      <c r="VW95" s="0" t="n">
        <f aca="false">-VW85*VW94</f>
        <v>-16527.3687404619</v>
      </c>
      <c r="VX95" s="0" t="n">
        <f aca="false">-VX85*VX94</f>
        <v>-20085.4556428394</v>
      </c>
      <c r="VY95" s="0" t="n">
        <f aca="false">-VY85*VY94</f>
        <v>-18804.6363397485</v>
      </c>
      <c r="VZ95" s="0" t="n">
        <f aca="false">-VZ85*VZ94</f>
        <v>-16583.5184083151</v>
      </c>
      <c r="WA95" s="0" t="n">
        <f aca="false">-WA85*WA94</f>
        <v>-21228.1381812487</v>
      </c>
      <c r="WB95" s="0" t="n">
        <f aca="false">-WB85*WB94</f>
        <v>-16709.8516034046</v>
      </c>
      <c r="WC95" s="0" t="n">
        <f aca="false">-WC85*WC94</f>
        <v>-16205.0060821848</v>
      </c>
      <c r="WD95" s="0" t="n">
        <f aca="false">-WD85*WD94</f>
        <v>-15769.4768097472</v>
      </c>
      <c r="WE95" s="0" t="n">
        <f aca="false">-WE85*WE94</f>
        <v>-19270.8270287263</v>
      </c>
      <c r="WF95" s="0" t="n">
        <f aca="false">-WF85*WF94</f>
        <v>-14243.0220363316</v>
      </c>
      <c r="WG95" s="0" t="n">
        <f aca="false">-WG85*WG94</f>
        <v>-19398.8446376499</v>
      </c>
      <c r="WH95" s="0" t="n">
        <f aca="false">-WH85*WH94</f>
        <v>-18330.9511495205</v>
      </c>
      <c r="WI95" s="0" t="n">
        <f aca="false">-WI85*WI94</f>
        <v>-16895.2001250184</v>
      </c>
      <c r="WJ95" s="0" t="n">
        <f aca="false">-WJ85*WJ94</f>
        <v>-16069.3093816906</v>
      </c>
      <c r="WK95" s="0" t="n">
        <f aca="false">-WK85*WK94</f>
        <v>-21720.9556349407</v>
      </c>
      <c r="WL95" s="0" t="n">
        <f aca="false">-WL85*WL94</f>
        <v>-21150.6018266465</v>
      </c>
      <c r="WM95" s="0" t="n">
        <f aca="false">-WM85*WM94</f>
        <v>-20130.7313257572</v>
      </c>
      <c r="WN95" s="0" t="n">
        <f aca="false">-WN85*WN94</f>
        <v>-20847.7926947416</v>
      </c>
      <c r="WO95" s="0" t="n">
        <f aca="false">-WO85*WO94</f>
        <v>-19479.6121442483</v>
      </c>
      <c r="WP95" s="0" t="n">
        <f aca="false">-WP85*WP94</f>
        <v>-18110.1655340877</v>
      </c>
      <c r="WQ95" s="0" t="n">
        <f aca="false">-WQ85*WQ94</f>
        <v>-19608.3733196903</v>
      </c>
      <c r="WR95" s="0" t="n">
        <f aca="false">-WR85*WR94</f>
        <v>-18689.4899062601</v>
      </c>
      <c r="WS95" s="0" t="n">
        <f aca="false">-WS85*WS94</f>
        <v>-10756.5170343697</v>
      </c>
      <c r="WT95" s="0" t="n">
        <f aca="false">-WT85*WT94</f>
        <v>-19073.9536677904</v>
      </c>
      <c r="WU95" s="0" t="n">
        <f aca="false">-WU85*WU94</f>
        <v>-16854.0442436258</v>
      </c>
      <c r="WV95" s="0" t="n">
        <f aca="false">-WV85*WV94</f>
        <v>-17622.2919270608</v>
      </c>
      <c r="WW95" s="0" t="n">
        <f aca="false">-WW85*WW94</f>
        <v>-15469.9047171488</v>
      </c>
      <c r="WX95" s="0" t="n">
        <f aca="false">-WX85*WX94</f>
        <v>-17297.7847140833</v>
      </c>
      <c r="WY95" s="0" t="n">
        <f aca="false">-WY85*WY94</f>
        <v>-16693.79300365</v>
      </c>
      <c r="WZ95" s="0" t="n">
        <f aca="false">-WZ85*WZ94</f>
        <v>-17955.1151451891</v>
      </c>
      <c r="XA95" s="0" t="n">
        <f aca="false">-XA85*XA94</f>
        <v>-17631.5873069974</v>
      </c>
      <c r="XB95" s="0" t="n">
        <f aca="false">-XB85*XB94</f>
        <v>-15205.745487679</v>
      </c>
      <c r="XC95" s="0" t="n">
        <f aca="false">-XC85*XC94</f>
        <v>-19730.5427747905</v>
      </c>
      <c r="XD95" s="0" t="n">
        <f aca="false">-XD85*XD94</f>
        <v>-19087.4514458092</v>
      </c>
      <c r="XE95" s="0" t="n">
        <f aca="false">-XE85*XE94</f>
        <v>-15613.2443820863</v>
      </c>
      <c r="XF95" s="0" t="n">
        <f aca="false">-XF85*XF94</f>
        <v>-21168.5772141174</v>
      </c>
      <c r="XG95" s="0" t="n">
        <f aca="false">-XG85*XG94</f>
        <v>-18513.9397015027</v>
      </c>
      <c r="XH95" s="0" t="n">
        <f aca="false">-XH85*XH94</f>
        <v>-20799.5723727811</v>
      </c>
      <c r="XI95" s="0" t="n">
        <f aca="false">-XI85*XI94</f>
        <v>-14133.1936634833</v>
      </c>
      <c r="XJ95" s="0" t="n">
        <f aca="false">-XJ85*XJ94</f>
        <v>-19453.8258619829</v>
      </c>
      <c r="XK95" s="0" t="n">
        <f aca="false">-XK85*XK94</f>
        <v>-18491.3925063968</v>
      </c>
      <c r="XL95" s="0" t="n">
        <f aca="false">-XL85*XL94</f>
        <v>-17980.9345711624</v>
      </c>
      <c r="XM95" s="0" t="n">
        <f aca="false">-XM85*XM94</f>
        <v>-15481.1726702451</v>
      </c>
      <c r="XN95" s="0" t="n">
        <f aca="false">-XN85*XN94</f>
        <v>-16157.3747833088</v>
      </c>
      <c r="XO95" s="0" t="n">
        <f aca="false">-XO85*XO94</f>
        <v>-16664.2671507361</v>
      </c>
      <c r="XP95" s="0" t="n">
        <f aca="false">-XP85*XP94</f>
        <v>-22257.7991776083</v>
      </c>
      <c r="XQ95" s="0" t="n">
        <f aca="false">-XQ85*XQ94</f>
        <v>-18572.5036252596</v>
      </c>
      <c r="XR95" s="0" t="n">
        <f aca="false">-XR85*XR94</f>
        <v>-17861.9556596252</v>
      </c>
      <c r="XS95" s="0" t="n">
        <f aca="false">-XS85*XS94</f>
        <v>-20305.0103410911</v>
      </c>
      <c r="XT95" s="0" t="n">
        <f aca="false">-XT85*XT94</f>
        <v>-16924.1421028362</v>
      </c>
      <c r="XU95" s="0" t="n">
        <f aca="false">-XU85*XU94</f>
        <v>-21035.6012621075</v>
      </c>
      <c r="XV95" s="0" t="n">
        <f aca="false">-XV85*XV94</f>
        <v>-14811.0677853335</v>
      </c>
      <c r="XW95" s="0" t="n">
        <f aca="false">-XW85*XW94</f>
        <v>-17420.6635566607</v>
      </c>
      <c r="XX95" s="0" t="n">
        <f aca="false">-XX85*XX94</f>
        <v>-19324.4771460109</v>
      </c>
      <c r="XY95" s="0" t="n">
        <f aca="false">-XY85*XY94</f>
        <v>-18938.8971092497</v>
      </c>
      <c r="XZ95" s="0" t="n">
        <f aca="false">-XZ85*XZ94</f>
        <v>-17928.1147647229</v>
      </c>
      <c r="YA95" s="0" t="n">
        <f aca="false">-YA85*YA94</f>
        <v>-21175.5565388798</v>
      </c>
      <c r="YB95" s="0" t="n">
        <f aca="false">-YB85*YB94</f>
        <v>-19068.0218360249</v>
      </c>
      <c r="YC95" s="0" t="n">
        <f aca="false">-YC85*YC94</f>
        <v>-17289.5918615332</v>
      </c>
      <c r="YD95" s="0" t="n">
        <f aca="false">-YD85*YD94</f>
        <v>-10408.3621205932</v>
      </c>
      <c r="YE95" s="0" t="n">
        <f aca="false">-YE85*YE94</f>
        <v>-11684.8252754621</v>
      </c>
      <c r="YF95" s="0" t="n">
        <f aca="false">-YF85*YF94</f>
        <v>-20122.2948760229</v>
      </c>
      <c r="YG95" s="0" t="n">
        <f aca="false">-YG85*YG94</f>
        <v>-13833.3702030516</v>
      </c>
      <c r="YH95" s="0" t="n">
        <f aca="false">-YH85*YH94</f>
        <v>-22984.0243256857</v>
      </c>
      <c r="YI95" s="0" t="n">
        <f aca="false">-YI85*YI94</f>
        <v>-16452.988699239</v>
      </c>
      <c r="YJ95" s="0" t="n">
        <f aca="false">-YJ85*YJ94</f>
        <v>-13918.5582442438</v>
      </c>
      <c r="YK95" s="0" t="n">
        <f aca="false">-YK85*YK94</f>
        <v>-19374.6275516539</v>
      </c>
      <c r="YL95" s="0" t="n">
        <f aca="false">-YL85*YL94</f>
        <v>-21346.9114193275</v>
      </c>
      <c r="YM95" s="0" t="n">
        <f aca="false">-YM85*YM94</f>
        <v>-17797.4384317649</v>
      </c>
      <c r="YN95" s="0" t="n">
        <f aca="false">-YN85*YN94</f>
        <v>-14837.4375685654</v>
      </c>
      <c r="YO95" s="0" t="n">
        <f aca="false">-YO85*YO94</f>
        <v>-16680.714465429</v>
      </c>
      <c r="YP95" s="0" t="n">
        <f aca="false">-YP85*YP94</f>
        <v>-22875.9658363237</v>
      </c>
      <c r="YQ95" s="0" t="n">
        <f aca="false">-YQ85*YQ94</f>
        <v>-17655.0752505446</v>
      </c>
      <c r="YR95" s="0" t="n">
        <f aca="false">-YR85*YR94</f>
        <v>-20284.4475777497</v>
      </c>
      <c r="YS95" s="0" t="n">
        <f aca="false">-YS85*YS94</f>
        <v>-16227.8192577244</v>
      </c>
      <c r="YT95" s="0" t="n">
        <f aca="false">-YT85*YT94</f>
        <v>-15120.808789555</v>
      </c>
      <c r="YU95" s="0" t="n">
        <f aca="false">-YU85*YU94</f>
        <v>-19988.3557734254</v>
      </c>
      <c r="YV95" s="0" t="n">
        <f aca="false">-YV85*YV94</f>
        <v>-16721.2191403293</v>
      </c>
      <c r="YW95" s="0" t="n">
        <f aca="false">-YW85*YW94</f>
        <v>-20413.0976255077</v>
      </c>
      <c r="YX95" s="0" t="n">
        <f aca="false">-YX85*YX94</f>
        <v>-18630.9254966593</v>
      </c>
      <c r="YY95" s="0" t="n">
        <f aca="false">-YY85*YY94</f>
        <v>-16330.0170685476</v>
      </c>
      <c r="YZ95" s="0" t="n">
        <f aca="false">-YZ85*YZ94</f>
        <v>-16440.7378501152</v>
      </c>
      <c r="ZA95" s="0" t="n">
        <f aca="false">-ZA85*ZA94</f>
        <v>-13264.0674322617</v>
      </c>
      <c r="ZB95" s="0" t="n">
        <f aca="false">-ZB85*ZB94</f>
        <v>-14867.2438025879</v>
      </c>
      <c r="ZC95" s="0" t="n">
        <f aca="false">-ZC85*ZC94</f>
        <v>-20079.6528305209</v>
      </c>
      <c r="ZD95" s="0" t="n">
        <f aca="false">-ZD85*ZD94</f>
        <v>-20702.5411604906</v>
      </c>
      <c r="ZE95" s="0" t="n">
        <f aca="false">-ZE85*ZE94</f>
        <v>-18198.3198763785</v>
      </c>
      <c r="ZF95" s="0" t="n">
        <f aca="false">-ZF85*ZF94</f>
        <v>-15574.2409661864</v>
      </c>
      <c r="ZG95" s="0" t="n">
        <f aca="false">-ZG85*ZG94</f>
        <v>-17371.1569006504</v>
      </c>
      <c r="ZH95" s="0" t="n">
        <f aca="false">-ZH85*ZH94</f>
        <v>-22425.7666640087</v>
      </c>
      <c r="ZI95" s="0" t="n">
        <f aca="false">-ZI85*ZI94</f>
        <v>-19461.9788034167</v>
      </c>
      <c r="ZJ95" s="0" t="n">
        <f aca="false">-ZJ85*ZJ94</f>
        <v>-16663.2530180828</v>
      </c>
      <c r="ZK95" s="0" t="n">
        <f aca="false">-ZK85*ZK94</f>
        <v>-15653.2892336989</v>
      </c>
      <c r="ZL95" s="0" t="n">
        <f aca="false">-ZL85*ZL94</f>
        <v>-16394.9631255688</v>
      </c>
      <c r="ZM95" s="0" t="n">
        <f aca="false">-ZM85*ZM94</f>
        <v>-15210.2732284605</v>
      </c>
      <c r="ZN95" s="0" t="n">
        <f aca="false">-ZN85*ZN94</f>
        <v>-12232.1909407546</v>
      </c>
      <c r="ZO95" s="0" t="n">
        <f aca="false">-ZO85*ZO94</f>
        <v>-16021.898968186</v>
      </c>
      <c r="ZP95" s="0" t="n">
        <f aca="false">-ZP85*ZP94</f>
        <v>-13269.0747085779</v>
      </c>
      <c r="ZQ95" s="0" t="n">
        <f aca="false">-ZQ85*ZQ94</f>
        <v>-19071.9439558967</v>
      </c>
      <c r="ZR95" s="0" t="n">
        <f aca="false">-ZR85*ZR94</f>
        <v>-15011.3100635446</v>
      </c>
      <c r="ZS95" s="0" t="n">
        <f aca="false">-ZS85*ZS94</f>
        <v>-22669.9840006097</v>
      </c>
      <c r="ZT95" s="0" t="n">
        <f aca="false">-ZT85*ZT94</f>
        <v>-18531.0844361468</v>
      </c>
      <c r="ZU95" s="0" t="n">
        <f aca="false">-ZU85*ZU94</f>
        <v>-17184.5796228328</v>
      </c>
      <c r="ZV95" s="0" t="n">
        <f aca="false">-ZV85*ZV94</f>
        <v>-17955.7724254835</v>
      </c>
      <c r="ZW95" s="0" t="n">
        <f aca="false">-ZW85*ZW94</f>
        <v>-18583.4658541999</v>
      </c>
      <c r="ZX95" s="0" t="n">
        <f aca="false">-ZX85*ZX94</f>
        <v>-20826.6146492041</v>
      </c>
      <c r="ZY95" s="0" t="n">
        <f aca="false">-ZY85*ZY94</f>
        <v>-15465.5658846193</v>
      </c>
      <c r="ZZ95" s="0" t="n">
        <f aca="false">-ZZ85*ZZ94</f>
        <v>-18219.5014358645</v>
      </c>
      <c r="AAA95" s="0" t="n">
        <f aca="false">-AAA85*AAA94</f>
        <v>-16456.3416382334</v>
      </c>
      <c r="AAB95" s="0" t="n">
        <f aca="false">-AAB85*AAB94</f>
        <v>-18093.1535675941</v>
      </c>
      <c r="AAC95" s="0" t="n">
        <f aca="false">-AAC85*AAC94</f>
        <v>-12553.321184854</v>
      </c>
      <c r="AAD95" s="0" t="n">
        <f aca="false">-AAD85*AAD94</f>
        <v>-20495.1736883572</v>
      </c>
      <c r="AAE95" s="0" t="n">
        <f aca="false">-AAE85*AAE94</f>
        <v>-16438.8851800793</v>
      </c>
      <c r="AAF95" s="0" t="n">
        <f aca="false">-AAF85*AAF94</f>
        <v>-17496.1860781399</v>
      </c>
      <c r="AAG95" s="0" t="n">
        <f aca="false">-AAG85*AAG94</f>
        <v>-15598.4529187239</v>
      </c>
      <c r="AAH95" s="0" t="n">
        <f aca="false">-AAH85*AAH94</f>
        <v>-21016.8303209179</v>
      </c>
      <c r="AAI95" s="0" t="n">
        <f aca="false">-AAI85*AAI94</f>
        <v>-15142.0274571226</v>
      </c>
      <c r="AAJ95" s="0" t="n">
        <f aca="false">-AAJ85*AAJ94</f>
        <v>-18870.0581329242</v>
      </c>
      <c r="AAK95" s="0" t="n">
        <f aca="false">-AAK85*AAK94</f>
        <v>-20543.2710637399</v>
      </c>
      <c r="AAL95" s="0" t="n">
        <f aca="false">-AAL85*AAL94</f>
        <v>-19289.1927933624</v>
      </c>
      <c r="AAM95" s="0" t="n">
        <f aca="false">-AAM85*AAM94</f>
        <v>-15100.6757411637</v>
      </c>
      <c r="AAN95" s="0" t="n">
        <f aca="false">-AAN85*AAN94</f>
        <v>-14908.4403495368</v>
      </c>
      <c r="AAO95" s="0" t="n">
        <f aca="false">-AAO85*AAO94</f>
        <v>-18221.9140269195</v>
      </c>
      <c r="AAP95" s="0" t="n">
        <f aca="false">-AAP85*AAP94</f>
        <v>-14880.6374613077</v>
      </c>
      <c r="AAQ95" s="0" t="n">
        <f aca="false">-AAQ85*AAQ94</f>
        <v>-17737.8174774187</v>
      </c>
      <c r="AAR95" s="0" t="n">
        <f aca="false">-AAR85*AAR94</f>
        <v>-22535.5739453578</v>
      </c>
      <c r="AAS95" s="0" t="n">
        <f aca="false">-AAS85*AAS94</f>
        <v>-18375.7428723343</v>
      </c>
      <c r="AAT95" s="0" t="n">
        <f aca="false">-AAT85*AAT94</f>
        <v>-14982.5219675162</v>
      </c>
      <c r="AAU95" s="0" t="n">
        <f aca="false">-AAU85*AAU94</f>
        <v>-14655.3191044439</v>
      </c>
      <c r="AAV95" s="0" t="n">
        <f aca="false">-AAV85*AAV94</f>
        <v>-18194.8823736916</v>
      </c>
      <c r="AAW95" s="0" t="n">
        <f aca="false">-AAW85*AAW94</f>
        <v>-18583.8864831073</v>
      </c>
      <c r="AAX95" s="0" t="n">
        <f aca="false">-AAX85*AAX94</f>
        <v>-17508.6852127475</v>
      </c>
      <c r="AAY95" s="0" t="n">
        <f aca="false">-AAY85*AAY94</f>
        <v>-19637.0556978586</v>
      </c>
      <c r="AAZ95" s="0" t="n">
        <f aca="false">-AAZ85*AAZ94</f>
        <v>-19388.0589633203</v>
      </c>
      <c r="ABA95" s="0" t="n">
        <f aca="false">-ABA85*ABA94</f>
        <v>-18118.7429743273</v>
      </c>
      <c r="ABB95" s="0" t="n">
        <f aca="false">-ABB85*ABB94</f>
        <v>-19416.3018012587</v>
      </c>
      <c r="ABC95" s="0" t="n">
        <f aca="false">-ABC85*ABC94</f>
        <v>-20330.1601453329</v>
      </c>
      <c r="ABD95" s="0" t="n">
        <f aca="false">-ABD85*ABD94</f>
        <v>-15793.1712800123</v>
      </c>
      <c r="ABE95" s="0" t="n">
        <f aca="false">-ABE85*ABE94</f>
        <v>-20070.7305661722</v>
      </c>
      <c r="ABF95" s="0" t="n">
        <f aca="false">-ABF85*ABF94</f>
        <v>-16654.5151315411</v>
      </c>
      <c r="ABG95" s="0" t="n">
        <f aca="false">-ABG85*ABG94</f>
        <v>-16080.8020843066</v>
      </c>
      <c r="ABH95" s="0" t="n">
        <f aca="false">-ABH85*ABH94</f>
        <v>-16759.0058379358</v>
      </c>
      <c r="ABI95" s="0" t="n">
        <f aca="false">-ABI85*ABI94</f>
        <v>-14936.9096943264</v>
      </c>
      <c r="ABJ95" s="0" t="n">
        <f aca="false">-ABJ85*ABJ94</f>
        <v>-17990.7197372391</v>
      </c>
      <c r="ABK95" s="0" t="n">
        <f aca="false">-ABK85*ABK94</f>
        <v>-17549.2095446268</v>
      </c>
      <c r="ABL95" s="0" t="n">
        <f aca="false">-ABL85*ABL94</f>
        <v>-18769.8202143726</v>
      </c>
      <c r="ABM95" s="0" t="n">
        <f aca="false">-ABM85*ABM94</f>
        <v>-18898.1623243584</v>
      </c>
      <c r="ABN95" s="0" t="n">
        <f aca="false">-ABN85*ABN94</f>
        <v>-17659.8033610889</v>
      </c>
      <c r="ABO95" s="0" t="n">
        <f aca="false">-ABO85*ABO94</f>
        <v>-15588.1150119461</v>
      </c>
      <c r="ABP95" s="0" t="n">
        <f aca="false">-ABP85*ABP94</f>
        <v>-18253.7666986064</v>
      </c>
      <c r="ABQ95" s="0" t="n">
        <f aca="false">-ABQ85*ABQ94</f>
        <v>-16827.0043002227</v>
      </c>
      <c r="ABR95" s="0" t="n">
        <f aca="false">-ABR85*ABR94</f>
        <v>-16841.2696449268</v>
      </c>
      <c r="ABS95" s="0" t="n">
        <f aca="false">-ABS85*ABS94</f>
        <v>-13547.8593573209</v>
      </c>
      <c r="ABT95" s="0" t="n">
        <f aca="false">-ABT85*ABT94</f>
        <v>-13099.5682515382</v>
      </c>
      <c r="ABU95" s="0" t="n">
        <f aca="false">-ABU85*ABU94</f>
        <v>-15517.6828584333</v>
      </c>
      <c r="ABV95" s="0" t="n">
        <f aca="false">-ABV85*ABV94</f>
        <v>-13784.4702772433</v>
      </c>
      <c r="ABW95" s="0" t="n">
        <f aca="false">-ABW85*ABW94</f>
        <v>-19188.4495857306</v>
      </c>
      <c r="ABX95" s="0" t="n">
        <f aca="false">-ABX85*ABX94</f>
        <v>-12212.8993990584</v>
      </c>
      <c r="ABY95" s="0" t="n">
        <f aca="false">-ABY85*ABY94</f>
        <v>-18412.3180155345</v>
      </c>
      <c r="ABZ95" s="0" t="n">
        <f aca="false">-ABZ85*ABZ94</f>
        <v>-17985.6870850813</v>
      </c>
      <c r="ACA95" s="0" t="n">
        <f aca="false">-ACA85*ACA94</f>
        <v>-16205.0519833719</v>
      </c>
      <c r="ACB95" s="0" t="n">
        <f aca="false">-ACB85*ACB94</f>
        <v>-16953.2053920329</v>
      </c>
      <c r="ACC95" s="0" t="n">
        <f aca="false">-ACC85*ACC94</f>
        <v>-17875.6244841491</v>
      </c>
      <c r="ACD95" s="0" t="n">
        <f aca="false">-ACD85*ACD94</f>
        <v>-18987.4898829896</v>
      </c>
      <c r="ACE95" s="0" t="n">
        <f aca="false">-ACE85*ACE94</f>
        <v>-18320.8126502391</v>
      </c>
      <c r="ACF95" s="0" t="n">
        <f aca="false">-ACF85*ACF94</f>
        <v>-22947.0599363557</v>
      </c>
      <c r="ACG95" s="0" t="n">
        <f aca="false">-ACG85*ACG94</f>
        <v>-20909.0754321057</v>
      </c>
      <c r="ACH95" s="0" t="n">
        <f aca="false">-ACH85*ACH94</f>
        <v>-15349.6331980507</v>
      </c>
      <c r="ACI95" s="0" t="n">
        <f aca="false">-ACI85*ACI94</f>
        <v>-20214.8563663367</v>
      </c>
      <c r="ACJ95" s="0" t="n">
        <f aca="false">-ACJ85*ACJ94</f>
        <v>-19042.8058647161</v>
      </c>
      <c r="ACK95" s="0" t="n">
        <f aca="false">-ACK85*ACK94</f>
        <v>-16953.8257635517</v>
      </c>
      <c r="ACL95" s="0" t="n">
        <f aca="false">-ACL85*ACL94</f>
        <v>-23834.6205122802</v>
      </c>
      <c r="ACM95" s="0" t="n">
        <f aca="false">-ACM85*ACM94</f>
        <v>-16042.2681272128</v>
      </c>
      <c r="ACN95" s="0" t="n">
        <f aca="false">-ACN85*ACN94</f>
        <v>-15384.5371072486</v>
      </c>
      <c r="ACO95" s="0" t="n">
        <f aca="false">-ACO85*ACO94</f>
        <v>-16452.6832109725</v>
      </c>
      <c r="ACP95" s="0" t="n">
        <f aca="false">-ACP85*ACP94</f>
        <v>-19040.6920587515</v>
      </c>
      <c r="ACQ95" s="0" t="n">
        <f aca="false">-ACQ85*ACQ94</f>
        <v>-14485.4766069329</v>
      </c>
      <c r="ACR95" s="0" t="n">
        <f aca="false">-ACR85*ACR94</f>
        <v>-16916.8041567025</v>
      </c>
      <c r="ACS95" s="0" t="n">
        <f aca="false">-ACS85*ACS94</f>
        <v>-19311.9543342988</v>
      </c>
      <c r="ACT95" s="0" t="n">
        <f aca="false">-ACT85*ACT94</f>
        <v>-18062.192137463</v>
      </c>
      <c r="ACU95" s="0" t="n">
        <f aca="false">-ACU85*ACU94</f>
        <v>-16789.7955773966</v>
      </c>
      <c r="ACV95" s="0" t="n">
        <f aca="false">-ACV85*ACV94</f>
        <v>-15804.2647524806</v>
      </c>
      <c r="ACW95" s="0" t="n">
        <f aca="false">-ACW85*ACW94</f>
        <v>-19886.0494527424</v>
      </c>
      <c r="ACX95" s="0" t="n">
        <f aca="false">-ACX85*ACX94</f>
        <v>-18603.4161968894</v>
      </c>
      <c r="ACY95" s="0" t="n">
        <f aca="false">-ACY85*ACY94</f>
        <v>-23487.5873546049</v>
      </c>
      <c r="ACZ95" s="0" t="n">
        <f aca="false">-ACZ85*ACZ94</f>
        <v>-21365.6550043598</v>
      </c>
      <c r="ADA95" s="0" t="n">
        <f aca="false">-ADA85*ADA94</f>
        <v>-18670.6457133384</v>
      </c>
      <c r="ADB95" s="0" t="n">
        <f aca="false">-ADB85*ADB94</f>
        <v>-18254.8218737165</v>
      </c>
      <c r="ADC95" s="0" t="n">
        <f aca="false">-ADC85*ADC94</f>
        <v>-16635.5156506402</v>
      </c>
      <c r="ADD95" s="0" t="n">
        <f aca="false">-ADD85*ADD94</f>
        <v>-19152.4570123725</v>
      </c>
      <c r="ADE95" s="0" t="n">
        <f aca="false">-ADE85*ADE94</f>
        <v>-20384.8798558661</v>
      </c>
      <c r="ADF95" s="0" t="n">
        <f aca="false">-ADF85*ADF94</f>
        <v>-15965.7062739236</v>
      </c>
      <c r="ADG95" s="0" t="n">
        <f aca="false">-ADG85*ADG94</f>
        <v>-14026.1860735449</v>
      </c>
      <c r="ADH95" s="0" t="n">
        <f aca="false">-ADH85*ADH94</f>
        <v>-17135.3211629739</v>
      </c>
      <c r="ADI95" s="0" t="n">
        <f aca="false">-ADI85*ADI94</f>
        <v>-15243.9962453515</v>
      </c>
      <c r="ADJ95" s="0" t="n">
        <f aca="false">-ADJ85*ADJ94</f>
        <v>-14499.6060710408</v>
      </c>
      <c r="ADK95" s="0" t="n">
        <f aca="false">-ADK85*ADK94</f>
        <v>-16650.6400486467</v>
      </c>
      <c r="ADL95" s="0" t="n">
        <f aca="false">-ADL85*ADL94</f>
        <v>-10438.3930653977</v>
      </c>
      <c r="ADM95" s="0" t="n">
        <f aca="false">-ADM85*ADM94</f>
        <v>-17810.1087344892</v>
      </c>
      <c r="ADN95" s="0" t="n">
        <f aca="false">-ADN85*ADN94</f>
        <v>-19995.2424624924</v>
      </c>
      <c r="ADO95" s="0" t="n">
        <f aca="false">-ADO85*ADO94</f>
        <v>-20271.2664149897</v>
      </c>
      <c r="ADP95" s="0" t="n">
        <f aca="false">-ADP85*ADP94</f>
        <v>-18998.8034854381</v>
      </c>
      <c r="ADQ95" s="0" t="n">
        <f aca="false">-ADQ85*ADQ94</f>
        <v>-17146.8178197605</v>
      </c>
      <c r="ADR95" s="0" t="n">
        <f aca="false">-ADR85*ADR94</f>
        <v>-14116.0323972849</v>
      </c>
      <c r="ADS95" s="0" t="n">
        <f aca="false">-ADS85*ADS94</f>
        <v>-15500.9207993998</v>
      </c>
      <c r="ADT95" s="0" t="n">
        <f aca="false">-ADT85*ADT94</f>
        <v>-13977.1324631895</v>
      </c>
      <c r="ADU95" s="0" t="n">
        <f aca="false">-ADU85*ADU94</f>
        <v>-18208.1554078722</v>
      </c>
      <c r="ADV95" s="0" t="n">
        <f aca="false">-ADV85*ADV94</f>
        <v>-19544.7973444098</v>
      </c>
      <c r="ADW95" s="0" t="n">
        <f aca="false">-ADW85*ADW94</f>
        <v>-20813.5609068089</v>
      </c>
      <c r="ADX95" s="0" t="n">
        <f aca="false">-ADX85*ADX94</f>
        <v>-24092.2279211142</v>
      </c>
      <c r="ADY95" s="0" t="n">
        <f aca="false">-ADY85*ADY94</f>
        <v>-12909.3966169809</v>
      </c>
      <c r="ADZ95" s="0" t="n">
        <f aca="false">-ADZ85*ADZ94</f>
        <v>-14423.864763443</v>
      </c>
      <c r="AEA95" s="0" t="n">
        <f aca="false">-AEA85*AEA94</f>
        <v>-18449.5847068916</v>
      </c>
      <c r="AEB95" s="0" t="n">
        <f aca="false">-AEB85*AEB94</f>
        <v>-17893.0750153022</v>
      </c>
      <c r="AEC95" s="0" t="n">
        <f aca="false">-AEC85*AEC94</f>
        <v>-17740.031183741</v>
      </c>
      <c r="AED95" s="0" t="n">
        <f aca="false">-AED85*AED94</f>
        <v>-20155.0858026592</v>
      </c>
      <c r="AEE95" s="0" t="n">
        <f aca="false">-AEE85*AEE94</f>
        <v>-18382.4815160756</v>
      </c>
      <c r="AEF95" s="0" t="n">
        <f aca="false">-AEF85*AEF94</f>
        <v>-16385.4034591652</v>
      </c>
      <c r="AEG95" s="0" t="n">
        <f aca="false">-AEG85*AEG94</f>
        <v>-12812.2472849221</v>
      </c>
      <c r="AEH95" s="0" t="n">
        <f aca="false">-AEH85*AEH94</f>
        <v>-17978.8080822599</v>
      </c>
      <c r="AEI95" s="0" t="n">
        <f aca="false">-AEI85*AEI94</f>
        <v>-19024.0503397921</v>
      </c>
      <c r="AEJ95" s="0" t="n">
        <f aca="false">-AEJ85*AEJ94</f>
        <v>-18247.4745212191</v>
      </c>
      <c r="AEK95" s="0" t="n">
        <f aca="false">-AEK85*AEK94</f>
        <v>-14345.3397473277</v>
      </c>
      <c r="AEL95" s="0" t="n">
        <f aca="false">-AEL85*AEL94</f>
        <v>-18064.4136090859</v>
      </c>
      <c r="AEM95" s="0" t="n">
        <f aca="false">-AEM85*AEM94</f>
        <v>-17583.4294497808</v>
      </c>
      <c r="AEN95" s="0" t="n">
        <f aca="false">-AEN85*AEN94</f>
        <v>-21640.1841169238</v>
      </c>
      <c r="AEO95" s="0" t="n">
        <f aca="false">-AEO85*AEO94</f>
        <v>-17448.9555476826</v>
      </c>
      <c r="AEP95" s="0" t="n">
        <f aca="false">-AEP85*AEP94</f>
        <v>-15480.5415866553</v>
      </c>
      <c r="AEQ95" s="0" t="n">
        <f aca="false">-AEQ85*AEQ94</f>
        <v>-18393.7861053168</v>
      </c>
      <c r="AER95" s="0" t="n">
        <f aca="false">-AER85*AER94</f>
        <v>-20092.6232576753</v>
      </c>
      <c r="AES95" s="0" t="n">
        <f aca="false">-AES85*AES94</f>
        <v>-13064.6135141591</v>
      </c>
      <c r="AET95" s="0" t="n">
        <f aca="false">-AET85*AET94</f>
        <v>-18754.6002783821</v>
      </c>
      <c r="AEU95" s="0" t="n">
        <f aca="false">-AEU85*AEU94</f>
        <v>-14239.1905324259</v>
      </c>
      <c r="AEV95" s="0" t="n">
        <f aca="false">-AEV85*AEV94</f>
        <v>-14465.9660370942</v>
      </c>
      <c r="AEW95" s="0" t="n">
        <f aca="false">-AEW85*AEW94</f>
        <v>-13066.5570244874</v>
      </c>
      <c r="AEX95" s="0" t="n">
        <f aca="false">-AEX85*AEX94</f>
        <v>-12480.8912851358</v>
      </c>
      <c r="AEY95" s="0" t="n">
        <f aca="false">-AEY85*AEY94</f>
        <v>-20877.0702336564</v>
      </c>
      <c r="AEZ95" s="0" t="n">
        <f aca="false">-AEZ85*AEZ94</f>
        <v>-16340.1912837397</v>
      </c>
      <c r="AFA95" s="0" t="n">
        <f aca="false">-AFA85*AFA94</f>
        <v>-21420.7756206683</v>
      </c>
      <c r="AFB95" s="0" t="n">
        <f aca="false">-AFB85*AFB94</f>
        <v>-17615.8206698445</v>
      </c>
      <c r="AFC95" s="0" t="n">
        <f aca="false">-AFC85*AFC94</f>
        <v>-18364.9560268476</v>
      </c>
      <c r="AFD95" s="0" t="n">
        <f aca="false">-AFD85*AFD94</f>
        <v>-15644.7602041879</v>
      </c>
      <c r="AFE95" s="0" t="n">
        <f aca="false">-AFE85*AFE94</f>
        <v>-21157.3309232903</v>
      </c>
      <c r="AFF95" s="0" t="n">
        <f aca="false">-AFF85*AFF94</f>
        <v>-17004.6878638478</v>
      </c>
      <c r="AFG95" s="0" t="n">
        <f aca="false">-AFG85*AFG94</f>
        <v>-18955.277624231</v>
      </c>
      <c r="AFH95" s="0" t="n">
        <f aca="false">-AFH85*AFH94</f>
        <v>-17877.4212357755</v>
      </c>
      <c r="AFI95" s="0" t="n">
        <f aca="false">-AFI85*AFI94</f>
        <v>-16545.1201295265</v>
      </c>
      <c r="AFJ95" s="0" t="n">
        <f aca="false">-AFJ85*AFJ94</f>
        <v>-18440.4064175481</v>
      </c>
      <c r="AFK95" s="0" t="n">
        <f aca="false">-AFK85*AFK94</f>
        <v>-18127.3300192324</v>
      </c>
      <c r="AFL95" s="0" t="n">
        <f aca="false">-AFL85*AFL94</f>
        <v>-15691.7716844697</v>
      </c>
      <c r="AFM95" s="0" t="n">
        <f aca="false">-AFM85*AFM94</f>
        <v>-20310.0496504409</v>
      </c>
      <c r="AFN95" s="0" t="n">
        <f aca="false">-AFN85*AFN94</f>
        <v>-16714.4875408154</v>
      </c>
      <c r="AFO95" s="0" t="n">
        <f aca="false">-AFO85*AFO94</f>
        <v>-17219.9341144984</v>
      </c>
      <c r="AFP95" s="0" t="n">
        <f aca="false">-AFP85*AFP94</f>
        <v>-17494.2386108633</v>
      </c>
      <c r="AFQ95" s="0" t="n">
        <f aca="false">-AFQ85*AFQ94</f>
        <v>-15627.287429782</v>
      </c>
      <c r="AFR95" s="0" t="n">
        <f aca="false">-AFR85*AFR94</f>
        <v>-15078.5087268583</v>
      </c>
      <c r="AFS95" s="0" t="n">
        <f aca="false">-AFS85*AFS94</f>
        <v>-21558.5946452021</v>
      </c>
      <c r="AFT95" s="0" t="n">
        <f aca="false">-AFT85*AFT94</f>
        <v>-22456.7462972825</v>
      </c>
      <c r="AFU95" s="0" t="n">
        <f aca="false">-AFU85*AFU94</f>
        <v>-16762.3375444237</v>
      </c>
      <c r="AFV95" s="0" t="n">
        <f aca="false">-AFV85*AFV94</f>
        <v>-20978.0291979016</v>
      </c>
      <c r="AFW95" s="0" t="n">
        <f aca="false">-AFW85*AFW94</f>
        <v>-18798.2861159156</v>
      </c>
      <c r="AFX95" s="0" t="n">
        <f aca="false">-AFX85*AFX94</f>
        <v>-20474.2674897767</v>
      </c>
      <c r="AFY95" s="0" t="n">
        <f aca="false">-AFY85*AFY94</f>
        <v>-17597.068827051</v>
      </c>
      <c r="AFZ95" s="0" t="n">
        <f aca="false">-AFZ85*AFZ94</f>
        <v>-19136.7463307908</v>
      </c>
      <c r="AGA95" s="0" t="n">
        <f aca="false">-AGA85*AGA94</f>
        <v>-20265.3125533957</v>
      </c>
      <c r="AGB95" s="0" t="n">
        <f aca="false">-AGB85*AGB94</f>
        <v>-14980.7611023305</v>
      </c>
      <c r="AGC95" s="0" t="n">
        <f aca="false">-AGC85*AGC94</f>
        <v>-18476.1156223812</v>
      </c>
      <c r="AGD95" s="0" t="n">
        <f aca="false">-AGD85*AGD94</f>
        <v>-11799.423562882</v>
      </c>
      <c r="AGE95" s="0" t="n">
        <f aca="false">-AGE85*AGE94</f>
        <v>-20625.3516812655</v>
      </c>
      <c r="AGF95" s="0" t="n">
        <f aca="false">-AGF85*AGF94</f>
        <v>-18284.4519367313</v>
      </c>
      <c r="AGG95" s="0" t="n">
        <f aca="false">-AGG85*AGG94</f>
        <v>-20334.6281961511</v>
      </c>
      <c r="AGH95" s="0" t="n">
        <f aca="false">-AGH85*AGH94</f>
        <v>-19554.9425314586</v>
      </c>
      <c r="AGI95" s="0" t="n">
        <f aca="false">-AGI85*AGI94</f>
        <v>-21204.5204173289</v>
      </c>
      <c r="AGJ95" s="0" t="n">
        <f aca="false">-AGJ85*AGJ94</f>
        <v>-21916.9399945077</v>
      </c>
      <c r="AGK95" s="0" t="n">
        <f aca="false">-AGK85*AGK94</f>
        <v>-18789.3093069529</v>
      </c>
      <c r="AGL95" s="0" t="n">
        <f aca="false">-AGL85*AGL94</f>
        <v>-20720.9189648711</v>
      </c>
      <c r="AGM95" s="0" t="n">
        <f aca="false">-AGM85*AGM94</f>
        <v>-15055.9884804476</v>
      </c>
      <c r="AGN95" s="0" t="n">
        <f aca="false">-AGN85*AGN94</f>
        <v>-17351.3661187642</v>
      </c>
      <c r="AGO95" s="0" t="n">
        <f aca="false">-AGO85*AGO94</f>
        <v>-19376.1049624427</v>
      </c>
      <c r="AGP95" s="0" t="n">
        <f aca="false">-AGP85*AGP94</f>
        <v>-19230.0783617344</v>
      </c>
      <c r="AGQ95" s="0" t="n">
        <f aca="false">-AGQ85*AGQ94</f>
        <v>-14271.8092753473</v>
      </c>
      <c r="AGR95" s="0" t="n">
        <f aca="false">-AGR85*AGR94</f>
        <v>-18308.5606228339</v>
      </c>
      <c r="AGS95" s="0" t="n">
        <f aca="false">-AGS85*AGS94</f>
        <v>-16657.8925622871</v>
      </c>
      <c r="AGT95" s="0" t="n">
        <f aca="false">-AGT85*AGT94</f>
        <v>-21029.0032091675</v>
      </c>
      <c r="AGU95" s="0" t="n">
        <f aca="false">-AGU85*AGU94</f>
        <v>-17727.9916171773</v>
      </c>
      <c r="AGV95" s="0" t="n">
        <f aca="false">-AGV85*AGV94</f>
        <v>-14608.607724041</v>
      </c>
      <c r="AGW95" s="0" t="n">
        <f aca="false">-AGW85*AGW94</f>
        <v>-22186.0420968713</v>
      </c>
      <c r="AGX95" s="0" t="n">
        <f aca="false">-AGX85*AGX94</f>
        <v>-18310.03886983</v>
      </c>
      <c r="AGY95" s="0" t="n">
        <f aca="false">-AGY85*AGY94</f>
        <v>-17215.7478063564</v>
      </c>
      <c r="AGZ95" s="0" t="n">
        <f aca="false">-AGZ85*AGZ94</f>
        <v>-18408.1852410378</v>
      </c>
      <c r="AHA95" s="0" t="n">
        <f aca="false">-AHA85*AHA94</f>
        <v>-22870.0806065244</v>
      </c>
      <c r="AHB95" s="0" t="n">
        <f aca="false">-AHB85*AHB94</f>
        <v>-17170.671140378</v>
      </c>
      <c r="AHC95" s="0" t="n">
        <f aca="false">-AHC85*AHC94</f>
        <v>-22479.2620386735</v>
      </c>
      <c r="AHD95" s="0" t="n">
        <f aca="false">-AHD85*AHD94</f>
        <v>-17415.3484112309</v>
      </c>
      <c r="AHE95" s="0" t="n">
        <f aca="false">-AHE85*AHE94</f>
        <v>-17017.6269379952</v>
      </c>
      <c r="AHF95" s="0" t="n">
        <f aca="false">-AHF85*AHF94</f>
        <v>-22569.7393640494</v>
      </c>
      <c r="AHG95" s="0" t="n">
        <f aca="false">-AHG85*AHG94</f>
        <v>-16073.0540885416</v>
      </c>
      <c r="AHH95" s="0" t="n">
        <f aca="false">-AHH85*AHH94</f>
        <v>-13842.3112397892</v>
      </c>
      <c r="AHI95" s="0" t="n">
        <f aca="false">-AHI85*AHI94</f>
        <v>-19671.4985446737</v>
      </c>
      <c r="AHJ95" s="0" t="n">
        <f aca="false">-AHJ85*AHJ94</f>
        <v>-16904.9751877125</v>
      </c>
      <c r="AHK95" s="0" t="n">
        <f aca="false">-AHK85*AHK94</f>
        <v>-19173.9149077681</v>
      </c>
      <c r="AHL95" s="0" t="n">
        <f aca="false">-AHL85*AHL94</f>
        <v>-18948.8012027845</v>
      </c>
      <c r="AHM95" s="0" t="n">
        <f aca="false">-AHM85*AHM94</f>
        <v>-18034.9254565952</v>
      </c>
      <c r="AHN95" s="0" t="n">
        <f aca="false">-AHN85*AHN94</f>
        <v>-19179.9170612192</v>
      </c>
      <c r="AHO95" s="0" t="n">
        <f aca="false">-AHO85*AHO94</f>
        <v>-17108.5116467017</v>
      </c>
      <c r="AHP95" s="0" t="n">
        <f aca="false">-AHP85*AHP94</f>
        <v>-23394.3905987963</v>
      </c>
      <c r="AHQ95" s="0" t="n">
        <f aca="false">-AHQ85*AHQ94</f>
        <v>-18836.7610622156</v>
      </c>
      <c r="AHR95" s="0" t="n">
        <f aca="false">-AHR85*AHR94</f>
        <v>-20679.1118117444</v>
      </c>
      <c r="AHS95" s="0" t="n">
        <f aca="false">-AHS85*AHS94</f>
        <v>-16023.6432639783</v>
      </c>
      <c r="AHT95" s="0" t="n">
        <f aca="false">-AHT85*AHT94</f>
        <v>-18150.3263861621</v>
      </c>
      <c r="AHU95" s="0" t="n">
        <f aca="false">-AHU85*AHU94</f>
        <v>-18832.948889113</v>
      </c>
      <c r="AHV95" s="0" t="n">
        <f aca="false">-AHV85*AHV94</f>
        <v>-15451.2093237674</v>
      </c>
      <c r="AHW95" s="0" t="n">
        <f aca="false">-AHW85*AHW94</f>
        <v>-16193.6708566125</v>
      </c>
      <c r="AHX95" s="0" t="n">
        <f aca="false">-AHX85*AHX94</f>
        <v>-18099.6633774349</v>
      </c>
      <c r="AHY95" s="0" t="n">
        <f aca="false">-AHY85*AHY94</f>
        <v>-18531.2778825888</v>
      </c>
      <c r="AHZ95" s="0" t="n">
        <f aca="false">-AHZ85*AHZ94</f>
        <v>-12979.1708009143</v>
      </c>
      <c r="AIA95" s="0" t="n">
        <f aca="false">-AIA85*AIA94</f>
        <v>-18086.1904428657</v>
      </c>
      <c r="AIB95" s="0" t="n">
        <f aca="false">-AIB85*AIB94</f>
        <v>-16889.7646731767</v>
      </c>
      <c r="AIC95" s="0" t="n">
        <f aca="false">-AIC85*AIC94</f>
        <v>-17571.8990421902</v>
      </c>
      <c r="AID95" s="0" t="n">
        <f aca="false">-AID85*AID94</f>
        <v>-21468.9248338837</v>
      </c>
      <c r="AIE95" s="0" t="n">
        <f aca="false">-AIE85*AIE94</f>
        <v>-18244.1172007929</v>
      </c>
      <c r="AIF95" s="0" t="n">
        <f aca="false">-AIF85*AIF94</f>
        <v>-15296.7724713135</v>
      </c>
      <c r="AIG95" s="0" t="n">
        <f aca="false">-AIG85*AIG94</f>
        <v>-16606.265441135</v>
      </c>
      <c r="AIH95" s="0" t="n">
        <f aca="false">-AIH85*AIH94</f>
        <v>-14279.2569113774</v>
      </c>
      <c r="AII95" s="0" t="n">
        <f aca="false">-AII85*AII94</f>
        <v>-17081.554046088</v>
      </c>
      <c r="AIJ95" s="0" t="n">
        <f aca="false">-AIJ85*AIJ94</f>
        <v>-18294.0074768886</v>
      </c>
      <c r="AIK95" s="0" t="n">
        <f aca="false">-AIK85*AIK94</f>
        <v>-21274.553271047</v>
      </c>
      <c r="AIL95" s="0" t="n">
        <f aca="false">-AIL85*AIL94</f>
        <v>-18067.7798029992</v>
      </c>
      <c r="AIM95" s="0" t="n">
        <f aca="false">-AIM85*AIM94</f>
        <v>-15925.5710399141</v>
      </c>
      <c r="AIN95" s="0" t="n">
        <f aca="false">-AIN85*AIN94</f>
        <v>-18691.1244260027</v>
      </c>
      <c r="AIO95" s="0" t="n">
        <f aca="false">-AIO85*AIO94</f>
        <v>-18502.6083542332</v>
      </c>
      <c r="AIP95" s="0" t="n">
        <f aca="false">-AIP85*AIP94</f>
        <v>-21493.5900440987</v>
      </c>
      <c r="AIQ95" s="0" t="n">
        <f aca="false">-AIQ85*AIQ94</f>
        <v>-17974.260905747</v>
      </c>
      <c r="AIR95" s="0" t="n">
        <f aca="false">-AIR85*AIR94</f>
        <v>-16485.5042473631</v>
      </c>
      <c r="AIS95" s="0" t="n">
        <f aca="false">-AIS85*AIS94</f>
        <v>-20268.9154881537</v>
      </c>
      <c r="AIT95" s="0" t="n">
        <f aca="false">-AIT85*AIT94</f>
        <v>-19340.6207606128</v>
      </c>
      <c r="AIU95" s="0" t="n">
        <f aca="false">-AIU85*AIU94</f>
        <v>-14415.55600624</v>
      </c>
      <c r="AIV95" s="0" t="n">
        <f aca="false">-AIV85*AIV94</f>
        <v>-17835.8481722385</v>
      </c>
      <c r="AIW95" s="0" t="n">
        <f aca="false">-AIW85*AIW94</f>
        <v>-24991.1105291618</v>
      </c>
      <c r="AIX95" s="0" t="n">
        <f aca="false">-AIX85*AIX94</f>
        <v>-17493.755454126</v>
      </c>
      <c r="AIY95" s="0" t="n">
        <f aca="false">-AIY85*AIY94</f>
        <v>-17492.0404927615</v>
      </c>
      <c r="AIZ95" s="0" t="n">
        <f aca="false">-AIZ85*AIZ94</f>
        <v>-18849.190845753</v>
      </c>
      <c r="AJA95" s="0" t="n">
        <f aca="false">-AJA85*AJA94</f>
        <v>-21156.6253180024</v>
      </c>
      <c r="AJB95" s="0" t="n">
        <f aca="false">-AJB85*AJB94</f>
        <v>-20089.439947565</v>
      </c>
      <c r="AJC95" s="0" t="n">
        <f aca="false">-AJC85*AJC94</f>
        <v>-18482.7315202666</v>
      </c>
      <c r="AJD95" s="0" t="n">
        <f aca="false">-AJD85*AJD94</f>
        <v>-14144.9857454079</v>
      </c>
      <c r="AJE95" s="0" t="n">
        <f aca="false">-AJE85*AJE94</f>
        <v>-19834.0905435733</v>
      </c>
      <c r="AJF95" s="0" t="n">
        <f aca="false">-AJF85*AJF94</f>
        <v>-20696.4584680084</v>
      </c>
      <c r="AJG95" s="0" t="n">
        <f aca="false">-AJG85*AJG94</f>
        <v>-9164.55571985081</v>
      </c>
      <c r="AJH95" s="0" t="n">
        <f aca="false">-AJH85*AJH94</f>
        <v>-17137.1714578709</v>
      </c>
      <c r="AJI95" s="0" t="n">
        <f aca="false">-AJI85*AJI94</f>
        <v>-20565.9691601318</v>
      </c>
      <c r="AJJ95" s="0" t="n">
        <f aca="false">-AJJ85*AJJ94</f>
        <v>-19089.1265208686</v>
      </c>
      <c r="AJK95" s="0" t="n">
        <f aca="false">-AJK85*AJK94</f>
        <v>-19450.1483853058</v>
      </c>
      <c r="AJL95" s="0" t="n">
        <f aca="false">-AJL85*AJL94</f>
        <v>-19611.3644445932</v>
      </c>
      <c r="AJM95" s="0" t="n">
        <f aca="false">-AJM85*AJM94</f>
        <v>-18563.1817487334</v>
      </c>
      <c r="AJN95" s="0" t="n">
        <f aca="false">-AJN85*AJN94</f>
        <v>-21319.6159986294</v>
      </c>
      <c r="AJO95" s="0" t="n">
        <f aca="false">-AJO85*AJO94</f>
        <v>-19087.3685403293</v>
      </c>
      <c r="AJP95" s="0" t="n">
        <f aca="false">-AJP85*AJP94</f>
        <v>-21838.5128127959</v>
      </c>
      <c r="AJQ95" s="0" t="n">
        <f aca="false">-AJQ85*AJQ94</f>
        <v>-17312.6582287888</v>
      </c>
      <c r="AJR95" s="0" t="n">
        <f aca="false">-AJR85*AJR94</f>
        <v>-16177.532821611</v>
      </c>
      <c r="AJS95" s="0" t="n">
        <f aca="false">-AJS85*AJS94</f>
        <v>-16776.377552527</v>
      </c>
      <c r="AJT95" s="0" t="n">
        <f aca="false">-AJT85*AJT94</f>
        <v>-16050.2511970274</v>
      </c>
      <c r="AJU95" s="0" t="n">
        <f aca="false">-AJU85*AJU94</f>
        <v>-22166.954960192</v>
      </c>
      <c r="AJV95" s="0" t="n">
        <f aca="false">-AJV85*AJV94</f>
        <v>-16200.6794398324</v>
      </c>
      <c r="AJW95" s="0" t="n">
        <f aca="false">-AJW85*AJW94</f>
        <v>-19503.4072582057</v>
      </c>
      <c r="AJX95" s="0" t="n">
        <f aca="false">-AJX85*AJX94</f>
        <v>-16172.8200016386</v>
      </c>
      <c r="AJY95" s="0" t="n">
        <f aca="false">-AJY85*AJY94</f>
        <v>-17932.5809968581</v>
      </c>
      <c r="AJZ95" s="0" t="n">
        <f aca="false">-AJZ85*AJZ94</f>
        <v>-14513.2057209938</v>
      </c>
      <c r="AKA95" s="0" t="n">
        <f aca="false">-AKA85*AKA94</f>
        <v>-18488.1522159721</v>
      </c>
      <c r="AKB95" s="0" t="n">
        <f aca="false">-AKB85*AKB94</f>
        <v>-15042.609451034</v>
      </c>
      <c r="AKC95" s="0" t="n">
        <f aca="false">-AKC85*AKC94</f>
        <v>-19865.9048428515</v>
      </c>
      <c r="AKD95" s="0" t="n">
        <f aca="false">-AKD85*AKD94</f>
        <v>-15521.590815226</v>
      </c>
      <c r="AKE95" s="0" t="n">
        <f aca="false">-AKE85*AKE94</f>
        <v>-20834.1918436332</v>
      </c>
      <c r="AKF95" s="0" t="n">
        <f aca="false">-AKF85*AKF94</f>
        <v>-19070.1785466185</v>
      </c>
      <c r="AKG95" s="0" t="n">
        <f aca="false">-AKG85*AKG94</f>
        <v>-15789.3468985519</v>
      </c>
      <c r="AKH95" s="0" t="n">
        <f aca="false">-AKH85*AKH94</f>
        <v>-20298.162857384</v>
      </c>
      <c r="AKI95" s="0" t="n">
        <f aca="false">-AKI85*AKI94</f>
        <v>-14628.6853257368</v>
      </c>
      <c r="AKJ95" s="0" t="n">
        <f aca="false">-AKJ85*AKJ94</f>
        <v>-12111.0350989294</v>
      </c>
      <c r="AKK95" s="0" t="n">
        <f aca="false">-AKK85*AKK94</f>
        <v>-13872.7176653132</v>
      </c>
      <c r="AKL95" s="0" t="n">
        <f aca="false">-AKL85*AKL94</f>
        <v>-16311.4942507109</v>
      </c>
      <c r="AKM95" s="0" t="n">
        <f aca="false">-AKM85*AKM94</f>
        <v>-18703.9305760508</v>
      </c>
      <c r="AKN95" s="0" t="n">
        <f aca="false">-AKN85*AKN94</f>
        <v>-18181.2439480958</v>
      </c>
      <c r="AKO95" s="0" t="n">
        <f aca="false">-AKO85*AKO94</f>
        <v>-18275.0811220111</v>
      </c>
      <c r="AKP95" s="0" t="n">
        <f aca="false">-AKP85*AKP94</f>
        <v>-14350.6898007015</v>
      </c>
      <c r="AKQ95" s="0" t="n">
        <f aca="false">-AKQ85*AKQ94</f>
        <v>-18151.4029381868</v>
      </c>
      <c r="AKR95" s="0" t="n">
        <f aca="false">-AKR85*AKR94</f>
        <v>-18337.5564494247</v>
      </c>
      <c r="AKS95" s="0" t="n">
        <f aca="false">-AKS85*AKS94</f>
        <v>-17796.0218110937</v>
      </c>
      <c r="AKT95" s="0" t="n">
        <f aca="false">-AKT85*AKT94</f>
        <v>-19672.6674206765</v>
      </c>
      <c r="AKU95" s="0" t="n">
        <f aca="false">-AKU85*AKU94</f>
        <v>-16301.7409877903</v>
      </c>
      <c r="AKV95" s="0" t="n">
        <f aca="false">-AKV85*AKV94</f>
        <v>-17859.4738676852</v>
      </c>
      <c r="AKW95" s="0" t="n">
        <f aca="false">-AKW85*AKW94</f>
        <v>-18879.551800623</v>
      </c>
      <c r="AKX95" s="0" t="n">
        <f aca="false">-AKX85*AKX94</f>
        <v>-15523.9613962428</v>
      </c>
      <c r="AKY95" s="0" t="n">
        <f aca="false">-AKY85*AKY94</f>
        <v>-21199.8267560374</v>
      </c>
      <c r="AKZ95" s="0" t="n">
        <f aca="false">-AKZ85*AKZ94</f>
        <v>-14339.6080324751</v>
      </c>
      <c r="ALA95" s="0" t="n">
        <f aca="false">-ALA85*ALA94</f>
        <v>-19994.8532459497</v>
      </c>
      <c r="ALB95" s="0" t="n">
        <f aca="false">-ALB85*ALB94</f>
        <v>-19819.7210521429</v>
      </c>
      <c r="ALC95" s="0" t="n">
        <f aca="false">-ALC85*ALC94</f>
        <v>-18998.5411703371</v>
      </c>
      <c r="ALD95" s="0" t="n">
        <f aca="false">-ALD85*ALD94</f>
        <v>-18732.7613766752</v>
      </c>
      <c r="ALE95" s="0" t="n">
        <f aca="false">-ALE85*ALE94</f>
        <v>-15414.5071625338</v>
      </c>
      <c r="ALF95" s="0" t="n">
        <f aca="false">-ALF85*ALF94</f>
        <v>-13609.5038629026</v>
      </c>
      <c r="ALG95" s="0" t="n">
        <f aca="false">-ALG85*ALG94</f>
        <v>-20696.4433638413</v>
      </c>
      <c r="ALH95" s="0" t="n">
        <f aca="false">-ALH85*ALH94</f>
        <v>-20833.3042970423</v>
      </c>
      <c r="ALI95" s="0" t="n">
        <f aca="false">-ALI85*ALI94</f>
        <v>-17639.4702018147</v>
      </c>
      <c r="ALJ95" s="0" t="n">
        <f aca="false">-ALJ85*ALJ94</f>
        <v>-19252.4904276522</v>
      </c>
      <c r="ALK95" s="0" t="n">
        <f aca="false">-ALK85*ALK94</f>
        <v>-17461.9840711803</v>
      </c>
      <c r="ALL95" s="0" t="n">
        <f aca="false">-ALL85*ALL94</f>
        <v>-15233.6335515991</v>
      </c>
      <c r="ALM95" s="0" t="n">
        <f aca="false">-ALM85*ALM94</f>
        <v>-15466.7963099039</v>
      </c>
    </row>
    <row r="96" customFormat="false" ht="14.5" hidden="false" customHeight="false" outlineLevel="0" collapsed="false">
      <c r="A96" s="96" t="s">
        <v>22</v>
      </c>
      <c r="B96" s="118" t="n">
        <f aca="false">-$B$74</f>
        <v>-5000</v>
      </c>
      <c r="C96" s="118" t="n">
        <f aca="false">-$B$74</f>
        <v>-5000</v>
      </c>
      <c r="D96" s="118" t="n">
        <f aca="false">-$B$74</f>
        <v>-5000</v>
      </c>
      <c r="E96" s="118" t="n">
        <f aca="false">-$B$74</f>
        <v>-5000</v>
      </c>
      <c r="F96" s="118" t="n">
        <f aca="false">-$B$74</f>
        <v>-5000</v>
      </c>
      <c r="G96" s="118" t="n">
        <f aca="false">-$B$74</f>
        <v>-5000</v>
      </c>
      <c r="H96" s="118" t="n">
        <f aca="false">-$B$74</f>
        <v>-5000</v>
      </c>
      <c r="I96" s="118" t="n">
        <f aca="false">-$B$74</f>
        <v>-5000</v>
      </c>
      <c r="J96" s="118" t="n">
        <f aca="false">-$B$74</f>
        <v>-5000</v>
      </c>
      <c r="K96" s="118" t="n">
        <f aca="false">-$B$74</f>
        <v>-5000</v>
      </c>
      <c r="L96" s="118" t="n">
        <f aca="false">-$B$74</f>
        <v>-5000</v>
      </c>
      <c r="M96" s="118" t="n">
        <f aca="false">-$B$74</f>
        <v>-5000</v>
      </c>
      <c r="N96" s="118" t="n">
        <f aca="false">-$B$74</f>
        <v>-5000</v>
      </c>
      <c r="O96" s="118" t="n">
        <f aca="false">-$B$74</f>
        <v>-5000</v>
      </c>
      <c r="P96" s="118" t="n">
        <f aca="false">-$B$74</f>
        <v>-5000</v>
      </c>
      <c r="Q96" s="118" t="n">
        <f aca="false">-$B$74</f>
        <v>-5000</v>
      </c>
      <c r="R96" s="118" t="n">
        <f aca="false">-$B$74</f>
        <v>-5000</v>
      </c>
      <c r="S96" s="118" t="n">
        <f aca="false">-$B$74</f>
        <v>-5000</v>
      </c>
      <c r="T96" s="118" t="n">
        <f aca="false">-$B$74</f>
        <v>-5000</v>
      </c>
      <c r="U96" s="118" t="n">
        <f aca="false">-$B$74</f>
        <v>-5000</v>
      </c>
      <c r="V96" s="118" t="n">
        <f aca="false">-$B$74</f>
        <v>-5000</v>
      </c>
      <c r="W96" s="118" t="n">
        <f aca="false">-$B$74</f>
        <v>-5000</v>
      </c>
      <c r="X96" s="118" t="n">
        <f aca="false">-$B$74</f>
        <v>-5000</v>
      </c>
      <c r="Y96" s="118" t="n">
        <f aca="false">-$B$74</f>
        <v>-5000</v>
      </c>
      <c r="Z96" s="118" t="n">
        <f aca="false">-$B$74</f>
        <v>-5000</v>
      </c>
      <c r="AA96" s="118" t="n">
        <f aca="false">-$B$74</f>
        <v>-5000</v>
      </c>
      <c r="AB96" s="118" t="n">
        <f aca="false">-$B$74</f>
        <v>-5000</v>
      </c>
      <c r="AC96" s="118" t="n">
        <f aca="false">-$B$74</f>
        <v>-5000</v>
      </c>
      <c r="AD96" s="118" t="n">
        <f aca="false">-$B$74</f>
        <v>-5000</v>
      </c>
      <c r="AE96" s="118" t="n">
        <f aca="false">-$B$74</f>
        <v>-5000</v>
      </c>
      <c r="AF96" s="118" t="n">
        <f aca="false">-$B$74</f>
        <v>-5000</v>
      </c>
      <c r="AG96" s="118" t="n">
        <f aca="false">-$B$74</f>
        <v>-5000</v>
      </c>
      <c r="AH96" s="118" t="n">
        <f aca="false">-$B$74</f>
        <v>-5000</v>
      </c>
      <c r="AI96" s="118" t="n">
        <f aca="false">-$B$74</f>
        <v>-5000</v>
      </c>
      <c r="AJ96" s="118" t="n">
        <f aca="false">-$B$74</f>
        <v>-5000</v>
      </c>
      <c r="AK96" s="118" t="n">
        <f aca="false">-$B$74</f>
        <v>-5000</v>
      </c>
      <c r="AL96" s="118" t="n">
        <f aca="false">-$B$74</f>
        <v>-5000</v>
      </c>
      <c r="AM96" s="118" t="n">
        <f aca="false">-$B$74</f>
        <v>-5000</v>
      </c>
      <c r="AN96" s="118" t="n">
        <f aca="false">-$B$74</f>
        <v>-5000</v>
      </c>
      <c r="AO96" s="118" t="n">
        <f aca="false">-$B$74</f>
        <v>-5000</v>
      </c>
      <c r="AP96" s="118" t="n">
        <f aca="false">-$B$74</f>
        <v>-5000</v>
      </c>
      <c r="AQ96" s="118" t="n">
        <f aca="false">-$B$74</f>
        <v>-5000</v>
      </c>
      <c r="AR96" s="118" t="n">
        <f aca="false">-$B$74</f>
        <v>-5000</v>
      </c>
      <c r="AS96" s="118" t="n">
        <f aca="false">-$B$74</f>
        <v>-5000</v>
      </c>
      <c r="AT96" s="118" t="n">
        <f aca="false">-$B$74</f>
        <v>-5000</v>
      </c>
      <c r="AU96" s="118" t="n">
        <f aca="false">-$B$74</f>
        <v>-5000</v>
      </c>
      <c r="AV96" s="118" t="n">
        <f aca="false">-$B$74</f>
        <v>-5000</v>
      </c>
      <c r="AW96" s="118" t="n">
        <f aca="false">-$B$74</f>
        <v>-5000</v>
      </c>
      <c r="AX96" s="118" t="n">
        <f aca="false">-$B$74</f>
        <v>-5000</v>
      </c>
      <c r="AY96" s="118" t="n">
        <f aca="false">-$B$74</f>
        <v>-5000</v>
      </c>
      <c r="AZ96" s="118" t="n">
        <f aca="false">-$B$74</f>
        <v>-5000</v>
      </c>
      <c r="BA96" s="118" t="n">
        <f aca="false">-$B$74</f>
        <v>-5000</v>
      </c>
      <c r="BB96" s="118" t="n">
        <f aca="false">-$B$74</f>
        <v>-5000</v>
      </c>
      <c r="BC96" s="118" t="n">
        <f aca="false">-$B$74</f>
        <v>-5000</v>
      </c>
      <c r="BD96" s="118" t="n">
        <f aca="false">-$B$74</f>
        <v>-5000</v>
      </c>
      <c r="BE96" s="118" t="n">
        <f aca="false">-$B$74</f>
        <v>-5000</v>
      </c>
      <c r="BF96" s="118" t="n">
        <f aca="false">-$B$74</f>
        <v>-5000</v>
      </c>
      <c r="BG96" s="118" t="n">
        <f aca="false">-$B$74</f>
        <v>-5000</v>
      </c>
      <c r="BH96" s="118" t="n">
        <f aca="false">-$B$74</f>
        <v>-5000</v>
      </c>
      <c r="BI96" s="118" t="n">
        <f aca="false">-$B$74</f>
        <v>-5000</v>
      </c>
      <c r="BJ96" s="118" t="n">
        <f aca="false">-$B$74</f>
        <v>-5000</v>
      </c>
      <c r="BK96" s="118" t="n">
        <f aca="false">-$B$74</f>
        <v>-5000</v>
      </c>
      <c r="BL96" s="118" t="n">
        <f aca="false">-$B$74</f>
        <v>-5000</v>
      </c>
      <c r="BM96" s="118" t="n">
        <f aca="false">-$B$74</f>
        <v>-5000</v>
      </c>
      <c r="BN96" s="118" t="n">
        <f aca="false">-$B$74</f>
        <v>-5000</v>
      </c>
      <c r="BO96" s="118" t="n">
        <f aca="false">-$B$74</f>
        <v>-5000</v>
      </c>
      <c r="BP96" s="118" t="n">
        <f aca="false">-$B$74</f>
        <v>-5000</v>
      </c>
      <c r="BQ96" s="118" t="n">
        <f aca="false">-$B$74</f>
        <v>-5000</v>
      </c>
      <c r="BR96" s="118" t="n">
        <f aca="false">-$B$74</f>
        <v>-5000</v>
      </c>
      <c r="BS96" s="118" t="n">
        <f aca="false">-$B$74</f>
        <v>-5000</v>
      </c>
      <c r="BT96" s="118" t="n">
        <f aca="false">-$B$74</f>
        <v>-5000</v>
      </c>
      <c r="BU96" s="118" t="n">
        <f aca="false">-$B$74</f>
        <v>-5000</v>
      </c>
      <c r="BV96" s="118" t="n">
        <f aca="false">-$B$74</f>
        <v>-5000</v>
      </c>
      <c r="BW96" s="118" t="n">
        <f aca="false">-$B$74</f>
        <v>-5000</v>
      </c>
      <c r="BX96" s="118" t="n">
        <f aca="false">-$B$74</f>
        <v>-5000</v>
      </c>
      <c r="BY96" s="118" t="n">
        <f aca="false">-$B$74</f>
        <v>-5000</v>
      </c>
      <c r="BZ96" s="118" t="n">
        <f aca="false">-$B$74</f>
        <v>-5000</v>
      </c>
      <c r="CA96" s="118" t="n">
        <f aca="false">-$B$74</f>
        <v>-5000</v>
      </c>
      <c r="CB96" s="118" t="n">
        <f aca="false">-$B$74</f>
        <v>-5000</v>
      </c>
      <c r="CC96" s="118" t="n">
        <f aca="false">-$B$74</f>
        <v>-5000</v>
      </c>
      <c r="CD96" s="118" t="n">
        <f aca="false">-$B$74</f>
        <v>-5000</v>
      </c>
      <c r="CE96" s="118" t="n">
        <f aca="false">-$B$74</f>
        <v>-5000</v>
      </c>
      <c r="CF96" s="118" t="n">
        <f aca="false">-$B$74</f>
        <v>-5000</v>
      </c>
      <c r="CG96" s="118" t="n">
        <f aca="false">-$B$74</f>
        <v>-5000</v>
      </c>
      <c r="CH96" s="118" t="n">
        <f aca="false">-$B$74</f>
        <v>-5000</v>
      </c>
      <c r="CI96" s="118" t="n">
        <f aca="false">-$B$74</f>
        <v>-5000</v>
      </c>
      <c r="CJ96" s="118" t="n">
        <f aca="false">-$B$74</f>
        <v>-5000</v>
      </c>
      <c r="CK96" s="118" t="n">
        <f aca="false">-$B$74</f>
        <v>-5000</v>
      </c>
      <c r="CL96" s="118" t="n">
        <f aca="false">-$B$74</f>
        <v>-5000</v>
      </c>
      <c r="CM96" s="118" t="n">
        <f aca="false">-$B$74</f>
        <v>-5000</v>
      </c>
      <c r="CN96" s="118" t="n">
        <f aca="false">-$B$74</f>
        <v>-5000</v>
      </c>
      <c r="CO96" s="118" t="n">
        <f aca="false">-$B$74</f>
        <v>-5000</v>
      </c>
      <c r="CP96" s="118" t="n">
        <f aca="false">-$B$74</f>
        <v>-5000</v>
      </c>
      <c r="CQ96" s="118" t="n">
        <f aca="false">-$B$74</f>
        <v>-5000</v>
      </c>
      <c r="CR96" s="118" t="n">
        <f aca="false">-$B$74</f>
        <v>-5000</v>
      </c>
      <c r="CS96" s="118" t="n">
        <f aca="false">-$B$74</f>
        <v>-5000</v>
      </c>
      <c r="CT96" s="118" t="n">
        <f aca="false">-$B$74</f>
        <v>-5000</v>
      </c>
      <c r="CU96" s="118" t="n">
        <f aca="false">-$B$74</f>
        <v>-5000</v>
      </c>
      <c r="CV96" s="118" t="n">
        <f aca="false">-$B$74</f>
        <v>-5000</v>
      </c>
      <c r="CW96" s="118" t="n">
        <f aca="false">-$B$74</f>
        <v>-5000</v>
      </c>
      <c r="CX96" s="118" t="n">
        <f aca="false">-$B$74</f>
        <v>-5000</v>
      </c>
      <c r="CY96" s="118" t="n">
        <f aca="false">-$B$74</f>
        <v>-5000</v>
      </c>
      <c r="CZ96" s="118" t="n">
        <f aca="false">-$B$74</f>
        <v>-5000</v>
      </c>
      <c r="DA96" s="118" t="n">
        <f aca="false">-$B$74</f>
        <v>-5000</v>
      </c>
      <c r="DB96" s="118" t="n">
        <f aca="false">-$B$74</f>
        <v>-5000</v>
      </c>
      <c r="DC96" s="118" t="n">
        <f aca="false">-$B$74</f>
        <v>-5000</v>
      </c>
      <c r="DD96" s="118" t="n">
        <f aca="false">-$B$74</f>
        <v>-5000</v>
      </c>
      <c r="DE96" s="118" t="n">
        <f aca="false">-$B$74</f>
        <v>-5000</v>
      </c>
      <c r="DF96" s="118" t="n">
        <f aca="false">-$B$74</f>
        <v>-5000</v>
      </c>
      <c r="DG96" s="118" t="n">
        <f aca="false">-$B$74</f>
        <v>-5000</v>
      </c>
      <c r="DH96" s="118" t="n">
        <f aca="false">-$B$74</f>
        <v>-5000</v>
      </c>
      <c r="DI96" s="118" t="n">
        <f aca="false">-$B$74</f>
        <v>-5000</v>
      </c>
      <c r="DJ96" s="118" t="n">
        <f aca="false">-$B$74</f>
        <v>-5000</v>
      </c>
      <c r="DK96" s="118" t="n">
        <f aca="false">-$B$74</f>
        <v>-5000</v>
      </c>
      <c r="DL96" s="118" t="n">
        <f aca="false">-$B$74</f>
        <v>-5000</v>
      </c>
      <c r="DM96" s="118" t="n">
        <f aca="false">-$B$74</f>
        <v>-5000</v>
      </c>
      <c r="DN96" s="118" t="n">
        <f aca="false">-$B$74</f>
        <v>-5000</v>
      </c>
      <c r="DO96" s="118" t="n">
        <f aca="false">-$B$74</f>
        <v>-5000</v>
      </c>
      <c r="DP96" s="118" t="n">
        <f aca="false">-$B$74</f>
        <v>-5000</v>
      </c>
      <c r="DQ96" s="118" t="n">
        <f aca="false">-$B$74</f>
        <v>-5000</v>
      </c>
      <c r="DR96" s="118" t="n">
        <f aca="false">-$B$74</f>
        <v>-5000</v>
      </c>
      <c r="DS96" s="118" t="n">
        <f aca="false">-$B$74</f>
        <v>-5000</v>
      </c>
      <c r="DT96" s="118" t="n">
        <f aca="false">-$B$74</f>
        <v>-5000</v>
      </c>
      <c r="DU96" s="118" t="n">
        <f aca="false">-$B$74</f>
        <v>-5000</v>
      </c>
      <c r="DV96" s="118" t="n">
        <f aca="false">-$B$74</f>
        <v>-5000</v>
      </c>
      <c r="DW96" s="118" t="n">
        <f aca="false">-$B$74</f>
        <v>-5000</v>
      </c>
      <c r="DX96" s="118" t="n">
        <f aca="false">-$B$74</f>
        <v>-5000</v>
      </c>
      <c r="DY96" s="118" t="n">
        <f aca="false">-$B$74</f>
        <v>-5000</v>
      </c>
      <c r="DZ96" s="118" t="n">
        <f aca="false">-$B$74</f>
        <v>-5000</v>
      </c>
      <c r="EA96" s="118" t="n">
        <f aca="false">-$B$74</f>
        <v>-5000</v>
      </c>
      <c r="EB96" s="118" t="n">
        <f aca="false">-$B$74</f>
        <v>-5000</v>
      </c>
      <c r="EC96" s="118" t="n">
        <f aca="false">-$B$74</f>
        <v>-5000</v>
      </c>
      <c r="ED96" s="118" t="n">
        <f aca="false">-$B$74</f>
        <v>-5000</v>
      </c>
      <c r="EE96" s="118" t="n">
        <f aca="false">-$B$74</f>
        <v>-5000</v>
      </c>
      <c r="EF96" s="118" t="n">
        <f aca="false">-$B$74</f>
        <v>-5000</v>
      </c>
      <c r="EG96" s="118" t="n">
        <f aca="false">-$B$74</f>
        <v>-5000</v>
      </c>
      <c r="EH96" s="118" t="n">
        <f aca="false">-$B$74</f>
        <v>-5000</v>
      </c>
      <c r="EI96" s="118" t="n">
        <f aca="false">-$B$74</f>
        <v>-5000</v>
      </c>
      <c r="EJ96" s="118" t="n">
        <f aca="false">-$B$74</f>
        <v>-5000</v>
      </c>
      <c r="EK96" s="118" t="n">
        <f aca="false">-$B$74</f>
        <v>-5000</v>
      </c>
      <c r="EL96" s="118" t="n">
        <f aca="false">-$B$74</f>
        <v>-5000</v>
      </c>
      <c r="EM96" s="118" t="n">
        <f aca="false">-$B$74</f>
        <v>-5000</v>
      </c>
      <c r="EN96" s="118" t="n">
        <f aca="false">-$B$74</f>
        <v>-5000</v>
      </c>
      <c r="EO96" s="118" t="n">
        <f aca="false">-$B$74</f>
        <v>-5000</v>
      </c>
      <c r="EP96" s="118" t="n">
        <f aca="false">-$B$74</f>
        <v>-5000</v>
      </c>
      <c r="EQ96" s="118" t="n">
        <f aca="false">-$B$74</f>
        <v>-5000</v>
      </c>
      <c r="ER96" s="118" t="n">
        <f aca="false">-$B$74</f>
        <v>-5000</v>
      </c>
      <c r="ES96" s="118" t="n">
        <f aca="false">-$B$74</f>
        <v>-5000</v>
      </c>
      <c r="ET96" s="118" t="n">
        <f aca="false">-$B$74</f>
        <v>-5000</v>
      </c>
      <c r="EU96" s="118" t="n">
        <f aca="false">-$B$74</f>
        <v>-5000</v>
      </c>
      <c r="EV96" s="118" t="n">
        <f aca="false">-$B$74</f>
        <v>-5000</v>
      </c>
      <c r="EW96" s="118" t="n">
        <f aca="false">-$B$74</f>
        <v>-5000</v>
      </c>
      <c r="EX96" s="118" t="n">
        <f aca="false">-$B$74</f>
        <v>-5000</v>
      </c>
      <c r="EY96" s="118" t="n">
        <f aca="false">-$B$74</f>
        <v>-5000</v>
      </c>
      <c r="EZ96" s="118" t="n">
        <f aca="false">-$B$74</f>
        <v>-5000</v>
      </c>
      <c r="FA96" s="118" t="n">
        <f aca="false">-$B$74</f>
        <v>-5000</v>
      </c>
      <c r="FB96" s="118" t="n">
        <f aca="false">-$B$74</f>
        <v>-5000</v>
      </c>
      <c r="FC96" s="118" t="n">
        <f aca="false">-$B$74</f>
        <v>-5000</v>
      </c>
      <c r="FD96" s="118" t="n">
        <f aca="false">-$B$74</f>
        <v>-5000</v>
      </c>
      <c r="FE96" s="118" t="n">
        <f aca="false">-$B$74</f>
        <v>-5000</v>
      </c>
      <c r="FF96" s="118" t="n">
        <f aca="false">-$B$74</f>
        <v>-5000</v>
      </c>
      <c r="FG96" s="118" t="n">
        <f aca="false">-$B$74</f>
        <v>-5000</v>
      </c>
      <c r="FH96" s="118" t="n">
        <f aca="false">-$B$74</f>
        <v>-5000</v>
      </c>
      <c r="FI96" s="118" t="n">
        <f aca="false">-$B$74</f>
        <v>-5000</v>
      </c>
      <c r="FJ96" s="118" t="n">
        <f aca="false">-$B$74</f>
        <v>-5000</v>
      </c>
      <c r="FK96" s="118" t="n">
        <f aca="false">-$B$74</f>
        <v>-5000</v>
      </c>
      <c r="FL96" s="118" t="n">
        <f aca="false">-$B$74</f>
        <v>-5000</v>
      </c>
      <c r="FM96" s="118" t="n">
        <f aca="false">-$B$74</f>
        <v>-5000</v>
      </c>
      <c r="FN96" s="118" t="n">
        <f aca="false">-$B$74</f>
        <v>-5000</v>
      </c>
      <c r="FO96" s="118" t="n">
        <f aca="false">-$B$74</f>
        <v>-5000</v>
      </c>
      <c r="FP96" s="118" t="n">
        <f aca="false">-$B$74</f>
        <v>-5000</v>
      </c>
      <c r="FQ96" s="118" t="n">
        <f aca="false">-$B$74</f>
        <v>-5000</v>
      </c>
      <c r="FR96" s="118" t="n">
        <f aca="false">-$B$74</f>
        <v>-5000</v>
      </c>
      <c r="FS96" s="118" t="n">
        <f aca="false">-$B$74</f>
        <v>-5000</v>
      </c>
      <c r="FT96" s="118" t="n">
        <f aca="false">-$B$74</f>
        <v>-5000</v>
      </c>
      <c r="FU96" s="118" t="n">
        <f aca="false">-$B$74</f>
        <v>-5000</v>
      </c>
      <c r="FV96" s="118" t="n">
        <f aca="false">-$B$74</f>
        <v>-5000</v>
      </c>
      <c r="FW96" s="118" t="n">
        <f aca="false">-$B$74</f>
        <v>-5000</v>
      </c>
      <c r="FX96" s="118" t="n">
        <f aca="false">-$B$74</f>
        <v>-5000</v>
      </c>
      <c r="FY96" s="118" t="n">
        <f aca="false">-$B$74</f>
        <v>-5000</v>
      </c>
      <c r="FZ96" s="118" t="n">
        <f aca="false">-$B$74</f>
        <v>-5000</v>
      </c>
      <c r="GA96" s="118" t="n">
        <f aca="false">-$B$74</f>
        <v>-5000</v>
      </c>
      <c r="GB96" s="118" t="n">
        <f aca="false">-$B$74</f>
        <v>-5000</v>
      </c>
      <c r="GC96" s="118" t="n">
        <f aca="false">-$B$74</f>
        <v>-5000</v>
      </c>
      <c r="GD96" s="118" t="n">
        <f aca="false">-$B$74</f>
        <v>-5000</v>
      </c>
      <c r="GE96" s="118" t="n">
        <f aca="false">-$B$74</f>
        <v>-5000</v>
      </c>
      <c r="GF96" s="118" t="n">
        <f aca="false">-$B$74</f>
        <v>-5000</v>
      </c>
      <c r="GG96" s="118" t="n">
        <f aca="false">-$B$74</f>
        <v>-5000</v>
      </c>
      <c r="GH96" s="118" t="n">
        <f aca="false">-$B$74</f>
        <v>-5000</v>
      </c>
      <c r="GI96" s="118" t="n">
        <f aca="false">-$B$74</f>
        <v>-5000</v>
      </c>
      <c r="GJ96" s="118" t="n">
        <f aca="false">-$B$74</f>
        <v>-5000</v>
      </c>
      <c r="GK96" s="118" t="n">
        <f aca="false">-$B$74</f>
        <v>-5000</v>
      </c>
      <c r="GL96" s="118" t="n">
        <f aca="false">-$B$74</f>
        <v>-5000</v>
      </c>
      <c r="GM96" s="118" t="n">
        <f aca="false">-$B$74</f>
        <v>-5000</v>
      </c>
      <c r="GN96" s="118" t="n">
        <f aca="false">-$B$74</f>
        <v>-5000</v>
      </c>
      <c r="GO96" s="118" t="n">
        <f aca="false">-$B$74</f>
        <v>-5000</v>
      </c>
      <c r="GP96" s="118" t="n">
        <f aca="false">-$B$74</f>
        <v>-5000</v>
      </c>
      <c r="GQ96" s="118" t="n">
        <f aca="false">-$B$74</f>
        <v>-5000</v>
      </c>
      <c r="GR96" s="118" t="n">
        <f aca="false">-$B$74</f>
        <v>-5000</v>
      </c>
      <c r="GS96" s="118" t="n">
        <f aca="false">-$B$74</f>
        <v>-5000</v>
      </c>
      <c r="GT96" s="118" t="n">
        <f aca="false">-$B$74</f>
        <v>-5000</v>
      </c>
      <c r="GU96" s="118" t="n">
        <f aca="false">-$B$74</f>
        <v>-5000</v>
      </c>
      <c r="GV96" s="118" t="n">
        <f aca="false">-$B$74</f>
        <v>-5000</v>
      </c>
      <c r="GW96" s="118" t="n">
        <f aca="false">-$B$74</f>
        <v>-5000</v>
      </c>
      <c r="GX96" s="118" t="n">
        <f aca="false">-$B$74</f>
        <v>-5000</v>
      </c>
      <c r="GY96" s="118" t="n">
        <f aca="false">-$B$74</f>
        <v>-5000</v>
      </c>
      <c r="GZ96" s="118" t="n">
        <f aca="false">-$B$74</f>
        <v>-5000</v>
      </c>
      <c r="HA96" s="118" t="n">
        <f aca="false">-$B$74</f>
        <v>-5000</v>
      </c>
      <c r="HB96" s="118" t="n">
        <f aca="false">-$B$74</f>
        <v>-5000</v>
      </c>
      <c r="HC96" s="118" t="n">
        <f aca="false">-$B$74</f>
        <v>-5000</v>
      </c>
      <c r="HD96" s="118" t="n">
        <f aca="false">-$B$74</f>
        <v>-5000</v>
      </c>
      <c r="HE96" s="118" t="n">
        <f aca="false">-$B$74</f>
        <v>-5000</v>
      </c>
      <c r="HF96" s="118" t="n">
        <f aca="false">-$B$74</f>
        <v>-5000</v>
      </c>
      <c r="HG96" s="118" t="n">
        <f aca="false">-$B$74</f>
        <v>-5000</v>
      </c>
      <c r="HH96" s="118" t="n">
        <f aca="false">-$B$74</f>
        <v>-5000</v>
      </c>
      <c r="HI96" s="118" t="n">
        <f aca="false">-$B$74</f>
        <v>-5000</v>
      </c>
      <c r="HJ96" s="118" t="n">
        <f aca="false">-$B$74</f>
        <v>-5000</v>
      </c>
      <c r="HK96" s="118" t="n">
        <f aca="false">-$B$74</f>
        <v>-5000</v>
      </c>
      <c r="HL96" s="118" t="n">
        <f aca="false">-$B$74</f>
        <v>-5000</v>
      </c>
      <c r="HM96" s="118" t="n">
        <f aca="false">-$B$74</f>
        <v>-5000</v>
      </c>
      <c r="HN96" s="118" t="n">
        <f aca="false">-$B$74</f>
        <v>-5000</v>
      </c>
      <c r="HO96" s="118" t="n">
        <f aca="false">-$B$74</f>
        <v>-5000</v>
      </c>
      <c r="HP96" s="118" t="n">
        <f aca="false">-$B$74</f>
        <v>-5000</v>
      </c>
      <c r="HQ96" s="118" t="n">
        <f aca="false">-$B$74</f>
        <v>-5000</v>
      </c>
      <c r="HR96" s="118" t="n">
        <f aca="false">-$B$74</f>
        <v>-5000</v>
      </c>
      <c r="HS96" s="118" t="n">
        <f aca="false">-$B$74</f>
        <v>-5000</v>
      </c>
      <c r="HT96" s="118" t="n">
        <f aca="false">-$B$74</f>
        <v>-5000</v>
      </c>
      <c r="HU96" s="118" t="n">
        <f aca="false">-$B$74</f>
        <v>-5000</v>
      </c>
      <c r="HV96" s="118" t="n">
        <f aca="false">-$B$74</f>
        <v>-5000</v>
      </c>
      <c r="HW96" s="118" t="n">
        <f aca="false">-$B$74</f>
        <v>-5000</v>
      </c>
      <c r="HX96" s="118" t="n">
        <f aca="false">-$B$74</f>
        <v>-5000</v>
      </c>
      <c r="HY96" s="118" t="n">
        <f aca="false">-$B$74</f>
        <v>-5000</v>
      </c>
      <c r="HZ96" s="118" t="n">
        <f aca="false">-$B$74</f>
        <v>-5000</v>
      </c>
      <c r="IA96" s="118" t="n">
        <f aca="false">-$B$74</f>
        <v>-5000</v>
      </c>
      <c r="IB96" s="118" t="n">
        <f aca="false">-$B$74</f>
        <v>-5000</v>
      </c>
      <c r="IC96" s="118" t="n">
        <f aca="false">-$B$74</f>
        <v>-5000</v>
      </c>
      <c r="ID96" s="118" t="n">
        <f aca="false">-$B$74</f>
        <v>-5000</v>
      </c>
      <c r="IE96" s="118" t="n">
        <f aca="false">-$B$74</f>
        <v>-5000</v>
      </c>
      <c r="IF96" s="118" t="n">
        <f aca="false">-$B$74</f>
        <v>-5000</v>
      </c>
      <c r="IG96" s="118" t="n">
        <f aca="false">-$B$74</f>
        <v>-5000</v>
      </c>
      <c r="IH96" s="118" t="n">
        <f aca="false">-$B$74</f>
        <v>-5000</v>
      </c>
      <c r="II96" s="118" t="n">
        <f aca="false">-$B$74</f>
        <v>-5000</v>
      </c>
      <c r="IJ96" s="118" t="n">
        <f aca="false">-$B$74</f>
        <v>-5000</v>
      </c>
      <c r="IK96" s="118" t="n">
        <f aca="false">-$B$74</f>
        <v>-5000</v>
      </c>
      <c r="IL96" s="118" t="n">
        <f aca="false">-$B$74</f>
        <v>-5000</v>
      </c>
      <c r="IM96" s="118" t="n">
        <f aca="false">-$B$74</f>
        <v>-5000</v>
      </c>
      <c r="IN96" s="118" t="n">
        <f aca="false">-$B$74</f>
        <v>-5000</v>
      </c>
      <c r="IO96" s="118" t="n">
        <f aca="false">-$B$74</f>
        <v>-5000</v>
      </c>
      <c r="IP96" s="118" t="n">
        <f aca="false">-$B$74</f>
        <v>-5000</v>
      </c>
      <c r="IQ96" s="118" t="n">
        <f aca="false">-$B$74</f>
        <v>-5000</v>
      </c>
      <c r="IR96" s="118" t="n">
        <f aca="false">-$B$74</f>
        <v>-5000</v>
      </c>
      <c r="IS96" s="118" t="n">
        <f aca="false">-$B$74</f>
        <v>-5000</v>
      </c>
      <c r="IT96" s="118" t="n">
        <f aca="false">-$B$74</f>
        <v>-5000</v>
      </c>
      <c r="IU96" s="118" t="n">
        <f aca="false">-$B$74</f>
        <v>-5000</v>
      </c>
      <c r="IV96" s="118" t="n">
        <f aca="false">-$B$74</f>
        <v>-5000</v>
      </c>
      <c r="IW96" s="118" t="n">
        <f aca="false">-$B$74</f>
        <v>-5000</v>
      </c>
      <c r="IX96" s="118" t="n">
        <f aca="false">-$B$74</f>
        <v>-5000</v>
      </c>
      <c r="IY96" s="118" t="n">
        <f aca="false">-$B$74</f>
        <v>-5000</v>
      </c>
      <c r="IZ96" s="118" t="n">
        <f aca="false">-$B$74</f>
        <v>-5000</v>
      </c>
      <c r="JA96" s="118" t="n">
        <f aca="false">-$B$74</f>
        <v>-5000</v>
      </c>
      <c r="JB96" s="118" t="n">
        <f aca="false">-$B$74</f>
        <v>-5000</v>
      </c>
      <c r="JC96" s="118" t="n">
        <f aca="false">-$B$74</f>
        <v>-5000</v>
      </c>
      <c r="JD96" s="118" t="n">
        <f aca="false">-$B$74</f>
        <v>-5000</v>
      </c>
      <c r="JE96" s="118" t="n">
        <f aca="false">-$B$74</f>
        <v>-5000</v>
      </c>
      <c r="JF96" s="118" t="n">
        <f aca="false">-$B$74</f>
        <v>-5000</v>
      </c>
      <c r="JG96" s="118" t="n">
        <f aca="false">-$B$74</f>
        <v>-5000</v>
      </c>
      <c r="JH96" s="118" t="n">
        <f aca="false">-$B$74</f>
        <v>-5000</v>
      </c>
      <c r="JI96" s="118" t="n">
        <f aca="false">-$B$74</f>
        <v>-5000</v>
      </c>
      <c r="JJ96" s="118" t="n">
        <f aca="false">-$B$74</f>
        <v>-5000</v>
      </c>
      <c r="JK96" s="118" t="n">
        <f aca="false">-$B$74</f>
        <v>-5000</v>
      </c>
      <c r="JL96" s="118" t="n">
        <f aca="false">-$B$74</f>
        <v>-5000</v>
      </c>
      <c r="JM96" s="118" t="n">
        <f aca="false">-$B$74</f>
        <v>-5000</v>
      </c>
      <c r="JN96" s="118" t="n">
        <f aca="false">-$B$74</f>
        <v>-5000</v>
      </c>
      <c r="JO96" s="118" t="n">
        <f aca="false">-$B$74</f>
        <v>-5000</v>
      </c>
      <c r="JP96" s="118" t="n">
        <f aca="false">-$B$74</f>
        <v>-5000</v>
      </c>
      <c r="JQ96" s="118" t="n">
        <f aca="false">-$B$74</f>
        <v>-5000</v>
      </c>
      <c r="JR96" s="118" t="n">
        <f aca="false">-$B$74</f>
        <v>-5000</v>
      </c>
      <c r="JS96" s="118" t="n">
        <f aca="false">-$B$74</f>
        <v>-5000</v>
      </c>
      <c r="JT96" s="118" t="n">
        <f aca="false">-$B$74</f>
        <v>-5000</v>
      </c>
      <c r="JU96" s="118" t="n">
        <f aca="false">-$B$74</f>
        <v>-5000</v>
      </c>
      <c r="JV96" s="118" t="n">
        <f aca="false">-$B$74</f>
        <v>-5000</v>
      </c>
      <c r="JW96" s="118" t="n">
        <f aca="false">-$B$74</f>
        <v>-5000</v>
      </c>
      <c r="JX96" s="118" t="n">
        <f aca="false">-$B$74</f>
        <v>-5000</v>
      </c>
      <c r="JY96" s="118" t="n">
        <f aca="false">-$B$74</f>
        <v>-5000</v>
      </c>
      <c r="JZ96" s="118" t="n">
        <f aca="false">-$B$74</f>
        <v>-5000</v>
      </c>
      <c r="KA96" s="118" t="n">
        <f aca="false">-$B$74</f>
        <v>-5000</v>
      </c>
      <c r="KB96" s="118" t="n">
        <f aca="false">-$B$74</f>
        <v>-5000</v>
      </c>
      <c r="KC96" s="118" t="n">
        <f aca="false">-$B$74</f>
        <v>-5000</v>
      </c>
      <c r="KD96" s="118" t="n">
        <f aca="false">-$B$74</f>
        <v>-5000</v>
      </c>
      <c r="KE96" s="118" t="n">
        <f aca="false">-$B$74</f>
        <v>-5000</v>
      </c>
      <c r="KF96" s="118" t="n">
        <f aca="false">-$B$74</f>
        <v>-5000</v>
      </c>
      <c r="KG96" s="118" t="n">
        <f aca="false">-$B$74</f>
        <v>-5000</v>
      </c>
      <c r="KH96" s="118" t="n">
        <f aca="false">-$B$74</f>
        <v>-5000</v>
      </c>
      <c r="KI96" s="118" t="n">
        <f aca="false">-$B$74</f>
        <v>-5000</v>
      </c>
      <c r="KJ96" s="118" t="n">
        <f aca="false">-$B$74</f>
        <v>-5000</v>
      </c>
      <c r="KK96" s="118" t="n">
        <f aca="false">-$B$74</f>
        <v>-5000</v>
      </c>
      <c r="KL96" s="118" t="n">
        <f aca="false">-$B$74</f>
        <v>-5000</v>
      </c>
      <c r="KM96" s="118" t="n">
        <f aca="false">-$B$74</f>
        <v>-5000</v>
      </c>
      <c r="KN96" s="118" t="n">
        <f aca="false">-$B$74</f>
        <v>-5000</v>
      </c>
      <c r="KO96" s="118" t="n">
        <f aca="false">-$B$74</f>
        <v>-5000</v>
      </c>
      <c r="KP96" s="118" t="n">
        <f aca="false">-$B$74</f>
        <v>-5000</v>
      </c>
      <c r="KQ96" s="118" t="n">
        <f aca="false">-$B$74</f>
        <v>-5000</v>
      </c>
      <c r="KR96" s="118" t="n">
        <f aca="false">-$B$74</f>
        <v>-5000</v>
      </c>
      <c r="KS96" s="118" t="n">
        <f aca="false">-$B$74</f>
        <v>-5000</v>
      </c>
      <c r="KT96" s="118" t="n">
        <f aca="false">-$B$74</f>
        <v>-5000</v>
      </c>
      <c r="KU96" s="118" t="n">
        <f aca="false">-$B$74</f>
        <v>-5000</v>
      </c>
      <c r="KV96" s="118" t="n">
        <f aca="false">-$B$74</f>
        <v>-5000</v>
      </c>
      <c r="KW96" s="118" t="n">
        <f aca="false">-$B$74</f>
        <v>-5000</v>
      </c>
      <c r="KX96" s="118" t="n">
        <f aca="false">-$B$74</f>
        <v>-5000</v>
      </c>
      <c r="KY96" s="118" t="n">
        <f aca="false">-$B$74</f>
        <v>-5000</v>
      </c>
      <c r="KZ96" s="118" t="n">
        <f aca="false">-$B$74</f>
        <v>-5000</v>
      </c>
      <c r="LA96" s="118" t="n">
        <f aca="false">-$B$74</f>
        <v>-5000</v>
      </c>
      <c r="LB96" s="118" t="n">
        <f aca="false">-$B$74</f>
        <v>-5000</v>
      </c>
      <c r="LC96" s="118" t="n">
        <f aca="false">-$B$74</f>
        <v>-5000</v>
      </c>
      <c r="LD96" s="118" t="n">
        <f aca="false">-$B$74</f>
        <v>-5000</v>
      </c>
      <c r="LE96" s="118" t="n">
        <f aca="false">-$B$74</f>
        <v>-5000</v>
      </c>
      <c r="LF96" s="118" t="n">
        <f aca="false">-$B$74</f>
        <v>-5000</v>
      </c>
      <c r="LG96" s="118" t="n">
        <f aca="false">-$B$74</f>
        <v>-5000</v>
      </c>
      <c r="LH96" s="118" t="n">
        <f aca="false">-$B$74</f>
        <v>-5000</v>
      </c>
      <c r="LI96" s="118" t="n">
        <f aca="false">-$B$74</f>
        <v>-5000</v>
      </c>
      <c r="LJ96" s="118" t="n">
        <f aca="false">-$B$74</f>
        <v>-5000</v>
      </c>
      <c r="LK96" s="118" t="n">
        <f aca="false">-$B$74</f>
        <v>-5000</v>
      </c>
      <c r="LL96" s="118" t="n">
        <f aca="false">-$B$74</f>
        <v>-5000</v>
      </c>
      <c r="LM96" s="118" t="n">
        <f aca="false">-$B$74</f>
        <v>-5000</v>
      </c>
      <c r="LN96" s="118" t="n">
        <f aca="false">-$B$74</f>
        <v>-5000</v>
      </c>
      <c r="LO96" s="118" t="n">
        <f aca="false">-$B$74</f>
        <v>-5000</v>
      </c>
      <c r="LP96" s="118" t="n">
        <f aca="false">-$B$74</f>
        <v>-5000</v>
      </c>
      <c r="LQ96" s="118" t="n">
        <f aca="false">-$B$74</f>
        <v>-5000</v>
      </c>
      <c r="LR96" s="118" t="n">
        <f aca="false">-$B$74</f>
        <v>-5000</v>
      </c>
      <c r="LS96" s="118" t="n">
        <f aca="false">-$B$74</f>
        <v>-5000</v>
      </c>
      <c r="LT96" s="118" t="n">
        <f aca="false">-$B$74</f>
        <v>-5000</v>
      </c>
      <c r="LU96" s="118" t="n">
        <f aca="false">-$B$74</f>
        <v>-5000</v>
      </c>
      <c r="LV96" s="118" t="n">
        <f aca="false">-$B$74</f>
        <v>-5000</v>
      </c>
      <c r="LW96" s="118" t="n">
        <f aca="false">-$B$74</f>
        <v>-5000</v>
      </c>
      <c r="LX96" s="118" t="n">
        <f aca="false">-$B$74</f>
        <v>-5000</v>
      </c>
      <c r="LY96" s="118" t="n">
        <f aca="false">-$B$74</f>
        <v>-5000</v>
      </c>
      <c r="LZ96" s="118" t="n">
        <f aca="false">-$B$74</f>
        <v>-5000</v>
      </c>
      <c r="MA96" s="118" t="n">
        <f aca="false">-$B$74</f>
        <v>-5000</v>
      </c>
      <c r="MB96" s="118" t="n">
        <f aca="false">-$B$74</f>
        <v>-5000</v>
      </c>
      <c r="MC96" s="118" t="n">
        <f aca="false">-$B$74</f>
        <v>-5000</v>
      </c>
      <c r="MD96" s="118" t="n">
        <f aca="false">-$B$74</f>
        <v>-5000</v>
      </c>
      <c r="ME96" s="118" t="n">
        <f aca="false">-$B$74</f>
        <v>-5000</v>
      </c>
      <c r="MF96" s="118" t="n">
        <f aca="false">-$B$74</f>
        <v>-5000</v>
      </c>
      <c r="MG96" s="118" t="n">
        <f aca="false">-$B$74</f>
        <v>-5000</v>
      </c>
      <c r="MH96" s="118" t="n">
        <f aca="false">-$B$74</f>
        <v>-5000</v>
      </c>
      <c r="MI96" s="118" t="n">
        <f aca="false">-$B$74</f>
        <v>-5000</v>
      </c>
      <c r="MJ96" s="118" t="n">
        <f aca="false">-$B$74</f>
        <v>-5000</v>
      </c>
      <c r="MK96" s="118" t="n">
        <f aca="false">-$B$74</f>
        <v>-5000</v>
      </c>
      <c r="ML96" s="118" t="n">
        <f aca="false">-$B$74</f>
        <v>-5000</v>
      </c>
      <c r="MM96" s="118" t="n">
        <f aca="false">-$B$74</f>
        <v>-5000</v>
      </c>
      <c r="MN96" s="118" t="n">
        <f aca="false">-$B$74</f>
        <v>-5000</v>
      </c>
      <c r="MO96" s="118" t="n">
        <f aca="false">-$B$74</f>
        <v>-5000</v>
      </c>
      <c r="MP96" s="118" t="n">
        <f aca="false">-$B$74</f>
        <v>-5000</v>
      </c>
      <c r="MQ96" s="118" t="n">
        <f aca="false">-$B$74</f>
        <v>-5000</v>
      </c>
      <c r="MR96" s="118" t="n">
        <f aca="false">-$B$74</f>
        <v>-5000</v>
      </c>
      <c r="MS96" s="118" t="n">
        <f aca="false">-$B$74</f>
        <v>-5000</v>
      </c>
      <c r="MT96" s="118" t="n">
        <f aca="false">-$B$74</f>
        <v>-5000</v>
      </c>
      <c r="MU96" s="118" t="n">
        <f aca="false">-$B$74</f>
        <v>-5000</v>
      </c>
      <c r="MV96" s="118" t="n">
        <f aca="false">-$B$74</f>
        <v>-5000</v>
      </c>
      <c r="MW96" s="118" t="n">
        <f aca="false">-$B$74</f>
        <v>-5000</v>
      </c>
      <c r="MX96" s="118" t="n">
        <f aca="false">-$B$74</f>
        <v>-5000</v>
      </c>
      <c r="MY96" s="118" t="n">
        <f aca="false">-$B$74</f>
        <v>-5000</v>
      </c>
      <c r="MZ96" s="118" t="n">
        <f aca="false">-$B$74</f>
        <v>-5000</v>
      </c>
      <c r="NA96" s="118" t="n">
        <f aca="false">-$B$74</f>
        <v>-5000</v>
      </c>
      <c r="NB96" s="118" t="n">
        <f aca="false">-$B$74</f>
        <v>-5000</v>
      </c>
      <c r="NC96" s="118" t="n">
        <f aca="false">-$B$74</f>
        <v>-5000</v>
      </c>
      <c r="ND96" s="118" t="n">
        <f aca="false">-$B$74</f>
        <v>-5000</v>
      </c>
      <c r="NE96" s="118" t="n">
        <f aca="false">-$B$74</f>
        <v>-5000</v>
      </c>
      <c r="NF96" s="118" t="n">
        <f aca="false">-$B$74</f>
        <v>-5000</v>
      </c>
      <c r="NG96" s="118" t="n">
        <f aca="false">-$B$74</f>
        <v>-5000</v>
      </c>
      <c r="NH96" s="118" t="n">
        <f aca="false">-$B$74</f>
        <v>-5000</v>
      </c>
      <c r="NI96" s="118" t="n">
        <f aca="false">-$B$74</f>
        <v>-5000</v>
      </c>
      <c r="NJ96" s="118" t="n">
        <f aca="false">-$B$74</f>
        <v>-5000</v>
      </c>
      <c r="NK96" s="118" t="n">
        <f aca="false">-$B$74</f>
        <v>-5000</v>
      </c>
      <c r="NL96" s="118" t="n">
        <f aca="false">-$B$74</f>
        <v>-5000</v>
      </c>
      <c r="NM96" s="118" t="n">
        <f aca="false">-$B$74</f>
        <v>-5000</v>
      </c>
      <c r="NN96" s="118" t="n">
        <f aca="false">-$B$74</f>
        <v>-5000</v>
      </c>
      <c r="NO96" s="118" t="n">
        <f aca="false">-$B$74</f>
        <v>-5000</v>
      </c>
      <c r="NP96" s="118" t="n">
        <f aca="false">-$B$74</f>
        <v>-5000</v>
      </c>
      <c r="NQ96" s="118" t="n">
        <f aca="false">-$B$74</f>
        <v>-5000</v>
      </c>
      <c r="NR96" s="118" t="n">
        <f aca="false">-$B$74</f>
        <v>-5000</v>
      </c>
      <c r="NS96" s="118" t="n">
        <f aca="false">-$B$74</f>
        <v>-5000</v>
      </c>
      <c r="NT96" s="118" t="n">
        <f aca="false">-$B$74</f>
        <v>-5000</v>
      </c>
      <c r="NU96" s="118" t="n">
        <f aca="false">-$B$74</f>
        <v>-5000</v>
      </c>
      <c r="NV96" s="118" t="n">
        <f aca="false">-$B$74</f>
        <v>-5000</v>
      </c>
      <c r="NW96" s="118" t="n">
        <f aca="false">-$B$74</f>
        <v>-5000</v>
      </c>
      <c r="NX96" s="118" t="n">
        <f aca="false">-$B$74</f>
        <v>-5000</v>
      </c>
      <c r="NY96" s="118" t="n">
        <f aca="false">-$B$74</f>
        <v>-5000</v>
      </c>
      <c r="NZ96" s="118" t="n">
        <f aca="false">-$B$74</f>
        <v>-5000</v>
      </c>
      <c r="OA96" s="118" t="n">
        <f aca="false">-$B$74</f>
        <v>-5000</v>
      </c>
      <c r="OB96" s="118" t="n">
        <f aca="false">-$B$74</f>
        <v>-5000</v>
      </c>
      <c r="OC96" s="118" t="n">
        <f aca="false">-$B$74</f>
        <v>-5000</v>
      </c>
      <c r="OD96" s="118" t="n">
        <f aca="false">-$B$74</f>
        <v>-5000</v>
      </c>
      <c r="OE96" s="118" t="n">
        <f aca="false">-$B$74</f>
        <v>-5000</v>
      </c>
      <c r="OF96" s="118" t="n">
        <f aca="false">-$B$74</f>
        <v>-5000</v>
      </c>
      <c r="OG96" s="118" t="n">
        <f aca="false">-$B$74</f>
        <v>-5000</v>
      </c>
      <c r="OH96" s="118" t="n">
        <f aca="false">-$B$74</f>
        <v>-5000</v>
      </c>
      <c r="OI96" s="118" t="n">
        <f aca="false">-$B$74</f>
        <v>-5000</v>
      </c>
      <c r="OJ96" s="118" t="n">
        <f aca="false">-$B$74</f>
        <v>-5000</v>
      </c>
      <c r="OK96" s="118" t="n">
        <f aca="false">-$B$74</f>
        <v>-5000</v>
      </c>
      <c r="OL96" s="118" t="n">
        <f aca="false">-$B$74</f>
        <v>-5000</v>
      </c>
      <c r="OM96" s="118" t="n">
        <f aca="false">-$B$74</f>
        <v>-5000</v>
      </c>
      <c r="ON96" s="118" t="n">
        <f aca="false">-$B$74</f>
        <v>-5000</v>
      </c>
      <c r="OO96" s="118" t="n">
        <f aca="false">-$B$74</f>
        <v>-5000</v>
      </c>
      <c r="OP96" s="118" t="n">
        <f aca="false">-$B$74</f>
        <v>-5000</v>
      </c>
      <c r="OQ96" s="118" t="n">
        <f aca="false">-$B$74</f>
        <v>-5000</v>
      </c>
      <c r="OR96" s="118" t="n">
        <f aca="false">-$B$74</f>
        <v>-5000</v>
      </c>
      <c r="OS96" s="118" t="n">
        <f aca="false">-$B$74</f>
        <v>-5000</v>
      </c>
      <c r="OT96" s="118" t="n">
        <f aca="false">-$B$74</f>
        <v>-5000</v>
      </c>
      <c r="OU96" s="118" t="n">
        <f aca="false">-$B$74</f>
        <v>-5000</v>
      </c>
      <c r="OV96" s="118" t="n">
        <f aca="false">-$B$74</f>
        <v>-5000</v>
      </c>
      <c r="OW96" s="118" t="n">
        <f aca="false">-$B$74</f>
        <v>-5000</v>
      </c>
      <c r="OX96" s="118" t="n">
        <f aca="false">-$B$74</f>
        <v>-5000</v>
      </c>
      <c r="OY96" s="118" t="n">
        <f aca="false">-$B$74</f>
        <v>-5000</v>
      </c>
      <c r="OZ96" s="118" t="n">
        <f aca="false">-$B$74</f>
        <v>-5000</v>
      </c>
      <c r="PA96" s="118" t="n">
        <f aca="false">-$B$74</f>
        <v>-5000</v>
      </c>
      <c r="PB96" s="118" t="n">
        <f aca="false">-$B$74</f>
        <v>-5000</v>
      </c>
      <c r="PC96" s="118" t="n">
        <f aca="false">-$B$74</f>
        <v>-5000</v>
      </c>
      <c r="PD96" s="118" t="n">
        <f aca="false">-$B$74</f>
        <v>-5000</v>
      </c>
      <c r="PE96" s="118" t="n">
        <f aca="false">-$B$74</f>
        <v>-5000</v>
      </c>
      <c r="PF96" s="118" t="n">
        <f aca="false">-$B$74</f>
        <v>-5000</v>
      </c>
      <c r="PG96" s="118" t="n">
        <f aca="false">-$B$74</f>
        <v>-5000</v>
      </c>
      <c r="PH96" s="118" t="n">
        <f aca="false">-$B$74</f>
        <v>-5000</v>
      </c>
      <c r="PI96" s="118" t="n">
        <f aca="false">-$B$74</f>
        <v>-5000</v>
      </c>
      <c r="PJ96" s="118" t="n">
        <f aca="false">-$B$74</f>
        <v>-5000</v>
      </c>
      <c r="PK96" s="118" t="n">
        <f aca="false">-$B$74</f>
        <v>-5000</v>
      </c>
      <c r="PL96" s="118" t="n">
        <f aca="false">-$B$74</f>
        <v>-5000</v>
      </c>
      <c r="PM96" s="118" t="n">
        <f aca="false">-$B$74</f>
        <v>-5000</v>
      </c>
      <c r="PN96" s="118" t="n">
        <f aca="false">-$B$74</f>
        <v>-5000</v>
      </c>
      <c r="PO96" s="118" t="n">
        <f aca="false">-$B$74</f>
        <v>-5000</v>
      </c>
      <c r="PP96" s="118" t="n">
        <f aca="false">-$B$74</f>
        <v>-5000</v>
      </c>
      <c r="PQ96" s="118" t="n">
        <f aca="false">-$B$74</f>
        <v>-5000</v>
      </c>
      <c r="PR96" s="118" t="n">
        <f aca="false">-$B$74</f>
        <v>-5000</v>
      </c>
      <c r="PS96" s="118" t="n">
        <f aca="false">-$B$74</f>
        <v>-5000</v>
      </c>
      <c r="PT96" s="118" t="n">
        <f aca="false">-$B$74</f>
        <v>-5000</v>
      </c>
      <c r="PU96" s="118" t="n">
        <f aca="false">-$B$74</f>
        <v>-5000</v>
      </c>
      <c r="PV96" s="118" t="n">
        <f aca="false">-$B$74</f>
        <v>-5000</v>
      </c>
      <c r="PW96" s="118" t="n">
        <f aca="false">-$B$74</f>
        <v>-5000</v>
      </c>
      <c r="PX96" s="118" t="n">
        <f aca="false">-$B$74</f>
        <v>-5000</v>
      </c>
      <c r="PY96" s="118" t="n">
        <f aca="false">-$B$74</f>
        <v>-5000</v>
      </c>
      <c r="PZ96" s="118" t="n">
        <f aca="false">-$B$74</f>
        <v>-5000</v>
      </c>
      <c r="QA96" s="118" t="n">
        <f aca="false">-$B$74</f>
        <v>-5000</v>
      </c>
      <c r="QB96" s="118" t="n">
        <f aca="false">-$B$74</f>
        <v>-5000</v>
      </c>
      <c r="QC96" s="118" t="n">
        <f aca="false">-$B$74</f>
        <v>-5000</v>
      </c>
      <c r="QD96" s="118" t="n">
        <f aca="false">-$B$74</f>
        <v>-5000</v>
      </c>
      <c r="QE96" s="118" t="n">
        <f aca="false">-$B$74</f>
        <v>-5000</v>
      </c>
      <c r="QF96" s="118" t="n">
        <f aca="false">-$B$74</f>
        <v>-5000</v>
      </c>
      <c r="QG96" s="118" t="n">
        <f aca="false">-$B$74</f>
        <v>-5000</v>
      </c>
      <c r="QH96" s="118" t="n">
        <f aca="false">-$B$74</f>
        <v>-5000</v>
      </c>
      <c r="QI96" s="118" t="n">
        <f aca="false">-$B$74</f>
        <v>-5000</v>
      </c>
      <c r="QJ96" s="118" t="n">
        <f aca="false">-$B$74</f>
        <v>-5000</v>
      </c>
      <c r="QK96" s="118" t="n">
        <f aca="false">-$B$74</f>
        <v>-5000</v>
      </c>
      <c r="QL96" s="118" t="n">
        <f aca="false">-$B$74</f>
        <v>-5000</v>
      </c>
      <c r="QM96" s="118" t="n">
        <f aca="false">-$B$74</f>
        <v>-5000</v>
      </c>
      <c r="QN96" s="118" t="n">
        <f aca="false">-$B$74</f>
        <v>-5000</v>
      </c>
      <c r="QO96" s="118" t="n">
        <f aca="false">-$B$74</f>
        <v>-5000</v>
      </c>
      <c r="QP96" s="118" t="n">
        <f aca="false">-$B$74</f>
        <v>-5000</v>
      </c>
      <c r="QQ96" s="118" t="n">
        <f aca="false">-$B$74</f>
        <v>-5000</v>
      </c>
      <c r="QR96" s="118" t="n">
        <f aca="false">-$B$74</f>
        <v>-5000</v>
      </c>
      <c r="QS96" s="118" t="n">
        <f aca="false">-$B$74</f>
        <v>-5000</v>
      </c>
      <c r="QT96" s="118" t="n">
        <f aca="false">-$B$74</f>
        <v>-5000</v>
      </c>
      <c r="QU96" s="118" t="n">
        <f aca="false">-$B$74</f>
        <v>-5000</v>
      </c>
      <c r="QV96" s="118" t="n">
        <f aca="false">-$B$74</f>
        <v>-5000</v>
      </c>
      <c r="QW96" s="118" t="n">
        <f aca="false">-$B$74</f>
        <v>-5000</v>
      </c>
      <c r="QX96" s="118" t="n">
        <f aca="false">-$B$74</f>
        <v>-5000</v>
      </c>
      <c r="QY96" s="118" t="n">
        <f aca="false">-$B$74</f>
        <v>-5000</v>
      </c>
      <c r="QZ96" s="118" t="n">
        <f aca="false">-$B$74</f>
        <v>-5000</v>
      </c>
      <c r="RA96" s="118" t="n">
        <f aca="false">-$B$74</f>
        <v>-5000</v>
      </c>
      <c r="RB96" s="118" t="n">
        <f aca="false">-$B$74</f>
        <v>-5000</v>
      </c>
      <c r="RC96" s="118" t="n">
        <f aca="false">-$B$74</f>
        <v>-5000</v>
      </c>
      <c r="RD96" s="118" t="n">
        <f aca="false">-$B$74</f>
        <v>-5000</v>
      </c>
      <c r="RE96" s="118" t="n">
        <f aca="false">-$B$74</f>
        <v>-5000</v>
      </c>
      <c r="RF96" s="118" t="n">
        <f aca="false">-$B$74</f>
        <v>-5000</v>
      </c>
      <c r="RG96" s="118" t="n">
        <f aca="false">-$B$74</f>
        <v>-5000</v>
      </c>
      <c r="RH96" s="118" t="n">
        <f aca="false">-$B$74</f>
        <v>-5000</v>
      </c>
      <c r="RI96" s="118" t="n">
        <f aca="false">-$B$74</f>
        <v>-5000</v>
      </c>
      <c r="RJ96" s="118" t="n">
        <f aca="false">-$B$74</f>
        <v>-5000</v>
      </c>
      <c r="RK96" s="118" t="n">
        <f aca="false">-$B$74</f>
        <v>-5000</v>
      </c>
      <c r="RL96" s="118" t="n">
        <f aca="false">-$B$74</f>
        <v>-5000</v>
      </c>
      <c r="RM96" s="118" t="n">
        <f aca="false">-$B$74</f>
        <v>-5000</v>
      </c>
      <c r="RN96" s="118" t="n">
        <f aca="false">-$B$74</f>
        <v>-5000</v>
      </c>
      <c r="RO96" s="118" t="n">
        <f aca="false">-$B$74</f>
        <v>-5000</v>
      </c>
      <c r="RP96" s="118" t="n">
        <f aca="false">-$B$74</f>
        <v>-5000</v>
      </c>
      <c r="RQ96" s="118" t="n">
        <f aca="false">-$B$74</f>
        <v>-5000</v>
      </c>
      <c r="RR96" s="118" t="n">
        <f aca="false">-$B$74</f>
        <v>-5000</v>
      </c>
      <c r="RS96" s="118" t="n">
        <f aca="false">-$B$74</f>
        <v>-5000</v>
      </c>
      <c r="RT96" s="118" t="n">
        <f aca="false">-$B$74</f>
        <v>-5000</v>
      </c>
      <c r="RU96" s="118" t="n">
        <f aca="false">-$B$74</f>
        <v>-5000</v>
      </c>
      <c r="RV96" s="118" t="n">
        <f aca="false">-$B$74</f>
        <v>-5000</v>
      </c>
      <c r="RW96" s="118" t="n">
        <f aca="false">-$B$74</f>
        <v>-5000</v>
      </c>
      <c r="RX96" s="118" t="n">
        <f aca="false">-$B$74</f>
        <v>-5000</v>
      </c>
      <c r="RY96" s="118" t="n">
        <f aca="false">-$B$74</f>
        <v>-5000</v>
      </c>
      <c r="RZ96" s="118" t="n">
        <f aca="false">-$B$74</f>
        <v>-5000</v>
      </c>
      <c r="SA96" s="118" t="n">
        <f aca="false">-$B$74</f>
        <v>-5000</v>
      </c>
      <c r="SB96" s="118" t="n">
        <f aca="false">-$B$74</f>
        <v>-5000</v>
      </c>
      <c r="SC96" s="118" t="n">
        <f aca="false">-$B$74</f>
        <v>-5000</v>
      </c>
      <c r="SD96" s="118" t="n">
        <f aca="false">-$B$74</f>
        <v>-5000</v>
      </c>
      <c r="SE96" s="118" t="n">
        <f aca="false">-$B$74</f>
        <v>-5000</v>
      </c>
      <c r="SF96" s="118" t="n">
        <f aca="false">-$B$74</f>
        <v>-5000</v>
      </c>
      <c r="SG96" s="118" t="n">
        <f aca="false">-$B$74</f>
        <v>-5000</v>
      </c>
      <c r="SH96" s="118" t="n">
        <f aca="false">-$B$74</f>
        <v>-5000</v>
      </c>
      <c r="SI96" s="118" t="n">
        <f aca="false">-$B$74</f>
        <v>-5000</v>
      </c>
      <c r="SJ96" s="118" t="n">
        <f aca="false">-$B$74</f>
        <v>-5000</v>
      </c>
      <c r="SK96" s="118" t="n">
        <f aca="false">-$B$74</f>
        <v>-5000</v>
      </c>
      <c r="SL96" s="118" t="n">
        <f aca="false">-$B$74</f>
        <v>-5000</v>
      </c>
      <c r="SM96" s="118" t="n">
        <f aca="false">-$B$74</f>
        <v>-5000</v>
      </c>
      <c r="SN96" s="118" t="n">
        <f aca="false">-$B$74</f>
        <v>-5000</v>
      </c>
      <c r="SO96" s="118" t="n">
        <f aca="false">-$B$74</f>
        <v>-5000</v>
      </c>
      <c r="SP96" s="118" t="n">
        <f aca="false">-$B$74</f>
        <v>-5000</v>
      </c>
      <c r="SQ96" s="118" t="n">
        <f aca="false">-$B$74</f>
        <v>-5000</v>
      </c>
      <c r="SR96" s="118" t="n">
        <f aca="false">-$B$74</f>
        <v>-5000</v>
      </c>
      <c r="SS96" s="118" t="n">
        <f aca="false">-$B$74</f>
        <v>-5000</v>
      </c>
      <c r="ST96" s="118" t="n">
        <f aca="false">-$B$74</f>
        <v>-5000</v>
      </c>
      <c r="SU96" s="118" t="n">
        <f aca="false">-$B$74</f>
        <v>-5000</v>
      </c>
      <c r="SV96" s="118" t="n">
        <f aca="false">-$B$74</f>
        <v>-5000</v>
      </c>
      <c r="SW96" s="118" t="n">
        <f aca="false">-$B$74</f>
        <v>-5000</v>
      </c>
      <c r="SX96" s="118" t="n">
        <f aca="false">-$B$74</f>
        <v>-5000</v>
      </c>
      <c r="SY96" s="118" t="n">
        <f aca="false">-$B$74</f>
        <v>-5000</v>
      </c>
      <c r="SZ96" s="118" t="n">
        <f aca="false">-$B$74</f>
        <v>-5000</v>
      </c>
      <c r="TA96" s="118" t="n">
        <f aca="false">-$B$74</f>
        <v>-5000</v>
      </c>
      <c r="TB96" s="118" t="n">
        <f aca="false">-$B$74</f>
        <v>-5000</v>
      </c>
      <c r="TC96" s="118" t="n">
        <f aca="false">-$B$74</f>
        <v>-5000</v>
      </c>
      <c r="TD96" s="118" t="n">
        <f aca="false">-$B$74</f>
        <v>-5000</v>
      </c>
      <c r="TE96" s="118" t="n">
        <f aca="false">-$B$74</f>
        <v>-5000</v>
      </c>
      <c r="TF96" s="118" t="n">
        <f aca="false">-$B$74</f>
        <v>-5000</v>
      </c>
      <c r="TG96" s="118" t="n">
        <f aca="false">-$B$74</f>
        <v>-5000</v>
      </c>
      <c r="TH96" s="118" t="n">
        <f aca="false">-$B$74</f>
        <v>-5000</v>
      </c>
      <c r="TI96" s="118" t="n">
        <f aca="false">-$B$74</f>
        <v>-5000</v>
      </c>
      <c r="TJ96" s="118" t="n">
        <f aca="false">-$B$74</f>
        <v>-5000</v>
      </c>
      <c r="TK96" s="118" t="n">
        <f aca="false">-$B$74</f>
        <v>-5000</v>
      </c>
      <c r="TL96" s="118" t="n">
        <f aca="false">-$B$74</f>
        <v>-5000</v>
      </c>
      <c r="TM96" s="118" t="n">
        <f aca="false">-$B$74</f>
        <v>-5000</v>
      </c>
      <c r="TN96" s="118" t="n">
        <f aca="false">-$B$74</f>
        <v>-5000</v>
      </c>
      <c r="TO96" s="118" t="n">
        <f aca="false">-$B$74</f>
        <v>-5000</v>
      </c>
      <c r="TP96" s="118" t="n">
        <f aca="false">-$B$74</f>
        <v>-5000</v>
      </c>
      <c r="TQ96" s="118" t="n">
        <f aca="false">-$B$74</f>
        <v>-5000</v>
      </c>
      <c r="TR96" s="118" t="n">
        <f aca="false">-$B$74</f>
        <v>-5000</v>
      </c>
      <c r="TS96" s="118" t="n">
        <f aca="false">-$B$74</f>
        <v>-5000</v>
      </c>
      <c r="TT96" s="118" t="n">
        <f aca="false">-$B$74</f>
        <v>-5000</v>
      </c>
      <c r="TU96" s="118" t="n">
        <f aca="false">-$B$74</f>
        <v>-5000</v>
      </c>
      <c r="TV96" s="118" t="n">
        <f aca="false">-$B$74</f>
        <v>-5000</v>
      </c>
      <c r="TW96" s="118" t="n">
        <f aca="false">-$B$74</f>
        <v>-5000</v>
      </c>
      <c r="TX96" s="118" t="n">
        <f aca="false">-$B$74</f>
        <v>-5000</v>
      </c>
      <c r="TY96" s="118" t="n">
        <f aca="false">-$B$74</f>
        <v>-5000</v>
      </c>
      <c r="TZ96" s="118" t="n">
        <f aca="false">-$B$74</f>
        <v>-5000</v>
      </c>
      <c r="UA96" s="118" t="n">
        <f aca="false">-$B$74</f>
        <v>-5000</v>
      </c>
      <c r="UB96" s="118" t="n">
        <f aca="false">-$B$74</f>
        <v>-5000</v>
      </c>
      <c r="UC96" s="118" t="n">
        <f aca="false">-$B$74</f>
        <v>-5000</v>
      </c>
      <c r="UD96" s="118" t="n">
        <f aca="false">-$B$74</f>
        <v>-5000</v>
      </c>
      <c r="UE96" s="118" t="n">
        <f aca="false">-$B$74</f>
        <v>-5000</v>
      </c>
      <c r="UF96" s="118" t="n">
        <f aca="false">-$B$74</f>
        <v>-5000</v>
      </c>
      <c r="UG96" s="118" t="n">
        <f aca="false">-$B$74</f>
        <v>-5000</v>
      </c>
      <c r="UH96" s="118" t="n">
        <f aca="false">-$B$74</f>
        <v>-5000</v>
      </c>
      <c r="UI96" s="118" t="n">
        <f aca="false">-$B$74</f>
        <v>-5000</v>
      </c>
      <c r="UJ96" s="118" t="n">
        <f aca="false">-$B$74</f>
        <v>-5000</v>
      </c>
      <c r="UK96" s="118" t="n">
        <f aca="false">-$B$74</f>
        <v>-5000</v>
      </c>
      <c r="UL96" s="118" t="n">
        <f aca="false">-$B$74</f>
        <v>-5000</v>
      </c>
      <c r="UM96" s="118" t="n">
        <f aca="false">-$B$74</f>
        <v>-5000</v>
      </c>
      <c r="UN96" s="118" t="n">
        <f aca="false">-$B$74</f>
        <v>-5000</v>
      </c>
      <c r="UO96" s="118" t="n">
        <f aca="false">-$B$74</f>
        <v>-5000</v>
      </c>
      <c r="UP96" s="118" t="n">
        <f aca="false">-$B$74</f>
        <v>-5000</v>
      </c>
      <c r="UQ96" s="118" t="n">
        <f aca="false">-$B$74</f>
        <v>-5000</v>
      </c>
      <c r="UR96" s="118" t="n">
        <f aca="false">-$B$74</f>
        <v>-5000</v>
      </c>
      <c r="US96" s="118" t="n">
        <f aca="false">-$B$74</f>
        <v>-5000</v>
      </c>
      <c r="UT96" s="118" t="n">
        <f aca="false">-$B$74</f>
        <v>-5000</v>
      </c>
      <c r="UU96" s="118" t="n">
        <f aca="false">-$B$74</f>
        <v>-5000</v>
      </c>
      <c r="UV96" s="118" t="n">
        <f aca="false">-$B$74</f>
        <v>-5000</v>
      </c>
      <c r="UW96" s="118" t="n">
        <f aca="false">-$B$74</f>
        <v>-5000</v>
      </c>
      <c r="UX96" s="118" t="n">
        <f aca="false">-$B$74</f>
        <v>-5000</v>
      </c>
      <c r="UY96" s="118" t="n">
        <f aca="false">-$B$74</f>
        <v>-5000</v>
      </c>
      <c r="UZ96" s="118" t="n">
        <f aca="false">-$B$74</f>
        <v>-5000</v>
      </c>
      <c r="VA96" s="118" t="n">
        <f aca="false">-$B$74</f>
        <v>-5000</v>
      </c>
      <c r="VB96" s="118" t="n">
        <f aca="false">-$B$74</f>
        <v>-5000</v>
      </c>
      <c r="VC96" s="118" t="n">
        <f aca="false">-$B$74</f>
        <v>-5000</v>
      </c>
      <c r="VD96" s="118" t="n">
        <f aca="false">-$B$74</f>
        <v>-5000</v>
      </c>
      <c r="VE96" s="118" t="n">
        <f aca="false">-$B$74</f>
        <v>-5000</v>
      </c>
      <c r="VF96" s="118" t="n">
        <f aca="false">-$B$74</f>
        <v>-5000</v>
      </c>
      <c r="VG96" s="118" t="n">
        <f aca="false">-$B$74</f>
        <v>-5000</v>
      </c>
      <c r="VH96" s="118" t="n">
        <f aca="false">-$B$74</f>
        <v>-5000</v>
      </c>
      <c r="VI96" s="118" t="n">
        <f aca="false">-$B$74</f>
        <v>-5000</v>
      </c>
      <c r="VJ96" s="118" t="n">
        <f aca="false">-$B$74</f>
        <v>-5000</v>
      </c>
      <c r="VK96" s="118" t="n">
        <f aca="false">-$B$74</f>
        <v>-5000</v>
      </c>
      <c r="VL96" s="118" t="n">
        <f aca="false">-$B$74</f>
        <v>-5000</v>
      </c>
      <c r="VM96" s="118" t="n">
        <f aca="false">-$B$74</f>
        <v>-5000</v>
      </c>
      <c r="VN96" s="118" t="n">
        <f aca="false">-$B$74</f>
        <v>-5000</v>
      </c>
      <c r="VO96" s="118" t="n">
        <f aca="false">-$B$74</f>
        <v>-5000</v>
      </c>
      <c r="VP96" s="118" t="n">
        <f aca="false">-$B$74</f>
        <v>-5000</v>
      </c>
      <c r="VQ96" s="118" t="n">
        <f aca="false">-$B$74</f>
        <v>-5000</v>
      </c>
      <c r="VR96" s="118" t="n">
        <f aca="false">-$B$74</f>
        <v>-5000</v>
      </c>
      <c r="VS96" s="118" t="n">
        <f aca="false">-$B$74</f>
        <v>-5000</v>
      </c>
      <c r="VT96" s="118" t="n">
        <f aca="false">-$B$74</f>
        <v>-5000</v>
      </c>
      <c r="VU96" s="118" t="n">
        <f aca="false">-$B$74</f>
        <v>-5000</v>
      </c>
      <c r="VV96" s="118" t="n">
        <f aca="false">-$B$74</f>
        <v>-5000</v>
      </c>
      <c r="VW96" s="118" t="n">
        <f aca="false">-$B$74</f>
        <v>-5000</v>
      </c>
      <c r="VX96" s="118" t="n">
        <f aca="false">-$B$74</f>
        <v>-5000</v>
      </c>
      <c r="VY96" s="118" t="n">
        <f aca="false">-$B$74</f>
        <v>-5000</v>
      </c>
      <c r="VZ96" s="118" t="n">
        <f aca="false">-$B$74</f>
        <v>-5000</v>
      </c>
      <c r="WA96" s="118" t="n">
        <f aca="false">-$B$74</f>
        <v>-5000</v>
      </c>
      <c r="WB96" s="118" t="n">
        <f aca="false">-$B$74</f>
        <v>-5000</v>
      </c>
      <c r="WC96" s="118" t="n">
        <f aca="false">-$B$74</f>
        <v>-5000</v>
      </c>
      <c r="WD96" s="118" t="n">
        <f aca="false">-$B$74</f>
        <v>-5000</v>
      </c>
      <c r="WE96" s="118" t="n">
        <f aca="false">-$B$74</f>
        <v>-5000</v>
      </c>
      <c r="WF96" s="118" t="n">
        <f aca="false">-$B$74</f>
        <v>-5000</v>
      </c>
      <c r="WG96" s="118" t="n">
        <f aca="false">-$B$74</f>
        <v>-5000</v>
      </c>
      <c r="WH96" s="118" t="n">
        <f aca="false">-$B$74</f>
        <v>-5000</v>
      </c>
      <c r="WI96" s="118" t="n">
        <f aca="false">-$B$74</f>
        <v>-5000</v>
      </c>
      <c r="WJ96" s="118" t="n">
        <f aca="false">-$B$74</f>
        <v>-5000</v>
      </c>
      <c r="WK96" s="118" t="n">
        <f aca="false">-$B$74</f>
        <v>-5000</v>
      </c>
      <c r="WL96" s="118" t="n">
        <f aca="false">-$B$74</f>
        <v>-5000</v>
      </c>
      <c r="WM96" s="118" t="n">
        <f aca="false">-$B$74</f>
        <v>-5000</v>
      </c>
      <c r="WN96" s="118" t="n">
        <f aca="false">-$B$74</f>
        <v>-5000</v>
      </c>
      <c r="WO96" s="118" t="n">
        <f aca="false">-$B$74</f>
        <v>-5000</v>
      </c>
      <c r="WP96" s="118" t="n">
        <f aca="false">-$B$74</f>
        <v>-5000</v>
      </c>
      <c r="WQ96" s="118" t="n">
        <f aca="false">-$B$74</f>
        <v>-5000</v>
      </c>
      <c r="WR96" s="118" t="n">
        <f aca="false">-$B$74</f>
        <v>-5000</v>
      </c>
      <c r="WS96" s="118" t="n">
        <f aca="false">-$B$74</f>
        <v>-5000</v>
      </c>
      <c r="WT96" s="118" t="n">
        <f aca="false">-$B$74</f>
        <v>-5000</v>
      </c>
      <c r="WU96" s="118" t="n">
        <f aca="false">-$B$74</f>
        <v>-5000</v>
      </c>
      <c r="WV96" s="118" t="n">
        <f aca="false">-$B$74</f>
        <v>-5000</v>
      </c>
      <c r="WW96" s="118" t="n">
        <f aca="false">-$B$74</f>
        <v>-5000</v>
      </c>
      <c r="WX96" s="118" t="n">
        <f aca="false">-$B$74</f>
        <v>-5000</v>
      </c>
      <c r="WY96" s="118" t="n">
        <f aca="false">-$B$74</f>
        <v>-5000</v>
      </c>
      <c r="WZ96" s="118" t="n">
        <f aca="false">-$B$74</f>
        <v>-5000</v>
      </c>
      <c r="XA96" s="118" t="n">
        <f aca="false">-$B$74</f>
        <v>-5000</v>
      </c>
      <c r="XB96" s="118" t="n">
        <f aca="false">-$B$74</f>
        <v>-5000</v>
      </c>
      <c r="XC96" s="118" t="n">
        <f aca="false">-$B$74</f>
        <v>-5000</v>
      </c>
      <c r="XD96" s="118" t="n">
        <f aca="false">-$B$74</f>
        <v>-5000</v>
      </c>
      <c r="XE96" s="118" t="n">
        <f aca="false">-$B$74</f>
        <v>-5000</v>
      </c>
      <c r="XF96" s="118" t="n">
        <f aca="false">-$B$74</f>
        <v>-5000</v>
      </c>
      <c r="XG96" s="118" t="n">
        <f aca="false">-$B$74</f>
        <v>-5000</v>
      </c>
      <c r="XH96" s="118" t="n">
        <f aca="false">-$B$74</f>
        <v>-5000</v>
      </c>
      <c r="XI96" s="118" t="n">
        <f aca="false">-$B$74</f>
        <v>-5000</v>
      </c>
      <c r="XJ96" s="118" t="n">
        <f aca="false">-$B$74</f>
        <v>-5000</v>
      </c>
      <c r="XK96" s="118" t="n">
        <f aca="false">-$B$74</f>
        <v>-5000</v>
      </c>
      <c r="XL96" s="118" t="n">
        <f aca="false">-$B$74</f>
        <v>-5000</v>
      </c>
      <c r="XM96" s="118" t="n">
        <f aca="false">-$B$74</f>
        <v>-5000</v>
      </c>
      <c r="XN96" s="118" t="n">
        <f aca="false">-$B$74</f>
        <v>-5000</v>
      </c>
      <c r="XO96" s="118" t="n">
        <f aca="false">-$B$74</f>
        <v>-5000</v>
      </c>
      <c r="XP96" s="118" t="n">
        <f aca="false">-$B$74</f>
        <v>-5000</v>
      </c>
      <c r="XQ96" s="118" t="n">
        <f aca="false">-$B$74</f>
        <v>-5000</v>
      </c>
      <c r="XR96" s="118" t="n">
        <f aca="false">-$B$74</f>
        <v>-5000</v>
      </c>
      <c r="XS96" s="118" t="n">
        <f aca="false">-$B$74</f>
        <v>-5000</v>
      </c>
      <c r="XT96" s="118" t="n">
        <f aca="false">-$B$74</f>
        <v>-5000</v>
      </c>
      <c r="XU96" s="118" t="n">
        <f aca="false">-$B$74</f>
        <v>-5000</v>
      </c>
      <c r="XV96" s="118" t="n">
        <f aca="false">-$B$74</f>
        <v>-5000</v>
      </c>
      <c r="XW96" s="118" t="n">
        <f aca="false">-$B$74</f>
        <v>-5000</v>
      </c>
      <c r="XX96" s="118" t="n">
        <f aca="false">-$B$74</f>
        <v>-5000</v>
      </c>
      <c r="XY96" s="118" t="n">
        <f aca="false">-$B$74</f>
        <v>-5000</v>
      </c>
      <c r="XZ96" s="118" t="n">
        <f aca="false">-$B$74</f>
        <v>-5000</v>
      </c>
      <c r="YA96" s="118" t="n">
        <f aca="false">-$B$74</f>
        <v>-5000</v>
      </c>
      <c r="YB96" s="118" t="n">
        <f aca="false">-$B$74</f>
        <v>-5000</v>
      </c>
      <c r="YC96" s="118" t="n">
        <f aca="false">-$B$74</f>
        <v>-5000</v>
      </c>
      <c r="YD96" s="118" t="n">
        <f aca="false">-$B$74</f>
        <v>-5000</v>
      </c>
      <c r="YE96" s="118" t="n">
        <f aca="false">-$B$74</f>
        <v>-5000</v>
      </c>
      <c r="YF96" s="118" t="n">
        <f aca="false">-$B$74</f>
        <v>-5000</v>
      </c>
      <c r="YG96" s="118" t="n">
        <f aca="false">-$B$74</f>
        <v>-5000</v>
      </c>
      <c r="YH96" s="118" t="n">
        <f aca="false">-$B$74</f>
        <v>-5000</v>
      </c>
      <c r="YI96" s="118" t="n">
        <f aca="false">-$B$74</f>
        <v>-5000</v>
      </c>
      <c r="YJ96" s="118" t="n">
        <f aca="false">-$B$74</f>
        <v>-5000</v>
      </c>
      <c r="YK96" s="118" t="n">
        <f aca="false">-$B$74</f>
        <v>-5000</v>
      </c>
      <c r="YL96" s="118" t="n">
        <f aca="false">-$B$74</f>
        <v>-5000</v>
      </c>
      <c r="YM96" s="118" t="n">
        <f aca="false">-$B$74</f>
        <v>-5000</v>
      </c>
      <c r="YN96" s="118" t="n">
        <f aca="false">-$B$74</f>
        <v>-5000</v>
      </c>
      <c r="YO96" s="118" t="n">
        <f aca="false">-$B$74</f>
        <v>-5000</v>
      </c>
      <c r="YP96" s="118" t="n">
        <f aca="false">-$B$74</f>
        <v>-5000</v>
      </c>
      <c r="YQ96" s="118" t="n">
        <f aca="false">-$B$74</f>
        <v>-5000</v>
      </c>
      <c r="YR96" s="118" t="n">
        <f aca="false">-$B$74</f>
        <v>-5000</v>
      </c>
      <c r="YS96" s="118" t="n">
        <f aca="false">-$B$74</f>
        <v>-5000</v>
      </c>
      <c r="YT96" s="118" t="n">
        <f aca="false">-$B$74</f>
        <v>-5000</v>
      </c>
      <c r="YU96" s="118" t="n">
        <f aca="false">-$B$74</f>
        <v>-5000</v>
      </c>
      <c r="YV96" s="118" t="n">
        <f aca="false">-$B$74</f>
        <v>-5000</v>
      </c>
      <c r="YW96" s="118" t="n">
        <f aca="false">-$B$74</f>
        <v>-5000</v>
      </c>
      <c r="YX96" s="118" t="n">
        <f aca="false">-$B$74</f>
        <v>-5000</v>
      </c>
      <c r="YY96" s="118" t="n">
        <f aca="false">-$B$74</f>
        <v>-5000</v>
      </c>
      <c r="YZ96" s="118" t="n">
        <f aca="false">-$B$74</f>
        <v>-5000</v>
      </c>
      <c r="ZA96" s="118" t="n">
        <f aca="false">-$B$74</f>
        <v>-5000</v>
      </c>
      <c r="ZB96" s="118" t="n">
        <f aca="false">-$B$74</f>
        <v>-5000</v>
      </c>
      <c r="ZC96" s="118" t="n">
        <f aca="false">-$B$74</f>
        <v>-5000</v>
      </c>
      <c r="ZD96" s="118" t="n">
        <f aca="false">-$B$74</f>
        <v>-5000</v>
      </c>
      <c r="ZE96" s="118" t="n">
        <f aca="false">-$B$74</f>
        <v>-5000</v>
      </c>
      <c r="ZF96" s="118" t="n">
        <f aca="false">-$B$74</f>
        <v>-5000</v>
      </c>
      <c r="ZG96" s="118" t="n">
        <f aca="false">-$B$74</f>
        <v>-5000</v>
      </c>
      <c r="ZH96" s="118" t="n">
        <f aca="false">-$B$74</f>
        <v>-5000</v>
      </c>
      <c r="ZI96" s="118" t="n">
        <f aca="false">-$B$74</f>
        <v>-5000</v>
      </c>
      <c r="ZJ96" s="118" t="n">
        <f aca="false">-$B$74</f>
        <v>-5000</v>
      </c>
      <c r="ZK96" s="118" t="n">
        <f aca="false">-$B$74</f>
        <v>-5000</v>
      </c>
      <c r="ZL96" s="118" t="n">
        <f aca="false">-$B$74</f>
        <v>-5000</v>
      </c>
      <c r="ZM96" s="118" t="n">
        <f aca="false">-$B$74</f>
        <v>-5000</v>
      </c>
      <c r="ZN96" s="118" t="n">
        <f aca="false">-$B$74</f>
        <v>-5000</v>
      </c>
      <c r="ZO96" s="118" t="n">
        <f aca="false">-$B$74</f>
        <v>-5000</v>
      </c>
      <c r="ZP96" s="118" t="n">
        <f aca="false">-$B$74</f>
        <v>-5000</v>
      </c>
      <c r="ZQ96" s="118" t="n">
        <f aca="false">-$B$74</f>
        <v>-5000</v>
      </c>
      <c r="ZR96" s="118" t="n">
        <f aca="false">-$B$74</f>
        <v>-5000</v>
      </c>
      <c r="ZS96" s="118" t="n">
        <f aca="false">-$B$74</f>
        <v>-5000</v>
      </c>
      <c r="ZT96" s="118" t="n">
        <f aca="false">-$B$74</f>
        <v>-5000</v>
      </c>
      <c r="ZU96" s="118" t="n">
        <f aca="false">-$B$74</f>
        <v>-5000</v>
      </c>
      <c r="ZV96" s="118" t="n">
        <f aca="false">-$B$74</f>
        <v>-5000</v>
      </c>
      <c r="ZW96" s="118" t="n">
        <f aca="false">-$B$74</f>
        <v>-5000</v>
      </c>
      <c r="ZX96" s="118" t="n">
        <f aca="false">-$B$74</f>
        <v>-5000</v>
      </c>
      <c r="ZY96" s="118" t="n">
        <f aca="false">-$B$74</f>
        <v>-5000</v>
      </c>
      <c r="ZZ96" s="118" t="n">
        <f aca="false">-$B$74</f>
        <v>-5000</v>
      </c>
      <c r="AAA96" s="118" t="n">
        <f aca="false">-$B$74</f>
        <v>-5000</v>
      </c>
      <c r="AAB96" s="118" t="n">
        <f aca="false">-$B$74</f>
        <v>-5000</v>
      </c>
      <c r="AAC96" s="118" t="n">
        <f aca="false">-$B$74</f>
        <v>-5000</v>
      </c>
      <c r="AAD96" s="118" t="n">
        <f aca="false">-$B$74</f>
        <v>-5000</v>
      </c>
      <c r="AAE96" s="118" t="n">
        <f aca="false">-$B$74</f>
        <v>-5000</v>
      </c>
      <c r="AAF96" s="118" t="n">
        <f aca="false">-$B$74</f>
        <v>-5000</v>
      </c>
      <c r="AAG96" s="118" t="n">
        <f aca="false">-$B$74</f>
        <v>-5000</v>
      </c>
      <c r="AAH96" s="118" t="n">
        <f aca="false">-$B$74</f>
        <v>-5000</v>
      </c>
      <c r="AAI96" s="118" t="n">
        <f aca="false">-$B$74</f>
        <v>-5000</v>
      </c>
      <c r="AAJ96" s="118" t="n">
        <f aca="false">-$B$74</f>
        <v>-5000</v>
      </c>
      <c r="AAK96" s="118" t="n">
        <f aca="false">-$B$74</f>
        <v>-5000</v>
      </c>
      <c r="AAL96" s="118" t="n">
        <f aca="false">-$B$74</f>
        <v>-5000</v>
      </c>
      <c r="AAM96" s="118" t="n">
        <f aca="false">-$B$74</f>
        <v>-5000</v>
      </c>
      <c r="AAN96" s="118" t="n">
        <f aca="false">-$B$74</f>
        <v>-5000</v>
      </c>
      <c r="AAO96" s="118" t="n">
        <f aca="false">-$B$74</f>
        <v>-5000</v>
      </c>
      <c r="AAP96" s="118" t="n">
        <f aca="false">-$B$74</f>
        <v>-5000</v>
      </c>
      <c r="AAQ96" s="118" t="n">
        <f aca="false">-$B$74</f>
        <v>-5000</v>
      </c>
      <c r="AAR96" s="118" t="n">
        <f aca="false">-$B$74</f>
        <v>-5000</v>
      </c>
      <c r="AAS96" s="118" t="n">
        <f aca="false">-$B$74</f>
        <v>-5000</v>
      </c>
      <c r="AAT96" s="118" t="n">
        <f aca="false">-$B$74</f>
        <v>-5000</v>
      </c>
      <c r="AAU96" s="118" t="n">
        <f aca="false">-$B$74</f>
        <v>-5000</v>
      </c>
      <c r="AAV96" s="118" t="n">
        <f aca="false">-$B$74</f>
        <v>-5000</v>
      </c>
      <c r="AAW96" s="118" t="n">
        <f aca="false">-$B$74</f>
        <v>-5000</v>
      </c>
      <c r="AAX96" s="118" t="n">
        <f aca="false">-$B$74</f>
        <v>-5000</v>
      </c>
      <c r="AAY96" s="118" t="n">
        <f aca="false">-$B$74</f>
        <v>-5000</v>
      </c>
      <c r="AAZ96" s="118" t="n">
        <f aca="false">-$B$74</f>
        <v>-5000</v>
      </c>
      <c r="ABA96" s="118" t="n">
        <f aca="false">-$B$74</f>
        <v>-5000</v>
      </c>
      <c r="ABB96" s="118" t="n">
        <f aca="false">-$B$74</f>
        <v>-5000</v>
      </c>
      <c r="ABC96" s="118" t="n">
        <f aca="false">-$B$74</f>
        <v>-5000</v>
      </c>
      <c r="ABD96" s="118" t="n">
        <f aca="false">-$B$74</f>
        <v>-5000</v>
      </c>
      <c r="ABE96" s="118" t="n">
        <f aca="false">-$B$74</f>
        <v>-5000</v>
      </c>
      <c r="ABF96" s="118" t="n">
        <f aca="false">-$B$74</f>
        <v>-5000</v>
      </c>
      <c r="ABG96" s="118" t="n">
        <f aca="false">-$B$74</f>
        <v>-5000</v>
      </c>
      <c r="ABH96" s="118" t="n">
        <f aca="false">-$B$74</f>
        <v>-5000</v>
      </c>
      <c r="ABI96" s="118" t="n">
        <f aca="false">-$B$74</f>
        <v>-5000</v>
      </c>
      <c r="ABJ96" s="118" t="n">
        <f aca="false">-$B$74</f>
        <v>-5000</v>
      </c>
      <c r="ABK96" s="118" t="n">
        <f aca="false">-$B$74</f>
        <v>-5000</v>
      </c>
      <c r="ABL96" s="118" t="n">
        <f aca="false">-$B$74</f>
        <v>-5000</v>
      </c>
      <c r="ABM96" s="118" t="n">
        <f aca="false">-$B$74</f>
        <v>-5000</v>
      </c>
      <c r="ABN96" s="118" t="n">
        <f aca="false">-$B$74</f>
        <v>-5000</v>
      </c>
      <c r="ABO96" s="118" t="n">
        <f aca="false">-$B$74</f>
        <v>-5000</v>
      </c>
      <c r="ABP96" s="118" t="n">
        <f aca="false">-$B$74</f>
        <v>-5000</v>
      </c>
      <c r="ABQ96" s="118" t="n">
        <f aca="false">-$B$74</f>
        <v>-5000</v>
      </c>
      <c r="ABR96" s="118" t="n">
        <f aca="false">-$B$74</f>
        <v>-5000</v>
      </c>
      <c r="ABS96" s="118" t="n">
        <f aca="false">-$B$74</f>
        <v>-5000</v>
      </c>
      <c r="ABT96" s="118" t="n">
        <f aca="false">-$B$74</f>
        <v>-5000</v>
      </c>
      <c r="ABU96" s="118" t="n">
        <f aca="false">-$B$74</f>
        <v>-5000</v>
      </c>
      <c r="ABV96" s="118" t="n">
        <f aca="false">-$B$74</f>
        <v>-5000</v>
      </c>
      <c r="ABW96" s="118" t="n">
        <f aca="false">-$B$74</f>
        <v>-5000</v>
      </c>
      <c r="ABX96" s="118" t="n">
        <f aca="false">-$B$74</f>
        <v>-5000</v>
      </c>
      <c r="ABY96" s="118" t="n">
        <f aca="false">-$B$74</f>
        <v>-5000</v>
      </c>
      <c r="ABZ96" s="118" t="n">
        <f aca="false">-$B$74</f>
        <v>-5000</v>
      </c>
      <c r="ACA96" s="118" t="n">
        <f aca="false">-$B$74</f>
        <v>-5000</v>
      </c>
      <c r="ACB96" s="118" t="n">
        <f aca="false">-$B$74</f>
        <v>-5000</v>
      </c>
      <c r="ACC96" s="118" t="n">
        <f aca="false">-$B$74</f>
        <v>-5000</v>
      </c>
      <c r="ACD96" s="118" t="n">
        <f aca="false">-$B$74</f>
        <v>-5000</v>
      </c>
      <c r="ACE96" s="118" t="n">
        <f aca="false">-$B$74</f>
        <v>-5000</v>
      </c>
      <c r="ACF96" s="118" t="n">
        <f aca="false">-$B$74</f>
        <v>-5000</v>
      </c>
      <c r="ACG96" s="118" t="n">
        <f aca="false">-$B$74</f>
        <v>-5000</v>
      </c>
      <c r="ACH96" s="118" t="n">
        <f aca="false">-$B$74</f>
        <v>-5000</v>
      </c>
      <c r="ACI96" s="118" t="n">
        <f aca="false">-$B$74</f>
        <v>-5000</v>
      </c>
      <c r="ACJ96" s="118" t="n">
        <f aca="false">-$B$74</f>
        <v>-5000</v>
      </c>
      <c r="ACK96" s="118" t="n">
        <f aca="false">-$B$74</f>
        <v>-5000</v>
      </c>
      <c r="ACL96" s="118" t="n">
        <f aca="false">-$B$74</f>
        <v>-5000</v>
      </c>
      <c r="ACM96" s="118" t="n">
        <f aca="false">-$B$74</f>
        <v>-5000</v>
      </c>
      <c r="ACN96" s="118" t="n">
        <f aca="false">-$B$74</f>
        <v>-5000</v>
      </c>
      <c r="ACO96" s="118" t="n">
        <f aca="false">-$B$74</f>
        <v>-5000</v>
      </c>
      <c r="ACP96" s="118" t="n">
        <f aca="false">-$B$74</f>
        <v>-5000</v>
      </c>
      <c r="ACQ96" s="118" t="n">
        <f aca="false">-$B$74</f>
        <v>-5000</v>
      </c>
      <c r="ACR96" s="118" t="n">
        <f aca="false">-$B$74</f>
        <v>-5000</v>
      </c>
      <c r="ACS96" s="118" t="n">
        <f aca="false">-$B$74</f>
        <v>-5000</v>
      </c>
      <c r="ACT96" s="118" t="n">
        <f aca="false">-$B$74</f>
        <v>-5000</v>
      </c>
      <c r="ACU96" s="118" t="n">
        <f aca="false">-$B$74</f>
        <v>-5000</v>
      </c>
      <c r="ACV96" s="118" t="n">
        <f aca="false">-$B$74</f>
        <v>-5000</v>
      </c>
      <c r="ACW96" s="118" t="n">
        <f aca="false">-$B$74</f>
        <v>-5000</v>
      </c>
      <c r="ACX96" s="118" t="n">
        <f aca="false">-$B$74</f>
        <v>-5000</v>
      </c>
      <c r="ACY96" s="118" t="n">
        <f aca="false">-$B$74</f>
        <v>-5000</v>
      </c>
      <c r="ACZ96" s="118" t="n">
        <f aca="false">-$B$74</f>
        <v>-5000</v>
      </c>
      <c r="ADA96" s="118" t="n">
        <f aca="false">-$B$74</f>
        <v>-5000</v>
      </c>
      <c r="ADB96" s="118" t="n">
        <f aca="false">-$B$74</f>
        <v>-5000</v>
      </c>
      <c r="ADC96" s="118" t="n">
        <f aca="false">-$B$74</f>
        <v>-5000</v>
      </c>
      <c r="ADD96" s="118" t="n">
        <f aca="false">-$B$74</f>
        <v>-5000</v>
      </c>
      <c r="ADE96" s="118" t="n">
        <f aca="false">-$B$74</f>
        <v>-5000</v>
      </c>
      <c r="ADF96" s="118" t="n">
        <f aca="false">-$B$74</f>
        <v>-5000</v>
      </c>
      <c r="ADG96" s="118" t="n">
        <f aca="false">-$B$74</f>
        <v>-5000</v>
      </c>
      <c r="ADH96" s="118" t="n">
        <f aca="false">-$B$74</f>
        <v>-5000</v>
      </c>
      <c r="ADI96" s="118" t="n">
        <f aca="false">-$B$74</f>
        <v>-5000</v>
      </c>
      <c r="ADJ96" s="118" t="n">
        <f aca="false">-$B$74</f>
        <v>-5000</v>
      </c>
      <c r="ADK96" s="118" t="n">
        <f aca="false">-$B$74</f>
        <v>-5000</v>
      </c>
      <c r="ADL96" s="118" t="n">
        <f aca="false">-$B$74</f>
        <v>-5000</v>
      </c>
      <c r="ADM96" s="118" t="n">
        <f aca="false">-$B$74</f>
        <v>-5000</v>
      </c>
      <c r="ADN96" s="118" t="n">
        <f aca="false">-$B$74</f>
        <v>-5000</v>
      </c>
      <c r="ADO96" s="118" t="n">
        <f aca="false">-$B$74</f>
        <v>-5000</v>
      </c>
      <c r="ADP96" s="118" t="n">
        <f aca="false">-$B$74</f>
        <v>-5000</v>
      </c>
      <c r="ADQ96" s="118" t="n">
        <f aca="false">-$B$74</f>
        <v>-5000</v>
      </c>
      <c r="ADR96" s="118" t="n">
        <f aca="false">-$B$74</f>
        <v>-5000</v>
      </c>
      <c r="ADS96" s="118" t="n">
        <f aca="false">-$B$74</f>
        <v>-5000</v>
      </c>
      <c r="ADT96" s="118" t="n">
        <f aca="false">-$B$74</f>
        <v>-5000</v>
      </c>
      <c r="ADU96" s="118" t="n">
        <f aca="false">-$B$74</f>
        <v>-5000</v>
      </c>
      <c r="ADV96" s="118" t="n">
        <f aca="false">-$B$74</f>
        <v>-5000</v>
      </c>
      <c r="ADW96" s="118" t="n">
        <f aca="false">-$B$74</f>
        <v>-5000</v>
      </c>
      <c r="ADX96" s="118" t="n">
        <f aca="false">-$B$74</f>
        <v>-5000</v>
      </c>
      <c r="ADY96" s="118" t="n">
        <f aca="false">-$B$74</f>
        <v>-5000</v>
      </c>
      <c r="ADZ96" s="118" t="n">
        <f aca="false">-$B$74</f>
        <v>-5000</v>
      </c>
      <c r="AEA96" s="118" t="n">
        <f aca="false">-$B$74</f>
        <v>-5000</v>
      </c>
      <c r="AEB96" s="118" t="n">
        <f aca="false">-$B$74</f>
        <v>-5000</v>
      </c>
      <c r="AEC96" s="118" t="n">
        <f aca="false">-$B$74</f>
        <v>-5000</v>
      </c>
      <c r="AED96" s="118" t="n">
        <f aca="false">-$B$74</f>
        <v>-5000</v>
      </c>
      <c r="AEE96" s="118" t="n">
        <f aca="false">-$B$74</f>
        <v>-5000</v>
      </c>
      <c r="AEF96" s="118" t="n">
        <f aca="false">-$B$74</f>
        <v>-5000</v>
      </c>
      <c r="AEG96" s="118" t="n">
        <f aca="false">-$B$74</f>
        <v>-5000</v>
      </c>
      <c r="AEH96" s="118" t="n">
        <f aca="false">-$B$74</f>
        <v>-5000</v>
      </c>
      <c r="AEI96" s="118" t="n">
        <f aca="false">-$B$74</f>
        <v>-5000</v>
      </c>
      <c r="AEJ96" s="118" t="n">
        <f aca="false">-$B$74</f>
        <v>-5000</v>
      </c>
      <c r="AEK96" s="118" t="n">
        <f aca="false">-$B$74</f>
        <v>-5000</v>
      </c>
      <c r="AEL96" s="118" t="n">
        <f aca="false">-$B$74</f>
        <v>-5000</v>
      </c>
      <c r="AEM96" s="118" t="n">
        <f aca="false">-$B$74</f>
        <v>-5000</v>
      </c>
      <c r="AEN96" s="118" t="n">
        <f aca="false">-$B$74</f>
        <v>-5000</v>
      </c>
      <c r="AEO96" s="118" t="n">
        <f aca="false">-$B$74</f>
        <v>-5000</v>
      </c>
      <c r="AEP96" s="118" t="n">
        <f aca="false">-$B$74</f>
        <v>-5000</v>
      </c>
      <c r="AEQ96" s="118" t="n">
        <f aca="false">-$B$74</f>
        <v>-5000</v>
      </c>
      <c r="AER96" s="118" t="n">
        <f aca="false">-$B$74</f>
        <v>-5000</v>
      </c>
      <c r="AES96" s="118" t="n">
        <f aca="false">-$B$74</f>
        <v>-5000</v>
      </c>
      <c r="AET96" s="118" t="n">
        <f aca="false">-$B$74</f>
        <v>-5000</v>
      </c>
      <c r="AEU96" s="118" t="n">
        <f aca="false">-$B$74</f>
        <v>-5000</v>
      </c>
      <c r="AEV96" s="118" t="n">
        <f aca="false">-$B$74</f>
        <v>-5000</v>
      </c>
      <c r="AEW96" s="118" t="n">
        <f aca="false">-$B$74</f>
        <v>-5000</v>
      </c>
      <c r="AEX96" s="118" t="n">
        <f aca="false">-$B$74</f>
        <v>-5000</v>
      </c>
      <c r="AEY96" s="118" t="n">
        <f aca="false">-$B$74</f>
        <v>-5000</v>
      </c>
      <c r="AEZ96" s="118" t="n">
        <f aca="false">-$B$74</f>
        <v>-5000</v>
      </c>
      <c r="AFA96" s="118" t="n">
        <f aca="false">-$B$74</f>
        <v>-5000</v>
      </c>
      <c r="AFB96" s="118" t="n">
        <f aca="false">-$B$74</f>
        <v>-5000</v>
      </c>
      <c r="AFC96" s="118" t="n">
        <f aca="false">-$B$74</f>
        <v>-5000</v>
      </c>
      <c r="AFD96" s="118" t="n">
        <f aca="false">-$B$74</f>
        <v>-5000</v>
      </c>
      <c r="AFE96" s="118" t="n">
        <f aca="false">-$B$74</f>
        <v>-5000</v>
      </c>
      <c r="AFF96" s="118" t="n">
        <f aca="false">-$B$74</f>
        <v>-5000</v>
      </c>
      <c r="AFG96" s="118" t="n">
        <f aca="false">-$B$74</f>
        <v>-5000</v>
      </c>
      <c r="AFH96" s="118" t="n">
        <f aca="false">-$B$74</f>
        <v>-5000</v>
      </c>
      <c r="AFI96" s="118" t="n">
        <f aca="false">-$B$74</f>
        <v>-5000</v>
      </c>
      <c r="AFJ96" s="118" t="n">
        <f aca="false">-$B$74</f>
        <v>-5000</v>
      </c>
      <c r="AFK96" s="118" t="n">
        <f aca="false">-$B$74</f>
        <v>-5000</v>
      </c>
      <c r="AFL96" s="118" t="n">
        <f aca="false">-$B$74</f>
        <v>-5000</v>
      </c>
      <c r="AFM96" s="118" t="n">
        <f aca="false">-$B$74</f>
        <v>-5000</v>
      </c>
      <c r="AFN96" s="118" t="n">
        <f aca="false">-$B$74</f>
        <v>-5000</v>
      </c>
      <c r="AFO96" s="118" t="n">
        <f aca="false">-$B$74</f>
        <v>-5000</v>
      </c>
      <c r="AFP96" s="118" t="n">
        <f aca="false">-$B$74</f>
        <v>-5000</v>
      </c>
      <c r="AFQ96" s="118" t="n">
        <f aca="false">-$B$74</f>
        <v>-5000</v>
      </c>
      <c r="AFR96" s="118" t="n">
        <f aca="false">-$B$74</f>
        <v>-5000</v>
      </c>
      <c r="AFS96" s="118" t="n">
        <f aca="false">-$B$74</f>
        <v>-5000</v>
      </c>
      <c r="AFT96" s="118" t="n">
        <f aca="false">-$B$74</f>
        <v>-5000</v>
      </c>
      <c r="AFU96" s="118" t="n">
        <f aca="false">-$B$74</f>
        <v>-5000</v>
      </c>
      <c r="AFV96" s="118" t="n">
        <f aca="false">-$B$74</f>
        <v>-5000</v>
      </c>
      <c r="AFW96" s="118" t="n">
        <f aca="false">-$B$74</f>
        <v>-5000</v>
      </c>
      <c r="AFX96" s="118" t="n">
        <f aca="false">-$B$74</f>
        <v>-5000</v>
      </c>
      <c r="AFY96" s="118" t="n">
        <f aca="false">-$B$74</f>
        <v>-5000</v>
      </c>
      <c r="AFZ96" s="118" t="n">
        <f aca="false">-$B$74</f>
        <v>-5000</v>
      </c>
      <c r="AGA96" s="118" t="n">
        <f aca="false">-$B$74</f>
        <v>-5000</v>
      </c>
      <c r="AGB96" s="118" t="n">
        <f aca="false">-$B$74</f>
        <v>-5000</v>
      </c>
      <c r="AGC96" s="118" t="n">
        <f aca="false">-$B$74</f>
        <v>-5000</v>
      </c>
      <c r="AGD96" s="118" t="n">
        <f aca="false">-$B$74</f>
        <v>-5000</v>
      </c>
      <c r="AGE96" s="118" t="n">
        <f aca="false">-$B$74</f>
        <v>-5000</v>
      </c>
      <c r="AGF96" s="118" t="n">
        <f aca="false">-$B$74</f>
        <v>-5000</v>
      </c>
      <c r="AGG96" s="118" t="n">
        <f aca="false">-$B$74</f>
        <v>-5000</v>
      </c>
      <c r="AGH96" s="118" t="n">
        <f aca="false">-$B$74</f>
        <v>-5000</v>
      </c>
      <c r="AGI96" s="118" t="n">
        <f aca="false">-$B$74</f>
        <v>-5000</v>
      </c>
      <c r="AGJ96" s="118" t="n">
        <f aca="false">-$B$74</f>
        <v>-5000</v>
      </c>
      <c r="AGK96" s="118" t="n">
        <f aca="false">-$B$74</f>
        <v>-5000</v>
      </c>
      <c r="AGL96" s="118" t="n">
        <f aca="false">-$B$74</f>
        <v>-5000</v>
      </c>
      <c r="AGM96" s="118" t="n">
        <f aca="false">-$B$74</f>
        <v>-5000</v>
      </c>
      <c r="AGN96" s="118" t="n">
        <f aca="false">-$B$74</f>
        <v>-5000</v>
      </c>
      <c r="AGO96" s="118" t="n">
        <f aca="false">-$B$74</f>
        <v>-5000</v>
      </c>
      <c r="AGP96" s="118" t="n">
        <f aca="false">-$B$74</f>
        <v>-5000</v>
      </c>
      <c r="AGQ96" s="118" t="n">
        <f aca="false">-$B$74</f>
        <v>-5000</v>
      </c>
      <c r="AGR96" s="118" t="n">
        <f aca="false">-$B$74</f>
        <v>-5000</v>
      </c>
      <c r="AGS96" s="118" t="n">
        <f aca="false">-$B$74</f>
        <v>-5000</v>
      </c>
      <c r="AGT96" s="118" t="n">
        <f aca="false">-$B$74</f>
        <v>-5000</v>
      </c>
      <c r="AGU96" s="118" t="n">
        <f aca="false">-$B$74</f>
        <v>-5000</v>
      </c>
      <c r="AGV96" s="118" t="n">
        <f aca="false">-$B$74</f>
        <v>-5000</v>
      </c>
      <c r="AGW96" s="118" t="n">
        <f aca="false">-$B$74</f>
        <v>-5000</v>
      </c>
      <c r="AGX96" s="118" t="n">
        <f aca="false">-$B$74</f>
        <v>-5000</v>
      </c>
      <c r="AGY96" s="118" t="n">
        <f aca="false">-$B$74</f>
        <v>-5000</v>
      </c>
      <c r="AGZ96" s="118" t="n">
        <f aca="false">-$B$74</f>
        <v>-5000</v>
      </c>
      <c r="AHA96" s="118" t="n">
        <f aca="false">-$B$74</f>
        <v>-5000</v>
      </c>
      <c r="AHB96" s="118" t="n">
        <f aca="false">-$B$74</f>
        <v>-5000</v>
      </c>
      <c r="AHC96" s="118" t="n">
        <f aca="false">-$B$74</f>
        <v>-5000</v>
      </c>
      <c r="AHD96" s="118" t="n">
        <f aca="false">-$B$74</f>
        <v>-5000</v>
      </c>
      <c r="AHE96" s="118" t="n">
        <f aca="false">-$B$74</f>
        <v>-5000</v>
      </c>
      <c r="AHF96" s="118" t="n">
        <f aca="false">-$B$74</f>
        <v>-5000</v>
      </c>
      <c r="AHG96" s="118" t="n">
        <f aca="false">-$B$74</f>
        <v>-5000</v>
      </c>
      <c r="AHH96" s="118" t="n">
        <f aca="false">-$B$74</f>
        <v>-5000</v>
      </c>
      <c r="AHI96" s="118" t="n">
        <f aca="false">-$B$74</f>
        <v>-5000</v>
      </c>
      <c r="AHJ96" s="118" t="n">
        <f aca="false">-$B$74</f>
        <v>-5000</v>
      </c>
      <c r="AHK96" s="118" t="n">
        <f aca="false">-$B$74</f>
        <v>-5000</v>
      </c>
      <c r="AHL96" s="118" t="n">
        <f aca="false">-$B$74</f>
        <v>-5000</v>
      </c>
      <c r="AHM96" s="118" t="n">
        <f aca="false">-$B$74</f>
        <v>-5000</v>
      </c>
      <c r="AHN96" s="118" t="n">
        <f aca="false">-$B$74</f>
        <v>-5000</v>
      </c>
      <c r="AHO96" s="118" t="n">
        <f aca="false">-$B$74</f>
        <v>-5000</v>
      </c>
      <c r="AHP96" s="118" t="n">
        <f aca="false">-$B$74</f>
        <v>-5000</v>
      </c>
      <c r="AHQ96" s="118" t="n">
        <f aca="false">-$B$74</f>
        <v>-5000</v>
      </c>
      <c r="AHR96" s="118" t="n">
        <f aca="false">-$B$74</f>
        <v>-5000</v>
      </c>
      <c r="AHS96" s="118" t="n">
        <f aca="false">-$B$74</f>
        <v>-5000</v>
      </c>
      <c r="AHT96" s="118" t="n">
        <f aca="false">-$B$74</f>
        <v>-5000</v>
      </c>
      <c r="AHU96" s="118" t="n">
        <f aca="false">-$B$74</f>
        <v>-5000</v>
      </c>
      <c r="AHV96" s="118" t="n">
        <f aca="false">-$B$74</f>
        <v>-5000</v>
      </c>
      <c r="AHW96" s="118" t="n">
        <f aca="false">-$B$74</f>
        <v>-5000</v>
      </c>
      <c r="AHX96" s="118" t="n">
        <f aca="false">-$B$74</f>
        <v>-5000</v>
      </c>
      <c r="AHY96" s="118" t="n">
        <f aca="false">-$B$74</f>
        <v>-5000</v>
      </c>
      <c r="AHZ96" s="118" t="n">
        <f aca="false">-$B$74</f>
        <v>-5000</v>
      </c>
      <c r="AIA96" s="118" t="n">
        <f aca="false">-$B$74</f>
        <v>-5000</v>
      </c>
      <c r="AIB96" s="118" t="n">
        <f aca="false">-$B$74</f>
        <v>-5000</v>
      </c>
      <c r="AIC96" s="118" t="n">
        <f aca="false">-$B$74</f>
        <v>-5000</v>
      </c>
      <c r="AID96" s="118" t="n">
        <f aca="false">-$B$74</f>
        <v>-5000</v>
      </c>
      <c r="AIE96" s="118" t="n">
        <f aca="false">-$B$74</f>
        <v>-5000</v>
      </c>
      <c r="AIF96" s="118" t="n">
        <f aca="false">-$B$74</f>
        <v>-5000</v>
      </c>
      <c r="AIG96" s="118" t="n">
        <f aca="false">-$B$74</f>
        <v>-5000</v>
      </c>
      <c r="AIH96" s="118" t="n">
        <f aca="false">-$B$74</f>
        <v>-5000</v>
      </c>
      <c r="AII96" s="118" t="n">
        <f aca="false">-$B$74</f>
        <v>-5000</v>
      </c>
      <c r="AIJ96" s="118" t="n">
        <f aca="false">-$B$74</f>
        <v>-5000</v>
      </c>
      <c r="AIK96" s="118" t="n">
        <f aca="false">-$B$74</f>
        <v>-5000</v>
      </c>
      <c r="AIL96" s="118" t="n">
        <f aca="false">-$B$74</f>
        <v>-5000</v>
      </c>
      <c r="AIM96" s="118" t="n">
        <f aca="false">-$B$74</f>
        <v>-5000</v>
      </c>
      <c r="AIN96" s="118" t="n">
        <f aca="false">-$B$74</f>
        <v>-5000</v>
      </c>
      <c r="AIO96" s="118" t="n">
        <f aca="false">-$B$74</f>
        <v>-5000</v>
      </c>
      <c r="AIP96" s="118" t="n">
        <f aca="false">-$B$74</f>
        <v>-5000</v>
      </c>
      <c r="AIQ96" s="118" t="n">
        <f aca="false">-$B$74</f>
        <v>-5000</v>
      </c>
      <c r="AIR96" s="118" t="n">
        <f aca="false">-$B$74</f>
        <v>-5000</v>
      </c>
      <c r="AIS96" s="118" t="n">
        <f aca="false">-$B$74</f>
        <v>-5000</v>
      </c>
      <c r="AIT96" s="118" t="n">
        <f aca="false">-$B$74</f>
        <v>-5000</v>
      </c>
      <c r="AIU96" s="118" t="n">
        <f aca="false">-$B$74</f>
        <v>-5000</v>
      </c>
      <c r="AIV96" s="118" t="n">
        <f aca="false">-$B$74</f>
        <v>-5000</v>
      </c>
      <c r="AIW96" s="118" t="n">
        <f aca="false">-$B$74</f>
        <v>-5000</v>
      </c>
      <c r="AIX96" s="118" t="n">
        <f aca="false">-$B$74</f>
        <v>-5000</v>
      </c>
      <c r="AIY96" s="118" t="n">
        <f aca="false">-$B$74</f>
        <v>-5000</v>
      </c>
      <c r="AIZ96" s="118" t="n">
        <f aca="false">-$B$74</f>
        <v>-5000</v>
      </c>
      <c r="AJA96" s="118" t="n">
        <f aca="false">-$B$74</f>
        <v>-5000</v>
      </c>
      <c r="AJB96" s="118" t="n">
        <f aca="false">-$B$74</f>
        <v>-5000</v>
      </c>
      <c r="AJC96" s="118" t="n">
        <f aca="false">-$B$74</f>
        <v>-5000</v>
      </c>
      <c r="AJD96" s="118" t="n">
        <f aca="false">-$B$74</f>
        <v>-5000</v>
      </c>
      <c r="AJE96" s="118" t="n">
        <f aca="false">-$B$74</f>
        <v>-5000</v>
      </c>
      <c r="AJF96" s="118" t="n">
        <f aca="false">-$B$74</f>
        <v>-5000</v>
      </c>
      <c r="AJG96" s="118" t="n">
        <f aca="false">-$B$74</f>
        <v>-5000</v>
      </c>
      <c r="AJH96" s="118" t="n">
        <f aca="false">-$B$74</f>
        <v>-5000</v>
      </c>
      <c r="AJI96" s="118" t="n">
        <f aca="false">-$B$74</f>
        <v>-5000</v>
      </c>
      <c r="AJJ96" s="118" t="n">
        <f aca="false">-$B$74</f>
        <v>-5000</v>
      </c>
      <c r="AJK96" s="118" t="n">
        <f aca="false">-$B$74</f>
        <v>-5000</v>
      </c>
      <c r="AJL96" s="118" t="n">
        <f aca="false">-$B$74</f>
        <v>-5000</v>
      </c>
      <c r="AJM96" s="118" t="n">
        <f aca="false">-$B$74</f>
        <v>-5000</v>
      </c>
      <c r="AJN96" s="118" t="n">
        <f aca="false">-$B$74</f>
        <v>-5000</v>
      </c>
      <c r="AJO96" s="118" t="n">
        <f aca="false">-$B$74</f>
        <v>-5000</v>
      </c>
      <c r="AJP96" s="118" t="n">
        <f aca="false">-$B$74</f>
        <v>-5000</v>
      </c>
      <c r="AJQ96" s="118" t="n">
        <f aca="false">-$B$74</f>
        <v>-5000</v>
      </c>
      <c r="AJR96" s="118" t="n">
        <f aca="false">-$B$74</f>
        <v>-5000</v>
      </c>
      <c r="AJS96" s="118" t="n">
        <f aca="false">-$B$74</f>
        <v>-5000</v>
      </c>
      <c r="AJT96" s="118" t="n">
        <f aca="false">-$B$74</f>
        <v>-5000</v>
      </c>
      <c r="AJU96" s="118" t="n">
        <f aca="false">-$B$74</f>
        <v>-5000</v>
      </c>
      <c r="AJV96" s="118" t="n">
        <f aca="false">-$B$74</f>
        <v>-5000</v>
      </c>
      <c r="AJW96" s="118" t="n">
        <f aca="false">-$B$74</f>
        <v>-5000</v>
      </c>
      <c r="AJX96" s="118" t="n">
        <f aca="false">-$B$74</f>
        <v>-5000</v>
      </c>
      <c r="AJY96" s="118" t="n">
        <f aca="false">-$B$74</f>
        <v>-5000</v>
      </c>
      <c r="AJZ96" s="118" t="n">
        <f aca="false">-$B$74</f>
        <v>-5000</v>
      </c>
      <c r="AKA96" s="118" t="n">
        <f aca="false">-$B$74</f>
        <v>-5000</v>
      </c>
      <c r="AKB96" s="118" t="n">
        <f aca="false">-$B$74</f>
        <v>-5000</v>
      </c>
      <c r="AKC96" s="118" t="n">
        <f aca="false">-$B$74</f>
        <v>-5000</v>
      </c>
      <c r="AKD96" s="118" t="n">
        <f aca="false">-$B$74</f>
        <v>-5000</v>
      </c>
      <c r="AKE96" s="118" t="n">
        <f aca="false">-$B$74</f>
        <v>-5000</v>
      </c>
      <c r="AKF96" s="118" t="n">
        <f aca="false">-$B$74</f>
        <v>-5000</v>
      </c>
      <c r="AKG96" s="118" t="n">
        <f aca="false">-$B$74</f>
        <v>-5000</v>
      </c>
      <c r="AKH96" s="118" t="n">
        <f aca="false">-$B$74</f>
        <v>-5000</v>
      </c>
      <c r="AKI96" s="118" t="n">
        <f aca="false">-$B$74</f>
        <v>-5000</v>
      </c>
      <c r="AKJ96" s="118" t="n">
        <f aca="false">-$B$74</f>
        <v>-5000</v>
      </c>
      <c r="AKK96" s="118" t="n">
        <f aca="false">-$B$74</f>
        <v>-5000</v>
      </c>
      <c r="AKL96" s="118" t="n">
        <f aca="false">-$B$74</f>
        <v>-5000</v>
      </c>
      <c r="AKM96" s="118" t="n">
        <f aca="false">-$B$74</f>
        <v>-5000</v>
      </c>
      <c r="AKN96" s="118" t="n">
        <f aca="false">-$B$74</f>
        <v>-5000</v>
      </c>
      <c r="AKO96" s="118" t="n">
        <f aca="false">-$B$74</f>
        <v>-5000</v>
      </c>
      <c r="AKP96" s="118" t="n">
        <f aca="false">-$B$74</f>
        <v>-5000</v>
      </c>
      <c r="AKQ96" s="118" t="n">
        <f aca="false">-$B$74</f>
        <v>-5000</v>
      </c>
      <c r="AKR96" s="118" t="n">
        <f aca="false">-$B$74</f>
        <v>-5000</v>
      </c>
      <c r="AKS96" s="118" t="n">
        <f aca="false">-$B$74</f>
        <v>-5000</v>
      </c>
      <c r="AKT96" s="118" t="n">
        <f aca="false">-$B$74</f>
        <v>-5000</v>
      </c>
      <c r="AKU96" s="118" t="n">
        <f aca="false">-$B$74</f>
        <v>-5000</v>
      </c>
      <c r="AKV96" s="118" t="n">
        <f aca="false">-$B$74</f>
        <v>-5000</v>
      </c>
      <c r="AKW96" s="118" t="n">
        <f aca="false">-$B$74</f>
        <v>-5000</v>
      </c>
      <c r="AKX96" s="118" t="n">
        <f aca="false">-$B$74</f>
        <v>-5000</v>
      </c>
      <c r="AKY96" s="118" t="n">
        <f aca="false">-$B$74</f>
        <v>-5000</v>
      </c>
      <c r="AKZ96" s="118" t="n">
        <f aca="false">-$B$74</f>
        <v>-5000</v>
      </c>
      <c r="ALA96" s="118" t="n">
        <f aca="false">-$B$74</f>
        <v>-5000</v>
      </c>
      <c r="ALB96" s="118" t="n">
        <f aca="false">-$B$74</f>
        <v>-5000</v>
      </c>
      <c r="ALC96" s="118" t="n">
        <f aca="false">-$B$74</f>
        <v>-5000</v>
      </c>
      <c r="ALD96" s="118" t="n">
        <f aca="false">-$B$74</f>
        <v>-5000</v>
      </c>
      <c r="ALE96" s="118" t="n">
        <f aca="false">-$B$74</f>
        <v>-5000</v>
      </c>
      <c r="ALF96" s="118" t="n">
        <f aca="false">-$B$74</f>
        <v>-5000</v>
      </c>
      <c r="ALG96" s="118" t="n">
        <f aca="false">-$B$74</f>
        <v>-5000</v>
      </c>
      <c r="ALH96" s="118" t="n">
        <f aca="false">-$B$74</f>
        <v>-5000</v>
      </c>
      <c r="ALI96" s="118" t="n">
        <f aca="false">-$B$74</f>
        <v>-5000</v>
      </c>
      <c r="ALJ96" s="118" t="n">
        <f aca="false">-$B$74</f>
        <v>-5000</v>
      </c>
      <c r="ALK96" s="118" t="n">
        <f aca="false">-$B$74</f>
        <v>-5000</v>
      </c>
      <c r="ALL96" s="118" t="n">
        <f aca="false">-$B$74</f>
        <v>-5000</v>
      </c>
      <c r="ALM96" s="118" t="n">
        <f aca="false">-$B$74</f>
        <v>-5000</v>
      </c>
    </row>
    <row r="97" customFormat="false" ht="14.5" hidden="false" customHeight="false" outlineLevel="0" collapsed="false">
      <c r="A97" s="20" t="s">
        <v>88</v>
      </c>
      <c r="B97" s="0" t="n">
        <f aca="false">SUM(B94:B96)</f>
        <v>7225.54984522312</v>
      </c>
      <c r="C97" s="0" t="n">
        <f aca="false">SUM(C94:C96)</f>
        <v>6876.59798191516</v>
      </c>
      <c r="D97" s="0" t="n">
        <f aca="false">SUM(D94:D96)</f>
        <v>4937.25490766102</v>
      </c>
      <c r="E97" s="0" t="n">
        <f aca="false">SUM(E94:E96)</f>
        <v>6638.83810153688</v>
      </c>
      <c r="F97" s="0" t="n">
        <f aca="false">SUM(F94:F96)</f>
        <v>7051.93060294141</v>
      </c>
      <c r="G97" s="0" t="n">
        <f aca="false">SUM(G94:G96)</f>
        <v>6514.54990651264</v>
      </c>
      <c r="H97" s="0" t="n">
        <f aca="false">SUM(H94:H96)</f>
        <v>6660.01427411398</v>
      </c>
      <c r="I97" s="0" t="n">
        <f aca="false">SUM(I94:I96)</f>
        <v>5191.47014902753</v>
      </c>
      <c r="J97" s="0" t="n">
        <f aca="false">SUM(J94:J96)</f>
        <v>6707.02538662237</v>
      </c>
      <c r="K97" s="0" t="n">
        <f aca="false">SUM(K94:K96)</f>
        <v>7412.97002972544</v>
      </c>
      <c r="L97" s="0" t="n">
        <f aca="false">SUM(L94:L96)</f>
        <v>6866.57001827644</v>
      </c>
      <c r="M97" s="0" t="n">
        <f aca="false">SUM(M94:M96)</f>
        <v>6359.57474670486</v>
      </c>
      <c r="N97" s="0" t="n">
        <f aca="false">SUM(N94:N96)</f>
        <v>7692.55222938111</v>
      </c>
      <c r="O97" s="0" t="n">
        <f aca="false">SUM(O94:O96)</f>
        <v>8028.99048292258</v>
      </c>
      <c r="P97" s="0" t="n">
        <f aca="false">SUM(P94:P96)</f>
        <v>6303.95306681525</v>
      </c>
      <c r="Q97" s="0" t="n">
        <f aca="false">SUM(Q94:Q96)</f>
        <v>7478.60738557146</v>
      </c>
      <c r="R97" s="0" t="n">
        <f aca="false">SUM(R94:R96)</f>
        <v>8026.95896919978</v>
      </c>
      <c r="S97" s="0" t="n">
        <f aca="false">SUM(S94:S96)</f>
        <v>7417.45512352329</v>
      </c>
      <c r="T97" s="0" t="n">
        <f aca="false">SUM(T94:T96)</f>
        <v>7626.59121316777</v>
      </c>
      <c r="U97" s="0" t="n">
        <f aca="false">SUM(U94:U96)</f>
        <v>7984.60873020322</v>
      </c>
      <c r="V97" s="0" t="n">
        <f aca="false">SUM(V94:V96)</f>
        <v>7447.22070702826</v>
      </c>
      <c r="W97" s="0" t="n">
        <f aca="false">SUM(W94:W96)</f>
        <v>6436.78183799579</v>
      </c>
      <c r="X97" s="0" t="n">
        <f aca="false">SUM(X94:X96)</f>
        <v>6084.97390341342</v>
      </c>
      <c r="Y97" s="0" t="n">
        <f aca="false">SUM(Y94:Y96)</f>
        <v>7085.66192369504</v>
      </c>
      <c r="Z97" s="0" t="n">
        <f aca="false">SUM(Z94:Z96)</f>
        <v>4767.19242197108</v>
      </c>
      <c r="AA97" s="0" t="n">
        <f aca="false">SUM(AA94:AA96)</f>
        <v>4711.873849624</v>
      </c>
      <c r="AB97" s="0" t="n">
        <f aca="false">SUM(AB94:AB96)</f>
        <v>4162.44177244654</v>
      </c>
      <c r="AC97" s="0" t="n">
        <f aca="false">SUM(AC94:AC96)</f>
        <v>8057.04339377163</v>
      </c>
      <c r="AD97" s="0" t="n">
        <f aca="false">SUM(AD94:AD96)</f>
        <v>5637.79051273089</v>
      </c>
      <c r="AE97" s="0" t="n">
        <f aca="false">SUM(AE94:AE96)</f>
        <v>6962.97606690376</v>
      </c>
      <c r="AF97" s="0" t="n">
        <f aca="false">SUM(AF94:AF96)</f>
        <v>7145.75974161062</v>
      </c>
      <c r="AG97" s="0" t="n">
        <f aca="false">SUM(AG94:AG96)</f>
        <v>6504.53001956849</v>
      </c>
      <c r="AH97" s="0" t="n">
        <f aca="false">SUM(AH94:AH96)</f>
        <v>7089.80787467288</v>
      </c>
      <c r="AI97" s="0" t="n">
        <f aca="false">SUM(AI94:AI96)</f>
        <v>7323.86426526881</v>
      </c>
      <c r="AJ97" s="0" t="n">
        <f aca="false">SUM(AJ94:AJ96)</f>
        <v>5509.48358374089</v>
      </c>
      <c r="AK97" s="0" t="n">
        <f aca="false">SUM(AK94:AK96)</f>
        <v>6515.37917233511</v>
      </c>
      <c r="AL97" s="0" t="n">
        <f aca="false">SUM(AL94:AL96)</f>
        <v>5546.21979835205</v>
      </c>
      <c r="AM97" s="0" t="n">
        <f aca="false">SUM(AM94:AM96)</f>
        <v>5389.64081837443</v>
      </c>
      <c r="AN97" s="0" t="n">
        <f aca="false">SUM(AN94:AN96)</f>
        <v>7085.05882981197</v>
      </c>
      <c r="AO97" s="0" t="n">
        <f aca="false">SUM(AO94:AO96)</f>
        <v>8392.52596703294</v>
      </c>
      <c r="AP97" s="0" t="n">
        <f aca="false">SUM(AP94:AP96)</f>
        <v>7312.95993631228</v>
      </c>
      <c r="AQ97" s="0" t="n">
        <f aca="false">SUM(AQ94:AQ96)</f>
        <v>6689.46128708203</v>
      </c>
      <c r="AR97" s="0" t="n">
        <f aca="false">SUM(AR94:AR96)</f>
        <v>8184.78734067589</v>
      </c>
      <c r="AS97" s="0" t="n">
        <f aca="false">SUM(AS94:AS96)</f>
        <v>6829.0781788904</v>
      </c>
      <c r="AT97" s="0" t="n">
        <f aca="false">SUM(AT94:AT96)</f>
        <v>7064.99351428476</v>
      </c>
      <c r="AU97" s="0" t="n">
        <f aca="false">SUM(AU94:AU96)</f>
        <v>6657.99885101097</v>
      </c>
      <c r="AV97" s="0" t="n">
        <f aca="false">SUM(AV94:AV96)</f>
        <v>5476.59884202726</v>
      </c>
      <c r="AW97" s="0" t="n">
        <f aca="false">SUM(AW94:AW96)</f>
        <v>6937.28079229018</v>
      </c>
      <c r="AX97" s="0" t="n">
        <f aca="false">SUM(AX94:AX96)</f>
        <v>7923.08226359368</v>
      </c>
      <c r="AY97" s="0" t="n">
        <f aca="false">SUM(AY94:AY96)</f>
        <v>6584.16882307963</v>
      </c>
      <c r="AZ97" s="0" t="n">
        <f aca="false">SUM(AZ94:AZ96)</f>
        <v>4650.55893625427</v>
      </c>
      <c r="BA97" s="0" t="n">
        <f aca="false">SUM(BA94:BA96)</f>
        <v>7067.79625105605</v>
      </c>
      <c r="BB97" s="0" t="n">
        <f aca="false">SUM(BB94:BB96)</f>
        <v>7924.05771225309</v>
      </c>
      <c r="BC97" s="0" t="n">
        <f aca="false">SUM(BC94:BC96)</f>
        <v>6547.91081366187</v>
      </c>
      <c r="BD97" s="0" t="n">
        <f aca="false">SUM(BD94:BD96)</f>
        <v>7599.73258793167</v>
      </c>
      <c r="BE97" s="0" t="n">
        <f aca="false">SUM(BE94:BE96)</f>
        <v>6973.66120785642</v>
      </c>
      <c r="BF97" s="0" t="n">
        <f aca="false">SUM(BF94:BF96)</f>
        <v>7398.57627459347</v>
      </c>
      <c r="BG97" s="0" t="n">
        <f aca="false">SUM(BG94:BG96)</f>
        <v>5478.67726190404</v>
      </c>
      <c r="BH97" s="0" t="n">
        <f aca="false">SUM(BH94:BH96)</f>
        <v>7365.93499587091</v>
      </c>
      <c r="BI97" s="0" t="n">
        <f aca="false">SUM(BI94:BI96)</f>
        <v>4691.97431983758</v>
      </c>
      <c r="BJ97" s="0" t="n">
        <f aca="false">SUM(BJ94:BJ96)</f>
        <v>6410.9842025997</v>
      </c>
      <c r="BK97" s="0" t="n">
        <f aca="false">SUM(BK94:BK96)</f>
        <v>6186.84567583158</v>
      </c>
      <c r="BL97" s="0" t="n">
        <f aca="false">SUM(BL94:BL96)</f>
        <v>6473.46743872782</v>
      </c>
      <c r="BM97" s="0" t="n">
        <f aca="false">SUM(BM94:BM96)</f>
        <v>8041.22668459707</v>
      </c>
      <c r="BN97" s="0" t="n">
        <f aca="false">SUM(BN94:BN96)</f>
        <v>8123.46544520504</v>
      </c>
      <c r="BO97" s="0" t="n">
        <f aca="false">SUM(BO94:BO96)</f>
        <v>7345.33083727648</v>
      </c>
      <c r="BP97" s="0" t="n">
        <f aca="false">SUM(BP94:BP96)</f>
        <v>7091.20017424871</v>
      </c>
      <c r="BQ97" s="0" t="n">
        <f aca="false">SUM(BQ94:BQ96)</f>
        <v>7484.28448932181</v>
      </c>
      <c r="BR97" s="0" t="n">
        <f aca="false">SUM(BR94:BR96)</f>
        <v>6988.12615152587</v>
      </c>
      <c r="BS97" s="0" t="n">
        <f aca="false">SUM(BS94:BS96)</f>
        <v>7623.97730596638</v>
      </c>
      <c r="BT97" s="0" t="n">
        <f aca="false">SUM(BT94:BT96)</f>
        <v>6396.91642020278</v>
      </c>
      <c r="BU97" s="0" t="n">
        <f aca="false">SUM(BU94:BU96)</f>
        <v>8052.0982559977</v>
      </c>
      <c r="BV97" s="0" t="n">
        <f aca="false">SUM(BV94:BV96)</f>
        <v>6545.1512142783</v>
      </c>
      <c r="BW97" s="0" t="n">
        <f aca="false">SUM(BW94:BW96)</f>
        <v>7327.45997723908</v>
      </c>
      <c r="BX97" s="0" t="n">
        <f aca="false">SUM(BX94:BX96)</f>
        <v>7551.4107206972</v>
      </c>
      <c r="BY97" s="0" t="n">
        <f aca="false">SUM(BY94:BY96)</f>
        <v>7699.5087508798</v>
      </c>
      <c r="BZ97" s="0" t="n">
        <f aca="false">SUM(BZ94:BZ96)</f>
        <v>5793.03802362785</v>
      </c>
      <c r="CA97" s="0" t="n">
        <f aca="false">SUM(CA94:CA96)</f>
        <v>6320.4548624665</v>
      </c>
      <c r="CB97" s="0" t="n">
        <f aca="false">SUM(CB94:CB96)</f>
        <v>8075.28973713376</v>
      </c>
      <c r="CC97" s="0" t="n">
        <f aca="false">SUM(CC94:CC96)</f>
        <v>4769.98346110812</v>
      </c>
      <c r="CD97" s="0" t="n">
        <f aca="false">SUM(CD94:CD96)</f>
        <v>3151.94186989855</v>
      </c>
      <c r="CE97" s="0" t="n">
        <f aca="false">SUM(CE94:CE96)</f>
        <v>5877.69224983005</v>
      </c>
      <c r="CF97" s="0" t="n">
        <f aca="false">SUM(CF94:CF96)</f>
        <v>5899.54262208206</v>
      </c>
      <c r="CG97" s="0" t="n">
        <f aca="false">SUM(CG94:CG96)</f>
        <v>8581.01896765512</v>
      </c>
      <c r="CH97" s="0" t="n">
        <f aca="false">SUM(CH94:CH96)</f>
        <v>7302.02414990773</v>
      </c>
      <c r="CI97" s="0" t="n">
        <f aca="false">SUM(CI94:CI96)</f>
        <v>5506.85668755103</v>
      </c>
      <c r="CJ97" s="0" t="n">
        <f aca="false">SUM(CJ94:CJ96)</f>
        <v>4476.98101819243</v>
      </c>
      <c r="CK97" s="0" t="n">
        <f aca="false">SUM(CK94:CK96)</f>
        <v>7235.68397996389</v>
      </c>
      <c r="CL97" s="0" t="n">
        <f aca="false">SUM(CL94:CL96)</f>
        <v>7421.62017578549</v>
      </c>
      <c r="CM97" s="0" t="n">
        <f aca="false">SUM(CM94:CM96)</f>
        <v>5548.03266134155</v>
      </c>
      <c r="CN97" s="0" t="n">
        <f aca="false">SUM(CN94:CN96)</f>
        <v>6210.64987547132</v>
      </c>
      <c r="CO97" s="0" t="n">
        <f aca="false">SUM(CO94:CO96)</f>
        <v>6510.77251052896</v>
      </c>
      <c r="CP97" s="0" t="n">
        <f aca="false">SUM(CP94:CP96)</f>
        <v>7966.41491971245</v>
      </c>
      <c r="CQ97" s="0" t="n">
        <f aca="false">SUM(CQ94:CQ96)</f>
        <v>7179.31933356025</v>
      </c>
      <c r="CR97" s="0" t="n">
        <f aca="false">SUM(CR94:CR96)</f>
        <v>6692.98977342141</v>
      </c>
      <c r="CS97" s="0" t="n">
        <f aca="false">SUM(CS94:CS96)</f>
        <v>6789.20786162268</v>
      </c>
      <c r="CT97" s="0" t="n">
        <f aca="false">SUM(CT94:CT96)</f>
        <v>8079.00518147135</v>
      </c>
      <c r="CU97" s="0" t="n">
        <f aca="false">SUM(CU94:CU96)</f>
        <v>7479.5001404625</v>
      </c>
      <c r="CV97" s="0" t="n">
        <f aca="false">SUM(CV94:CV96)</f>
        <v>7935.59559163975</v>
      </c>
      <c r="CW97" s="0" t="n">
        <f aca="false">SUM(CW94:CW96)</f>
        <v>6976.21431868176</v>
      </c>
      <c r="CX97" s="0" t="n">
        <f aca="false">SUM(CX94:CX96)</f>
        <v>6634.69066946263</v>
      </c>
      <c r="CY97" s="0" t="n">
        <f aca="false">SUM(CY94:CY96)</f>
        <v>6741.23757341779</v>
      </c>
      <c r="CZ97" s="0" t="n">
        <f aca="false">SUM(CZ94:CZ96)</f>
        <v>7040.51665778144</v>
      </c>
      <c r="DA97" s="0" t="n">
        <f aca="false">SUM(DA94:DA96)</f>
        <v>7989.43920236187</v>
      </c>
      <c r="DB97" s="0" t="n">
        <f aca="false">SUM(DB94:DB96)</f>
        <v>7624.29443028657</v>
      </c>
      <c r="DC97" s="0" t="n">
        <f aca="false">SUM(DC94:DC96)</f>
        <v>5150.49111992186</v>
      </c>
      <c r="DD97" s="0" t="n">
        <f aca="false">SUM(DD94:DD96)</f>
        <v>6844.87802408564</v>
      </c>
      <c r="DE97" s="0" t="n">
        <f aca="false">SUM(DE94:DE96)</f>
        <v>7099.46260203301</v>
      </c>
      <c r="DF97" s="0" t="n">
        <f aca="false">SUM(DF94:DF96)</f>
        <v>7267.33383461195</v>
      </c>
      <c r="DG97" s="0" t="n">
        <f aca="false">SUM(DG94:DG96)</f>
        <v>7341.49197466896</v>
      </c>
      <c r="DH97" s="0" t="n">
        <f aca="false">SUM(DH94:DH96)</f>
        <v>7445.98026754935</v>
      </c>
      <c r="DI97" s="0" t="n">
        <f aca="false">SUM(DI94:DI96)</f>
        <v>7847.20091282494</v>
      </c>
      <c r="DJ97" s="0" t="n">
        <f aca="false">SUM(DJ94:DJ96)</f>
        <v>6954.24766489882</v>
      </c>
      <c r="DK97" s="0" t="n">
        <f aca="false">SUM(DK94:DK96)</f>
        <v>6410.96395443841</v>
      </c>
      <c r="DL97" s="0" t="n">
        <f aca="false">SUM(DL94:DL96)</f>
        <v>6087.36072206682</v>
      </c>
      <c r="DM97" s="0" t="n">
        <f aca="false">SUM(DM94:DM96)</f>
        <v>6258.75078847467</v>
      </c>
      <c r="DN97" s="0" t="n">
        <f aca="false">SUM(DN94:DN96)</f>
        <v>5661.81110471923</v>
      </c>
      <c r="DO97" s="0" t="n">
        <f aca="false">SUM(DO94:DO96)</f>
        <v>3709.5713549422</v>
      </c>
      <c r="DP97" s="0" t="n">
        <f aca="false">SUM(DP94:DP96)</f>
        <v>5623.6057294649</v>
      </c>
      <c r="DQ97" s="0" t="n">
        <f aca="false">SUM(DQ94:DQ96)</f>
        <v>7213.13526436768</v>
      </c>
      <c r="DR97" s="0" t="n">
        <f aca="false">SUM(DR94:DR96)</f>
        <v>6257.29141973715</v>
      </c>
      <c r="DS97" s="0" t="n">
        <f aca="false">SUM(DS94:DS96)</f>
        <v>8179.08611200403</v>
      </c>
      <c r="DT97" s="0" t="n">
        <f aca="false">SUM(DT94:DT96)</f>
        <v>5435.39425154208</v>
      </c>
      <c r="DU97" s="0" t="n">
        <f aca="false">SUM(DU94:DU96)</f>
        <v>5977.34325444623</v>
      </c>
      <c r="DV97" s="0" t="n">
        <f aca="false">SUM(DV94:DV96)</f>
        <v>6121.61770443912</v>
      </c>
      <c r="DW97" s="0" t="n">
        <f aca="false">SUM(DW94:DW96)</f>
        <v>8165.7954868694</v>
      </c>
      <c r="DX97" s="0" t="n">
        <f aca="false">SUM(DX94:DX96)</f>
        <v>7729.46902126354</v>
      </c>
      <c r="DY97" s="0" t="n">
        <f aca="false">SUM(DY94:DY96)</f>
        <v>6561.91857504757</v>
      </c>
      <c r="DZ97" s="0" t="n">
        <f aca="false">SUM(DZ94:DZ96)</f>
        <v>8144.56956475368</v>
      </c>
      <c r="EA97" s="0" t="n">
        <f aca="false">SUM(EA94:EA96)</f>
        <v>7594.84251026974</v>
      </c>
      <c r="EB97" s="0" t="n">
        <f aca="false">SUM(EB94:EB96)</f>
        <v>7419.94542320905</v>
      </c>
      <c r="EC97" s="0" t="n">
        <f aca="false">SUM(EC94:EC96)</f>
        <v>6855.8965223934</v>
      </c>
      <c r="ED97" s="0" t="n">
        <f aca="false">SUM(ED94:ED96)</f>
        <v>8082.93118979577</v>
      </c>
      <c r="EE97" s="0" t="n">
        <f aca="false">SUM(EE94:EE96)</f>
        <v>5595.74468761292</v>
      </c>
      <c r="EF97" s="0" t="n">
        <f aca="false">SUM(EF94:EF96)</f>
        <v>6681.86703565507</v>
      </c>
      <c r="EG97" s="0" t="n">
        <f aca="false">SUM(EG94:EG96)</f>
        <v>7567.25460897091</v>
      </c>
      <c r="EH97" s="0" t="n">
        <f aca="false">SUM(EH94:EH96)</f>
        <v>7106.01188794985</v>
      </c>
      <c r="EI97" s="0" t="n">
        <f aca="false">SUM(EI94:EI96)</f>
        <v>7961.44320581314</v>
      </c>
      <c r="EJ97" s="0" t="n">
        <f aca="false">SUM(EJ94:EJ96)</f>
        <v>6273.22372380193</v>
      </c>
      <c r="EK97" s="0" t="n">
        <f aca="false">SUM(EK94:EK96)</f>
        <v>6643.73242325024</v>
      </c>
      <c r="EL97" s="0" t="n">
        <f aca="false">SUM(EL94:EL96)</f>
        <v>5427.19003073832</v>
      </c>
      <c r="EM97" s="0" t="n">
        <f aca="false">SUM(EM94:EM96)</f>
        <v>7044.83956135724</v>
      </c>
      <c r="EN97" s="0" t="n">
        <f aca="false">SUM(EN94:EN96)</f>
        <v>5565.71196009883</v>
      </c>
      <c r="EO97" s="0" t="n">
        <f aca="false">SUM(EO94:EO96)</f>
        <v>7052.68796234969</v>
      </c>
      <c r="EP97" s="0" t="n">
        <f aca="false">SUM(EP94:EP96)</f>
        <v>7239.60262620392</v>
      </c>
      <c r="EQ97" s="0" t="n">
        <f aca="false">SUM(EQ94:EQ96)</f>
        <v>7510.26381094287</v>
      </c>
      <c r="ER97" s="0" t="n">
        <f aca="false">SUM(ER94:ER96)</f>
        <v>6407.42395421874</v>
      </c>
      <c r="ES97" s="0" t="n">
        <f aca="false">SUM(ES94:ES96)</f>
        <v>6000.24903832369</v>
      </c>
      <c r="ET97" s="0" t="n">
        <f aca="false">SUM(ET94:ET96)</f>
        <v>6654.14228864732</v>
      </c>
      <c r="EU97" s="0" t="n">
        <f aca="false">SUM(EU94:EU96)</f>
        <v>5121.24725676581</v>
      </c>
      <c r="EV97" s="0" t="n">
        <f aca="false">SUM(EV94:EV96)</f>
        <v>6126.95930085224</v>
      </c>
      <c r="EW97" s="0" t="n">
        <f aca="false">SUM(EW94:EW96)</f>
        <v>7924.39125695739</v>
      </c>
      <c r="EX97" s="0" t="n">
        <f aca="false">SUM(EX94:EX96)</f>
        <v>8748.08580126153</v>
      </c>
      <c r="EY97" s="0" t="n">
        <f aca="false">SUM(EY94:EY96)</f>
        <v>3450.23633528688</v>
      </c>
      <c r="EZ97" s="0" t="n">
        <f aca="false">SUM(EZ94:EZ96)</f>
        <v>6902.86508471487</v>
      </c>
      <c r="FA97" s="0" t="n">
        <f aca="false">SUM(FA94:FA96)</f>
        <v>5264.89227981301</v>
      </c>
      <c r="FB97" s="0" t="n">
        <f aca="false">SUM(FB94:FB96)</f>
        <v>6393.47309245139</v>
      </c>
      <c r="FC97" s="0" t="n">
        <f aca="false">SUM(FC94:FC96)</f>
        <v>5853.80962472281</v>
      </c>
      <c r="FD97" s="0" t="n">
        <f aca="false">SUM(FD94:FD96)</f>
        <v>5269.50638156852</v>
      </c>
      <c r="FE97" s="0" t="n">
        <f aca="false">SUM(FE94:FE96)</f>
        <v>8583.96921029513</v>
      </c>
      <c r="FF97" s="0" t="n">
        <f aca="false">SUM(FF94:FF96)</f>
        <v>7528.05859986113</v>
      </c>
      <c r="FG97" s="0" t="n">
        <f aca="false">SUM(FG94:FG96)</f>
        <v>6934.04200414636</v>
      </c>
      <c r="FH97" s="0" t="n">
        <f aca="false">SUM(FH94:FH96)</f>
        <v>6878.80840764502</v>
      </c>
      <c r="FI97" s="0" t="n">
        <f aca="false">SUM(FI94:FI96)</f>
        <v>7216.56078412617</v>
      </c>
      <c r="FJ97" s="0" t="n">
        <f aca="false">SUM(FJ94:FJ96)</f>
        <v>6586.54031156285</v>
      </c>
      <c r="FK97" s="0" t="n">
        <f aca="false">SUM(FK94:FK96)</f>
        <v>5038.21691465368</v>
      </c>
      <c r="FL97" s="0" t="n">
        <f aca="false">SUM(FL94:FL96)</f>
        <v>7368.9023129873</v>
      </c>
      <c r="FM97" s="0" t="n">
        <f aca="false">SUM(FM94:FM96)</f>
        <v>4517.50840686859</v>
      </c>
      <c r="FN97" s="0" t="n">
        <f aca="false">SUM(FN94:FN96)</f>
        <v>5578.40196627769</v>
      </c>
      <c r="FO97" s="0" t="n">
        <f aca="false">SUM(FO94:FO96)</f>
        <v>6877.91887420122</v>
      </c>
      <c r="FP97" s="0" t="n">
        <f aca="false">SUM(FP94:FP96)</f>
        <v>7480.37328166973</v>
      </c>
      <c r="FQ97" s="0" t="n">
        <f aca="false">SUM(FQ94:FQ96)</f>
        <v>7256.85691272571</v>
      </c>
      <c r="FR97" s="0" t="n">
        <f aca="false">SUM(FR94:FR96)</f>
        <v>7504.28868715635</v>
      </c>
      <c r="FS97" s="0" t="n">
        <f aca="false">SUM(FS94:FS96)</f>
        <v>7250.18399333952</v>
      </c>
      <c r="FT97" s="0" t="n">
        <f aca="false">SUM(FT94:FT96)</f>
        <v>6699.39882132812</v>
      </c>
      <c r="FU97" s="0" t="n">
        <f aca="false">SUM(FU94:FU96)</f>
        <v>5585.37732862939</v>
      </c>
      <c r="FV97" s="0" t="n">
        <f aca="false">SUM(FV94:FV96)</f>
        <v>5697.078479627</v>
      </c>
      <c r="FW97" s="0" t="n">
        <f aca="false">SUM(FW94:FW96)</f>
        <v>5996.96849370776</v>
      </c>
      <c r="FX97" s="0" t="n">
        <f aca="false">SUM(FX94:FX96)</f>
        <v>6795.0534023539</v>
      </c>
      <c r="FY97" s="0" t="n">
        <f aca="false">SUM(FY94:FY96)</f>
        <v>5834.37619588451</v>
      </c>
      <c r="FZ97" s="0" t="n">
        <f aca="false">SUM(FZ94:FZ96)</f>
        <v>7755.15558778694</v>
      </c>
      <c r="GA97" s="0" t="n">
        <f aca="false">SUM(GA94:GA96)</f>
        <v>7125.51771148955</v>
      </c>
      <c r="GB97" s="0" t="n">
        <f aca="false">SUM(GB94:GB96)</f>
        <v>6918.66219581922</v>
      </c>
      <c r="GC97" s="0" t="n">
        <f aca="false">SUM(GC94:GC96)</f>
        <v>8143.68754916072</v>
      </c>
      <c r="GD97" s="0" t="n">
        <f aca="false">SUM(GD94:GD96)</f>
        <v>7281.18062597367</v>
      </c>
      <c r="GE97" s="0" t="n">
        <f aca="false">SUM(GE94:GE96)</f>
        <v>6399.74113842172</v>
      </c>
      <c r="GF97" s="0" t="n">
        <f aca="false">SUM(GF94:GF96)</f>
        <v>6683.295841463</v>
      </c>
      <c r="GG97" s="0" t="n">
        <f aca="false">SUM(GG94:GG96)</f>
        <v>7329.47529395378</v>
      </c>
      <c r="GH97" s="0" t="n">
        <f aca="false">SUM(GH94:GH96)</f>
        <v>6842.68049024644</v>
      </c>
      <c r="GI97" s="0" t="n">
        <f aca="false">SUM(GI94:GI96)</f>
        <v>5545.78502343591</v>
      </c>
      <c r="GJ97" s="0" t="n">
        <f aca="false">SUM(GJ94:GJ96)</f>
        <v>8515.26054572672</v>
      </c>
      <c r="GK97" s="0" t="n">
        <f aca="false">SUM(GK94:GK96)</f>
        <v>8010.87971369707</v>
      </c>
      <c r="GL97" s="0" t="n">
        <f aca="false">SUM(GL94:GL96)</f>
        <v>7335.49943315916</v>
      </c>
      <c r="GM97" s="0" t="n">
        <f aca="false">SUM(GM94:GM96)</f>
        <v>6823.69903178646</v>
      </c>
      <c r="GN97" s="0" t="n">
        <f aca="false">SUM(GN94:GN96)</f>
        <v>7184.00624879816</v>
      </c>
      <c r="GO97" s="0" t="n">
        <f aca="false">SUM(GO94:GO96)</f>
        <v>7782.09423114818</v>
      </c>
      <c r="GP97" s="0" t="n">
        <f aca="false">SUM(GP94:GP96)</f>
        <v>5898.41419906415</v>
      </c>
      <c r="GQ97" s="0" t="n">
        <f aca="false">SUM(GQ94:GQ96)</f>
        <v>7829.45186617016</v>
      </c>
      <c r="GR97" s="0" t="n">
        <f aca="false">SUM(GR94:GR96)</f>
        <v>5363.21986459858</v>
      </c>
      <c r="GS97" s="0" t="n">
        <f aca="false">SUM(GS94:GS96)</f>
        <v>6870.17571262961</v>
      </c>
      <c r="GT97" s="0" t="n">
        <f aca="false">SUM(GT94:GT96)</f>
        <v>6413.90622507507</v>
      </c>
      <c r="GU97" s="0" t="n">
        <f aca="false">SUM(GU94:GU96)</f>
        <v>7744.96371562452</v>
      </c>
      <c r="GV97" s="0" t="n">
        <f aca="false">SUM(GV94:GV96)</f>
        <v>6108.56112553584</v>
      </c>
      <c r="GW97" s="0" t="n">
        <f aca="false">SUM(GW94:GW96)</f>
        <v>7568.04529449213</v>
      </c>
      <c r="GX97" s="0" t="n">
        <f aca="false">SUM(GX94:GX96)</f>
        <v>7030.16196318948</v>
      </c>
      <c r="GY97" s="0" t="n">
        <f aca="false">SUM(GY94:GY96)</f>
        <v>7336.53689859607</v>
      </c>
      <c r="GZ97" s="0" t="n">
        <f aca="false">SUM(GZ94:GZ96)</f>
        <v>5998.90382933474</v>
      </c>
      <c r="HA97" s="0" t="n">
        <f aca="false">SUM(HA94:HA96)</f>
        <v>6557.53798377747</v>
      </c>
      <c r="HB97" s="0" t="n">
        <f aca="false">SUM(HB94:HB96)</f>
        <v>7377.59110424649</v>
      </c>
      <c r="HC97" s="0" t="n">
        <f aca="false">SUM(HC94:HC96)</f>
        <v>7678.21753349044</v>
      </c>
      <c r="HD97" s="0" t="n">
        <f aca="false">SUM(HD94:HD96)</f>
        <v>5066.53161174494</v>
      </c>
      <c r="HE97" s="0" t="n">
        <f aca="false">SUM(HE94:HE96)</f>
        <v>5758.88047598665</v>
      </c>
      <c r="HF97" s="0" t="n">
        <f aca="false">SUM(HF94:HF96)</f>
        <v>6892.66902793415</v>
      </c>
      <c r="HG97" s="0" t="n">
        <f aca="false">SUM(HG94:HG96)</f>
        <v>5903.68766545869</v>
      </c>
      <c r="HH97" s="0" t="n">
        <f aca="false">SUM(HH94:HH96)</f>
        <v>5838.60281623426</v>
      </c>
      <c r="HI97" s="0" t="n">
        <f aca="false">SUM(HI94:HI96)</f>
        <v>6354.35050642331</v>
      </c>
      <c r="HJ97" s="0" t="n">
        <f aca="false">SUM(HJ94:HJ96)</f>
        <v>7184.81543959936</v>
      </c>
      <c r="HK97" s="0" t="n">
        <f aca="false">SUM(HK94:HK96)</f>
        <v>7706.65073015793</v>
      </c>
      <c r="HL97" s="0" t="n">
        <f aca="false">SUM(HL94:HL96)</f>
        <v>5143.21261067707</v>
      </c>
      <c r="HM97" s="0" t="n">
        <f aca="false">SUM(HM94:HM96)</f>
        <v>7976.86978855884</v>
      </c>
      <c r="HN97" s="0" t="n">
        <f aca="false">SUM(HN94:HN96)</f>
        <v>7949.17223966824</v>
      </c>
      <c r="HO97" s="0" t="n">
        <f aca="false">SUM(HO94:HO96)</f>
        <v>8358.51121123652</v>
      </c>
      <c r="HP97" s="0" t="n">
        <f aca="false">SUM(HP94:HP96)</f>
        <v>7692.35687825254</v>
      </c>
      <c r="HQ97" s="0" t="n">
        <f aca="false">SUM(HQ94:HQ96)</f>
        <v>6456.25490770592</v>
      </c>
      <c r="HR97" s="0" t="n">
        <f aca="false">SUM(HR94:HR96)</f>
        <v>6595.73144355129</v>
      </c>
      <c r="HS97" s="0" t="n">
        <f aca="false">SUM(HS94:HS96)</f>
        <v>6411.98080713285</v>
      </c>
      <c r="HT97" s="0" t="n">
        <f aca="false">SUM(HT94:HT96)</f>
        <v>3679.53336597106</v>
      </c>
      <c r="HU97" s="0" t="n">
        <f aca="false">SUM(HU94:HU96)</f>
        <v>7890.30813717768</v>
      </c>
      <c r="HV97" s="0" t="n">
        <f aca="false">SUM(HV94:HV96)</f>
        <v>6339.36409958488</v>
      </c>
      <c r="HW97" s="0" t="n">
        <f aca="false">SUM(HW94:HW96)</f>
        <v>7438.31074642287</v>
      </c>
      <c r="HX97" s="0" t="n">
        <f aca="false">SUM(HX94:HX96)</f>
        <v>5714.39157556341</v>
      </c>
      <c r="HY97" s="0" t="n">
        <f aca="false">SUM(HY94:HY96)</f>
        <v>7755.78116382183</v>
      </c>
      <c r="HZ97" s="0" t="n">
        <f aca="false">SUM(HZ94:HZ96)</f>
        <v>7713.93743231312</v>
      </c>
      <c r="IA97" s="0" t="n">
        <f aca="false">SUM(IA94:IA96)</f>
        <v>5224.1614007464</v>
      </c>
      <c r="IB97" s="0" t="n">
        <f aca="false">SUM(IB94:IB96)</f>
        <v>8068.47060708389</v>
      </c>
      <c r="IC97" s="0" t="n">
        <f aca="false">SUM(IC94:IC96)</f>
        <v>7922.59633017052</v>
      </c>
      <c r="ID97" s="0" t="n">
        <f aca="false">SUM(ID94:ID96)</f>
        <v>7625.5973785203</v>
      </c>
      <c r="IE97" s="0" t="n">
        <f aca="false">SUM(IE94:IE96)</f>
        <v>4888.57301195714</v>
      </c>
      <c r="IF97" s="0" t="n">
        <f aca="false">SUM(IF94:IF96)</f>
        <v>7313.94474557354</v>
      </c>
      <c r="IG97" s="0" t="n">
        <f aca="false">SUM(IG94:IG96)</f>
        <v>7732.96995529884</v>
      </c>
      <c r="IH97" s="0" t="n">
        <f aca="false">SUM(IH94:IH96)</f>
        <v>6792.68027218013</v>
      </c>
      <c r="II97" s="0" t="n">
        <f aca="false">SUM(II94:II96)</f>
        <v>7044.85530881519</v>
      </c>
      <c r="IJ97" s="0" t="n">
        <f aca="false">SUM(IJ94:IJ96)</f>
        <v>7229.31051605209</v>
      </c>
      <c r="IK97" s="0" t="n">
        <f aca="false">SUM(IK94:IK96)</f>
        <v>3851.95558228837</v>
      </c>
      <c r="IL97" s="0" t="n">
        <f aca="false">SUM(IL94:IL96)</f>
        <v>6291.86546967411</v>
      </c>
      <c r="IM97" s="0" t="n">
        <f aca="false">SUM(IM94:IM96)</f>
        <v>7489.44432144785</v>
      </c>
      <c r="IN97" s="0" t="n">
        <f aca="false">SUM(IN94:IN96)</f>
        <v>6959.96378412085</v>
      </c>
      <c r="IO97" s="0" t="n">
        <f aca="false">SUM(IO94:IO96)</f>
        <v>6368.3338166182</v>
      </c>
      <c r="IP97" s="0" t="n">
        <f aca="false">SUM(IP94:IP96)</f>
        <v>6775.15175301973</v>
      </c>
      <c r="IQ97" s="0" t="n">
        <f aca="false">SUM(IQ94:IQ96)</f>
        <v>6964.32556321624</v>
      </c>
      <c r="IR97" s="0" t="n">
        <f aca="false">SUM(IR94:IR96)</f>
        <v>7672.56699613768</v>
      </c>
      <c r="IS97" s="0" t="n">
        <f aca="false">SUM(IS94:IS96)</f>
        <v>6732.96500100826</v>
      </c>
      <c r="IT97" s="0" t="n">
        <f aca="false">SUM(IT94:IT96)</f>
        <v>6340.09422436088</v>
      </c>
      <c r="IU97" s="0" t="n">
        <f aca="false">SUM(IU94:IU96)</f>
        <v>7183.70752273887</v>
      </c>
      <c r="IV97" s="0" t="n">
        <f aca="false">SUM(IV94:IV96)</f>
        <v>5966.72715021551</v>
      </c>
      <c r="IW97" s="0" t="n">
        <f aca="false">SUM(IW94:IW96)</f>
        <v>7027.72886585104</v>
      </c>
      <c r="IX97" s="0" t="n">
        <f aca="false">SUM(IX94:IX96)</f>
        <v>6873.86498162613</v>
      </c>
      <c r="IY97" s="0" t="n">
        <f aca="false">SUM(IY94:IY96)</f>
        <v>6362.01208676528</v>
      </c>
      <c r="IZ97" s="0" t="n">
        <f aca="false">SUM(IZ94:IZ96)</f>
        <v>6609.08326755819</v>
      </c>
      <c r="JA97" s="0" t="n">
        <f aca="false">SUM(JA94:JA96)</f>
        <v>8159.88682394424</v>
      </c>
      <c r="JB97" s="0" t="n">
        <f aca="false">SUM(JB94:JB96)</f>
        <v>7243.61867336665</v>
      </c>
      <c r="JC97" s="0" t="n">
        <f aca="false">SUM(JC94:JC96)</f>
        <v>7181.13056867415</v>
      </c>
      <c r="JD97" s="0" t="n">
        <f aca="false">SUM(JD94:JD96)</f>
        <v>7346.42778305608</v>
      </c>
      <c r="JE97" s="0" t="n">
        <f aca="false">SUM(JE94:JE96)</f>
        <v>7902.28979416167</v>
      </c>
      <c r="JF97" s="0" t="n">
        <f aca="false">SUM(JF94:JF96)</f>
        <v>6393.06241352383</v>
      </c>
      <c r="JG97" s="0" t="n">
        <f aca="false">SUM(JG94:JG96)</f>
        <v>6069.30368521505</v>
      </c>
      <c r="JH97" s="0" t="n">
        <f aca="false">SUM(JH94:JH96)</f>
        <v>7468.68528042757</v>
      </c>
      <c r="JI97" s="0" t="n">
        <f aca="false">SUM(JI94:JI96)</f>
        <v>6343.54420588406</v>
      </c>
      <c r="JJ97" s="0" t="n">
        <f aca="false">SUM(JJ94:JJ96)</f>
        <v>7128.90939236359</v>
      </c>
      <c r="JK97" s="0" t="n">
        <f aca="false">SUM(JK94:JK96)</f>
        <v>7594.09904340134</v>
      </c>
      <c r="JL97" s="0" t="n">
        <f aca="false">SUM(JL94:JL96)</f>
        <v>6898.58236940067</v>
      </c>
      <c r="JM97" s="0" t="n">
        <f aca="false">SUM(JM94:JM96)</f>
        <v>7101.48511589772</v>
      </c>
      <c r="JN97" s="0" t="n">
        <f aca="false">SUM(JN94:JN96)</f>
        <v>6785.5167746107</v>
      </c>
      <c r="JO97" s="0" t="n">
        <f aca="false">SUM(JO94:JO96)</f>
        <v>8214.82876187949</v>
      </c>
      <c r="JP97" s="0" t="n">
        <f aca="false">SUM(JP94:JP96)</f>
        <v>7198.19033183403</v>
      </c>
      <c r="JQ97" s="0" t="n">
        <f aca="false">SUM(JQ94:JQ96)</f>
        <v>7394.85818254852</v>
      </c>
      <c r="JR97" s="0" t="n">
        <f aca="false">SUM(JR94:JR96)</f>
        <v>7839.70447484853</v>
      </c>
      <c r="JS97" s="0" t="n">
        <f aca="false">SUM(JS94:JS96)</f>
        <v>7295.58861679205</v>
      </c>
      <c r="JT97" s="0" t="n">
        <f aca="false">SUM(JT94:JT96)</f>
        <v>7230.43637793123</v>
      </c>
      <c r="JU97" s="0" t="n">
        <f aca="false">SUM(JU94:JU96)</f>
        <v>7210.29983226808</v>
      </c>
      <c r="JV97" s="0" t="n">
        <f aca="false">SUM(JV94:JV96)</f>
        <v>6850.00693559813</v>
      </c>
      <c r="JW97" s="0" t="n">
        <f aca="false">SUM(JW94:JW96)</f>
        <v>4565.04417633509</v>
      </c>
      <c r="JX97" s="0" t="n">
        <f aca="false">SUM(JX94:JX96)</f>
        <v>8114.32217389089</v>
      </c>
      <c r="JY97" s="0" t="n">
        <f aca="false">SUM(JY94:JY96)</f>
        <v>7170.892020409</v>
      </c>
      <c r="JZ97" s="0" t="n">
        <f aca="false">SUM(JZ94:JZ96)</f>
        <v>8090.25478411165</v>
      </c>
      <c r="KA97" s="0" t="n">
        <f aca="false">SUM(KA94:KA96)</f>
        <v>7764.87295664008</v>
      </c>
      <c r="KB97" s="0" t="n">
        <f aca="false">SUM(KB94:KB96)</f>
        <v>6079.74109015251</v>
      </c>
      <c r="KC97" s="0" t="n">
        <f aca="false">SUM(KC94:KC96)</f>
        <v>7993.28386932768</v>
      </c>
      <c r="KD97" s="0" t="n">
        <f aca="false">SUM(KD94:KD96)</f>
        <v>7023.65460834744</v>
      </c>
      <c r="KE97" s="0" t="n">
        <f aca="false">SUM(KE94:KE96)</f>
        <v>6559.01892624499</v>
      </c>
      <c r="KF97" s="0" t="n">
        <f aca="false">SUM(KF94:KF96)</f>
        <v>6816.44931405821</v>
      </c>
      <c r="KG97" s="0" t="n">
        <f aca="false">SUM(KG94:KG96)</f>
        <v>4413.13216581461</v>
      </c>
      <c r="KH97" s="0" t="n">
        <f aca="false">SUM(KH94:KH96)</f>
        <v>6901.00592989467</v>
      </c>
      <c r="KI97" s="0" t="n">
        <f aca="false">SUM(KI94:KI96)</f>
        <v>7893.90595786382</v>
      </c>
      <c r="KJ97" s="0" t="n">
        <f aca="false">SUM(KJ94:KJ96)</f>
        <v>6284.50843606391</v>
      </c>
      <c r="KK97" s="0" t="n">
        <f aca="false">SUM(KK94:KK96)</f>
        <v>7665.9434666598</v>
      </c>
      <c r="KL97" s="0" t="n">
        <f aca="false">SUM(KL94:KL96)</f>
        <v>6579.0752168781</v>
      </c>
      <c r="KM97" s="0" t="n">
        <f aca="false">SUM(KM94:KM96)</f>
        <v>6535.81182951804</v>
      </c>
      <c r="KN97" s="0" t="n">
        <f aca="false">SUM(KN94:KN96)</f>
        <v>7257.61697536545</v>
      </c>
      <c r="KO97" s="0" t="n">
        <f aca="false">SUM(KO94:KO96)</f>
        <v>7204.99591110094</v>
      </c>
      <c r="KP97" s="0" t="n">
        <f aca="false">SUM(KP94:KP96)</f>
        <v>8487.51422156115</v>
      </c>
      <c r="KQ97" s="0" t="n">
        <f aca="false">SUM(KQ94:KQ96)</f>
        <v>7202.15601655006</v>
      </c>
      <c r="KR97" s="0" t="n">
        <f aca="false">SUM(KR94:KR96)</f>
        <v>6921.123236827</v>
      </c>
      <c r="KS97" s="0" t="n">
        <f aca="false">SUM(KS94:KS96)</f>
        <v>7143.18289375163</v>
      </c>
      <c r="KT97" s="0" t="n">
        <f aca="false">SUM(KT94:KT96)</f>
        <v>7850.04554306854</v>
      </c>
      <c r="KU97" s="0" t="n">
        <f aca="false">SUM(KU94:KU96)</f>
        <v>7898.96007919592</v>
      </c>
      <c r="KV97" s="0" t="n">
        <f aca="false">SUM(KV94:KV96)</f>
        <v>7283.56332328627</v>
      </c>
      <c r="KW97" s="0" t="n">
        <f aca="false">SUM(KW94:KW96)</f>
        <v>8350.24994066937</v>
      </c>
      <c r="KX97" s="0" t="n">
        <f aca="false">SUM(KX94:KX96)</f>
        <v>6464.77723520578</v>
      </c>
      <c r="KY97" s="0" t="n">
        <f aca="false">SUM(KY94:KY96)</f>
        <v>6500.34758569246</v>
      </c>
      <c r="KZ97" s="0" t="n">
        <f aca="false">SUM(KZ94:KZ96)</f>
        <v>7709.06146747423</v>
      </c>
      <c r="LA97" s="0" t="n">
        <f aca="false">SUM(LA94:LA96)</f>
        <v>6089.37717876137</v>
      </c>
      <c r="LB97" s="0" t="n">
        <f aca="false">SUM(LB94:LB96)</f>
        <v>4001.93749252261</v>
      </c>
      <c r="LC97" s="0" t="n">
        <f aca="false">SUM(LC94:LC96)</f>
        <v>6382.01876360668</v>
      </c>
      <c r="LD97" s="0" t="n">
        <f aca="false">SUM(LD94:LD96)</f>
        <v>7369.52470815987</v>
      </c>
      <c r="LE97" s="0" t="n">
        <f aca="false">SUM(LE94:LE96)</f>
        <v>7949.24694186023</v>
      </c>
      <c r="LF97" s="0" t="n">
        <f aca="false">SUM(LF94:LF96)</f>
        <v>7531.3471127913</v>
      </c>
      <c r="LG97" s="0" t="n">
        <f aca="false">SUM(LG94:LG96)</f>
        <v>6486.73126299987</v>
      </c>
      <c r="LH97" s="0" t="n">
        <f aca="false">SUM(LH94:LH96)</f>
        <v>8007.81082453837</v>
      </c>
      <c r="LI97" s="0" t="n">
        <f aca="false">SUM(LI94:LI96)</f>
        <v>6417.1230174579</v>
      </c>
      <c r="LJ97" s="0" t="n">
        <f aca="false">SUM(LJ94:LJ96)</f>
        <v>7076.10200492405</v>
      </c>
      <c r="LK97" s="0" t="n">
        <f aca="false">SUM(LK94:LK96)</f>
        <v>5999.92281890367</v>
      </c>
      <c r="LL97" s="0" t="n">
        <f aca="false">SUM(LL94:LL96)</f>
        <v>7230.34519325921</v>
      </c>
      <c r="LM97" s="0" t="n">
        <f aca="false">SUM(LM94:LM96)</f>
        <v>7117.06286149034</v>
      </c>
      <c r="LN97" s="0" t="n">
        <f aca="false">SUM(LN94:LN96)</f>
        <v>5365.30770594638</v>
      </c>
      <c r="LO97" s="0" t="n">
        <f aca="false">SUM(LO94:LO96)</f>
        <v>7434.44126297746</v>
      </c>
      <c r="LP97" s="0" t="n">
        <f aca="false">SUM(LP94:LP96)</f>
        <v>5997.80066608154</v>
      </c>
      <c r="LQ97" s="0" t="n">
        <f aca="false">SUM(LQ94:LQ96)</f>
        <v>7486.97029802408</v>
      </c>
      <c r="LR97" s="0" t="n">
        <f aca="false">SUM(LR94:LR96)</f>
        <v>7771.41382582625</v>
      </c>
      <c r="LS97" s="0" t="n">
        <f aca="false">SUM(LS94:LS96)</f>
        <v>7335.64187529974</v>
      </c>
      <c r="LT97" s="0" t="n">
        <f aca="false">SUM(LT94:LT96)</f>
        <v>6914.41935886135</v>
      </c>
      <c r="LU97" s="0" t="n">
        <f aca="false">SUM(LU94:LU96)</f>
        <v>7180.84012047872</v>
      </c>
      <c r="LV97" s="0" t="n">
        <f aca="false">SUM(LV94:LV96)</f>
        <v>7866.08564221596</v>
      </c>
      <c r="LW97" s="0" t="n">
        <f aca="false">SUM(LW94:LW96)</f>
        <v>6887.99332948472</v>
      </c>
      <c r="LX97" s="0" t="n">
        <f aca="false">SUM(LX94:LX96)</f>
        <v>6964.04116492999</v>
      </c>
      <c r="LY97" s="0" t="n">
        <f aca="false">SUM(LY94:LY96)</f>
        <v>7814.64108872919</v>
      </c>
      <c r="LZ97" s="0" t="n">
        <f aca="false">SUM(LZ94:LZ96)</f>
        <v>7637.15600868941</v>
      </c>
      <c r="MA97" s="0" t="n">
        <f aca="false">SUM(MA94:MA96)</f>
        <v>6726.27814357564</v>
      </c>
      <c r="MB97" s="0" t="n">
        <f aca="false">SUM(MB94:MB96)</f>
        <v>5293.50817797145</v>
      </c>
      <c r="MC97" s="0" t="n">
        <f aca="false">SUM(MC94:MC96)</f>
        <v>6449.08584100085</v>
      </c>
      <c r="MD97" s="0" t="n">
        <f aca="false">SUM(MD94:MD96)</f>
        <v>2238.88745686055</v>
      </c>
      <c r="ME97" s="0" t="n">
        <f aca="false">SUM(ME94:ME96)</f>
        <v>5765.76903933632</v>
      </c>
      <c r="MF97" s="0" t="n">
        <f aca="false">SUM(MF94:MF96)</f>
        <v>7004.96601882947</v>
      </c>
      <c r="MG97" s="0" t="n">
        <f aca="false">SUM(MG94:MG96)</f>
        <v>8026.17532922096</v>
      </c>
      <c r="MH97" s="0" t="n">
        <f aca="false">SUM(MH94:MH96)</f>
        <v>6973.57898988964</v>
      </c>
      <c r="MI97" s="0" t="n">
        <f aca="false">SUM(MI94:MI96)</f>
        <v>6612.40930232713</v>
      </c>
      <c r="MJ97" s="0" t="n">
        <f aca="false">SUM(MJ94:MJ96)</f>
        <v>6037.56721818732</v>
      </c>
      <c r="MK97" s="0" t="n">
        <f aca="false">SUM(MK94:MK96)</f>
        <v>6255.13837137384</v>
      </c>
      <c r="ML97" s="0" t="n">
        <f aca="false">SUM(ML94:ML96)</f>
        <v>5580.89553464804</v>
      </c>
      <c r="MM97" s="0" t="n">
        <f aca="false">SUM(MM94:MM96)</f>
        <v>7309.25960429084</v>
      </c>
      <c r="MN97" s="0" t="n">
        <f aca="false">SUM(MN94:MN96)</f>
        <v>6265.59055554137</v>
      </c>
      <c r="MO97" s="0" t="n">
        <f aca="false">SUM(MO94:MO96)</f>
        <v>5005.71299167228</v>
      </c>
      <c r="MP97" s="0" t="n">
        <f aca="false">SUM(MP94:MP96)</f>
        <v>5134.05085042882</v>
      </c>
      <c r="MQ97" s="0" t="n">
        <f aca="false">SUM(MQ94:MQ96)</f>
        <v>8127.92320644865</v>
      </c>
      <c r="MR97" s="0" t="n">
        <f aca="false">SUM(MR94:MR96)</f>
        <v>6347.4927987251</v>
      </c>
      <c r="MS97" s="0" t="n">
        <f aca="false">SUM(MS94:MS96)</f>
        <v>6060.66904642888</v>
      </c>
      <c r="MT97" s="0" t="n">
        <f aca="false">SUM(MT94:MT96)</f>
        <v>7516.89305190853</v>
      </c>
      <c r="MU97" s="0" t="n">
        <f aca="false">SUM(MU94:MU96)</f>
        <v>7738.83881913191</v>
      </c>
      <c r="MV97" s="0" t="n">
        <f aca="false">SUM(MV94:MV96)</f>
        <v>5524.13725664577</v>
      </c>
      <c r="MW97" s="0" t="n">
        <f aca="false">SUM(MW94:MW96)</f>
        <v>7176.67073136408</v>
      </c>
      <c r="MX97" s="0" t="n">
        <f aca="false">SUM(MX94:MX96)</f>
        <v>8126.23354024134</v>
      </c>
      <c r="MY97" s="0" t="n">
        <f aca="false">SUM(MY94:MY96)</f>
        <v>6306.75370129447</v>
      </c>
      <c r="MZ97" s="0" t="n">
        <f aca="false">SUM(MZ94:MZ96)</f>
        <v>6558.40856863167</v>
      </c>
      <c r="NA97" s="0" t="n">
        <f aca="false">SUM(NA94:NA96)</f>
        <v>6015.5348191564</v>
      </c>
      <c r="NB97" s="0" t="n">
        <f aca="false">SUM(NB94:NB96)</f>
        <v>5379.12574184283</v>
      </c>
      <c r="NC97" s="0" t="n">
        <f aca="false">SUM(NC94:NC96)</f>
        <v>6951.20424227859</v>
      </c>
      <c r="ND97" s="0" t="n">
        <f aca="false">SUM(ND94:ND96)</f>
        <v>7489.35414462976</v>
      </c>
      <c r="NE97" s="0" t="n">
        <f aca="false">SUM(NE94:NE96)</f>
        <v>4655.88548625058</v>
      </c>
      <c r="NF97" s="0" t="n">
        <f aca="false">SUM(NF94:NF96)</f>
        <v>7131.25111675344</v>
      </c>
      <c r="NG97" s="0" t="n">
        <f aca="false">SUM(NG94:NG96)</f>
        <v>7152.20298583302</v>
      </c>
      <c r="NH97" s="0" t="n">
        <f aca="false">SUM(NH94:NH96)</f>
        <v>7221.58157385109</v>
      </c>
      <c r="NI97" s="0" t="n">
        <f aca="false">SUM(NI94:NI96)</f>
        <v>6999.71206394738</v>
      </c>
      <c r="NJ97" s="0" t="n">
        <f aca="false">SUM(NJ94:NJ96)</f>
        <v>7461.82011189799</v>
      </c>
      <c r="NK97" s="0" t="n">
        <f aca="false">SUM(NK94:NK96)</f>
        <v>6200.53222170611</v>
      </c>
      <c r="NL97" s="0" t="n">
        <f aca="false">SUM(NL94:NL96)</f>
        <v>7068.89981622795</v>
      </c>
      <c r="NM97" s="0" t="n">
        <f aca="false">SUM(NM94:NM96)</f>
        <v>5129.45588490847</v>
      </c>
      <c r="NN97" s="0" t="n">
        <f aca="false">SUM(NN94:NN96)</f>
        <v>5091.42560545254</v>
      </c>
      <c r="NO97" s="0" t="n">
        <f aca="false">SUM(NO94:NO96)</f>
        <v>8187.1236833492</v>
      </c>
      <c r="NP97" s="0" t="n">
        <f aca="false">SUM(NP94:NP96)</f>
        <v>6929.03258967228</v>
      </c>
      <c r="NQ97" s="0" t="n">
        <f aca="false">SUM(NQ94:NQ96)</f>
        <v>6838.44695243566</v>
      </c>
      <c r="NR97" s="0" t="n">
        <f aca="false">SUM(NR94:NR96)</f>
        <v>7297.12903113864</v>
      </c>
      <c r="NS97" s="0" t="n">
        <f aca="false">SUM(NS94:NS96)</f>
        <v>7022.06262960468</v>
      </c>
      <c r="NT97" s="0" t="n">
        <f aca="false">SUM(NT94:NT96)</f>
        <v>7501.32670303967</v>
      </c>
      <c r="NU97" s="0" t="n">
        <f aca="false">SUM(NU94:NU96)</f>
        <v>8269.77423451503</v>
      </c>
      <c r="NV97" s="0" t="n">
        <f aca="false">SUM(NV94:NV96)</f>
        <v>7200.72616875993</v>
      </c>
      <c r="NW97" s="0" t="n">
        <f aca="false">SUM(NW94:NW96)</f>
        <v>7115.71463537879</v>
      </c>
      <c r="NX97" s="0" t="n">
        <f aca="false">SUM(NX94:NX96)</f>
        <v>7175.08246742532</v>
      </c>
      <c r="NY97" s="0" t="n">
        <f aca="false">SUM(NY94:NY96)</f>
        <v>7105.89944466091</v>
      </c>
      <c r="NZ97" s="0" t="n">
        <f aca="false">SUM(NZ94:NZ96)</f>
        <v>5742.33040503107</v>
      </c>
      <c r="OA97" s="0" t="n">
        <f aca="false">SUM(OA94:OA96)</f>
        <v>7015.45496766263</v>
      </c>
      <c r="OB97" s="0" t="n">
        <f aca="false">SUM(OB94:OB96)</f>
        <v>7007.93522947851</v>
      </c>
      <c r="OC97" s="0" t="n">
        <f aca="false">SUM(OC94:OC96)</f>
        <v>6973.3871087718</v>
      </c>
      <c r="OD97" s="0" t="n">
        <f aca="false">SUM(OD94:OD96)</f>
        <v>6445.95573278181</v>
      </c>
      <c r="OE97" s="0" t="n">
        <f aca="false">SUM(OE94:OE96)</f>
        <v>6966.73537276774</v>
      </c>
      <c r="OF97" s="0" t="n">
        <f aca="false">SUM(OF94:OF96)</f>
        <v>6795.79140235524</v>
      </c>
      <c r="OG97" s="0" t="n">
        <f aca="false">SUM(OG94:OG96)</f>
        <v>6314.76511134088</v>
      </c>
      <c r="OH97" s="0" t="n">
        <f aca="false">SUM(OH94:OH96)</f>
        <v>6967.09817422491</v>
      </c>
      <c r="OI97" s="0" t="n">
        <f aca="false">SUM(OI94:OI96)</f>
        <v>6902.70036102928</v>
      </c>
      <c r="OJ97" s="0" t="n">
        <f aca="false">SUM(OJ94:OJ96)</f>
        <v>8303.48982365117</v>
      </c>
      <c r="OK97" s="0" t="n">
        <f aca="false">SUM(OK94:OK96)</f>
        <v>6362.11145271002</v>
      </c>
      <c r="OL97" s="0" t="n">
        <f aca="false">SUM(OL94:OL96)</f>
        <v>7588.75618718789</v>
      </c>
      <c r="OM97" s="0" t="n">
        <f aca="false">SUM(OM94:OM96)</f>
        <v>6417.62605963677</v>
      </c>
      <c r="ON97" s="0" t="n">
        <f aca="false">SUM(ON94:ON96)</f>
        <v>5530.8112303423</v>
      </c>
      <c r="OO97" s="0" t="n">
        <f aca="false">SUM(OO94:OO96)</f>
        <v>4700.79768509594</v>
      </c>
      <c r="OP97" s="0" t="n">
        <f aca="false">SUM(OP94:OP96)</f>
        <v>7448.81102034046</v>
      </c>
      <c r="OQ97" s="0" t="n">
        <f aca="false">SUM(OQ94:OQ96)</f>
        <v>6643.43069590738</v>
      </c>
      <c r="OR97" s="0" t="n">
        <f aca="false">SUM(OR94:OR96)</f>
        <v>6865.72273582492</v>
      </c>
      <c r="OS97" s="0" t="n">
        <f aca="false">SUM(OS94:OS96)</f>
        <v>7498.15083450908</v>
      </c>
      <c r="OT97" s="0" t="n">
        <f aca="false">SUM(OT94:OT96)</f>
        <v>5593.04168004365</v>
      </c>
      <c r="OU97" s="0" t="n">
        <f aca="false">SUM(OU94:OU96)</f>
        <v>7449.36411309382</v>
      </c>
      <c r="OV97" s="0" t="n">
        <f aca="false">SUM(OV94:OV96)</f>
        <v>6652.56406610796</v>
      </c>
      <c r="OW97" s="0" t="n">
        <f aca="false">SUM(OW94:OW96)</f>
        <v>7108.54818591295</v>
      </c>
      <c r="OX97" s="0" t="n">
        <f aca="false">SUM(OX94:OX96)</f>
        <v>7805.51393690235</v>
      </c>
      <c r="OY97" s="0" t="n">
        <f aca="false">SUM(OY94:OY96)</f>
        <v>6176.79865570215</v>
      </c>
      <c r="OZ97" s="0" t="n">
        <f aca="false">SUM(OZ94:OZ96)</f>
        <v>5033.17012593984</v>
      </c>
      <c r="PA97" s="0" t="n">
        <f aca="false">SUM(PA94:PA96)</f>
        <v>7913.9196456189</v>
      </c>
      <c r="PB97" s="0" t="n">
        <f aca="false">SUM(PB94:PB96)</f>
        <v>6215.33785369357</v>
      </c>
      <c r="PC97" s="0" t="n">
        <f aca="false">SUM(PC94:PC96)</f>
        <v>6138.80968067281</v>
      </c>
      <c r="PD97" s="0" t="n">
        <f aca="false">SUM(PD94:PD96)</f>
        <v>7421.00211907728</v>
      </c>
      <c r="PE97" s="0" t="n">
        <f aca="false">SUM(PE94:PE96)</f>
        <v>5784.52072626692</v>
      </c>
      <c r="PF97" s="0" t="n">
        <f aca="false">SUM(PF94:PF96)</f>
        <v>6513.82365556117</v>
      </c>
      <c r="PG97" s="0" t="n">
        <f aca="false">SUM(PG94:PG96)</f>
        <v>6142.83772717054</v>
      </c>
      <c r="PH97" s="0" t="n">
        <f aca="false">SUM(PH94:PH96)</f>
        <v>7056.90043875877</v>
      </c>
      <c r="PI97" s="0" t="n">
        <f aca="false">SUM(PI94:PI96)</f>
        <v>7443.38693814093</v>
      </c>
      <c r="PJ97" s="0" t="n">
        <f aca="false">SUM(PJ94:PJ96)</f>
        <v>6810.46240364773</v>
      </c>
      <c r="PK97" s="0" t="n">
        <f aca="false">SUM(PK94:PK96)</f>
        <v>6619.12448207473</v>
      </c>
      <c r="PL97" s="0" t="n">
        <f aca="false">SUM(PL94:PL96)</f>
        <v>6831.10146529622</v>
      </c>
      <c r="PM97" s="0" t="n">
        <f aca="false">SUM(PM94:PM96)</f>
        <v>7286.55783351479</v>
      </c>
      <c r="PN97" s="0" t="n">
        <f aca="false">SUM(PN94:PN96)</f>
        <v>5255.45469197874</v>
      </c>
      <c r="PO97" s="0" t="n">
        <f aca="false">SUM(PO94:PO96)</f>
        <v>6084.43316275859</v>
      </c>
      <c r="PP97" s="0" t="n">
        <f aca="false">SUM(PP94:PP96)</f>
        <v>7319.79301649525</v>
      </c>
      <c r="PQ97" s="0" t="n">
        <f aca="false">SUM(PQ94:PQ96)</f>
        <v>6377.39879352341</v>
      </c>
      <c r="PR97" s="0" t="n">
        <f aca="false">SUM(PR94:PR96)</f>
        <v>6320.4186890805</v>
      </c>
      <c r="PS97" s="0" t="n">
        <f aca="false">SUM(PS94:PS96)</f>
        <v>4336.38961332838</v>
      </c>
      <c r="PT97" s="0" t="n">
        <f aca="false">SUM(PT94:PT96)</f>
        <v>6978.56857551848</v>
      </c>
      <c r="PU97" s="0" t="n">
        <f aca="false">SUM(PU94:PU96)</f>
        <v>6276.76005084525</v>
      </c>
      <c r="PV97" s="0" t="n">
        <f aca="false">SUM(PV94:PV96)</f>
        <v>6873.15948165138</v>
      </c>
      <c r="PW97" s="0" t="n">
        <f aca="false">SUM(PW94:PW96)</f>
        <v>7337.43769907639</v>
      </c>
      <c r="PX97" s="0" t="n">
        <f aca="false">SUM(PX94:PX96)</f>
        <v>4676.96547203048</v>
      </c>
      <c r="PY97" s="0" t="n">
        <f aca="false">SUM(PY94:PY96)</f>
        <v>8269.07128044983</v>
      </c>
      <c r="PZ97" s="0" t="n">
        <f aca="false">SUM(PZ94:PZ96)</f>
        <v>8106.08482772716</v>
      </c>
      <c r="QA97" s="0" t="n">
        <f aca="false">SUM(QA94:QA96)</f>
        <v>6328.64656690716</v>
      </c>
      <c r="QB97" s="0" t="n">
        <f aca="false">SUM(QB94:QB96)</f>
        <v>8178.6169561046</v>
      </c>
      <c r="QC97" s="0" t="n">
        <f aca="false">SUM(QC94:QC96)</f>
        <v>5647.43783251012</v>
      </c>
      <c r="QD97" s="0" t="n">
        <f aca="false">SUM(QD94:QD96)</f>
        <v>7749.18384153935</v>
      </c>
      <c r="QE97" s="0" t="n">
        <f aca="false">SUM(QE94:QE96)</f>
        <v>6078.57178838563</v>
      </c>
      <c r="QF97" s="0" t="n">
        <f aca="false">SUM(QF94:QF96)</f>
        <v>4722.25446590691</v>
      </c>
      <c r="QG97" s="0" t="n">
        <f aca="false">SUM(QG94:QG96)</f>
        <v>6366.1602360771</v>
      </c>
      <c r="QH97" s="0" t="n">
        <f aca="false">SUM(QH94:QH96)</f>
        <v>7244.81844106569</v>
      </c>
      <c r="QI97" s="0" t="n">
        <f aca="false">SUM(QI94:QI96)</f>
        <v>6506.33458149333</v>
      </c>
      <c r="QJ97" s="0" t="n">
        <f aca="false">SUM(QJ94:QJ96)</f>
        <v>7853.12593448924</v>
      </c>
      <c r="QK97" s="0" t="n">
        <f aca="false">SUM(QK94:QK96)</f>
        <v>7495.29897170769</v>
      </c>
      <c r="QL97" s="0" t="n">
        <f aca="false">SUM(QL94:QL96)</f>
        <v>7679.42671306884</v>
      </c>
      <c r="QM97" s="0" t="n">
        <f aca="false">SUM(QM94:QM96)</f>
        <v>6546.9204387269</v>
      </c>
      <c r="QN97" s="0" t="n">
        <f aca="false">SUM(QN94:QN96)</f>
        <v>6761.71983048694</v>
      </c>
      <c r="QO97" s="0" t="n">
        <f aca="false">SUM(QO94:QO96)</f>
        <v>6582.58437108661</v>
      </c>
      <c r="QP97" s="0" t="n">
        <f aca="false">SUM(QP94:QP96)</f>
        <v>7317.07437043855</v>
      </c>
      <c r="QQ97" s="0" t="n">
        <f aca="false">SUM(QQ94:QQ96)</f>
        <v>6691.99786062154</v>
      </c>
      <c r="QR97" s="0" t="n">
        <f aca="false">SUM(QR94:QR96)</f>
        <v>7561.48703266765</v>
      </c>
      <c r="QS97" s="0" t="n">
        <f aca="false">SUM(QS94:QS96)</f>
        <v>6953.13138072619</v>
      </c>
      <c r="QT97" s="0" t="n">
        <f aca="false">SUM(QT94:QT96)</f>
        <v>8575.89256346908</v>
      </c>
      <c r="QU97" s="0" t="n">
        <f aca="false">SUM(QU94:QU96)</f>
        <v>6831.2275009913</v>
      </c>
      <c r="QV97" s="0" t="n">
        <f aca="false">SUM(QV94:QV96)</f>
        <v>7200.20164498604</v>
      </c>
      <c r="QW97" s="0" t="n">
        <f aca="false">SUM(QW94:QW96)</f>
        <v>5236.83197586379</v>
      </c>
      <c r="QX97" s="0" t="n">
        <f aca="false">SUM(QX94:QX96)</f>
        <v>3109.3494113807</v>
      </c>
      <c r="QY97" s="0" t="n">
        <f aca="false">SUM(QY94:QY96)</f>
        <v>5392.39459639469</v>
      </c>
      <c r="QZ97" s="0" t="n">
        <f aca="false">SUM(QZ94:QZ96)</f>
        <v>6774.69660814521</v>
      </c>
      <c r="RA97" s="0" t="n">
        <f aca="false">SUM(RA94:RA96)</f>
        <v>6325.93192505519</v>
      </c>
      <c r="RB97" s="0" t="n">
        <f aca="false">SUM(RB94:RB96)</f>
        <v>7781.17783632839</v>
      </c>
      <c r="RC97" s="0" t="n">
        <f aca="false">SUM(RC94:RC96)</f>
        <v>7674.74775417383</v>
      </c>
      <c r="RD97" s="0" t="n">
        <f aca="false">SUM(RD94:RD96)</f>
        <v>7831.53478295522</v>
      </c>
      <c r="RE97" s="0" t="n">
        <f aca="false">SUM(RE94:RE96)</f>
        <v>7390.40762230516</v>
      </c>
      <c r="RF97" s="0" t="n">
        <f aca="false">SUM(RF94:RF96)</f>
        <v>7916.05102225143</v>
      </c>
      <c r="RG97" s="0" t="n">
        <f aca="false">SUM(RG94:RG96)</f>
        <v>7714.61140225717</v>
      </c>
      <c r="RH97" s="0" t="n">
        <f aca="false">SUM(RH94:RH96)</f>
        <v>7650.57806636275</v>
      </c>
      <c r="RI97" s="0" t="n">
        <f aca="false">SUM(RI94:RI96)</f>
        <v>7387.05621214667</v>
      </c>
      <c r="RJ97" s="0" t="n">
        <f aca="false">SUM(RJ94:RJ96)</f>
        <v>7160.31190865358</v>
      </c>
      <c r="RK97" s="0" t="n">
        <f aca="false">SUM(RK94:RK96)</f>
        <v>4473.02133172475</v>
      </c>
      <c r="RL97" s="0" t="n">
        <f aca="false">SUM(RL94:RL96)</f>
        <v>5663.20523835356</v>
      </c>
      <c r="RM97" s="0" t="n">
        <f aca="false">SUM(RM94:RM96)</f>
        <v>8236.98799949481</v>
      </c>
      <c r="RN97" s="0" t="n">
        <f aca="false">SUM(RN94:RN96)</f>
        <v>6902.90176363934</v>
      </c>
      <c r="RO97" s="0" t="n">
        <f aca="false">SUM(RO94:RO96)</f>
        <v>4817.76797208612</v>
      </c>
      <c r="RP97" s="0" t="n">
        <f aca="false">SUM(RP94:RP96)</f>
        <v>8372.25629512062</v>
      </c>
      <c r="RQ97" s="0" t="n">
        <f aca="false">SUM(RQ94:RQ96)</f>
        <v>5573.17035860449</v>
      </c>
      <c r="RR97" s="0" t="n">
        <f aca="false">SUM(RR94:RR96)</f>
        <v>5842.34363301748</v>
      </c>
      <c r="RS97" s="0" t="n">
        <f aca="false">SUM(RS94:RS96)</f>
        <v>6876.07174212846</v>
      </c>
      <c r="RT97" s="0" t="n">
        <f aca="false">SUM(RT94:RT96)</f>
        <v>7510.11330067946</v>
      </c>
      <c r="RU97" s="0" t="n">
        <f aca="false">SUM(RU94:RU96)</f>
        <v>5561.77465725091</v>
      </c>
      <c r="RV97" s="0" t="n">
        <f aca="false">SUM(RV94:RV96)</f>
        <v>5125.30966382876</v>
      </c>
      <c r="RW97" s="0" t="n">
        <f aca="false">SUM(RW94:RW96)</f>
        <v>7045.20124691193</v>
      </c>
      <c r="RX97" s="0" t="n">
        <f aca="false">SUM(RX94:RX96)</f>
        <v>6379.42502502494</v>
      </c>
      <c r="RY97" s="0" t="n">
        <f aca="false">SUM(RY94:RY96)</f>
        <v>7642.32033321765</v>
      </c>
      <c r="RZ97" s="0" t="n">
        <f aca="false">SUM(RZ94:RZ96)</f>
        <v>7588.32315036258</v>
      </c>
      <c r="SA97" s="0" t="n">
        <f aca="false">SUM(SA94:SA96)</f>
        <v>6237.04271324107</v>
      </c>
      <c r="SB97" s="0" t="n">
        <f aca="false">SUM(SB94:SB96)</f>
        <v>7451.26290961442</v>
      </c>
      <c r="SC97" s="0" t="n">
        <f aca="false">SUM(SC94:SC96)</f>
        <v>5177.77219878699</v>
      </c>
      <c r="SD97" s="0" t="n">
        <f aca="false">SUM(SD94:SD96)</f>
        <v>7870.66252395657</v>
      </c>
      <c r="SE97" s="0" t="n">
        <f aca="false">SUM(SE94:SE96)</f>
        <v>6885.2144867729</v>
      </c>
      <c r="SF97" s="0" t="n">
        <f aca="false">SUM(SF94:SF96)</f>
        <v>6348.02402450381</v>
      </c>
      <c r="SG97" s="0" t="n">
        <f aca="false">SUM(SG94:SG96)</f>
        <v>7350.27634093406</v>
      </c>
      <c r="SH97" s="0" t="n">
        <f aca="false">SUM(SH94:SH96)</f>
        <v>5732.27055232226</v>
      </c>
      <c r="SI97" s="0" t="n">
        <f aca="false">SUM(SI94:SI96)</f>
        <v>6623.20249420217</v>
      </c>
      <c r="SJ97" s="0" t="n">
        <f aca="false">SUM(SJ94:SJ96)</f>
        <v>4792.99019278184</v>
      </c>
      <c r="SK97" s="0" t="n">
        <f aca="false">SUM(SK94:SK96)</f>
        <v>7924.39289890985</v>
      </c>
      <c r="SL97" s="0" t="n">
        <f aca="false">SUM(SL94:SL96)</f>
        <v>7271.02216769653</v>
      </c>
      <c r="SM97" s="0" t="n">
        <f aca="false">SUM(SM94:SM96)</f>
        <v>7206.20231660708</v>
      </c>
      <c r="SN97" s="0" t="n">
        <f aca="false">SUM(SN94:SN96)</f>
        <v>7727.37819486572</v>
      </c>
      <c r="SO97" s="0" t="n">
        <f aca="false">SUM(SO94:SO96)</f>
        <v>7818.20995943499</v>
      </c>
      <c r="SP97" s="0" t="n">
        <f aca="false">SUM(SP94:SP96)</f>
        <v>7061.97770893265</v>
      </c>
      <c r="SQ97" s="0" t="n">
        <f aca="false">SUM(SQ94:SQ96)</f>
        <v>6979.3003418266</v>
      </c>
      <c r="SR97" s="0" t="n">
        <f aca="false">SUM(SR94:SR96)</f>
        <v>7113.08255794767</v>
      </c>
      <c r="SS97" s="0" t="n">
        <f aca="false">SUM(SS94:SS96)</f>
        <v>7061.64350566238</v>
      </c>
      <c r="ST97" s="0" t="n">
        <f aca="false">SUM(ST94:ST96)</f>
        <v>6849.54647608516</v>
      </c>
      <c r="SU97" s="0" t="n">
        <f aca="false">SUM(SU94:SU96)</f>
        <v>7489.55922344099</v>
      </c>
      <c r="SV97" s="0" t="n">
        <f aca="false">SUM(SV94:SV96)</f>
        <v>7909.64800490914</v>
      </c>
      <c r="SW97" s="0" t="n">
        <f aca="false">SUM(SW94:SW96)</f>
        <v>4981.05162199064</v>
      </c>
      <c r="SX97" s="0" t="n">
        <f aca="false">SUM(SX94:SX96)</f>
        <v>5227.31088800157</v>
      </c>
      <c r="SY97" s="0" t="n">
        <f aca="false">SUM(SY94:SY96)</f>
        <v>5781.69543291573</v>
      </c>
      <c r="SZ97" s="0" t="n">
        <f aca="false">SUM(SZ94:SZ96)</f>
        <v>6175.66758436509</v>
      </c>
      <c r="TA97" s="0" t="n">
        <f aca="false">SUM(TA94:TA96)</f>
        <v>8477.80627677836</v>
      </c>
      <c r="TB97" s="0" t="n">
        <f aca="false">SUM(TB94:TB96)</f>
        <v>6271.05101893171</v>
      </c>
      <c r="TC97" s="0" t="n">
        <f aca="false">SUM(TC94:TC96)</f>
        <v>7686.21330430524</v>
      </c>
      <c r="TD97" s="0" t="n">
        <f aca="false">SUM(TD94:TD96)</f>
        <v>5482.44632970948</v>
      </c>
      <c r="TE97" s="0" t="n">
        <f aca="false">SUM(TE94:TE96)</f>
        <v>6801.17410488576</v>
      </c>
      <c r="TF97" s="0" t="n">
        <f aca="false">SUM(TF94:TF96)</f>
        <v>7341.44192878032</v>
      </c>
      <c r="TG97" s="0" t="n">
        <f aca="false">SUM(TG94:TG96)</f>
        <v>7540.92798033342</v>
      </c>
      <c r="TH97" s="0" t="n">
        <f aca="false">SUM(TH94:TH96)</f>
        <v>7298.06787395055</v>
      </c>
      <c r="TI97" s="0" t="n">
        <f aca="false">SUM(TI94:TI96)</f>
        <v>4948.79444050883</v>
      </c>
      <c r="TJ97" s="0" t="n">
        <f aca="false">SUM(TJ94:TJ96)</f>
        <v>7244.66610666958</v>
      </c>
      <c r="TK97" s="0" t="n">
        <f aca="false">SUM(TK94:TK96)</f>
        <v>6074.56722199412</v>
      </c>
      <c r="TL97" s="0" t="n">
        <f aca="false">SUM(TL94:TL96)</f>
        <v>7659.42227587639</v>
      </c>
      <c r="TM97" s="0" t="n">
        <f aca="false">SUM(TM94:TM96)</f>
        <v>5954.40825565224</v>
      </c>
      <c r="TN97" s="0" t="n">
        <f aca="false">SUM(TN94:TN96)</f>
        <v>6531.36931105248</v>
      </c>
      <c r="TO97" s="0" t="n">
        <f aca="false">SUM(TO94:TO96)</f>
        <v>6649.15326187148</v>
      </c>
      <c r="TP97" s="0" t="n">
        <f aca="false">SUM(TP94:TP96)</f>
        <v>7634.75074546334</v>
      </c>
      <c r="TQ97" s="0" t="n">
        <f aca="false">SUM(TQ94:TQ96)</f>
        <v>7658.41727323031</v>
      </c>
      <c r="TR97" s="0" t="n">
        <f aca="false">SUM(TR94:TR96)</f>
        <v>4589.58167454406</v>
      </c>
      <c r="TS97" s="0" t="n">
        <f aca="false">SUM(TS94:TS96)</f>
        <v>6609.31529584016</v>
      </c>
      <c r="TT97" s="0" t="n">
        <f aca="false">SUM(TT94:TT96)</f>
        <v>7112.91268454113</v>
      </c>
      <c r="TU97" s="0" t="n">
        <f aca="false">SUM(TU94:TU96)</f>
        <v>6445.44134069588</v>
      </c>
      <c r="TV97" s="0" t="n">
        <f aca="false">SUM(TV94:TV96)</f>
        <v>6995.2748922604</v>
      </c>
      <c r="TW97" s="0" t="n">
        <f aca="false">SUM(TW94:TW96)</f>
        <v>6420.49425381562</v>
      </c>
      <c r="TX97" s="0" t="n">
        <f aca="false">SUM(TX94:TX96)</f>
        <v>6031.738895227</v>
      </c>
      <c r="TY97" s="0" t="n">
        <f aca="false">SUM(TY94:TY96)</f>
        <v>4445.29347677533</v>
      </c>
      <c r="TZ97" s="0" t="n">
        <f aca="false">SUM(TZ94:TZ96)</f>
        <v>7530.51264775377</v>
      </c>
      <c r="UA97" s="0" t="n">
        <f aca="false">SUM(UA94:UA96)</f>
        <v>7156.8922208938</v>
      </c>
      <c r="UB97" s="0" t="n">
        <f aca="false">SUM(UB94:UB96)</f>
        <v>6671.86725414266</v>
      </c>
      <c r="UC97" s="0" t="n">
        <f aca="false">SUM(UC94:UC96)</f>
        <v>6760.03714195938</v>
      </c>
      <c r="UD97" s="0" t="n">
        <f aca="false">SUM(UD94:UD96)</f>
        <v>7769.52216333932</v>
      </c>
      <c r="UE97" s="0" t="n">
        <f aca="false">SUM(UE94:UE96)</f>
        <v>7390.67848846469</v>
      </c>
      <c r="UF97" s="0" t="n">
        <f aca="false">SUM(UF94:UF96)</f>
        <v>7277.91237490907</v>
      </c>
      <c r="UG97" s="0" t="n">
        <f aca="false">SUM(UG94:UG96)</f>
        <v>6524.52685568611</v>
      </c>
      <c r="UH97" s="0" t="n">
        <f aca="false">SUM(UH94:UH96)</f>
        <v>6817.52656946089</v>
      </c>
      <c r="UI97" s="0" t="n">
        <f aca="false">SUM(UI94:UI96)</f>
        <v>7335.46869461766</v>
      </c>
      <c r="UJ97" s="0" t="n">
        <f aca="false">SUM(UJ94:UJ96)</f>
        <v>6652.43898639404</v>
      </c>
      <c r="UK97" s="0" t="n">
        <f aca="false">SUM(UK94:UK96)</f>
        <v>6573.42902011688</v>
      </c>
      <c r="UL97" s="0" t="n">
        <f aca="false">SUM(UL94:UL96)</f>
        <v>7255.90081475449</v>
      </c>
      <c r="UM97" s="0" t="n">
        <f aca="false">SUM(UM94:UM96)</f>
        <v>8420.57798663354</v>
      </c>
      <c r="UN97" s="0" t="n">
        <f aca="false">SUM(UN94:UN96)</f>
        <v>7786.34827047438</v>
      </c>
      <c r="UO97" s="0" t="n">
        <f aca="false">SUM(UO94:UO96)</f>
        <v>7088.52231241186</v>
      </c>
      <c r="UP97" s="0" t="n">
        <f aca="false">SUM(UP94:UP96)</f>
        <v>6813.66553494035</v>
      </c>
      <c r="UQ97" s="0" t="n">
        <f aca="false">SUM(UQ94:UQ96)</f>
        <v>5849.04371362745</v>
      </c>
      <c r="UR97" s="0" t="n">
        <f aca="false">SUM(UR94:UR96)</f>
        <v>6925.06138607821</v>
      </c>
      <c r="US97" s="0" t="n">
        <f aca="false">SUM(US94:US96)</f>
        <v>7071.81984396285</v>
      </c>
      <c r="UT97" s="0" t="n">
        <f aca="false">SUM(UT94:UT96)</f>
        <v>6247.78496758609</v>
      </c>
      <c r="UU97" s="0" t="n">
        <f aca="false">SUM(UU94:UU96)</f>
        <v>6586.3598433161</v>
      </c>
      <c r="UV97" s="0" t="n">
        <f aca="false">SUM(UV94:UV96)</f>
        <v>5357.4535751481</v>
      </c>
      <c r="UW97" s="0" t="n">
        <f aca="false">SUM(UW94:UW96)</f>
        <v>6289.53150466693</v>
      </c>
      <c r="UX97" s="0" t="n">
        <f aca="false">SUM(UX94:UX96)</f>
        <v>7467.0180503497</v>
      </c>
      <c r="UY97" s="0" t="n">
        <f aca="false">SUM(UY94:UY96)</f>
        <v>6989.06945452299</v>
      </c>
      <c r="UZ97" s="0" t="n">
        <f aca="false">SUM(UZ94:UZ96)</f>
        <v>8211.53787984789</v>
      </c>
      <c r="VA97" s="0" t="n">
        <f aca="false">SUM(VA94:VA96)</f>
        <v>6750.51337040114</v>
      </c>
      <c r="VB97" s="0" t="n">
        <f aca="false">SUM(VB94:VB96)</f>
        <v>7672.69024363674</v>
      </c>
      <c r="VC97" s="0" t="n">
        <f aca="false">SUM(VC94:VC96)</f>
        <v>6758.25732881157</v>
      </c>
      <c r="VD97" s="0" t="n">
        <f aca="false">SUM(VD94:VD96)</f>
        <v>6335.01011682918</v>
      </c>
      <c r="VE97" s="0" t="n">
        <f aca="false">SUM(VE94:VE96)</f>
        <v>6477.40492493363</v>
      </c>
      <c r="VF97" s="0" t="n">
        <f aca="false">SUM(VF94:VF96)</f>
        <v>5802.50852682476</v>
      </c>
      <c r="VG97" s="0" t="n">
        <f aca="false">SUM(VG94:VG96)</f>
        <v>5408.69315678083</v>
      </c>
      <c r="VH97" s="0" t="n">
        <f aca="false">SUM(VH94:VH96)</f>
        <v>4626.39070779087</v>
      </c>
      <c r="VI97" s="0" t="n">
        <f aca="false">SUM(VI94:VI96)</f>
        <v>7480.97059270954</v>
      </c>
      <c r="VJ97" s="0" t="n">
        <f aca="false">SUM(VJ94:VJ96)</f>
        <v>5869.42428504318</v>
      </c>
      <c r="VK97" s="0" t="n">
        <f aca="false">SUM(VK94:VK96)</f>
        <v>6887.73953220059</v>
      </c>
      <c r="VL97" s="0" t="n">
        <f aca="false">SUM(VL94:VL96)</f>
        <v>6918.17165204946</v>
      </c>
      <c r="VM97" s="0" t="n">
        <f aca="false">SUM(VM94:VM96)</f>
        <v>8073.40948310447</v>
      </c>
      <c r="VN97" s="0" t="n">
        <f aca="false">SUM(VN94:VN96)</f>
        <v>5982.69709566285</v>
      </c>
      <c r="VO97" s="0" t="n">
        <f aca="false">SUM(VO94:VO96)</f>
        <v>7990.73890912007</v>
      </c>
      <c r="VP97" s="0" t="n">
        <f aca="false">SUM(VP94:VP96)</f>
        <v>7458.20947091604</v>
      </c>
      <c r="VQ97" s="0" t="n">
        <f aca="false">SUM(VQ94:VQ96)</f>
        <v>7114.43018158474</v>
      </c>
      <c r="VR97" s="0" t="n">
        <f aca="false">SUM(VR94:VR96)</f>
        <v>8056.81939384243</v>
      </c>
      <c r="VS97" s="0" t="n">
        <f aca="false">SUM(VS94:VS96)</f>
        <v>7008.47366936587</v>
      </c>
      <c r="VT97" s="0" t="n">
        <f aca="false">SUM(VT94:VT96)</f>
        <v>5858.4191850712</v>
      </c>
      <c r="VU97" s="0" t="n">
        <f aca="false">SUM(VU94:VU96)</f>
        <v>7274.46569230171</v>
      </c>
      <c r="VV97" s="0" t="n">
        <f aca="false">SUM(VV94:VV96)</f>
        <v>4598.59872914366</v>
      </c>
      <c r="VW97" s="0" t="n">
        <f aca="false">SUM(VW94:VW96)</f>
        <v>7157.35444976376</v>
      </c>
      <c r="VX97" s="0" t="n">
        <f aca="false">SUM(VX94:VX96)</f>
        <v>5514.77524735407</v>
      </c>
      <c r="VY97" s="0" t="n">
        <f aca="false">SUM(VY94:VY96)</f>
        <v>7543.44727732481</v>
      </c>
      <c r="VZ97" s="0" t="n">
        <f aca="false">SUM(VZ94:VZ96)</f>
        <v>7641.48706407063</v>
      </c>
      <c r="WA97" s="0" t="n">
        <f aca="false">SUM(WA94:WA96)</f>
        <v>3414.96371705455</v>
      </c>
      <c r="WB97" s="0" t="n">
        <f aca="false">SUM(WB94:WB96)</f>
        <v>7284.58713450297</v>
      </c>
      <c r="WC97" s="0" t="n">
        <f aca="false">SUM(WC94:WC96)</f>
        <v>7730.28655026756</v>
      </c>
      <c r="WD97" s="0" t="n">
        <f aca="false">SUM(WD94:WD96)</f>
        <v>6539.361732521</v>
      </c>
      <c r="WE97" s="0" t="n">
        <f aca="false">SUM(WE94:WE96)</f>
        <v>6785.26113456607</v>
      </c>
      <c r="WF97" s="0" t="n">
        <f aca="false">SUM(WF94:WF96)</f>
        <v>7600.60816283424</v>
      </c>
      <c r="WG97" s="0" t="n">
        <f aca="false">SUM(WG94:WG96)</f>
        <v>6295.87010662897</v>
      </c>
      <c r="WH97" s="0" t="n">
        <f aca="false">SUM(WH94:WH96)</f>
        <v>6361.63346159537</v>
      </c>
      <c r="WI97" s="0" t="n">
        <f aca="false">SUM(WI94:WI96)</f>
        <v>8109.16632581597</v>
      </c>
      <c r="WJ97" s="0" t="n">
        <f aca="false">SUM(WJ94:WJ96)</f>
        <v>6719.62373257745</v>
      </c>
      <c r="WK97" s="0" t="n">
        <f aca="false">SUM(WK94:WK96)</f>
        <v>5477.45172644411</v>
      </c>
      <c r="WL97" s="0" t="n">
        <f aca="false">SUM(WL94:WL96)</f>
        <v>6547.1964591698</v>
      </c>
      <c r="WM97" s="0" t="n">
        <f aca="false">SUM(WM94:WM96)</f>
        <v>7510.02977949219</v>
      </c>
      <c r="WN97" s="0" t="n">
        <f aca="false">SUM(WN94:WN96)</f>
        <v>5353.60437252242</v>
      </c>
      <c r="WO97" s="0" t="n">
        <f aca="false">SUM(WO94:WO96)</f>
        <v>7253.51762736232</v>
      </c>
      <c r="WP97" s="0" t="n">
        <f aca="false">SUM(WP94:WP96)</f>
        <v>7713.60846878228</v>
      </c>
      <c r="WQ97" s="0" t="n">
        <f aca="false">SUM(WQ94:WQ96)</f>
        <v>4717.12269416625</v>
      </c>
      <c r="WR97" s="0" t="n">
        <f aca="false">SUM(WR94:WR96)</f>
        <v>6160.72661165729</v>
      </c>
      <c r="WS97" s="0" t="n">
        <f aca="false">SUM(WS94:WS96)</f>
        <v>7040.16332214401</v>
      </c>
      <c r="WT97" s="0" t="n">
        <f aca="false">SUM(WT94:WT96)</f>
        <v>6678.77324895386</v>
      </c>
      <c r="WU97" s="0" t="n">
        <f aca="false">SUM(WU94:WU96)</f>
        <v>7412.58770736911</v>
      </c>
      <c r="WV97" s="0" t="n">
        <f aca="false">SUM(WV94:WV96)</f>
        <v>7358.83885294499</v>
      </c>
      <c r="WW97" s="0" t="n">
        <f aca="false">SUM(WW94:WW96)</f>
        <v>7466.58207263467</v>
      </c>
      <c r="WX97" s="0" t="n">
        <f aca="false">SUM(WX94:WX96)</f>
        <v>5886.06135037386</v>
      </c>
      <c r="WY97" s="0" t="n">
        <f aca="false">SUM(WY94:WY96)</f>
        <v>7082.72108348224</v>
      </c>
      <c r="WZ97" s="0" t="n">
        <f aca="false">SUM(WZ94:WZ96)</f>
        <v>7094.04166653505</v>
      </c>
      <c r="XA97" s="0" t="n">
        <f aca="false">SUM(XA94:XA96)</f>
        <v>7457.74009179875</v>
      </c>
      <c r="XB97" s="0" t="n">
        <f aca="false">SUM(XB94:XB96)</f>
        <v>7613.9952010004</v>
      </c>
      <c r="XC97" s="0" t="n">
        <f aca="false">SUM(XC94:XC96)</f>
        <v>5388.21343938505</v>
      </c>
      <c r="XD97" s="0" t="n">
        <f aca="false">SUM(XD94:XD96)</f>
        <v>7691.93317495886</v>
      </c>
      <c r="XE97" s="0" t="n">
        <f aca="false">SUM(XE94:XE96)</f>
        <v>8041.52479031719</v>
      </c>
      <c r="XF97" s="0" t="n">
        <f aca="false">SUM(XF94:XF96)</f>
        <v>4445.70937462306</v>
      </c>
      <c r="XG97" s="0" t="n">
        <f aca="false">SUM(XG94:XG96)</f>
        <v>6459.15792040085</v>
      </c>
      <c r="XH97" s="0" t="n">
        <f aca="false">SUM(XH94:XH96)</f>
        <v>6797.36439099226</v>
      </c>
      <c r="XI97" s="0" t="n">
        <f aca="false">SUM(XI94:XI96)</f>
        <v>7779.8657843323</v>
      </c>
      <c r="XJ97" s="0" t="n">
        <f aca="false">SUM(XJ94:XJ96)</f>
        <v>6345.754096782</v>
      </c>
      <c r="XK97" s="0" t="n">
        <f aca="false">SUM(XK94:XK96)</f>
        <v>7184.2157119741</v>
      </c>
      <c r="XL97" s="0" t="n">
        <f aca="false">SUM(XL94:XL96)</f>
        <v>6578.20954960278</v>
      </c>
      <c r="XM97" s="0" t="n">
        <f aca="false">SUM(XM94:XM96)</f>
        <v>8232.22543849518</v>
      </c>
      <c r="XN97" s="0" t="n">
        <f aca="false">SUM(XN94:XN96)</f>
        <v>6777.69613467931</v>
      </c>
      <c r="XO97" s="0" t="n">
        <f aca="false">SUM(XO94:XO96)</f>
        <v>6698.78945103369</v>
      </c>
      <c r="XP97" s="0" t="n">
        <f aca="false">SUM(XP94:XP96)</f>
        <v>5255.24498709971</v>
      </c>
      <c r="XQ97" s="0" t="n">
        <f aca="false">SUM(XQ94:XQ96)</f>
        <v>6450.08530478021</v>
      </c>
      <c r="XR97" s="0" t="n">
        <f aca="false">SUM(XR94:XR96)</f>
        <v>6425.02358623663</v>
      </c>
      <c r="XS97" s="0" t="n">
        <f aca="false">SUM(XS94:XS96)</f>
        <v>6062.04642717615</v>
      </c>
      <c r="XT97" s="0" t="n">
        <f aca="false">SUM(XT94:XT96)</f>
        <v>7206.9158833018</v>
      </c>
      <c r="XU97" s="0" t="n">
        <f aca="false">SUM(XU94:XU96)</f>
        <v>5141.29681801288</v>
      </c>
      <c r="XV97" s="0" t="n">
        <f aca="false">SUM(XV94:XV96)</f>
        <v>7611.94753105527</v>
      </c>
      <c r="XW97" s="0" t="n">
        <f aca="false">SUM(XW94:XW96)</f>
        <v>6639.18452982334</v>
      </c>
      <c r="XX97" s="0" t="n">
        <f aca="false">SUM(XX94:XX96)</f>
        <v>5744.29646918055</v>
      </c>
      <c r="XY97" s="0" t="n">
        <f aca="false">SUM(XY94:XY96)</f>
        <v>6303.9396490257</v>
      </c>
      <c r="XZ97" s="0" t="n">
        <f aca="false">SUM(XZ94:XZ96)</f>
        <v>7310.29358446046</v>
      </c>
      <c r="YA97" s="0" t="n">
        <f aca="false">SUM(YA94:YA96)</f>
        <v>6948.8487384086</v>
      </c>
      <c r="YB97" s="0" t="n">
        <f aca="false">SUM(YB94:YB96)</f>
        <v>6499.32981769487</v>
      </c>
      <c r="YC97" s="0" t="n">
        <f aca="false">SUM(YC94:YC96)</f>
        <v>6230.85190989221</v>
      </c>
      <c r="YD97" s="0" t="n">
        <f aca="false">SUM(YD94:YD96)</f>
        <v>7000.71473404754</v>
      </c>
      <c r="YE97" s="0" t="n">
        <f aca="false">SUM(YE94:YE96)</f>
        <v>7253.5707180482</v>
      </c>
      <c r="YF97" s="0" t="n">
        <f aca="false">SUM(YF94:YF96)</f>
        <v>6354.44337035135</v>
      </c>
      <c r="YG97" s="0" t="n">
        <f aca="false">SUM(YG94:YG96)</f>
        <v>7495.6472199136</v>
      </c>
      <c r="YH97" s="0" t="n">
        <f aca="false">SUM(YH94:YH96)</f>
        <v>2506.42383285597</v>
      </c>
      <c r="YI97" s="0" t="n">
        <f aca="false">SUM(YI94:YI96)</f>
        <v>7293.81127315306</v>
      </c>
      <c r="YJ97" s="0" t="n">
        <f aca="false">SUM(YJ94:YJ96)</f>
        <v>7676.88127156327</v>
      </c>
      <c r="YK97" s="0" t="n">
        <f aca="false">SUM(YK94:YK96)</f>
        <v>6745.7107150455</v>
      </c>
      <c r="YL97" s="0" t="n">
        <f aca="false">SUM(YL94:YL96)</f>
        <v>4832.39135156017</v>
      </c>
      <c r="YM97" s="0" t="n">
        <f aca="false">SUM(YM94:YM96)</f>
        <v>6894.32915453309</v>
      </c>
      <c r="YN97" s="0" t="n">
        <f aca="false">SUM(YN94:YN96)</f>
        <v>6773.8042812046</v>
      </c>
      <c r="YO97" s="0" t="n">
        <f aca="false">SUM(YO94:YO96)</f>
        <v>7568.56203785909</v>
      </c>
      <c r="YP97" s="0" t="n">
        <f aca="false">SUM(YP94:YP96)</f>
        <v>4807.78254041368</v>
      </c>
      <c r="YQ97" s="0" t="n">
        <f aca="false">SUM(YQ94:YQ96)</f>
        <v>6061.44366881466</v>
      </c>
      <c r="YR97" s="0" t="n">
        <f aca="false">SUM(YR94:YR96)</f>
        <v>5459.82432531429</v>
      </c>
      <c r="YS97" s="0" t="n">
        <f aca="false">SUM(YS94:YS96)</f>
        <v>7007.76033497491</v>
      </c>
      <c r="YT97" s="0" t="n">
        <f aca="false">SUM(YT94:YT96)</f>
        <v>7166.81909159296</v>
      </c>
      <c r="YU97" s="0" t="n">
        <f aca="false">SUM(YU94:YU96)</f>
        <v>7955.43842699968</v>
      </c>
      <c r="YV97" s="0" t="n">
        <f aca="false">SUM(YV94:YV96)</f>
        <v>6740.68340404984</v>
      </c>
      <c r="YW97" s="0" t="n">
        <f aca="false">SUM(YW94:YW96)</f>
        <v>5897.94635300911</v>
      </c>
      <c r="YX97" s="0" t="n">
        <f aca="false">SUM(YX94:YX96)</f>
        <v>7641.71527680966</v>
      </c>
      <c r="YY97" s="0" t="n">
        <f aca="false">SUM(YY94:YY96)</f>
        <v>7764.10064038712</v>
      </c>
      <c r="YZ97" s="0" t="n">
        <f aca="false">SUM(YZ94:YZ96)</f>
        <v>7086.17915841631</v>
      </c>
      <c r="ZA97" s="0" t="n">
        <f aca="false">SUM(ZA94:ZA96)</f>
        <v>7611.23742519839</v>
      </c>
      <c r="ZB97" s="0" t="n">
        <f aca="false">SUM(ZB94:ZB96)</f>
        <v>7548.0047226329</v>
      </c>
      <c r="ZC97" s="0" t="n">
        <f aca="false">SUM(ZC94:ZC96)</f>
        <v>5916.99512832311</v>
      </c>
      <c r="ZD97" s="0" t="n">
        <f aca="false">SUM(ZD94:ZD96)</f>
        <v>5102.37585991543</v>
      </c>
      <c r="ZE97" s="0" t="n">
        <f aca="false">SUM(ZE94:ZE96)</f>
        <v>6962.62362815907</v>
      </c>
      <c r="ZF97" s="0" t="n">
        <f aca="false">SUM(ZF94:ZF96)</f>
        <v>6731.62613186187</v>
      </c>
      <c r="ZG97" s="0" t="n">
        <f aca="false">SUM(ZG94:ZG96)</f>
        <v>6921.62927985133</v>
      </c>
      <c r="ZH97" s="0" t="n">
        <f aca="false">SUM(ZH94:ZH96)</f>
        <v>5582.65324205672</v>
      </c>
      <c r="ZI97" s="0" t="n">
        <f aca="false">SUM(ZI94:ZI96)</f>
        <v>7106.87600113832</v>
      </c>
      <c r="ZJ97" s="0" t="n">
        <f aca="false">SUM(ZJ94:ZJ96)</f>
        <v>7058.11283457709</v>
      </c>
      <c r="ZK97" s="0" t="n">
        <f aca="false">SUM(ZK94:ZK96)</f>
        <v>7034.47624969676</v>
      </c>
      <c r="ZL97" s="0" t="n">
        <f aca="false">SUM(ZL94:ZL96)</f>
        <v>6791.04232679357</v>
      </c>
      <c r="ZM97" s="0" t="n">
        <f aca="false">SUM(ZM94:ZM96)</f>
        <v>7789.8727289637</v>
      </c>
      <c r="ZN97" s="0" t="n">
        <f aca="false">SUM(ZN94:ZN96)</f>
        <v>6930.74251608874</v>
      </c>
      <c r="ZO97" s="0" t="n">
        <f aca="false">SUM(ZO94:ZO96)</f>
        <v>7582.13285594731</v>
      </c>
      <c r="ZP97" s="0" t="n">
        <f aca="false">SUM(ZP94:ZP96)</f>
        <v>8490.84609939098</v>
      </c>
      <c r="ZQ97" s="0" t="n">
        <f aca="false">SUM(ZQ94:ZQ96)</f>
        <v>7361.90036297254</v>
      </c>
      <c r="ZR97" s="0" t="n">
        <f aca="false">SUM(ZR94:ZR96)</f>
        <v>7976.00801935487</v>
      </c>
      <c r="ZS97" s="0" t="n">
        <f aca="false">SUM(ZS94:ZS96)</f>
        <v>4064.29827161154</v>
      </c>
      <c r="ZT97" s="0" t="n">
        <f aca="false">SUM(ZT94:ZT96)</f>
        <v>6159.29869886077</v>
      </c>
      <c r="ZU97" s="0" t="n">
        <f aca="false">SUM(ZU94:ZU96)</f>
        <v>7831.42964438847</v>
      </c>
      <c r="ZV97" s="0" t="n">
        <f aca="false">SUM(ZV94:ZV96)</f>
        <v>6792.46562443561</v>
      </c>
      <c r="ZW97" s="0" t="n">
        <f aca="false">SUM(ZW94:ZW96)</f>
        <v>6693.48450587123</v>
      </c>
      <c r="ZX97" s="0" t="n">
        <f aca="false">SUM(ZX94:ZX96)</f>
        <v>3832.68038862608</v>
      </c>
      <c r="ZY97" s="0" t="n">
        <f aca="false">SUM(ZY94:ZY96)</f>
        <v>8549.490044184</v>
      </c>
      <c r="ZZ97" s="0" t="n">
        <f aca="false">SUM(ZZ94:ZZ96)</f>
        <v>6539.30332359362</v>
      </c>
      <c r="AAA97" s="0" t="n">
        <f aca="false">SUM(AAA94:AAA96)</f>
        <v>7167.73066990058</v>
      </c>
      <c r="AAB97" s="0" t="n">
        <f aca="false">SUM(AAB94:AAB96)</f>
        <v>6952.25088945236</v>
      </c>
      <c r="AAC97" s="0" t="n">
        <f aca="false">SUM(AAC94:AAC96)</f>
        <v>7457.16430580591</v>
      </c>
      <c r="AAD97" s="0" t="n">
        <f aca="false">SUM(AAD94:AAD96)</f>
        <v>6386.53220473605</v>
      </c>
      <c r="AAE97" s="0" t="n">
        <f aca="false">SUM(AAE94:AAE96)</f>
        <v>7159.12677533865</v>
      </c>
      <c r="AAF97" s="0" t="n">
        <f aca="false">SUM(AAF94:AAF96)</f>
        <v>6020.71571432802</v>
      </c>
      <c r="AAG97" s="0" t="n">
        <f aca="false">SUM(AAG94:AAG96)</f>
        <v>6073.37164304768</v>
      </c>
      <c r="AAH97" s="0" t="n">
        <f aca="false">SUM(AAH94:AAH96)</f>
        <v>5949.51699525858</v>
      </c>
      <c r="AAI97" s="0" t="n">
        <f aca="false">SUM(AAI94:AAI96)</f>
        <v>7471.9656008925</v>
      </c>
      <c r="AAJ97" s="0" t="n">
        <f aca="false">SUM(AAJ94:AAJ96)</f>
        <v>7250.20457045479</v>
      </c>
      <c r="AAK97" s="0" t="n">
        <f aca="false">SUM(AAK94:AAK96)</f>
        <v>5161.71198071198</v>
      </c>
      <c r="AAL97" s="0" t="n">
        <f aca="false">SUM(AAL94:AAL96)</f>
        <v>6553.93590389797</v>
      </c>
      <c r="AAM97" s="0" t="n">
        <f aca="false">SUM(AAM94:AAM96)</f>
        <v>6981.64706611481</v>
      </c>
      <c r="AAN97" s="0" t="n">
        <f aca="false">SUM(AAN94:AAN96)</f>
        <v>7737.81570622827</v>
      </c>
      <c r="AAO97" s="0" t="n">
        <f aca="false">SUM(AAO94:AAO96)</f>
        <v>6978.68824773331</v>
      </c>
      <c r="AAP97" s="0" t="n">
        <f aca="false">SUM(AAP94:AAP96)</f>
        <v>7995.70255009445</v>
      </c>
      <c r="AAQ97" s="0" t="n">
        <f aca="false">SUM(AAQ94:AAQ96)</f>
        <v>6833.24288420216</v>
      </c>
      <c r="AAR97" s="0" t="n">
        <f aca="false">SUM(AAR94:AAR96)</f>
        <v>4607.96147973934</v>
      </c>
      <c r="AAS97" s="0" t="n">
        <f aca="false">SUM(AAS94:AAS96)</f>
        <v>7033.26244028491</v>
      </c>
      <c r="AAT97" s="0" t="n">
        <f aca="false">SUM(AAT94:AAT96)</f>
        <v>7432.27372195559</v>
      </c>
      <c r="AAU97" s="0" t="n">
        <f aca="false">SUM(AAU94:AAU96)</f>
        <v>7362.34438630006</v>
      </c>
      <c r="AAV97" s="0" t="n">
        <f aca="false">SUM(AAV94:AAV96)</f>
        <v>5966.41486320124</v>
      </c>
      <c r="AAW97" s="0" t="n">
        <f aca="false">SUM(AAW94:AAW96)</f>
        <v>6916.68506485203</v>
      </c>
      <c r="AAX97" s="0" t="n">
        <f aca="false">SUM(AAX94:AAX96)</f>
        <v>7455.79986224778</v>
      </c>
      <c r="AAY97" s="0" t="n">
        <f aca="false">SUM(AAY94:AAY96)</f>
        <v>7687.91069813762</v>
      </c>
      <c r="AAZ97" s="0" t="n">
        <f aca="false">SUM(AAZ94:AAZ96)</f>
        <v>6500.71576060272</v>
      </c>
      <c r="ABA97" s="0" t="n">
        <f aca="false">SUM(ABA94:ABA96)</f>
        <v>6601.47673741256</v>
      </c>
      <c r="ABB97" s="0" t="n">
        <f aca="false">SUM(ABB94:ABB96)</f>
        <v>6357.6117554056</v>
      </c>
      <c r="ABC97" s="0" t="n">
        <f aca="false">SUM(ABC94:ABC96)</f>
        <v>6081.20828321475</v>
      </c>
      <c r="ABD97" s="0" t="n">
        <f aca="false">SUM(ABD94:ABD96)</f>
        <v>7616.86622340384</v>
      </c>
      <c r="ABE97" s="0" t="n">
        <f aca="false">SUM(ABE94:ABE96)</f>
        <v>7176.67036913533</v>
      </c>
      <c r="ABF97" s="0" t="n">
        <f aca="false">SUM(ABF94:ABF96)</f>
        <v>7409.76996666148</v>
      </c>
      <c r="ABG97" s="0" t="n">
        <f aca="false">SUM(ABG94:ABG96)</f>
        <v>7645.08406783844</v>
      </c>
      <c r="ABH97" s="0" t="n">
        <f aca="false">SUM(ABH94:ABH96)</f>
        <v>7541.17925118574</v>
      </c>
      <c r="ABI97" s="0" t="n">
        <f aca="false">SUM(ABI94:ABI96)</f>
        <v>7868.50346917427</v>
      </c>
      <c r="ABJ97" s="0" t="n">
        <f aca="false">SUM(ABJ94:ABJ96)</f>
        <v>6719.70470150327</v>
      </c>
      <c r="ABK97" s="0" t="n">
        <f aca="false">SUM(ABK94:ABK96)</f>
        <v>7413.05080045607</v>
      </c>
      <c r="ABL97" s="0" t="n">
        <f aca="false">SUM(ABL94:ABL96)</f>
        <v>6775.48657951254</v>
      </c>
      <c r="ABM97" s="0" t="n">
        <f aca="false">SUM(ABM94:ABM96)</f>
        <v>6981.80826325232</v>
      </c>
      <c r="ABN97" s="0" t="n">
        <f aca="false">SUM(ABN94:ABN96)</f>
        <v>7562.50379788108</v>
      </c>
      <c r="ABO97" s="0" t="n">
        <f aca="false">SUM(ABO94:ABO96)</f>
        <v>8482.72066663681</v>
      </c>
      <c r="ABP97" s="0" t="n">
        <f aca="false">SUM(ABP94:ABP96)</f>
        <v>7072.53402371438</v>
      </c>
      <c r="ABQ97" s="0" t="n">
        <f aca="false">SUM(ABQ94:ABQ96)</f>
        <v>7223.5715085453</v>
      </c>
      <c r="ABR97" s="0" t="n">
        <f aca="false">SUM(ABR94:ABR96)</f>
        <v>6825.70856272944</v>
      </c>
      <c r="ABS97" s="0" t="n">
        <f aca="false">SUM(ABS94:ABS96)</f>
        <v>8334.01876393337</v>
      </c>
      <c r="ABT97" s="0" t="n">
        <f aca="false">SUM(ABT94:ABT96)</f>
        <v>7916.22471531538</v>
      </c>
      <c r="ABU97" s="0" t="n">
        <f aca="false">SUM(ABU94:ABU96)</f>
        <v>6744.38849053359</v>
      </c>
      <c r="ABV97" s="0" t="n">
        <f aca="false">SUM(ABV94:ABV96)</f>
        <v>7490.23203958224</v>
      </c>
      <c r="ABW97" s="0" t="n">
        <f aca="false">SUM(ABW94:ABW96)</f>
        <v>6799.04493783899</v>
      </c>
      <c r="ABX97" s="0" t="n">
        <f aca="false">SUM(ABX94:ABX96)</f>
        <v>7688.16910033398</v>
      </c>
      <c r="ABY97" s="0" t="n">
        <f aca="false">SUM(ABY94:ABY96)</f>
        <v>7174.49819690496</v>
      </c>
      <c r="ABZ97" s="0" t="n">
        <f aca="false">SUM(ABZ94:ABZ96)</f>
        <v>6372.11038896841</v>
      </c>
      <c r="ACA97" s="0" t="n">
        <f aca="false">SUM(ACA94:ACA96)</f>
        <v>7246.30698221245</v>
      </c>
      <c r="ACB97" s="0" t="n">
        <f aca="false">SUM(ACB94:ACB96)</f>
        <v>8341.08969525043</v>
      </c>
      <c r="ACC97" s="0" t="n">
        <f aca="false">SUM(ACC94:ACC96)</f>
        <v>6459.37819291787</v>
      </c>
      <c r="ACD97" s="0" t="n">
        <f aca="false">SUM(ACD94:ACD96)</f>
        <v>7638.42727122041</v>
      </c>
      <c r="ACE97" s="0" t="n">
        <f aca="false">SUM(ACE94:ACE96)</f>
        <v>6876.84898181371</v>
      </c>
      <c r="ACF97" s="0" t="n">
        <f aca="false">SUM(ACF94:ACF96)</f>
        <v>6073.4708655663</v>
      </c>
      <c r="ACG97" s="0" t="n">
        <f aca="false">SUM(ACG94:ACG96)</f>
        <v>6299.26120999444</v>
      </c>
      <c r="ACH97" s="0" t="n">
        <f aca="false">SUM(ACH94:ACH96)</f>
        <v>7233.12291270433</v>
      </c>
      <c r="ACI97" s="0" t="n">
        <f aca="false">SUM(ACI94:ACI96)</f>
        <v>6350.19428855647</v>
      </c>
      <c r="ACJ97" s="0" t="n">
        <f aca="false">SUM(ACJ94:ACJ96)</f>
        <v>6912.91551169108</v>
      </c>
      <c r="ACK97" s="0" t="n">
        <f aca="false">SUM(ACK94:ACK96)</f>
        <v>7312.89978146792</v>
      </c>
      <c r="ACL97" s="0" t="n">
        <f aca="false">SUM(ACL94:ACL96)</f>
        <v>5265.49066031013</v>
      </c>
      <c r="ACM97" s="0" t="n">
        <f aca="false">SUM(ACM94:ACM96)</f>
        <v>6222.83227705613</v>
      </c>
      <c r="ACN97" s="0" t="n">
        <f aca="false">SUM(ACN94:ACN96)</f>
        <v>7356.136001657</v>
      </c>
      <c r="ACO97" s="0" t="n">
        <f aca="false">SUM(ACO94:ACO96)</f>
        <v>7497.39780412599</v>
      </c>
      <c r="ACP97" s="0" t="n">
        <f aca="false">SUM(ACP94:ACP96)</f>
        <v>6101.11297044914</v>
      </c>
      <c r="ACQ97" s="0" t="n">
        <f aca="false">SUM(ACQ94:ACQ96)</f>
        <v>6926.44163674441</v>
      </c>
      <c r="ACR97" s="0" t="n">
        <f aca="false">SUM(ACR94:ACR96)</f>
        <v>6496.94779239248</v>
      </c>
      <c r="ACS97" s="0" t="n">
        <f aca="false">SUM(ACS94:ACS96)</f>
        <v>7589.87400730107</v>
      </c>
      <c r="ACT97" s="0" t="n">
        <f aca="false">SUM(ACT94:ACT96)</f>
        <v>6973.65892928297</v>
      </c>
      <c r="ACU97" s="0" t="n">
        <f aca="false">SUM(ACU94:ACU96)</f>
        <v>7435.22350567088</v>
      </c>
      <c r="ACV97" s="0" t="n">
        <f aca="false">SUM(ACV94:ACV96)</f>
        <v>7313.96661776377</v>
      </c>
      <c r="ACW97" s="0" t="n">
        <f aca="false">SUM(ACW94:ACW96)</f>
        <v>6353.13359762686</v>
      </c>
      <c r="ACX97" s="0" t="n">
        <f aca="false">SUM(ACX94:ACX96)</f>
        <v>7266.42379614581</v>
      </c>
      <c r="ACY97" s="0" t="n">
        <f aca="false">SUM(ACY94:ACY96)</f>
        <v>5072.00892273063</v>
      </c>
      <c r="ACZ97" s="0" t="n">
        <f aca="false">SUM(ACZ94:ACZ96)</f>
        <v>7570.71518979904</v>
      </c>
      <c r="ADA97" s="0" t="n">
        <f aca="false">SUM(ADA94:ADA96)</f>
        <v>8987.81548326955</v>
      </c>
      <c r="ADB97" s="0" t="n">
        <f aca="false">SUM(ADB94:ADB96)</f>
        <v>4988.03565718178</v>
      </c>
      <c r="ADC97" s="0" t="n">
        <f aca="false">SUM(ADC94:ADC96)</f>
        <v>7303.91778095593</v>
      </c>
      <c r="ADD97" s="0" t="n">
        <f aca="false">SUM(ADD94:ADD96)</f>
        <v>6254.21871506999</v>
      </c>
      <c r="ADE97" s="0" t="n">
        <f aca="false">SUM(ADE94:ADE96)</f>
        <v>5049.52234921672</v>
      </c>
      <c r="ADF97" s="0" t="n">
        <f aca="false">SUM(ADF94:ADF96)</f>
        <v>7365.38889434503</v>
      </c>
      <c r="ADG97" s="0" t="n">
        <f aca="false">SUM(ADG94:ADG96)</f>
        <v>8154.95124995034</v>
      </c>
      <c r="ADH97" s="0" t="n">
        <f aca="false">SUM(ADH94:ADH96)</f>
        <v>6636.51298693112</v>
      </c>
      <c r="ADI97" s="0" t="n">
        <f aca="false">SUM(ADI94:ADI96)</f>
        <v>7633.46595271531</v>
      </c>
      <c r="ADJ97" s="0" t="n">
        <f aca="false">SUM(ADJ94:ADJ96)</f>
        <v>7928.97775404181</v>
      </c>
      <c r="ADK97" s="0" t="n">
        <f aca="false">SUM(ADK94:ADK96)</f>
        <v>6652.99417600329</v>
      </c>
      <c r="ADL97" s="0" t="n">
        <f aca="false">SUM(ADL94:ADL96)</f>
        <v>7278.99142646006</v>
      </c>
      <c r="ADM97" s="0" t="n">
        <f aca="false">SUM(ADM94:ADM96)</f>
        <v>7399.33697176659</v>
      </c>
      <c r="ADN97" s="0" t="n">
        <f aca="false">SUM(ADN94:ADN96)</f>
        <v>6367.86765652201</v>
      </c>
      <c r="ADO97" s="0" t="n">
        <f aca="false">SUM(ADO94:ADO96)</f>
        <v>6262.08544604336</v>
      </c>
      <c r="ADP97" s="0" t="n">
        <f aca="false">SUM(ADP94:ADP96)</f>
        <v>7122.42401478582</v>
      </c>
      <c r="ADQ97" s="0" t="n">
        <f aca="false">SUM(ADQ94:ADQ96)</f>
        <v>7566.93302063175</v>
      </c>
      <c r="ADR97" s="0" t="n">
        <f aca="false">SUM(ADR94:ADR96)</f>
        <v>7592.92385338305</v>
      </c>
      <c r="ADS97" s="0" t="n">
        <f aca="false">SUM(ADS94:ADS96)</f>
        <v>7757.40082094122</v>
      </c>
      <c r="ADT97" s="0" t="n">
        <f aca="false">SUM(ADT94:ADT96)</f>
        <v>7807.14618077887</v>
      </c>
      <c r="ADU97" s="0" t="n">
        <f aca="false">SUM(ADU94:ADU96)</f>
        <v>6841.38421908139</v>
      </c>
      <c r="ADV97" s="0" t="n">
        <f aca="false">SUM(ADV94:ADV96)</f>
        <v>6819.65071844905</v>
      </c>
      <c r="ADW97" s="0" t="n">
        <f aca="false">SUM(ADW94:ADW96)</f>
        <v>5526.36852106114</v>
      </c>
      <c r="ADX97" s="0" t="n">
        <f aca="false">SUM(ADX94:ADX96)</f>
        <v>5761.40340026132</v>
      </c>
      <c r="ADY97" s="0" t="n">
        <f aca="false">SUM(ADY94:ADY96)</f>
        <v>7834.70441228228</v>
      </c>
      <c r="ADZ97" s="0" t="n">
        <f aca="false">SUM(ADZ94:ADZ96)</f>
        <v>7146.25638854461</v>
      </c>
      <c r="AEA97" s="0" t="n">
        <f aca="false">SUM(AEA94:AEA96)</f>
        <v>7574.71660277317</v>
      </c>
      <c r="AEB97" s="0" t="n">
        <f aca="false">SUM(AEB94:AEB96)</f>
        <v>5598.56006242085</v>
      </c>
      <c r="AEC97" s="0" t="n">
        <f aca="false">SUM(AEC94:AEC96)</f>
        <v>7410.20629347253</v>
      </c>
      <c r="AED97" s="0" t="n">
        <f aca="false">SUM(AED94:AED96)</f>
        <v>8336.77727999741</v>
      </c>
      <c r="AEE97" s="0" t="n">
        <f aca="false">SUM(AEE94:AEE96)</f>
        <v>6599.53307127754</v>
      </c>
      <c r="AEF97" s="0" t="n">
        <f aca="false">SUM(AEF94:AEF96)</f>
        <v>8537.60691084596</v>
      </c>
      <c r="AEG97" s="0" t="n">
        <f aca="false">SUM(AEG94:AEG96)</f>
        <v>7274.59894078231</v>
      </c>
      <c r="AEH97" s="0" t="n">
        <f aca="false">SUM(AEH94:AEH96)</f>
        <v>7163.09684291748</v>
      </c>
      <c r="AEI97" s="0" t="n">
        <f aca="false">SUM(AEI94:AEI96)</f>
        <v>5453.9876187128</v>
      </c>
      <c r="AEJ97" s="0" t="n">
        <f aca="false">SUM(AEJ94:AEJ96)</f>
        <v>6593.96950919793</v>
      </c>
      <c r="AEK97" s="0" t="n">
        <f aca="false">SUM(AEK94:AEK96)</f>
        <v>7632.51788927256</v>
      </c>
      <c r="AEL97" s="0" t="n">
        <f aca="false">SUM(AEL94:AEL96)</f>
        <v>7056.56278249878</v>
      </c>
      <c r="AEM97" s="0" t="n">
        <f aca="false">SUM(AEM94:AEM96)</f>
        <v>7611.98902613292</v>
      </c>
      <c r="AEN97" s="0" t="n">
        <f aca="false">SUM(AEN94:AEN96)</f>
        <v>5046.46775580287</v>
      </c>
      <c r="AEO97" s="0" t="n">
        <f aca="false">SUM(AEO94:AEO96)</f>
        <v>7326.55383022309</v>
      </c>
      <c r="AEP97" s="0" t="n">
        <f aca="false">SUM(AEP94:AEP96)</f>
        <v>7252.06467789847</v>
      </c>
      <c r="AEQ97" s="0" t="n">
        <f aca="false">SUM(AEQ94:AEQ96)</f>
        <v>7626.66161233686</v>
      </c>
      <c r="AER97" s="0" t="n">
        <f aca="false">SUM(AER94:AER96)</f>
        <v>4827.89336244381</v>
      </c>
      <c r="AES97" s="0" t="n">
        <f aca="false">SUM(AES94:AES96)</f>
        <v>7323.35241729813</v>
      </c>
      <c r="AET97" s="0" t="n">
        <f aca="false">SUM(AET94:AET96)</f>
        <v>7516.04937488186</v>
      </c>
      <c r="AEU97" s="0" t="n">
        <f aca="false">SUM(AEU94:AEU96)</f>
        <v>7448.80458506396</v>
      </c>
      <c r="AEV97" s="0" t="n">
        <f aca="false">SUM(AEV94:AEV96)</f>
        <v>7812.97975990203</v>
      </c>
      <c r="AEW97" s="0" t="n">
        <f aca="false">SUM(AEW94:AEW96)</f>
        <v>7806.12219940479</v>
      </c>
      <c r="AEX97" s="0" t="n">
        <f aca="false">SUM(AEX94:AEX96)</f>
        <v>7687.5643536606</v>
      </c>
      <c r="AEY97" s="0" t="n">
        <f aca="false">SUM(AEY94:AEY96)</f>
        <v>6079.46700641398</v>
      </c>
      <c r="AEZ97" s="0" t="n">
        <f aca="false">SUM(AEZ94:AEZ96)</f>
        <v>8015.3693865485</v>
      </c>
      <c r="AFA97" s="0" t="n">
        <f aca="false">SUM(AFA94:AFA96)</f>
        <v>7126.87336712007</v>
      </c>
      <c r="AFB97" s="0" t="n">
        <f aca="false">SUM(AFB94:AFB96)</f>
        <v>6565.4807938941</v>
      </c>
      <c r="AFC97" s="0" t="n">
        <f aca="false">SUM(AFC94:AFC96)</f>
        <v>6798.83023055364</v>
      </c>
      <c r="AFD97" s="0" t="n">
        <f aca="false">SUM(AFD94:AFD96)</f>
        <v>7107.76193578931</v>
      </c>
      <c r="AFE97" s="0" t="n">
        <f aca="false">SUM(AFE94:AFE96)</f>
        <v>4807.31420315804</v>
      </c>
      <c r="AFF97" s="0" t="n">
        <f aca="false">SUM(AFF94:AFF96)</f>
        <v>7166.77030841084</v>
      </c>
      <c r="AFG97" s="0" t="n">
        <f aca="false">SUM(AFG94:AFG96)</f>
        <v>6304.40800294129</v>
      </c>
      <c r="AFH97" s="0" t="n">
        <f aca="false">SUM(AFH94:AFH96)</f>
        <v>7163.31098389213</v>
      </c>
      <c r="AFI97" s="0" t="n">
        <f aca="false">SUM(AFI94:AFI96)</f>
        <v>6973.83927605846</v>
      </c>
      <c r="AFJ97" s="0" t="n">
        <f aca="false">SUM(AFJ94:AFJ96)</f>
        <v>6704.91102780993</v>
      </c>
      <c r="AFK97" s="0" t="n">
        <f aca="false">SUM(AFK94:AFK96)</f>
        <v>7703.39992798478</v>
      </c>
      <c r="AFL97" s="0" t="n">
        <f aca="false">SUM(AFL94:AFL96)</f>
        <v>7512.1646624644</v>
      </c>
      <c r="AFM97" s="0" t="n">
        <f aca="false">SUM(AFM94:AFM96)</f>
        <v>5646.50260763436</v>
      </c>
      <c r="AFN97" s="0" t="n">
        <f aca="false">SUM(AFN94:AFN96)</f>
        <v>6891.96719197759</v>
      </c>
      <c r="AFO97" s="0" t="n">
        <f aca="false">SUM(AFO94:AFO96)</f>
        <v>7727.74906856278</v>
      </c>
      <c r="AFP97" s="0" t="n">
        <f aca="false">SUM(AFP94:AFP96)</f>
        <v>6970.22071298567</v>
      </c>
      <c r="AFQ97" s="0" t="n">
        <f aca="false">SUM(AFQ94:AFQ96)</f>
        <v>7186.27571729172</v>
      </c>
      <c r="AFR97" s="0" t="n">
        <f aca="false">SUM(AFR94:AFR96)</f>
        <v>8039.92650053971</v>
      </c>
      <c r="AFS97" s="0" t="n">
        <f aca="false">SUM(AFS94:AFS96)</f>
        <v>6092.6926123842</v>
      </c>
      <c r="AFT97" s="0" t="n">
        <f aca="false">SUM(AFT94:AFT96)</f>
        <v>5395.45179062703</v>
      </c>
      <c r="AFU97" s="0" t="n">
        <f aca="false">SUM(AFU94:AFU96)</f>
        <v>8576.48182639353</v>
      </c>
      <c r="AFV97" s="0" t="n">
        <f aca="false">SUM(AFV94:AFV96)</f>
        <v>6014.53192328147</v>
      </c>
      <c r="AFW97" s="0" t="n">
        <f aca="false">SUM(AFW94:AFW96)</f>
        <v>7088.10932359448</v>
      </c>
      <c r="AFX97" s="0" t="n">
        <f aca="false">SUM(AFX94:AFX96)</f>
        <v>5337.2315477451</v>
      </c>
      <c r="AFY97" s="0" t="n">
        <f aca="false">SUM(AFY94:AFY96)</f>
        <v>6913.8867840715</v>
      </c>
      <c r="AFZ97" s="0" t="n">
        <f aca="false">SUM(AFZ94:AFZ96)</f>
        <v>6642.0068692895</v>
      </c>
      <c r="AGA97" s="0" t="n">
        <f aca="false">SUM(AGA94:AGA96)</f>
        <v>6768.98545847987</v>
      </c>
      <c r="AGB97" s="0" t="n">
        <f aca="false">SUM(AGB94:AGB96)</f>
        <v>7515.21334370581</v>
      </c>
      <c r="AGC97" s="0" t="n">
        <f aca="false">SUM(AGC94:AGC96)</f>
        <v>7001.24030673509</v>
      </c>
      <c r="AGD97" s="0" t="n">
        <f aca="false">SUM(AGD94:AGD96)</f>
        <v>7745.04877911489</v>
      </c>
      <c r="AGE97" s="0" t="n">
        <f aca="false">SUM(AGE94:AGE96)</f>
        <v>5346.30185132354</v>
      </c>
      <c r="AGF97" s="0" t="n">
        <f aca="false">SUM(AGF94:AGF96)</f>
        <v>6427.38002877722</v>
      </c>
      <c r="AGG97" s="0" t="n">
        <f aca="false">SUM(AGG94:AGG96)</f>
        <v>7283.6849155217</v>
      </c>
      <c r="AGH97" s="0" t="n">
        <f aca="false">SUM(AGH94:AGH96)</f>
        <v>6277.01837786252</v>
      </c>
      <c r="AGI97" s="0" t="n">
        <f aca="false">SUM(AGI94:AGI96)</f>
        <v>5942.68382952043</v>
      </c>
      <c r="AGJ97" s="0" t="n">
        <f aca="false">SUM(AGJ94:AGJ96)</f>
        <v>5976.42432089251</v>
      </c>
      <c r="AGK97" s="0" t="n">
        <f aca="false">SUM(AGK94:AGK96)</f>
        <v>6354.87619757317</v>
      </c>
      <c r="AGL97" s="0" t="n">
        <f aca="false">SUM(AGL94:AGL96)</f>
        <v>5919.22564659151</v>
      </c>
      <c r="AGM97" s="0" t="n">
        <f aca="false">SUM(AGM94:AGM96)</f>
        <v>7272.36986391986</v>
      </c>
      <c r="AGN97" s="0" t="n">
        <f aca="false">SUM(AGN94:AGN96)</f>
        <v>6580.28943406216</v>
      </c>
      <c r="AGO97" s="0" t="n">
        <f aca="false">SUM(AGO94:AGO96)</f>
        <v>6271.18874851186</v>
      </c>
      <c r="AGP97" s="0" t="n">
        <f aca="false">SUM(AGP94:AGP96)</f>
        <v>6032.00037025494</v>
      </c>
      <c r="AGQ97" s="0" t="n">
        <f aca="false">SUM(AGQ94:AGQ96)</f>
        <v>7269.75471156347</v>
      </c>
      <c r="AGR97" s="0" t="n">
        <f aca="false">SUM(AGR94:AGR96)</f>
        <v>6857.78633394101</v>
      </c>
      <c r="AGS97" s="0" t="n">
        <f aca="false">SUM(AGS94:AGS96)</f>
        <v>8192.65789343211</v>
      </c>
      <c r="AGT97" s="0" t="n">
        <f aca="false">SUM(AGT94:AGT96)</f>
        <v>5650.48409632691</v>
      </c>
      <c r="AGU97" s="0" t="n">
        <f aca="false">SUM(AGU94:AGU96)</f>
        <v>7785.1495646307</v>
      </c>
      <c r="AGV97" s="0" t="n">
        <f aca="false">SUM(AGV94:AGV96)</f>
        <v>7058.51280682431</v>
      </c>
      <c r="AGW97" s="0" t="n">
        <f aca="false">SUM(AGW94:AGW96)</f>
        <v>7038.54866828836</v>
      </c>
      <c r="AGX97" s="0" t="n">
        <f aca="false">SUM(AGX94:AGX96)</f>
        <v>4967.9886596388</v>
      </c>
      <c r="AGY97" s="0" t="n">
        <f aca="false">SUM(AGY94:AGY96)</f>
        <v>6728.84517767156</v>
      </c>
      <c r="AGZ97" s="0" t="n">
        <f aca="false">SUM(AGZ94:AGZ96)</f>
        <v>5828.98648542634</v>
      </c>
      <c r="AHA97" s="0" t="n">
        <f aca="false">SUM(AHA94:AHA96)</f>
        <v>4114.04392486862</v>
      </c>
      <c r="AHB97" s="0" t="n">
        <f aca="false">SUM(AHB94:AHB96)</f>
        <v>7002.90327670473</v>
      </c>
      <c r="AHC97" s="0" t="n">
        <f aca="false">SUM(AHC94:AHC96)</f>
        <v>5672.24930430897</v>
      </c>
      <c r="AHD97" s="0" t="n">
        <f aca="false">SUM(AHD94:AHD96)</f>
        <v>5794.41265965231</v>
      </c>
      <c r="AHE97" s="0" t="n">
        <f aca="false">SUM(AHE94:AHE96)</f>
        <v>7615.48238579628</v>
      </c>
      <c r="AHF97" s="0" t="n">
        <f aca="false">SUM(AHF94:AHF96)</f>
        <v>5110.18870852087</v>
      </c>
      <c r="AHG97" s="0" t="n">
        <f aca="false">SUM(AHG94:AHG96)</f>
        <v>7524.5260005934</v>
      </c>
      <c r="AHH97" s="0" t="n">
        <f aca="false">SUM(AHH94:AHH96)</f>
        <v>7752.34817946262</v>
      </c>
      <c r="AHI97" s="0" t="n">
        <f aca="false">SUM(AHI94:AHI96)</f>
        <v>6041.64327444386</v>
      </c>
      <c r="AHJ97" s="0" t="n">
        <f aca="false">SUM(AHJ94:AHJ96)</f>
        <v>7820.69521787042</v>
      </c>
      <c r="AHK97" s="0" t="n">
        <f aca="false">SUM(AHK94:AHK96)</f>
        <v>6132.06257007527</v>
      </c>
      <c r="AHL97" s="0" t="n">
        <f aca="false">SUM(AHL94:AHL96)</f>
        <v>6366.13586938237</v>
      </c>
      <c r="AHM97" s="0" t="n">
        <f aca="false">SUM(AHM94:AHM96)</f>
        <v>7333.30525093289</v>
      </c>
      <c r="AHN97" s="0" t="n">
        <f aca="false">SUM(AHN94:AHN96)</f>
        <v>6299.50218933432</v>
      </c>
      <c r="AHO97" s="0" t="n">
        <f aca="false">SUM(AHO94:AHO96)</f>
        <v>7044.94633233437</v>
      </c>
      <c r="AHP97" s="0" t="n">
        <f aca="false">SUM(AHP94:AHP96)</f>
        <v>4671.47611041377</v>
      </c>
      <c r="AHQ97" s="0" t="n">
        <f aca="false">SUM(AHQ94:AHQ96)</f>
        <v>6988.23035870578</v>
      </c>
      <c r="AHR97" s="0" t="n">
        <f aca="false">SUM(AHR94:AHR96)</f>
        <v>5259.8489041857</v>
      </c>
      <c r="AHS97" s="0" t="n">
        <f aca="false">SUM(AHS94:AHS96)</f>
        <v>7620.27982495035</v>
      </c>
      <c r="AHT97" s="0" t="n">
        <f aca="false">SUM(AHT94:AHT96)</f>
        <v>6567.48855461388</v>
      </c>
      <c r="AHU97" s="0" t="n">
        <f aca="false">SUM(AHU94:AHU96)</f>
        <v>8041.88120332414</v>
      </c>
      <c r="AHV97" s="0" t="n">
        <f aca="false">SUM(AHV94:AHV96)</f>
        <v>6923.40024150972</v>
      </c>
      <c r="AHW97" s="0" t="n">
        <f aca="false">SUM(AHW94:AHW96)</f>
        <v>7878.47461332875</v>
      </c>
      <c r="AHX97" s="0" t="n">
        <f aca="false">SUM(AHX94:AHX96)</f>
        <v>5757.26324948253</v>
      </c>
      <c r="AHY97" s="0" t="n">
        <f aca="false">SUM(AHY94:AHY96)</f>
        <v>6249.83315448754</v>
      </c>
      <c r="AHZ97" s="0" t="n">
        <f aca="false">SUM(AHZ94:AHZ96)</f>
        <v>7565.23182890463</v>
      </c>
      <c r="AIA97" s="0" t="n">
        <f aca="false">SUM(AIA94:AIA96)</f>
        <v>6369.56564585307</v>
      </c>
      <c r="AIB97" s="0" t="n">
        <f aca="false">SUM(AIB94:AIB96)</f>
        <v>7988.89186717453</v>
      </c>
      <c r="AIC97" s="0" t="n">
        <f aca="false">SUM(AIC94:AIC96)</f>
        <v>7564.07917240315</v>
      </c>
      <c r="AID97" s="0" t="n">
        <f aca="false">SUM(AID94:AID96)</f>
        <v>5271.19622519987</v>
      </c>
      <c r="AIE97" s="0" t="n">
        <f aca="false">SUM(AIE94:AIE96)</f>
        <v>6580.47242017855</v>
      </c>
      <c r="AIF97" s="0" t="n">
        <f aca="false">SUM(AIF94:AIF96)</f>
        <v>7668.17886554516</v>
      </c>
      <c r="AIG97" s="0" t="n">
        <f aca="false">SUM(AIG94:AIG96)</f>
        <v>6925.98864652521</v>
      </c>
      <c r="AIH97" s="0" t="n">
        <f aca="false">SUM(AIH94:AIH96)</f>
        <v>8366.06958843431</v>
      </c>
      <c r="AII97" s="0" t="n">
        <f aca="false">SUM(AII94:AII96)</f>
        <v>6671.88892134622</v>
      </c>
      <c r="AIJ97" s="0" t="n">
        <f aca="false">SUM(AIJ94:AIJ96)</f>
        <v>7802.45959434155</v>
      </c>
      <c r="AIK97" s="0" t="n">
        <f aca="false">SUM(AIK94:AIK96)</f>
        <v>6708.57532355727</v>
      </c>
      <c r="AIL97" s="0" t="n">
        <f aca="false">SUM(AIL94:AIL96)</f>
        <v>7189.04827910936</v>
      </c>
      <c r="AIM97" s="0" t="n">
        <f aca="false">SUM(AIM94:AIM96)</f>
        <v>6819.04526947122</v>
      </c>
      <c r="AIN97" s="0" t="n">
        <f aca="false">SUM(AIN94:AIN96)</f>
        <v>8135.60129403335</v>
      </c>
      <c r="AIO97" s="0" t="n">
        <f aca="false">SUM(AIO94:AIO96)</f>
        <v>5927.38123540734</v>
      </c>
      <c r="AIP97" s="0" t="n">
        <f aca="false">SUM(AIP94:AIP96)</f>
        <v>6177.9258364135</v>
      </c>
      <c r="AIQ97" s="0" t="n">
        <f aca="false">SUM(AIQ94:AIQ96)</f>
        <v>6964.58561478198</v>
      </c>
      <c r="AIR97" s="0" t="n">
        <f aca="false">SUM(AIR94:AIR96)</f>
        <v>6138.49885976765</v>
      </c>
      <c r="AIS97" s="0" t="n">
        <f aca="false">SUM(AIS94:AIS96)</f>
        <v>6049.04360207072</v>
      </c>
      <c r="AIT97" s="0" t="n">
        <f aca="false">SUM(AIT94:AIT96)</f>
        <v>6813.82459670529</v>
      </c>
      <c r="AIU97" s="0" t="n">
        <f aca="false">SUM(AIU94:AIU96)</f>
        <v>7593.98291349545</v>
      </c>
      <c r="AIV97" s="0" t="n">
        <f aca="false">SUM(AIV94:AIV96)</f>
        <v>6639.22255988268</v>
      </c>
      <c r="AIW97" s="0" t="n">
        <f aca="false">SUM(AIW94:AIW96)</f>
        <v>3039.11439307447</v>
      </c>
      <c r="AIX97" s="0" t="n">
        <f aca="false">SUM(AIX94:AIX96)</f>
        <v>7847.77022659698</v>
      </c>
      <c r="AIY97" s="0" t="n">
        <f aca="false">SUM(AIY94:AIY96)</f>
        <v>6968.73204935811</v>
      </c>
      <c r="AIZ97" s="0" t="n">
        <f aca="false">SUM(AIZ94:AIZ96)</f>
        <v>6630.61308552141</v>
      </c>
      <c r="AJA97" s="0" t="n">
        <f aca="false">SUM(AJA94:AJA96)</f>
        <v>5761.48873422984</v>
      </c>
      <c r="AJB97" s="0" t="n">
        <f aca="false">SUM(AJB94:AJB96)</f>
        <v>6174.58217511554</v>
      </c>
      <c r="AJC97" s="0" t="n">
        <f aca="false">SUM(AJC94:AJC96)</f>
        <v>7816.18823158522</v>
      </c>
      <c r="AJD97" s="0" t="n">
        <f aca="false">SUM(AJD94:AJD96)</f>
        <v>7309.91589052314</v>
      </c>
      <c r="AJE97" s="0" t="n">
        <f aca="false">SUM(AJE94:AJE96)</f>
        <v>5962.01810247638</v>
      </c>
      <c r="AJF97" s="0" t="n">
        <f aca="false">SUM(AJF94:AJF96)</f>
        <v>6817.55724221741</v>
      </c>
      <c r="AJG97" s="0" t="n">
        <f aca="false">SUM(AJG94:AJG96)</f>
        <v>6769.11224622943</v>
      </c>
      <c r="AJH97" s="0" t="n">
        <f aca="false">SUM(AJH94:AJH96)</f>
        <v>7277.55686397911</v>
      </c>
      <c r="AJI97" s="0" t="n">
        <f aca="false">SUM(AJI94:AJI96)</f>
        <v>7504.86458141124</v>
      </c>
      <c r="AJJ97" s="0" t="n">
        <f aca="false">SUM(AJJ94:AJJ96)</f>
        <v>7186.56865580843</v>
      </c>
      <c r="AJK97" s="0" t="n">
        <f aca="false">SUM(AJK94:AJK96)</f>
        <v>6864.78392045285</v>
      </c>
      <c r="AJL97" s="0" t="n">
        <f aca="false">SUM(AJL94:AJL96)</f>
        <v>6375.75147592816</v>
      </c>
      <c r="AJM97" s="0" t="n">
        <f aca="false">SUM(AJM94:AJM96)</f>
        <v>6354.68087679094</v>
      </c>
      <c r="AJN97" s="0" t="n">
        <f aca="false">SUM(AJN94:AJN96)</f>
        <v>6796.10803560345</v>
      </c>
      <c r="AJO97" s="0" t="n">
        <f aca="false">SUM(AJO94:AJO96)</f>
        <v>6600.68237941763</v>
      </c>
      <c r="AJP97" s="0" t="n">
        <f aca="false">SUM(AJP94:AJP96)</f>
        <v>5826.67931993979</v>
      </c>
      <c r="AJQ97" s="0" t="n">
        <f aca="false">SUM(AJQ94:AJQ96)</f>
        <v>6489.53240556768</v>
      </c>
      <c r="AJR97" s="0" t="n">
        <f aca="false">SUM(AJR94:AJR96)</f>
        <v>7438.75835042742</v>
      </c>
      <c r="AJS97" s="0" t="n">
        <f aca="false">SUM(AJS94:AJS96)</f>
        <v>6682.50378403729</v>
      </c>
      <c r="AJT97" s="0" t="n">
        <f aca="false">SUM(AJT94:AJT96)</f>
        <v>8007.5135791383</v>
      </c>
      <c r="AJU97" s="0" t="n">
        <f aca="false">SUM(AJU94:AJU96)</f>
        <v>4357.06905404241</v>
      </c>
      <c r="AJV97" s="0" t="n">
        <f aca="false">SUM(AJV94:AJV96)</f>
        <v>7101.4110878248</v>
      </c>
      <c r="AJW97" s="0" t="n">
        <f aca="false">SUM(AJW94:AJW96)</f>
        <v>7469.78662729748</v>
      </c>
      <c r="AJX97" s="0" t="n">
        <f aca="false">SUM(AJX94:AJX96)</f>
        <v>7073.5854122903</v>
      </c>
      <c r="AJY97" s="0" t="n">
        <f aca="false">SUM(AJY94:AJY96)</f>
        <v>6156.83480709257</v>
      </c>
      <c r="AJZ97" s="0" t="n">
        <f aca="false">SUM(AJZ94:AJZ96)</f>
        <v>8197.00692420848</v>
      </c>
      <c r="AKA97" s="0" t="n">
        <f aca="false">SUM(AKA94:AKA96)</f>
        <v>5504.89947727047</v>
      </c>
      <c r="AKB97" s="0" t="n">
        <f aca="false">SUM(AKB94:AKB96)</f>
        <v>8561.4098653614</v>
      </c>
      <c r="AKC97" s="0" t="n">
        <f aca="false">SUM(AKC94:AKC96)</f>
        <v>6539.23394594876</v>
      </c>
      <c r="AKD97" s="0" t="n">
        <f aca="false">SUM(AKD94:AKD96)</f>
        <v>7973.29075365694</v>
      </c>
      <c r="AKE97" s="0" t="n">
        <f aca="false">SUM(AKE94:AKE96)</f>
        <v>7121.7023020081</v>
      </c>
      <c r="AKF97" s="0" t="n">
        <f aca="false">SUM(AKF94:AKF96)</f>
        <v>5315.59732268847</v>
      </c>
      <c r="AKG97" s="0" t="n">
        <f aca="false">SUM(AKG94:AKG96)</f>
        <v>7031.90928008661</v>
      </c>
      <c r="AKH97" s="0" t="n">
        <f aca="false">SUM(AKH94:AKH96)</f>
        <v>6326.12787145204</v>
      </c>
      <c r="AKI97" s="0" t="n">
        <f aca="false">SUM(AKI94:AKI96)</f>
        <v>7670.07454814907</v>
      </c>
      <c r="AKJ97" s="0" t="n">
        <f aca="false">SUM(AKJ94:AKJ96)</f>
        <v>7519.67465495718</v>
      </c>
      <c r="AKK97" s="0" t="n">
        <f aca="false">SUM(AKK94:AKK96)</f>
        <v>7344.80156582491</v>
      </c>
      <c r="AKL97" s="0" t="n">
        <f aca="false">SUM(AKL94:AKL96)</f>
        <v>8010.54448887783</v>
      </c>
      <c r="AKM97" s="0" t="n">
        <f aca="false">SUM(AKM94:AKM96)</f>
        <v>6429.5655462745</v>
      </c>
      <c r="AKN97" s="0" t="n">
        <f aca="false">SUM(AKN94:AKN96)</f>
        <v>6148.31442724854</v>
      </c>
      <c r="AKO97" s="0" t="n">
        <f aca="false">SUM(AKO94:AKO96)</f>
        <v>6335.01262893253</v>
      </c>
      <c r="AKP97" s="0" t="n">
        <f aca="false">SUM(AKP94:AKP96)</f>
        <v>7949.23480093278</v>
      </c>
      <c r="AKQ97" s="0" t="n">
        <f aca="false">SUM(AKQ94:AKQ96)</f>
        <v>6140.07753951883</v>
      </c>
      <c r="AKR97" s="0" t="n">
        <f aca="false">SUM(AKR94:AKR96)</f>
        <v>6737.24127061323</v>
      </c>
      <c r="AKS97" s="0" t="n">
        <f aca="false">SUM(AKS94:AKS96)</f>
        <v>7530.92634454924</v>
      </c>
      <c r="AKT97" s="0" t="n">
        <f aca="false">SUM(AKT94:AKT96)</f>
        <v>6690.55843776639</v>
      </c>
      <c r="AKU97" s="0" t="n">
        <f aca="false">SUM(AKU94:AKU96)</f>
        <v>7212.37010136656</v>
      </c>
      <c r="AKV97" s="0" t="n">
        <f aca="false">SUM(AKV94:AKV96)</f>
        <v>6093.89584179603</v>
      </c>
      <c r="AKW97" s="0" t="n">
        <f aca="false">SUM(AKW94:AKW96)</f>
        <v>7347.72951215236</v>
      </c>
      <c r="AKX97" s="0" t="n">
        <f aca="false">SUM(AKX94:AKX96)</f>
        <v>6941.61919430496</v>
      </c>
      <c r="AKY97" s="0" t="n">
        <f aca="false">SUM(AKY94:AKY96)</f>
        <v>4468.22825934853</v>
      </c>
      <c r="AKZ97" s="0" t="n">
        <f aca="false">SUM(AKZ94:AKZ96)</f>
        <v>8470.04384428758</v>
      </c>
      <c r="ALA97" s="0" t="n">
        <f aca="false">SUM(ALA94:ALA96)</f>
        <v>7390.80371543131</v>
      </c>
      <c r="ALB97" s="0" t="n">
        <f aca="false">SUM(ALB94:ALB96)</f>
        <v>5859.42389040216</v>
      </c>
      <c r="ALC97" s="0" t="n">
        <f aca="false">SUM(ALC94:ALC96)</f>
        <v>6771.30101294685</v>
      </c>
      <c r="ALD97" s="0" t="n">
        <f aca="false">SUM(ALD94:ALD96)</f>
        <v>7299.36984263716</v>
      </c>
      <c r="ALE97" s="0" t="n">
        <f aca="false">SUM(ALE94:ALE96)</f>
        <v>7032.35366879607</v>
      </c>
      <c r="ALF97" s="0" t="n">
        <f aca="false">SUM(ALF94:ALF96)</f>
        <v>7696.32483730008</v>
      </c>
      <c r="ALG97" s="0" t="n">
        <f aca="false">SUM(ALG94:ALG96)</f>
        <v>6032.4211913307</v>
      </c>
      <c r="ALH97" s="0" t="n">
        <f aca="false">SUM(ALH94:ALH96)</f>
        <v>4966.86261016338</v>
      </c>
      <c r="ALI97" s="0" t="n">
        <f aca="false">SUM(ALI94:ALI96)</f>
        <v>6114.30720214227</v>
      </c>
      <c r="ALJ97" s="0" t="n">
        <f aca="false">SUM(ALJ94:ALJ96)</f>
        <v>6571.02588660745</v>
      </c>
      <c r="ALK97" s="0" t="n">
        <f aca="false">SUM(ALK94:ALK96)</f>
        <v>7610.71274507827</v>
      </c>
      <c r="ALL97" s="0" t="n">
        <f aca="false">SUM(ALL94:ALL96)</f>
        <v>7926.10372140257</v>
      </c>
      <c r="ALM97" s="0" t="n">
        <f aca="false">SUM(ALM94:ALM96)</f>
        <v>7263.43212076886</v>
      </c>
    </row>
    <row r="98" customFormat="false" ht="14.5" hidden="false" customHeight="false" outlineLevel="0" collapsed="false">
      <c r="A98" s="97" t="s">
        <v>89</v>
      </c>
      <c r="B98" s="0" t="n">
        <f aca="false">-$C$57*$B$59</f>
        <v>-2000</v>
      </c>
      <c r="C98" s="0" t="n">
        <f aca="false">-$C$57*$B$59</f>
        <v>-2000</v>
      </c>
      <c r="D98" s="0" t="n">
        <f aca="false">-$C$57*$B$59</f>
        <v>-2000</v>
      </c>
      <c r="E98" s="0" t="n">
        <f aca="false">-$C$57*$B$59</f>
        <v>-2000</v>
      </c>
      <c r="F98" s="0" t="n">
        <f aca="false">-$C$57*$B$59</f>
        <v>-2000</v>
      </c>
      <c r="G98" s="0" t="n">
        <f aca="false">-$C$57*$B$59</f>
        <v>-2000</v>
      </c>
      <c r="H98" s="0" t="n">
        <f aca="false">-$C$57*$B$59</f>
        <v>-2000</v>
      </c>
      <c r="I98" s="0" t="n">
        <f aca="false">-$C$57*$B$59</f>
        <v>-2000</v>
      </c>
      <c r="J98" s="0" t="n">
        <f aca="false">-$C$57*$B$59</f>
        <v>-2000</v>
      </c>
      <c r="K98" s="0" t="n">
        <f aca="false">-$C$57*$B$59</f>
        <v>-2000</v>
      </c>
      <c r="L98" s="0" t="n">
        <f aca="false">-$C$57*$B$59</f>
        <v>-2000</v>
      </c>
      <c r="M98" s="0" t="n">
        <f aca="false">-$C$57*$B$59</f>
        <v>-2000</v>
      </c>
      <c r="N98" s="0" t="n">
        <f aca="false">-$C$57*$B$59</f>
        <v>-2000</v>
      </c>
      <c r="O98" s="0" t="n">
        <f aca="false">-$C$57*$B$59</f>
        <v>-2000</v>
      </c>
      <c r="P98" s="0" t="n">
        <f aca="false">-$C$57*$B$59</f>
        <v>-2000</v>
      </c>
      <c r="Q98" s="0" t="n">
        <f aca="false">-$C$57*$B$59</f>
        <v>-2000</v>
      </c>
      <c r="R98" s="0" t="n">
        <f aca="false">-$C$57*$B$59</f>
        <v>-2000</v>
      </c>
      <c r="S98" s="0" t="n">
        <f aca="false">-$C$57*$B$59</f>
        <v>-2000</v>
      </c>
      <c r="T98" s="0" t="n">
        <f aca="false">-$C$57*$B$59</f>
        <v>-2000</v>
      </c>
      <c r="U98" s="0" t="n">
        <f aca="false">-$C$57*$B$59</f>
        <v>-2000</v>
      </c>
      <c r="V98" s="0" t="n">
        <f aca="false">-$C$57*$B$59</f>
        <v>-2000</v>
      </c>
      <c r="W98" s="0" t="n">
        <f aca="false">-$C$57*$B$59</f>
        <v>-2000</v>
      </c>
      <c r="X98" s="0" t="n">
        <f aca="false">-$C$57*$B$59</f>
        <v>-2000</v>
      </c>
      <c r="Y98" s="0" t="n">
        <f aca="false">-$C$57*$B$59</f>
        <v>-2000</v>
      </c>
      <c r="Z98" s="0" t="n">
        <f aca="false">-$C$57*$B$59</f>
        <v>-2000</v>
      </c>
      <c r="AA98" s="0" t="n">
        <f aca="false">-$C$57*$B$59</f>
        <v>-2000</v>
      </c>
      <c r="AB98" s="0" t="n">
        <f aca="false">-$C$57*$B$59</f>
        <v>-2000</v>
      </c>
      <c r="AC98" s="0" t="n">
        <f aca="false">-$C$57*$B$59</f>
        <v>-2000</v>
      </c>
      <c r="AD98" s="0" t="n">
        <f aca="false">-$C$57*$B$59</f>
        <v>-2000</v>
      </c>
      <c r="AE98" s="0" t="n">
        <f aca="false">-$C$57*$B$59</f>
        <v>-2000</v>
      </c>
      <c r="AF98" s="0" t="n">
        <f aca="false">-$C$57*$B$59</f>
        <v>-2000</v>
      </c>
      <c r="AG98" s="0" t="n">
        <f aca="false">-$C$57*$B$59</f>
        <v>-2000</v>
      </c>
      <c r="AH98" s="0" t="n">
        <f aca="false">-$C$57*$B$59</f>
        <v>-2000</v>
      </c>
      <c r="AI98" s="0" t="n">
        <f aca="false">-$C$57*$B$59</f>
        <v>-2000</v>
      </c>
      <c r="AJ98" s="0" t="n">
        <f aca="false">-$C$57*$B$59</f>
        <v>-2000</v>
      </c>
      <c r="AK98" s="0" t="n">
        <f aca="false">-$C$57*$B$59</f>
        <v>-2000</v>
      </c>
      <c r="AL98" s="0" t="n">
        <f aca="false">-$C$57*$B$59</f>
        <v>-2000</v>
      </c>
      <c r="AM98" s="0" t="n">
        <f aca="false">-$C$57*$B$59</f>
        <v>-2000</v>
      </c>
      <c r="AN98" s="0" t="n">
        <f aca="false">-$C$57*$B$59</f>
        <v>-2000</v>
      </c>
      <c r="AO98" s="0" t="n">
        <f aca="false">-$C$57*$B$59</f>
        <v>-2000</v>
      </c>
      <c r="AP98" s="0" t="n">
        <f aca="false">-$C$57*$B$59</f>
        <v>-2000</v>
      </c>
      <c r="AQ98" s="0" t="n">
        <f aca="false">-$C$57*$B$59</f>
        <v>-2000</v>
      </c>
      <c r="AR98" s="0" t="n">
        <f aca="false">-$C$57*$B$59</f>
        <v>-2000</v>
      </c>
      <c r="AS98" s="0" t="n">
        <f aca="false">-$C$57*$B$59</f>
        <v>-2000</v>
      </c>
      <c r="AT98" s="0" t="n">
        <f aca="false">-$C$57*$B$59</f>
        <v>-2000</v>
      </c>
      <c r="AU98" s="0" t="n">
        <f aca="false">-$C$57*$B$59</f>
        <v>-2000</v>
      </c>
      <c r="AV98" s="0" t="n">
        <f aca="false">-$C$57*$B$59</f>
        <v>-2000</v>
      </c>
      <c r="AW98" s="0" t="n">
        <f aca="false">-$C$57*$B$59</f>
        <v>-2000</v>
      </c>
      <c r="AX98" s="0" t="n">
        <f aca="false">-$C$57*$B$59</f>
        <v>-2000</v>
      </c>
      <c r="AY98" s="0" t="n">
        <f aca="false">-$C$57*$B$59</f>
        <v>-2000</v>
      </c>
      <c r="AZ98" s="0" t="n">
        <f aca="false">-$C$57*$B$59</f>
        <v>-2000</v>
      </c>
      <c r="BA98" s="0" t="n">
        <f aca="false">-$C$57*$B$59</f>
        <v>-2000</v>
      </c>
      <c r="BB98" s="0" t="n">
        <f aca="false">-$C$57*$B$59</f>
        <v>-2000</v>
      </c>
      <c r="BC98" s="0" t="n">
        <f aca="false">-$C$57*$B$59</f>
        <v>-2000</v>
      </c>
      <c r="BD98" s="0" t="n">
        <f aca="false">-$C$57*$B$59</f>
        <v>-2000</v>
      </c>
      <c r="BE98" s="0" t="n">
        <f aca="false">-$C$57*$B$59</f>
        <v>-2000</v>
      </c>
      <c r="BF98" s="0" t="n">
        <f aca="false">-$C$57*$B$59</f>
        <v>-2000</v>
      </c>
      <c r="BG98" s="0" t="n">
        <f aca="false">-$C$57*$B$59</f>
        <v>-2000</v>
      </c>
      <c r="BH98" s="0" t="n">
        <f aca="false">-$C$57*$B$59</f>
        <v>-2000</v>
      </c>
      <c r="BI98" s="0" t="n">
        <f aca="false">-$C$57*$B$59</f>
        <v>-2000</v>
      </c>
      <c r="BJ98" s="0" t="n">
        <f aca="false">-$C$57*$B$59</f>
        <v>-2000</v>
      </c>
      <c r="BK98" s="0" t="n">
        <f aca="false">-$C$57*$B$59</f>
        <v>-2000</v>
      </c>
      <c r="BL98" s="0" t="n">
        <f aca="false">-$C$57*$B$59</f>
        <v>-2000</v>
      </c>
      <c r="BM98" s="0" t="n">
        <f aca="false">-$C$57*$B$59</f>
        <v>-2000</v>
      </c>
      <c r="BN98" s="0" t="n">
        <f aca="false">-$C$57*$B$59</f>
        <v>-2000</v>
      </c>
      <c r="BO98" s="0" t="n">
        <f aca="false">-$C$57*$B$59</f>
        <v>-2000</v>
      </c>
      <c r="BP98" s="0" t="n">
        <f aca="false">-$C$57*$B$59</f>
        <v>-2000</v>
      </c>
      <c r="BQ98" s="0" t="n">
        <f aca="false">-$C$57*$B$59</f>
        <v>-2000</v>
      </c>
      <c r="BR98" s="0" t="n">
        <f aca="false">-$C$57*$B$59</f>
        <v>-2000</v>
      </c>
      <c r="BS98" s="0" t="n">
        <f aca="false">-$C$57*$B$59</f>
        <v>-2000</v>
      </c>
      <c r="BT98" s="0" t="n">
        <f aca="false">-$C$57*$B$59</f>
        <v>-2000</v>
      </c>
      <c r="BU98" s="0" t="n">
        <f aca="false">-$C$57*$B$59</f>
        <v>-2000</v>
      </c>
      <c r="BV98" s="0" t="n">
        <f aca="false">-$C$57*$B$59</f>
        <v>-2000</v>
      </c>
      <c r="BW98" s="0" t="n">
        <f aca="false">-$C$57*$B$59</f>
        <v>-2000</v>
      </c>
      <c r="BX98" s="0" t="n">
        <f aca="false">-$C$57*$B$59</f>
        <v>-2000</v>
      </c>
      <c r="BY98" s="0" t="n">
        <f aca="false">-$C$57*$B$59</f>
        <v>-2000</v>
      </c>
      <c r="BZ98" s="0" t="n">
        <f aca="false">-$C$57*$B$59</f>
        <v>-2000</v>
      </c>
      <c r="CA98" s="0" t="n">
        <f aca="false">-$C$57*$B$59</f>
        <v>-2000</v>
      </c>
      <c r="CB98" s="0" t="n">
        <f aca="false">-$C$57*$B$59</f>
        <v>-2000</v>
      </c>
      <c r="CC98" s="0" t="n">
        <f aca="false">-$C$57*$B$59</f>
        <v>-2000</v>
      </c>
      <c r="CD98" s="0" t="n">
        <f aca="false">-$C$57*$B$59</f>
        <v>-2000</v>
      </c>
      <c r="CE98" s="0" t="n">
        <f aca="false">-$C$57*$B$59</f>
        <v>-2000</v>
      </c>
      <c r="CF98" s="0" t="n">
        <f aca="false">-$C$57*$B$59</f>
        <v>-2000</v>
      </c>
      <c r="CG98" s="0" t="n">
        <f aca="false">-$C$57*$B$59</f>
        <v>-2000</v>
      </c>
      <c r="CH98" s="0" t="n">
        <f aca="false">-$C$57*$B$59</f>
        <v>-2000</v>
      </c>
      <c r="CI98" s="0" t="n">
        <f aca="false">-$C$57*$B$59</f>
        <v>-2000</v>
      </c>
      <c r="CJ98" s="0" t="n">
        <f aca="false">-$C$57*$B$59</f>
        <v>-2000</v>
      </c>
      <c r="CK98" s="0" t="n">
        <f aca="false">-$C$57*$B$59</f>
        <v>-2000</v>
      </c>
      <c r="CL98" s="0" t="n">
        <f aca="false">-$C$57*$B$59</f>
        <v>-2000</v>
      </c>
      <c r="CM98" s="0" t="n">
        <f aca="false">-$C$57*$B$59</f>
        <v>-2000</v>
      </c>
      <c r="CN98" s="0" t="n">
        <f aca="false">-$C$57*$B$59</f>
        <v>-2000</v>
      </c>
      <c r="CO98" s="0" t="n">
        <f aca="false">-$C$57*$B$59</f>
        <v>-2000</v>
      </c>
      <c r="CP98" s="0" t="n">
        <f aca="false">-$C$57*$B$59</f>
        <v>-2000</v>
      </c>
      <c r="CQ98" s="0" t="n">
        <f aca="false">-$C$57*$B$59</f>
        <v>-2000</v>
      </c>
      <c r="CR98" s="0" t="n">
        <f aca="false">-$C$57*$B$59</f>
        <v>-2000</v>
      </c>
      <c r="CS98" s="0" t="n">
        <f aca="false">-$C$57*$B$59</f>
        <v>-2000</v>
      </c>
      <c r="CT98" s="0" t="n">
        <f aca="false">-$C$57*$B$59</f>
        <v>-2000</v>
      </c>
      <c r="CU98" s="0" t="n">
        <f aca="false">-$C$57*$B$59</f>
        <v>-2000</v>
      </c>
      <c r="CV98" s="0" t="n">
        <f aca="false">-$C$57*$B$59</f>
        <v>-2000</v>
      </c>
      <c r="CW98" s="0" t="n">
        <f aca="false">-$C$57*$B$59</f>
        <v>-2000</v>
      </c>
      <c r="CX98" s="0" t="n">
        <f aca="false">-$C$57*$B$59</f>
        <v>-2000</v>
      </c>
      <c r="CY98" s="0" t="n">
        <f aca="false">-$C$57*$B$59</f>
        <v>-2000</v>
      </c>
      <c r="CZ98" s="0" t="n">
        <f aca="false">-$C$57*$B$59</f>
        <v>-2000</v>
      </c>
      <c r="DA98" s="0" t="n">
        <f aca="false">-$C$57*$B$59</f>
        <v>-2000</v>
      </c>
      <c r="DB98" s="0" t="n">
        <f aca="false">-$C$57*$B$59</f>
        <v>-2000</v>
      </c>
      <c r="DC98" s="0" t="n">
        <f aca="false">-$C$57*$B$59</f>
        <v>-2000</v>
      </c>
      <c r="DD98" s="0" t="n">
        <f aca="false">-$C$57*$B$59</f>
        <v>-2000</v>
      </c>
      <c r="DE98" s="0" t="n">
        <f aca="false">-$C$57*$B$59</f>
        <v>-2000</v>
      </c>
      <c r="DF98" s="0" t="n">
        <f aca="false">-$C$57*$B$59</f>
        <v>-2000</v>
      </c>
      <c r="DG98" s="0" t="n">
        <f aca="false">-$C$57*$B$59</f>
        <v>-2000</v>
      </c>
      <c r="DH98" s="0" t="n">
        <f aca="false">-$C$57*$B$59</f>
        <v>-2000</v>
      </c>
      <c r="DI98" s="0" t="n">
        <f aca="false">-$C$57*$B$59</f>
        <v>-2000</v>
      </c>
      <c r="DJ98" s="0" t="n">
        <f aca="false">-$C$57*$B$59</f>
        <v>-2000</v>
      </c>
      <c r="DK98" s="0" t="n">
        <f aca="false">-$C$57*$B$59</f>
        <v>-2000</v>
      </c>
      <c r="DL98" s="0" t="n">
        <f aca="false">-$C$57*$B$59</f>
        <v>-2000</v>
      </c>
      <c r="DM98" s="0" t="n">
        <f aca="false">-$C$57*$B$59</f>
        <v>-2000</v>
      </c>
      <c r="DN98" s="0" t="n">
        <f aca="false">-$C$57*$B$59</f>
        <v>-2000</v>
      </c>
      <c r="DO98" s="0" t="n">
        <f aca="false">-$C$57*$B$59</f>
        <v>-2000</v>
      </c>
      <c r="DP98" s="0" t="n">
        <f aca="false">-$C$57*$B$59</f>
        <v>-2000</v>
      </c>
      <c r="DQ98" s="0" t="n">
        <f aca="false">-$C$57*$B$59</f>
        <v>-2000</v>
      </c>
      <c r="DR98" s="0" t="n">
        <f aca="false">-$C$57*$B$59</f>
        <v>-2000</v>
      </c>
      <c r="DS98" s="0" t="n">
        <f aca="false">-$C$57*$B$59</f>
        <v>-2000</v>
      </c>
      <c r="DT98" s="0" t="n">
        <f aca="false">-$C$57*$B$59</f>
        <v>-2000</v>
      </c>
      <c r="DU98" s="0" t="n">
        <f aca="false">-$C$57*$B$59</f>
        <v>-2000</v>
      </c>
      <c r="DV98" s="0" t="n">
        <f aca="false">-$C$57*$B$59</f>
        <v>-2000</v>
      </c>
      <c r="DW98" s="0" t="n">
        <f aca="false">-$C$57*$B$59</f>
        <v>-2000</v>
      </c>
      <c r="DX98" s="0" t="n">
        <f aca="false">-$C$57*$B$59</f>
        <v>-2000</v>
      </c>
      <c r="DY98" s="0" t="n">
        <f aca="false">-$C$57*$B$59</f>
        <v>-2000</v>
      </c>
      <c r="DZ98" s="0" t="n">
        <f aca="false">-$C$57*$B$59</f>
        <v>-2000</v>
      </c>
      <c r="EA98" s="0" t="n">
        <f aca="false">-$C$57*$B$59</f>
        <v>-2000</v>
      </c>
      <c r="EB98" s="0" t="n">
        <f aca="false">-$C$57*$B$59</f>
        <v>-2000</v>
      </c>
      <c r="EC98" s="0" t="n">
        <f aca="false">-$C$57*$B$59</f>
        <v>-2000</v>
      </c>
      <c r="ED98" s="0" t="n">
        <f aca="false">-$C$57*$B$59</f>
        <v>-2000</v>
      </c>
      <c r="EE98" s="0" t="n">
        <f aca="false">-$C$57*$B$59</f>
        <v>-2000</v>
      </c>
      <c r="EF98" s="0" t="n">
        <f aca="false">-$C$57*$B$59</f>
        <v>-2000</v>
      </c>
      <c r="EG98" s="0" t="n">
        <f aca="false">-$C$57*$B$59</f>
        <v>-2000</v>
      </c>
      <c r="EH98" s="0" t="n">
        <f aca="false">-$C$57*$B$59</f>
        <v>-2000</v>
      </c>
      <c r="EI98" s="0" t="n">
        <f aca="false">-$C$57*$B$59</f>
        <v>-2000</v>
      </c>
      <c r="EJ98" s="0" t="n">
        <f aca="false">-$C$57*$B$59</f>
        <v>-2000</v>
      </c>
      <c r="EK98" s="0" t="n">
        <f aca="false">-$C$57*$B$59</f>
        <v>-2000</v>
      </c>
      <c r="EL98" s="0" t="n">
        <f aca="false">-$C$57*$B$59</f>
        <v>-2000</v>
      </c>
      <c r="EM98" s="0" t="n">
        <f aca="false">-$C$57*$B$59</f>
        <v>-2000</v>
      </c>
      <c r="EN98" s="0" t="n">
        <f aca="false">-$C$57*$B$59</f>
        <v>-2000</v>
      </c>
      <c r="EO98" s="0" t="n">
        <f aca="false">-$C$57*$B$59</f>
        <v>-2000</v>
      </c>
      <c r="EP98" s="0" t="n">
        <f aca="false">-$C$57*$B$59</f>
        <v>-2000</v>
      </c>
      <c r="EQ98" s="0" t="n">
        <f aca="false">-$C$57*$B$59</f>
        <v>-2000</v>
      </c>
      <c r="ER98" s="0" t="n">
        <f aca="false">-$C$57*$B$59</f>
        <v>-2000</v>
      </c>
      <c r="ES98" s="0" t="n">
        <f aca="false">-$C$57*$B$59</f>
        <v>-2000</v>
      </c>
      <c r="ET98" s="0" t="n">
        <f aca="false">-$C$57*$B$59</f>
        <v>-2000</v>
      </c>
      <c r="EU98" s="0" t="n">
        <f aca="false">-$C$57*$B$59</f>
        <v>-2000</v>
      </c>
      <c r="EV98" s="0" t="n">
        <f aca="false">-$C$57*$B$59</f>
        <v>-2000</v>
      </c>
      <c r="EW98" s="0" t="n">
        <f aca="false">-$C$57*$B$59</f>
        <v>-2000</v>
      </c>
      <c r="EX98" s="0" t="n">
        <f aca="false">-$C$57*$B$59</f>
        <v>-2000</v>
      </c>
      <c r="EY98" s="0" t="n">
        <f aca="false">-$C$57*$B$59</f>
        <v>-2000</v>
      </c>
      <c r="EZ98" s="0" t="n">
        <f aca="false">-$C$57*$B$59</f>
        <v>-2000</v>
      </c>
      <c r="FA98" s="0" t="n">
        <f aca="false">-$C$57*$B$59</f>
        <v>-2000</v>
      </c>
      <c r="FB98" s="0" t="n">
        <f aca="false">-$C$57*$B$59</f>
        <v>-2000</v>
      </c>
      <c r="FC98" s="0" t="n">
        <f aca="false">-$C$57*$B$59</f>
        <v>-2000</v>
      </c>
      <c r="FD98" s="0" t="n">
        <f aca="false">-$C$57*$B$59</f>
        <v>-2000</v>
      </c>
      <c r="FE98" s="0" t="n">
        <f aca="false">-$C$57*$B$59</f>
        <v>-2000</v>
      </c>
      <c r="FF98" s="0" t="n">
        <f aca="false">-$C$57*$B$59</f>
        <v>-2000</v>
      </c>
      <c r="FG98" s="0" t="n">
        <f aca="false">-$C$57*$B$59</f>
        <v>-2000</v>
      </c>
      <c r="FH98" s="0" t="n">
        <f aca="false">-$C$57*$B$59</f>
        <v>-2000</v>
      </c>
      <c r="FI98" s="0" t="n">
        <f aca="false">-$C$57*$B$59</f>
        <v>-2000</v>
      </c>
      <c r="FJ98" s="0" t="n">
        <f aca="false">-$C$57*$B$59</f>
        <v>-2000</v>
      </c>
      <c r="FK98" s="0" t="n">
        <f aca="false">-$C$57*$B$59</f>
        <v>-2000</v>
      </c>
      <c r="FL98" s="0" t="n">
        <f aca="false">-$C$57*$B$59</f>
        <v>-2000</v>
      </c>
      <c r="FM98" s="0" t="n">
        <f aca="false">-$C$57*$B$59</f>
        <v>-2000</v>
      </c>
      <c r="FN98" s="0" t="n">
        <f aca="false">-$C$57*$B$59</f>
        <v>-2000</v>
      </c>
      <c r="FO98" s="0" t="n">
        <f aca="false">-$C$57*$B$59</f>
        <v>-2000</v>
      </c>
      <c r="FP98" s="0" t="n">
        <f aca="false">-$C$57*$B$59</f>
        <v>-2000</v>
      </c>
      <c r="FQ98" s="0" t="n">
        <f aca="false">-$C$57*$B$59</f>
        <v>-2000</v>
      </c>
      <c r="FR98" s="0" t="n">
        <f aca="false">-$C$57*$B$59</f>
        <v>-2000</v>
      </c>
      <c r="FS98" s="0" t="n">
        <f aca="false">-$C$57*$B$59</f>
        <v>-2000</v>
      </c>
      <c r="FT98" s="0" t="n">
        <f aca="false">-$C$57*$B$59</f>
        <v>-2000</v>
      </c>
      <c r="FU98" s="0" t="n">
        <f aca="false">-$C$57*$B$59</f>
        <v>-2000</v>
      </c>
      <c r="FV98" s="0" t="n">
        <f aca="false">-$C$57*$B$59</f>
        <v>-2000</v>
      </c>
      <c r="FW98" s="0" t="n">
        <f aca="false">-$C$57*$B$59</f>
        <v>-2000</v>
      </c>
      <c r="FX98" s="0" t="n">
        <f aca="false">-$C$57*$B$59</f>
        <v>-2000</v>
      </c>
      <c r="FY98" s="0" t="n">
        <f aca="false">-$C$57*$B$59</f>
        <v>-2000</v>
      </c>
      <c r="FZ98" s="0" t="n">
        <f aca="false">-$C$57*$B$59</f>
        <v>-2000</v>
      </c>
      <c r="GA98" s="0" t="n">
        <f aca="false">-$C$57*$B$59</f>
        <v>-2000</v>
      </c>
      <c r="GB98" s="0" t="n">
        <f aca="false">-$C$57*$B$59</f>
        <v>-2000</v>
      </c>
      <c r="GC98" s="0" t="n">
        <f aca="false">-$C$57*$B$59</f>
        <v>-2000</v>
      </c>
      <c r="GD98" s="0" t="n">
        <f aca="false">-$C$57*$B$59</f>
        <v>-2000</v>
      </c>
      <c r="GE98" s="0" t="n">
        <f aca="false">-$C$57*$B$59</f>
        <v>-2000</v>
      </c>
      <c r="GF98" s="0" t="n">
        <f aca="false">-$C$57*$B$59</f>
        <v>-2000</v>
      </c>
      <c r="GG98" s="0" t="n">
        <f aca="false">-$C$57*$B$59</f>
        <v>-2000</v>
      </c>
      <c r="GH98" s="0" t="n">
        <f aca="false">-$C$57*$B$59</f>
        <v>-2000</v>
      </c>
      <c r="GI98" s="0" t="n">
        <f aca="false">-$C$57*$B$59</f>
        <v>-2000</v>
      </c>
      <c r="GJ98" s="0" t="n">
        <f aca="false">-$C$57*$B$59</f>
        <v>-2000</v>
      </c>
      <c r="GK98" s="0" t="n">
        <f aca="false">-$C$57*$B$59</f>
        <v>-2000</v>
      </c>
      <c r="GL98" s="0" t="n">
        <f aca="false">-$C$57*$B$59</f>
        <v>-2000</v>
      </c>
      <c r="GM98" s="0" t="n">
        <f aca="false">-$C$57*$B$59</f>
        <v>-2000</v>
      </c>
      <c r="GN98" s="0" t="n">
        <f aca="false">-$C$57*$B$59</f>
        <v>-2000</v>
      </c>
      <c r="GO98" s="0" t="n">
        <f aca="false">-$C$57*$B$59</f>
        <v>-2000</v>
      </c>
      <c r="GP98" s="0" t="n">
        <f aca="false">-$C$57*$B$59</f>
        <v>-2000</v>
      </c>
      <c r="GQ98" s="0" t="n">
        <f aca="false">-$C$57*$B$59</f>
        <v>-2000</v>
      </c>
      <c r="GR98" s="0" t="n">
        <f aca="false">-$C$57*$B$59</f>
        <v>-2000</v>
      </c>
      <c r="GS98" s="0" t="n">
        <f aca="false">-$C$57*$B$59</f>
        <v>-2000</v>
      </c>
      <c r="GT98" s="0" t="n">
        <f aca="false">-$C$57*$B$59</f>
        <v>-2000</v>
      </c>
      <c r="GU98" s="0" t="n">
        <f aca="false">-$C$57*$B$59</f>
        <v>-2000</v>
      </c>
      <c r="GV98" s="0" t="n">
        <f aca="false">-$C$57*$B$59</f>
        <v>-2000</v>
      </c>
      <c r="GW98" s="0" t="n">
        <f aca="false">-$C$57*$B$59</f>
        <v>-2000</v>
      </c>
      <c r="GX98" s="0" t="n">
        <f aca="false">-$C$57*$B$59</f>
        <v>-2000</v>
      </c>
      <c r="GY98" s="0" t="n">
        <f aca="false">-$C$57*$B$59</f>
        <v>-2000</v>
      </c>
      <c r="GZ98" s="0" t="n">
        <f aca="false">-$C$57*$B$59</f>
        <v>-2000</v>
      </c>
      <c r="HA98" s="0" t="n">
        <f aca="false">-$C$57*$B$59</f>
        <v>-2000</v>
      </c>
      <c r="HB98" s="0" t="n">
        <f aca="false">-$C$57*$B$59</f>
        <v>-2000</v>
      </c>
      <c r="HC98" s="0" t="n">
        <f aca="false">-$C$57*$B$59</f>
        <v>-2000</v>
      </c>
      <c r="HD98" s="0" t="n">
        <f aca="false">-$C$57*$B$59</f>
        <v>-2000</v>
      </c>
      <c r="HE98" s="0" t="n">
        <f aca="false">-$C$57*$B$59</f>
        <v>-2000</v>
      </c>
      <c r="HF98" s="0" t="n">
        <f aca="false">-$C$57*$B$59</f>
        <v>-2000</v>
      </c>
      <c r="HG98" s="0" t="n">
        <f aca="false">-$C$57*$B$59</f>
        <v>-2000</v>
      </c>
      <c r="HH98" s="0" t="n">
        <f aca="false">-$C$57*$B$59</f>
        <v>-2000</v>
      </c>
      <c r="HI98" s="0" t="n">
        <f aca="false">-$C$57*$B$59</f>
        <v>-2000</v>
      </c>
      <c r="HJ98" s="0" t="n">
        <f aca="false">-$C$57*$B$59</f>
        <v>-2000</v>
      </c>
      <c r="HK98" s="0" t="n">
        <f aca="false">-$C$57*$B$59</f>
        <v>-2000</v>
      </c>
      <c r="HL98" s="0" t="n">
        <f aca="false">-$C$57*$B$59</f>
        <v>-2000</v>
      </c>
      <c r="HM98" s="0" t="n">
        <f aca="false">-$C$57*$B$59</f>
        <v>-2000</v>
      </c>
      <c r="HN98" s="0" t="n">
        <f aca="false">-$C$57*$B$59</f>
        <v>-2000</v>
      </c>
      <c r="HO98" s="0" t="n">
        <f aca="false">-$C$57*$B$59</f>
        <v>-2000</v>
      </c>
      <c r="HP98" s="0" t="n">
        <f aca="false">-$C$57*$B$59</f>
        <v>-2000</v>
      </c>
      <c r="HQ98" s="0" t="n">
        <f aca="false">-$C$57*$B$59</f>
        <v>-2000</v>
      </c>
      <c r="HR98" s="0" t="n">
        <f aca="false">-$C$57*$B$59</f>
        <v>-2000</v>
      </c>
      <c r="HS98" s="0" t="n">
        <f aca="false">-$C$57*$B$59</f>
        <v>-2000</v>
      </c>
      <c r="HT98" s="0" t="n">
        <f aca="false">-$C$57*$B$59</f>
        <v>-2000</v>
      </c>
      <c r="HU98" s="0" t="n">
        <f aca="false">-$C$57*$B$59</f>
        <v>-2000</v>
      </c>
      <c r="HV98" s="0" t="n">
        <f aca="false">-$C$57*$B$59</f>
        <v>-2000</v>
      </c>
      <c r="HW98" s="0" t="n">
        <f aca="false">-$C$57*$B$59</f>
        <v>-2000</v>
      </c>
      <c r="HX98" s="0" t="n">
        <f aca="false">-$C$57*$B$59</f>
        <v>-2000</v>
      </c>
      <c r="HY98" s="0" t="n">
        <f aca="false">-$C$57*$B$59</f>
        <v>-2000</v>
      </c>
      <c r="HZ98" s="0" t="n">
        <f aca="false">-$C$57*$B$59</f>
        <v>-2000</v>
      </c>
      <c r="IA98" s="0" t="n">
        <f aca="false">-$C$57*$B$59</f>
        <v>-2000</v>
      </c>
      <c r="IB98" s="0" t="n">
        <f aca="false">-$C$57*$B$59</f>
        <v>-2000</v>
      </c>
      <c r="IC98" s="0" t="n">
        <f aca="false">-$C$57*$B$59</f>
        <v>-2000</v>
      </c>
      <c r="ID98" s="0" t="n">
        <f aca="false">-$C$57*$B$59</f>
        <v>-2000</v>
      </c>
      <c r="IE98" s="0" t="n">
        <f aca="false">-$C$57*$B$59</f>
        <v>-2000</v>
      </c>
      <c r="IF98" s="0" t="n">
        <f aca="false">-$C$57*$B$59</f>
        <v>-2000</v>
      </c>
      <c r="IG98" s="0" t="n">
        <f aca="false">-$C$57*$B$59</f>
        <v>-2000</v>
      </c>
      <c r="IH98" s="0" t="n">
        <f aca="false">-$C$57*$B$59</f>
        <v>-2000</v>
      </c>
      <c r="II98" s="0" t="n">
        <f aca="false">-$C$57*$B$59</f>
        <v>-2000</v>
      </c>
      <c r="IJ98" s="0" t="n">
        <f aca="false">-$C$57*$B$59</f>
        <v>-2000</v>
      </c>
      <c r="IK98" s="0" t="n">
        <f aca="false">-$C$57*$B$59</f>
        <v>-2000</v>
      </c>
      <c r="IL98" s="0" t="n">
        <f aca="false">-$C$57*$B$59</f>
        <v>-2000</v>
      </c>
      <c r="IM98" s="0" t="n">
        <f aca="false">-$C$57*$B$59</f>
        <v>-2000</v>
      </c>
      <c r="IN98" s="0" t="n">
        <f aca="false">-$C$57*$B$59</f>
        <v>-2000</v>
      </c>
      <c r="IO98" s="0" t="n">
        <f aca="false">-$C$57*$B$59</f>
        <v>-2000</v>
      </c>
      <c r="IP98" s="0" t="n">
        <f aca="false">-$C$57*$B$59</f>
        <v>-2000</v>
      </c>
      <c r="IQ98" s="0" t="n">
        <f aca="false">-$C$57*$B$59</f>
        <v>-2000</v>
      </c>
      <c r="IR98" s="0" t="n">
        <f aca="false">-$C$57*$B$59</f>
        <v>-2000</v>
      </c>
      <c r="IS98" s="0" t="n">
        <f aca="false">-$C$57*$B$59</f>
        <v>-2000</v>
      </c>
      <c r="IT98" s="0" t="n">
        <f aca="false">-$C$57*$B$59</f>
        <v>-2000</v>
      </c>
      <c r="IU98" s="0" t="n">
        <f aca="false">-$C$57*$B$59</f>
        <v>-2000</v>
      </c>
      <c r="IV98" s="0" t="n">
        <f aca="false">-$C$57*$B$59</f>
        <v>-2000</v>
      </c>
      <c r="IW98" s="0" t="n">
        <f aca="false">-$C$57*$B$59</f>
        <v>-2000</v>
      </c>
      <c r="IX98" s="0" t="n">
        <f aca="false">-$C$57*$B$59</f>
        <v>-2000</v>
      </c>
      <c r="IY98" s="0" t="n">
        <f aca="false">-$C$57*$B$59</f>
        <v>-2000</v>
      </c>
      <c r="IZ98" s="0" t="n">
        <f aca="false">-$C$57*$B$59</f>
        <v>-2000</v>
      </c>
      <c r="JA98" s="0" t="n">
        <f aca="false">-$C$57*$B$59</f>
        <v>-2000</v>
      </c>
      <c r="JB98" s="0" t="n">
        <f aca="false">-$C$57*$B$59</f>
        <v>-2000</v>
      </c>
      <c r="JC98" s="0" t="n">
        <f aca="false">-$C$57*$B$59</f>
        <v>-2000</v>
      </c>
      <c r="JD98" s="0" t="n">
        <f aca="false">-$C$57*$B$59</f>
        <v>-2000</v>
      </c>
      <c r="JE98" s="0" t="n">
        <f aca="false">-$C$57*$B$59</f>
        <v>-2000</v>
      </c>
      <c r="JF98" s="0" t="n">
        <f aca="false">-$C$57*$B$59</f>
        <v>-2000</v>
      </c>
      <c r="JG98" s="0" t="n">
        <f aca="false">-$C$57*$B$59</f>
        <v>-2000</v>
      </c>
      <c r="JH98" s="0" t="n">
        <f aca="false">-$C$57*$B$59</f>
        <v>-2000</v>
      </c>
      <c r="JI98" s="0" t="n">
        <f aca="false">-$C$57*$B$59</f>
        <v>-2000</v>
      </c>
      <c r="JJ98" s="0" t="n">
        <f aca="false">-$C$57*$B$59</f>
        <v>-2000</v>
      </c>
      <c r="JK98" s="0" t="n">
        <f aca="false">-$C$57*$B$59</f>
        <v>-2000</v>
      </c>
      <c r="JL98" s="0" t="n">
        <f aca="false">-$C$57*$B$59</f>
        <v>-2000</v>
      </c>
      <c r="JM98" s="0" t="n">
        <f aca="false">-$C$57*$B$59</f>
        <v>-2000</v>
      </c>
      <c r="JN98" s="0" t="n">
        <f aca="false">-$C$57*$B$59</f>
        <v>-2000</v>
      </c>
      <c r="JO98" s="0" t="n">
        <f aca="false">-$C$57*$B$59</f>
        <v>-2000</v>
      </c>
      <c r="JP98" s="0" t="n">
        <f aca="false">-$C$57*$B$59</f>
        <v>-2000</v>
      </c>
      <c r="JQ98" s="0" t="n">
        <f aca="false">-$C$57*$B$59</f>
        <v>-2000</v>
      </c>
      <c r="JR98" s="0" t="n">
        <f aca="false">-$C$57*$B$59</f>
        <v>-2000</v>
      </c>
      <c r="JS98" s="0" t="n">
        <f aca="false">-$C$57*$B$59</f>
        <v>-2000</v>
      </c>
      <c r="JT98" s="0" t="n">
        <f aca="false">-$C$57*$B$59</f>
        <v>-2000</v>
      </c>
      <c r="JU98" s="0" t="n">
        <f aca="false">-$C$57*$B$59</f>
        <v>-2000</v>
      </c>
      <c r="JV98" s="0" t="n">
        <f aca="false">-$C$57*$B$59</f>
        <v>-2000</v>
      </c>
      <c r="JW98" s="0" t="n">
        <f aca="false">-$C$57*$B$59</f>
        <v>-2000</v>
      </c>
      <c r="JX98" s="0" t="n">
        <f aca="false">-$C$57*$B$59</f>
        <v>-2000</v>
      </c>
      <c r="JY98" s="0" t="n">
        <f aca="false">-$C$57*$B$59</f>
        <v>-2000</v>
      </c>
      <c r="JZ98" s="0" t="n">
        <f aca="false">-$C$57*$B$59</f>
        <v>-2000</v>
      </c>
      <c r="KA98" s="0" t="n">
        <f aca="false">-$C$57*$B$59</f>
        <v>-2000</v>
      </c>
      <c r="KB98" s="0" t="n">
        <f aca="false">-$C$57*$B$59</f>
        <v>-2000</v>
      </c>
      <c r="KC98" s="0" t="n">
        <f aca="false">-$C$57*$B$59</f>
        <v>-2000</v>
      </c>
      <c r="KD98" s="0" t="n">
        <f aca="false">-$C$57*$B$59</f>
        <v>-2000</v>
      </c>
      <c r="KE98" s="0" t="n">
        <f aca="false">-$C$57*$B$59</f>
        <v>-2000</v>
      </c>
      <c r="KF98" s="0" t="n">
        <f aca="false">-$C$57*$B$59</f>
        <v>-2000</v>
      </c>
      <c r="KG98" s="0" t="n">
        <f aca="false">-$C$57*$B$59</f>
        <v>-2000</v>
      </c>
      <c r="KH98" s="0" t="n">
        <f aca="false">-$C$57*$B$59</f>
        <v>-2000</v>
      </c>
      <c r="KI98" s="0" t="n">
        <f aca="false">-$C$57*$B$59</f>
        <v>-2000</v>
      </c>
      <c r="KJ98" s="0" t="n">
        <f aca="false">-$C$57*$B$59</f>
        <v>-2000</v>
      </c>
      <c r="KK98" s="0" t="n">
        <f aca="false">-$C$57*$B$59</f>
        <v>-2000</v>
      </c>
      <c r="KL98" s="0" t="n">
        <f aca="false">-$C$57*$B$59</f>
        <v>-2000</v>
      </c>
      <c r="KM98" s="0" t="n">
        <f aca="false">-$C$57*$B$59</f>
        <v>-2000</v>
      </c>
      <c r="KN98" s="0" t="n">
        <f aca="false">-$C$57*$B$59</f>
        <v>-2000</v>
      </c>
      <c r="KO98" s="0" t="n">
        <f aca="false">-$C$57*$B$59</f>
        <v>-2000</v>
      </c>
      <c r="KP98" s="0" t="n">
        <f aca="false">-$C$57*$B$59</f>
        <v>-2000</v>
      </c>
      <c r="KQ98" s="0" t="n">
        <f aca="false">-$C$57*$B$59</f>
        <v>-2000</v>
      </c>
      <c r="KR98" s="0" t="n">
        <f aca="false">-$C$57*$B$59</f>
        <v>-2000</v>
      </c>
      <c r="KS98" s="0" t="n">
        <f aca="false">-$C$57*$B$59</f>
        <v>-2000</v>
      </c>
      <c r="KT98" s="0" t="n">
        <f aca="false">-$C$57*$B$59</f>
        <v>-2000</v>
      </c>
      <c r="KU98" s="0" t="n">
        <f aca="false">-$C$57*$B$59</f>
        <v>-2000</v>
      </c>
      <c r="KV98" s="0" t="n">
        <f aca="false">-$C$57*$B$59</f>
        <v>-2000</v>
      </c>
      <c r="KW98" s="0" t="n">
        <f aca="false">-$C$57*$B$59</f>
        <v>-2000</v>
      </c>
      <c r="KX98" s="0" t="n">
        <f aca="false">-$C$57*$B$59</f>
        <v>-2000</v>
      </c>
      <c r="KY98" s="0" t="n">
        <f aca="false">-$C$57*$B$59</f>
        <v>-2000</v>
      </c>
      <c r="KZ98" s="0" t="n">
        <f aca="false">-$C$57*$B$59</f>
        <v>-2000</v>
      </c>
      <c r="LA98" s="0" t="n">
        <f aca="false">-$C$57*$B$59</f>
        <v>-2000</v>
      </c>
      <c r="LB98" s="0" t="n">
        <f aca="false">-$C$57*$B$59</f>
        <v>-2000</v>
      </c>
      <c r="LC98" s="0" t="n">
        <f aca="false">-$C$57*$B$59</f>
        <v>-2000</v>
      </c>
      <c r="LD98" s="0" t="n">
        <f aca="false">-$C$57*$B$59</f>
        <v>-2000</v>
      </c>
      <c r="LE98" s="0" t="n">
        <f aca="false">-$C$57*$B$59</f>
        <v>-2000</v>
      </c>
      <c r="LF98" s="0" t="n">
        <f aca="false">-$C$57*$B$59</f>
        <v>-2000</v>
      </c>
      <c r="LG98" s="0" t="n">
        <f aca="false">-$C$57*$B$59</f>
        <v>-2000</v>
      </c>
      <c r="LH98" s="0" t="n">
        <f aca="false">-$C$57*$B$59</f>
        <v>-2000</v>
      </c>
      <c r="LI98" s="0" t="n">
        <f aca="false">-$C$57*$B$59</f>
        <v>-2000</v>
      </c>
      <c r="LJ98" s="0" t="n">
        <f aca="false">-$C$57*$B$59</f>
        <v>-2000</v>
      </c>
      <c r="LK98" s="0" t="n">
        <f aca="false">-$C$57*$B$59</f>
        <v>-2000</v>
      </c>
      <c r="LL98" s="0" t="n">
        <f aca="false">-$C$57*$B$59</f>
        <v>-2000</v>
      </c>
      <c r="LM98" s="0" t="n">
        <f aca="false">-$C$57*$B$59</f>
        <v>-2000</v>
      </c>
      <c r="LN98" s="0" t="n">
        <f aca="false">-$C$57*$B$59</f>
        <v>-2000</v>
      </c>
      <c r="LO98" s="0" t="n">
        <f aca="false">-$C$57*$B$59</f>
        <v>-2000</v>
      </c>
      <c r="LP98" s="0" t="n">
        <f aca="false">-$C$57*$B$59</f>
        <v>-2000</v>
      </c>
      <c r="LQ98" s="0" t="n">
        <f aca="false">-$C$57*$B$59</f>
        <v>-2000</v>
      </c>
      <c r="LR98" s="0" t="n">
        <f aca="false">-$C$57*$B$59</f>
        <v>-2000</v>
      </c>
      <c r="LS98" s="0" t="n">
        <f aca="false">-$C$57*$B$59</f>
        <v>-2000</v>
      </c>
      <c r="LT98" s="0" t="n">
        <f aca="false">-$C$57*$B$59</f>
        <v>-2000</v>
      </c>
      <c r="LU98" s="0" t="n">
        <f aca="false">-$C$57*$B$59</f>
        <v>-2000</v>
      </c>
      <c r="LV98" s="0" t="n">
        <f aca="false">-$C$57*$B$59</f>
        <v>-2000</v>
      </c>
      <c r="LW98" s="0" t="n">
        <f aca="false">-$C$57*$B$59</f>
        <v>-2000</v>
      </c>
      <c r="LX98" s="0" t="n">
        <f aca="false">-$C$57*$B$59</f>
        <v>-2000</v>
      </c>
      <c r="LY98" s="0" t="n">
        <f aca="false">-$C$57*$B$59</f>
        <v>-2000</v>
      </c>
      <c r="LZ98" s="0" t="n">
        <f aca="false">-$C$57*$B$59</f>
        <v>-2000</v>
      </c>
      <c r="MA98" s="0" t="n">
        <f aca="false">-$C$57*$B$59</f>
        <v>-2000</v>
      </c>
      <c r="MB98" s="0" t="n">
        <f aca="false">-$C$57*$B$59</f>
        <v>-2000</v>
      </c>
      <c r="MC98" s="0" t="n">
        <f aca="false">-$C$57*$B$59</f>
        <v>-2000</v>
      </c>
      <c r="MD98" s="0" t="n">
        <f aca="false">-$C$57*$B$59</f>
        <v>-2000</v>
      </c>
      <c r="ME98" s="0" t="n">
        <f aca="false">-$C$57*$B$59</f>
        <v>-2000</v>
      </c>
      <c r="MF98" s="0" t="n">
        <f aca="false">-$C$57*$B$59</f>
        <v>-2000</v>
      </c>
      <c r="MG98" s="0" t="n">
        <f aca="false">-$C$57*$B$59</f>
        <v>-2000</v>
      </c>
      <c r="MH98" s="0" t="n">
        <f aca="false">-$C$57*$B$59</f>
        <v>-2000</v>
      </c>
      <c r="MI98" s="0" t="n">
        <f aca="false">-$C$57*$B$59</f>
        <v>-2000</v>
      </c>
      <c r="MJ98" s="0" t="n">
        <f aca="false">-$C$57*$B$59</f>
        <v>-2000</v>
      </c>
      <c r="MK98" s="0" t="n">
        <f aca="false">-$C$57*$B$59</f>
        <v>-2000</v>
      </c>
      <c r="ML98" s="0" t="n">
        <f aca="false">-$C$57*$B$59</f>
        <v>-2000</v>
      </c>
      <c r="MM98" s="0" t="n">
        <f aca="false">-$C$57*$B$59</f>
        <v>-2000</v>
      </c>
      <c r="MN98" s="0" t="n">
        <f aca="false">-$C$57*$B$59</f>
        <v>-2000</v>
      </c>
      <c r="MO98" s="0" t="n">
        <f aca="false">-$C$57*$B$59</f>
        <v>-2000</v>
      </c>
      <c r="MP98" s="0" t="n">
        <f aca="false">-$C$57*$B$59</f>
        <v>-2000</v>
      </c>
      <c r="MQ98" s="0" t="n">
        <f aca="false">-$C$57*$B$59</f>
        <v>-2000</v>
      </c>
      <c r="MR98" s="0" t="n">
        <f aca="false">-$C$57*$B$59</f>
        <v>-2000</v>
      </c>
      <c r="MS98" s="0" t="n">
        <f aca="false">-$C$57*$B$59</f>
        <v>-2000</v>
      </c>
      <c r="MT98" s="0" t="n">
        <f aca="false">-$C$57*$B$59</f>
        <v>-2000</v>
      </c>
      <c r="MU98" s="0" t="n">
        <f aca="false">-$C$57*$B$59</f>
        <v>-2000</v>
      </c>
      <c r="MV98" s="0" t="n">
        <f aca="false">-$C$57*$B$59</f>
        <v>-2000</v>
      </c>
      <c r="MW98" s="0" t="n">
        <f aca="false">-$C$57*$B$59</f>
        <v>-2000</v>
      </c>
      <c r="MX98" s="0" t="n">
        <f aca="false">-$C$57*$B$59</f>
        <v>-2000</v>
      </c>
      <c r="MY98" s="0" t="n">
        <f aca="false">-$C$57*$B$59</f>
        <v>-2000</v>
      </c>
      <c r="MZ98" s="0" t="n">
        <f aca="false">-$C$57*$B$59</f>
        <v>-2000</v>
      </c>
      <c r="NA98" s="0" t="n">
        <f aca="false">-$C$57*$B$59</f>
        <v>-2000</v>
      </c>
      <c r="NB98" s="0" t="n">
        <f aca="false">-$C$57*$B$59</f>
        <v>-2000</v>
      </c>
      <c r="NC98" s="0" t="n">
        <f aca="false">-$C$57*$B$59</f>
        <v>-2000</v>
      </c>
      <c r="ND98" s="0" t="n">
        <f aca="false">-$C$57*$B$59</f>
        <v>-2000</v>
      </c>
      <c r="NE98" s="0" t="n">
        <f aca="false">-$C$57*$B$59</f>
        <v>-2000</v>
      </c>
      <c r="NF98" s="0" t="n">
        <f aca="false">-$C$57*$B$59</f>
        <v>-2000</v>
      </c>
      <c r="NG98" s="0" t="n">
        <f aca="false">-$C$57*$B$59</f>
        <v>-2000</v>
      </c>
      <c r="NH98" s="0" t="n">
        <f aca="false">-$C$57*$B$59</f>
        <v>-2000</v>
      </c>
      <c r="NI98" s="0" t="n">
        <f aca="false">-$C$57*$B$59</f>
        <v>-2000</v>
      </c>
      <c r="NJ98" s="0" t="n">
        <f aca="false">-$C$57*$B$59</f>
        <v>-2000</v>
      </c>
      <c r="NK98" s="0" t="n">
        <f aca="false">-$C$57*$B$59</f>
        <v>-2000</v>
      </c>
      <c r="NL98" s="0" t="n">
        <f aca="false">-$C$57*$B$59</f>
        <v>-2000</v>
      </c>
      <c r="NM98" s="0" t="n">
        <f aca="false">-$C$57*$B$59</f>
        <v>-2000</v>
      </c>
      <c r="NN98" s="0" t="n">
        <f aca="false">-$C$57*$B$59</f>
        <v>-2000</v>
      </c>
      <c r="NO98" s="0" t="n">
        <f aca="false">-$C$57*$B$59</f>
        <v>-2000</v>
      </c>
      <c r="NP98" s="0" t="n">
        <f aca="false">-$C$57*$B$59</f>
        <v>-2000</v>
      </c>
      <c r="NQ98" s="0" t="n">
        <f aca="false">-$C$57*$B$59</f>
        <v>-2000</v>
      </c>
      <c r="NR98" s="0" t="n">
        <f aca="false">-$C$57*$B$59</f>
        <v>-2000</v>
      </c>
      <c r="NS98" s="0" t="n">
        <f aca="false">-$C$57*$B$59</f>
        <v>-2000</v>
      </c>
      <c r="NT98" s="0" t="n">
        <f aca="false">-$C$57*$B$59</f>
        <v>-2000</v>
      </c>
      <c r="NU98" s="0" t="n">
        <f aca="false">-$C$57*$B$59</f>
        <v>-2000</v>
      </c>
      <c r="NV98" s="0" t="n">
        <f aca="false">-$C$57*$B$59</f>
        <v>-2000</v>
      </c>
      <c r="NW98" s="0" t="n">
        <f aca="false">-$C$57*$B$59</f>
        <v>-2000</v>
      </c>
      <c r="NX98" s="0" t="n">
        <f aca="false">-$C$57*$B$59</f>
        <v>-2000</v>
      </c>
      <c r="NY98" s="0" t="n">
        <f aca="false">-$C$57*$B$59</f>
        <v>-2000</v>
      </c>
      <c r="NZ98" s="0" t="n">
        <f aca="false">-$C$57*$B$59</f>
        <v>-2000</v>
      </c>
      <c r="OA98" s="0" t="n">
        <f aca="false">-$C$57*$B$59</f>
        <v>-2000</v>
      </c>
      <c r="OB98" s="0" t="n">
        <f aca="false">-$C$57*$B$59</f>
        <v>-2000</v>
      </c>
      <c r="OC98" s="0" t="n">
        <f aca="false">-$C$57*$B$59</f>
        <v>-2000</v>
      </c>
      <c r="OD98" s="0" t="n">
        <f aca="false">-$C$57*$B$59</f>
        <v>-2000</v>
      </c>
      <c r="OE98" s="0" t="n">
        <f aca="false">-$C$57*$B$59</f>
        <v>-2000</v>
      </c>
      <c r="OF98" s="0" t="n">
        <f aca="false">-$C$57*$B$59</f>
        <v>-2000</v>
      </c>
      <c r="OG98" s="0" t="n">
        <f aca="false">-$C$57*$B$59</f>
        <v>-2000</v>
      </c>
      <c r="OH98" s="0" t="n">
        <f aca="false">-$C$57*$B$59</f>
        <v>-2000</v>
      </c>
      <c r="OI98" s="0" t="n">
        <f aca="false">-$C$57*$B$59</f>
        <v>-2000</v>
      </c>
      <c r="OJ98" s="0" t="n">
        <f aca="false">-$C$57*$B$59</f>
        <v>-2000</v>
      </c>
      <c r="OK98" s="0" t="n">
        <f aca="false">-$C$57*$B$59</f>
        <v>-2000</v>
      </c>
      <c r="OL98" s="0" t="n">
        <f aca="false">-$C$57*$B$59</f>
        <v>-2000</v>
      </c>
      <c r="OM98" s="0" t="n">
        <f aca="false">-$C$57*$B$59</f>
        <v>-2000</v>
      </c>
      <c r="ON98" s="0" t="n">
        <f aca="false">-$C$57*$B$59</f>
        <v>-2000</v>
      </c>
      <c r="OO98" s="0" t="n">
        <f aca="false">-$C$57*$B$59</f>
        <v>-2000</v>
      </c>
      <c r="OP98" s="0" t="n">
        <f aca="false">-$C$57*$B$59</f>
        <v>-2000</v>
      </c>
      <c r="OQ98" s="0" t="n">
        <f aca="false">-$C$57*$B$59</f>
        <v>-2000</v>
      </c>
      <c r="OR98" s="0" t="n">
        <f aca="false">-$C$57*$B$59</f>
        <v>-2000</v>
      </c>
      <c r="OS98" s="0" t="n">
        <f aca="false">-$C$57*$B$59</f>
        <v>-2000</v>
      </c>
      <c r="OT98" s="0" t="n">
        <f aca="false">-$C$57*$B$59</f>
        <v>-2000</v>
      </c>
      <c r="OU98" s="0" t="n">
        <f aca="false">-$C$57*$B$59</f>
        <v>-2000</v>
      </c>
      <c r="OV98" s="0" t="n">
        <f aca="false">-$C$57*$B$59</f>
        <v>-2000</v>
      </c>
      <c r="OW98" s="0" t="n">
        <f aca="false">-$C$57*$B$59</f>
        <v>-2000</v>
      </c>
      <c r="OX98" s="0" t="n">
        <f aca="false">-$C$57*$B$59</f>
        <v>-2000</v>
      </c>
      <c r="OY98" s="0" t="n">
        <f aca="false">-$C$57*$B$59</f>
        <v>-2000</v>
      </c>
      <c r="OZ98" s="0" t="n">
        <f aca="false">-$C$57*$B$59</f>
        <v>-2000</v>
      </c>
      <c r="PA98" s="0" t="n">
        <f aca="false">-$C$57*$B$59</f>
        <v>-2000</v>
      </c>
      <c r="PB98" s="0" t="n">
        <f aca="false">-$C$57*$B$59</f>
        <v>-2000</v>
      </c>
      <c r="PC98" s="0" t="n">
        <f aca="false">-$C$57*$B$59</f>
        <v>-2000</v>
      </c>
      <c r="PD98" s="0" t="n">
        <f aca="false">-$C$57*$B$59</f>
        <v>-2000</v>
      </c>
      <c r="PE98" s="0" t="n">
        <f aca="false">-$C$57*$B$59</f>
        <v>-2000</v>
      </c>
      <c r="PF98" s="0" t="n">
        <f aca="false">-$C$57*$B$59</f>
        <v>-2000</v>
      </c>
      <c r="PG98" s="0" t="n">
        <f aca="false">-$C$57*$B$59</f>
        <v>-2000</v>
      </c>
      <c r="PH98" s="0" t="n">
        <f aca="false">-$C$57*$B$59</f>
        <v>-2000</v>
      </c>
      <c r="PI98" s="0" t="n">
        <f aca="false">-$C$57*$B$59</f>
        <v>-2000</v>
      </c>
      <c r="PJ98" s="0" t="n">
        <f aca="false">-$C$57*$B$59</f>
        <v>-2000</v>
      </c>
      <c r="PK98" s="0" t="n">
        <f aca="false">-$C$57*$B$59</f>
        <v>-2000</v>
      </c>
      <c r="PL98" s="0" t="n">
        <f aca="false">-$C$57*$B$59</f>
        <v>-2000</v>
      </c>
      <c r="PM98" s="0" t="n">
        <f aca="false">-$C$57*$B$59</f>
        <v>-2000</v>
      </c>
      <c r="PN98" s="0" t="n">
        <f aca="false">-$C$57*$B$59</f>
        <v>-2000</v>
      </c>
      <c r="PO98" s="0" t="n">
        <f aca="false">-$C$57*$B$59</f>
        <v>-2000</v>
      </c>
      <c r="PP98" s="0" t="n">
        <f aca="false">-$C$57*$B$59</f>
        <v>-2000</v>
      </c>
      <c r="PQ98" s="0" t="n">
        <f aca="false">-$C$57*$B$59</f>
        <v>-2000</v>
      </c>
      <c r="PR98" s="0" t="n">
        <f aca="false">-$C$57*$B$59</f>
        <v>-2000</v>
      </c>
      <c r="PS98" s="0" t="n">
        <f aca="false">-$C$57*$B$59</f>
        <v>-2000</v>
      </c>
      <c r="PT98" s="0" t="n">
        <f aca="false">-$C$57*$B$59</f>
        <v>-2000</v>
      </c>
      <c r="PU98" s="0" t="n">
        <f aca="false">-$C$57*$B$59</f>
        <v>-2000</v>
      </c>
      <c r="PV98" s="0" t="n">
        <f aca="false">-$C$57*$B$59</f>
        <v>-2000</v>
      </c>
      <c r="PW98" s="0" t="n">
        <f aca="false">-$C$57*$B$59</f>
        <v>-2000</v>
      </c>
      <c r="PX98" s="0" t="n">
        <f aca="false">-$C$57*$B$59</f>
        <v>-2000</v>
      </c>
      <c r="PY98" s="0" t="n">
        <f aca="false">-$C$57*$B$59</f>
        <v>-2000</v>
      </c>
      <c r="PZ98" s="0" t="n">
        <f aca="false">-$C$57*$B$59</f>
        <v>-2000</v>
      </c>
      <c r="QA98" s="0" t="n">
        <f aca="false">-$C$57*$B$59</f>
        <v>-2000</v>
      </c>
      <c r="QB98" s="0" t="n">
        <f aca="false">-$C$57*$B$59</f>
        <v>-2000</v>
      </c>
      <c r="QC98" s="0" t="n">
        <f aca="false">-$C$57*$B$59</f>
        <v>-2000</v>
      </c>
      <c r="QD98" s="0" t="n">
        <f aca="false">-$C$57*$B$59</f>
        <v>-2000</v>
      </c>
      <c r="QE98" s="0" t="n">
        <f aca="false">-$C$57*$B$59</f>
        <v>-2000</v>
      </c>
      <c r="QF98" s="0" t="n">
        <f aca="false">-$C$57*$B$59</f>
        <v>-2000</v>
      </c>
      <c r="QG98" s="0" t="n">
        <f aca="false">-$C$57*$B$59</f>
        <v>-2000</v>
      </c>
      <c r="QH98" s="0" t="n">
        <f aca="false">-$C$57*$B$59</f>
        <v>-2000</v>
      </c>
      <c r="QI98" s="0" t="n">
        <f aca="false">-$C$57*$B$59</f>
        <v>-2000</v>
      </c>
      <c r="QJ98" s="0" t="n">
        <f aca="false">-$C$57*$B$59</f>
        <v>-2000</v>
      </c>
      <c r="QK98" s="0" t="n">
        <f aca="false">-$C$57*$B$59</f>
        <v>-2000</v>
      </c>
      <c r="QL98" s="0" t="n">
        <f aca="false">-$C$57*$B$59</f>
        <v>-2000</v>
      </c>
      <c r="QM98" s="0" t="n">
        <f aca="false">-$C$57*$B$59</f>
        <v>-2000</v>
      </c>
      <c r="QN98" s="0" t="n">
        <f aca="false">-$C$57*$B$59</f>
        <v>-2000</v>
      </c>
      <c r="QO98" s="0" t="n">
        <f aca="false">-$C$57*$B$59</f>
        <v>-2000</v>
      </c>
      <c r="QP98" s="0" t="n">
        <f aca="false">-$C$57*$B$59</f>
        <v>-2000</v>
      </c>
      <c r="QQ98" s="0" t="n">
        <f aca="false">-$C$57*$B$59</f>
        <v>-2000</v>
      </c>
      <c r="QR98" s="0" t="n">
        <f aca="false">-$C$57*$B$59</f>
        <v>-2000</v>
      </c>
      <c r="QS98" s="0" t="n">
        <f aca="false">-$C$57*$B$59</f>
        <v>-2000</v>
      </c>
      <c r="QT98" s="0" t="n">
        <f aca="false">-$C$57*$B$59</f>
        <v>-2000</v>
      </c>
      <c r="QU98" s="0" t="n">
        <f aca="false">-$C$57*$B$59</f>
        <v>-2000</v>
      </c>
      <c r="QV98" s="0" t="n">
        <f aca="false">-$C$57*$B$59</f>
        <v>-2000</v>
      </c>
      <c r="QW98" s="0" t="n">
        <f aca="false">-$C$57*$B$59</f>
        <v>-2000</v>
      </c>
      <c r="QX98" s="0" t="n">
        <f aca="false">-$C$57*$B$59</f>
        <v>-2000</v>
      </c>
      <c r="QY98" s="0" t="n">
        <f aca="false">-$C$57*$B$59</f>
        <v>-2000</v>
      </c>
      <c r="QZ98" s="0" t="n">
        <f aca="false">-$C$57*$B$59</f>
        <v>-2000</v>
      </c>
      <c r="RA98" s="0" t="n">
        <f aca="false">-$C$57*$B$59</f>
        <v>-2000</v>
      </c>
      <c r="RB98" s="0" t="n">
        <f aca="false">-$C$57*$B$59</f>
        <v>-2000</v>
      </c>
      <c r="RC98" s="0" t="n">
        <f aca="false">-$C$57*$B$59</f>
        <v>-2000</v>
      </c>
      <c r="RD98" s="0" t="n">
        <f aca="false">-$C$57*$B$59</f>
        <v>-2000</v>
      </c>
      <c r="RE98" s="0" t="n">
        <f aca="false">-$C$57*$B$59</f>
        <v>-2000</v>
      </c>
      <c r="RF98" s="0" t="n">
        <f aca="false">-$C$57*$B$59</f>
        <v>-2000</v>
      </c>
      <c r="RG98" s="0" t="n">
        <f aca="false">-$C$57*$B$59</f>
        <v>-2000</v>
      </c>
      <c r="RH98" s="0" t="n">
        <f aca="false">-$C$57*$B$59</f>
        <v>-2000</v>
      </c>
      <c r="RI98" s="0" t="n">
        <f aca="false">-$C$57*$B$59</f>
        <v>-2000</v>
      </c>
      <c r="RJ98" s="0" t="n">
        <f aca="false">-$C$57*$B$59</f>
        <v>-2000</v>
      </c>
      <c r="RK98" s="0" t="n">
        <f aca="false">-$C$57*$B$59</f>
        <v>-2000</v>
      </c>
      <c r="RL98" s="0" t="n">
        <f aca="false">-$C$57*$B$59</f>
        <v>-2000</v>
      </c>
      <c r="RM98" s="0" t="n">
        <f aca="false">-$C$57*$B$59</f>
        <v>-2000</v>
      </c>
      <c r="RN98" s="0" t="n">
        <f aca="false">-$C$57*$B$59</f>
        <v>-2000</v>
      </c>
      <c r="RO98" s="0" t="n">
        <f aca="false">-$C$57*$B$59</f>
        <v>-2000</v>
      </c>
      <c r="RP98" s="0" t="n">
        <f aca="false">-$C$57*$B$59</f>
        <v>-2000</v>
      </c>
      <c r="RQ98" s="0" t="n">
        <f aca="false">-$C$57*$B$59</f>
        <v>-2000</v>
      </c>
      <c r="RR98" s="0" t="n">
        <f aca="false">-$C$57*$B$59</f>
        <v>-2000</v>
      </c>
      <c r="RS98" s="0" t="n">
        <f aca="false">-$C$57*$B$59</f>
        <v>-2000</v>
      </c>
      <c r="RT98" s="0" t="n">
        <f aca="false">-$C$57*$B$59</f>
        <v>-2000</v>
      </c>
      <c r="RU98" s="0" t="n">
        <f aca="false">-$C$57*$B$59</f>
        <v>-2000</v>
      </c>
      <c r="RV98" s="0" t="n">
        <f aca="false">-$C$57*$B$59</f>
        <v>-2000</v>
      </c>
      <c r="RW98" s="0" t="n">
        <f aca="false">-$C$57*$B$59</f>
        <v>-2000</v>
      </c>
      <c r="RX98" s="0" t="n">
        <f aca="false">-$C$57*$B$59</f>
        <v>-2000</v>
      </c>
      <c r="RY98" s="0" t="n">
        <f aca="false">-$C$57*$B$59</f>
        <v>-2000</v>
      </c>
      <c r="RZ98" s="0" t="n">
        <f aca="false">-$C$57*$B$59</f>
        <v>-2000</v>
      </c>
      <c r="SA98" s="0" t="n">
        <f aca="false">-$C$57*$B$59</f>
        <v>-2000</v>
      </c>
      <c r="SB98" s="0" t="n">
        <f aca="false">-$C$57*$B$59</f>
        <v>-2000</v>
      </c>
      <c r="SC98" s="0" t="n">
        <f aca="false">-$C$57*$B$59</f>
        <v>-2000</v>
      </c>
      <c r="SD98" s="0" t="n">
        <f aca="false">-$C$57*$B$59</f>
        <v>-2000</v>
      </c>
      <c r="SE98" s="0" t="n">
        <f aca="false">-$C$57*$B$59</f>
        <v>-2000</v>
      </c>
      <c r="SF98" s="0" t="n">
        <f aca="false">-$C$57*$B$59</f>
        <v>-2000</v>
      </c>
      <c r="SG98" s="0" t="n">
        <f aca="false">-$C$57*$B$59</f>
        <v>-2000</v>
      </c>
      <c r="SH98" s="0" t="n">
        <f aca="false">-$C$57*$B$59</f>
        <v>-2000</v>
      </c>
      <c r="SI98" s="0" t="n">
        <f aca="false">-$C$57*$B$59</f>
        <v>-2000</v>
      </c>
      <c r="SJ98" s="0" t="n">
        <f aca="false">-$C$57*$B$59</f>
        <v>-2000</v>
      </c>
      <c r="SK98" s="0" t="n">
        <f aca="false">-$C$57*$B$59</f>
        <v>-2000</v>
      </c>
      <c r="SL98" s="0" t="n">
        <f aca="false">-$C$57*$B$59</f>
        <v>-2000</v>
      </c>
      <c r="SM98" s="0" t="n">
        <f aca="false">-$C$57*$B$59</f>
        <v>-2000</v>
      </c>
      <c r="SN98" s="0" t="n">
        <f aca="false">-$C$57*$B$59</f>
        <v>-2000</v>
      </c>
      <c r="SO98" s="0" t="n">
        <f aca="false">-$C$57*$B$59</f>
        <v>-2000</v>
      </c>
      <c r="SP98" s="0" t="n">
        <f aca="false">-$C$57*$B$59</f>
        <v>-2000</v>
      </c>
      <c r="SQ98" s="0" t="n">
        <f aca="false">-$C$57*$B$59</f>
        <v>-2000</v>
      </c>
      <c r="SR98" s="0" t="n">
        <f aca="false">-$C$57*$B$59</f>
        <v>-2000</v>
      </c>
      <c r="SS98" s="0" t="n">
        <f aca="false">-$C$57*$B$59</f>
        <v>-2000</v>
      </c>
      <c r="ST98" s="0" t="n">
        <f aca="false">-$C$57*$B$59</f>
        <v>-2000</v>
      </c>
      <c r="SU98" s="0" t="n">
        <f aca="false">-$C$57*$B$59</f>
        <v>-2000</v>
      </c>
      <c r="SV98" s="0" t="n">
        <f aca="false">-$C$57*$B$59</f>
        <v>-2000</v>
      </c>
      <c r="SW98" s="0" t="n">
        <f aca="false">-$C$57*$B$59</f>
        <v>-2000</v>
      </c>
      <c r="SX98" s="0" t="n">
        <f aca="false">-$C$57*$B$59</f>
        <v>-2000</v>
      </c>
      <c r="SY98" s="0" t="n">
        <f aca="false">-$C$57*$B$59</f>
        <v>-2000</v>
      </c>
      <c r="SZ98" s="0" t="n">
        <f aca="false">-$C$57*$B$59</f>
        <v>-2000</v>
      </c>
      <c r="TA98" s="0" t="n">
        <f aca="false">-$C$57*$B$59</f>
        <v>-2000</v>
      </c>
      <c r="TB98" s="0" t="n">
        <f aca="false">-$C$57*$B$59</f>
        <v>-2000</v>
      </c>
      <c r="TC98" s="0" t="n">
        <f aca="false">-$C$57*$B$59</f>
        <v>-2000</v>
      </c>
      <c r="TD98" s="0" t="n">
        <f aca="false">-$C$57*$B$59</f>
        <v>-2000</v>
      </c>
      <c r="TE98" s="0" t="n">
        <f aca="false">-$C$57*$B$59</f>
        <v>-2000</v>
      </c>
      <c r="TF98" s="0" t="n">
        <f aca="false">-$C$57*$B$59</f>
        <v>-2000</v>
      </c>
      <c r="TG98" s="0" t="n">
        <f aca="false">-$C$57*$B$59</f>
        <v>-2000</v>
      </c>
      <c r="TH98" s="0" t="n">
        <f aca="false">-$C$57*$B$59</f>
        <v>-2000</v>
      </c>
      <c r="TI98" s="0" t="n">
        <f aca="false">-$C$57*$B$59</f>
        <v>-2000</v>
      </c>
      <c r="TJ98" s="0" t="n">
        <f aca="false">-$C$57*$B$59</f>
        <v>-2000</v>
      </c>
      <c r="TK98" s="0" t="n">
        <f aca="false">-$C$57*$B$59</f>
        <v>-2000</v>
      </c>
      <c r="TL98" s="0" t="n">
        <f aca="false">-$C$57*$B$59</f>
        <v>-2000</v>
      </c>
      <c r="TM98" s="0" t="n">
        <f aca="false">-$C$57*$B$59</f>
        <v>-2000</v>
      </c>
      <c r="TN98" s="0" t="n">
        <f aca="false">-$C$57*$B$59</f>
        <v>-2000</v>
      </c>
      <c r="TO98" s="0" t="n">
        <f aca="false">-$C$57*$B$59</f>
        <v>-2000</v>
      </c>
      <c r="TP98" s="0" t="n">
        <f aca="false">-$C$57*$B$59</f>
        <v>-2000</v>
      </c>
      <c r="TQ98" s="0" t="n">
        <f aca="false">-$C$57*$B$59</f>
        <v>-2000</v>
      </c>
      <c r="TR98" s="0" t="n">
        <f aca="false">-$C$57*$B$59</f>
        <v>-2000</v>
      </c>
      <c r="TS98" s="0" t="n">
        <f aca="false">-$C$57*$B$59</f>
        <v>-2000</v>
      </c>
      <c r="TT98" s="0" t="n">
        <f aca="false">-$C$57*$B$59</f>
        <v>-2000</v>
      </c>
      <c r="TU98" s="0" t="n">
        <f aca="false">-$C$57*$B$59</f>
        <v>-2000</v>
      </c>
      <c r="TV98" s="0" t="n">
        <f aca="false">-$C$57*$B$59</f>
        <v>-2000</v>
      </c>
      <c r="TW98" s="0" t="n">
        <f aca="false">-$C$57*$B$59</f>
        <v>-2000</v>
      </c>
      <c r="TX98" s="0" t="n">
        <f aca="false">-$C$57*$B$59</f>
        <v>-2000</v>
      </c>
      <c r="TY98" s="0" t="n">
        <f aca="false">-$C$57*$B$59</f>
        <v>-2000</v>
      </c>
      <c r="TZ98" s="0" t="n">
        <f aca="false">-$C$57*$B$59</f>
        <v>-2000</v>
      </c>
      <c r="UA98" s="0" t="n">
        <f aca="false">-$C$57*$B$59</f>
        <v>-2000</v>
      </c>
      <c r="UB98" s="0" t="n">
        <f aca="false">-$C$57*$B$59</f>
        <v>-2000</v>
      </c>
      <c r="UC98" s="0" t="n">
        <f aca="false">-$C$57*$B$59</f>
        <v>-2000</v>
      </c>
      <c r="UD98" s="0" t="n">
        <f aca="false">-$C$57*$B$59</f>
        <v>-2000</v>
      </c>
      <c r="UE98" s="0" t="n">
        <f aca="false">-$C$57*$B$59</f>
        <v>-2000</v>
      </c>
      <c r="UF98" s="0" t="n">
        <f aca="false">-$C$57*$B$59</f>
        <v>-2000</v>
      </c>
      <c r="UG98" s="0" t="n">
        <f aca="false">-$C$57*$B$59</f>
        <v>-2000</v>
      </c>
      <c r="UH98" s="0" t="n">
        <f aca="false">-$C$57*$B$59</f>
        <v>-2000</v>
      </c>
      <c r="UI98" s="0" t="n">
        <f aca="false">-$C$57*$B$59</f>
        <v>-2000</v>
      </c>
      <c r="UJ98" s="0" t="n">
        <f aca="false">-$C$57*$B$59</f>
        <v>-2000</v>
      </c>
      <c r="UK98" s="0" t="n">
        <f aca="false">-$C$57*$B$59</f>
        <v>-2000</v>
      </c>
      <c r="UL98" s="0" t="n">
        <f aca="false">-$C$57*$B$59</f>
        <v>-2000</v>
      </c>
      <c r="UM98" s="0" t="n">
        <f aca="false">-$C$57*$B$59</f>
        <v>-2000</v>
      </c>
      <c r="UN98" s="0" t="n">
        <f aca="false">-$C$57*$B$59</f>
        <v>-2000</v>
      </c>
      <c r="UO98" s="0" t="n">
        <f aca="false">-$C$57*$B$59</f>
        <v>-2000</v>
      </c>
      <c r="UP98" s="0" t="n">
        <f aca="false">-$C$57*$B$59</f>
        <v>-2000</v>
      </c>
      <c r="UQ98" s="0" t="n">
        <f aca="false">-$C$57*$B$59</f>
        <v>-2000</v>
      </c>
      <c r="UR98" s="0" t="n">
        <f aca="false">-$C$57*$B$59</f>
        <v>-2000</v>
      </c>
      <c r="US98" s="0" t="n">
        <f aca="false">-$C$57*$B$59</f>
        <v>-2000</v>
      </c>
      <c r="UT98" s="0" t="n">
        <f aca="false">-$C$57*$B$59</f>
        <v>-2000</v>
      </c>
      <c r="UU98" s="0" t="n">
        <f aca="false">-$C$57*$B$59</f>
        <v>-2000</v>
      </c>
      <c r="UV98" s="0" t="n">
        <f aca="false">-$C$57*$B$59</f>
        <v>-2000</v>
      </c>
      <c r="UW98" s="0" t="n">
        <f aca="false">-$C$57*$B$59</f>
        <v>-2000</v>
      </c>
      <c r="UX98" s="0" t="n">
        <f aca="false">-$C$57*$B$59</f>
        <v>-2000</v>
      </c>
      <c r="UY98" s="0" t="n">
        <f aca="false">-$C$57*$B$59</f>
        <v>-2000</v>
      </c>
      <c r="UZ98" s="0" t="n">
        <f aca="false">-$C$57*$B$59</f>
        <v>-2000</v>
      </c>
      <c r="VA98" s="0" t="n">
        <f aca="false">-$C$57*$B$59</f>
        <v>-2000</v>
      </c>
      <c r="VB98" s="0" t="n">
        <f aca="false">-$C$57*$B$59</f>
        <v>-2000</v>
      </c>
      <c r="VC98" s="0" t="n">
        <f aca="false">-$C$57*$B$59</f>
        <v>-2000</v>
      </c>
      <c r="VD98" s="0" t="n">
        <f aca="false">-$C$57*$B$59</f>
        <v>-2000</v>
      </c>
      <c r="VE98" s="0" t="n">
        <f aca="false">-$C$57*$B$59</f>
        <v>-2000</v>
      </c>
      <c r="VF98" s="0" t="n">
        <f aca="false">-$C$57*$B$59</f>
        <v>-2000</v>
      </c>
      <c r="VG98" s="0" t="n">
        <f aca="false">-$C$57*$B$59</f>
        <v>-2000</v>
      </c>
      <c r="VH98" s="0" t="n">
        <f aca="false">-$C$57*$B$59</f>
        <v>-2000</v>
      </c>
      <c r="VI98" s="0" t="n">
        <f aca="false">-$C$57*$B$59</f>
        <v>-2000</v>
      </c>
      <c r="VJ98" s="0" t="n">
        <f aca="false">-$C$57*$B$59</f>
        <v>-2000</v>
      </c>
      <c r="VK98" s="0" t="n">
        <f aca="false">-$C$57*$B$59</f>
        <v>-2000</v>
      </c>
      <c r="VL98" s="0" t="n">
        <f aca="false">-$C$57*$B$59</f>
        <v>-2000</v>
      </c>
      <c r="VM98" s="0" t="n">
        <f aca="false">-$C$57*$B$59</f>
        <v>-2000</v>
      </c>
      <c r="VN98" s="0" t="n">
        <f aca="false">-$C$57*$B$59</f>
        <v>-2000</v>
      </c>
      <c r="VO98" s="0" t="n">
        <f aca="false">-$C$57*$B$59</f>
        <v>-2000</v>
      </c>
      <c r="VP98" s="0" t="n">
        <f aca="false">-$C$57*$B$59</f>
        <v>-2000</v>
      </c>
      <c r="VQ98" s="0" t="n">
        <f aca="false">-$C$57*$B$59</f>
        <v>-2000</v>
      </c>
      <c r="VR98" s="0" t="n">
        <f aca="false">-$C$57*$B$59</f>
        <v>-2000</v>
      </c>
      <c r="VS98" s="0" t="n">
        <f aca="false">-$C$57*$B$59</f>
        <v>-2000</v>
      </c>
      <c r="VT98" s="0" t="n">
        <f aca="false">-$C$57*$B$59</f>
        <v>-2000</v>
      </c>
      <c r="VU98" s="0" t="n">
        <f aca="false">-$C$57*$B$59</f>
        <v>-2000</v>
      </c>
      <c r="VV98" s="0" t="n">
        <f aca="false">-$C$57*$B$59</f>
        <v>-2000</v>
      </c>
      <c r="VW98" s="0" t="n">
        <f aca="false">-$C$57*$B$59</f>
        <v>-2000</v>
      </c>
      <c r="VX98" s="0" t="n">
        <f aca="false">-$C$57*$B$59</f>
        <v>-2000</v>
      </c>
      <c r="VY98" s="0" t="n">
        <f aca="false">-$C$57*$B$59</f>
        <v>-2000</v>
      </c>
      <c r="VZ98" s="0" t="n">
        <f aca="false">-$C$57*$B$59</f>
        <v>-2000</v>
      </c>
      <c r="WA98" s="0" t="n">
        <f aca="false">-$C$57*$B$59</f>
        <v>-2000</v>
      </c>
      <c r="WB98" s="0" t="n">
        <f aca="false">-$C$57*$B$59</f>
        <v>-2000</v>
      </c>
      <c r="WC98" s="0" t="n">
        <f aca="false">-$C$57*$B$59</f>
        <v>-2000</v>
      </c>
      <c r="WD98" s="0" t="n">
        <f aca="false">-$C$57*$B$59</f>
        <v>-2000</v>
      </c>
      <c r="WE98" s="0" t="n">
        <f aca="false">-$C$57*$B$59</f>
        <v>-2000</v>
      </c>
      <c r="WF98" s="0" t="n">
        <f aca="false">-$C$57*$B$59</f>
        <v>-2000</v>
      </c>
      <c r="WG98" s="0" t="n">
        <f aca="false">-$C$57*$B$59</f>
        <v>-2000</v>
      </c>
      <c r="WH98" s="0" t="n">
        <f aca="false">-$C$57*$B$59</f>
        <v>-2000</v>
      </c>
      <c r="WI98" s="0" t="n">
        <f aca="false">-$C$57*$B$59</f>
        <v>-2000</v>
      </c>
      <c r="WJ98" s="0" t="n">
        <f aca="false">-$C$57*$B$59</f>
        <v>-2000</v>
      </c>
      <c r="WK98" s="0" t="n">
        <f aca="false">-$C$57*$B$59</f>
        <v>-2000</v>
      </c>
      <c r="WL98" s="0" t="n">
        <f aca="false">-$C$57*$B$59</f>
        <v>-2000</v>
      </c>
      <c r="WM98" s="0" t="n">
        <f aca="false">-$C$57*$B$59</f>
        <v>-2000</v>
      </c>
      <c r="WN98" s="0" t="n">
        <f aca="false">-$C$57*$B$59</f>
        <v>-2000</v>
      </c>
      <c r="WO98" s="0" t="n">
        <f aca="false">-$C$57*$B$59</f>
        <v>-2000</v>
      </c>
      <c r="WP98" s="0" t="n">
        <f aca="false">-$C$57*$B$59</f>
        <v>-2000</v>
      </c>
      <c r="WQ98" s="0" t="n">
        <f aca="false">-$C$57*$B$59</f>
        <v>-2000</v>
      </c>
      <c r="WR98" s="0" t="n">
        <f aca="false">-$C$57*$B$59</f>
        <v>-2000</v>
      </c>
      <c r="WS98" s="0" t="n">
        <f aca="false">-$C$57*$B$59</f>
        <v>-2000</v>
      </c>
      <c r="WT98" s="0" t="n">
        <f aca="false">-$C$57*$B$59</f>
        <v>-2000</v>
      </c>
      <c r="WU98" s="0" t="n">
        <f aca="false">-$C$57*$B$59</f>
        <v>-2000</v>
      </c>
      <c r="WV98" s="0" t="n">
        <f aca="false">-$C$57*$B$59</f>
        <v>-2000</v>
      </c>
      <c r="WW98" s="0" t="n">
        <f aca="false">-$C$57*$B$59</f>
        <v>-2000</v>
      </c>
      <c r="WX98" s="0" t="n">
        <f aca="false">-$C$57*$B$59</f>
        <v>-2000</v>
      </c>
      <c r="WY98" s="0" t="n">
        <f aca="false">-$C$57*$B$59</f>
        <v>-2000</v>
      </c>
      <c r="WZ98" s="0" t="n">
        <f aca="false">-$C$57*$B$59</f>
        <v>-2000</v>
      </c>
      <c r="XA98" s="0" t="n">
        <f aca="false">-$C$57*$B$59</f>
        <v>-2000</v>
      </c>
      <c r="XB98" s="0" t="n">
        <f aca="false">-$C$57*$B$59</f>
        <v>-2000</v>
      </c>
      <c r="XC98" s="0" t="n">
        <f aca="false">-$C$57*$B$59</f>
        <v>-2000</v>
      </c>
      <c r="XD98" s="0" t="n">
        <f aca="false">-$C$57*$B$59</f>
        <v>-2000</v>
      </c>
      <c r="XE98" s="0" t="n">
        <f aca="false">-$C$57*$B$59</f>
        <v>-2000</v>
      </c>
      <c r="XF98" s="0" t="n">
        <f aca="false">-$C$57*$B$59</f>
        <v>-2000</v>
      </c>
      <c r="XG98" s="0" t="n">
        <f aca="false">-$C$57*$B$59</f>
        <v>-2000</v>
      </c>
      <c r="XH98" s="0" t="n">
        <f aca="false">-$C$57*$B$59</f>
        <v>-2000</v>
      </c>
      <c r="XI98" s="0" t="n">
        <f aca="false">-$C$57*$B$59</f>
        <v>-2000</v>
      </c>
      <c r="XJ98" s="0" t="n">
        <f aca="false">-$C$57*$B$59</f>
        <v>-2000</v>
      </c>
      <c r="XK98" s="0" t="n">
        <f aca="false">-$C$57*$B$59</f>
        <v>-2000</v>
      </c>
      <c r="XL98" s="0" t="n">
        <f aca="false">-$C$57*$B$59</f>
        <v>-2000</v>
      </c>
      <c r="XM98" s="0" t="n">
        <f aca="false">-$C$57*$B$59</f>
        <v>-2000</v>
      </c>
      <c r="XN98" s="0" t="n">
        <f aca="false">-$C$57*$B$59</f>
        <v>-2000</v>
      </c>
      <c r="XO98" s="0" t="n">
        <f aca="false">-$C$57*$B$59</f>
        <v>-2000</v>
      </c>
      <c r="XP98" s="0" t="n">
        <f aca="false">-$C$57*$B$59</f>
        <v>-2000</v>
      </c>
      <c r="XQ98" s="0" t="n">
        <f aca="false">-$C$57*$B$59</f>
        <v>-2000</v>
      </c>
      <c r="XR98" s="0" t="n">
        <f aca="false">-$C$57*$B$59</f>
        <v>-2000</v>
      </c>
      <c r="XS98" s="0" t="n">
        <f aca="false">-$C$57*$B$59</f>
        <v>-2000</v>
      </c>
      <c r="XT98" s="0" t="n">
        <f aca="false">-$C$57*$B$59</f>
        <v>-2000</v>
      </c>
      <c r="XU98" s="0" t="n">
        <f aca="false">-$C$57*$B$59</f>
        <v>-2000</v>
      </c>
      <c r="XV98" s="0" t="n">
        <f aca="false">-$C$57*$B$59</f>
        <v>-2000</v>
      </c>
      <c r="XW98" s="0" t="n">
        <f aca="false">-$C$57*$B$59</f>
        <v>-2000</v>
      </c>
      <c r="XX98" s="0" t="n">
        <f aca="false">-$C$57*$B$59</f>
        <v>-2000</v>
      </c>
      <c r="XY98" s="0" t="n">
        <f aca="false">-$C$57*$B$59</f>
        <v>-2000</v>
      </c>
      <c r="XZ98" s="0" t="n">
        <f aca="false">-$C$57*$B$59</f>
        <v>-2000</v>
      </c>
      <c r="YA98" s="0" t="n">
        <f aca="false">-$C$57*$B$59</f>
        <v>-2000</v>
      </c>
      <c r="YB98" s="0" t="n">
        <f aca="false">-$C$57*$B$59</f>
        <v>-2000</v>
      </c>
      <c r="YC98" s="0" t="n">
        <f aca="false">-$C$57*$B$59</f>
        <v>-2000</v>
      </c>
      <c r="YD98" s="0" t="n">
        <f aca="false">-$C$57*$B$59</f>
        <v>-2000</v>
      </c>
      <c r="YE98" s="0" t="n">
        <f aca="false">-$C$57*$B$59</f>
        <v>-2000</v>
      </c>
      <c r="YF98" s="0" t="n">
        <f aca="false">-$C$57*$B$59</f>
        <v>-2000</v>
      </c>
      <c r="YG98" s="0" t="n">
        <f aca="false">-$C$57*$B$59</f>
        <v>-2000</v>
      </c>
      <c r="YH98" s="0" t="n">
        <f aca="false">-$C$57*$B$59</f>
        <v>-2000</v>
      </c>
      <c r="YI98" s="0" t="n">
        <f aca="false">-$C$57*$B$59</f>
        <v>-2000</v>
      </c>
      <c r="YJ98" s="0" t="n">
        <f aca="false">-$C$57*$B$59</f>
        <v>-2000</v>
      </c>
      <c r="YK98" s="0" t="n">
        <f aca="false">-$C$57*$B$59</f>
        <v>-2000</v>
      </c>
      <c r="YL98" s="0" t="n">
        <f aca="false">-$C$57*$B$59</f>
        <v>-2000</v>
      </c>
      <c r="YM98" s="0" t="n">
        <f aca="false">-$C$57*$B$59</f>
        <v>-2000</v>
      </c>
      <c r="YN98" s="0" t="n">
        <f aca="false">-$C$57*$B$59</f>
        <v>-2000</v>
      </c>
      <c r="YO98" s="0" t="n">
        <f aca="false">-$C$57*$B$59</f>
        <v>-2000</v>
      </c>
      <c r="YP98" s="0" t="n">
        <f aca="false">-$C$57*$B$59</f>
        <v>-2000</v>
      </c>
      <c r="YQ98" s="0" t="n">
        <f aca="false">-$C$57*$B$59</f>
        <v>-2000</v>
      </c>
      <c r="YR98" s="0" t="n">
        <f aca="false">-$C$57*$B$59</f>
        <v>-2000</v>
      </c>
      <c r="YS98" s="0" t="n">
        <f aca="false">-$C$57*$B$59</f>
        <v>-2000</v>
      </c>
      <c r="YT98" s="0" t="n">
        <f aca="false">-$C$57*$B$59</f>
        <v>-2000</v>
      </c>
      <c r="YU98" s="0" t="n">
        <f aca="false">-$C$57*$B$59</f>
        <v>-2000</v>
      </c>
      <c r="YV98" s="0" t="n">
        <f aca="false">-$C$57*$B$59</f>
        <v>-2000</v>
      </c>
      <c r="YW98" s="0" t="n">
        <f aca="false">-$C$57*$B$59</f>
        <v>-2000</v>
      </c>
      <c r="YX98" s="0" t="n">
        <f aca="false">-$C$57*$B$59</f>
        <v>-2000</v>
      </c>
      <c r="YY98" s="0" t="n">
        <f aca="false">-$C$57*$B$59</f>
        <v>-2000</v>
      </c>
      <c r="YZ98" s="0" t="n">
        <f aca="false">-$C$57*$B$59</f>
        <v>-2000</v>
      </c>
      <c r="ZA98" s="0" t="n">
        <f aca="false">-$C$57*$B$59</f>
        <v>-2000</v>
      </c>
      <c r="ZB98" s="0" t="n">
        <f aca="false">-$C$57*$B$59</f>
        <v>-2000</v>
      </c>
      <c r="ZC98" s="0" t="n">
        <f aca="false">-$C$57*$B$59</f>
        <v>-2000</v>
      </c>
      <c r="ZD98" s="0" t="n">
        <f aca="false">-$C$57*$B$59</f>
        <v>-2000</v>
      </c>
      <c r="ZE98" s="0" t="n">
        <f aca="false">-$C$57*$B$59</f>
        <v>-2000</v>
      </c>
      <c r="ZF98" s="0" t="n">
        <f aca="false">-$C$57*$B$59</f>
        <v>-2000</v>
      </c>
      <c r="ZG98" s="0" t="n">
        <f aca="false">-$C$57*$B$59</f>
        <v>-2000</v>
      </c>
      <c r="ZH98" s="0" t="n">
        <f aca="false">-$C$57*$B$59</f>
        <v>-2000</v>
      </c>
      <c r="ZI98" s="0" t="n">
        <f aca="false">-$C$57*$B$59</f>
        <v>-2000</v>
      </c>
      <c r="ZJ98" s="0" t="n">
        <f aca="false">-$C$57*$B$59</f>
        <v>-2000</v>
      </c>
      <c r="ZK98" s="0" t="n">
        <f aca="false">-$C$57*$B$59</f>
        <v>-2000</v>
      </c>
      <c r="ZL98" s="0" t="n">
        <f aca="false">-$C$57*$B$59</f>
        <v>-2000</v>
      </c>
      <c r="ZM98" s="0" t="n">
        <f aca="false">-$C$57*$B$59</f>
        <v>-2000</v>
      </c>
      <c r="ZN98" s="0" t="n">
        <f aca="false">-$C$57*$B$59</f>
        <v>-2000</v>
      </c>
      <c r="ZO98" s="0" t="n">
        <f aca="false">-$C$57*$B$59</f>
        <v>-2000</v>
      </c>
      <c r="ZP98" s="0" t="n">
        <f aca="false">-$C$57*$B$59</f>
        <v>-2000</v>
      </c>
      <c r="ZQ98" s="0" t="n">
        <f aca="false">-$C$57*$B$59</f>
        <v>-2000</v>
      </c>
      <c r="ZR98" s="0" t="n">
        <f aca="false">-$C$57*$B$59</f>
        <v>-2000</v>
      </c>
      <c r="ZS98" s="0" t="n">
        <f aca="false">-$C$57*$B$59</f>
        <v>-2000</v>
      </c>
      <c r="ZT98" s="0" t="n">
        <f aca="false">-$C$57*$B$59</f>
        <v>-2000</v>
      </c>
      <c r="ZU98" s="0" t="n">
        <f aca="false">-$C$57*$B$59</f>
        <v>-2000</v>
      </c>
      <c r="ZV98" s="0" t="n">
        <f aca="false">-$C$57*$B$59</f>
        <v>-2000</v>
      </c>
      <c r="ZW98" s="0" t="n">
        <f aca="false">-$C$57*$B$59</f>
        <v>-2000</v>
      </c>
      <c r="ZX98" s="0" t="n">
        <f aca="false">-$C$57*$B$59</f>
        <v>-2000</v>
      </c>
      <c r="ZY98" s="0" t="n">
        <f aca="false">-$C$57*$B$59</f>
        <v>-2000</v>
      </c>
      <c r="ZZ98" s="0" t="n">
        <f aca="false">-$C$57*$B$59</f>
        <v>-2000</v>
      </c>
      <c r="AAA98" s="0" t="n">
        <f aca="false">-$C$57*$B$59</f>
        <v>-2000</v>
      </c>
      <c r="AAB98" s="0" t="n">
        <f aca="false">-$C$57*$B$59</f>
        <v>-2000</v>
      </c>
      <c r="AAC98" s="0" t="n">
        <f aca="false">-$C$57*$B$59</f>
        <v>-2000</v>
      </c>
      <c r="AAD98" s="0" t="n">
        <f aca="false">-$C$57*$B$59</f>
        <v>-2000</v>
      </c>
      <c r="AAE98" s="0" t="n">
        <f aca="false">-$C$57*$B$59</f>
        <v>-2000</v>
      </c>
      <c r="AAF98" s="0" t="n">
        <f aca="false">-$C$57*$B$59</f>
        <v>-2000</v>
      </c>
      <c r="AAG98" s="0" t="n">
        <f aca="false">-$C$57*$B$59</f>
        <v>-2000</v>
      </c>
      <c r="AAH98" s="0" t="n">
        <f aca="false">-$C$57*$B$59</f>
        <v>-2000</v>
      </c>
      <c r="AAI98" s="0" t="n">
        <f aca="false">-$C$57*$B$59</f>
        <v>-2000</v>
      </c>
      <c r="AAJ98" s="0" t="n">
        <f aca="false">-$C$57*$B$59</f>
        <v>-2000</v>
      </c>
      <c r="AAK98" s="0" t="n">
        <f aca="false">-$C$57*$B$59</f>
        <v>-2000</v>
      </c>
      <c r="AAL98" s="0" t="n">
        <f aca="false">-$C$57*$B$59</f>
        <v>-2000</v>
      </c>
      <c r="AAM98" s="0" t="n">
        <f aca="false">-$C$57*$B$59</f>
        <v>-2000</v>
      </c>
      <c r="AAN98" s="0" t="n">
        <f aca="false">-$C$57*$B$59</f>
        <v>-2000</v>
      </c>
      <c r="AAO98" s="0" t="n">
        <f aca="false">-$C$57*$B$59</f>
        <v>-2000</v>
      </c>
      <c r="AAP98" s="0" t="n">
        <f aca="false">-$C$57*$B$59</f>
        <v>-2000</v>
      </c>
      <c r="AAQ98" s="0" t="n">
        <f aca="false">-$C$57*$B$59</f>
        <v>-2000</v>
      </c>
      <c r="AAR98" s="0" t="n">
        <f aca="false">-$C$57*$B$59</f>
        <v>-2000</v>
      </c>
      <c r="AAS98" s="0" t="n">
        <f aca="false">-$C$57*$B$59</f>
        <v>-2000</v>
      </c>
      <c r="AAT98" s="0" t="n">
        <f aca="false">-$C$57*$B$59</f>
        <v>-2000</v>
      </c>
      <c r="AAU98" s="0" t="n">
        <f aca="false">-$C$57*$B$59</f>
        <v>-2000</v>
      </c>
      <c r="AAV98" s="0" t="n">
        <f aca="false">-$C$57*$B$59</f>
        <v>-2000</v>
      </c>
      <c r="AAW98" s="0" t="n">
        <f aca="false">-$C$57*$B$59</f>
        <v>-2000</v>
      </c>
      <c r="AAX98" s="0" t="n">
        <f aca="false">-$C$57*$B$59</f>
        <v>-2000</v>
      </c>
      <c r="AAY98" s="0" t="n">
        <f aca="false">-$C$57*$B$59</f>
        <v>-2000</v>
      </c>
      <c r="AAZ98" s="0" t="n">
        <f aca="false">-$C$57*$B$59</f>
        <v>-2000</v>
      </c>
      <c r="ABA98" s="0" t="n">
        <f aca="false">-$C$57*$B$59</f>
        <v>-2000</v>
      </c>
      <c r="ABB98" s="0" t="n">
        <f aca="false">-$C$57*$B$59</f>
        <v>-2000</v>
      </c>
      <c r="ABC98" s="0" t="n">
        <f aca="false">-$C$57*$B$59</f>
        <v>-2000</v>
      </c>
      <c r="ABD98" s="0" t="n">
        <f aca="false">-$C$57*$B$59</f>
        <v>-2000</v>
      </c>
      <c r="ABE98" s="0" t="n">
        <f aca="false">-$C$57*$B$59</f>
        <v>-2000</v>
      </c>
      <c r="ABF98" s="0" t="n">
        <f aca="false">-$C$57*$B$59</f>
        <v>-2000</v>
      </c>
      <c r="ABG98" s="0" t="n">
        <f aca="false">-$C$57*$B$59</f>
        <v>-2000</v>
      </c>
      <c r="ABH98" s="0" t="n">
        <f aca="false">-$C$57*$B$59</f>
        <v>-2000</v>
      </c>
      <c r="ABI98" s="0" t="n">
        <f aca="false">-$C$57*$B$59</f>
        <v>-2000</v>
      </c>
      <c r="ABJ98" s="0" t="n">
        <f aca="false">-$C$57*$B$59</f>
        <v>-2000</v>
      </c>
      <c r="ABK98" s="0" t="n">
        <f aca="false">-$C$57*$B$59</f>
        <v>-2000</v>
      </c>
      <c r="ABL98" s="0" t="n">
        <f aca="false">-$C$57*$B$59</f>
        <v>-2000</v>
      </c>
      <c r="ABM98" s="0" t="n">
        <f aca="false">-$C$57*$B$59</f>
        <v>-2000</v>
      </c>
      <c r="ABN98" s="0" t="n">
        <f aca="false">-$C$57*$B$59</f>
        <v>-2000</v>
      </c>
      <c r="ABO98" s="0" t="n">
        <f aca="false">-$C$57*$B$59</f>
        <v>-2000</v>
      </c>
      <c r="ABP98" s="0" t="n">
        <f aca="false">-$C$57*$B$59</f>
        <v>-2000</v>
      </c>
      <c r="ABQ98" s="0" t="n">
        <f aca="false">-$C$57*$B$59</f>
        <v>-2000</v>
      </c>
      <c r="ABR98" s="0" t="n">
        <f aca="false">-$C$57*$B$59</f>
        <v>-2000</v>
      </c>
      <c r="ABS98" s="0" t="n">
        <f aca="false">-$C$57*$B$59</f>
        <v>-2000</v>
      </c>
      <c r="ABT98" s="0" t="n">
        <f aca="false">-$C$57*$B$59</f>
        <v>-2000</v>
      </c>
      <c r="ABU98" s="0" t="n">
        <f aca="false">-$C$57*$B$59</f>
        <v>-2000</v>
      </c>
      <c r="ABV98" s="0" t="n">
        <f aca="false">-$C$57*$B$59</f>
        <v>-2000</v>
      </c>
      <c r="ABW98" s="0" t="n">
        <f aca="false">-$C$57*$B$59</f>
        <v>-2000</v>
      </c>
      <c r="ABX98" s="0" t="n">
        <f aca="false">-$C$57*$B$59</f>
        <v>-2000</v>
      </c>
      <c r="ABY98" s="0" t="n">
        <f aca="false">-$C$57*$B$59</f>
        <v>-2000</v>
      </c>
      <c r="ABZ98" s="0" t="n">
        <f aca="false">-$C$57*$B$59</f>
        <v>-2000</v>
      </c>
      <c r="ACA98" s="0" t="n">
        <f aca="false">-$C$57*$B$59</f>
        <v>-2000</v>
      </c>
      <c r="ACB98" s="0" t="n">
        <f aca="false">-$C$57*$B$59</f>
        <v>-2000</v>
      </c>
      <c r="ACC98" s="0" t="n">
        <f aca="false">-$C$57*$B$59</f>
        <v>-2000</v>
      </c>
      <c r="ACD98" s="0" t="n">
        <f aca="false">-$C$57*$B$59</f>
        <v>-2000</v>
      </c>
      <c r="ACE98" s="0" t="n">
        <f aca="false">-$C$57*$B$59</f>
        <v>-2000</v>
      </c>
      <c r="ACF98" s="0" t="n">
        <f aca="false">-$C$57*$B$59</f>
        <v>-2000</v>
      </c>
      <c r="ACG98" s="0" t="n">
        <f aca="false">-$C$57*$B$59</f>
        <v>-2000</v>
      </c>
      <c r="ACH98" s="0" t="n">
        <f aca="false">-$C$57*$B$59</f>
        <v>-2000</v>
      </c>
      <c r="ACI98" s="0" t="n">
        <f aca="false">-$C$57*$B$59</f>
        <v>-2000</v>
      </c>
      <c r="ACJ98" s="0" t="n">
        <f aca="false">-$C$57*$B$59</f>
        <v>-2000</v>
      </c>
      <c r="ACK98" s="0" t="n">
        <f aca="false">-$C$57*$B$59</f>
        <v>-2000</v>
      </c>
      <c r="ACL98" s="0" t="n">
        <f aca="false">-$C$57*$B$59</f>
        <v>-2000</v>
      </c>
      <c r="ACM98" s="0" t="n">
        <f aca="false">-$C$57*$B$59</f>
        <v>-2000</v>
      </c>
      <c r="ACN98" s="0" t="n">
        <f aca="false">-$C$57*$B$59</f>
        <v>-2000</v>
      </c>
      <c r="ACO98" s="0" t="n">
        <f aca="false">-$C$57*$B$59</f>
        <v>-2000</v>
      </c>
      <c r="ACP98" s="0" t="n">
        <f aca="false">-$C$57*$B$59</f>
        <v>-2000</v>
      </c>
      <c r="ACQ98" s="0" t="n">
        <f aca="false">-$C$57*$B$59</f>
        <v>-2000</v>
      </c>
      <c r="ACR98" s="0" t="n">
        <f aca="false">-$C$57*$B$59</f>
        <v>-2000</v>
      </c>
      <c r="ACS98" s="0" t="n">
        <f aca="false">-$C$57*$B$59</f>
        <v>-2000</v>
      </c>
      <c r="ACT98" s="0" t="n">
        <f aca="false">-$C$57*$B$59</f>
        <v>-2000</v>
      </c>
      <c r="ACU98" s="0" t="n">
        <f aca="false">-$C$57*$B$59</f>
        <v>-2000</v>
      </c>
      <c r="ACV98" s="0" t="n">
        <f aca="false">-$C$57*$B$59</f>
        <v>-2000</v>
      </c>
      <c r="ACW98" s="0" t="n">
        <f aca="false">-$C$57*$B$59</f>
        <v>-2000</v>
      </c>
      <c r="ACX98" s="0" t="n">
        <f aca="false">-$C$57*$B$59</f>
        <v>-2000</v>
      </c>
      <c r="ACY98" s="0" t="n">
        <f aca="false">-$C$57*$B$59</f>
        <v>-2000</v>
      </c>
      <c r="ACZ98" s="0" t="n">
        <f aca="false">-$C$57*$B$59</f>
        <v>-2000</v>
      </c>
      <c r="ADA98" s="0" t="n">
        <f aca="false">-$C$57*$B$59</f>
        <v>-2000</v>
      </c>
      <c r="ADB98" s="0" t="n">
        <f aca="false">-$C$57*$B$59</f>
        <v>-2000</v>
      </c>
      <c r="ADC98" s="0" t="n">
        <f aca="false">-$C$57*$B$59</f>
        <v>-2000</v>
      </c>
      <c r="ADD98" s="0" t="n">
        <f aca="false">-$C$57*$B$59</f>
        <v>-2000</v>
      </c>
      <c r="ADE98" s="0" t="n">
        <f aca="false">-$C$57*$B$59</f>
        <v>-2000</v>
      </c>
      <c r="ADF98" s="0" t="n">
        <f aca="false">-$C$57*$B$59</f>
        <v>-2000</v>
      </c>
      <c r="ADG98" s="0" t="n">
        <f aca="false">-$C$57*$B$59</f>
        <v>-2000</v>
      </c>
      <c r="ADH98" s="0" t="n">
        <f aca="false">-$C$57*$B$59</f>
        <v>-2000</v>
      </c>
      <c r="ADI98" s="0" t="n">
        <f aca="false">-$C$57*$B$59</f>
        <v>-2000</v>
      </c>
      <c r="ADJ98" s="0" t="n">
        <f aca="false">-$C$57*$B$59</f>
        <v>-2000</v>
      </c>
      <c r="ADK98" s="0" t="n">
        <f aca="false">-$C$57*$B$59</f>
        <v>-2000</v>
      </c>
      <c r="ADL98" s="0" t="n">
        <f aca="false">-$C$57*$B$59</f>
        <v>-2000</v>
      </c>
      <c r="ADM98" s="0" t="n">
        <f aca="false">-$C$57*$B$59</f>
        <v>-2000</v>
      </c>
      <c r="ADN98" s="0" t="n">
        <f aca="false">-$C$57*$B$59</f>
        <v>-2000</v>
      </c>
      <c r="ADO98" s="0" t="n">
        <f aca="false">-$C$57*$B$59</f>
        <v>-2000</v>
      </c>
      <c r="ADP98" s="0" t="n">
        <f aca="false">-$C$57*$B$59</f>
        <v>-2000</v>
      </c>
      <c r="ADQ98" s="0" t="n">
        <f aca="false">-$C$57*$B$59</f>
        <v>-2000</v>
      </c>
      <c r="ADR98" s="0" t="n">
        <f aca="false">-$C$57*$B$59</f>
        <v>-2000</v>
      </c>
      <c r="ADS98" s="0" t="n">
        <f aca="false">-$C$57*$B$59</f>
        <v>-2000</v>
      </c>
      <c r="ADT98" s="0" t="n">
        <f aca="false">-$C$57*$B$59</f>
        <v>-2000</v>
      </c>
      <c r="ADU98" s="0" t="n">
        <f aca="false">-$C$57*$B$59</f>
        <v>-2000</v>
      </c>
      <c r="ADV98" s="0" t="n">
        <f aca="false">-$C$57*$B$59</f>
        <v>-2000</v>
      </c>
      <c r="ADW98" s="0" t="n">
        <f aca="false">-$C$57*$B$59</f>
        <v>-2000</v>
      </c>
      <c r="ADX98" s="0" t="n">
        <f aca="false">-$C$57*$B$59</f>
        <v>-2000</v>
      </c>
      <c r="ADY98" s="0" t="n">
        <f aca="false">-$C$57*$B$59</f>
        <v>-2000</v>
      </c>
      <c r="ADZ98" s="0" t="n">
        <f aca="false">-$C$57*$B$59</f>
        <v>-2000</v>
      </c>
      <c r="AEA98" s="0" t="n">
        <f aca="false">-$C$57*$B$59</f>
        <v>-2000</v>
      </c>
      <c r="AEB98" s="0" t="n">
        <f aca="false">-$C$57*$B$59</f>
        <v>-2000</v>
      </c>
      <c r="AEC98" s="0" t="n">
        <f aca="false">-$C$57*$B$59</f>
        <v>-2000</v>
      </c>
      <c r="AED98" s="0" t="n">
        <f aca="false">-$C$57*$B$59</f>
        <v>-2000</v>
      </c>
      <c r="AEE98" s="0" t="n">
        <f aca="false">-$C$57*$B$59</f>
        <v>-2000</v>
      </c>
      <c r="AEF98" s="0" t="n">
        <f aca="false">-$C$57*$B$59</f>
        <v>-2000</v>
      </c>
      <c r="AEG98" s="0" t="n">
        <f aca="false">-$C$57*$B$59</f>
        <v>-2000</v>
      </c>
      <c r="AEH98" s="0" t="n">
        <f aca="false">-$C$57*$B$59</f>
        <v>-2000</v>
      </c>
      <c r="AEI98" s="0" t="n">
        <f aca="false">-$C$57*$B$59</f>
        <v>-2000</v>
      </c>
      <c r="AEJ98" s="0" t="n">
        <f aca="false">-$C$57*$B$59</f>
        <v>-2000</v>
      </c>
      <c r="AEK98" s="0" t="n">
        <f aca="false">-$C$57*$B$59</f>
        <v>-2000</v>
      </c>
      <c r="AEL98" s="0" t="n">
        <f aca="false">-$C$57*$B$59</f>
        <v>-2000</v>
      </c>
      <c r="AEM98" s="0" t="n">
        <f aca="false">-$C$57*$B$59</f>
        <v>-2000</v>
      </c>
      <c r="AEN98" s="0" t="n">
        <f aca="false">-$C$57*$B$59</f>
        <v>-2000</v>
      </c>
      <c r="AEO98" s="0" t="n">
        <f aca="false">-$C$57*$B$59</f>
        <v>-2000</v>
      </c>
      <c r="AEP98" s="0" t="n">
        <f aca="false">-$C$57*$B$59</f>
        <v>-2000</v>
      </c>
      <c r="AEQ98" s="0" t="n">
        <f aca="false">-$C$57*$B$59</f>
        <v>-2000</v>
      </c>
      <c r="AER98" s="0" t="n">
        <f aca="false">-$C$57*$B$59</f>
        <v>-2000</v>
      </c>
      <c r="AES98" s="0" t="n">
        <f aca="false">-$C$57*$B$59</f>
        <v>-2000</v>
      </c>
      <c r="AET98" s="0" t="n">
        <f aca="false">-$C$57*$B$59</f>
        <v>-2000</v>
      </c>
      <c r="AEU98" s="0" t="n">
        <f aca="false">-$C$57*$B$59</f>
        <v>-2000</v>
      </c>
      <c r="AEV98" s="0" t="n">
        <f aca="false">-$C$57*$B$59</f>
        <v>-2000</v>
      </c>
      <c r="AEW98" s="0" t="n">
        <f aca="false">-$C$57*$B$59</f>
        <v>-2000</v>
      </c>
      <c r="AEX98" s="0" t="n">
        <f aca="false">-$C$57*$B$59</f>
        <v>-2000</v>
      </c>
      <c r="AEY98" s="0" t="n">
        <f aca="false">-$C$57*$B$59</f>
        <v>-2000</v>
      </c>
      <c r="AEZ98" s="0" t="n">
        <f aca="false">-$C$57*$B$59</f>
        <v>-2000</v>
      </c>
      <c r="AFA98" s="0" t="n">
        <f aca="false">-$C$57*$B$59</f>
        <v>-2000</v>
      </c>
      <c r="AFB98" s="0" t="n">
        <f aca="false">-$C$57*$B$59</f>
        <v>-2000</v>
      </c>
      <c r="AFC98" s="0" t="n">
        <f aca="false">-$C$57*$B$59</f>
        <v>-2000</v>
      </c>
      <c r="AFD98" s="0" t="n">
        <f aca="false">-$C$57*$B$59</f>
        <v>-2000</v>
      </c>
      <c r="AFE98" s="0" t="n">
        <f aca="false">-$C$57*$B$59</f>
        <v>-2000</v>
      </c>
      <c r="AFF98" s="0" t="n">
        <f aca="false">-$C$57*$B$59</f>
        <v>-2000</v>
      </c>
      <c r="AFG98" s="0" t="n">
        <f aca="false">-$C$57*$B$59</f>
        <v>-2000</v>
      </c>
      <c r="AFH98" s="0" t="n">
        <f aca="false">-$C$57*$B$59</f>
        <v>-2000</v>
      </c>
      <c r="AFI98" s="0" t="n">
        <f aca="false">-$C$57*$B$59</f>
        <v>-2000</v>
      </c>
      <c r="AFJ98" s="0" t="n">
        <f aca="false">-$C$57*$B$59</f>
        <v>-2000</v>
      </c>
      <c r="AFK98" s="0" t="n">
        <f aca="false">-$C$57*$B$59</f>
        <v>-2000</v>
      </c>
      <c r="AFL98" s="0" t="n">
        <f aca="false">-$C$57*$B$59</f>
        <v>-2000</v>
      </c>
      <c r="AFM98" s="0" t="n">
        <f aca="false">-$C$57*$B$59</f>
        <v>-2000</v>
      </c>
      <c r="AFN98" s="0" t="n">
        <f aca="false">-$C$57*$B$59</f>
        <v>-2000</v>
      </c>
      <c r="AFO98" s="0" t="n">
        <f aca="false">-$C$57*$B$59</f>
        <v>-2000</v>
      </c>
      <c r="AFP98" s="0" t="n">
        <f aca="false">-$C$57*$B$59</f>
        <v>-2000</v>
      </c>
      <c r="AFQ98" s="0" t="n">
        <f aca="false">-$C$57*$B$59</f>
        <v>-2000</v>
      </c>
      <c r="AFR98" s="0" t="n">
        <f aca="false">-$C$57*$B$59</f>
        <v>-2000</v>
      </c>
      <c r="AFS98" s="0" t="n">
        <f aca="false">-$C$57*$B$59</f>
        <v>-2000</v>
      </c>
      <c r="AFT98" s="0" t="n">
        <f aca="false">-$C$57*$B$59</f>
        <v>-2000</v>
      </c>
      <c r="AFU98" s="0" t="n">
        <f aca="false">-$C$57*$B$59</f>
        <v>-2000</v>
      </c>
      <c r="AFV98" s="0" t="n">
        <f aca="false">-$C$57*$B$59</f>
        <v>-2000</v>
      </c>
      <c r="AFW98" s="0" t="n">
        <f aca="false">-$C$57*$B$59</f>
        <v>-2000</v>
      </c>
      <c r="AFX98" s="0" t="n">
        <f aca="false">-$C$57*$B$59</f>
        <v>-2000</v>
      </c>
      <c r="AFY98" s="0" t="n">
        <f aca="false">-$C$57*$B$59</f>
        <v>-2000</v>
      </c>
      <c r="AFZ98" s="0" t="n">
        <f aca="false">-$C$57*$B$59</f>
        <v>-2000</v>
      </c>
      <c r="AGA98" s="0" t="n">
        <f aca="false">-$C$57*$B$59</f>
        <v>-2000</v>
      </c>
      <c r="AGB98" s="0" t="n">
        <f aca="false">-$C$57*$B$59</f>
        <v>-2000</v>
      </c>
      <c r="AGC98" s="0" t="n">
        <f aca="false">-$C$57*$B$59</f>
        <v>-2000</v>
      </c>
      <c r="AGD98" s="0" t="n">
        <f aca="false">-$C$57*$B$59</f>
        <v>-2000</v>
      </c>
      <c r="AGE98" s="0" t="n">
        <f aca="false">-$C$57*$B$59</f>
        <v>-2000</v>
      </c>
      <c r="AGF98" s="0" t="n">
        <f aca="false">-$C$57*$B$59</f>
        <v>-2000</v>
      </c>
      <c r="AGG98" s="0" t="n">
        <f aca="false">-$C$57*$B$59</f>
        <v>-2000</v>
      </c>
      <c r="AGH98" s="0" t="n">
        <f aca="false">-$C$57*$B$59</f>
        <v>-2000</v>
      </c>
      <c r="AGI98" s="0" t="n">
        <f aca="false">-$C$57*$B$59</f>
        <v>-2000</v>
      </c>
      <c r="AGJ98" s="0" t="n">
        <f aca="false">-$C$57*$B$59</f>
        <v>-2000</v>
      </c>
      <c r="AGK98" s="0" t="n">
        <f aca="false">-$C$57*$B$59</f>
        <v>-2000</v>
      </c>
      <c r="AGL98" s="0" t="n">
        <f aca="false">-$C$57*$B$59</f>
        <v>-2000</v>
      </c>
      <c r="AGM98" s="0" t="n">
        <f aca="false">-$C$57*$B$59</f>
        <v>-2000</v>
      </c>
      <c r="AGN98" s="0" t="n">
        <f aca="false">-$C$57*$B$59</f>
        <v>-2000</v>
      </c>
      <c r="AGO98" s="0" t="n">
        <f aca="false">-$C$57*$B$59</f>
        <v>-2000</v>
      </c>
      <c r="AGP98" s="0" t="n">
        <f aca="false">-$C$57*$B$59</f>
        <v>-2000</v>
      </c>
      <c r="AGQ98" s="0" t="n">
        <f aca="false">-$C$57*$B$59</f>
        <v>-2000</v>
      </c>
      <c r="AGR98" s="0" t="n">
        <f aca="false">-$C$57*$B$59</f>
        <v>-2000</v>
      </c>
      <c r="AGS98" s="0" t="n">
        <f aca="false">-$C$57*$B$59</f>
        <v>-2000</v>
      </c>
      <c r="AGT98" s="0" t="n">
        <f aca="false">-$C$57*$B$59</f>
        <v>-2000</v>
      </c>
      <c r="AGU98" s="0" t="n">
        <f aca="false">-$C$57*$B$59</f>
        <v>-2000</v>
      </c>
      <c r="AGV98" s="0" t="n">
        <f aca="false">-$C$57*$B$59</f>
        <v>-2000</v>
      </c>
      <c r="AGW98" s="0" t="n">
        <f aca="false">-$C$57*$B$59</f>
        <v>-2000</v>
      </c>
      <c r="AGX98" s="0" t="n">
        <f aca="false">-$C$57*$B$59</f>
        <v>-2000</v>
      </c>
      <c r="AGY98" s="0" t="n">
        <f aca="false">-$C$57*$B$59</f>
        <v>-2000</v>
      </c>
      <c r="AGZ98" s="0" t="n">
        <f aca="false">-$C$57*$B$59</f>
        <v>-2000</v>
      </c>
      <c r="AHA98" s="0" t="n">
        <f aca="false">-$C$57*$B$59</f>
        <v>-2000</v>
      </c>
      <c r="AHB98" s="0" t="n">
        <f aca="false">-$C$57*$B$59</f>
        <v>-2000</v>
      </c>
      <c r="AHC98" s="0" t="n">
        <f aca="false">-$C$57*$B$59</f>
        <v>-2000</v>
      </c>
      <c r="AHD98" s="0" t="n">
        <f aca="false">-$C$57*$B$59</f>
        <v>-2000</v>
      </c>
      <c r="AHE98" s="0" t="n">
        <f aca="false">-$C$57*$B$59</f>
        <v>-2000</v>
      </c>
      <c r="AHF98" s="0" t="n">
        <f aca="false">-$C$57*$B$59</f>
        <v>-2000</v>
      </c>
      <c r="AHG98" s="0" t="n">
        <f aca="false">-$C$57*$B$59</f>
        <v>-2000</v>
      </c>
      <c r="AHH98" s="0" t="n">
        <f aca="false">-$C$57*$B$59</f>
        <v>-2000</v>
      </c>
      <c r="AHI98" s="0" t="n">
        <f aca="false">-$C$57*$B$59</f>
        <v>-2000</v>
      </c>
      <c r="AHJ98" s="0" t="n">
        <f aca="false">-$C$57*$B$59</f>
        <v>-2000</v>
      </c>
      <c r="AHK98" s="0" t="n">
        <f aca="false">-$C$57*$B$59</f>
        <v>-2000</v>
      </c>
      <c r="AHL98" s="0" t="n">
        <f aca="false">-$C$57*$B$59</f>
        <v>-2000</v>
      </c>
      <c r="AHM98" s="0" t="n">
        <f aca="false">-$C$57*$B$59</f>
        <v>-2000</v>
      </c>
      <c r="AHN98" s="0" t="n">
        <f aca="false">-$C$57*$B$59</f>
        <v>-2000</v>
      </c>
      <c r="AHO98" s="0" t="n">
        <f aca="false">-$C$57*$B$59</f>
        <v>-2000</v>
      </c>
      <c r="AHP98" s="0" t="n">
        <f aca="false">-$C$57*$B$59</f>
        <v>-2000</v>
      </c>
      <c r="AHQ98" s="0" t="n">
        <f aca="false">-$C$57*$B$59</f>
        <v>-2000</v>
      </c>
      <c r="AHR98" s="0" t="n">
        <f aca="false">-$C$57*$B$59</f>
        <v>-2000</v>
      </c>
      <c r="AHS98" s="0" t="n">
        <f aca="false">-$C$57*$B$59</f>
        <v>-2000</v>
      </c>
      <c r="AHT98" s="0" t="n">
        <f aca="false">-$C$57*$B$59</f>
        <v>-2000</v>
      </c>
      <c r="AHU98" s="0" t="n">
        <f aca="false">-$C$57*$B$59</f>
        <v>-2000</v>
      </c>
      <c r="AHV98" s="0" t="n">
        <f aca="false">-$C$57*$B$59</f>
        <v>-2000</v>
      </c>
      <c r="AHW98" s="0" t="n">
        <f aca="false">-$C$57*$B$59</f>
        <v>-2000</v>
      </c>
      <c r="AHX98" s="0" t="n">
        <f aca="false">-$C$57*$B$59</f>
        <v>-2000</v>
      </c>
      <c r="AHY98" s="0" t="n">
        <f aca="false">-$C$57*$B$59</f>
        <v>-2000</v>
      </c>
      <c r="AHZ98" s="0" t="n">
        <f aca="false">-$C$57*$B$59</f>
        <v>-2000</v>
      </c>
      <c r="AIA98" s="0" t="n">
        <f aca="false">-$C$57*$B$59</f>
        <v>-2000</v>
      </c>
      <c r="AIB98" s="0" t="n">
        <f aca="false">-$C$57*$B$59</f>
        <v>-2000</v>
      </c>
      <c r="AIC98" s="0" t="n">
        <f aca="false">-$C$57*$B$59</f>
        <v>-2000</v>
      </c>
      <c r="AID98" s="0" t="n">
        <f aca="false">-$C$57*$B$59</f>
        <v>-2000</v>
      </c>
      <c r="AIE98" s="0" t="n">
        <f aca="false">-$C$57*$B$59</f>
        <v>-2000</v>
      </c>
      <c r="AIF98" s="0" t="n">
        <f aca="false">-$C$57*$B$59</f>
        <v>-2000</v>
      </c>
      <c r="AIG98" s="0" t="n">
        <f aca="false">-$C$57*$B$59</f>
        <v>-2000</v>
      </c>
      <c r="AIH98" s="0" t="n">
        <f aca="false">-$C$57*$B$59</f>
        <v>-2000</v>
      </c>
      <c r="AII98" s="0" t="n">
        <f aca="false">-$C$57*$B$59</f>
        <v>-2000</v>
      </c>
      <c r="AIJ98" s="0" t="n">
        <f aca="false">-$C$57*$B$59</f>
        <v>-2000</v>
      </c>
      <c r="AIK98" s="0" t="n">
        <f aca="false">-$C$57*$B$59</f>
        <v>-2000</v>
      </c>
      <c r="AIL98" s="0" t="n">
        <f aca="false">-$C$57*$B$59</f>
        <v>-2000</v>
      </c>
      <c r="AIM98" s="0" t="n">
        <f aca="false">-$C$57*$B$59</f>
        <v>-2000</v>
      </c>
      <c r="AIN98" s="0" t="n">
        <f aca="false">-$C$57*$B$59</f>
        <v>-2000</v>
      </c>
      <c r="AIO98" s="0" t="n">
        <f aca="false">-$C$57*$B$59</f>
        <v>-2000</v>
      </c>
      <c r="AIP98" s="0" t="n">
        <f aca="false">-$C$57*$B$59</f>
        <v>-2000</v>
      </c>
      <c r="AIQ98" s="0" t="n">
        <f aca="false">-$C$57*$B$59</f>
        <v>-2000</v>
      </c>
      <c r="AIR98" s="0" t="n">
        <f aca="false">-$C$57*$B$59</f>
        <v>-2000</v>
      </c>
      <c r="AIS98" s="0" t="n">
        <f aca="false">-$C$57*$B$59</f>
        <v>-2000</v>
      </c>
      <c r="AIT98" s="0" t="n">
        <f aca="false">-$C$57*$B$59</f>
        <v>-2000</v>
      </c>
      <c r="AIU98" s="0" t="n">
        <f aca="false">-$C$57*$B$59</f>
        <v>-2000</v>
      </c>
      <c r="AIV98" s="0" t="n">
        <f aca="false">-$C$57*$B$59</f>
        <v>-2000</v>
      </c>
      <c r="AIW98" s="0" t="n">
        <f aca="false">-$C$57*$B$59</f>
        <v>-2000</v>
      </c>
      <c r="AIX98" s="0" t="n">
        <f aca="false">-$C$57*$B$59</f>
        <v>-2000</v>
      </c>
      <c r="AIY98" s="0" t="n">
        <f aca="false">-$C$57*$B$59</f>
        <v>-2000</v>
      </c>
      <c r="AIZ98" s="0" t="n">
        <f aca="false">-$C$57*$B$59</f>
        <v>-2000</v>
      </c>
      <c r="AJA98" s="0" t="n">
        <f aca="false">-$C$57*$B$59</f>
        <v>-2000</v>
      </c>
      <c r="AJB98" s="0" t="n">
        <f aca="false">-$C$57*$B$59</f>
        <v>-2000</v>
      </c>
      <c r="AJC98" s="0" t="n">
        <f aca="false">-$C$57*$B$59</f>
        <v>-2000</v>
      </c>
      <c r="AJD98" s="0" t="n">
        <f aca="false">-$C$57*$B$59</f>
        <v>-2000</v>
      </c>
      <c r="AJE98" s="0" t="n">
        <f aca="false">-$C$57*$B$59</f>
        <v>-2000</v>
      </c>
      <c r="AJF98" s="0" t="n">
        <f aca="false">-$C$57*$B$59</f>
        <v>-2000</v>
      </c>
      <c r="AJG98" s="0" t="n">
        <f aca="false">-$C$57*$B$59</f>
        <v>-2000</v>
      </c>
      <c r="AJH98" s="0" t="n">
        <f aca="false">-$C$57*$B$59</f>
        <v>-2000</v>
      </c>
      <c r="AJI98" s="0" t="n">
        <f aca="false">-$C$57*$B$59</f>
        <v>-2000</v>
      </c>
      <c r="AJJ98" s="0" t="n">
        <f aca="false">-$C$57*$B$59</f>
        <v>-2000</v>
      </c>
      <c r="AJK98" s="0" t="n">
        <f aca="false">-$C$57*$B$59</f>
        <v>-2000</v>
      </c>
      <c r="AJL98" s="0" t="n">
        <f aca="false">-$C$57*$B$59</f>
        <v>-2000</v>
      </c>
      <c r="AJM98" s="0" t="n">
        <f aca="false">-$C$57*$B$59</f>
        <v>-2000</v>
      </c>
      <c r="AJN98" s="0" t="n">
        <f aca="false">-$C$57*$B$59</f>
        <v>-2000</v>
      </c>
      <c r="AJO98" s="0" t="n">
        <f aca="false">-$C$57*$B$59</f>
        <v>-2000</v>
      </c>
      <c r="AJP98" s="0" t="n">
        <f aca="false">-$C$57*$B$59</f>
        <v>-2000</v>
      </c>
      <c r="AJQ98" s="0" t="n">
        <f aca="false">-$C$57*$B$59</f>
        <v>-2000</v>
      </c>
      <c r="AJR98" s="0" t="n">
        <f aca="false">-$C$57*$B$59</f>
        <v>-2000</v>
      </c>
      <c r="AJS98" s="0" t="n">
        <f aca="false">-$C$57*$B$59</f>
        <v>-2000</v>
      </c>
      <c r="AJT98" s="0" t="n">
        <f aca="false">-$C$57*$B$59</f>
        <v>-2000</v>
      </c>
      <c r="AJU98" s="0" t="n">
        <f aca="false">-$C$57*$B$59</f>
        <v>-2000</v>
      </c>
      <c r="AJV98" s="0" t="n">
        <f aca="false">-$C$57*$B$59</f>
        <v>-2000</v>
      </c>
      <c r="AJW98" s="0" t="n">
        <f aca="false">-$C$57*$B$59</f>
        <v>-2000</v>
      </c>
      <c r="AJX98" s="0" t="n">
        <f aca="false">-$C$57*$B$59</f>
        <v>-2000</v>
      </c>
      <c r="AJY98" s="0" t="n">
        <f aca="false">-$C$57*$B$59</f>
        <v>-2000</v>
      </c>
      <c r="AJZ98" s="0" t="n">
        <f aca="false">-$C$57*$B$59</f>
        <v>-2000</v>
      </c>
      <c r="AKA98" s="0" t="n">
        <f aca="false">-$C$57*$B$59</f>
        <v>-2000</v>
      </c>
      <c r="AKB98" s="0" t="n">
        <f aca="false">-$C$57*$B$59</f>
        <v>-2000</v>
      </c>
      <c r="AKC98" s="0" t="n">
        <f aca="false">-$C$57*$B$59</f>
        <v>-2000</v>
      </c>
      <c r="AKD98" s="0" t="n">
        <f aca="false">-$C$57*$B$59</f>
        <v>-2000</v>
      </c>
      <c r="AKE98" s="0" t="n">
        <f aca="false">-$C$57*$B$59</f>
        <v>-2000</v>
      </c>
      <c r="AKF98" s="0" t="n">
        <f aca="false">-$C$57*$B$59</f>
        <v>-2000</v>
      </c>
      <c r="AKG98" s="0" t="n">
        <f aca="false">-$C$57*$B$59</f>
        <v>-2000</v>
      </c>
      <c r="AKH98" s="0" t="n">
        <f aca="false">-$C$57*$B$59</f>
        <v>-2000</v>
      </c>
      <c r="AKI98" s="0" t="n">
        <f aca="false">-$C$57*$B$59</f>
        <v>-2000</v>
      </c>
      <c r="AKJ98" s="0" t="n">
        <f aca="false">-$C$57*$B$59</f>
        <v>-2000</v>
      </c>
      <c r="AKK98" s="0" t="n">
        <f aca="false">-$C$57*$B$59</f>
        <v>-2000</v>
      </c>
      <c r="AKL98" s="0" t="n">
        <f aca="false">-$C$57*$B$59</f>
        <v>-2000</v>
      </c>
      <c r="AKM98" s="0" t="n">
        <f aca="false">-$C$57*$B$59</f>
        <v>-2000</v>
      </c>
      <c r="AKN98" s="0" t="n">
        <f aca="false">-$C$57*$B$59</f>
        <v>-2000</v>
      </c>
      <c r="AKO98" s="0" t="n">
        <f aca="false">-$C$57*$B$59</f>
        <v>-2000</v>
      </c>
      <c r="AKP98" s="0" t="n">
        <f aca="false">-$C$57*$B$59</f>
        <v>-2000</v>
      </c>
      <c r="AKQ98" s="0" t="n">
        <f aca="false">-$C$57*$B$59</f>
        <v>-2000</v>
      </c>
      <c r="AKR98" s="0" t="n">
        <f aca="false">-$C$57*$B$59</f>
        <v>-2000</v>
      </c>
      <c r="AKS98" s="0" t="n">
        <f aca="false">-$C$57*$B$59</f>
        <v>-2000</v>
      </c>
      <c r="AKT98" s="0" t="n">
        <f aca="false">-$C$57*$B$59</f>
        <v>-2000</v>
      </c>
      <c r="AKU98" s="0" t="n">
        <f aca="false">-$C$57*$B$59</f>
        <v>-2000</v>
      </c>
      <c r="AKV98" s="0" t="n">
        <f aca="false">-$C$57*$B$59</f>
        <v>-2000</v>
      </c>
      <c r="AKW98" s="0" t="n">
        <f aca="false">-$C$57*$B$59</f>
        <v>-2000</v>
      </c>
      <c r="AKX98" s="0" t="n">
        <f aca="false">-$C$57*$B$59</f>
        <v>-2000</v>
      </c>
      <c r="AKY98" s="0" t="n">
        <f aca="false">-$C$57*$B$59</f>
        <v>-2000</v>
      </c>
      <c r="AKZ98" s="0" t="n">
        <f aca="false">-$C$57*$B$59</f>
        <v>-2000</v>
      </c>
      <c r="ALA98" s="0" t="n">
        <f aca="false">-$C$57*$B$59</f>
        <v>-2000</v>
      </c>
      <c r="ALB98" s="0" t="n">
        <f aca="false">-$C$57*$B$59</f>
        <v>-2000</v>
      </c>
      <c r="ALC98" s="0" t="n">
        <f aca="false">-$C$57*$B$59</f>
        <v>-2000</v>
      </c>
      <c r="ALD98" s="0" t="n">
        <f aca="false">-$C$57*$B$59</f>
        <v>-2000</v>
      </c>
      <c r="ALE98" s="0" t="n">
        <f aca="false">-$C$57*$B$59</f>
        <v>-2000</v>
      </c>
      <c r="ALF98" s="0" t="n">
        <f aca="false">-$C$57*$B$59</f>
        <v>-2000</v>
      </c>
      <c r="ALG98" s="0" t="n">
        <f aca="false">-$C$57*$B$59</f>
        <v>-2000</v>
      </c>
      <c r="ALH98" s="0" t="n">
        <f aca="false">-$C$57*$B$59</f>
        <v>-2000</v>
      </c>
      <c r="ALI98" s="0" t="n">
        <f aca="false">-$C$57*$B$59</f>
        <v>-2000</v>
      </c>
      <c r="ALJ98" s="0" t="n">
        <f aca="false">-$C$57*$B$59</f>
        <v>-2000</v>
      </c>
      <c r="ALK98" s="0" t="n">
        <f aca="false">-$C$57*$B$59</f>
        <v>-2000</v>
      </c>
      <c r="ALL98" s="0" t="n">
        <f aca="false">-$C$57*$B$59</f>
        <v>-2000</v>
      </c>
      <c r="ALM98" s="0" t="n">
        <f aca="false">-$C$57*$B$59</f>
        <v>-2000</v>
      </c>
    </row>
    <row r="99" customFormat="false" ht="14.5" hidden="false" customHeight="false" outlineLevel="0" collapsed="false">
      <c r="A99" s="20" t="s">
        <v>90</v>
      </c>
      <c r="B99" s="0" t="n">
        <f aca="false">+B97+B98</f>
        <v>5225.54984522312</v>
      </c>
      <c r="C99" s="0" t="n">
        <f aca="false">+C97+C98</f>
        <v>4876.59798191516</v>
      </c>
      <c r="D99" s="0" t="n">
        <f aca="false">+D97+D98</f>
        <v>2937.25490766102</v>
      </c>
      <c r="E99" s="0" t="n">
        <f aca="false">+E97+E98</f>
        <v>4638.83810153688</v>
      </c>
      <c r="F99" s="0" t="n">
        <f aca="false">+F97+F98</f>
        <v>5051.93060294141</v>
      </c>
      <c r="G99" s="0" t="n">
        <f aca="false">+G97+G98</f>
        <v>4514.54990651264</v>
      </c>
      <c r="H99" s="0" t="n">
        <f aca="false">+H97+H98</f>
        <v>4660.01427411398</v>
      </c>
      <c r="I99" s="0" t="n">
        <f aca="false">+I97+I98</f>
        <v>3191.47014902753</v>
      </c>
      <c r="J99" s="0" t="n">
        <f aca="false">+J97+J98</f>
        <v>4707.02538662237</v>
      </c>
      <c r="K99" s="0" t="n">
        <f aca="false">+K97+K98</f>
        <v>5412.97002972544</v>
      </c>
      <c r="L99" s="0" t="n">
        <f aca="false">+L97+L98</f>
        <v>4866.57001827644</v>
      </c>
      <c r="M99" s="0" t="n">
        <f aca="false">+M97+M98</f>
        <v>4359.57474670486</v>
      </c>
      <c r="N99" s="0" t="n">
        <f aca="false">+N97+N98</f>
        <v>5692.55222938111</v>
      </c>
      <c r="O99" s="0" t="n">
        <f aca="false">+O97+O98</f>
        <v>6028.99048292258</v>
      </c>
      <c r="P99" s="0" t="n">
        <f aca="false">+P97+P98</f>
        <v>4303.95306681525</v>
      </c>
      <c r="Q99" s="0" t="n">
        <f aca="false">+Q97+Q98</f>
        <v>5478.60738557146</v>
      </c>
      <c r="R99" s="0" t="n">
        <f aca="false">+R97+R98</f>
        <v>6026.95896919978</v>
      </c>
      <c r="S99" s="0" t="n">
        <f aca="false">+S97+S98</f>
        <v>5417.45512352329</v>
      </c>
      <c r="T99" s="0" t="n">
        <f aca="false">+T97+T98</f>
        <v>5626.59121316777</v>
      </c>
      <c r="U99" s="0" t="n">
        <f aca="false">+U97+U98</f>
        <v>5984.60873020322</v>
      </c>
      <c r="V99" s="0" t="n">
        <f aca="false">+V97+V98</f>
        <v>5447.22070702826</v>
      </c>
      <c r="W99" s="0" t="n">
        <f aca="false">+W97+W98</f>
        <v>4436.78183799579</v>
      </c>
      <c r="X99" s="0" t="n">
        <f aca="false">+X97+X98</f>
        <v>4084.97390341342</v>
      </c>
      <c r="Y99" s="0" t="n">
        <f aca="false">+Y97+Y98</f>
        <v>5085.66192369504</v>
      </c>
      <c r="Z99" s="0" t="n">
        <f aca="false">+Z97+Z98</f>
        <v>2767.19242197108</v>
      </c>
      <c r="AA99" s="0" t="n">
        <f aca="false">+AA97+AA98</f>
        <v>2711.873849624</v>
      </c>
      <c r="AB99" s="0" t="n">
        <f aca="false">+AB97+AB98</f>
        <v>2162.44177244654</v>
      </c>
      <c r="AC99" s="0" t="n">
        <f aca="false">+AC97+AC98</f>
        <v>6057.04339377163</v>
      </c>
      <c r="AD99" s="0" t="n">
        <f aca="false">+AD97+AD98</f>
        <v>3637.79051273089</v>
      </c>
      <c r="AE99" s="0" t="n">
        <f aca="false">+AE97+AE98</f>
        <v>4962.97606690376</v>
      </c>
      <c r="AF99" s="0" t="n">
        <f aca="false">+AF97+AF98</f>
        <v>5145.75974161062</v>
      </c>
      <c r="AG99" s="0" t="n">
        <f aca="false">+AG97+AG98</f>
        <v>4504.53001956849</v>
      </c>
      <c r="AH99" s="0" t="n">
        <f aca="false">+AH97+AH98</f>
        <v>5089.80787467288</v>
      </c>
      <c r="AI99" s="0" t="n">
        <f aca="false">+AI97+AI98</f>
        <v>5323.86426526881</v>
      </c>
      <c r="AJ99" s="0" t="n">
        <f aca="false">+AJ97+AJ98</f>
        <v>3509.48358374089</v>
      </c>
      <c r="AK99" s="0" t="n">
        <f aca="false">+AK97+AK98</f>
        <v>4515.37917233511</v>
      </c>
      <c r="AL99" s="0" t="n">
        <f aca="false">+AL97+AL98</f>
        <v>3546.21979835205</v>
      </c>
      <c r="AM99" s="0" t="n">
        <f aca="false">+AM97+AM98</f>
        <v>3389.64081837443</v>
      </c>
      <c r="AN99" s="0" t="n">
        <f aca="false">+AN97+AN98</f>
        <v>5085.05882981197</v>
      </c>
      <c r="AO99" s="0" t="n">
        <f aca="false">+AO97+AO98</f>
        <v>6392.52596703294</v>
      </c>
      <c r="AP99" s="0" t="n">
        <f aca="false">+AP97+AP98</f>
        <v>5312.95993631228</v>
      </c>
      <c r="AQ99" s="0" t="n">
        <f aca="false">+AQ97+AQ98</f>
        <v>4689.46128708203</v>
      </c>
      <c r="AR99" s="0" t="n">
        <f aca="false">+AR97+AR98</f>
        <v>6184.78734067589</v>
      </c>
      <c r="AS99" s="0" t="n">
        <f aca="false">+AS97+AS98</f>
        <v>4829.0781788904</v>
      </c>
      <c r="AT99" s="0" t="n">
        <f aca="false">+AT97+AT98</f>
        <v>5064.99351428476</v>
      </c>
      <c r="AU99" s="0" t="n">
        <f aca="false">+AU97+AU98</f>
        <v>4657.99885101097</v>
      </c>
      <c r="AV99" s="0" t="n">
        <f aca="false">+AV97+AV98</f>
        <v>3476.59884202726</v>
      </c>
      <c r="AW99" s="0" t="n">
        <f aca="false">+AW97+AW98</f>
        <v>4937.28079229018</v>
      </c>
      <c r="AX99" s="0" t="n">
        <f aca="false">+AX97+AX98</f>
        <v>5923.08226359368</v>
      </c>
      <c r="AY99" s="0" t="n">
        <f aca="false">+AY97+AY98</f>
        <v>4584.16882307963</v>
      </c>
      <c r="AZ99" s="0" t="n">
        <f aca="false">+AZ97+AZ98</f>
        <v>2650.55893625427</v>
      </c>
      <c r="BA99" s="0" t="n">
        <f aca="false">+BA97+BA98</f>
        <v>5067.79625105605</v>
      </c>
      <c r="BB99" s="0" t="n">
        <f aca="false">+BB97+BB98</f>
        <v>5924.05771225309</v>
      </c>
      <c r="BC99" s="0" t="n">
        <f aca="false">+BC97+BC98</f>
        <v>4547.91081366187</v>
      </c>
      <c r="BD99" s="0" t="n">
        <f aca="false">+BD97+BD98</f>
        <v>5599.73258793167</v>
      </c>
      <c r="BE99" s="0" t="n">
        <f aca="false">+BE97+BE98</f>
        <v>4973.66120785642</v>
      </c>
      <c r="BF99" s="0" t="n">
        <f aca="false">+BF97+BF98</f>
        <v>5398.57627459347</v>
      </c>
      <c r="BG99" s="0" t="n">
        <f aca="false">+BG97+BG98</f>
        <v>3478.67726190404</v>
      </c>
      <c r="BH99" s="0" t="n">
        <f aca="false">+BH97+BH98</f>
        <v>5365.93499587091</v>
      </c>
      <c r="BI99" s="0" t="n">
        <f aca="false">+BI97+BI98</f>
        <v>2691.97431983758</v>
      </c>
      <c r="BJ99" s="0" t="n">
        <f aca="false">+BJ97+BJ98</f>
        <v>4410.9842025997</v>
      </c>
      <c r="BK99" s="0" t="n">
        <f aca="false">+BK97+BK98</f>
        <v>4186.84567583158</v>
      </c>
      <c r="BL99" s="0" t="n">
        <f aca="false">+BL97+BL98</f>
        <v>4473.46743872782</v>
      </c>
      <c r="BM99" s="0" t="n">
        <f aca="false">+BM97+BM98</f>
        <v>6041.22668459707</v>
      </c>
      <c r="BN99" s="0" t="n">
        <f aca="false">+BN97+BN98</f>
        <v>6123.46544520504</v>
      </c>
      <c r="BO99" s="0" t="n">
        <f aca="false">+BO97+BO98</f>
        <v>5345.33083727648</v>
      </c>
      <c r="BP99" s="0" t="n">
        <f aca="false">+BP97+BP98</f>
        <v>5091.20017424871</v>
      </c>
      <c r="BQ99" s="0" t="n">
        <f aca="false">+BQ97+BQ98</f>
        <v>5484.28448932181</v>
      </c>
      <c r="BR99" s="0" t="n">
        <f aca="false">+BR97+BR98</f>
        <v>4988.12615152587</v>
      </c>
      <c r="BS99" s="0" t="n">
        <f aca="false">+BS97+BS98</f>
        <v>5623.97730596638</v>
      </c>
      <c r="BT99" s="0" t="n">
        <f aca="false">+BT97+BT98</f>
        <v>4396.91642020278</v>
      </c>
      <c r="BU99" s="0" t="n">
        <f aca="false">+BU97+BU98</f>
        <v>6052.0982559977</v>
      </c>
      <c r="BV99" s="0" t="n">
        <f aca="false">+BV97+BV98</f>
        <v>4545.1512142783</v>
      </c>
      <c r="BW99" s="0" t="n">
        <f aca="false">+BW97+BW98</f>
        <v>5327.45997723908</v>
      </c>
      <c r="BX99" s="0" t="n">
        <f aca="false">+BX97+BX98</f>
        <v>5551.4107206972</v>
      </c>
      <c r="BY99" s="0" t="n">
        <f aca="false">+BY97+BY98</f>
        <v>5699.5087508798</v>
      </c>
      <c r="BZ99" s="0" t="n">
        <f aca="false">+BZ97+BZ98</f>
        <v>3793.03802362785</v>
      </c>
      <c r="CA99" s="0" t="n">
        <f aca="false">+CA97+CA98</f>
        <v>4320.4548624665</v>
      </c>
      <c r="CB99" s="0" t="n">
        <f aca="false">+CB97+CB98</f>
        <v>6075.28973713376</v>
      </c>
      <c r="CC99" s="0" t="n">
        <f aca="false">+CC97+CC98</f>
        <v>2769.98346110812</v>
      </c>
      <c r="CD99" s="0" t="n">
        <f aca="false">+CD97+CD98</f>
        <v>1151.94186989855</v>
      </c>
      <c r="CE99" s="0" t="n">
        <f aca="false">+CE97+CE98</f>
        <v>3877.69224983005</v>
      </c>
      <c r="CF99" s="0" t="n">
        <f aca="false">+CF97+CF98</f>
        <v>3899.54262208206</v>
      </c>
      <c r="CG99" s="0" t="n">
        <f aca="false">+CG97+CG98</f>
        <v>6581.01896765512</v>
      </c>
      <c r="CH99" s="0" t="n">
        <f aca="false">+CH97+CH98</f>
        <v>5302.02414990773</v>
      </c>
      <c r="CI99" s="0" t="n">
        <f aca="false">+CI97+CI98</f>
        <v>3506.85668755103</v>
      </c>
      <c r="CJ99" s="0" t="n">
        <f aca="false">+CJ97+CJ98</f>
        <v>2476.98101819243</v>
      </c>
      <c r="CK99" s="0" t="n">
        <f aca="false">+CK97+CK98</f>
        <v>5235.68397996389</v>
      </c>
      <c r="CL99" s="0" t="n">
        <f aca="false">+CL97+CL98</f>
        <v>5421.62017578549</v>
      </c>
      <c r="CM99" s="0" t="n">
        <f aca="false">+CM97+CM98</f>
        <v>3548.03266134155</v>
      </c>
      <c r="CN99" s="0" t="n">
        <f aca="false">+CN97+CN98</f>
        <v>4210.64987547132</v>
      </c>
      <c r="CO99" s="0" t="n">
        <f aca="false">+CO97+CO98</f>
        <v>4510.77251052896</v>
      </c>
      <c r="CP99" s="0" t="n">
        <f aca="false">+CP97+CP98</f>
        <v>5966.41491971245</v>
      </c>
      <c r="CQ99" s="0" t="n">
        <f aca="false">+CQ97+CQ98</f>
        <v>5179.31933356025</v>
      </c>
      <c r="CR99" s="0" t="n">
        <f aca="false">+CR97+CR98</f>
        <v>4692.98977342141</v>
      </c>
      <c r="CS99" s="0" t="n">
        <f aca="false">+CS97+CS98</f>
        <v>4789.20786162268</v>
      </c>
      <c r="CT99" s="0" t="n">
        <f aca="false">+CT97+CT98</f>
        <v>6079.00518147135</v>
      </c>
      <c r="CU99" s="0" t="n">
        <f aca="false">+CU97+CU98</f>
        <v>5479.5001404625</v>
      </c>
      <c r="CV99" s="0" t="n">
        <f aca="false">+CV97+CV98</f>
        <v>5935.59559163975</v>
      </c>
      <c r="CW99" s="0" t="n">
        <f aca="false">+CW97+CW98</f>
        <v>4976.21431868176</v>
      </c>
      <c r="CX99" s="0" t="n">
        <f aca="false">+CX97+CX98</f>
        <v>4634.69066946263</v>
      </c>
      <c r="CY99" s="0" t="n">
        <f aca="false">+CY97+CY98</f>
        <v>4741.23757341779</v>
      </c>
      <c r="CZ99" s="0" t="n">
        <f aca="false">+CZ97+CZ98</f>
        <v>5040.51665778144</v>
      </c>
      <c r="DA99" s="0" t="n">
        <f aca="false">+DA97+DA98</f>
        <v>5989.43920236187</v>
      </c>
      <c r="DB99" s="0" t="n">
        <f aca="false">+DB97+DB98</f>
        <v>5624.29443028657</v>
      </c>
      <c r="DC99" s="0" t="n">
        <f aca="false">+DC97+DC98</f>
        <v>3150.49111992185</v>
      </c>
      <c r="DD99" s="0" t="n">
        <f aca="false">+DD97+DD98</f>
        <v>4844.87802408564</v>
      </c>
      <c r="DE99" s="0" t="n">
        <f aca="false">+DE97+DE98</f>
        <v>5099.46260203301</v>
      </c>
      <c r="DF99" s="0" t="n">
        <f aca="false">+DF97+DF98</f>
        <v>5267.33383461195</v>
      </c>
      <c r="DG99" s="0" t="n">
        <f aca="false">+DG97+DG98</f>
        <v>5341.49197466896</v>
      </c>
      <c r="DH99" s="0" t="n">
        <f aca="false">+DH97+DH98</f>
        <v>5445.98026754935</v>
      </c>
      <c r="DI99" s="0" t="n">
        <f aca="false">+DI97+DI98</f>
        <v>5847.20091282494</v>
      </c>
      <c r="DJ99" s="0" t="n">
        <f aca="false">+DJ97+DJ98</f>
        <v>4954.24766489882</v>
      </c>
      <c r="DK99" s="0" t="n">
        <f aca="false">+DK97+DK98</f>
        <v>4410.96395443841</v>
      </c>
      <c r="DL99" s="0" t="n">
        <f aca="false">+DL97+DL98</f>
        <v>4087.36072206682</v>
      </c>
      <c r="DM99" s="0" t="n">
        <f aca="false">+DM97+DM98</f>
        <v>4258.75078847467</v>
      </c>
      <c r="DN99" s="0" t="n">
        <f aca="false">+DN97+DN98</f>
        <v>3661.81110471922</v>
      </c>
      <c r="DO99" s="0" t="n">
        <f aca="false">+DO97+DO98</f>
        <v>1709.5713549422</v>
      </c>
      <c r="DP99" s="0" t="n">
        <f aca="false">+DP97+DP98</f>
        <v>3623.6057294649</v>
      </c>
      <c r="DQ99" s="0" t="n">
        <f aca="false">+DQ97+DQ98</f>
        <v>5213.13526436768</v>
      </c>
      <c r="DR99" s="0" t="n">
        <f aca="false">+DR97+DR98</f>
        <v>4257.29141973715</v>
      </c>
      <c r="DS99" s="0" t="n">
        <f aca="false">+DS97+DS98</f>
        <v>6179.08611200403</v>
      </c>
      <c r="DT99" s="0" t="n">
        <f aca="false">+DT97+DT98</f>
        <v>3435.39425154208</v>
      </c>
      <c r="DU99" s="0" t="n">
        <f aca="false">+DU97+DU98</f>
        <v>3977.34325444623</v>
      </c>
      <c r="DV99" s="0" t="n">
        <f aca="false">+DV97+DV98</f>
        <v>4121.61770443912</v>
      </c>
      <c r="DW99" s="0" t="n">
        <f aca="false">+DW97+DW98</f>
        <v>6165.7954868694</v>
      </c>
      <c r="DX99" s="0" t="n">
        <f aca="false">+DX97+DX98</f>
        <v>5729.46902126354</v>
      </c>
      <c r="DY99" s="0" t="n">
        <f aca="false">+DY97+DY98</f>
        <v>4561.91857504757</v>
      </c>
      <c r="DZ99" s="0" t="n">
        <f aca="false">+DZ97+DZ98</f>
        <v>6144.56956475368</v>
      </c>
      <c r="EA99" s="0" t="n">
        <f aca="false">+EA97+EA98</f>
        <v>5594.84251026974</v>
      </c>
      <c r="EB99" s="0" t="n">
        <f aca="false">+EB97+EB98</f>
        <v>5419.94542320905</v>
      </c>
      <c r="EC99" s="0" t="n">
        <f aca="false">+EC97+EC98</f>
        <v>4855.8965223934</v>
      </c>
      <c r="ED99" s="0" t="n">
        <f aca="false">+ED97+ED98</f>
        <v>6082.93118979577</v>
      </c>
      <c r="EE99" s="0" t="n">
        <f aca="false">+EE97+EE98</f>
        <v>3595.74468761292</v>
      </c>
      <c r="EF99" s="0" t="n">
        <f aca="false">+EF97+EF98</f>
        <v>4681.86703565507</v>
      </c>
      <c r="EG99" s="0" t="n">
        <f aca="false">+EG97+EG98</f>
        <v>5567.25460897091</v>
      </c>
      <c r="EH99" s="0" t="n">
        <f aca="false">+EH97+EH98</f>
        <v>5106.01188794985</v>
      </c>
      <c r="EI99" s="0" t="n">
        <f aca="false">+EI97+EI98</f>
        <v>5961.44320581314</v>
      </c>
      <c r="EJ99" s="0" t="n">
        <f aca="false">+EJ97+EJ98</f>
        <v>4273.22372380193</v>
      </c>
      <c r="EK99" s="0" t="n">
        <f aca="false">+EK97+EK98</f>
        <v>4643.73242325024</v>
      </c>
      <c r="EL99" s="0" t="n">
        <f aca="false">+EL97+EL98</f>
        <v>3427.19003073832</v>
      </c>
      <c r="EM99" s="0" t="n">
        <f aca="false">+EM97+EM98</f>
        <v>5044.83956135724</v>
      </c>
      <c r="EN99" s="0" t="n">
        <f aca="false">+EN97+EN98</f>
        <v>3565.71196009883</v>
      </c>
      <c r="EO99" s="0" t="n">
        <f aca="false">+EO97+EO98</f>
        <v>5052.68796234969</v>
      </c>
      <c r="EP99" s="0" t="n">
        <f aca="false">+EP97+EP98</f>
        <v>5239.60262620392</v>
      </c>
      <c r="EQ99" s="0" t="n">
        <f aca="false">+EQ97+EQ98</f>
        <v>5510.26381094287</v>
      </c>
      <c r="ER99" s="0" t="n">
        <f aca="false">+ER97+ER98</f>
        <v>4407.42395421874</v>
      </c>
      <c r="ES99" s="0" t="n">
        <f aca="false">+ES97+ES98</f>
        <v>4000.24903832369</v>
      </c>
      <c r="ET99" s="0" t="n">
        <f aca="false">+ET97+ET98</f>
        <v>4654.14228864732</v>
      </c>
      <c r="EU99" s="0" t="n">
        <f aca="false">+EU97+EU98</f>
        <v>3121.24725676581</v>
      </c>
      <c r="EV99" s="0" t="n">
        <f aca="false">+EV97+EV98</f>
        <v>4126.95930085224</v>
      </c>
      <c r="EW99" s="0" t="n">
        <f aca="false">+EW97+EW98</f>
        <v>5924.39125695739</v>
      </c>
      <c r="EX99" s="0" t="n">
        <f aca="false">+EX97+EX98</f>
        <v>6748.08580126153</v>
      </c>
      <c r="EY99" s="0" t="n">
        <f aca="false">+EY97+EY98</f>
        <v>1450.23633528688</v>
      </c>
      <c r="EZ99" s="0" t="n">
        <f aca="false">+EZ97+EZ98</f>
        <v>4902.86508471487</v>
      </c>
      <c r="FA99" s="0" t="n">
        <f aca="false">+FA97+FA98</f>
        <v>3264.89227981301</v>
      </c>
      <c r="FB99" s="0" t="n">
        <f aca="false">+FB97+FB98</f>
        <v>4393.47309245139</v>
      </c>
      <c r="FC99" s="0" t="n">
        <f aca="false">+FC97+FC98</f>
        <v>3853.80962472281</v>
      </c>
      <c r="FD99" s="0" t="n">
        <f aca="false">+FD97+FD98</f>
        <v>3269.50638156852</v>
      </c>
      <c r="FE99" s="0" t="n">
        <f aca="false">+FE97+FE98</f>
        <v>6583.96921029513</v>
      </c>
      <c r="FF99" s="0" t="n">
        <f aca="false">+FF97+FF98</f>
        <v>5528.05859986113</v>
      </c>
      <c r="FG99" s="0" t="n">
        <f aca="false">+FG97+FG98</f>
        <v>4934.04200414636</v>
      </c>
      <c r="FH99" s="0" t="n">
        <f aca="false">+FH97+FH98</f>
        <v>4878.80840764502</v>
      </c>
      <c r="FI99" s="0" t="n">
        <f aca="false">+FI97+FI98</f>
        <v>5216.56078412617</v>
      </c>
      <c r="FJ99" s="0" t="n">
        <f aca="false">+FJ97+FJ98</f>
        <v>4586.54031156285</v>
      </c>
      <c r="FK99" s="0" t="n">
        <f aca="false">+FK97+FK98</f>
        <v>3038.21691465368</v>
      </c>
      <c r="FL99" s="0" t="n">
        <f aca="false">+FL97+FL98</f>
        <v>5368.9023129873</v>
      </c>
      <c r="FM99" s="0" t="n">
        <f aca="false">+FM97+FM98</f>
        <v>2517.50840686859</v>
      </c>
      <c r="FN99" s="0" t="n">
        <f aca="false">+FN97+FN98</f>
        <v>3578.40196627768</v>
      </c>
      <c r="FO99" s="0" t="n">
        <f aca="false">+FO97+FO98</f>
        <v>4877.91887420122</v>
      </c>
      <c r="FP99" s="0" t="n">
        <f aca="false">+FP97+FP98</f>
        <v>5480.37328166973</v>
      </c>
      <c r="FQ99" s="0" t="n">
        <f aca="false">+FQ97+FQ98</f>
        <v>5256.85691272571</v>
      </c>
      <c r="FR99" s="0" t="n">
        <f aca="false">+FR97+FR98</f>
        <v>5504.28868715635</v>
      </c>
      <c r="FS99" s="0" t="n">
        <f aca="false">+FS97+FS98</f>
        <v>5250.18399333952</v>
      </c>
      <c r="FT99" s="0" t="n">
        <f aca="false">+FT97+FT98</f>
        <v>4699.39882132812</v>
      </c>
      <c r="FU99" s="0" t="n">
        <f aca="false">+FU97+FU98</f>
        <v>3585.37732862939</v>
      </c>
      <c r="FV99" s="0" t="n">
        <f aca="false">+FV97+FV98</f>
        <v>3697.078479627</v>
      </c>
      <c r="FW99" s="0" t="n">
        <f aca="false">+FW97+FW98</f>
        <v>3996.96849370776</v>
      </c>
      <c r="FX99" s="0" t="n">
        <f aca="false">+FX97+FX98</f>
        <v>4795.0534023539</v>
      </c>
      <c r="FY99" s="0" t="n">
        <f aca="false">+FY97+FY98</f>
        <v>3834.37619588451</v>
      </c>
      <c r="FZ99" s="0" t="n">
        <f aca="false">+FZ97+FZ98</f>
        <v>5755.15558778694</v>
      </c>
      <c r="GA99" s="0" t="n">
        <f aca="false">+GA97+GA98</f>
        <v>5125.51771148955</v>
      </c>
      <c r="GB99" s="0" t="n">
        <f aca="false">+GB97+GB98</f>
        <v>4918.66219581922</v>
      </c>
      <c r="GC99" s="0" t="n">
        <f aca="false">+GC97+GC98</f>
        <v>6143.68754916072</v>
      </c>
      <c r="GD99" s="0" t="n">
        <f aca="false">+GD97+GD98</f>
        <v>5281.18062597367</v>
      </c>
      <c r="GE99" s="0" t="n">
        <f aca="false">+GE97+GE98</f>
        <v>4399.74113842172</v>
      </c>
      <c r="GF99" s="0" t="n">
        <f aca="false">+GF97+GF98</f>
        <v>4683.295841463</v>
      </c>
      <c r="GG99" s="0" t="n">
        <f aca="false">+GG97+GG98</f>
        <v>5329.47529395378</v>
      </c>
      <c r="GH99" s="0" t="n">
        <f aca="false">+GH97+GH98</f>
        <v>4842.68049024644</v>
      </c>
      <c r="GI99" s="0" t="n">
        <f aca="false">+GI97+GI98</f>
        <v>3545.78502343591</v>
      </c>
      <c r="GJ99" s="0" t="n">
        <f aca="false">+GJ97+GJ98</f>
        <v>6515.26054572672</v>
      </c>
      <c r="GK99" s="0" t="n">
        <f aca="false">+GK97+GK98</f>
        <v>6010.87971369707</v>
      </c>
      <c r="GL99" s="0" t="n">
        <f aca="false">+GL97+GL98</f>
        <v>5335.49943315916</v>
      </c>
      <c r="GM99" s="0" t="n">
        <f aca="false">+GM97+GM98</f>
        <v>4823.69903178646</v>
      </c>
      <c r="GN99" s="0" t="n">
        <f aca="false">+GN97+GN98</f>
        <v>5184.00624879816</v>
      </c>
      <c r="GO99" s="0" t="n">
        <f aca="false">+GO97+GO98</f>
        <v>5782.09423114818</v>
      </c>
      <c r="GP99" s="0" t="n">
        <f aca="false">+GP97+GP98</f>
        <v>3898.41419906415</v>
      </c>
      <c r="GQ99" s="0" t="n">
        <f aca="false">+GQ97+GQ98</f>
        <v>5829.45186617016</v>
      </c>
      <c r="GR99" s="0" t="n">
        <f aca="false">+GR97+GR98</f>
        <v>3363.21986459858</v>
      </c>
      <c r="GS99" s="0" t="n">
        <f aca="false">+GS97+GS98</f>
        <v>4870.17571262961</v>
      </c>
      <c r="GT99" s="0" t="n">
        <f aca="false">+GT97+GT98</f>
        <v>4413.90622507507</v>
      </c>
      <c r="GU99" s="0" t="n">
        <f aca="false">+GU97+GU98</f>
        <v>5744.96371562452</v>
      </c>
      <c r="GV99" s="0" t="n">
        <f aca="false">+GV97+GV98</f>
        <v>4108.56112553584</v>
      </c>
      <c r="GW99" s="0" t="n">
        <f aca="false">+GW97+GW98</f>
        <v>5568.04529449213</v>
      </c>
      <c r="GX99" s="0" t="n">
        <f aca="false">+GX97+GX98</f>
        <v>5030.16196318948</v>
      </c>
      <c r="GY99" s="0" t="n">
        <f aca="false">+GY97+GY98</f>
        <v>5336.53689859607</v>
      </c>
      <c r="GZ99" s="0" t="n">
        <f aca="false">+GZ97+GZ98</f>
        <v>3998.90382933474</v>
      </c>
      <c r="HA99" s="0" t="n">
        <f aca="false">+HA97+HA98</f>
        <v>4557.53798377747</v>
      </c>
      <c r="HB99" s="0" t="n">
        <f aca="false">+HB97+HB98</f>
        <v>5377.59110424649</v>
      </c>
      <c r="HC99" s="0" t="n">
        <f aca="false">+HC97+HC98</f>
        <v>5678.21753349044</v>
      </c>
      <c r="HD99" s="0" t="n">
        <f aca="false">+HD97+HD98</f>
        <v>3066.53161174494</v>
      </c>
      <c r="HE99" s="0" t="n">
        <f aca="false">+HE97+HE98</f>
        <v>3758.88047598665</v>
      </c>
      <c r="HF99" s="0" t="n">
        <f aca="false">+HF97+HF98</f>
        <v>4892.66902793415</v>
      </c>
      <c r="HG99" s="0" t="n">
        <f aca="false">+HG97+HG98</f>
        <v>3903.68766545869</v>
      </c>
      <c r="HH99" s="0" t="n">
        <f aca="false">+HH97+HH98</f>
        <v>3838.60281623426</v>
      </c>
      <c r="HI99" s="0" t="n">
        <f aca="false">+HI97+HI98</f>
        <v>4354.35050642331</v>
      </c>
      <c r="HJ99" s="0" t="n">
        <f aca="false">+HJ97+HJ98</f>
        <v>5184.81543959936</v>
      </c>
      <c r="HK99" s="0" t="n">
        <f aca="false">+HK97+HK98</f>
        <v>5706.65073015793</v>
      </c>
      <c r="HL99" s="0" t="n">
        <f aca="false">+HL97+HL98</f>
        <v>3143.21261067707</v>
      </c>
      <c r="HM99" s="0" t="n">
        <f aca="false">+HM97+HM98</f>
        <v>5976.86978855884</v>
      </c>
      <c r="HN99" s="0" t="n">
        <f aca="false">+HN97+HN98</f>
        <v>5949.17223966824</v>
      </c>
      <c r="HO99" s="0" t="n">
        <f aca="false">+HO97+HO98</f>
        <v>6358.51121123652</v>
      </c>
      <c r="HP99" s="0" t="n">
        <f aca="false">+HP97+HP98</f>
        <v>5692.35687825254</v>
      </c>
      <c r="HQ99" s="0" t="n">
        <f aca="false">+HQ97+HQ98</f>
        <v>4456.25490770592</v>
      </c>
      <c r="HR99" s="0" t="n">
        <f aca="false">+HR97+HR98</f>
        <v>4595.73144355129</v>
      </c>
      <c r="HS99" s="0" t="n">
        <f aca="false">+HS97+HS98</f>
        <v>4411.98080713285</v>
      </c>
      <c r="HT99" s="0" t="n">
        <f aca="false">+HT97+HT98</f>
        <v>1679.53336597106</v>
      </c>
      <c r="HU99" s="0" t="n">
        <f aca="false">+HU97+HU98</f>
        <v>5890.30813717768</v>
      </c>
      <c r="HV99" s="0" t="n">
        <f aca="false">+HV97+HV98</f>
        <v>4339.36409958488</v>
      </c>
      <c r="HW99" s="0" t="n">
        <f aca="false">+HW97+HW98</f>
        <v>5438.31074642287</v>
      </c>
      <c r="HX99" s="0" t="n">
        <f aca="false">+HX97+HX98</f>
        <v>3714.39157556341</v>
      </c>
      <c r="HY99" s="0" t="n">
        <f aca="false">+HY97+HY98</f>
        <v>5755.78116382183</v>
      </c>
      <c r="HZ99" s="0" t="n">
        <f aca="false">+HZ97+HZ98</f>
        <v>5713.93743231312</v>
      </c>
      <c r="IA99" s="0" t="n">
        <f aca="false">+IA97+IA98</f>
        <v>3224.1614007464</v>
      </c>
      <c r="IB99" s="0" t="n">
        <f aca="false">+IB97+IB98</f>
        <v>6068.47060708389</v>
      </c>
      <c r="IC99" s="0" t="n">
        <f aca="false">+IC97+IC98</f>
        <v>5922.59633017052</v>
      </c>
      <c r="ID99" s="0" t="n">
        <f aca="false">+ID97+ID98</f>
        <v>5625.5973785203</v>
      </c>
      <c r="IE99" s="0" t="n">
        <f aca="false">+IE97+IE98</f>
        <v>2888.57301195714</v>
      </c>
      <c r="IF99" s="0" t="n">
        <f aca="false">+IF97+IF98</f>
        <v>5313.94474557354</v>
      </c>
      <c r="IG99" s="0" t="n">
        <f aca="false">+IG97+IG98</f>
        <v>5732.96995529884</v>
      </c>
      <c r="IH99" s="0" t="n">
        <f aca="false">+IH97+IH98</f>
        <v>4792.68027218013</v>
      </c>
      <c r="II99" s="0" t="n">
        <f aca="false">+II97+II98</f>
        <v>5044.85530881519</v>
      </c>
      <c r="IJ99" s="0" t="n">
        <f aca="false">+IJ97+IJ98</f>
        <v>5229.31051605209</v>
      </c>
      <c r="IK99" s="0" t="n">
        <f aca="false">+IK97+IK98</f>
        <v>1851.95558228837</v>
      </c>
      <c r="IL99" s="0" t="n">
        <f aca="false">+IL97+IL98</f>
        <v>4291.86546967411</v>
      </c>
      <c r="IM99" s="0" t="n">
        <f aca="false">+IM97+IM98</f>
        <v>5489.44432144785</v>
      </c>
      <c r="IN99" s="0" t="n">
        <f aca="false">+IN97+IN98</f>
        <v>4959.96378412085</v>
      </c>
      <c r="IO99" s="0" t="n">
        <f aca="false">+IO97+IO98</f>
        <v>4368.3338166182</v>
      </c>
      <c r="IP99" s="0" t="n">
        <f aca="false">+IP97+IP98</f>
        <v>4775.15175301973</v>
      </c>
      <c r="IQ99" s="0" t="n">
        <f aca="false">+IQ97+IQ98</f>
        <v>4964.32556321624</v>
      </c>
      <c r="IR99" s="0" t="n">
        <f aca="false">+IR97+IR98</f>
        <v>5672.56699613768</v>
      </c>
      <c r="IS99" s="0" t="n">
        <f aca="false">+IS97+IS98</f>
        <v>4732.96500100826</v>
      </c>
      <c r="IT99" s="0" t="n">
        <f aca="false">+IT97+IT98</f>
        <v>4340.09422436088</v>
      </c>
      <c r="IU99" s="0" t="n">
        <f aca="false">+IU97+IU98</f>
        <v>5183.70752273887</v>
      </c>
      <c r="IV99" s="0" t="n">
        <f aca="false">+IV97+IV98</f>
        <v>3966.72715021551</v>
      </c>
      <c r="IW99" s="0" t="n">
        <f aca="false">+IW97+IW98</f>
        <v>5027.72886585104</v>
      </c>
      <c r="IX99" s="0" t="n">
        <f aca="false">+IX97+IX98</f>
        <v>4873.86498162613</v>
      </c>
      <c r="IY99" s="0" t="n">
        <f aca="false">+IY97+IY98</f>
        <v>4362.01208676528</v>
      </c>
      <c r="IZ99" s="0" t="n">
        <f aca="false">+IZ97+IZ98</f>
        <v>4609.08326755819</v>
      </c>
      <c r="JA99" s="0" t="n">
        <f aca="false">+JA97+JA98</f>
        <v>6159.88682394424</v>
      </c>
      <c r="JB99" s="0" t="n">
        <f aca="false">+JB97+JB98</f>
        <v>5243.61867336665</v>
      </c>
      <c r="JC99" s="0" t="n">
        <f aca="false">+JC97+JC98</f>
        <v>5181.13056867415</v>
      </c>
      <c r="JD99" s="0" t="n">
        <f aca="false">+JD97+JD98</f>
        <v>5346.42778305608</v>
      </c>
      <c r="JE99" s="0" t="n">
        <f aca="false">+JE97+JE98</f>
        <v>5902.28979416167</v>
      </c>
      <c r="JF99" s="0" t="n">
        <f aca="false">+JF97+JF98</f>
        <v>4393.06241352383</v>
      </c>
      <c r="JG99" s="0" t="n">
        <f aca="false">+JG97+JG98</f>
        <v>4069.30368521505</v>
      </c>
      <c r="JH99" s="0" t="n">
        <f aca="false">+JH97+JH98</f>
        <v>5468.68528042757</v>
      </c>
      <c r="JI99" s="0" t="n">
        <f aca="false">+JI97+JI98</f>
        <v>4343.54420588406</v>
      </c>
      <c r="JJ99" s="0" t="n">
        <f aca="false">+JJ97+JJ98</f>
        <v>5128.90939236359</v>
      </c>
      <c r="JK99" s="0" t="n">
        <f aca="false">+JK97+JK98</f>
        <v>5594.09904340134</v>
      </c>
      <c r="JL99" s="0" t="n">
        <f aca="false">+JL97+JL98</f>
        <v>4898.58236940067</v>
      </c>
      <c r="JM99" s="0" t="n">
        <f aca="false">+JM97+JM98</f>
        <v>5101.48511589772</v>
      </c>
      <c r="JN99" s="0" t="n">
        <f aca="false">+JN97+JN98</f>
        <v>4785.5167746107</v>
      </c>
      <c r="JO99" s="0" t="n">
        <f aca="false">+JO97+JO98</f>
        <v>6214.82876187949</v>
      </c>
      <c r="JP99" s="0" t="n">
        <f aca="false">+JP97+JP98</f>
        <v>5198.19033183403</v>
      </c>
      <c r="JQ99" s="0" t="n">
        <f aca="false">+JQ97+JQ98</f>
        <v>5394.85818254852</v>
      </c>
      <c r="JR99" s="0" t="n">
        <f aca="false">+JR97+JR98</f>
        <v>5839.70447484853</v>
      </c>
      <c r="JS99" s="0" t="n">
        <f aca="false">+JS97+JS98</f>
        <v>5295.58861679205</v>
      </c>
      <c r="JT99" s="0" t="n">
        <f aca="false">+JT97+JT98</f>
        <v>5230.43637793123</v>
      </c>
      <c r="JU99" s="0" t="n">
        <f aca="false">+JU97+JU98</f>
        <v>5210.29983226808</v>
      </c>
      <c r="JV99" s="0" t="n">
        <f aca="false">+JV97+JV98</f>
        <v>4850.00693559813</v>
      </c>
      <c r="JW99" s="0" t="n">
        <f aca="false">+JW97+JW98</f>
        <v>2565.04417633509</v>
      </c>
      <c r="JX99" s="0" t="n">
        <f aca="false">+JX97+JX98</f>
        <v>6114.32217389089</v>
      </c>
      <c r="JY99" s="0" t="n">
        <f aca="false">+JY97+JY98</f>
        <v>5170.892020409</v>
      </c>
      <c r="JZ99" s="0" t="n">
        <f aca="false">+JZ97+JZ98</f>
        <v>6090.25478411165</v>
      </c>
      <c r="KA99" s="0" t="n">
        <f aca="false">+KA97+KA98</f>
        <v>5764.87295664008</v>
      </c>
      <c r="KB99" s="0" t="n">
        <f aca="false">+KB97+KB98</f>
        <v>4079.74109015251</v>
      </c>
      <c r="KC99" s="0" t="n">
        <f aca="false">+KC97+KC98</f>
        <v>5993.28386932768</v>
      </c>
      <c r="KD99" s="0" t="n">
        <f aca="false">+KD97+KD98</f>
        <v>5023.65460834744</v>
      </c>
      <c r="KE99" s="0" t="n">
        <f aca="false">+KE97+KE98</f>
        <v>4559.01892624499</v>
      </c>
      <c r="KF99" s="0" t="n">
        <f aca="false">+KF97+KF98</f>
        <v>4816.44931405821</v>
      </c>
      <c r="KG99" s="0" t="n">
        <f aca="false">+KG97+KG98</f>
        <v>2413.13216581461</v>
      </c>
      <c r="KH99" s="0" t="n">
        <f aca="false">+KH97+KH98</f>
        <v>4901.00592989467</v>
      </c>
      <c r="KI99" s="0" t="n">
        <f aca="false">+KI97+KI98</f>
        <v>5893.90595786382</v>
      </c>
      <c r="KJ99" s="0" t="n">
        <f aca="false">+KJ97+KJ98</f>
        <v>4284.50843606391</v>
      </c>
      <c r="KK99" s="0" t="n">
        <f aca="false">+KK97+KK98</f>
        <v>5665.9434666598</v>
      </c>
      <c r="KL99" s="0" t="n">
        <f aca="false">+KL97+KL98</f>
        <v>4579.0752168781</v>
      </c>
      <c r="KM99" s="0" t="n">
        <f aca="false">+KM97+KM98</f>
        <v>4535.81182951804</v>
      </c>
      <c r="KN99" s="0" t="n">
        <f aca="false">+KN97+KN98</f>
        <v>5257.61697536545</v>
      </c>
      <c r="KO99" s="0" t="n">
        <f aca="false">+KO97+KO98</f>
        <v>5204.99591110094</v>
      </c>
      <c r="KP99" s="0" t="n">
        <f aca="false">+KP97+KP98</f>
        <v>6487.51422156115</v>
      </c>
      <c r="KQ99" s="0" t="n">
        <f aca="false">+KQ97+KQ98</f>
        <v>5202.15601655006</v>
      </c>
      <c r="KR99" s="0" t="n">
        <f aca="false">+KR97+KR98</f>
        <v>4921.123236827</v>
      </c>
      <c r="KS99" s="0" t="n">
        <f aca="false">+KS97+KS98</f>
        <v>5143.18289375163</v>
      </c>
      <c r="KT99" s="0" t="n">
        <f aca="false">+KT97+KT98</f>
        <v>5850.04554306854</v>
      </c>
      <c r="KU99" s="0" t="n">
        <f aca="false">+KU97+KU98</f>
        <v>5898.96007919592</v>
      </c>
      <c r="KV99" s="0" t="n">
        <f aca="false">+KV97+KV98</f>
        <v>5283.56332328627</v>
      </c>
      <c r="KW99" s="0" t="n">
        <f aca="false">+KW97+KW98</f>
        <v>6350.24994066937</v>
      </c>
      <c r="KX99" s="0" t="n">
        <f aca="false">+KX97+KX98</f>
        <v>4464.77723520578</v>
      </c>
      <c r="KY99" s="0" t="n">
        <f aca="false">+KY97+KY98</f>
        <v>4500.34758569246</v>
      </c>
      <c r="KZ99" s="0" t="n">
        <f aca="false">+KZ97+KZ98</f>
        <v>5709.06146747423</v>
      </c>
      <c r="LA99" s="0" t="n">
        <f aca="false">+LA97+LA98</f>
        <v>4089.37717876137</v>
      </c>
      <c r="LB99" s="0" t="n">
        <f aca="false">+LB97+LB98</f>
        <v>2001.93749252261</v>
      </c>
      <c r="LC99" s="0" t="n">
        <f aca="false">+LC97+LC98</f>
        <v>4382.01876360668</v>
      </c>
      <c r="LD99" s="0" t="n">
        <f aca="false">+LD97+LD98</f>
        <v>5369.52470815987</v>
      </c>
      <c r="LE99" s="0" t="n">
        <f aca="false">+LE97+LE98</f>
        <v>5949.24694186023</v>
      </c>
      <c r="LF99" s="0" t="n">
        <f aca="false">+LF97+LF98</f>
        <v>5531.3471127913</v>
      </c>
      <c r="LG99" s="0" t="n">
        <f aca="false">+LG97+LG98</f>
        <v>4486.73126299987</v>
      </c>
      <c r="LH99" s="0" t="n">
        <f aca="false">+LH97+LH98</f>
        <v>6007.81082453837</v>
      </c>
      <c r="LI99" s="0" t="n">
        <f aca="false">+LI97+LI98</f>
        <v>4417.1230174579</v>
      </c>
      <c r="LJ99" s="0" t="n">
        <f aca="false">+LJ97+LJ98</f>
        <v>5076.10200492405</v>
      </c>
      <c r="LK99" s="0" t="n">
        <f aca="false">+LK97+LK98</f>
        <v>3999.92281890367</v>
      </c>
      <c r="LL99" s="0" t="n">
        <f aca="false">+LL97+LL98</f>
        <v>5230.34519325921</v>
      </c>
      <c r="LM99" s="0" t="n">
        <f aca="false">+LM97+LM98</f>
        <v>5117.06286149034</v>
      </c>
      <c r="LN99" s="0" t="n">
        <f aca="false">+LN97+LN98</f>
        <v>3365.30770594638</v>
      </c>
      <c r="LO99" s="0" t="n">
        <f aca="false">+LO97+LO98</f>
        <v>5434.44126297746</v>
      </c>
      <c r="LP99" s="0" t="n">
        <f aca="false">+LP97+LP98</f>
        <v>3997.80066608154</v>
      </c>
      <c r="LQ99" s="0" t="n">
        <f aca="false">+LQ97+LQ98</f>
        <v>5486.97029802408</v>
      </c>
      <c r="LR99" s="0" t="n">
        <f aca="false">+LR97+LR98</f>
        <v>5771.41382582625</v>
      </c>
      <c r="LS99" s="0" t="n">
        <f aca="false">+LS97+LS98</f>
        <v>5335.64187529974</v>
      </c>
      <c r="LT99" s="0" t="n">
        <f aca="false">+LT97+LT98</f>
        <v>4914.41935886135</v>
      </c>
      <c r="LU99" s="0" t="n">
        <f aca="false">+LU97+LU98</f>
        <v>5180.84012047872</v>
      </c>
      <c r="LV99" s="0" t="n">
        <f aca="false">+LV97+LV98</f>
        <v>5866.08564221596</v>
      </c>
      <c r="LW99" s="0" t="n">
        <f aca="false">+LW97+LW98</f>
        <v>4887.99332948472</v>
      </c>
      <c r="LX99" s="0" t="n">
        <f aca="false">+LX97+LX98</f>
        <v>4964.04116492999</v>
      </c>
      <c r="LY99" s="0" t="n">
        <f aca="false">+LY97+LY98</f>
        <v>5814.64108872919</v>
      </c>
      <c r="LZ99" s="0" t="n">
        <f aca="false">+LZ97+LZ98</f>
        <v>5637.15600868941</v>
      </c>
      <c r="MA99" s="0" t="n">
        <f aca="false">+MA97+MA98</f>
        <v>4726.27814357564</v>
      </c>
      <c r="MB99" s="0" t="n">
        <f aca="false">+MB97+MB98</f>
        <v>3293.50817797145</v>
      </c>
      <c r="MC99" s="0" t="n">
        <f aca="false">+MC97+MC98</f>
        <v>4449.08584100085</v>
      </c>
      <c r="MD99" s="0" t="n">
        <f aca="false">+MD97+MD98</f>
        <v>238.887456860546</v>
      </c>
      <c r="ME99" s="0" t="n">
        <f aca="false">+ME97+ME98</f>
        <v>3765.76903933632</v>
      </c>
      <c r="MF99" s="0" t="n">
        <f aca="false">+MF97+MF98</f>
        <v>5004.96601882947</v>
      </c>
      <c r="MG99" s="0" t="n">
        <f aca="false">+MG97+MG98</f>
        <v>6026.17532922096</v>
      </c>
      <c r="MH99" s="0" t="n">
        <f aca="false">+MH97+MH98</f>
        <v>4973.57898988964</v>
      </c>
      <c r="MI99" s="0" t="n">
        <f aca="false">+MI97+MI98</f>
        <v>4612.40930232713</v>
      </c>
      <c r="MJ99" s="0" t="n">
        <f aca="false">+MJ97+MJ98</f>
        <v>4037.56721818732</v>
      </c>
      <c r="MK99" s="0" t="n">
        <f aca="false">+MK97+MK98</f>
        <v>4255.13837137384</v>
      </c>
      <c r="ML99" s="0" t="n">
        <f aca="false">+ML97+ML98</f>
        <v>3580.89553464804</v>
      </c>
      <c r="MM99" s="0" t="n">
        <f aca="false">+MM97+MM98</f>
        <v>5309.25960429084</v>
      </c>
      <c r="MN99" s="0" t="n">
        <f aca="false">+MN97+MN98</f>
        <v>4265.59055554137</v>
      </c>
      <c r="MO99" s="0" t="n">
        <f aca="false">+MO97+MO98</f>
        <v>3005.71299167228</v>
      </c>
      <c r="MP99" s="0" t="n">
        <f aca="false">+MP97+MP98</f>
        <v>3134.05085042882</v>
      </c>
      <c r="MQ99" s="0" t="n">
        <f aca="false">+MQ97+MQ98</f>
        <v>6127.92320644865</v>
      </c>
      <c r="MR99" s="0" t="n">
        <f aca="false">+MR97+MR98</f>
        <v>4347.4927987251</v>
      </c>
      <c r="MS99" s="0" t="n">
        <f aca="false">+MS97+MS98</f>
        <v>4060.66904642888</v>
      </c>
      <c r="MT99" s="0" t="n">
        <f aca="false">+MT97+MT98</f>
        <v>5516.89305190853</v>
      </c>
      <c r="MU99" s="0" t="n">
        <f aca="false">+MU97+MU98</f>
        <v>5738.83881913191</v>
      </c>
      <c r="MV99" s="0" t="n">
        <f aca="false">+MV97+MV98</f>
        <v>3524.13725664576</v>
      </c>
      <c r="MW99" s="0" t="n">
        <f aca="false">+MW97+MW98</f>
        <v>5176.67073136408</v>
      </c>
      <c r="MX99" s="0" t="n">
        <f aca="false">+MX97+MX98</f>
        <v>6126.23354024135</v>
      </c>
      <c r="MY99" s="0" t="n">
        <f aca="false">+MY97+MY98</f>
        <v>4306.75370129447</v>
      </c>
      <c r="MZ99" s="0" t="n">
        <f aca="false">+MZ97+MZ98</f>
        <v>4558.40856863167</v>
      </c>
      <c r="NA99" s="0" t="n">
        <f aca="false">+NA97+NA98</f>
        <v>4015.5348191564</v>
      </c>
      <c r="NB99" s="0" t="n">
        <f aca="false">+NB97+NB98</f>
        <v>3379.12574184283</v>
      </c>
      <c r="NC99" s="0" t="n">
        <f aca="false">+NC97+NC98</f>
        <v>4951.20424227859</v>
      </c>
      <c r="ND99" s="0" t="n">
        <f aca="false">+ND97+ND98</f>
        <v>5489.35414462976</v>
      </c>
      <c r="NE99" s="0" t="n">
        <f aca="false">+NE97+NE98</f>
        <v>2655.88548625058</v>
      </c>
      <c r="NF99" s="0" t="n">
        <f aca="false">+NF97+NF98</f>
        <v>5131.25111675344</v>
      </c>
      <c r="NG99" s="0" t="n">
        <f aca="false">+NG97+NG98</f>
        <v>5152.20298583302</v>
      </c>
      <c r="NH99" s="0" t="n">
        <f aca="false">+NH97+NH98</f>
        <v>5221.58157385109</v>
      </c>
      <c r="NI99" s="0" t="n">
        <f aca="false">+NI97+NI98</f>
        <v>4999.71206394738</v>
      </c>
      <c r="NJ99" s="0" t="n">
        <f aca="false">+NJ97+NJ98</f>
        <v>5461.82011189799</v>
      </c>
      <c r="NK99" s="0" t="n">
        <f aca="false">+NK97+NK98</f>
        <v>4200.53222170611</v>
      </c>
      <c r="NL99" s="0" t="n">
        <f aca="false">+NL97+NL98</f>
        <v>5068.89981622795</v>
      </c>
      <c r="NM99" s="0" t="n">
        <f aca="false">+NM97+NM98</f>
        <v>3129.45588490847</v>
      </c>
      <c r="NN99" s="0" t="n">
        <f aca="false">+NN97+NN98</f>
        <v>3091.42560545254</v>
      </c>
      <c r="NO99" s="0" t="n">
        <f aca="false">+NO97+NO98</f>
        <v>6187.1236833492</v>
      </c>
      <c r="NP99" s="0" t="n">
        <f aca="false">+NP97+NP98</f>
        <v>4929.03258967228</v>
      </c>
      <c r="NQ99" s="0" t="n">
        <f aca="false">+NQ97+NQ98</f>
        <v>4838.44695243566</v>
      </c>
      <c r="NR99" s="0" t="n">
        <f aca="false">+NR97+NR98</f>
        <v>5297.12903113864</v>
      </c>
      <c r="NS99" s="0" t="n">
        <f aca="false">+NS97+NS98</f>
        <v>5022.06262960468</v>
      </c>
      <c r="NT99" s="0" t="n">
        <f aca="false">+NT97+NT98</f>
        <v>5501.32670303967</v>
      </c>
      <c r="NU99" s="0" t="n">
        <f aca="false">+NU97+NU98</f>
        <v>6269.77423451503</v>
      </c>
      <c r="NV99" s="0" t="n">
        <f aca="false">+NV97+NV98</f>
        <v>5200.72616875993</v>
      </c>
      <c r="NW99" s="0" t="n">
        <f aca="false">+NW97+NW98</f>
        <v>5115.71463537879</v>
      </c>
      <c r="NX99" s="0" t="n">
        <f aca="false">+NX97+NX98</f>
        <v>5175.08246742532</v>
      </c>
      <c r="NY99" s="0" t="n">
        <f aca="false">+NY97+NY98</f>
        <v>5105.89944466091</v>
      </c>
      <c r="NZ99" s="0" t="n">
        <f aca="false">+NZ97+NZ98</f>
        <v>3742.33040503107</v>
      </c>
      <c r="OA99" s="0" t="n">
        <f aca="false">+OA97+OA98</f>
        <v>5015.45496766263</v>
      </c>
      <c r="OB99" s="0" t="n">
        <f aca="false">+OB97+OB98</f>
        <v>5007.93522947851</v>
      </c>
      <c r="OC99" s="0" t="n">
        <f aca="false">+OC97+OC98</f>
        <v>4973.3871087718</v>
      </c>
      <c r="OD99" s="0" t="n">
        <f aca="false">+OD97+OD98</f>
        <v>4445.95573278181</v>
      </c>
      <c r="OE99" s="0" t="n">
        <f aca="false">+OE97+OE98</f>
        <v>4966.73537276774</v>
      </c>
      <c r="OF99" s="0" t="n">
        <f aca="false">+OF97+OF98</f>
        <v>4795.79140235524</v>
      </c>
      <c r="OG99" s="0" t="n">
        <f aca="false">+OG97+OG98</f>
        <v>4314.76511134088</v>
      </c>
      <c r="OH99" s="0" t="n">
        <f aca="false">+OH97+OH98</f>
        <v>4967.09817422491</v>
      </c>
      <c r="OI99" s="0" t="n">
        <f aca="false">+OI97+OI98</f>
        <v>4902.70036102928</v>
      </c>
      <c r="OJ99" s="0" t="n">
        <f aca="false">+OJ97+OJ98</f>
        <v>6303.48982365117</v>
      </c>
      <c r="OK99" s="0" t="n">
        <f aca="false">+OK97+OK98</f>
        <v>4362.11145271002</v>
      </c>
      <c r="OL99" s="0" t="n">
        <f aca="false">+OL97+OL98</f>
        <v>5588.75618718789</v>
      </c>
      <c r="OM99" s="0" t="n">
        <f aca="false">+OM97+OM98</f>
        <v>4417.62605963677</v>
      </c>
      <c r="ON99" s="0" t="n">
        <f aca="false">+ON97+ON98</f>
        <v>3530.8112303423</v>
      </c>
      <c r="OO99" s="0" t="n">
        <f aca="false">+OO97+OO98</f>
        <v>2700.79768509593</v>
      </c>
      <c r="OP99" s="0" t="n">
        <f aca="false">+OP97+OP98</f>
        <v>5448.81102034046</v>
      </c>
      <c r="OQ99" s="0" t="n">
        <f aca="false">+OQ97+OQ98</f>
        <v>4643.43069590738</v>
      </c>
      <c r="OR99" s="0" t="n">
        <f aca="false">+OR97+OR98</f>
        <v>4865.72273582492</v>
      </c>
      <c r="OS99" s="0" t="n">
        <f aca="false">+OS97+OS98</f>
        <v>5498.15083450908</v>
      </c>
      <c r="OT99" s="0" t="n">
        <f aca="false">+OT97+OT98</f>
        <v>3593.04168004365</v>
      </c>
      <c r="OU99" s="0" t="n">
        <f aca="false">+OU97+OU98</f>
        <v>5449.36411309382</v>
      </c>
      <c r="OV99" s="0" t="n">
        <f aca="false">+OV97+OV98</f>
        <v>4652.56406610796</v>
      </c>
      <c r="OW99" s="0" t="n">
        <f aca="false">+OW97+OW98</f>
        <v>5108.54818591295</v>
      </c>
      <c r="OX99" s="0" t="n">
        <f aca="false">+OX97+OX98</f>
        <v>5805.51393690235</v>
      </c>
      <c r="OY99" s="0" t="n">
        <f aca="false">+OY97+OY98</f>
        <v>4176.79865570215</v>
      </c>
      <c r="OZ99" s="0" t="n">
        <f aca="false">+OZ97+OZ98</f>
        <v>3033.17012593984</v>
      </c>
      <c r="PA99" s="0" t="n">
        <f aca="false">+PA97+PA98</f>
        <v>5913.9196456189</v>
      </c>
      <c r="PB99" s="0" t="n">
        <f aca="false">+PB97+PB98</f>
        <v>4215.33785369357</v>
      </c>
      <c r="PC99" s="0" t="n">
        <f aca="false">+PC97+PC98</f>
        <v>4138.80968067281</v>
      </c>
      <c r="PD99" s="0" t="n">
        <f aca="false">+PD97+PD98</f>
        <v>5421.00211907728</v>
      </c>
      <c r="PE99" s="0" t="n">
        <f aca="false">+PE97+PE98</f>
        <v>3784.52072626692</v>
      </c>
      <c r="PF99" s="0" t="n">
        <f aca="false">+PF97+PF98</f>
        <v>4513.82365556117</v>
      </c>
      <c r="PG99" s="0" t="n">
        <f aca="false">+PG97+PG98</f>
        <v>4142.83772717054</v>
      </c>
      <c r="PH99" s="0" t="n">
        <f aca="false">+PH97+PH98</f>
        <v>5056.90043875877</v>
      </c>
      <c r="PI99" s="0" t="n">
        <f aca="false">+PI97+PI98</f>
        <v>5443.38693814093</v>
      </c>
      <c r="PJ99" s="0" t="n">
        <f aca="false">+PJ97+PJ98</f>
        <v>4810.46240364773</v>
      </c>
      <c r="PK99" s="0" t="n">
        <f aca="false">+PK97+PK98</f>
        <v>4619.12448207473</v>
      </c>
      <c r="PL99" s="0" t="n">
        <f aca="false">+PL97+PL98</f>
        <v>4831.10146529622</v>
      </c>
      <c r="PM99" s="0" t="n">
        <f aca="false">+PM97+PM98</f>
        <v>5286.55783351479</v>
      </c>
      <c r="PN99" s="0" t="n">
        <f aca="false">+PN97+PN98</f>
        <v>3255.45469197874</v>
      </c>
      <c r="PO99" s="0" t="n">
        <f aca="false">+PO97+PO98</f>
        <v>4084.43316275859</v>
      </c>
      <c r="PP99" s="0" t="n">
        <f aca="false">+PP97+PP98</f>
        <v>5319.79301649525</v>
      </c>
      <c r="PQ99" s="0" t="n">
        <f aca="false">+PQ97+PQ98</f>
        <v>4377.39879352341</v>
      </c>
      <c r="PR99" s="0" t="n">
        <f aca="false">+PR97+PR98</f>
        <v>4320.4186890805</v>
      </c>
      <c r="PS99" s="0" t="n">
        <f aca="false">+PS97+PS98</f>
        <v>2336.38961332838</v>
      </c>
      <c r="PT99" s="0" t="n">
        <f aca="false">+PT97+PT98</f>
        <v>4978.56857551848</v>
      </c>
      <c r="PU99" s="0" t="n">
        <f aca="false">+PU97+PU98</f>
        <v>4276.76005084525</v>
      </c>
      <c r="PV99" s="0" t="n">
        <f aca="false">+PV97+PV98</f>
        <v>4873.15948165138</v>
      </c>
      <c r="PW99" s="0" t="n">
        <f aca="false">+PW97+PW98</f>
        <v>5337.43769907639</v>
      </c>
      <c r="PX99" s="0" t="n">
        <f aca="false">+PX97+PX98</f>
        <v>2676.96547203048</v>
      </c>
      <c r="PY99" s="0" t="n">
        <f aca="false">+PY97+PY98</f>
        <v>6269.07128044983</v>
      </c>
      <c r="PZ99" s="0" t="n">
        <f aca="false">+PZ97+PZ98</f>
        <v>6106.08482772716</v>
      </c>
      <c r="QA99" s="0" t="n">
        <f aca="false">+QA97+QA98</f>
        <v>4328.64656690716</v>
      </c>
      <c r="QB99" s="0" t="n">
        <f aca="false">+QB97+QB98</f>
        <v>6178.6169561046</v>
      </c>
      <c r="QC99" s="0" t="n">
        <f aca="false">+QC97+QC98</f>
        <v>3647.43783251012</v>
      </c>
      <c r="QD99" s="0" t="n">
        <f aca="false">+QD97+QD98</f>
        <v>5749.18384153935</v>
      </c>
      <c r="QE99" s="0" t="n">
        <f aca="false">+QE97+QE98</f>
        <v>4078.57178838563</v>
      </c>
      <c r="QF99" s="0" t="n">
        <f aca="false">+QF97+QF98</f>
        <v>2722.25446590691</v>
      </c>
      <c r="QG99" s="0" t="n">
        <f aca="false">+QG97+QG98</f>
        <v>4366.1602360771</v>
      </c>
      <c r="QH99" s="0" t="n">
        <f aca="false">+QH97+QH98</f>
        <v>5244.81844106569</v>
      </c>
      <c r="QI99" s="0" t="n">
        <f aca="false">+QI97+QI98</f>
        <v>4506.33458149333</v>
      </c>
      <c r="QJ99" s="0" t="n">
        <f aca="false">+QJ97+QJ98</f>
        <v>5853.12593448924</v>
      </c>
      <c r="QK99" s="0" t="n">
        <f aca="false">+QK97+QK98</f>
        <v>5495.29897170769</v>
      </c>
      <c r="QL99" s="0" t="n">
        <f aca="false">+QL97+QL98</f>
        <v>5679.42671306884</v>
      </c>
      <c r="QM99" s="0" t="n">
        <f aca="false">+QM97+QM98</f>
        <v>4546.9204387269</v>
      </c>
      <c r="QN99" s="0" t="n">
        <f aca="false">+QN97+QN98</f>
        <v>4761.71983048694</v>
      </c>
      <c r="QO99" s="0" t="n">
        <f aca="false">+QO97+QO98</f>
        <v>4582.58437108661</v>
      </c>
      <c r="QP99" s="0" t="n">
        <f aca="false">+QP97+QP98</f>
        <v>5317.07437043855</v>
      </c>
      <c r="QQ99" s="0" t="n">
        <f aca="false">+QQ97+QQ98</f>
        <v>4691.99786062154</v>
      </c>
      <c r="QR99" s="0" t="n">
        <f aca="false">+QR97+QR98</f>
        <v>5561.48703266765</v>
      </c>
      <c r="QS99" s="0" t="n">
        <f aca="false">+QS97+QS98</f>
        <v>4953.13138072619</v>
      </c>
      <c r="QT99" s="0" t="n">
        <f aca="false">+QT97+QT98</f>
        <v>6575.89256346908</v>
      </c>
      <c r="QU99" s="0" t="n">
        <f aca="false">+QU97+QU98</f>
        <v>4831.2275009913</v>
      </c>
      <c r="QV99" s="0" t="n">
        <f aca="false">+QV97+QV98</f>
        <v>5200.20164498604</v>
      </c>
      <c r="QW99" s="0" t="n">
        <f aca="false">+QW97+QW98</f>
        <v>3236.83197586379</v>
      </c>
      <c r="QX99" s="0" t="n">
        <f aca="false">+QX97+QX98</f>
        <v>1109.3494113807</v>
      </c>
      <c r="QY99" s="0" t="n">
        <f aca="false">+QY97+QY98</f>
        <v>3392.39459639469</v>
      </c>
      <c r="QZ99" s="0" t="n">
        <f aca="false">+QZ97+QZ98</f>
        <v>4774.69660814521</v>
      </c>
      <c r="RA99" s="0" t="n">
        <f aca="false">+RA97+RA98</f>
        <v>4325.93192505519</v>
      </c>
      <c r="RB99" s="0" t="n">
        <f aca="false">+RB97+RB98</f>
        <v>5781.17783632839</v>
      </c>
      <c r="RC99" s="0" t="n">
        <f aca="false">+RC97+RC98</f>
        <v>5674.74775417383</v>
      </c>
      <c r="RD99" s="0" t="n">
        <f aca="false">+RD97+RD98</f>
        <v>5831.53478295522</v>
      </c>
      <c r="RE99" s="0" t="n">
        <f aca="false">+RE97+RE98</f>
        <v>5390.40762230516</v>
      </c>
      <c r="RF99" s="0" t="n">
        <f aca="false">+RF97+RF98</f>
        <v>5916.05102225143</v>
      </c>
      <c r="RG99" s="0" t="n">
        <f aca="false">+RG97+RG98</f>
        <v>5714.61140225717</v>
      </c>
      <c r="RH99" s="0" t="n">
        <f aca="false">+RH97+RH98</f>
        <v>5650.57806636275</v>
      </c>
      <c r="RI99" s="0" t="n">
        <f aca="false">+RI97+RI98</f>
        <v>5387.05621214667</v>
      </c>
      <c r="RJ99" s="0" t="n">
        <f aca="false">+RJ97+RJ98</f>
        <v>5160.31190865358</v>
      </c>
      <c r="RK99" s="0" t="n">
        <f aca="false">+RK97+RK98</f>
        <v>2473.02133172475</v>
      </c>
      <c r="RL99" s="0" t="n">
        <f aca="false">+RL97+RL98</f>
        <v>3663.20523835356</v>
      </c>
      <c r="RM99" s="0" t="n">
        <f aca="false">+RM97+RM98</f>
        <v>6236.98799949481</v>
      </c>
      <c r="RN99" s="0" t="n">
        <f aca="false">+RN97+RN98</f>
        <v>4902.90176363934</v>
      </c>
      <c r="RO99" s="0" t="n">
        <f aca="false">+RO97+RO98</f>
        <v>2817.76797208612</v>
      </c>
      <c r="RP99" s="0" t="n">
        <f aca="false">+RP97+RP98</f>
        <v>6372.25629512062</v>
      </c>
      <c r="RQ99" s="0" t="n">
        <f aca="false">+RQ97+RQ98</f>
        <v>3573.17035860449</v>
      </c>
      <c r="RR99" s="0" t="n">
        <f aca="false">+RR97+RR98</f>
        <v>3842.34363301748</v>
      </c>
      <c r="RS99" s="0" t="n">
        <f aca="false">+RS97+RS98</f>
        <v>4876.07174212846</v>
      </c>
      <c r="RT99" s="0" t="n">
        <f aca="false">+RT97+RT98</f>
        <v>5510.11330067946</v>
      </c>
      <c r="RU99" s="0" t="n">
        <f aca="false">+RU97+RU98</f>
        <v>3561.77465725091</v>
      </c>
      <c r="RV99" s="0" t="n">
        <f aca="false">+RV97+RV98</f>
        <v>3125.30966382876</v>
      </c>
      <c r="RW99" s="0" t="n">
        <f aca="false">+RW97+RW98</f>
        <v>5045.20124691193</v>
      </c>
      <c r="RX99" s="0" t="n">
        <f aca="false">+RX97+RX98</f>
        <v>4379.42502502494</v>
      </c>
      <c r="RY99" s="0" t="n">
        <f aca="false">+RY97+RY98</f>
        <v>5642.32033321765</v>
      </c>
      <c r="RZ99" s="0" t="n">
        <f aca="false">+RZ97+RZ98</f>
        <v>5588.32315036258</v>
      </c>
      <c r="SA99" s="0" t="n">
        <f aca="false">+SA97+SA98</f>
        <v>4237.04271324107</v>
      </c>
      <c r="SB99" s="0" t="n">
        <f aca="false">+SB97+SB98</f>
        <v>5451.26290961442</v>
      </c>
      <c r="SC99" s="0" t="n">
        <f aca="false">+SC97+SC98</f>
        <v>3177.77219878699</v>
      </c>
      <c r="SD99" s="0" t="n">
        <f aca="false">+SD97+SD98</f>
        <v>5870.66252395657</v>
      </c>
      <c r="SE99" s="0" t="n">
        <f aca="false">+SE97+SE98</f>
        <v>4885.2144867729</v>
      </c>
      <c r="SF99" s="0" t="n">
        <f aca="false">+SF97+SF98</f>
        <v>4348.02402450381</v>
      </c>
      <c r="SG99" s="0" t="n">
        <f aca="false">+SG97+SG98</f>
        <v>5350.27634093406</v>
      </c>
      <c r="SH99" s="0" t="n">
        <f aca="false">+SH97+SH98</f>
        <v>3732.27055232226</v>
      </c>
      <c r="SI99" s="0" t="n">
        <f aca="false">+SI97+SI98</f>
        <v>4623.20249420217</v>
      </c>
      <c r="SJ99" s="0" t="n">
        <f aca="false">+SJ97+SJ98</f>
        <v>2792.99019278184</v>
      </c>
      <c r="SK99" s="0" t="n">
        <f aca="false">+SK97+SK98</f>
        <v>5924.39289890985</v>
      </c>
      <c r="SL99" s="0" t="n">
        <f aca="false">+SL97+SL98</f>
        <v>5271.02216769653</v>
      </c>
      <c r="SM99" s="0" t="n">
        <f aca="false">+SM97+SM98</f>
        <v>5206.20231660708</v>
      </c>
      <c r="SN99" s="0" t="n">
        <f aca="false">+SN97+SN98</f>
        <v>5727.37819486572</v>
      </c>
      <c r="SO99" s="0" t="n">
        <f aca="false">+SO97+SO98</f>
        <v>5818.20995943499</v>
      </c>
      <c r="SP99" s="0" t="n">
        <f aca="false">+SP97+SP98</f>
        <v>5061.97770893265</v>
      </c>
      <c r="SQ99" s="0" t="n">
        <f aca="false">+SQ97+SQ98</f>
        <v>4979.3003418266</v>
      </c>
      <c r="SR99" s="0" t="n">
        <f aca="false">+SR97+SR98</f>
        <v>5113.08255794767</v>
      </c>
      <c r="SS99" s="0" t="n">
        <f aca="false">+SS97+SS98</f>
        <v>5061.64350566238</v>
      </c>
      <c r="ST99" s="0" t="n">
        <f aca="false">+ST97+ST98</f>
        <v>4849.54647608516</v>
      </c>
      <c r="SU99" s="0" t="n">
        <f aca="false">+SU97+SU98</f>
        <v>5489.55922344099</v>
      </c>
      <c r="SV99" s="0" t="n">
        <f aca="false">+SV97+SV98</f>
        <v>5909.64800490914</v>
      </c>
      <c r="SW99" s="0" t="n">
        <f aca="false">+SW97+SW98</f>
        <v>2981.05162199064</v>
      </c>
      <c r="SX99" s="0" t="n">
        <f aca="false">+SX97+SX98</f>
        <v>3227.31088800157</v>
      </c>
      <c r="SY99" s="0" t="n">
        <f aca="false">+SY97+SY98</f>
        <v>3781.69543291573</v>
      </c>
      <c r="SZ99" s="0" t="n">
        <f aca="false">+SZ97+SZ98</f>
        <v>4175.66758436509</v>
      </c>
      <c r="TA99" s="0" t="n">
        <f aca="false">+TA97+TA98</f>
        <v>6477.80627677836</v>
      </c>
      <c r="TB99" s="0" t="n">
        <f aca="false">+TB97+TB98</f>
        <v>4271.05101893171</v>
      </c>
      <c r="TC99" s="0" t="n">
        <f aca="false">+TC97+TC98</f>
        <v>5686.21330430524</v>
      </c>
      <c r="TD99" s="0" t="n">
        <f aca="false">+TD97+TD98</f>
        <v>3482.44632970948</v>
      </c>
      <c r="TE99" s="0" t="n">
        <f aca="false">+TE97+TE98</f>
        <v>4801.17410488576</v>
      </c>
      <c r="TF99" s="0" t="n">
        <f aca="false">+TF97+TF98</f>
        <v>5341.44192878032</v>
      </c>
      <c r="TG99" s="0" t="n">
        <f aca="false">+TG97+TG98</f>
        <v>5540.92798033342</v>
      </c>
      <c r="TH99" s="0" t="n">
        <f aca="false">+TH97+TH98</f>
        <v>5298.06787395055</v>
      </c>
      <c r="TI99" s="0" t="n">
        <f aca="false">+TI97+TI98</f>
        <v>2948.79444050883</v>
      </c>
      <c r="TJ99" s="0" t="n">
        <f aca="false">+TJ97+TJ98</f>
        <v>5244.66610666958</v>
      </c>
      <c r="TK99" s="0" t="n">
        <f aca="false">+TK97+TK98</f>
        <v>4074.56722199412</v>
      </c>
      <c r="TL99" s="0" t="n">
        <f aca="false">+TL97+TL98</f>
        <v>5659.42227587639</v>
      </c>
      <c r="TM99" s="0" t="n">
        <f aca="false">+TM97+TM98</f>
        <v>3954.40825565224</v>
      </c>
      <c r="TN99" s="0" t="n">
        <f aca="false">+TN97+TN98</f>
        <v>4531.36931105248</v>
      </c>
      <c r="TO99" s="0" t="n">
        <f aca="false">+TO97+TO98</f>
        <v>4649.15326187148</v>
      </c>
      <c r="TP99" s="0" t="n">
        <f aca="false">+TP97+TP98</f>
        <v>5634.75074546334</v>
      </c>
      <c r="TQ99" s="0" t="n">
        <f aca="false">+TQ97+TQ98</f>
        <v>5658.41727323031</v>
      </c>
      <c r="TR99" s="0" t="n">
        <f aca="false">+TR97+TR98</f>
        <v>2589.58167454406</v>
      </c>
      <c r="TS99" s="0" t="n">
        <f aca="false">+TS97+TS98</f>
        <v>4609.31529584016</v>
      </c>
      <c r="TT99" s="0" t="n">
        <f aca="false">+TT97+TT98</f>
        <v>5112.91268454113</v>
      </c>
      <c r="TU99" s="0" t="n">
        <f aca="false">+TU97+TU98</f>
        <v>4445.44134069588</v>
      </c>
      <c r="TV99" s="0" t="n">
        <f aca="false">+TV97+TV98</f>
        <v>4995.2748922604</v>
      </c>
      <c r="TW99" s="0" t="n">
        <f aca="false">+TW97+TW98</f>
        <v>4420.49425381562</v>
      </c>
      <c r="TX99" s="0" t="n">
        <f aca="false">+TX97+TX98</f>
        <v>4031.738895227</v>
      </c>
      <c r="TY99" s="0" t="n">
        <f aca="false">+TY97+TY98</f>
        <v>2445.29347677532</v>
      </c>
      <c r="TZ99" s="0" t="n">
        <f aca="false">+TZ97+TZ98</f>
        <v>5530.51264775377</v>
      </c>
      <c r="UA99" s="0" t="n">
        <f aca="false">+UA97+UA98</f>
        <v>5156.8922208938</v>
      </c>
      <c r="UB99" s="0" t="n">
        <f aca="false">+UB97+UB98</f>
        <v>4671.86725414266</v>
      </c>
      <c r="UC99" s="0" t="n">
        <f aca="false">+UC97+UC98</f>
        <v>4760.03714195938</v>
      </c>
      <c r="UD99" s="0" t="n">
        <f aca="false">+UD97+UD98</f>
        <v>5769.52216333932</v>
      </c>
      <c r="UE99" s="0" t="n">
        <f aca="false">+UE97+UE98</f>
        <v>5390.67848846469</v>
      </c>
      <c r="UF99" s="0" t="n">
        <f aca="false">+UF97+UF98</f>
        <v>5277.91237490907</v>
      </c>
      <c r="UG99" s="0" t="n">
        <f aca="false">+UG97+UG98</f>
        <v>4524.52685568611</v>
      </c>
      <c r="UH99" s="0" t="n">
        <f aca="false">+UH97+UH98</f>
        <v>4817.52656946089</v>
      </c>
      <c r="UI99" s="0" t="n">
        <f aca="false">+UI97+UI98</f>
        <v>5335.46869461766</v>
      </c>
      <c r="UJ99" s="0" t="n">
        <f aca="false">+UJ97+UJ98</f>
        <v>4652.43898639404</v>
      </c>
      <c r="UK99" s="0" t="n">
        <f aca="false">+UK97+UK98</f>
        <v>4573.42902011688</v>
      </c>
      <c r="UL99" s="0" t="n">
        <f aca="false">+UL97+UL98</f>
        <v>5255.90081475449</v>
      </c>
      <c r="UM99" s="0" t="n">
        <f aca="false">+UM97+UM98</f>
        <v>6420.57798663354</v>
      </c>
      <c r="UN99" s="0" t="n">
        <f aca="false">+UN97+UN98</f>
        <v>5786.34827047438</v>
      </c>
      <c r="UO99" s="0" t="n">
        <f aca="false">+UO97+UO98</f>
        <v>5088.52231241186</v>
      </c>
      <c r="UP99" s="0" t="n">
        <f aca="false">+UP97+UP98</f>
        <v>4813.66553494035</v>
      </c>
      <c r="UQ99" s="0" t="n">
        <f aca="false">+UQ97+UQ98</f>
        <v>3849.04371362745</v>
      </c>
      <c r="UR99" s="0" t="n">
        <f aca="false">+UR97+UR98</f>
        <v>4925.06138607821</v>
      </c>
      <c r="US99" s="0" t="n">
        <f aca="false">+US97+US98</f>
        <v>5071.81984396285</v>
      </c>
      <c r="UT99" s="0" t="n">
        <f aca="false">+UT97+UT98</f>
        <v>4247.78496758609</v>
      </c>
      <c r="UU99" s="0" t="n">
        <f aca="false">+UU97+UU98</f>
        <v>4586.3598433161</v>
      </c>
      <c r="UV99" s="0" t="n">
        <f aca="false">+UV97+UV98</f>
        <v>3357.4535751481</v>
      </c>
      <c r="UW99" s="0" t="n">
        <f aca="false">+UW97+UW98</f>
        <v>4289.53150466693</v>
      </c>
      <c r="UX99" s="0" t="n">
        <f aca="false">+UX97+UX98</f>
        <v>5467.0180503497</v>
      </c>
      <c r="UY99" s="0" t="n">
        <f aca="false">+UY97+UY98</f>
        <v>4989.06945452299</v>
      </c>
      <c r="UZ99" s="0" t="n">
        <f aca="false">+UZ97+UZ98</f>
        <v>6211.53787984789</v>
      </c>
      <c r="VA99" s="0" t="n">
        <f aca="false">+VA97+VA98</f>
        <v>4750.51337040114</v>
      </c>
      <c r="VB99" s="0" t="n">
        <f aca="false">+VB97+VB98</f>
        <v>5672.69024363674</v>
      </c>
      <c r="VC99" s="0" t="n">
        <f aca="false">+VC97+VC98</f>
        <v>4758.25732881157</v>
      </c>
      <c r="VD99" s="0" t="n">
        <f aca="false">+VD97+VD98</f>
        <v>4335.01011682918</v>
      </c>
      <c r="VE99" s="0" t="n">
        <f aca="false">+VE97+VE98</f>
        <v>4477.40492493363</v>
      </c>
      <c r="VF99" s="0" t="n">
        <f aca="false">+VF97+VF98</f>
        <v>3802.50852682476</v>
      </c>
      <c r="VG99" s="0" t="n">
        <f aca="false">+VG97+VG98</f>
        <v>3408.69315678083</v>
      </c>
      <c r="VH99" s="0" t="n">
        <f aca="false">+VH97+VH98</f>
        <v>2626.39070779087</v>
      </c>
      <c r="VI99" s="0" t="n">
        <f aca="false">+VI97+VI98</f>
        <v>5480.97059270954</v>
      </c>
      <c r="VJ99" s="0" t="n">
        <f aca="false">+VJ97+VJ98</f>
        <v>3869.42428504318</v>
      </c>
      <c r="VK99" s="0" t="n">
        <f aca="false">+VK97+VK98</f>
        <v>4887.73953220059</v>
      </c>
      <c r="VL99" s="0" t="n">
        <f aca="false">+VL97+VL98</f>
        <v>4918.17165204946</v>
      </c>
      <c r="VM99" s="0" t="n">
        <f aca="false">+VM97+VM98</f>
        <v>6073.40948310447</v>
      </c>
      <c r="VN99" s="0" t="n">
        <f aca="false">+VN97+VN98</f>
        <v>3982.69709566285</v>
      </c>
      <c r="VO99" s="0" t="n">
        <f aca="false">+VO97+VO98</f>
        <v>5990.73890912007</v>
      </c>
      <c r="VP99" s="0" t="n">
        <f aca="false">+VP97+VP98</f>
        <v>5458.20947091604</v>
      </c>
      <c r="VQ99" s="0" t="n">
        <f aca="false">+VQ97+VQ98</f>
        <v>5114.43018158474</v>
      </c>
      <c r="VR99" s="0" t="n">
        <f aca="false">+VR97+VR98</f>
        <v>6056.81939384243</v>
      </c>
      <c r="VS99" s="0" t="n">
        <f aca="false">+VS97+VS98</f>
        <v>5008.47366936587</v>
      </c>
      <c r="VT99" s="0" t="n">
        <f aca="false">+VT97+VT98</f>
        <v>3858.4191850712</v>
      </c>
      <c r="VU99" s="0" t="n">
        <f aca="false">+VU97+VU98</f>
        <v>5274.46569230171</v>
      </c>
      <c r="VV99" s="0" t="n">
        <f aca="false">+VV97+VV98</f>
        <v>2598.59872914366</v>
      </c>
      <c r="VW99" s="0" t="n">
        <f aca="false">+VW97+VW98</f>
        <v>5157.35444976376</v>
      </c>
      <c r="VX99" s="0" t="n">
        <f aca="false">+VX97+VX98</f>
        <v>3514.77524735407</v>
      </c>
      <c r="VY99" s="0" t="n">
        <f aca="false">+VY97+VY98</f>
        <v>5543.44727732481</v>
      </c>
      <c r="VZ99" s="0" t="n">
        <f aca="false">+VZ97+VZ98</f>
        <v>5641.48706407063</v>
      </c>
      <c r="WA99" s="0" t="n">
        <f aca="false">+WA97+WA98</f>
        <v>1414.96371705455</v>
      </c>
      <c r="WB99" s="0" t="n">
        <f aca="false">+WB97+WB98</f>
        <v>5284.58713450297</v>
      </c>
      <c r="WC99" s="0" t="n">
        <f aca="false">+WC97+WC98</f>
        <v>5730.28655026756</v>
      </c>
      <c r="WD99" s="0" t="n">
        <f aca="false">+WD97+WD98</f>
        <v>4539.361732521</v>
      </c>
      <c r="WE99" s="0" t="n">
        <f aca="false">+WE97+WE98</f>
        <v>4785.26113456607</v>
      </c>
      <c r="WF99" s="0" t="n">
        <f aca="false">+WF97+WF98</f>
        <v>5600.60816283424</v>
      </c>
      <c r="WG99" s="0" t="n">
        <f aca="false">+WG97+WG98</f>
        <v>4295.87010662897</v>
      </c>
      <c r="WH99" s="0" t="n">
        <f aca="false">+WH97+WH98</f>
        <v>4361.63346159537</v>
      </c>
      <c r="WI99" s="0" t="n">
        <f aca="false">+WI97+WI98</f>
        <v>6109.16632581597</v>
      </c>
      <c r="WJ99" s="0" t="n">
        <f aca="false">+WJ97+WJ98</f>
        <v>4719.62373257745</v>
      </c>
      <c r="WK99" s="0" t="n">
        <f aca="false">+WK97+WK98</f>
        <v>3477.45172644411</v>
      </c>
      <c r="WL99" s="0" t="n">
        <f aca="false">+WL97+WL98</f>
        <v>4547.1964591698</v>
      </c>
      <c r="WM99" s="0" t="n">
        <f aca="false">+WM97+WM98</f>
        <v>5510.02977949219</v>
      </c>
      <c r="WN99" s="0" t="n">
        <f aca="false">+WN97+WN98</f>
        <v>3353.60437252242</v>
      </c>
      <c r="WO99" s="0" t="n">
        <f aca="false">+WO97+WO98</f>
        <v>5253.51762736232</v>
      </c>
      <c r="WP99" s="0" t="n">
        <f aca="false">+WP97+WP98</f>
        <v>5713.60846878228</v>
      </c>
      <c r="WQ99" s="0" t="n">
        <f aca="false">+WQ97+WQ98</f>
        <v>2717.12269416625</v>
      </c>
      <c r="WR99" s="0" t="n">
        <f aca="false">+WR97+WR98</f>
        <v>4160.72661165729</v>
      </c>
      <c r="WS99" s="0" t="n">
        <f aca="false">+WS97+WS98</f>
        <v>5040.16332214401</v>
      </c>
      <c r="WT99" s="0" t="n">
        <f aca="false">+WT97+WT98</f>
        <v>4678.77324895386</v>
      </c>
      <c r="WU99" s="0" t="n">
        <f aca="false">+WU97+WU98</f>
        <v>5412.58770736911</v>
      </c>
      <c r="WV99" s="0" t="n">
        <f aca="false">+WV97+WV98</f>
        <v>5358.83885294499</v>
      </c>
      <c r="WW99" s="0" t="n">
        <f aca="false">+WW97+WW98</f>
        <v>5466.58207263467</v>
      </c>
      <c r="WX99" s="0" t="n">
        <f aca="false">+WX97+WX98</f>
        <v>3886.06135037386</v>
      </c>
      <c r="WY99" s="0" t="n">
        <f aca="false">+WY97+WY98</f>
        <v>5082.72108348224</v>
      </c>
      <c r="WZ99" s="0" t="n">
        <f aca="false">+WZ97+WZ98</f>
        <v>5094.04166653505</v>
      </c>
      <c r="XA99" s="0" t="n">
        <f aca="false">+XA97+XA98</f>
        <v>5457.74009179875</v>
      </c>
      <c r="XB99" s="0" t="n">
        <f aca="false">+XB97+XB98</f>
        <v>5613.9952010004</v>
      </c>
      <c r="XC99" s="0" t="n">
        <f aca="false">+XC97+XC98</f>
        <v>3388.21343938505</v>
      </c>
      <c r="XD99" s="0" t="n">
        <f aca="false">+XD97+XD98</f>
        <v>5691.93317495886</v>
      </c>
      <c r="XE99" s="0" t="n">
        <f aca="false">+XE97+XE98</f>
        <v>6041.52479031719</v>
      </c>
      <c r="XF99" s="0" t="n">
        <f aca="false">+XF97+XF98</f>
        <v>2445.70937462306</v>
      </c>
      <c r="XG99" s="0" t="n">
        <f aca="false">+XG97+XG98</f>
        <v>4459.15792040085</v>
      </c>
      <c r="XH99" s="0" t="n">
        <f aca="false">+XH97+XH98</f>
        <v>4797.36439099226</v>
      </c>
      <c r="XI99" s="0" t="n">
        <f aca="false">+XI97+XI98</f>
        <v>5779.8657843323</v>
      </c>
      <c r="XJ99" s="0" t="n">
        <f aca="false">+XJ97+XJ98</f>
        <v>4345.754096782</v>
      </c>
      <c r="XK99" s="0" t="n">
        <f aca="false">+XK97+XK98</f>
        <v>5184.2157119741</v>
      </c>
      <c r="XL99" s="0" t="n">
        <f aca="false">+XL97+XL98</f>
        <v>4578.20954960278</v>
      </c>
      <c r="XM99" s="0" t="n">
        <f aca="false">+XM97+XM98</f>
        <v>6232.22543849518</v>
      </c>
      <c r="XN99" s="0" t="n">
        <f aca="false">+XN97+XN98</f>
        <v>4777.69613467931</v>
      </c>
      <c r="XO99" s="0" t="n">
        <f aca="false">+XO97+XO98</f>
        <v>4698.78945103369</v>
      </c>
      <c r="XP99" s="0" t="n">
        <f aca="false">+XP97+XP98</f>
        <v>3255.24498709971</v>
      </c>
      <c r="XQ99" s="0" t="n">
        <f aca="false">+XQ97+XQ98</f>
        <v>4450.08530478021</v>
      </c>
      <c r="XR99" s="0" t="n">
        <f aca="false">+XR97+XR98</f>
        <v>4425.02358623663</v>
      </c>
      <c r="XS99" s="0" t="n">
        <f aca="false">+XS97+XS98</f>
        <v>4062.04642717615</v>
      </c>
      <c r="XT99" s="0" t="n">
        <f aca="false">+XT97+XT98</f>
        <v>5206.9158833018</v>
      </c>
      <c r="XU99" s="0" t="n">
        <f aca="false">+XU97+XU98</f>
        <v>3141.29681801288</v>
      </c>
      <c r="XV99" s="0" t="n">
        <f aca="false">+XV97+XV98</f>
        <v>5611.94753105527</v>
      </c>
      <c r="XW99" s="0" t="n">
        <f aca="false">+XW97+XW98</f>
        <v>4639.18452982334</v>
      </c>
      <c r="XX99" s="0" t="n">
        <f aca="false">+XX97+XX98</f>
        <v>3744.29646918055</v>
      </c>
      <c r="XY99" s="0" t="n">
        <f aca="false">+XY97+XY98</f>
        <v>4303.9396490257</v>
      </c>
      <c r="XZ99" s="0" t="n">
        <f aca="false">+XZ97+XZ98</f>
        <v>5310.29358446046</v>
      </c>
      <c r="YA99" s="0" t="n">
        <f aca="false">+YA97+YA98</f>
        <v>4948.8487384086</v>
      </c>
      <c r="YB99" s="0" t="n">
        <f aca="false">+YB97+YB98</f>
        <v>4499.32981769487</v>
      </c>
      <c r="YC99" s="0" t="n">
        <f aca="false">+YC97+YC98</f>
        <v>4230.85190989221</v>
      </c>
      <c r="YD99" s="0" t="n">
        <f aca="false">+YD97+YD98</f>
        <v>5000.71473404754</v>
      </c>
      <c r="YE99" s="0" t="n">
        <f aca="false">+YE97+YE98</f>
        <v>5253.5707180482</v>
      </c>
      <c r="YF99" s="0" t="n">
        <f aca="false">+YF97+YF98</f>
        <v>4354.44337035135</v>
      </c>
      <c r="YG99" s="0" t="n">
        <f aca="false">+YG97+YG98</f>
        <v>5495.6472199136</v>
      </c>
      <c r="YH99" s="0" t="n">
        <f aca="false">+YH97+YH98</f>
        <v>506.42383285597</v>
      </c>
      <c r="YI99" s="0" t="n">
        <f aca="false">+YI97+YI98</f>
        <v>5293.81127315306</v>
      </c>
      <c r="YJ99" s="0" t="n">
        <f aca="false">+YJ97+YJ98</f>
        <v>5676.88127156327</v>
      </c>
      <c r="YK99" s="0" t="n">
        <f aca="false">+YK97+YK98</f>
        <v>4745.7107150455</v>
      </c>
      <c r="YL99" s="0" t="n">
        <f aca="false">+YL97+YL98</f>
        <v>2832.39135156017</v>
      </c>
      <c r="YM99" s="0" t="n">
        <f aca="false">+YM97+YM98</f>
        <v>4894.32915453309</v>
      </c>
      <c r="YN99" s="0" t="n">
        <f aca="false">+YN97+YN98</f>
        <v>4773.8042812046</v>
      </c>
      <c r="YO99" s="0" t="n">
        <f aca="false">+YO97+YO98</f>
        <v>5568.56203785909</v>
      </c>
      <c r="YP99" s="0" t="n">
        <f aca="false">+YP97+YP98</f>
        <v>2807.78254041367</v>
      </c>
      <c r="YQ99" s="0" t="n">
        <f aca="false">+YQ97+YQ98</f>
        <v>4061.44366881466</v>
      </c>
      <c r="YR99" s="0" t="n">
        <f aca="false">+YR97+YR98</f>
        <v>3459.82432531429</v>
      </c>
      <c r="YS99" s="0" t="n">
        <f aca="false">+YS97+YS98</f>
        <v>5007.76033497491</v>
      </c>
      <c r="YT99" s="0" t="n">
        <f aca="false">+YT97+YT98</f>
        <v>5166.81909159296</v>
      </c>
      <c r="YU99" s="0" t="n">
        <f aca="false">+YU97+YU98</f>
        <v>5955.43842699968</v>
      </c>
      <c r="YV99" s="0" t="n">
        <f aca="false">+YV97+YV98</f>
        <v>4740.68340404984</v>
      </c>
      <c r="YW99" s="0" t="n">
        <f aca="false">+YW97+YW98</f>
        <v>3897.94635300911</v>
      </c>
      <c r="YX99" s="0" t="n">
        <f aca="false">+YX97+YX98</f>
        <v>5641.71527680966</v>
      </c>
      <c r="YY99" s="0" t="n">
        <f aca="false">+YY97+YY98</f>
        <v>5764.10064038712</v>
      </c>
      <c r="YZ99" s="0" t="n">
        <f aca="false">+YZ97+YZ98</f>
        <v>5086.17915841631</v>
      </c>
      <c r="ZA99" s="0" t="n">
        <f aca="false">+ZA97+ZA98</f>
        <v>5611.23742519839</v>
      </c>
      <c r="ZB99" s="0" t="n">
        <f aca="false">+ZB97+ZB98</f>
        <v>5548.0047226329</v>
      </c>
      <c r="ZC99" s="0" t="n">
        <f aca="false">+ZC97+ZC98</f>
        <v>3916.99512832311</v>
      </c>
      <c r="ZD99" s="0" t="n">
        <f aca="false">+ZD97+ZD98</f>
        <v>3102.37585991543</v>
      </c>
      <c r="ZE99" s="0" t="n">
        <f aca="false">+ZE97+ZE98</f>
        <v>4962.62362815907</v>
      </c>
      <c r="ZF99" s="0" t="n">
        <f aca="false">+ZF97+ZF98</f>
        <v>4731.62613186187</v>
      </c>
      <c r="ZG99" s="0" t="n">
        <f aca="false">+ZG97+ZG98</f>
        <v>4921.62927985133</v>
      </c>
      <c r="ZH99" s="0" t="n">
        <f aca="false">+ZH97+ZH98</f>
        <v>3582.65324205672</v>
      </c>
      <c r="ZI99" s="0" t="n">
        <f aca="false">+ZI97+ZI98</f>
        <v>5106.87600113832</v>
      </c>
      <c r="ZJ99" s="0" t="n">
        <f aca="false">+ZJ97+ZJ98</f>
        <v>5058.11283457709</v>
      </c>
      <c r="ZK99" s="0" t="n">
        <f aca="false">+ZK97+ZK98</f>
        <v>5034.47624969676</v>
      </c>
      <c r="ZL99" s="0" t="n">
        <f aca="false">+ZL97+ZL98</f>
        <v>4791.04232679357</v>
      </c>
      <c r="ZM99" s="0" t="n">
        <f aca="false">+ZM97+ZM98</f>
        <v>5789.8727289637</v>
      </c>
      <c r="ZN99" s="0" t="n">
        <f aca="false">+ZN97+ZN98</f>
        <v>4930.74251608874</v>
      </c>
      <c r="ZO99" s="0" t="n">
        <f aca="false">+ZO97+ZO98</f>
        <v>5582.13285594731</v>
      </c>
      <c r="ZP99" s="0" t="n">
        <f aca="false">+ZP97+ZP98</f>
        <v>6490.84609939098</v>
      </c>
      <c r="ZQ99" s="0" t="n">
        <f aca="false">+ZQ97+ZQ98</f>
        <v>5361.90036297254</v>
      </c>
      <c r="ZR99" s="0" t="n">
        <f aca="false">+ZR97+ZR98</f>
        <v>5976.00801935487</v>
      </c>
      <c r="ZS99" s="0" t="n">
        <f aca="false">+ZS97+ZS98</f>
        <v>2064.29827161154</v>
      </c>
      <c r="ZT99" s="0" t="n">
        <f aca="false">+ZT97+ZT98</f>
        <v>4159.29869886077</v>
      </c>
      <c r="ZU99" s="0" t="n">
        <f aca="false">+ZU97+ZU98</f>
        <v>5831.42964438847</v>
      </c>
      <c r="ZV99" s="0" t="n">
        <f aca="false">+ZV97+ZV98</f>
        <v>4792.46562443561</v>
      </c>
      <c r="ZW99" s="0" t="n">
        <f aca="false">+ZW97+ZW98</f>
        <v>4693.48450587123</v>
      </c>
      <c r="ZX99" s="0" t="n">
        <f aca="false">+ZX97+ZX98</f>
        <v>1832.68038862608</v>
      </c>
      <c r="ZY99" s="0" t="n">
        <f aca="false">+ZY97+ZY98</f>
        <v>6549.490044184</v>
      </c>
      <c r="ZZ99" s="0" t="n">
        <f aca="false">+ZZ97+ZZ98</f>
        <v>4539.30332359362</v>
      </c>
      <c r="AAA99" s="0" t="n">
        <f aca="false">+AAA97+AAA98</f>
        <v>5167.73066990058</v>
      </c>
      <c r="AAB99" s="0" t="n">
        <f aca="false">+AAB97+AAB98</f>
        <v>4952.25088945236</v>
      </c>
      <c r="AAC99" s="0" t="n">
        <f aca="false">+AAC97+AAC98</f>
        <v>5457.16430580591</v>
      </c>
      <c r="AAD99" s="0" t="n">
        <f aca="false">+AAD97+AAD98</f>
        <v>4386.53220473605</v>
      </c>
      <c r="AAE99" s="0" t="n">
        <f aca="false">+AAE97+AAE98</f>
        <v>5159.12677533865</v>
      </c>
      <c r="AAF99" s="0" t="n">
        <f aca="false">+AAF97+AAF98</f>
        <v>4020.71571432802</v>
      </c>
      <c r="AAG99" s="0" t="n">
        <f aca="false">+AAG97+AAG98</f>
        <v>4073.37164304768</v>
      </c>
      <c r="AAH99" s="0" t="n">
        <f aca="false">+AAH97+AAH98</f>
        <v>3949.51699525857</v>
      </c>
      <c r="AAI99" s="0" t="n">
        <f aca="false">+AAI97+AAI98</f>
        <v>5471.9656008925</v>
      </c>
      <c r="AAJ99" s="0" t="n">
        <f aca="false">+AAJ97+AAJ98</f>
        <v>5250.20457045479</v>
      </c>
      <c r="AAK99" s="0" t="n">
        <f aca="false">+AAK97+AAK98</f>
        <v>3161.71198071198</v>
      </c>
      <c r="AAL99" s="0" t="n">
        <f aca="false">+AAL97+AAL98</f>
        <v>4553.93590389797</v>
      </c>
      <c r="AAM99" s="0" t="n">
        <f aca="false">+AAM97+AAM98</f>
        <v>4981.64706611481</v>
      </c>
      <c r="AAN99" s="0" t="n">
        <f aca="false">+AAN97+AAN98</f>
        <v>5737.81570622827</v>
      </c>
      <c r="AAO99" s="0" t="n">
        <f aca="false">+AAO97+AAO98</f>
        <v>4978.68824773331</v>
      </c>
      <c r="AAP99" s="0" t="n">
        <f aca="false">+AAP97+AAP98</f>
        <v>5995.70255009445</v>
      </c>
      <c r="AAQ99" s="0" t="n">
        <f aca="false">+AAQ97+AAQ98</f>
        <v>4833.24288420216</v>
      </c>
      <c r="AAR99" s="0" t="n">
        <f aca="false">+AAR97+AAR98</f>
        <v>2607.96147973934</v>
      </c>
      <c r="AAS99" s="0" t="n">
        <f aca="false">+AAS97+AAS98</f>
        <v>5033.26244028491</v>
      </c>
      <c r="AAT99" s="0" t="n">
        <f aca="false">+AAT97+AAT98</f>
        <v>5432.27372195559</v>
      </c>
      <c r="AAU99" s="0" t="n">
        <f aca="false">+AAU97+AAU98</f>
        <v>5362.34438630006</v>
      </c>
      <c r="AAV99" s="0" t="n">
        <f aca="false">+AAV97+AAV98</f>
        <v>3966.41486320124</v>
      </c>
      <c r="AAW99" s="0" t="n">
        <f aca="false">+AAW97+AAW98</f>
        <v>4916.68506485203</v>
      </c>
      <c r="AAX99" s="0" t="n">
        <f aca="false">+AAX97+AAX98</f>
        <v>5455.79986224778</v>
      </c>
      <c r="AAY99" s="0" t="n">
        <f aca="false">+AAY97+AAY98</f>
        <v>5687.91069813762</v>
      </c>
      <c r="AAZ99" s="0" t="n">
        <f aca="false">+AAZ97+AAZ98</f>
        <v>4500.71576060272</v>
      </c>
      <c r="ABA99" s="0" t="n">
        <f aca="false">+ABA97+ABA98</f>
        <v>4601.47673741256</v>
      </c>
      <c r="ABB99" s="0" t="n">
        <f aca="false">+ABB97+ABB98</f>
        <v>4357.6117554056</v>
      </c>
      <c r="ABC99" s="0" t="n">
        <f aca="false">+ABC97+ABC98</f>
        <v>4081.20828321475</v>
      </c>
      <c r="ABD99" s="0" t="n">
        <f aca="false">+ABD97+ABD98</f>
        <v>5616.86622340384</v>
      </c>
      <c r="ABE99" s="0" t="n">
        <f aca="false">+ABE97+ABE98</f>
        <v>5176.67036913533</v>
      </c>
      <c r="ABF99" s="0" t="n">
        <f aca="false">+ABF97+ABF98</f>
        <v>5409.76996666148</v>
      </c>
      <c r="ABG99" s="0" t="n">
        <f aca="false">+ABG97+ABG98</f>
        <v>5645.08406783844</v>
      </c>
      <c r="ABH99" s="0" t="n">
        <f aca="false">+ABH97+ABH98</f>
        <v>5541.17925118574</v>
      </c>
      <c r="ABI99" s="0" t="n">
        <f aca="false">+ABI97+ABI98</f>
        <v>5868.50346917427</v>
      </c>
      <c r="ABJ99" s="0" t="n">
        <f aca="false">+ABJ97+ABJ98</f>
        <v>4719.70470150327</v>
      </c>
      <c r="ABK99" s="0" t="n">
        <f aca="false">+ABK97+ABK98</f>
        <v>5413.05080045607</v>
      </c>
      <c r="ABL99" s="0" t="n">
        <f aca="false">+ABL97+ABL98</f>
        <v>4775.48657951254</v>
      </c>
      <c r="ABM99" s="0" t="n">
        <f aca="false">+ABM97+ABM98</f>
        <v>4981.80826325232</v>
      </c>
      <c r="ABN99" s="0" t="n">
        <f aca="false">+ABN97+ABN98</f>
        <v>5562.50379788108</v>
      </c>
      <c r="ABO99" s="0" t="n">
        <f aca="false">+ABO97+ABO98</f>
        <v>6482.72066663681</v>
      </c>
      <c r="ABP99" s="0" t="n">
        <f aca="false">+ABP97+ABP98</f>
        <v>5072.53402371438</v>
      </c>
      <c r="ABQ99" s="0" t="n">
        <f aca="false">+ABQ97+ABQ98</f>
        <v>5223.5715085453</v>
      </c>
      <c r="ABR99" s="0" t="n">
        <f aca="false">+ABR97+ABR98</f>
        <v>4825.70856272944</v>
      </c>
      <c r="ABS99" s="0" t="n">
        <f aca="false">+ABS97+ABS98</f>
        <v>6334.01876393337</v>
      </c>
      <c r="ABT99" s="0" t="n">
        <f aca="false">+ABT97+ABT98</f>
        <v>5916.22471531538</v>
      </c>
      <c r="ABU99" s="0" t="n">
        <f aca="false">+ABU97+ABU98</f>
        <v>4744.38849053359</v>
      </c>
      <c r="ABV99" s="0" t="n">
        <f aca="false">+ABV97+ABV98</f>
        <v>5490.23203958224</v>
      </c>
      <c r="ABW99" s="0" t="n">
        <f aca="false">+ABW97+ABW98</f>
        <v>4799.04493783899</v>
      </c>
      <c r="ABX99" s="0" t="n">
        <f aca="false">+ABX97+ABX98</f>
        <v>5688.16910033398</v>
      </c>
      <c r="ABY99" s="0" t="n">
        <f aca="false">+ABY97+ABY98</f>
        <v>5174.49819690496</v>
      </c>
      <c r="ABZ99" s="0" t="n">
        <f aca="false">+ABZ97+ABZ98</f>
        <v>4372.11038896841</v>
      </c>
      <c r="ACA99" s="0" t="n">
        <f aca="false">+ACA97+ACA98</f>
        <v>5246.30698221245</v>
      </c>
      <c r="ACB99" s="0" t="n">
        <f aca="false">+ACB97+ACB98</f>
        <v>6341.08969525043</v>
      </c>
      <c r="ACC99" s="0" t="n">
        <f aca="false">+ACC97+ACC98</f>
        <v>4459.37819291787</v>
      </c>
      <c r="ACD99" s="0" t="n">
        <f aca="false">+ACD97+ACD98</f>
        <v>5638.42727122041</v>
      </c>
      <c r="ACE99" s="0" t="n">
        <f aca="false">+ACE97+ACE98</f>
        <v>4876.84898181371</v>
      </c>
      <c r="ACF99" s="0" t="n">
        <f aca="false">+ACF97+ACF98</f>
        <v>4073.4708655663</v>
      </c>
      <c r="ACG99" s="0" t="n">
        <f aca="false">+ACG97+ACG98</f>
        <v>4299.26120999444</v>
      </c>
      <c r="ACH99" s="0" t="n">
        <f aca="false">+ACH97+ACH98</f>
        <v>5233.12291270433</v>
      </c>
      <c r="ACI99" s="0" t="n">
        <f aca="false">+ACI97+ACI98</f>
        <v>4350.19428855647</v>
      </c>
      <c r="ACJ99" s="0" t="n">
        <f aca="false">+ACJ97+ACJ98</f>
        <v>4912.91551169108</v>
      </c>
      <c r="ACK99" s="0" t="n">
        <f aca="false">+ACK97+ACK98</f>
        <v>5312.89978146792</v>
      </c>
      <c r="ACL99" s="0" t="n">
        <f aca="false">+ACL97+ACL98</f>
        <v>3265.49066031013</v>
      </c>
      <c r="ACM99" s="0" t="n">
        <f aca="false">+ACM97+ACM98</f>
        <v>4222.83227705613</v>
      </c>
      <c r="ACN99" s="0" t="n">
        <f aca="false">+ACN97+ACN98</f>
        <v>5356.136001657</v>
      </c>
      <c r="ACO99" s="0" t="n">
        <f aca="false">+ACO97+ACO98</f>
        <v>5497.39780412599</v>
      </c>
      <c r="ACP99" s="0" t="n">
        <f aca="false">+ACP97+ACP98</f>
        <v>4101.11297044914</v>
      </c>
      <c r="ACQ99" s="0" t="n">
        <f aca="false">+ACQ97+ACQ98</f>
        <v>4926.44163674441</v>
      </c>
      <c r="ACR99" s="0" t="n">
        <f aca="false">+ACR97+ACR98</f>
        <v>4496.94779239248</v>
      </c>
      <c r="ACS99" s="0" t="n">
        <f aca="false">+ACS97+ACS98</f>
        <v>5589.87400730107</v>
      </c>
      <c r="ACT99" s="0" t="n">
        <f aca="false">+ACT97+ACT98</f>
        <v>4973.65892928297</v>
      </c>
      <c r="ACU99" s="0" t="n">
        <f aca="false">+ACU97+ACU98</f>
        <v>5435.22350567088</v>
      </c>
      <c r="ACV99" s="0" t="n">
        <f aca="false">+ACV97+ACV98</f>
        <v>5313.96661776377</v>
      </c>
      <c r="ACW99" s="0" t="n">
        <f aca="false">+ACW97+ACW98</f>
        <v>4353.13359762686</v>
      </c>
      <c r="ACX99" s="0" t="n">
        <f aca="false">+ACX97+ACX98</f>
        <v>5266.42379614581</v>
      </c>
      <c r="ACY99" s="0" t="n">
        <f aca="false">+ACY97+ACY98</f>
        <v>3072.00892273063</v>
      </c>
      <c r="ACZ99" s="0" t="n">
        <f aca="false">+ACZ97+ACZ98</f>
        <v>5570.71518979904</v>
      </c>
      <c r="ADA99" s="0" t="n">
        <f aca="false">+ADA97+ADA98</f>
        <v>6987.81548326955</v>
      </c>
      <c r="ADB99" s="0" t="n">
        <f aca="false">+ADB97+ADB98</f>
        <v>2988.03565718178</v>
      </c>
      <c r="ADC99" s="0" t="n">
        <f aca="false">+ADC97+ADC98</f>
        <v>5303.91778095593</v>
      </c>
      <c r="ADD99" s="0" t="n">
        <f aca="false">+ADD97+ADD98</f>
        <v>4254.21871506999</v>
      </c>
      <c r="ADE99" s="0" t="n">
        <f aca="false">+ADE97+ADE98</f>
        <v>3049.52234921672</v>
      </c>
      <c r="ADF99" s="0" t="n">
        <f aca="false">+ADF97+ADF98</f>
        <v>5365.38889434503</v>
      </c>
      <c r="ADG99" s="0" t="n">
        <f aca="false">+ADG97+ADG98</f>
        <v>6154.95124995034</v>
      </c>
      <c r="ADH99" s="0" t="n">
        <f aca="false">+ADH97+ADH98</f>
        <v>4636.51298693112</v>
      </c>
      <c r="ADI99" s="0" t="n">
        <f aca="false">+ADI97+ADI98</f>
        <v>5633.46595271531</v>
      </c>
      <c r="ADJ99" s="0" t="n">
        <f aca="false">+ADJ97+ADJ98</f>
        <v>5928.97775404181</v>
      </c>
      <c r="ADK99" s="0" t="n">
        <f aca="false">+ADK97+ADK98</f>
        <v>4652.99417600329</v>
      </c>
      <c r="ADL99" s="0" t="n">
        <f aca="false">+ADL97+ADL98</f>
        <v>5278.99142646006</v>
      </c>
      <c r="ADM99" s="0" t="n">
        <f aca="false">+ADM97+ADM98</f>
        <v>5399.33697176659</v>
      </c>
      <c r="ADN99" s="0" t="n">
        <f aca="false">+ADN97+ADN98</f>
        <v>4367.86765652201</v>
      </c>
      <c r="ADO99" s="0" t="n">
        <f aca="false">+ADO97+ADO98</f>
        <v>4262.08544604336</v>
      </c>
      <c r="ADP99" s="0" t="n">
        <f aca="false">+ADP97+ADP98</f>
        <v>5122.42401478582</v>
      </c>
      <c r="ADQ99" s="0" t="n">
        <f aca="false">+ADQ97+ADQ98</f>
        <v>5566.93302063175</v>
      </c>
      <c r="ADR99" s="0" t="n">
        <f aca="false">+ADR97+ADR98</f>
        <v>5592.92385338305</v>
      </c>
      <c r="ADS99" s="0" t="n">
        <f aca="false">+ADS97+ADS98</f>
        <v>5757.40082094122</v>
      </c>
      <c r="ADT99" s="0" t="n">
        <f aca="false">+ADT97+ADT98</f>
        <v>5807.14618077887</v>
      </c>
      <c r="ADU99" s="0" t="n">
        <f aca="false">+ADU97+ADU98</f>
        <v>4841.38421908139</v>
      </c>
      <c r="ADV99" s="0" t="n">
        <f aca="false">+ADV97+ADV98</f>
        <v>4819.65071844905</v>
      </c>
      <c r="ADW99" s="0" t="n">
        <f aca="false">+ADW97+ADW98</f>
        <v>3526.36852106114</v>
      </c>
      <c r="ADX99" s="0" t="n">
        <f aca="false">+ADX97+ADX98</f>
        <v>3761.40340026132</v>
      </c>
      <c r="ADY99" s="0" t="n">
        <f aca="false">+ADY97+ADY98</f>
        <v>5834.70441228228</v>
      </c>
      <c r="ADZ99" s="0" t="n">
        <f aca="false">+ADZ97+ADZ98</f>
        <v>5146.25638854461</v>
      </c>
      <c r="AEA99" s="0" t="n">
        <f aca="false">+AEA97+AEA98</f>
        <v>5574.71660277317</v>
      </c>
      <c r="AEB99" s="0" t="n">
        <f aca="false">+AEB97+AEB98</f>
        <v>3598.56006242085</v>
      </c>
      <c r="AEC99" s="0" t="n">
        <f aca="false">+AEC97+AEC98</f>
        <v>5410.20629347253</v>
      </c>
      <c r="AED99" s="0" t="n">
        <f aca="false">+AED97+AED98</f>
        <v>6336.77727999741</v>
      </c>
      <c r="AEE99" s="0" t="n">
        <f aca="false">+AEE97+AEE98</f>
        <v>4599.53307127754</v>
      </c>
      <c r="AEF99" s="0" t="n">
        <f aca="false">+AEF97+AEF98</f>
        <v>6537.60691084596</v>
      </c>
      <c r="AEG99" s="0" t="n">
        <f aca="false">+AEG97+AEG98</f>
        <v>5274.59894078231</v>
      </c>
      <c r="AEH99" s="0" t="n">
        <f aca="false">+AEH97+AEH98</f>
        <v>5163.09684291748</v>
      </c>
      <c r="AEI99" s="0" t="n">
        <f aca="false">+AEI97+AEI98</f>
        <v>3453.9876187128</v>
      </c>
      <c r="AEJ99" s="0" t="n">
        <f aca="false">+AEJ97+AEJ98</f>
        <v>4593.96950919793</v>
      </c>
      <c r="AEK99" s="0" t="n">
        <f aca="false">+AEK97+AEK98</f>
        <v>5632.51788927256</v>
      </c>
      <c r="AEL99" s="0" t="n">
        <f aca="false">+AEL97+AEL98</f>
        <v>5056.56278249878</v>
      </c>
      <c r="AEM99" s="0" t="n">
        <f aca="false">+AEM97+AEM98</f>
        <v>5611.98902613292</v>
      </c>
      <c r="AEN99" s="0" t="n">
        <f aca="false">+AEN97+AEN98</f>
        <v>3046.46775580287</v>
      </c>
      <c r="AEO99" s="0" t="n">
        <f aca="false">+AEO97+AEO98</f>
        <v>5326.55383022309</v>
      </c>
      <c r="AEP99" s="0" t="n">
        <f aca="false">+AEP97+AEP98</f>
        <v>5252.06467789847</v>
      </c>
      <c r="AEQ99" s="0" t="n">
        <f aca="false">+AEQ97+AEQ98</f>
        <v>5626.66161233686</v>
      </c>
      <c r="AER99" s="0" t="n">
        <f aca="false">+AER97+AER98</f>
        <v>2827.89336244381</v>
      </c>
      <c r="AES99" s="0" t="n">
        <f aca="false">+AES97+AES98</f>
        <v>5323.35241729813</v>
      </c>
      <c r="AET99" s="0" t="n">
        <f aca="false">+AET97+AET98</f>
        <v>5516.04937488186</v>
      </c>
      <c r="AEU99" s="0" t="n">
        <f aca="false">+AEU97+AEU98</f>
        <v>5448.80458506396</v>
      </c>
      <c r="AEV99" s="0" t="n">
        <f aca="false">+AEV97+AEV98</f>
        <v>5812.97975990203</v>
      </c>
      <c r="AEW99" s="0" t="n">
        <f aca="false">+AEW97+AEW98</f>
        <v>5806.12219940479</v>
      </c>
      <c r="AEX99" s="0" t="n">
        <f aca="false">+AEX97+AEX98</f>
        <v>5687.5643536606</v>
      </c>
      <c r="AEY99" s="0" t="n">
        <f aca="false">+AEY97+AEY98</f>
        <v>4079.46700641398</v>
      </c>
      <c r="AEZ99" s="0" t="n">
        <f aca="false">+AEZ97+AEZ98</f>
        <v>6015.3693865485</v>
      </c>
      <c r="AFA99" s="0" t="n">
        <f aca="false">+AFA97+AFA98</f>
        <v>5126.87336712007</v>
      </c>
      <c r="AFB99" s="0" t="n">
        <f aca="false">+AFB97+AFB98</f>
        <v>4565.4807938941</v>
      </c>
      <c r="AFC99" s="0" t="n">
        <f aca="false">+AFC97+AFC98</f>
        <v>4798.83023055364</v>
      </c>
      <c r="AFD99" s="0" t="n">
        <f aca="false">+AFD97+AFD98</f>
        <v>5107.76193578931</v>
      </c>
      <c r="AFE99" s="0" t="n">
        <f aca="false">+AFE97+AFE98</f>
        <v>2807.31420315804</v>
      </c>
      <c r="AFF99" s="0" t="n">
        <f aca="false">+AFF97+AFF98</f>
        <v>5166.77030841084</v>
      </c>
      <c r="AFG99" s="0" t="n">
        <f aca="false">+AFG97+AFG98</f>
        <v>4304.40800294129</v>
      </c>
      <c r="AFH99" s="0" t="n">
        <f aca="false">+AFH97+AFH98</f>
        <v>5163.31098389213</v>
      </c>
      <c r="AFI99" s="0" t="n">
        <f aca="false">+AFI97+AFI98</f>
        <v>4973.83927605846</v>
      </c>
      <c r="AFJ99" s="0" t="n">
        <f aca="false">+AFJ97+AFJ98</f>
        <v>4704.91102780993</v>
      </c>
      <c r="AFK99" s="0" t="n">
        <f aca="false">+AFK97+AFK98</f>
        <v>5703.39992798478</v>
      </c>
      <c r="AFL99" s="0" t="n">
        <f aca="false">+AFL97+AFL98</f>
        <v>5512.1646624644</v>
      </c>
      <c r="AFM99" s="0" t="n">
        <f aca="false">+AFM97+AFM98</f>
        <v>3646.50260763436</v>
      </c>
      <c r="AFN99" s="0" t="n">
        <f aca="false">+AFN97+AFN98</f>
        <v>4891.96719197759</v>
      </c>
      <c r="AFO99" s="0" t="n">
        <f aca="false">+AFO97+AFO98</f>
        <v>5727.74906856278</v>
      </c>
      <c r="AFP99" s="0" t="n">
        <f aca="false">+AFP97+AFP98</f>
        <v>4970.22071298567</v>
      </c>
      <c r="AFQ99" s="0" t="n">
        <f aca="false">+AFQ97+AFQ98</f>
        <v>5186.27571729172</v>
      </c>
      <c r="AFR99" s="0" t="n">
        <f aca="false">+AFR97+AFR98</f>
        <v>6039.92650053971</v>
      </c>
      <c r="AFS99" s="0" t="n">
        <f aca="false">+AFS97+AFS98</f>
        <v>4092.6926123842</v>
      </c>
      <c r="AFT99" s="0" t="n">
        <f aca="false">+AFT97+AFT98</f>
        <v>3395.45179062703</v>
      </c>
      <c r="AFU99" s="0" t="n">
        <f aca="false">+AFU97+AFU98</f>
        <v>6576.48182639353</v>
      </c>
      <c r="AFV99" s="0" t="n">
        <f aca="false">+AFV97+AFV98</f>
        <v>4014.53192328147</v>
      </c>
      <c r="AFW99" s="0" t="n">
        <f aca="false">+AFW97+AFW98</f>
        <v>5088.10932359448</v>
      </c>
      <c r="AFX99" s="0" t="n">
        <f aca="false">+AFX97+AFX98</f>
        <v>3337.2315477451</v>
      </c>
      <c r="AFY99" s="0" t="n">
        <f aca="false">+AFY97+AFY98</f>
        <v>4913.8867840715</v>
      </c>
      <c r="AFZ99" s="0" t="n">
        <f aca="false">+AFZ97+AFZ98</f>
        <v>4642.0068692895</v>
      </c>
      <c r="AGA99" s="0" t="n">
        <f aca="false">+AGA97+AGA98</f>
        <v>4768.98545847987</v>
      </c>
      <c r="AGB99" s="0" t="n">
        <f aca="false">+AGB97+AGB98</f>
        <v>5515.21334370581</v>
      </c>
      <c r="AGC99" s="0" t="n">
        <f aca="false">+AGC97+AGC98</f>
        <v>5001.24030673509</v>
      </c>
      <c r="AGD99" s="0" t="n">
        <f aca="false">+AGD97+AGD98</f>
        <v>5745.04877911489</v>
      </c>
      <c r="AGE99" s="0" t="n">
        <f aca="false">+AGE97+AGE98</f>
        <v>3346.30185132354</v>
      </c>
      <c r="AGF99" s="0" t="n">
        <f aca="false">+AGF97+AGF98</f>
        <v>4427.38002877722</v>
      </c>
      <c r="AGG99" s="0" t="n">
        <f aca="false">+AGG97+AGG98</f>
        <v>5283.6849155217</v>
      </c>
      <c r="AGH99" s="0" t="n">
        <f aca="false">+AGH97+AGH98</f>
        <v>4277.01837786252</v>
      </c>
      <c r="AGI99" s="0" t="n">
        <f aca="false">+AGI97+AGI98</f>
        <v>3942.68382952043</v>
      </c>
      <c r="AGJ99" s="0" t="n">
        <f aca="false">+AGJ97+AGJ98</f>
        <v>3976.42432089251</v>
      </c>
      <c r="AGK99" s="0" t="n">
        <f aca="false">+AGK97+AGK98</f>
        <v>4354.87619757317</v>
      </c>
      <c r="AGL99" s="0" t="n">
        <f aca="false">+AGL97+AGL98</f>
        <v>3919.22564659151</v>
      </c>
      <c r="AGM99" s="0" t="n">
        <f aca="false">+AGM97+AGM98</f>
        <v>5272.36986391986</v>
      </c>
      <c r="AGN99" s="0" t="n">
        <f aca="false">+AGN97+AGN98</f>
        <v>4580.28943406216</v>
      </c>
      <c r="AGO99" s="0" t="n">
        <f aca="false">+AGO97+AGO98</f>
        <v>4271.18874851186</v>
      </c>
      <c r="AGP99" s="0" t="n">
        <f aca="false">+AGP97+AGP98</f>
        <v>4032.00037025494</v>
      </c>
      <c r="AGQ99" s="0" t="n">
        <f aca="false">+AGQ97+AGQ98</f>
        <v>5269.75471156347</v>
      </c>
      <c r="AGR99" s="0" t="n">
        <f aca="false">+AGR97+AGR98</f>
        <v>4857.78633394101</v>
      </c>
      <c r="AGS99" s="0" t="n">
        <f aca="false">+AGS97+AGS98</f>
        <v>6192.65789343211</v>
      </c>
      <c r="AGT99" s="0" t="n">
        <f aca="false">+AGT97+AGT98</f>
        <v>3650.48409632691</v>
      </c>
      <c r="AGU99" s="0" t="n">
        <f aca="false">+AGU97+AGU98</f>
        <v>5785.1495646307</v>
      </c>
      <c r="AGV99" s="0" t="n">
        <f aca="false">+AGV97+AGV98</f>
        <v>5058.51280682431</v>
      </c>
      <c r="AGW99" s="0" t="n">
        <f aca="false">+AGW97+AGW98</f>
        <v>5038.54866828836</v>
      </c>
      <c r="AGX99" s="0" t="n">
        <f aca="false">+AGX97+AGX98</f>
        <v>2967.9886596388</v>
      </c>
      <c r="AGY99" s="0" t="n">
        <f aca="false">+AGY97+AGY98</f>
        <v>4728.84517767156</v>
      </c>
      <c r="AGZ99" s="0" t="n">
        <f aca="false">+AGZ97+AGZ98</f>
        <v>3828.98648542634</v>
      </c>
      <c r="AHA99" s="0" t="n">
        <f aca="false">+AHA97+AHA98</f>
        <v>2114.04392486862</v>
      </c>
      <c r="AHB99" s="0" t="n">
        <f aca="false">+AHB97+AHB98</f>
        <v>5002.90327670473</v>
      </c>
      <c r="AHC99" s="0" t="n">
        <f aca="false">+AHC97+AHC98</f>
        <v>3672.24930430897</v>
      </c>
      <c r="AHD99" s="0" t="n">
        <f aca="false">+AHD97+AHD98</f>
        <v>3794.41265965231</v>
      </c>
      <c r="AHE99" s="0" t="n">
        <f aca="false">+AHE97+AHE98</f>
        <v>5615.48238579628</v>
      </c>
      <c r="AHF99" s="0" t="n">
        <f aca="false">+AHF97+AHF98</f>
        <v>3110.18870852087</v>
      </c>
      <c r="AHG99" s="0" t="n">
        <f aca="false">+AHG97+AHG98</f>
        <v>5524.5260005934</v>
      </c>
      <c r="AHH99" s="0" t="n">
        <f aca="false">+AHH97+AHH98</f>
        <v>5752.34817946262</v>
      </c>
      <c r="AHI99" s="0" t="n">
        <f aca="false">+AHI97+AHI98</f>
        <v>4041.64327444386</v>
      </c>
      <c r="AHJ99" s="0" t="n">
        <f aca="false">+AHJ97+AHJ98</f>
        <v>5820.69521787042</v>
      </c>
      <c r="AHK99" s="0" t="n">
        <f aca="false">+AHK97+AHK98</f>
        <v>4132.06257007527</v>
      </c>
      <c r="AHL99" s="0" t="n">
        <f aca="false">+AHL97+AHL98</f>
        <v>4366.13586938237</v>
      </c>
      <c r="AHM99" s="0" t="n">
        <f aca="false">+AHM97+AHM98</f>
        <v>5333.30525093289</v>
      </c>
      <c r="AHN99" s="0" t="n">
        <f aca="false">+AHN97+AHN98</f>
        <v>4299.50218933432</v>
      </c>
      <c r="AHO99" s="0" t="n">
        <f aca="false">+AHO97+AHO98</f>
        <v>5044.94633233437</v>
      </c>
      <c r="AHP99" s="0" t="n">
        <f aca="false">+AHP97+AHP98</f>
        <v>2671.47611041377</v>
      </c>
      <c r="AHQ99" s="0" t="n">
        <f aca="false">+AHQ97+AHQ98</f>
        <v>4988.23035870578</v>
      </c>
      <c r="AHR99" s="0" t="n">
        <f aca="false">+AHR97+AHR98</f>
        <v>3259.8489041857</v>
      </c>
      <c r="AHS99" s="0" t="n">
        <f aca="false">+AHS97+AHS98</f>
        <v>5620.27982495035</v>
      </c>
      <c r="AHT99" s="0" t="n">
        <f aca="false">+AHT97+AHT98</f>
        <v>4567.48855461388</v>
      </c>
      <c r="AHU99" s="0" t="n">
        <f aca="false">+AHU97+AHU98</f>
        <v>6041.88120332414</v>
      </c>
      <c r="AHV99" s="0" t="n">
        <f aca="false">+AHV97+AHV98</f>
        <v>4923.40024150972</v>
      </c>
      <c r="AHW99" s="0" t="n">
        <f aca="false">+AHW97+AHW98</f>
        <v>5878.47461332875</v>
      </c>
      <c r="AHX99" s="0" t="n">
        <f aca="false">+AHX97+AHX98</f>
        <v>3757.26324948253</v>
      </c>
      <c r="AHY99" s="0" t="n">
        <f aca="false">+AHY97+AHY98</f>
        <v>4249.83315448754</v>
      </c>
      <c r="AHZ99" s="0" t="n">
        <f aca="false">+AHZ97+AHZ98</f>
        <v>5565.23182890463</v>
      </c>
      <c r="AIA99" s="0" t="n">
        <f aca="false">+AIA97+AIA98</f>
        <v>4369.56564585307</v>
      </c>
      <c r="AIB99" s="0" t="n">
        <f aca="false">+AIB97+AIB98</f>
        <v>5988.89186717453</v>
      </c>
      <c r="AIC99" s="0" t="n">
        <f aca="false">+AIC97+AIC98</f>
        <v>5564.07917240315</v>
      </c>
      <c r="AID99" s="0" t="n">
        <f aca="false">+AID97+AID98</f>
        <v>3271.19622519987</v>
      </c>
      <c r="AIE99" s="0" t="n">
        <f aca="false">+AIE97+AIE98</f>
        <v>4580.47242017855</v>
      </c>
      <c r="AIF99" s="0" t="n">
        <f aca="false">+AIF97+AIF98</f>
        <v>5668.17886554516</v>
      </c>
      <c r="AIG99" s="0" t="n">
        <f aca="false">+AIG97+AIG98</f>
        <v>4925.98864652521</v>
      </c>
      <c r="AIH99" s="0" t="n">
        <f aca="false">+AIH97+AIH98</f>
        <v>6366.06958843431</v>
      </c>
      <c r="AII99" s="0" t="n">
        <f aca="false">+AII97+AII98</f>
        <v>4671.88892134622</v>
      </c>
      <c r="AIJ99" s="0" t="n">
        <f aca="false">+AIJ97+AIJ98</f>
        <v>5802.45959434155</v>
      </c>
      <c r="AIK99" s="0" t="n">
        <f aca="false">+AIK97+AIK98</f>
        <v>4708.57532355727</v>
      </c>
      <c r="AIL99" s="0" t="n">
        <f aca="false">+AIL97+AIL98</f>
        <v>5189.04827910936</v>
      </c>
      <c r="AIM99" s="0" t="n">
        <f aca="false">+AIM97+AIM98</f>
        <v>4819.04526947122</v>
      </c>
      <c r="AIN99" s="0" t="n">
        <f aca="false">+AIN97+AIN98</f>
        <v>6135.60129403335</v>
      </c>
      <c r="AIO99" s="0" t="n">
        <f aca="false">+AIO97+AIO98</f>
        <v>3927.38123540734</v>
      </c>
      <c r="AIP99" s="0" t="n">
        <f aca="false">+AIP97+AIP98</f>
        <v>4177.9258364135</v>
      </c>
      <c r="AIQ99" s="0" t="n">
        <f aca="false">+AIQ97+AIQ98</f>
        <v>4964.58561478198</v>
      </c>
      <c r="AIR99" s="0" t="n">
        <f aca="false">+AIR97+AIR98</f>
        <v>4138.49885976765</v>
      </c>
      <c r="AIS99" s="0" t="n">
        <f aca="false">+AIS97+AIS98</f>
        <v>4049.04360207072</v>
      </c>
      <c r="AIT99" s="0" t="n">
        <f aca="false">+AIT97+AIT98</f>
        <v>4813.82459670529</v>
      </c>
      <c r="AIU99" s="0" t="n">
        <f aca="false">+AIU97+AIU98</f>
        <v>5593.98291349545</v>
      </c>
      <c r="AIV99" s="0" t="n">
        <f aca="false">+AIV97+AIV98</f>
        <v>4639.22255988268</v>
      </c>
      <c r="AIW99" s="0" t="n">
        <f aca="false">+AIW97+AIW98</f>
        <v>1039.11439307447</v>
      </c>
      <c r="AIX99" s="0" t="n">
        <f aca="false">+AIX97+AIX98</f>
        <v>5847.77022659698</v>
      </c>
      <c r="AIY99" s="0" t="n">
        <f aca="false">+AIY97+AIY98</f>
        <v>4968.73204935811</v>
      </c>
      <c r="AIZ99" s="0" t="n">
        <f aca="false">+AIZ97+AIZ98</f>
        <v>4630.61308552141</v>
      </c>
      <c r="AJA99" s="0" t="n">
        <f aca="false">+AJA97+AJA98</f>
        <v>3761.48873422984</v>
      </c>
      <c r="AJB99" s="0" t="n">
        <f aca="false">+AJB97+AJB98</f>
        <v>4174.58217511554</v>
      </c>
      <c r="AJC99" s="0" t="n">
        <f aca="false">+AJC97+AJC98</f>
        <v>5816.18823158522</v>
      </c>
      <c r="AJD99" s="0" t="n">
        <f aca="false">+AJD97+AJD98</f>
        <v>5309.91589052314</v>
      </c>
      <c r="AJE99" s="0" t="n">
        <f aca="false">+AJE97+AJE98</f>
        <v>3962.01810247638</v>
      </c>
      <c r="AJF99" s="0" t="n">
        <f aca="false">+AJF97+AJF98</f>
        <v>4817.55724221741</v>
      </c>
      <c r="AJG99" s="0" t="n">
        <f aca="false">+AJG97+AJG98</f>
        <v>4769.11224622943</v>
      </c>
      <c r="AJH99" s="0" t="n">
        <f aca="false">+AJH97+AJH98</f>
        <v>5277.55686397911</v>
      </c>
      <c r="AJI99" s="0" t="n">
        <f aca="false">+AJI97+AJI98</f>
        <v>5504.86458141124</v>
      </c>
      <c r="AJJ99" s="0" t="n">
        <f aca="false">+AJJ97+AJJ98</f>
        <v>5186.56865580843</v>
      </c>
      <c r="AJK99" s="0" t="n">
        <f aca="false">+AJK97+AJK98</f>
        <v>4864.78392045285</v>
      </c>
      <c r="AJL99" s="0" t="n">
        <f aca="false">+AJL97+AJL98</f>
        <v>4375.75147592816</v>
      </c>
      <c r="AJM99" s="0" t="n">
        <f aca="false">+AJM97+AJM98</f>
        <v>4354.68087679094</v>
      </c>
      <c r="AJN99" s="0" t="n">
        <f aca="false">+AJN97+AJN98</f>
        <v>4796.10803560345</v>
      </c>
      <c r="AJO99" s="0" t="n">
        <f aca="false">+AJO97+AJO98</f>
        <v>4600.68237941763</v>
      </c>
      <c r="AJP99" s="0" t="n">
        <f aca="false">+AJP97+AJP98</f>
        <v>3826.67931993979</v>
      </c>
      <c r="AJQ99" s="0" t="n">
        <f aca="false">+AJQ97+AJQ98</f>
        <v>4489.53240556768</v>
      </c>
      <c r="AJR99" s="0" t="n">
        <f aca="false">+AJR97+AJR98</f>
        <v>5438.75835042742</v>
      </c>
      <c r="AJS99" s="0" t="n">
        <f aca="false">+AJS97+AJS98</f>
        <v>4682.50378403729</v>
      </c>
      <c r="AJT99" s="0" t="n">
        <f aca="false">+AJT97+AJT98</f>
        <v>6007.5135791383</v>
      </c>
      <c r="AJU99" s="0" t="n">
        <f aca="false">+AJU97+AJU98</f>
        <v>2357.06905404241</v>
      </c>
      <c r="AJV99" s="0" t="n">
        <f aca="false">+AJV97+AJV98</f>
        <v>5101.4110878248</v>
      </c>
      <c r="AJW99" s="0" t="n">
        <f aca="false">+AJW97+AJW98</f>
        <v>5469.78662729748</v>
      </c>
      <c r="AJX99" s="0" t="n">
        <f aca="false">+AJX97+AJX98</f>
        <v>5073.5854122903</v>
      </c>
      <c r="AJY99" s="0" t="n">
        <f aca="false">+AJY97+AJY98</f>
        <v>4156.83480709257</v>
      </c>
      <c r="AJZ99" s="0" t="n">
        <f aca="false">+AJZ97+AJZ98</f>
        <v>6197.00692420848</v>
      </c>
      <c r="AKA99" s="0" t="n">
        <f aca="false">+AKA97+AKA98</f>
        <v>3504.89947727047</v>
      </c>
      <c r="AKB99" s="0" t="n">
        <f aca="false">+AKB97+AKB98</f>
        <v>6561.4098653614</v>
      </c>
      <c r="AKC99" s="0" t="n">
        <f aca="false">+AKC97+AKC98</f>
        <v>4539.23394594876</v>
      </c>
      <c r="AKD99" s="0" t="n">
        <f aca="false">+AKD97+AKD98</f>
        <v>5973.29075365694</v>
      </c>
      <c r="AKE99" s="0" t="n">
        <f aca="false">+AKE97+AKE98</f>
        <v>5121.7023020081</v>
      </c>
      <c r="AKF99" s="0" t="n">
        <f aca="false">+AKF97+AKF98</f>
        <v>3315.59732268847</v>
      </c>
      <c r="AKG99" s="0" t="n">
        <f aca="false">+AKG97+AKG98</f>
        <v>5031.90928008661</v>
      </c>
      <c r="AKH99" s="0" t="n">
        <f aca="false">+AKH97+AKH98</f>
        <v>4326.12787145204</v>
      </c>
      <c r="AKI99" s="0" t="n">
        <f aca="false">+AKI97+AKI98</f>
        <v>5670.07454814907</v>
      </c>
      <c r="AKJ99" s="0" t="n">
        <f aca="false">+AKJ97+AKJ98</f>
        <v>5519.67465495718</v>
      </c>
      <c r="AKK99" s="0" t="n">
        <f aca="false">+AKK97+AKK98</f>
        <v>5344.80156582491</v>
      </c>
      <c r="AKL99" s="0" t="n">
        <f aca="false">+AKL97+AKL98</f>
        <v>6010.54448887783</v>
      </c>
      <c r="AKM99" s="0" t="n">
        <f aca="false">+AKM97+AKM98</f>
        <v>4429.5655462745</v>
      </c>
      <c r="AKN99" s="0" t="n">
        <f aca="false">+AKN97+AKN98</f>
        <v>4148.31442724854</v>
      </c>
      <c r="AKO99" s="0" t="n">
        <f aca="false">+AKO97+AKO98</f>
        <v>4335.01262893253</v>
      </c>
      <c r="AKP99" s="0" t="n">
        <f aca="false">+AKP97+AKP98</f>
        <v>5949.23480093278</v>
      </c>
      <c r="AKQ99" s="0" t="n">
        <f aca="false">+AKQ97+AKQ98</f>
        <v>4140.07753951883</v>
      </c>
      <c r="AKR99" s="0" t="n">
        <f aca="false">+AKR97+AKR98</f>
        <v>4737.24127061323</v>
      </c>
      <c r="AKS99" s="0" t="n">
        <f aca="false">+AKS97+AKS98</f>
        <v>5530.92634454924</v>
      </c>
      <c r="AKT99" s="0" t="n">
        <f aca="false">+AKT97+AKT98</f>
        <v>4690.55843776639</v>
      </c>
      <c r="AKU99" s="0" t="n">
        <f aca="false">+AKU97+AKU98</f>
        <v>5212.37010136656</v>
      </c>
      <c r="AKV99" s="0" t="n">
        <f aca="false">+AKV97+AKV98</f>
        <v>4093.89584179603</v>
      </c>
      <c r="AKW99" s="0" t="n">
        <f aca="false">+AKW97+AKW98</f>
        <v>5347.72951215236</v>
      </c>
      <c r="AKX99" s="0" t="n">
        <f aca="false">+AKX97+AKX98</f>
        <v>4941.61919430496</v>
      </c>
      <c r="AKY99" s="0" t="n">
        <f aca="false">+AKY97+AKY98</f>
        <v>2468.22825934853</v>
      </c>
      <c r="AKZ99" s="0" t="n">
        <f aca="false">+AKZ97+AKZ98</f>
        <v>6470.04384428758</v>
      </c>
      <c r="ALA99" s="0" t="n">
        <f aca="false">+ALA97+ALA98</f>
        <v>5390.80371543131</v>
      </c>
      <c r="ALB99" s="0" t="n">
        <f aca="false">+ALB97+ALB98</f>
        <v>3859.42389040216</v>
      </c>
      <c r="ALC99" s="0" t="n">
        <f aca="false">+ALC97+ALC98</f>
        <v>4771.30101294685</v>
      </c>
      <c r="ALD99" s="0" t="n">
        <f aca="false">+ALD97+ALD98</f>
        <v>5299.36984263716</v>
      </c>
      <c r="ALE99" s="0" t="n">
        <f aca="false">+ALE97+ALE98</f>
        <v>5032.35366879607</v>
      </c>
      <c r="ALF99" s="0" t="n">
        <f aca="false">+ALF97+ALF98</f>
        <v>5696.32483730008</v>
      </c>
      <c r="ALG99" s="0" t="n">
        <f aca="false">+ALG97+ALG98</f>
        <v>4032.4211913307</v>
      </c>
      <c r="ALH99" s="0" t="n">
        <f aca="false">+ALH97+ALH98</f>
        <v>2966.86261016338</v>
      </c>
      <c r="ALI99" s="0" t="n">
        <f aca="false">+ALI97+ALI98</f>
        <v>4114.30720214227</v>
      </c>
      <c r="ALJ99" s="0" t="n">
        <f aca="false">+ALJ97+ALJ98</f>
        <v>4571.02588660745</v>
      </c>
      <c r="ALK99" s="0" t="n">
        <f aca="false">+ALK97+ALK98</f>
        <v>5610.71274507827</v>
      </c>
      <c r="ALL99" s="0" t="n">
        <f aca="false">+ALL97+ALL98</f>
        <v>5926.10372140257</v>
      </c>
      <c r="ALM99" s="0" t="n">
        <f aca="false">+ALM97+ALM98</f>
        <v>5263.43212076886</v>
      </c>
    </row>
    <row r="100" customFormat="false" ht="14.5" hidden="false" customHeight="false" outlineLevel="0" collapsed="false">
      <c r="A100" s="112" t="s">
        <v>91</v>
      </c>
    </row>
    <row r="101" customFormat="false" ht="14.5" hidden="false" customHeight="false" outlineLevel="0" collapsed="false">
      <c r="A101" s="97" t="s">
        <v>92</v>
      </c>
      <c r="B101" s="0" t="n">
        <f aca="false">-B99*$B$75</f>
        <v>-2090.21993808925</v>
      </c>
      <c r="C101" s="0" t="n">
        <f aca="false">-C99*$B$75</f>
        <v>-1950.63919276606</v>
      </c>
      <c r="D101" s="0" t="n">
        <f aca="false">-D99*$B$75</f>
        <v>-1174.90196306441</v>
      </c>
      <c r="E101" s="0" t="n">
        <f aca="false">-E99*$B$75</f>
        <v>-1855.53524061475</v>
      </c>
      <c r="F101" s="0" t="n">
        <f aca="false">-F99*$B$75</f>
        <v>-2020.77224117657</v>
      </c>
      <c r="G101" s="0" t="n">
        <f aca="false">-G99*$B$75</f>
        <v>-1805.81996260506</v>
      </c>
      <c r="H101" s="0" t="n">
        <f aca="false">-H99*$B$75</f>
        <v>-1864.00570964559</v>
      </c>
      <c r="I101" s="0" t="n">
        <f aca="false">-I99*$B$75</f>
        <v>-1276.58805961101</v>
      </c>
      <c r="J101" s="0" t="n">
        <f aca="false">-J99*$B$75</f>
        <v>-1882.81015464895</v>
      </c>
      <c r="K101" s="0" t="n">
        <f aca="false">-K99*$B$75</f>
        <v>-2165.18801189018</v>
      </c>
      <c r="L101" s="0" t="n">
        <f aca="false">-L99*$B$75</f>
        <v>-1946.62800731058</v>
      </c>
      <c r="M101" s="0" t="n">
        <f aca="false">-M99*$B$75</f>
        <v>-1743.82989868194</v>
      </c>
      <c r="N101" s="0" t="n">
        <f aca="false">-N99*$B$75</f>
        <v>-2277.02089175244</v>
      </c>
      <c r="O101" s="0" t="n">
        <f aca="false">-O99*$B$75</f>
        <v>-2411.59619316903</v>
      </c>
      <c r="P101" s="0" t="n">
        <f aca="false">-P99*$B$75</f>
        <v>-1721.5812267261</v>
      </c>
      <c r="Q101" s="0" t="n">
        <f aca="false">-Q99*$B$75</f>
        <v>-2191.44295422858</v>
      </c>
      <c r="R101" s="0" t="n">
        <f aca="false">-R99*$B$75</f>
        <v>-2410.78358767991</v>
      </c>
      <c r="S101" s="0" t="n">
        <f aca="false">-S99*$B$75</f>
        <v>-2166.98204940932</v>
      </c>
      <c r="T101" s="0" t="n">
        <f aca="false">-T99*$B$75</f>
        <v>-2250.63648526711</v>
      </c>
      <c r="U101" s="0" t="n">
        <f aca="false">-U99*$B$75</f>
        <v>-2393.84349208129</v>
      </c>
      <c r="V101" s="0" t="n">
        <f aca="false">-V99*$B$75</f>
        <v>-2178.88828281131</v>
      </c>
      <c r="W101" s="0" t="n">
        <f aca="false">-W99*$B$75</f>
        <v>-1774.71273519831</v>
      </c>
      <c r="X101" s="0" t="n">
        <f aca="false">-X99*$B$75</f>
        <v>-1633.98956136537</v>
      </c>
      <c r="Y101" s="0" t="n">
        <f aca="false">-Y99*$B$75</f>
        <v>-2034.26476947801</v>
      </c>
      <c r="Z101" s="0" t="n">
        <f aca="false">-Z99*$B$75</f>
        <v>-1106.87696878843</v>
      </c>
      <c r="AA101" s="0" t="n">
        <f aca="false">-AA99*$B$75</f>
        <v>-1084.7495398496</v>
      </c>
      <c r="AB101" s="0" t="n">
        <f aca="false">-AB99*$B$75</f>
        <v>-864.976708978617</v>
      </c>
      <c r="AC101" s="0" t="n">
        <f aca="false">-AC99*$B$75</f>
        <v>-2422.81735750865</v>
      </c>
      <c r="AD101" s="0" t="n">
        <f aca="false">-AD99*$B$75</f>
        <v>-1455.11620509236</v>
      </c>
      <c r="AE101" s="0" t="n">
        <f aca="false">-AE99*$B$75</f>
        <v>-1985.1904267615</v>
      </c>
      <c r="AF101" s="0" t="n">
        <f aca="false">-AF99*$B$75</f>
        <v>-2058.30389664425</v>
      </c>
      <c r="AG101" s="0" t="n">
        <f aca="false">-AG99*$B$75</f>
        <v>-1801.8120078274</v>
      </c>
      <c r="AH101" s="0" t="n">
        <f aca="false">-AH99*$B$75</f>
        <v>-2035.92314986915</v>
      </c>
      <c r="AI101" s="0" t="n">
        <f aca="false">-AI99*$B$75</f>
        <v>-2129.54570610753</v>
      </c>
      <c r="AJ101" s="0" t="n">
        <f aca="false">-AJ99*$B$75</f>
        <v>-1403.79343349636</v>
      </c>
      <c r="AK101" s="0" t="n">
        <f aca="false">-AK99*$B$75</f>
        <v>-1806.15166893404</v>
      </c>
      <c r="AL101" s="0" t="n">
        <f aca="false">-AL99*$B$75</f>
        <v>-1418.48791934082</v>
      </c>
      <c r="AM101" s="0" t="n">
        <f aca="false">-AM99*$B$75</f>
        <v>-1355.85632734977</v>
      </c>
      <c r="AN101" s="0" t="n">
        <f aca="false">-AN99*$B$75</f>
        <v>-2034.02353192479</v>
      </c>
      <c r="AO101" s="0" t="n">
        <f aca="false">-AO99*$B$75</f>
        <v>-2557.01038681317</v>
      </c>
      <c r="AP101" s="0" t="n">
        <f aca="false">-AP99*$B$75</f>
        <v>-2125.18397452491</v>
      </c>
      <c r="AQ101" s="0" t="n">
        <f aca="false">-AQ99*$B$75</f>
        <v>-1875.78451483281</v>
      </c>
      <c r="AR101" s="0" t="n">
        <f aca="false">-AR99*$B$75</f>
        <v>-2473.91493627036</v>
      </c>
      <c r="AS101" s="0" t="n">
        <f aca="false">-AS99*$B$75</f>
        <v>-1931.63127155616</v>
      </c>
      <c r="AT101" s="0" t="n">
        <f aca="false">-AT99*$B$75</f>
        <v>-2025.9974057139</v>
      </c>
      <c r="AU101" s="0" t="n">
        <f aca="false">-AU99*$B$75</f>
        <v>-1863.19954040439</v>
      </c>
      <c r="AV101" s="0" t="n">
        <f aca="false">-AV99*$B$75</f>
        <v>-1390.6395368109</v>
      </c>
      <c r="AW101" s="0" t="n">
        <f aca="false">-AW99*$B$75</f>
        <v>-1974.91231691607</v>
      </c>
      <c r="AX101" s="0" t="n">
        <f aca="false">-AX99*$B$75</f>
        <v>-2369.23290543747</v>
      </c>
      <c r="AY101" s="0" t="n">
        <f aca="false">-AY99*$B$75</f>
        <v>-1833.66752923185</v>
      </c>
      <c r="AZ101" s="0" t="n">
        <f aca="false">-AZ99*$B$75</f>
        <v>-1060.22357450171</v>
      </c>
      <c r="BA101" s="0" t="n">
        <f aca="false">-BA99*$B$75</f>
        <v>-2027.11850042242</v>
      </c>
      <c r="BB101" s="0" t="n">
        <f aca="false">-BB99*$B$75</f>
        <v>-2369.62308490124</v>
      </c>
      <c r="BC101" s="0" t="n">
        <f aca="false">-BC99*$B$75</f>
        <v>-1819.16432546475</v>
      </c>
      <c r="BD101" s="0" t="n">
        <f aca="false">-BD99*$B$75</f>
        <v>-2239.89303517267</v>
      </c>
      <c r="BE101" s="0" t="n">
        <f aca="false">-BE99*$B$75</f>
        <v>-1989.46448314257</v>
      </c>
      <c r="BF101" s="0" t="n">
        <f aca="false">-BF99*$B$75</f>
        <v>-2159.43050983739</v>
      </c>
      <c r="BG101" s="0" t="n">
        <f aca="false">-BG99*$B$75</f>
        <v>-1391.47090476162</v>
      </c>
      <c r="BH101" s="0" t="n">
        <f aca="false">-BH99*$B$75</f>
        <v>-2146.37399834836</v>
      </c>
      <c r="BI101" s="0" t="n">
        <f aca="false">-BI99*$B$75</f>
        <v>-1076.78972793503</v>
      </c>
      <c r="BJ101" s="0" t="n">
        <f aca="false">-BJ99*$B$75</f>
        <v>-1764.39368103988</v>
      </c>
      <c r="BK101" s="0" t="n">
        <f aca="false">-BK99*$B$75</f>
        <v>-1674.73827033263</v>
      </c>
      <c r="BL101" s="0" t="n">
        <f aca="false">-BL99*$B$75</f>
        <v>-1789.38697549113</v>
      </c>
      <c r="BM101" s="0" t="n">
        <f aca="false">-BM99*$B$75</f>
        <v>-2416.49067383883</v>
      </c>
      <c r="BN101" s="0" t="n">
        <f aca="false">-BN99*$B$75</f>
        <v>-2449.38617808202</v>
      </c>
      <c r="BO101" s="0" t="n">
        <f aca="false">-BO99*$B$75</f>
        <v>-2138.13233491059</v>
      </c>
      <c r="BP101" s="0" t="n">
        <f aca="false">-BP99*$B$75</f>
        <v>-2036.48006969948</v>
      </c>
      <c r="BQ101" s="0" t="n">
        <f aca="false">-BQ99*$B$75</f>
        <v>-2193.71379572872</v>
      </c>
      <c r="BR101" s="0" t="n">
        <f aca="false">-BR99*$B$75</f>
        <v>-1995.25046061035</v>
      </c>
      <c r="BS101" s="0" t="n">
        <f aca="false">-BS99*$B$75</f>
        <v>-2249.59092238655</v>
      </c>
      <c r="BT101" s="0" t="n">
        <f aca="false">-BT99*$B$75</f>
        <v>-1758.76656808111</v>
      </c>
      <c r="BU101" s="0" t="n">
        <f aca="false">-BU99*$B$75</f>
        <v>-2420.83930239908</v>
      </c>
      <c r="BV101" s="0" t="n">
        <f aca="false">-BV99*$B$75</f>
        <v>-1818.06048571132</v>
      </c>
      <c r="BW101" s="0" t="n">
        <f aca="false">-BW99*$B$75</f>
        <v>-2130.98399089563</v>
      </c>
      <c r="BX101" s="0" t="n">
        <f aca="false">-BX99*$B$75</f>
        <v>-2220.56428827888</v>
      </c>
      <c r="BY101" s="0" t="n">
        <f aca="false">-BY99*$B$75</f>
        <v>-2279.80350035192</v>
      </c>
      <c r="BZ101" s="0" t="n">
        <f aca="false">-BZ99*$B$75</f>
        <v>-1517.21520945114</v>
      </c>
      <c r="CA101" s="0" t="n">
        <f aca="false">-CA99*$B$75</f>
        <v>-1728.1819449866</v>
      </c>
      <c r="CB101" s="0" t="n">
        <f aca="false">-CB99*$B$75</f>
        <v>-2430.11589485351</v>
      </c>
      <c r="CC101" s="0" t="n">
        <f aca="false">-CC99*$B$75</f>
        <v>-1107.99338444325</v>
      </c>
      <c r="CD101" s="0" t="n">
        <f aca="false">-CD99*$B$75</f>
        <v>-460.77674795942</v>
      </c>
      <c r="CE101" s="0" t="n">
        <f aca="false">-CE99*$B$75</f>
        <v>-1551.07689993202</v>
      </c>
      <c r="CF101" s="0" t="n">
        <f aca="false">-CF99*$B$75</f>
        <v>-1559.81704883282</v>
      </c>
      <c r="CG101" s="0" t="n">
        <f aca="false">-CG99*$B$75</f>
        <v>-2632.40758706205</v>
      </c>
      <c r="CH101" s="0" t="n">
        <f aca="false">-CH99*$B$75</f>
        <v>-2120.80965996309</v>
      </c>
      <c r="CI101" s="0" t="n">
        <f aca="false">-CI99*$B$75</f>
        <v>-1402.74267502041</v>
      </c>
      <c r="CJ101" s="0" t="n">
        <f aca="false">-CJ99*$B$75</f>
        <v>-990.792407276972</v>
      </c>
      <c r="CK101" s="0" t="n">
        <f aca="false">-CK99*$B$75</f>
        <v>-2094.27359198556</v>
      </c>
      <c r="CL101" s="0" t="n">
        <f aca="false">-CL99*$B$75</f>
        <v>-2168.6480703142</v>
      </c>
      <c r="CM101" s="0" t="n">
        <f aca="false">-CM99*$B$75</f>
        <v>-1419.21306453662</v>
      </c>
      <c r="CN101" s="0" t="n">
        <f aca="false">-CN99*$B$75</f>
        <v>-1684.25995018853</v>
      </c>
      <c r="CO101" s="0" t="n">
        <f aca="false">-CO99*$B$75</f>
        <v>-1804.30900421159</v>
      </c>
      <c r="CP101" s="0" t="n">
        <f aca="false">-CP99*$B$75</f>
        <v>-2386.56596788498</v>
      </c>
      <c r="CQ101" s="0" t="n">
        <f aca="false">-CQ99*$B$75</f>
        <v>-2071.7277334241</v>
      </c>
      <c r="CR101" s="0" t="n">
        <f aca="false">-CR99*$B$75</f>
        <v>-1877.19590936856</v>
      </c>
      <c r="CS101" s="0" t="n">
        <f aca="false">-CS99*$B$75</f>
        <v>-1915.68314464907</v>
      </c>
      <c r="CT101" s="0" t="n">
        <f aca="false">-CT99*$B$75</f>
        <v>-2431.60207258854</v>
      </c>
      <c r="CU101" s="0" t="n">
        <f aca="false">-CU99*$B$75</f>
        <v>-2191.800056185</v>
      </c>
      <c r="CV101" s="0" t="n">
        <f aca="false">-CV99*$B$75</f>
        <v>-2374.2382366559</v>
      </c>
      <c r="CW101" s="0" t="n">
        <f aca="false">-CW99*$B$75</f>
        <v>-1990.48572747271</v>
      </c>
      <c r="CX101" s="0" t="n">
        <f aca="false">-CX99*$B$75</f>
        <v>-1853.87626778505</v>
      </c>
      <c r="CY101" s="0" t="n">
        <f aca="false">-CY99*$B$75</f>
        <v>-1896.49502936712</v>
      </c>
      <c r="CZ101" s="0" t="n">
        <f aca="false">-CZ99*$B$75</f>
        <v>-2016.20666311258</v>
      </c>
      <c r="DA101" s="0" t="n">
        <f aca="false">-DA99*$B$75</f>
        <v>-2395.77568094475</v>
      </c>
      <c r="DB101" s="0" t="n">
        <f aca="false">-DB99*$B$75</f>
        <v>-2249.71777211463</v>
      </c>
      <c r="DC101" s="0" t="n">
        <f aca="false">-DC99*$B$75</f>
        <v>-1260.19644796874</v>
      </c>
      <c r="DD101" s="0" t="n">
        <f aca="false">-DD99*$B$75</f>
        <v>-1937.95120963426</v>
      </c>
      <c r="DE101" s="0" t="n">
        <f aca="false">-DE99*$B$75</f>
        <v>-2039.78504081321</v>
      </c>
      <c r="DF101" s="0" t="n">
        <f aca="false">-DF99*$B$75</f>
        <v>-2106.93353384478</v>
      </c>
      <c r="DG101" s="0" t="n">
        <f aca="false">-DG99*$B$75</f>
        <v>-2136.59678986759</v>
      </c>
      <c r="DH101" s="0" t="n">
        <f aca="false">-DH99*$B$75</f>
        <v>-2178.39210701974</v>
      </c>
      <c r="DI101" s="0" t="n">
        <f aca="false">-DI99*$B$75</f>
        <v>-2338.88036512997</v>
      </c>
      <c r="DJ101" s="0" t="n">
        <f aca="false">-DJ99*$B$75</f>
        <v>-1981.69906595953</v>
      </c>
      <c r="DK101" s="0" t="n">
        <f aca="false">-DK99*$B$75</f>
        <v>-1764.38558177536</v>
      </c>
      <c r="DL101" s="0" t="n">
        <f aca="false">-DL99*$B$75</f>
        <v>-1634.94428882673</v>
      </c>
      <c r="DM101" s="0" t="n">
        <f aca="false">-DM99*$B$75</f>
        <v>-1703.50031538987</v>
      </c>
      <c r="DN101" s="0" t="n">
        <f aca="false">-DN99*$B$75</f>
        <v>-1464.72444188769</v>
      </c>
      <c r="DO101" s="0" t="n">
        <f aca="false">-DO99*$B$75</f>
        <v>-683.828541976879</v>
      </c>
      <c r="DP101" s="0" t="n">
        <f aca="false">-DP99*$B$75</f>
        <v>-1449.44229178596</v>
      </c>
      <c r="DQ101" s="0" t="n">
        <f aca="false">-DQ99*$B$75</f>
        <v>-2085.25410574707</v>
      </c>
      <c r="DR101" s="0" t="n">
        <f aca="false">-DR99*$B$75</f>
        <v>-1702.91656789486</v>
      </c>
      <c r="DS101" s="0" t="n">
        <f aca="false">-DS99*$B$75</f>
        <v>-2471.63444480161</v>
      </c>
      <c r="DT101" s="0" t="n">
        <f aca="false">-DT99*$B$75</f>
        <v>-1374.15770061683</v>
      </c>
      <c r="DU101" s="0" t="n">
        <f aca="false">-DU99*$B$75</f>
        <v>-1590.93730177849</v>
      </c>
      <c r="DV101" s="0" t="n">
        <f aca="false">-DV99*$B$75</f>
        <v>-1648.64708177565</v>
      </c>
      <c r="DW101" s="0" t="n">
        <f aca="false">-DW99*$B$75</f>
        <v>-2466.31819474776</v>
      </c>
      <c r="DX101" s="0" t="n">
        <f aca="false">-DX99*$B$75</f>
        <v>-2291.78760850542</v>
      </c>
      <c r="DY101" s="0" t="n">
        <f aca="false">-DY99*$B$75</f>
        <v>-1824.76743001903</v>
      </c>
      <c r="DZ101" s="0" t="n">
        <f aca="false">-DZ99*$B$75</f>
        <v>-2457.82782590147</v>
      </c>
      <c r="EA101" s="0" t="n">
        <f aca="false">-EA99*$B$75</f>
        <v>-2237.93700410789</v>
      </c>
      <c r="EB101" s="0" t="n">
        <f aca="false">-EB99*$B$75</f>
        <v>-2167.97816928362</v>
      </c>
      <c r="EC101" s="0" t="n">
        <f aca="false">-EC99*$B$75</f>
        <v>-1942.35860895736</v>
      </c>
      <c r="ED101" s="0" t="n">
        <f aca="false">-ED99*$B$75</f>
        <v>-2433.17247591831</v>
      </c>
      <c r="EE101" s="0" t="n">
        <f aca="false">-EE99*$B$75</f>
        <v>-1438.29787504517</v>
      </c>
      <c r="EF101" s="0" t="n">
        <f aca="false">-EF99*$B$75</f>
        <v>-1872.74681426203</v>
      </c>
      <c r="EG101" s="0" t="n">
        <f aca="false">-EG99*$B$75</f>
        <v>-2226.90184358836</v>
      </c>
      <c r="EH101" s="0" t="n">
        <f aca="false">-EH99*$B$75</f>
        <v>-2042.40475517994</v>
      </c>
      <c r="EI101" s="0" t="n">
        <f aca="false">-EI99*$B$75</f>
        <v>-2384.57728232526</v>
      </c>
      <c r="EJ101" s="0" t="n">
        <f aca="false">-EJ99*$B$75</f>
        <v>-1709.28948952077</v>
      </c>
      <c r="EK101" s="0" t="n">
        <f aca="false">-EK99*$B$75</f>
        <v>-1857.4929693001</v>
      </c>
      <c r="EL101" s="0" t="n">
        <f aca="false">-EL99*$B$75</f>
        <v>-1370.87601229533</v>
      </c>
      <c r="EM101" s="0" t="n">
        <f aca="false">-EM99*$B$75</f>
        <v>-2017.9358245429</v>
      </c>
      <c r="EN101" s="0" t="n">
        <f aca="false">-EN99*$B$75</f>
        <v>-1426.28478403953</v>
      </c>
      <c r="EO101" s="0" t="n">
        <f aca="false">-EO99*$B$75</f>
        <v>-2021.07518493988</v>
      </c>
      <c r="EP101" s="0" t="n">
        <f aca="false">-EP99*$B$75</f>
        <v>-2095.84105048157</v>
      </c>
      <c r="EQ101" s="0" t="n">
        <f aca="false">-EQ99*$B$75</f>
        <v>-2204.10552437715</v>
      </c>
      <c r="ER101" s="0" t="n">
        <f aca="false">-ER99*$B$75</f>
        <v>-1762.9695816875</v>
      </c>
      <c r="ES101" s="0" t="n">
        <f aca="false">-ES99*$B$75</f>
        <v>-1600.09961532948</v>
      </c>
      <c r="ET101" s="0" t="n">
        <f aca="false">-ET99*$B$75</f>
        <v>-1861.65691545893</v>
      </c>
      <c r="EU101" s="0" t="n">
        <f aca="false">-EU99*$B$75</f>
        <v>-1248.49890270632</v>
      </c>
      <c r="EV101" s="0" t="n">
        <f aca="false">-EV99*$B$75</f>
        <v>-1650.7837203409</v>
      </c>
      <c r="EW101" s="0" t="n">
        <f aca="false">-EW99*$B$75</f>
        <v>-2369.75650278296</v>
      </c>
      <c r="EX101" s="0" t="n">
        <f aca="false">-EX99*$B$75</f>
        <v>-2699.23432050461</v>
      </c>
      <c r="EY101" s="0" t="n">
        <f aca="false">-EY99*$B$75</f>
        <v>-580.094534114753</v>
      </c>
      <c r="EZ101" s="0" t="n">
        <f aca="false">-EZ99*$B$75</f>
        <v>-1961.14603388595</v>
      </c>
      <c r="FA101" s="0" t="n">
        <f aca="false">-FA99*$B$75</f>
        <v>-1305.9569119252</v>
      </c>
      <c r="FB101" s="0" t="n">
        <f aca="false">-FB99*$B$75</f>
        <v>-1757.38923698055</v>
      </c>
      <c r="FC101" s="0" t="n">
        <f aca="false">-FC99*$B$75</f>
        <v>-1541.52384988913</v>
      </c>
      <c r="FD101" s="0" t="n">
        <f aca="false">-FD99*$B$75</f>
        <v>-1307.80255262741</v>
      </c>
      <c r="FE101" s="0" t="n">
        <f aca="false">-FE99*$B$75</f>
        <v>-2633.58768411805</v>
      </c>
      <c r="FF101" s="0" t="n">
        <f aca="false">-FF99*$B$75</f>
        <v>-2211.22343994445</v>
      </c>
      <c r="FG101" s="0" t="n">
        <f aca="false">-FG99*$B$75</f>
        <v>-1973.61680165855</v>
      </c>
      <c r="FH101" s="0" t="n">
        <f aca="false">-FH99*$B$75</f>
        <v>-1951.52336305801</v>
      </c>
      <c r="FI101" s="0" t="n">
        <f aca="false">-FI99*$B$75</f>
        <v>-2086.62431365047</v>
      </c>
      <c r="FJ101" s="0" t="n">
        <f aca="false">-FJ99*$B$75</f>
        <v>-1834.61612462514</v>
      </c>
      <c r="FK101" s="0" t="n">
        <f aca="false">-FK99*$B$75</f>
        <v>-1215.28676586147</v>
      </c>
      <c r="FL101" s="0" t="n">
        <f aca="false">-FL99*$B$75</f>
        <v>-2147.56092519492</v>
      </c>
      <c r="FM101" s="0" t="n">
        <f aca="false">-FM99*$B$75</f>
        <v>-1007.00336274744</v>
      </c>
      <c r="FN101" s="0" t="n">
        <f aca="false">-FN99*$B$75</f>
        <v>-1431.36078651107</v>
      </c>
      <c r="FO101" s="0" t="n">
        <f aca="false">-FO99*$B$75</f>
        <v>-1951.16754968049</v>
      </c>
      <c r="FP101" s="0" t="n">
        <f aca="false">-FP99*$B$75</f>
        <v>-2192.14931266789</v>
      </c>
      <c r="FQ101" s="0" t="n">
        <f aca="false">-FQ99*$B$75</f>
        <v>-2102.74276509028</v>
      </c>
      <c r="FR101" s="0" t="n">
        <f aca="false">-FR99*$B$75</f>
        <v>-2201.71547486254</v>
      </c>
      <c r="FS101" s="0" t="n">
        <f aca="false">-FS99*$B$75</f>
        <v>-2100.07359733581</v>
      </c>
      <c r="FT101" s="0" t="n">
        <f aca="false">-FT99*$B$75</f>
        <v>-1879.75952853125</v>
      </c>
      <c r="FU101" s="0" t="n">
        <f aca="false">-FU99*$B$75</f>
        <v>-1434.15093145176</v>
      </c>
      <c r="FV101" s="0" t="n">
        <f aca="false">-FV99*$B$75</f>
        <v>-1478.8313918508</v>
      </c>
      <c r="FW101" s="0" t="n">
        <f aca="false">-FW99*$B$75</f>
        <v>-1598.7873974831</v>
      </c>
      <c r="FX101" s="0" t="n">
        <f aca="false">-FX99*$B$75</f>
        <v>-1918.02136094156</v>
      </c>
      <c r="FY101" s="0" t="n">
        <f aca="false">-FY99*$B$75</f>
        <v>-1533.7504783538</v>
      </c>
      <c r="FZ101" s="0" t="n">
        <f aca="false">-FZ99*$B$75</f>
        <v>-2302.06223511478</v>
      </c>
      <c r="GA101" s="0" t="n">
        <f aca="false">-GA99*$B$75</f>
        <v>-2050.20708459582</v>
      </c>
      <c r="GB101" s="0" t="n">
        <f aca="false">-GB99*$B$75</f>
        <v>-1967.46487832769</v>
      </c>
      <c r="GC101" s="0" t="n">
        <f aca="false">-GC99*$B$75</f>
        <v>-2457.47501966429</v>
      </c>
      <c r="GD101" s="0" t="n">
        <f aca="false">-GD99*$B$75</f>
        <v>-2112.47225038947</v>
      </c>
      <c r="GE101" s="0" t="n">
        <f aca="false">-GE99*$B$75</f>
        <v>-1759.89645536869</v>
      </c>
      <c r="GF101" s="0" t="n">
        <f aca="false">-GF99*$B$75</f>
        <v>-1873.3183365852</v>
      </c>
      <c r="GG101" s="0" t="n">
        <f aca="false">-GG99*$B$75</f>
        <v>-2131.79011758151</v>
      </c>
      <c r="GH101" s="0" t="n">
        <f aca="false">-GH99*$B$75</f>
        <v>-1937.07219609857</v>
      </c>
      <c r="GI101" s="0" t="n">
        <f aca="false">-GI99*$B$75</f>
        <v>-1418.31400937436</v>
      </c>
      <c r="GJ101" s="0" t="n">
        <f aca="false">-GJ99*$B$75</f>
        <v>-2606.10421829069</v>
      </c>
      <c r="GK101" s="0" t="n">
        <f aca="false">-GK99*$B$75</f>
        <v>-2404.35188547883</v>
      </c>
      <c r="GL101" s="0" t="n">
        <f aca="false">-GL99*$B$75</f>
        <v>-2134.19977326366</v>
      </c>
      <c r="GM101" s="0" t="n">
        <f aca="false">-GM99*$B$75</f>
        <v>-1929.47961271458</v>
      </c>
      <c r="GN101" s="0" t="n">
        <f aca="false">-GN99*$B$75</f>
        <v>-2073.60249951927</v>
      </c>
      <c r="GO101" s="0" t="n">
        <f aca="false">-GO99*$B$75</f>
        <v>-2312.83769245927</v>
      </c>
      <c r="GP101" s="0" t="n">
        <f aca="false">-GP99*$B$75</f>
        <v>-1559.36567962566</v>
      </c>
      <c r="GQ101" s="0" t="n">
        <f aca="false">-GQ99*$B$75</f>
        <v>-2331.78074646806</v>
      </c>
      <c r="GR101" s="0" t="n">
        <f aca="false">-GR99*$B$75</f>
        <v>-1345.28794583943</v>
      </c>
      <c r="GS101" s="0" t="n">
        <f aca="false">-GS99*$B$75</f>
        <v>-1948.07028505184</v>
      </c>
      <c r="GT101" s="0" t="n">
        <f aca="false">-GT99*$B$75</f>
        <v>-1765.56249003003</v>
      </c>
      <c r="GU101" s="0" t="n">
        <f aca="false">-GU99*$B$75</f>
        <v>-2297.98548624981</v>
      </c>
      <c r="GV101" s="0" t="n">
        <f aca="false">-GV99*$B$75</f>
        <v>-1643.42445021434</v>
      </c>
      <c r="GW101" s="0" t="n">
        <f aca="false">-GW99*$B$75</f>
        <v>-2227.21811779685</v>
      </c>
      <c r="GX101" s="0" t="n">
        <f aca="false">-GX99*$B$75</f>
        <v>-2012.06478527579</v>
      </c>
      <c r="GY101" s="0" t="n">
        <f aca="false">-GY99*$B$75</f>
        <v>-2134.61475943843</v>
      </c>
      <c r="GZ101" s="0" t="n">
        <f aca="false">-GZ99*$B$75</f>
        <v>-1599.5615317339</v>
      </c>
      <c r="HA101" s="0" t="n">
        <f aca="false">-HA99*$B$75</f>
        <v>-1823.01519351099</v>
      </c>
      <c r="HB101" s="0" t="n">
        <f aca="false">-HB99*$B$75</f>
        <v>-2151.0364416986</v>
      </c>
      <c r="HC101" s="0" t="n">
        <f aca="false">-HC99*$B$75</f>
        <v>-2271.28701339617</v>
      </c>
      <c r="HD101" s="0" t="n">
        <f aca="false">-HD99*$B$75</f>
        <v>-1226.61264469797</v>
      </c>
      <c r="HE101" s="0" t="n">
        <f aca="false">-HE99*$B$75</f>
        <v>-1503.55219039466</v>
      </c>
      <c r="HF101" s="0" t="n">
        <f aca="false">-HF99*$B$75</f>
        <v>-1957.06761117366</v>
      </c>
      <c r="HG101" s="0" t="n">
        <f aca="false">-HG99*$B$75</f>
        <v>-1561.47506618348</v>
      </c>
      <c r="HH101" s="0" t="n">
        <f aca="false">-HH99*$B$75</f>
        <v>-1535.44112649371</v>
      </c>
      <c r="HI101" s="0" t="n">
        <f aca="false">-HI99*$B$75</f>
        <v>-1741.74020256932</v>
      </c>
      <c r="HJ101" s="0" t="n">
        <f aca="false">-HJ99*$B$75</f>
        <v>-2073.92617583975</v>
      </c>
      <c r="HK101" s="0" t="n">
        <f aca="false">-HK99*$B$75</f>
        <v>-2282.66029206317</v>
      </c>
      <c r="HL101" s="0" t="n">
        <f aca="false">-HL99*$B$75</f>
        <v>-1257.28504427083</v>
      </c>
      <c r="HM101" s="0" t="n">
        <f aca="false">-HM99*$B$75</f>
        <v>-2390.74791542354</v>
      </c>
      <c r="HN101" s="0" t="n">
        <f aca="false">-HN99*$B$75</f>
        <v>-2379.6688958673</v>
      </c>
      <c r="HO101" s="0" t="n">
        <f aca="false">-HO99*$B$75</f>
        <v>-2543.40448449461</v>
      </c>
      <c r="HP101" s="0" t="n">
        <f aca="false">-HP99*$B$75</f>
        <v>-2276.94275130102</v>
      </c>
      <c r="HQ101" s="0" t="n">
        <f aca="false">-HQ99*$B$75</f>
        <v>-1782.50196308237</v>
      </c>
      <c r="HR101" s="0" t="n">
        <f aca="false">-HR99*$B$75</f>
        <v>-1838.29257742052</v>
      </c>
      <c r="HS101" s="0" t="n">
        <f aca="false">-HS99*$B$75</f>
        <v>-1764.79232285314</v>
      </c>
      <c r="HT101" s="0" t="n">
        <f aca="false">-HT99*$B$75</f>
        <v>-671.813346388422</v>
      </c>
      <c r="HU101" s="0" t="n">
        <f aca="false">-HU99*$B$75</f>
        <v>-2356.12325487107</v>
      </c>
      <c r="HV101" s="0" t="n">
        <f aca="false">-HV99*$B$75</f>
        <v>-1735.74563983395</v>
      </c>
      <c r="HW101" s="0" t="n">
        <f aca="false">-HW99*$B$75</f>
        <v>-2175.32429856915</v>
      </c>
      <c r="HX101" s="0" t="n">
        <f aca="false">-HX99*$B$75</f>
        <v>-1485.75663022536</v>
      </c>
      <c r="HY101" s="0" t="n">
        <f aca="false">-HY99*$B$75</f>
        <v>-2302.31246552873</v>
      </c>
      <c r="HZ101" s="0" t="n">
        <f aca="false">-HZ99*$B$75</f>
        <v>-2285.57497292525</v>
      </c>
      <c r="IA101" s="0" t="n">
        <f aca="false">-IA99*$B$75</f>
        <v>-1289.66456029856</v>
      </c>
      <c r="IB101" s="0" t="n">
        <f aca="false">-IB99*$B$75</f>
        <v>-2427.38824283356</v>
      </c>
      <c r="IC101" s="0" t="n">
        <f aca="false">-IC99*$B$75</f>
        <v>-2369.03853206821</v>
      </c>
      <c r="ID101" s="0" t="n">
        <f aca="false">-ID99*$B$75</f>
        <v>-2250.23895140812</v>
      </c>
      <c r="IE101" s="0" t="n">
        <f aca="false">-IE99*$B$75</f>
        <v>-1155.42920478286</v>
      </c>
      <c r="IF101" s="0" t="n">
        <f aca="false">-IF99*$B$75</f>
        <v>-2125.57789822942</v>
      </c>
      <c r="IG101" s="0" t="n">
        <f aca="false">-IG99*$B$75</f>
        <v>-2293.18798211954</v>
      </c>
      <c r="IH101" s="0" t="n">
        <f aca="false">-IH99*$B$75</f>
        <v>-1917.07210887205</v>
      </c>
      <c r="II101" s="0" t="n">
        <f aca="false">-II99*$B$75</f>
        <v>-2017.94212352608</v>
      </c>
      <c r="IJ101" s="0" t="n">
        <f aca="false">-IJ99*$B$75</f>
        <v>-2091.72420642084</v>
      </c>
      <c r="IK101" s="0" t="n">
        <f aca="false">-IK99*$B$75</f>
        <v>-740.78223291535</v>
      </c>
      <c r="IL101" s="0" t="n">
        <f aca="false">-IL99*$B$75</f>
        <v>-1716.74618786964</v>
      </c>
      <c r="IM101" s="0" t="n">
        <f aca="false">-IM99*$B$75</f>
        <v>-2195.77772857914</v>
      </c>
      <c r="IN101" s="0" t="n">
        <f aca="false">-IN99*$B$75</f>
        <v>-1983.98551364834</v>
      </c>
      <c r="IO101" s="0" t="n">
        <f aca="false">-IO99*$B$75</f>
        <v>-1747.33352664728</v>
      </c>
      <c r="IP101" s="0" t="n">
        <f aca="false">-IP99*$B$75</f>
        <v>-1910.06070120789</v>
      </c>
      <c r="IQ101" s="0" t="n">
        <f aca="false">-IQ99*$B$75</f>
        <v>-1985.7302252865</v>
      </c>
      <c r="IR101" s="0" t="n">
        <f aca="false">-IR99*$B$75</f>
        <v>-2269.02679845507</v>
      </c>
      <c r="IS101" s="0" t="n">
        <f aca="false">-IS99*$B$75</f>
        <v>-1893.1860004033</v>
      </c>
      <c r="IT101" s="0" t="n">
        <f aca="false">-IT99*$B$75</f>
        <v>-1736.03768974435</v>
      </c>
      <c r="IU101" s="0" t="n">
        <f aca="false">-IU99*$B$75</f>
        <v>-2073.48300909555</v>
      </c>
      <c r="IV101" s="0" t="n">
        <f aca="false">-IV99*$B$75</f>
        <v>-1586.6908600862</v>
      </c>
      <c r="IW101" s="0" t="n">
        <f aca="false">-IW99*$B$75</f>
        <v>-2011.09154634042</v>
      </c>
      <c r="IX101" s="0" t="n">
        <f aca="false">-IX99*$B$75</f>
        <v>-1949.54599265045</v>
      </c>
      <c r="IY101" s="0" t="n">
        <f aca="false">-IY99*$B$75</f>
        <v>-1744.80483470611</v>
      </c>
      <c r="IZ101" s="0" t="n">
        <f aca="false">-IZ99*$B$75</f>
        <v>-1843.63330702328</v>
      </c>
      <c r="JA101" s="0" t="n">
        <f aca="false">-JA99*$B$75</f>
        <v>-2463.9547295777</v>
      </c>
      <c r="JB101" s="0" t="n">
        <f aca="false">-JB99*$B$75</f>
        <v>-2097.44746934666</v>
      </c>
      <c r="JC101" s="0" t="n">
        <f aca="false">-JC99*$B$75</f>
        <v>-2072.45222746966</v>
      </c>
      <c r="JD101" s="0" t="n">
        <f aca="false">-JD99*$B$75</f>
        <v>-2138.57111322243</v>
      </c>
      <c r="JE101" s="0" t="n">
        <f aca="false">-JE99*$B$75</f>
        <v>-2360.91591766467</v>
      </c>
      <c r="JF101" s="0" t="n">
        <f aca="false">-JF99*$B$75</f>
        <v>-1757.22496540953</v>
      </c>
      <c r="JG101" s="0" t="n">
        <f aca="false">-JG99*$B$75</f>
        <v>-1627.72147408602</v>
      </c>
      <c r="JH101" s="0" t="n">
        <f aca="false">-JH99*$B$75</f>
        <v>-2187.47411217103</v>
      </c>
      <c r="JI101" s="0" t="n">
        <f aca="false">-JI99*$B$75</f>
        <v>-1737.41768235362</v>
      </c>
      <c r="JJ101" s="0" t="n">
        <f aca="false">-JJ99*$B$75</f>
        <v>-2051.56375694543</v>
      </c>
      <c r="JK101" s="0" t="n">
        <f aca="false">-JK99*$B$75</f>
        <v>-2237.63961736053</v>
      </c>
      <c r="JL101" s="0" t="n">
        <f aca="false">-JL99*$B$75</f>
        <v>-1959.43294776027</v>
      </c>
      <c r="JM101" s="0" t="n">
        <f aca="false">-JM99*$B$75</f>
        <v>-2040.59404635909</v>
      </c>
      <c r="JN101" s="0" t="n">
        <f aca="false">-JN99*$B$75</f>
        <v>-1914.20670984428</v>
      </c>
      <c r="JO101" s="0" t="n">
        <f aca="false">-JO99*$B$75</f>
        <v>-2485.93150475179</v>
      </c>
      <c r="JP101" s="0" t="n">
        <f aca="false">-JP99*$B$75</f>
        <v>-2079.27613273361</v>
      </c>
      <c r="JQ101" s="0" t="n">
        <f aca="false">-JQ99*$B$75</f>
        <v>-2157.94327301941</v>
      </c>
      <c r="JR101" s="0" t="n">
        <f aca="false">-JR99*$B$75</f>
        <v>-2335.88178993941</v>
      </c>
      <c r="JS101" s="0" t="n">
        <f aca="false">-JS99*$B$75</f>
        <v>-2118.23544671682</v>
      </c>
      <c r="JT101" s="0" t="n">
        <f aca="false">-JT99*$B$75</f>
        <v>-2092.17455117249</v>
      </c>
      <c r="JU101" s="0" t="n">
        <f aca="false">-JU99*$B$75</f>
        <v>-2084.11993290723</v>
      </c>
      <c r="JV101" s="0" t="n">
        <f aca="false">-JV99*$B$75</f>
        <v>-1940.00277423925</v>
      </c>
      <c r="JW101" s="0" t="n">
        <f aca="false">-JW99*$B$75</f>
        <v>-1026.01767053404</v>
      </c>
      <c r="JX101" s="0" t="n">
        <f aca="false">-JX99*$B$75</f>
        <v>-2445.72886955636</v>
      </c>
      <c r="JY101" s="0" t="n">
        <f aca="false">-JY99*$B$75</f>
        <v>-2068.3568081636</v>
      </c>
      <c r="JZ101" s="0" t="n">
        <f aca="false">-JZ99*$B$75</f>
        <v>-2436.10191364466</v>
      </c>
      <c r="KA101" s="0" t="n">
        <f aca="false">-KA99*$B$75</f>
        <v>-2305.94918265603</v>
      </c>
      <c r="KB101" s="0" t="n">
        <f aca="false">-KB99*$B$75</f>
        <v>-1631.89643606101</v>
      </c>
      <c r="KC101" s="0" t="n">
        <f aca="false">-KC99*$B$75</f>
        <v>-2397.31354773107</v>
      </c>
      <c r="KD101" s="0" t="n">
        <f aca="false">-KD99*$B$75</f>
        <v>-2009.46184333897</v>
      </c>
      <c r="KE101" s="0" t="n">
        <f aca="false">-KE99*$B$75</f>
        <v>-1823.607570498</v>
      </c>
      <c r="KF101" s="0" t="n">
        <f aca="false">-KF99*$B$75</f>
        <v>-1926.57972562328</v>
      </c>
      <c r="KG101" s="0" t="n">
        <f aca="false">-KG99*$B$75</f>
        <v>-965.252866325843</v>
      </c>
      <c r="KH101" s="0" t="n">
        <f aca="false">-KH99*$B$75</f>
        <v>-1960.40237195787</v>
      </c>
      <c r="KI101" s="0" t="n">
        <f aca="false">-KI99*$B$75</f>
        <v>-2357.56238314553</v>
      </c>
      <c r="KJ101" s="0" t="n">
        <f aca="false">-KJ99*$B$75</f>
        <v>-1713.80337442556</v>
      </c>
      <c r="KK101" s="0" t="n">
        <f aca="false">-KK99*$B$75</f>
        <v>-2266.37738666392</v>
      </c>
      <c r="KL101" s="0" t="n">
        <f aca="false">-KL99*$B$75</f>
        <v>-1831.63008675124</v>
      </c>
      <c r="KM101" s="0" t="n">
        <f aca="false">-KM99*$B$75</f>
        <v>-1814.32473180722</v>
      </c>
      <c r="KN101" s="0" t="n">
        <f aca="false">-KN99*$B$75</f>
        <v>-2103.04679014618</v>
      </c>
      <c r="KO101" s="0" t="n">
        <f aca="false">-KO99*$B$75</f>
        <v>-2081.99836444038</v>
      </c>
      <c r="KP101" s="0" t="n">
        <f aca="false">-KP99*$B$75</f>
        <v>-2595.00568862446</v>
      </c>
      <c r="KQ101" s="0" t="n">
        <f aca="false">-KQ99*$B$75</f>
        <v>-2080.86240662002</v>
      </c>
      <c r="KR101" s="0" t="n">
        <f aca="false">-KR99*$B$75</f>
        <v>-1968.4492947308</v>
      </c>
      <c r="KS101" s="0" t="n">
        <f aca="false">-KS99*$B$75</f>
        <v>-2057.27315750065</v>
      </c>
      <c r="KT101" s="0" t="n">
        <f aca="false">-KT99*$B$75</f>
        <v>-2340.01821722741</v>
      </c>
      <c r="KU101" s="0" t="n">
        <f aca="false">-KU99*$B$75</f>
        <v>-2359.58403167837</v>
      </c>
      <c r="KV101" s="0" t="n">
        <f aca="false">-KV99*$B$75</f>
        <v>-2113.42532931451</v>
      </c>
      <c r="KW101" s="0" t="n">
        <f aca="false">-KW99*$B$75</f>
        <v>-2540.09997626775</v>
      </c>
      <c r="KX101" s="0" t="n">
        <f aca="false">-KX99*$B$75</f>
        <v>-1785.91089408231</v>
      </c>
      <c r="KY101" s="0" t="n">
        <f aca="false">-KY99*$B$75</f>
        <v>-1800.13903427698</v>
      </c>
      <c r="KZ101" s="0" t="n">
        <f aca="false">-KZ99*$B$75</f>
        <v>-2283.62458698969</v>
      </c>
      <c r="LA101" s="0" t="n">
        <f aca="false">-LA99*$B$75</f>
        <v>-1635.75087150455</v>
      </c>
      <c r="LB101" s="0" t="n">
        <f aca="false">-LB99*$B$75</f>
        <v>-800.774997009046</v>
      </c>
      <c r="LC101" s="0" t="n">
        <f aca="false">-LC99*$B$75</f>
        <v>-1752.80750544267</v>
      </c>
      <c r="LD101" s="0" t="n">
        <f aca="false">-LD99*$B$75</f>
        <v>-2147.80988326395</v>
      </c>
      <c r="LE101" s="0" t="n">
        <f aca="false">-LE99*$B$75</f>
        <v>-2379.69877674409</v>
      </c>
      <c r="LF101" s="0" t="n">
        <f aca="false">-LF99*$B$75</f>
        <v>-2212.53884511652</v>
      </c>
      <c r="LG101" s="0" t="n">
        <f aca="false">-LG99*$B$75</f>
        <v>-1794.69250519995</v>
      </c>
      <c r="LH101" s="0" t="n">
        <f aca="false">-LH99*$B$75</f>
        <v>-2403.12432981535</v>
      </c>
      <c r="LI101" s="0" t="n">
        <f aca="false">-LI99*$B$75</f>
        <v>-1766.84920698316</v>
      </c>
      <c r="LJ101" s="0" t="n">
        <f aca="false">-LJ99*$B$75</f>
        <v>-2030.44080196962</v>
      </c>
      <c r="LK101" s="0" t="n">
        <f aca="false">-LK99*$B$75</f>
        <v>-1599.96912756147</v>
      </c>
      <c r="LL101" s="0" t="n">
        <f aca="false">-LL99*$B$75</f>
        <v>-2092.13807730369</v>
      </c>
      <c r="LM101" s="0" t="n">
        <f aca="false">-LM99*$B$75</f>
        <v>-2046.82514459614</v>
      </c>
      <c r="LN101" s="0" t="n">
        <f aca="false">-LN99*$B$75</f>
        <v>-1346.12308237855</v>
      </c>
      <c r="LO101" s="0" t="n">
        <f aca="false">-LO99*$B$75</f>
        <v>-2173.77650519098</v>
      </c>
      <c r="LP101" s="0" t="n">
        <f aca="false">-LP99*$B$75</f>
        <v>-1599.12026643262</v>
      </c>
      <c r="LQ101" s="0" t="n">
        <f aca="false">-LQ99*$B$75</f>
        <v>-2194.78811920963</v>
      </c>
      <c r="LR101" s="0" t="n">
        <f aca="false">-LR99*$B$75</f>
        <v>-2308.5655303305</v>
      </c>
      <c r="LS101" s="0" t="n">
        <f aca="false">-LS99*$B$75</f>
        <v>-2134.2567501199</v>
      </c>
      <c r="LT101" s="0" t="n">
        <f aca="false">-LT99*$B$75</f>
        <v>-1965.76774354454</v>
      </c>
      <c r="LU101" s="0" t="n">
        <f aca="false">-LU99*$B$75</f>
        <v>-2072.33604819149</v>
      </c>
      <c r="LV101" s="0" t="n">
        <f aca="false">-LV99*$B$75</f>
        <v>-2346.43425688638</v>
      </c>
      <c r="LW101" s="0" t="n">
        <f aca="false">-LW99*$B$75</f>
        <v>-1955.19733179389</v>
      </c>
      <c r="LX101" s="0" t="n">
        <f aca="false">-LX99*$B$75</f>
        <v>-1985.616465972</v>
      </c>
      <c r="LY101" s="0" t="n">
        <f aca="false">-LY99*$B$75</f>
        <v>-2325.85643549168</v>
      </c>
      <c r="LZ101" s="0" t="n">
        <f aca="false">-LZ99*$B$75</f>
        <v>-2254.86240347576</v>
      </c>
      <c r="MA101" s="0" t="n">
        <f aca="false">-MA99*$B$75</f>
        <v>-1890.51125743026</v>
      </c>
      <c r="MB101" s="0" t="n">
        <f aca="false">-MB99*$B$75</f>
        <v>-1317.40327118858</v>
      </c>
      <c r="MC101" s="0" t="n">
        <f aca="false">-MC99*$B$75</f>
        <v>-1779.63433640034</v>
      </c>
      <c r="MD101" s="0" t="n">
        <f aca="false">-MD99*$B$75</f>
        <v>-95.5549827442184</v>
      </c>
      <c r="ME101" s="0" t="n">
        <f aca="false">-ME99*$B$75</f>
        <v>-1506.30761573453</v>
      </c>
      <c r="MF101" s="0" t="n">
        <f aca="false">-MF99*$B$75</f>
        <v>-2001.98640753179</v>
      </c>
      <c r="MG101" s="0" t="n">
        <f aca="false">-MG99*$B$75</f>
        <v>-2410.47013168838</v>
      </c>
      <c r="MH101" s="0" t="n">
        <f aca="false">-MH99*$B$75</f>
        <v>-1989.43159595586</v>
      </c>
      <c r="MI101" s="0" t="n">
        <f aca="false">-MI99*$B$75</f>
        <v>-1844.96372093085</v>
      </c>
      <c r="MJ101" s="0" t="n">
        <f aca="false">-MJ99*$B$75</f>
        <v>-1615.02688727493</v>
      </c>
      <c r="MK101" s="0" t="n">
        <f aca="false">-MK99*$B$75</f>
        <v>-1702.05534854954</v>
      </c>
      <c r="ML101" s="0" t="n">
        <f aca="false">-ML99*$B$75</f>
        <v>-1432.35821385921</v>
      </c>
      <c r="MM101" s="0" t="n">
        <f aca="false">-MM99*$B$75</f>
        <v>-2123.70384171634</v>
      </c>
      <c r="MN101" s="0" t="n">
        <f aca="false">-MN99*$B$75</f>
        <v>-1706.23622221655</v>
      </c>
      <c r="MO101" s="0" t="n">
        <f aca="false">-MO99*$B$75</f>
        <v>-1202.28519666891</v>
      </c>
      <c r="MP101" s="0" t="n">
        <f aca="false">-MP99*$B$75</f>
        <v>-1253.62034017153</v>
      </c>
      <c r="MQ101" s="0" t="n">
        <f aca="false">-MQ99*$B$75</f>
        <v>-2451.16928257946</v>
      </c>
      <c r="MR101" s="0" t="n">
        <f aca="false">-MR99*$B$75</f>
        <v>-1738.99711949004</v>
      </c>
      <c r="MS101" s="0" t="n">
        <f aca="false">-MS99*$B$75</f>
        <v>-1624.26761857155</v>
      </c>
      <c r="MT101" s="0" t="n">
        <f aca="false">-MT99*$B$75</f>
        <v>-2206.75722076341</v>
      </c>
      <c r="MU101" s="0" t="n">
        <f aca="false">-MU99*$B$75</f>
        <v>-2295.53552765276</v>
      </c>
      <c r="MV101" s="0" t="n">
        <f aca="false">-MV99*$B$75</f>
        <v>-1409.65490265831</v>
      </c>
      <c r="MW101" s="0" t="n">
        <f aca="false">-MW99*$B$75</f>
        <v>-2070.66829254563</v>
      </c>
      <c r="MX101" s="0" t="n">
        <f aca="false">-MX99*$B$75</f>
        <v>-2450.49341609654</v>
      </c>
      <c r="MY101" s="0" t="n">
        <f aca="false">-MY99*$B$75</f>
        <v>-1722.70148051779</v>
      </c>
      <c r="MZ101" s="0" t="n">
        <f aca="false">-MZ99*$B$75</f>
        <v>-1823.36342745267</v>
      </c>
      <c r="NA101" s="0" t="n">
        <f aca="false">-NA99*$B$75</f>
        <v>-1606.21392766256</v>
      </c>
      <c r="NB101" s="0" t="n">
        <f aca="false">-NB99*$B$75</f>
        <v>-1351.65029673713</v>
      </c>
      <c r="NC101" s="0" t="n">
        <f aca="false">-NC99*$B$75</f>
        <v>-1980.48169691144</v>
      </c>
      <c r="ND101" s="0" t="n">
        <f aca="false">-ND99*$B$75</f>
        <v>-2195.74165785191</v>
      </c>
      <c r="NE101" s="0" t="n">
        <f aca="false">-NE99*$B$75</f>
        <v>-1062.35419450023</v>
      </c>
      <c r="NF101" s="0" t="n">
        <f aca="false">-NF99*$B$75</f>
        <v>-2052.50044670137</v>
      </c>
      <c r="NG101" s="0" t="n">
        <f aca="false">-NG99*$B$75</f>
        <v>-2060.88119433321</v>
      </c>
      <c r="NH101" s="0" t="n">
        <f aca="false">-NH99*$B$75</f>
        <v>-2088.63262954044</v>
      </c>
      <c r="NI101" s="0" t="n">
        <f aca="false">-NI99*$B$75</f>
        <v>-1999.88482557895</v>
      </c>
      <c r="NJ101" s="0" t="n">
        <f aca="false">-NJ99*$B$75</f>
        <v>-2184.7280447592</v>
      </c>
      <c r="NK101" s="0" t="n">
        <f aca="false">-NK99*$B$75</f>
        <v>-1680.21288868244</v>
      </c>
      <c r="NL101" s="0" t="n">
        <f aca="false">-NL99*$B$75</f>
        <v>-2027.55992649118</v>
      </c>
      <c r="NM101" s="0" t="n">
        <f aca="false">-NM99*$B$75</f>
        <v>-1251.78235396339</v>
      </c>
      <c r="NN101" s="0" t="n">
        <f aca="false">-NN99*$B$75</f>
        <v>-1236.57024218102</v>
      </c>
      <c r="NO101" s="0" t="n">
        <f aca="false">-NO99*$B$75</f>
        <v>-2474.84947333968</v>
      </c>
      <c r="NP101" s="0" t="n">
        <f aca="false">-NP99*$B$75</f>
        <v>-1971.61303586891</v>
      </c>
      <c r="NQ101" s="0" t="n">
        <f aca="false">-NQ99*$B$75</f>
        <v>-1935.37878097426</v>
      </c>
      <c r="NR101" s="0" t="n">
        <f aca="false">-NR99*$B$75</f>
        <v>-2118.85161245545</v>
      </c>
      <c r="NS101" s="0" t="n">
        <f aca="false">-NS99*$B$75</f>
        <v>-2008.82505184187</v>
      </c>
      <c r="NT101" s="0" t="n">
        <f aca="false">-NT99*$B$75</f>
        <v>-2200.53068121587</v>
      </c>
      <c r="NU101" s="0" t="n">
        <f aca="false">-NU99*$B$75</f>
        <v>-2507.90969380601</v>
      </c>
      <c r="NV101" s="0" t="n">
        <f aca="false">-NV99*$B$75</f>
        <v>-2080.29046750397</v>
      </c>
      <c r="NW101" s="0" t="n">
        <f aca="false">-NW99*$B$75</f>
        <v>-2046.28585415151</v>
      </c>
      <c r="NX101" s="0" t="n">
        <f aca="false">-NX99*$B$75</f>
        <v>-2070.03298697013</v>
      </c>
      <c r="NY101" s="0" t="n">
        <f aca="false">-NY99*$B$75</f>
        <v>-2042.35977786436</v>
      </c>
      <c r="NZ101" s="0" t="n">
        <f aca="false">-NZ99*$B$75</f>
        <v>-1496.93216201243</v>
      </c>
      <c r="OA101" s="0" t="n">
        <f aca="false">-OA99*$B$75</f>
        <v>-2006.18198706505</v>
      </c>
      <c r="OB101" s="0" t="n">
        <f aca="false">-OB99*$B$75</f>
        <v>-2003.1740917914</v>
      </c>
      <c r="OC101" s="0" t="n">
        <f aca="false">-OC99*$B$75</f>
        <v>-1989.35484350872</v>
      </c>
      <c r="OD101" s="0" t="n">
        <f aca="false">-OD99*$B$75</f>
        <v>-1778.38229311272</v>
      </c>
      <c r="OE101" s="0" t="n">
        <f aca="false">-OE99*$B$75</f>
        <v>-1986.6941491071</v>
      </c>
      <c r="OF101" s="0" t="n">
        <f aca="false">-OF99*$B$75</f>
        <v>-1918.3165609421</v>
      </c>
      <c r="OG101" s="0" t="n">
        <f aca="false">-OG99*$B$75</f>
        <v>-1725.90604453635</v>
      </c>
      <c r="OH101" s="0" t="n">
        <f aca="false">-OH99*$B$75</f>
        <v>-1986.83926968997</v>
      </c>
      <c r="OI101" s="0" t="n">
        <f aca="false">-OI99*$B$75</f>
        <v>-1961.08014441171</v>
      </c>
      <c r="OJ101" s="0" t="n">
        <f aca="false">-OJ99*$B$75</f>
        <v>-2521.39592946047</v>
      </c>
      <c r="OK101" s="0" t="n">
        <f aca="false">-OK99*$B$75</f>
        <v>-1744.84458108401</v>
      </c>
      <c r="OL101" s="0" t="n">
        <f aca="false">-OL99*$B$75</f>
        <v>-2235.50247487516</v>
      </c>
      <c r="OM101" s="0" t="n">
        <f aca="false">-OM99*$B$75</f>
        <v>-1767.05042385471</v>
      </c>
      <c r="ON101" s="0" t="n">
        <f aca="false">-ON99*$B$75</f>
        <v>-1412.32449213692</v>
      </c>
      <c r="OO101" s="0" t="n">
        <f aca="false">-OO99*$B$75</f>
        <v>-1080.31907403837</v>
      </c>
      <c r="OP101" s="0" t="n">
        <f aca="false">-OP99*$B$75</f>
        <v>-2179.52440813618</v>
      </c>
      <c r="OQ101" s="0" t="n">
        <f aca="false">-OQ99*$B$75</f>
        <v>-1857.37227836295</v>
      </c>
      <c r="OR101" s="0" t="n">
        <f aca="false">-OR99*$B$75</f>
        <v>-1946.28909432997</v>
      </c>
      <c r="OS101" s="0" t="n">
        <f aca="false">-OS99*$B$75</f>
        <v>-2199.26033380363</v>
      </c>
      <c r="OT101" s="0" t="n">
        <f aca="false">-OT99*$B$75</f>
        <v>-1437.21667201746</v>
      </c>
      <c r="OU101" s="0" t="n">
        <f aca="false">-OU99*$B$75</f>
        <v>-2179.74564523753</v>
      </c>
      <c r="OV101" s="0" t="n">
        <f aca="false">-OV99*$B$75</f>
        <v>-1861.02562644318</v>
      </c>
      <c r="OW101" s="0" t="n">
        <f aca="false">-OW99*$B$75</f>
        <v>-2043.41927436518</v>
      </c>
      <c r="OX101" s="0" t="n">
        <f aca="false">-OX99*$B$75</f>
        <v>-2322.20557476094</v>
      </c>
      <c r="OY101" s="0" t="n">
        <f aca="false">-OY99*$B$75</f>
        <v>-1670.71946228086</v>
      </c>
      <c r="OZ101" s="0" t="n">
        <f aca="false">-OZ99*$B$75</f>
        <v>-1213.26805037593</v>
      </c>
      <c r="PA101" s="0" t="n">
        <f aca="false">-PA99*$B$75</f>
        <v>-2365.56785824756</v>
      </c>
      <c r="PB101" s="0" t="n">
        <f aca="false">-PB99*$B$75</f>
        <v>-1686.13514147743</v>
      </c>
      <c r="PC101" s="0" t="n">
        <f aca="false">-PC99*$B$75</f>
        <v>-1655.52387226912</v>
      </c>
      <c r="PD101" s="0" t="n">
        <f aca="false">-PD99*$B$75</f>
        <v>-2168.40084763091</v>
      </c>
      <c r="PE101" s="0" t="n">
        <f aca="false">-PE99*$B$75</f>
        <v>-1513.80829050677</v>
      </c>
      <c r="PF101" s="0" t="n">
        <f aca="false">-PF99*$B$75</f>
        <v>-1805.52946222447</v>
      </c>
      <c r="PG101" s="0" t="n">
        <f aca="false">-PG99*$B$75</f>
        <v>-1657.13509086821</v>
      </c>
      <c r="PH101" s="0" t="n">
        <f aca="false">-PH99*$B$75</f>
        <v>-2022.76017550351</v>
      </c>
      <c r="PI101" s="0" t="n">
        <f aca="false">-PI99*$B$75</f>
        <v>-2177.35477525637</v>
      </c>
      <c r="PJ101" s="0" t="n">
        <f aca="false">-PJ99*$B$75</f>
        <v>-1924.18496145909</v>
      </c>
      <c r="PK101" s="0" t="n">
        <f aca="false">-PK99*$B$75</f>
        <v>-1847.64979282989</v>
      </c>
      <c r="PL101" s="0" t="n">
        <f aca="false">-PL99*$B$75</f>
        <v>-1932.44058611849</v>
      </c>
      <c r="PM101" s="0" t="n">
        <f aca="false">-PM99*$B$75</f>
        <v>-2114.62313340592</v>
      </c>
      <c r="PN101" s="0" t="n">
        <f aca="false">-PN99*$B$75</f>
        <v>-1302.18187679149</v>
      </c>
      <c r="PO101" s="0" t="n">
        <f aca="false">-PO99*$B$75</f>
        <v>-1633.77326510343</v>
      </c>
      <c r="PP101" s="0" t="n">
        <f aca="false">-PP99*$B$75</f>
        <v>-2127.9172065981</v>
      </c>
      <c r="PQ101" s="0" t="n">
        <f aca="false">-PQ99*$B$75</f>
        <v>-1750.95951740936</v>
      </c>
      <c r="PR101" s="0" t="n">
        <f aca="false">-PR99*$B$75</f>
        <v>-1728.1674756322</v>
      </c>
      <c r="PS101" s="0" t="n">
        <f aca="false">-PS99*$B$75</f>
        <v>-934.555845331351</v>
      </c>
      <c r="PT101" s="0" t="n">
        <f aca="false">-PT99*$B$75</f>
        <v>-1991.42743020739</v>
      </c>
      <c r="PU101" s="0" t="n">
        <f aca="false">-PU99*$B$75</f>
        <v>-1710.7040203381</v>
      </c>
      <c r="PV101" s="0" t="n">
        <f aca="false">-PV99*$B$75</f>
        <v>-1949.26379266055</v>
      </c>
      <c r="PW101" s="0" t="n">
        <f aca="false">-PW99*$B$75</f>
        <v>-2134.97507963056</v>
      </c>
      <c r="PX101" s="0" t="n">
        <f aca="false">-PX99*$B$75</f>
        <v>-1070.78618881219</v>
      </c>
      <c r="PY101" s="0" t="n">
        <f aca="false">-PY99*$B$75</f>
        <v>-2507.62851217993</v>
      </c>
      <c r="PZ101" s="0" t="n">
        <f aca="false">-PZ99*$B$75</f>
        <v>-2442.43393109086</v>
      </c>
      <c r="QA101" s="0" t="n">
        <f aca="false">-QA99*$B$75</f>
        <v>-1731.45862676286</v>
      </c>
      <c r="QB101" s="0" t="n">
        <f aca="false">-QB99*$B$75</f>
        <v>-2471.44678244184</v>
      </c>
      <c r="QC101" s="0" t="n">
        <f aca="false">-QC99*$B$75</f>
        <v>-1458.97513300405</v>
      </c>
      <c r="QD101" s="0" t="n">
        <f aca="false">-QD99*$B$75</f>
        <v>-2299.67353661574</v>
      </c>
      <c r="QE101" s="0" t="n">
        <f aca="false">-QE99*$B$75</f>
        <v>-1631.42871535425</v>
      </c>
      <c r="QF101" s="0" t="n">
        <f aca="false">-QF99*$B$75</f>
        <v>-1088.90178636277</v>
      </c>
      <c r="QG101" s="0" t="n">
        <f aca="false">-QG99*$B$75</f>
        <v>-1746.46409443084</v>
      </c>
      <c r="QH101" s="0" t="n">
        <f aca="false">-QH99*$B$75</f>
        <v>-2097.92737642628</v>
      </c>
      <c r="QI101" s="0" t="n">
        <f aca="false">-QI99*$B$75</f>
        <v>-1802.53383259733</v>
      </c>
      <c r="QJ101" s="0" t="n">
        <f aca="false">-QJ99*$B$75</f>
        <v>-2341.2503737957</v>
      </c>
      <c r="QK101" s="0" t="n">
        <f aca="false">-QK99*$B$75</f>
        <v>-2198.11958868308</v>
      </c>
      <c r="QL101" s="0" t="n">
        <f aca="false">-QL99*$B$75</f>
        <v>-2271.77068522754</v>
      </c>
      <c r="QM101" s="0" t="n">
        <f aca="false">-QM99*$B$75</f>
        <v>-1818.76817549076</v>
      </c>
      <c r="QN101" s="0" t="n">
        <f aca="false">-QN99*$B$75</f>
        <v>-1904.68793219478</v>
      </c>
      <c r="QO101" s="0" t="n">
        <f aca="false">-QO99*$B$75</f>
        <v>-1833.03374843464</v>
      </c>
      <c r="QP101" s="0" t="n">
        <f aca="false">-QP99*$B$75</f>
        <v>-2126.82974817542</v>
      </c>
      <c r="QQ101" s="0" t="n">
        <f aca="false">-QQ99*$B$75</f>
        <v>-1876.79914424862</v>
      </c>
      <c r="QR101" s="0" t="n">
        <f aca="false">-QR99*$B$75</f>
        <v>-2224.59481306706</v>
      </c>
      <c r="QS101" s="0" t="n">
        <f aca="false">-QS99*$B$75</f>
        <v>-1981.25255229047</v>
      </c>
      <c r="QT101" s="0" t="n">
        <f aca="false">-QT99*$B$75</f>
        <v>-2630.35702538763</v>
      </c>
      <c r="QU101" s="0" t="n">
        <f aca="false">-QU99*$B$75</f>
        <v>-1932.49100039652</v>
      </c>
      <c r="QV101" s="0" t="n">
        <f aca="false">-QV99*$B$75</f>
        <v>-2080.08065799441</v>
      </c>
      <c r="QW101" s="0" t="n">
        <f aca="false">-QW99*$B$75</f>
        <v>-1294.73279034552</v>
      </c>
      <c r="QX101" s="0" t="n">
        <f aca="false">-QX99*$B$75</f>
        <v>-443.73976455228</v>
      </c>
      <c r="QY101" s="0" t="n">
        <f aca="false">-QY99*$B$75</f>
        <v>-1356.95783855788</v>
      </c>
      <c r="QZ101" s="0" t="n">
        <f aca="false">-QZ99*$B$75</f>
        <v>-1909.87864325808</v>
      </c>
      <c r="RA101" s="0" t="n">
        <f aca="false">-RA99*$B$75</f>
        <v>-1730.37277002208</v>
      </c>
      <c r="RB101" s="0" t="n">
        <f aca="false">-RB99*$B$75</f>
        <v>-2312.47113453135</v>
      </c>
      <c r="RC101" s="0" t="n">
        <f aca="false">-RC99*$B$75</f>
        <v>-2269.89910166953</v>
      </c>
      <c r="RD101" s="0" t="n">
        <f aca="false">-RD99*$B$75</f>
        <v>-2332.61391318209</v>
      </c>
      <c r="RE101" s="0" t="n">
        <f aca="false">-RE99*$B$75</f>
        <v>-2156.16304892207</v>
      </c>
      <c r="RF101" s="0" t="n">
        <f aca="false">-RF99*$B$75</f>
        <v>-2366.42040890057</v>
      </c>
      <c r="RG101" s="0" t="n">
        <f aca="false">-RG99*$B$75</f>
        <v>-2285.84456090287</v>
      </c>
      <c r="RH101" s="0" t="n">
        <f aca="false">-RH99*$B$75</f>
        <v>-2260.2312265451</v>
      </c>
      <c r="RI101" s="0" t="n">
        <f aca="false">-RI99*$B$75</f>
        <v>-2154.82248485867</v>
      </c>
      <c r="RJ101" s="0" t="n">
        <f aca="false">-RJ99*$B$75</f>
        <v>-2064.12476346143</v>
      </c>
      <c r="RK101" s="0" t="n">
        <f aca="false">-RK99*$B$75</f>
        <v>-989.208532689899</v>
      </c>
      <c r="RL101" s="0" t="n">
        <f aca="false">-RL99*$B$75</f>
        <v>-1465.28209534143</v>
      </c>
      <c r="RM101" s="0" t="n">
        <f aca="false">-RM99*$B$75</f>
        <v>-2494.79519979793</v>
      </c>
      <c r="RN101" s="0" t="n">
        <f aca="false">-RN99*$B$75</f>
        <v>-1961.16070545574</v>
      </c>
      <c r="RO101" s="0" t="n">
        <f aca="false">-RO99*$B$75</f>
        <v>-1127.10718883445</v>
      </c>
      <c r="RP101" s="0" t="n">
        <f aca="false">-RP99*$B$75</f>
        <v>-2548.90251804825</v>
      </c>
      <c r="RQ101" s="0" t="n">
        <f aca="false">-RQ99*$B$75</f>
        <v>-1429.2681434418</v>
      </c>
      <c r="RR101" s="0" t="n">
        <f aca="false">-RR99*$B$75</f>
        <v>-1536.93745320699</v>
      </c>
      <c r="RS101" s="0" t="n">
        <f aca="false">-RS99*$B$75</f>
        <v>-1950.42869685138</v>
      </c>
      <c r="RT101" s="0" t="n">
        <f aca="false">-RT99*$B$75</f>
        <v>-2204.04532027178</v>
      </c>
      <c r="RU101" s="0" t="n">
        <f aca="false">-RU99*$B$75</f>
        <v>-1424.70986290036</v>
      </c>
      <c r="RV101" s="0" t="n">
        <f aca="false">-RV99*$B$75</f>
        <v>-1250.1238655315</v>
      </c>
      <c r="RW101" s="0" t="n">
        <f aca="false">-RW99*$B$75</f>
        <v>-2018.08049876477</v>
      </c>
      <c r="RX101" s="0" t="n">
        <f aca="false">-RX99*$B$75</f>
        <v>-1751.77001000998</v>
      </c>
      <c r="RY101" s="0" t="n">
        <f aca="false">-RY99*$B$75</f>
        <v>-2256.92813328706</v>
      </c>
      <c r="RZ101" s="0" t="n">
        <f aca="false">-RZ99*$B$75</f>
        <v>-2235.32926014503</v>
      </c>
      <c r="SA101" s="0" t="n">
        <f aca="false">-SA99*$B$75</f>
        <v>-1694.81708529643</v>
      </c>
      <c r="SB101" s="0" t="n">
        <f aca="false">-SB99*$B$75</f>
        <v>-2180.50516384577</v>
      </c>
      <c r="SC101" s="0" t="n">
        <f aca="false">-SC99*$B$75</f>
        <v>-1271.1088795148</v>
      </c>
      <c r="SD101" s="0" t="n">
        <f aca="false">-SD99*$B$75</f>
        <v>-2348.26500958263</v>
      </c>
      <c r="SE101" s="0" t="n">
        <f aca="false">-SE99*$B$75</f>
        <v>-1954.08579470916</v>
      </c>
      <c r="SF101" s="0" t="n">
        <f aca="false">-SF99*$B$75</f>
        <v>-1739.20960980153</v>
      </c>
      <c r="SG101" s="0" t="n">
        <f aca="false">-SG99*$B$75</f>
        <v>-2140.11053637362</v>
      </c>
      <c r="SH101" s="0" t="n">
        <f aca="false">-SH99*$B$75</f>
        <v>-1492.9082209289</v>
      </c>
      <c r="SI101" s="0" t="n">
        <f aca="false">-SI99*$B$75</f>
        <v>-1849.28099768087</v>
      </c>
      <c r="SJ101" s="0" t="n">
        <f aca="false">-SJ99*$B$75</f>
        <v>-1117.19607711274</v>
      </c>
      <c r="SK101" s="0" t="n">
        <f aca="false">-SK99*$B$75</f>
        <v>-2369.75715956394</v>
      </c>
      <c r="SL101" s="0" t="n">
        <f aca="false">-SL99*$B$75</f>
        <v>-2108.40886707861</v>
      </c>
      <c r="SM101" s="0" t="n">
        <f aca="false">-SM99*$B$75</f>
        <v>-2082.48092664283</v>
      </c>
      <c r="SN101" s="0" t="n">
        <f aca="false">-SN99*$B$75</f>
        <v>-2290.95127794629</v>
      </c>
      <c r="SO101" s="0" t="n">
        <f aca="false">-SO99*$B$75</f>
        <v>-2327.28398377399</v>
      </c>
      <c r="SP101" s="0" t="n">
        <f aca="false">-SP99*$B$75</f>
        <v>-2024.79108357306</v>
      </c>
      <c r="SQ101" s="0" t="n">
        <f aca="false">-SQ99*$B$75</f>
        <v>-1991.72013673064</v>
      </c>
      <c r="SR101" s="0" t="n">
        <f aca="false">-SR99*$B$75</f>
        <v>-2045.23302317907</v>
      </c>
      <c r="SS101" s="0" t="n">
        <f aca="false">-SS99*$B$75</f>
        <v>-2024.65740226495</v>
      </c>
      <c r="ST101" s="0" t="n">
        <f aca="false">-ST99*$B$75</f>
        <v>-1939.81859043406</v>
      </c>
      <c r="SU101" s="0" t="n">
        <f aca="false">-SU99*$B$75</f>
        <v>-2195.8236893764</v>
      </c>
      <c r="SV101" s="0" t="n">
        <f aca="false">-SV99*$B$75</f>
        <v>-2363.85920196366</v>
      </c>
      <c r="SW101" s="0" t="n">
        <f aca="false">-SW99*$B$75</f>
        <v>-1192.42064879626</v>
      </c>
      <c r="SX101" s="0" t="n">
        <f aca="false">-SX99*$B$75</f>
        <v>-1290.92435520063</v>
      </c>
      <c r="SY101" s="0" t="n">
        <f aca="false">-SY99*$B$75</f>
        <v>-1512.67817316629</v>
      </c>
      <c r="SZ101" s="0" t="n">
        <f aca="false">-SZ99*$B$75</f>
        <v>-1670.26703374604</v>
      </c>
      <c r="TA101" s="0" t="n">
        <f aca="false">-TA99*$B$75</f>
        <v>-2591.12251071135</v>
      </c>
      <c r="TB101" s="0" t="n">
        <f aca="false">-TB99*$B$75</f>
        <v>-1708.42040757268</v>
      </c>
      <c r="TC101" s="0" t="n">
        <f aca="false">-TC99*$B$75</f>
        <v>-2274.48532172209</v>
      </c>
      <c r="TD101" s="0" t="n">
        <f aca="false">-TD99*$B$75</f>
        <v>-1392.97853188379</v>
      </c>
      <c r="TE101" s="0" t="n">
        <f aca="false">-TE99*$B$75</f>
        <v>-1920.4696419543</v>
      </c>
      <c r="TF101" s="0" t="n">
        <f aca="false">-TF99*$B$75</f>
        <v>-2136.57677151213</v>
      </c>
      <c r="TG101" s="0" t="n">
        <f aca="false">-TG99*$B$75</f>
        <v>-2216.37119213337</v>
      </c>
      <c r="TH101" s="0" t="n">
        <f aca="false">-TH99*$B$75</f>
        <v>-2119.22714958022</v>
      </c>
      <c r="TI101" s="0" t="n">
        <f aca="false">-TI99*$B$75</f>
        <v>-1179.51777620353</v>
      </c>
      <c r="TJ101" s="0" t="n">
        <f aca="false">-TJ99*$B$75</f>
        <v>-2097.86644266783</v>
      </c>
      <c r="TK101" s="0" t="n">
        <f aca="false">-TK99*$B$75</f>
        <v>-1629.82688879765</v>
      </c>
      <c r="TL101" s="0" t="n">
        <f aca="false">-TL99*$B$75</f>
        <v>-2263.76891035055</v>
      </c>
      <c r="TM101" s="0" t="n">
        <f aca="false">-TM99*$B$75</f>
        <v>-1581.7633022609</v>
      </c>
      <c r="TN101" s="0" t="n">
        <f aca="false">-TN99*$B$75</f>
        <v>-1812.54772442099</v>
      </c>
      <c r="TO101" s="0" t="n">
        <f aca="false">-TO99*$B$75</f>
        <v>-1859.66130474859</v>
      </c>
      <c r="TP101" s="0" t="n">
        <f aca="false">-TP99*$B$75</f>
        <v>-2253.90029818534</v>
      </c>
      <c r="TQ101" s="0" t="n">
        <f aca="false">-TQ99*$B$75</f>
        <v>-2263.36690929213</v>
      </c>
      <c r="TR101" s="0" t="n">
        <f aca="false">-TR99*$B$75</f>
        <v>-1035.83266981762</v>
      </c>
      <c r="TS101" s="0" t="n">
        <f aca="false">-TS99*$B$75</f>
        <v>-1843.72611833606</v>
      </c>
      <c r="TT101" s="0" t="n">
        <f aca="false">-TT99*$B$75</f>
        <v>-2045.16507381645</v>
      </c>
      <c r="TU101" s="0" t="n">
        <f aca="false">-TU99*$B$75</f>
        <v>-1778.17653627835</v>
      </c>
      <c r="TV101" s="0" t="n">
        <f aca="false">-TV99*$B$75</f>
        <v>-1998.10995690416</v>
      </c>
      <c r="TW101" s="0" t="n">
        <f aca="false">-TW99*$B$75</f>
        <v>-1768.19770152625</v>
      </c>
      <c r="TX101" s="0" t="n">
        <f aca="false">-TX99*$B$75</f>
        <v>-1612.6955580908</v>
      </c>
      <c r="TY101" s="0" t="n">
        <f aca="false">-TY99*$B$75</f>
        <v>-978.11739071013</v>
      </c>
      <c r="TZ101" s="0" t="n">
        <f aca="false">-TZ99*$B$75</f>
        <v>-2212.20505910151</v>
      </c>
      <c r="UA101" s="0" t="n">
        <f aca="false">-UA99*$B$75</f>
        <v>-2062.75688835752</v>
      </c>
      <c r="UB101" s="0" t="n">
        <f aca="false">-UB99*$B$75</f>
        <v>-1868.74690165706</v>
      </c>
      <c r="UC101" s="0" t="n">
        <f aca="false">-UC99*$B$75</f>
        <v>-1904.01485678375</v>
      </c>
      <c r="UD101" s="0" t="n">
        <f aca="false">-UD99*$B$75</f>
        <v>-2307.80886533573</v>
      </c>
      <c r="UE101" s="0" t="n">
        <f aca="false">-UE99*$B$75</f>
        <v>-2156.27139538588</v>
      </c>
      <c r="UF101" s="0" t="n">
        <f aca="false">-UF99*$B$75</f>
        <v>-2111.16494996363</v>
      </c>
      <c r="UG101" s="0" t="n">
        <f aca="false">-UG99*$B$75</f>
        <v>-1809.81074227444</v>
      </c>
      <c r="UH101" s="0" t="n">
        <f aca="false">-UH99*$B$75</f>
        <v>-1927.01062778435</v>
      </c>
      <c r="UI101" s="0" t="n">
        <f aca="false">-UI99*$B$75</f>
        <v>-2134.18747784707</v>
      </c>
      <c r="UJ101" s="0" t="n">
        <f aca="false">-UJ99*$B$75</f>
        <v>-1860.97559455762</v>
      </c>
      <c r="UK101" s="0" t="n">
        <f aca="false">-UK99*$B$75</f>
        <v>-1829.37160804675</v>
      </c>
      <c r="UL101" s="0" t="n">
        <f aca="false">-UL99*$B$75</f>
        <v>-2102.36032590179</v>
      </c>
      <c r="UM101" s="0" t="n">
        <f aca="false">-UM99*$B$75</f>
        <v>-2568.23119465341</v>
      </c>
      <c r="UN101" s="0" t="n">
        <f aca="false">-UN99*$B$75</f>
        <v>-2314.53930818975</v>
      </c>
      <c r="UO101" s="0" t="n">
        <f aca="false">-UO99*$B$75</f>
        <v>-2035.40892496475</v>
      </c>
      <c r="UP101" s="0" t="n">
        <f aca="false">-UP99*$B$75</f>
        <v>-1925.46621397614</v>
      </c>
      <c r="UQ101" s="0" t="n">
        <f aca="false">-UQ99*$B$75</f>
        <v>-1539.61748545098</v>
      </c>
      <c r="UR101" s="0" t="n">
        <f aca="false">-UR99*$B$75</f>
        <v>-1970.02455443128</v>
      </c>
      <c r="US101" s="0" t="n">
        <f aca="false">-US99*$B$75</f>
        <v>-2028.72793758514</v>
      </c>
      <c r="UT101" s="0" t="n">
        <f aca="false">-UT99*$B$75</f>
        <v>-1699.11398703443</v>
      </c>
      <c r="UU101" s="0" t="n">
        <f aca="false">-UU99*$B$75</f>
        <v>-1834.54393732644</v>
      </c>
      <c r="UV101" s="0" t="n">
        <f aca="false">-UV99*$B$75</f>
        <v>-1342.98143005924</v>
      </c>
      <c r="UW101" s="0" t="n">
        <f aca="false">-UW99*$B$75</f>
        <v>-1715.81260186677</v>
      </c>
      <c r="UX101" s="0" t="n">
        <f aca="false">-UX99*$B$75</f>
        <v>-2186.80722013988</v>
      </c>
      <c r="UY101" s="0" t="n">
        <f aca="false">-UY99*$B$75</f>
        <v>-1995.62778180919</v>
      </c>
      <c r="UZ101" s="0" t="n">
        <f aca="false">-UZ99*$B$75</f>
        <v>-2484.61515193915</v>
      </c>
      <c r="VA101" s="0" t="n">
        <f aca="false">-VA99*$B$75</f>
        <v>-1900.20534816046</v>
      </c>
      <c r="VB101" s="0" t="n">
        <f aca="false">-VB99*$B$75</f>
        <v>-2269.07609745469</v>
      </c>
      <c r="VC101" s="0" t="n">
        <f aca="false">-VC99*$B$75</f>
        <v>-1903.30293152463</v>
      </c>
      <c r="VD101" s="0" t="n">
        <f aca="false">-VD99*$B$75</f>
        <v>-1734.00404673167</v>
      </c>
      <c r="VE101" s="0" t="n">
        <f aca="false">-VE99*$B$75</f>
        <v>-1790.96196997345</v>
      </c>
      <c r="VF101" s="0" t="n">
        <f aca="false">-VF99*$B$75</f>
        <v>-1521.0034107299</v>
      </c>
      <c r="VG101" s="0" t="n">
        <f aca="false">-VG99*$B$75</f>
        <v>-1363.47726271233</v>
      </c>
      <c r="VH101" s="0" t="n">
        <f aca="false">-VH99*$B$75</f>
        <v>-1050.55628311635</v>
      </c>
      <c r="VI101" s="0" t="n">
        <f aca="false">-VI99*$B$75</f>
        <v>-2192.38823708382</v>
      </c>
      <c r="VJ101" s="0" t="n">
        <f aca="false">-VJ99*$B$75</f>
        <v>-1547.76971401727</v>
      </c>
      <c r="VK101" s="0" t="n">
        <f aca="false">-VK99*$B$75</f>
        <v>-1955.09581288024</v>
      </c>
      <c r="VL101" s="0" t="n">
        <f aca="false">-VL99*$B$75</f>
        <v>-1967.26866081979</v>
      </c>
      <c r="VM101" s="0" t="n">
        <f aca="false">-VM99*$B$75</f>
        <v>-2429.36379324179</v>
      </c>
      <c r="VN101" s="0" t="n">
        <f aca="false">-VN99*$B$75</f>
        <v>-1593.07883826514</v>
      </c>
      <c r="VO101" s="0" t="n">
        <f aca="false">-VO99*$B$75</f>
        <v>-2396.29556364803</v>
      </c>
      <c r="VP101" s="0" t="n">
        <f aca="false">-VP99*$B$75</f>
        <v>-2183.28378836642</v>
      </c>
      <c r="VQ101" s="0" t="n">
        <f aca="false">-VQ99*$B$75</f>
        <v>-2045.7720726339</v>
      </c>
      <c r="VR101" s="0" t="n">
        <f aca="false">-VR99*$B$75</f>
        <v>-2422.72775753697</v>
      </c>
      <c r="VS101" s="0" t="n">
        <f aca="false">-VS99*$B$75</f>
        <v>-2003.38946774635</v>
      </c>
      <c r="VT101" s="0" t="n">
        <f aca="false">-VT99*$B$75</f>
        <v>-1543.36767402848</v>
      </c>
      <c r="VU101" s="0" t="n">
        <f aca="false">-VU99*$B$75</f>
        <v>-2109.78627692068</v>
      </c>
      <c r="VV101" s="0" t="n">
        <f aca="false">-VV99*$B$75</f>
        <v>-1039.43949165746</v>
      </c>
      <c r="VW101" s="0" t="n">
        <f aca="false">-VW99*$B$75</f>
        <v>-2062.9417799055</v>
      </c>
      <c r="VX101" s="0" t="n">
        <f aca="false">-VX99*$B$75</f>
        <v>-1405.91009894163</v>
      </c>
      <c r="VY101" s="0" t="n">
        <f aca="false">-VY99*$B$75</f>
        <v>-2217.37891092992</v>
      </c>
      <c r="VZ101" s="0" t="n">
        <f aca="false">-VZ99*$B$75</f>
        <v>-2256.59482562825</v>
      </c>
      <c r="WA101" s="0" t="n">
        <f aca="false">-WA99*$B$75</f>
        <v>-565.98548682182</v>
      </c>
      <c r="WB101" s="0" t="n">
        <f aca="false">-WB99*$B$75</f>
        <v>-2113.83485380119</v>
      </c>
      <c r="WC101" s="0" t="n">
        <f aca="false">-WC99*$B$75</f>
        <v>-2292.11462010703</v>
      </c>
      <c r="WD101" s="0" t="n">
        <f aca="false">-WD99*$B$75</f>
        <v>-1815.7446930084</v>
      </c>
      <c r="WE101" s="0" t="n">
        <f aca="false">-WE99*$B$75</f>
        <v>-1914.10445382643</v>
      </c>
      <c r="WF101" s="0" t="n">
        <f aca="false">-WF99*$B$75</f>
        <v>-2240.2432651337</v>
      </c>
      <c r="WG101" s="0" t="n">
        <f aca="false">-WG99*$B$75</f>
        <v>-1718.34804265159</v>
      </c>
      <c r="WH101" s="0" t="n">
        <f aca="false">-WH99*$B$75</f>
        <v>-1744.65338463815</v>
      </c>
      <c r="WI101" s="0" t="n">
        <f aca="false">-WI99*$B$75</f>
        <v>-2443.66653032639</v>
      </c>
      <c r="WJ101" s="0" t="n">
        <f aca="false">-WJ99*$B$75</f>
        <v>-1887.84949303098</v>
      </c>
      <c r="WK101" s="0" t="n">
        <f aca="false">-WK99*$B$75</f>
        <v>-1390.98069057764</v>
      </c>
      <c r="WL101" s="0" t="n">
        <f aca="false">-WL99*$B$75</f>
        <v>-1818.87858366792</v>
      </c>
      <c r="WM101" s="0" t="n">
        <f aca="false">-WM99*$B$75</f>
        <v>-2204.01191179688</v>
      </c>
      <c r="WN101" s="0" t="n">
        <f aca="false">-WN99*$B$75</f>
        <v>-1341.44174900897</v>
      </c>
      <c r="WO101" s="0" t="n">
        <f aca="false">-WO99*$B$75</f>
        <v>-2101.40705094493</v>
      </c>
      <c r="WP101" s="0" t="n">
        <f aca="false">-WP99*$B$75</f>
        <v>-2285.44338751291</v>
      </c>
      <c r="WQ101" s="0" t="n">
        <f aca="false">-WQ99*$B$75</f>
        <v>-1086.8490776665</v>
      </c>
      <c r="WR101" s="0" t="n">
        <f aca="false">-WR99*$B$75</f>
        <v>-1664.29064466291</v>
      </c>
      <c r="WS101" s="0" t="n">
        <f aca="false">-WS99*$B$75</f>
        <v>-2016.0653288576</v>
      </c>
      <c r="WT101" s="0" t="n">
        <f aca="false">-WT99*$B$75</f>
        <v>-1871.50929958154</v>
      </c>
      <c r="WU101" s="0" t="n">
        <f aca="false">-WU99*$B$75</f>
        <v>-2165.03508294764</v>
      </c>
      <c r="WV101" s="0" t="n">
        <f aca="false">-WV99*$B$75</f>
        <v>-2143.535541178</v>
      </c>
      <c r="WW101" s="0" t="n">
        <f aca="false">-WW99*$B$75</f>
        <v>-2186.63282905387</v>
      </c>
      <c r="WX101" s="0" t="n">
        <f aca="false">-WX99*$B$75</f>
        <v>-1554.42454014954</v>
      </c>
      <c r="WY101" s="0" t="n">
        <f aca="false">-WY99*$B$75</f>
        <v>-2033.0884333929</v>
      </c>
      <c r="WZ101" s="0" t="n">
        <f aca="false">-WZ99*$B$75</f>
        <v>-2037.61666661402</v>
      </c>
      <c r="XA101" s="0" t="n">
        <f aca="false">-XA99*$B$75</f>
        <v>-2183.0960367195</v>
      </c>
      <c r="XB101" s="0" t="n">
        <f aca="false">-XB99*$B$75</f>
        <v>-2245.59808040016</v>
      </c>
      <c r="XC101" s="0" t="n">
        <f aca="false">-XC99*$B$75</f>
        <v>-1355.28537575402</v>
      </c>
      <c r="XD101" s="0" t="n">
        <f aca="false">-XD99*$B$75</f>
        <v>-2276.77326998354</v>
      </c>
      <c r="XE101" s="0" t="n">
        <f aca="false">-XE99*$B$75</f>
        <v>-2416.60991612688</v>
      </c>
      <c r="XF101" s="0" t="n">
        <f aca="false">-XF99*$B$75</f>
        <v>-978.283749849224</v>
      </c>
      <c r="XG101" s="0" t="n">
        <f aca="false">-XG99*$B$75</f>
        <v>-1783.66316816034</v>
      </c>
      <c r="XH101" s="0" t="n">
        <f aca="false">-XH99*$B$75</f>
        <v>-1918.9457563969</v>
      </c>
      <c r="XI101" s="0" t="n">
        <f aca="false">-XI99*$B$75</f>
        <v>-2311.94631373292</v>
      </c>
      <c r="XJ101" s="0" t="n">
        <f aca="false">-XJ99*$B$75</f>
        <v>-1738.3016387128</v>
      </c>
      <c r="XK101" s="0" t="n">
        <f aca="false">-XK99*$B$75</f>
        <v>-2073.68628478964</v>
      </c>
      <c r="XL101" s="0" t="n">
        <f aca="false">-XL99*$B$75</f>
        <v>-1831.28381984111</v>
      </c>
      <c r="XM101" s="0" t="n">
        <f aca="false">-XM99*$B$75</f>
        <v>-2492.89017539807</v>
      </c>
      <c r="XN101" s="0" t="n">
        <f aca="false">-XN99*$B$75</f>
        <v>-1911.07845387172</v>
      </c>
      <c r="XO101" s="0" t="n">
        <f aca="false">-XO99*$B$75</f>
        <v>-1879.51578041348</v>
      </c>
      <c r="XP101" s="0" t="n">
        <f aca="false">-XP99*$B$75</f>
        <v>-1302.09799483988</v>
      </c>
      <c r="XQ101" s="0" t="n">
        <f aca="false">-XQ99*$B$75</f>
        <v>-1780.03412191208</v>
      </c>
      <c r="XR101" s="0" t="n">
        <f aca="false">-XR99*$B$75</f>
        <v>-1770.00943449465</v>
      </c>
      <c r="XS101" s="0" t="n">
        <f aca="false">-XS99*$B$75</f>
        <v>-1624.81857087046</v>
      </c>
      <c r="XT101" s="0" t="n">
        <f aca="false">-XT99*$B$75</f>
        <v>-2082.76635332072</v>
      </c>
      <c r="XU101" s="0" t="n">
        <f aca="false">-XU99*$B$75</f>
        <v>-1256.51872720515</v>
      </c>
      <c r="XV101" s="0" t="n">
        <f aca="false">-XV99*$B$75</f>
        <v>-2244.77901242211</v>
      </c>
      <c r="XW101" s="0" t="n">
        <f aca="false">-XW99*$B$75</f>
        <v>-1855.67381192933</v>
      </c>
      <c r="XX101" s="0" t="n">
        <f aca="false">-XX99*$B$75</f>
        <v>-1497.71858767222</v>
      </c>
      <c r="XY101" s="0" t="n">
        <f aca="false">-XY99*$B$75</f>
        <v>-1721.57585961028</v>
      </c>
      <c r="XZ101" s="0" t="n">
        <f aca="false">-XZ99*$B$75</f>
        <v>-2124.11743378418</v>
      </c>
      <c r="YA101" s="0" t="n">
        <f aca="false">-YA99*$B$75</f>
        <v>-1979.53949536344</v>
      </c>
      <c r="YB101" s="0" t="n">
        <f aca="false">-YB99*$B$75</f>
        <v>-1799.73192707795</v>
      </c>
      <c r="YC101" s="0" t="n">
        <f aca="false">-YC99*$B$75</f>
        <v>-1692.34076395688</v>
      </c>
      <c r="YD101" s="0" t="n">
        <f aca="false">-YD99*$B$75</f>
        <v>-2000.28589361902</v>
      </c>
      <c r="YE101" s="0" t="n">
        <f aca="false">-YE99*$B$75</f>
        <v>-2101.42828721928</v>
      </c>
      <c r="YF101" s="0" t="n">
        <f aca="false">-YF99*$B$75</f>
        <v>-1741.77734814054</v>
      </c>
      <c r="YG101" s="0" t="n">
        <f aca="false">-YG99*$B$75</f>
        <v>-2198.25888796544</v>
      </c>
      <c r="YH101" s="0" t="n">
        <f aca="false">-YH99*$B$75</f>
        <v>-202.569533142388</v>
      </c>
      <c r="YI101" s="0" t="n">
        <f aca="false">-YI99*$B$75</f>
        <v>-2117.52450926122</v>
      </c>
      <c r="YJ101" s="0" t="n">
        <f aca="false">-YJ99*$B$75</f>
        <v>-2270.75250862531</v>
      </c>
      <c r="YK101" s="0" t="n">
        <f aca="false">-YK99*$B$75</f>
        <v>-1898.2842860182</v>
      </c>
      <c r="YL101" s="0" t="n">
        <f aca="false">-YL99*$B$75</f>
        <v>-1132.95654062407</v>
      </c>
      <c r="YM101" s="0" t="n">
        <f aca="false">-YM99*$B$75</f>
        <v>-1957.73166181324</v>
      </c>
      <c r="YN101" s="0" t="n">
        <f aca="false">-YN99*$B$75</f>
        <v>-1909.52171248184</v>
      </c>
      <c r="YO101" s="0" t="n">
        <f aca="false">-YO99*$B$75</f>
        <v>-2227.42481514364</v>
      </c>
      <c r="YP101" s="0" t="n">
        <f aca="false">-YP99*$B$75</f>
        <v>-1123.11301616547</v>
      </c>
      <c r="YQ101" s="0" t="n">
        <f aca="false">-YQ99*$B$75</f>
        <v>-1624.57746752587</v>
      </c>
      <c r="YR101" s="0" t="n">
        <f aca="false">-YR99*$B$75</f>
        <v>-1383.92973012571</v>
      </c>
      <c r="YS101" s="0" t="n">
        <f aca="false">-YS99*$B$75</f>
        <v>-2003.10413398996</v>
      </c>
      <c r="YT101" s="0" t="n">
        <f aca="false">-YT99*$B$75</f>
        <v>-2066.72763663719</v>
      </c>
      <c r="YU101" s="0" t="n">
        <f aca="false">-YU99*$B$75</f>
        <v>-2382.17537079987</v>
      </c>
      <c r="YV101" s="0" t="n">
        <f aca="false">-YV99*$B$75</f>
        <v>-1896.27336161994</v>
      </c>
      <c r="YW101" s="0" t="n">
        <f aca="false">-YW99*$B$75</f>
        <v>-1559.17854120364</v>
      </c>
      <c r="YX101" s="0" t="n">
        <f aca="false">-YX99*$B$75</f>
        <v>-2256.68611072386</v>
      </c>
      <c r="YY101" s="0" t="n">
        <f aca="false">-YY99*$B$75</f>
        <v>-2305.64025615485</v>
      </c>
      <c r="YZ101" s="0" t="n">
        <f aca="false">-YZ99*$B$75</f>
        <v>-2034.47166336652</v>
      </c>
      <c r="ZA101" s="0" t="n">
        <f aca="false">-ZA99*$B$75</f>
        <v>-2244.49497007936</v>
      </c>
      <c r="ZB101" s="0" t="n">
        <f aca="false">-ZB99*$B$75</f>
        <v>-2219.20188905316</v>
      </c>
      <c r="ZC101" s="0" t="n">
        <f aca="false">-ZC99*$B$75</f>
        <v>-1566.79805132925</v>
      </c>
      <c r="ZD101" s="0" t="n">
        <f aca="false">-ZD99*$B$75</f>
        <v>-1240.95034396617</v>
      </c>
      <c r="ZE101" s="0" t="n">
        <f aca="false">-ZE99*$B$75</f>
        <v>-1985.04945126363</v>
      </c>
      <c r="ZF101" s="0" t="n">
        <f aca="false">-ZF99*$B$75</f>
        <v>-1892.65045274475</v>
      </c>
      <c r="ZG101" s="0" t="n">
        <f aca="false">-ZG99*$B$75</f>
        <v>-1968.65171194053</v>
      </c>
      <c r="ZH101" s="0" t="n">
        <f aca="false">-ZH99*$B$75</f>
        <v>-1433.06129682269</v>
      </c>
      <c r="ZI101" s="0" t="n">
        <f aca="false">-ZI99*$B$75</f>
        <v>-2042.75040045533</v>
      </c>
      <c r="ZJ101" s="0" t="n">
        <f aca="false">-ZJ99*$B$75</f>
        <v>-2023.24513383083</v>
      </c>
      <c r="ZK101" s="0" t="n">
        <f aca="false">-ZK99*$B$75</f>
        <v>-2013.79049987871</v>
      </c>
      <c r="ZL101" s="0" t="n">
        <f aca="false">-ZL99*$B$75</f>
        <v>-1916.41693071743</v>
      </c>
      <c r="ZM101" s="0" t="n">
        <f aca="false">-ZM99*$B$75</f>
        <v>-2315.94909158548</v>
      </c>
      <c r="ZN101" s="0" t="n">
        <f aca="false">-ZN99*$B$75</f>
        <v>-1972.2970064355</v>
      </c>
      <c r="ZO101" s="0" t="n">
        <f aca="false">-ZO99*$B$75</f>
        <v>-2232.85314237892</v>
      </c>
      <c r="ZP101" s="0" t="n">
        <f aca="false">-ZP99*$B$75</f>
        <v>-2596.33843975639</v>
      </c>
      <c r="ZQ101" s="0" t="n">
        <f aca="false">-ZQ99*$B$75</f>
        <v>-2144.76014518901</v>
      </c>
      <c r="ZR101" s="0" t="n">
        <f aca="false">-ZR99*$B$75</f>
        <v>-2390.40320774195</v>
      </c>
      <c r="ZS101" s="0" t="n">
        <f aca="false">-ZS99*$B$75</f>
        <v>-825.719308644618</v>
      </c>
      <c r="ZT101" s="0" t="n">
        <f aca="false">-ZT99*$B$75</f>
        <v>-1663.71947954431</v>
      </c>
      <c r="ZU101" s="0" t="n">
        <f aca="false">-ZU99*$B$75</f>
        <v>-2332.57185775539</v>
      </c>
      <c r="ZV101" s="0" t="n">
        <f aca="false">-ZV99*$B$75</f>
        <v>-1916.98624977424</v>
      </c>
      <c r="ZW101" s="0" t="n">
        <f aca="false">-ZW99*$B$75</f>
        <v>-1877.39380234849</v>
      </c>
      <c r="ZX101" s="0" t="n">
        <f aca="false">-ZX99*$B$75</f>
        <v>-733.07215545043</v>
      </c>
      <c r="ZY101" s="0" t="n">
        <f aca="false">-ZY99*$B$75</f>
        <v>-2619.7960176736</v>
      </c>
      <c r="ZZ101" s="0" t="n">
        <f aca="false">-ZZ99*$B$75</f>
        <v>-1815.72132943745</v>
      </c>
      <c r="AAA101" s="0" t="n">
        <f aca="false">-AAA99*$B$75</f>
        <v>-2067.09226796023</v>
      </c>
      <c r="AAB101" s="0" t="n">
        <f aca="false">-AAB99*$B$75</f>
        <v>-1980.90035578094</v>
      </c>
      <c r="AAC101" s="0" t="n">
        <f aca="false">-AAC99*$B$75</f>
        <v>-2182.86572232236</v>
      </c>
      <c r="AAD101" s="0" t="n">
        <f aca="false">-AAD99*$B$75</f>
        <v>-1754.61288189442</v>
      </c>
      <c r="AAE101" s="0" t="n">
        <f aca="false">-AAE99*$B$75</f>
        <v>-2063.65071013546</v>
      </c>
      <c r="AAF101" s="0" t="n">
        <f aca="false">-AAF99*$B$75</f>
        <v>-1608.28628573121</v>
      </c>
      <c r="AAG101" s="0" t="n">
        <f aca="false">-AAG99*$B$75</f>
        <v>-1629.34865721907</v>
      </c>
      <c r="AAH101" s="0" t="n">
        <f aca="false">-AAH99*$B$75</f>
        <v>-1579.80679810343</v>
      </c>
      <c r="AAI101" s="0" t="n">
        <f aca="false">-AAI99*$B$75</f>
        <v>-2188.786240357</v>
      </c>
      <c r="AAJ101" s="0" t="n">
        <f aca="false">-AAJ99*$B$75</f>
        <v>-2100.08182818192</v>
      </c>
      <c r="AAK101" s="0" t="n">
        <f aca="false">-AAK99*$B$75</f>
        <v>-1264.68479228479</v>
      </c>
      <c r="AAL101" s="0" t="n">
        <f aca="false">-AAL99*$B$75</f>
        <v>-1821.57436155919</v>
      </c>
      <c r="AAM101" s="0" t="n">
        <f aca="false">-AAM99*$B$75</f>
        <v>-1992.65882644593</v>
      </c>
      <c r="AAN101" s="0" t="n">
        <f aca="false">-AAN99*$B$75</f>
        <v>-2295.12628249131</v>
      </c>
      <c r="AAO101" s="0" t="n">
        <f aca="false">-AAO99*$B$75</f>
        <v>-1991.47529909333</v>
      </c>
      <c r="AAP101" s="0" t="n">
        <f aca="false">-AAP99*$B$75</f>
        <v>-2398.28102003778</v>
      </c>
      <c r="AAQ101" s="0" t="n">
        <f aca="false">-AAQ99*$B$75</f>
        <v>-1933.29715368086</v>
      </c>
      <c r="AAR101" s="0" t="n">
        <f aca="false">-AAR99*$B$75</f>
        <v>-1043.18459189574</v>
      </c>
      <c r="AAS101" s="0" t="n">
        <f aca="false">-AAS99*$B$75</f>
        <v>-2013.30497611396</v>
      </c>
      <c r="AAT101" s="0" t="n">
        <f aca="false">-AAT99*$B$75</f>
        <v>-2172.90948878223</v>
      </c>
      <c r="AAU101" s="0" t="n">
        <f aca="false">-AAU99*$B$75</f>
        <v>-2144.93775452002</v>
      </c>
      <c r="AAV101" s="0" t="n">
        <f aca="false">-AAV99*$B$75</f>
        <v>-1586.56594528049</v>
      </c>
      <c r="AAW101" s="0" t="n">
        <f aca="false">-AAW99*$B$75</f>
        <v>-1966.67402594081</v>
      </c>
      <c r="AAX101" s="0" t="n">
        <f aca="false">-AAX99*$B$75</f>
        <v>-2182.31994489911</v>
      </c>
      <c r="AAY101" s="0" t="n">
        <f aca="false">-AAY99*$B$75</f>
        <v>-2275.16427925505</v>
      </c>
      <c r="AAZ101" s="0" t="n">
        <f aca="false">-AAZ99*$B$75</f>
        <v>-1800.28630424109</v>
      </c>
      <c r="ABA101" s="0" t="n">
        <f aca="false">-ABA99*$B$75</f>
        <v>-1840.59069496502</v>
      </c>
      <c r="ABB101" s="0" t="n">
        <f aca="false">-ABB99*$B$75</f>
        <v>-1743.04470216224</v>
      </c>
      <c r="ABC101" s="0" t="n">
        <f aca="false">-ABC99*$B$75</f>
        <v>-1632.4833132859</v>
      </c>
      <c r="ABD101" s="0" t="n">
        <f aca="false">-ABD99*$B$75</f>
        <v>-2246.74648936154</v>
      </c>
      <c r="ABE101" s="0" t="n">
        <f aca="false">-ABE99*$B$75</f>
        <v>-2070.66814765413</v>
      </c>
      <c r="ABF101" s="0" t="n">
        <f aca="false">-ABF99*$B$75</f>
        <v>-2163.90798666459</v>
      </c>
      <c r="ABG101" s="0" t="n">
        <f aca="false">-ABG99*$B$75</f>
        <v>-2258.03362713537</v>
      </c>
      <c r="ABH101" s="0" t="n">
        <f aca="false">-ABH99*$B$75</f>
        <v>-2216.47170047429</v>
      </c>
      <c r="ABI101" s="0" t="n">
        <f aca="false">-ABI99*$B$75</f>
        <v>-2347.40138766971</v>
      </c>
      <c r="ABJ101" s="0" t="n">
        <f aca="false">-ABJ99*$B$75</f>
        <v>-1887.88188060131</v>
      </c>
      <c r="ABK101" s="0" t="n">
        <f aca="false">-ABK99*$B$75</f>
        <v>-2165.22032018243</v>
      </c>
      <c r="ABL101" s="0" t="n">
        <f aca="false">-ABL99*$B$75</f>
        <v>-1910.19463180501</v>
      </c>
      <c r="ABM101" s="0" t="n">
        <f aca="false">-ABM99*$B$75</f>
        <v>-1992.72330530093</v>
      </c>
      <c r="ABN101" s="0" t="n">
        <f aca="false">-ABN99*$B$75</f>
        <v>-2225.00151915243</v>
      </c>
      <c r="ABO101" s="0" t="n">
        <f aca="false">-ABO99*$B$75</f>
        <v>-2593.08826665472</v>
      </c>
      <c r="ABP101" s="0" t="n">
        <f aca="false">-ABP99*$B$75</f>
        <v>-2029.01360948575</v>
      </c>
      <c r="ABQ101" s="0" t="n">
        <f aca="false">-ABQ99*$B$75</f>
        <v>-2089.42860341812</v>
      </c>
      <c r="ABR101" s="0" t="n">
        <f aca="false">-ABR99*$B$75</f>
        <v>-1930.28342509178</v>
      </c>
      <c r="ABS101" s="0" t="n">
        <f aca="false">-ABS99*$B$75</f>
        <v>-2533.60750557335</v>
      </c>
      <c r="ABT101" s="0" t="n">
        <f aca="false">-ABT99*$B$75</f>
        <v>-2366.48988612615</v>
      </c>
      <c r="ABU101" s="0" t="n">
        <f aca="false">-ABU99*$B$75</f>
        <v>-1897.75539621344</v>
      </c>
      <c r="ABV101" s="0" t="n">
        <f aca="false">-ABV99*$B$75</f>
        <v>-2196.09281583289</v>
      </c>
      <c r="ABW101" s="0" t="n">
        <f aca="false">-ABW99*$B$75</f>
        <v>-1919.6179751356</v>
      </c>
      <c r="ABX101" s="0" t="n">
        <f aca="false">-ABX99*$B$75</f>
        <v>-2275.26764013359</v>
      </c>
      <c r="ABY101" s="0" t="n">
        <f aca="false">-ABY99*$B$75</f>
        <v>-2069.79927876198</v>
      </c>
      <c r="ABZ101" s="0" t="n">
        <f aca="false">-ABZ99*$B$75</f>
        <v>-1748.84415558736</v>
      </c>
      <c r="ACA101" s="0" t="n">
        <f aca="false">-ACA99*$B$75</f>
        <v>-2098.52279288498</v>
      </c>
      <c r="ACB101" s="0" t="n">
        <f aca="false">-ACB99*$B$75</f>
        <v>-2536.43587810017</v>
      </c>
      <c r="ACC101" s="0" t="n">
        <f aca="false">-ACC99*$B$75</f>
        <v>-1783.75127716715</v>
      </c>
      <c r="ACD101" s="0" t="n">
        <f aca="false">-ACD99*$B$75</f>
        <v>-2255.37090848816</v>
      </c>
      <c r="ACE101" s="0" t="n">
        <f aca="false">-ACE99*$B$75</f>
        <v>-1950.73959272548</v>
      </c>
      <c r="ACF101" s="0" t="n">
        <f aca="false">-ACF99*$B$75</f>
        <v>-1629.38834622652</v>
      </c>
      <c r="ACG101" s="0" t="n">
        <f aca="false">-ACG99*$B$75</f>
        <v>-1719.70448399778</v>
      </c>
      <c r="ACH101" s="0" t="n">
        <f aca="false">-ACH99*$B$75</f>
        <v>-2093.24916508173</v>
      </c>
      <c r="ACI101" s="0" t="n">
        <f aca="false">-ACI99*$B$75</f>
        <v>-1740.07771542259</v>
      </c>
      <c r="ACJ101" s="0" t="n">
        <f aca="false">-ACJ99*$B$75</f>
        <v>-1965.16620467643</v>
      </c>
      <c r="ACK101" s="0" t="n">
        <f aca="false">-ACK99*$B$75</f>
        <v>-2125.15991258717</v>
      </c>
      <c r="ACL101" s="0" t="n">
        <f aca="false">-ACL99*$B$75</f>
        <v>-1306.19626412405</v>
      </c>
      <c r="ACM101" s="0" t="n">
        <f aca="false">-ACM99*$B$75</f>
        <v>-1689.13291082245</v>
      </c>
      <c r="ACN101" s="0" t="n">
        <f aca="false">-ACN99*$B$75</f>
        <v>-2142.4544006628</v>
      </c>
      <c r="ACO101" s="0" t="n">
        <f aca="false">-ACO99*$B$75</f>
        <v>-2198.9591216504</v>
      </c>
      <c r="ACP101" s="0" t="n">
        <f aca="false">-ACP99*$B$75</f>
        <v>-1640.44518817966</v>
      </c>
      <c r="ACQ101" s="0" t="n">
        <f aca="false">-ACQ99*$B$75</f>
        <v>-1970.57665469776</v>
      </c>
      <c r="ACR101" s="0" t="n">
        <f aca="false">-ACR99*$B$75</f>
        <v>-1798.77911695699</v>
      </c>
      <c r="ACS101" s="0" t="n">
        <f aca="false">-ACS99*$B$75</f>
        <v>-2235.94960292043</v>
      </c>
      <c r="ACT101" s="0" t="n">
        <f aca="false">-ACT99*$B$75</f>
        <v>-1989.46357171319</v>
      </c>
      <c r="ACU101" s="0" t="n">
        <f aca="false">-ACU99*$B$75</f>
        <v>-2174.08940226835</v>
      </c>
      <c r="ACV101" s="0" t="n">
        <f aca="false">-ACV99*$B$75</f>
        <v>-2125.58664710551</v>
      </c>
      <c r="ACW101" s="0" t="n">
        <f aca="false">-ACW99*$B$75</f>
        <v>-1741.25343905075</v>
      </c>
      <c r="ACX101" s="0" t="n">
        <f aca="false">-ACX99*$B$75</f>
        <v>-2106.56951845832</v>
      </c>
      <c r="ACY101" s="0" t="n">
        <f aca="false">-ACY99*$B$75</f>
        <v>-1228.80356909225</v>
      </c>
      <c r="ACZ101" s="0" t="n">
        <f aca="false">-ACZ99*$B$75</f>
        <v>-2228.28607591962</v>
      </c>
      <c r="ADA101" s="0" t="n">
        <f aca="false">-ADA99*$B$75</f>
        <v>-2795.12619330782</v>
      </c>
      <c r="ADB101" s="0" t="n">
        <f aca="false">-ADB99*$B$75</f>
        <v>-1195.21426287271</v>
      </c>
      <c r="ADC101" s="0" t="n">
        <f aca="false">-ADC99*$B$75</f>
        <v>-2121.56711238237</v>
      </c>
      <c r="ADD101" s="0" t="n">
        <f aca="false">-ADD99*$B$75</f>
        <v>-1701.687486028</v>
      </c>
      <c r="ADE101" s="0" t="n">
        <f aca="false">-ADE99*$B$75</f>
        <v>-1219.80893968669</v>
      </c>
      <c r="ADF101" s="0" t="n">
        <f aca="false">-ADF99*$B$75</f>
        <v>-2146.15555773801</v>
      </c>
      <c r="ADG101" s="0" t="n">
        <f aca="false">-ADG99*$B$75</f>
        <v>-2461.98049998014</v>
      </c>
      <c r="ADH101" s="0" t="n">
        <f aca="false">-ADH99*$B$75</f>
        <v>-1854.60519477245</v>
      </c>
      <c r="ADI101" s="0" t="n">
        <f aca="false">-ADI99*$B$75</f>
        <v>-2253.38638108612</v>
      </c>
      <c r="ADJ101" s="0" t="n">
        <f aca="false">-ADJ99*$B$75</f>
        <v>-2371.59110161673</v>
      </c>
      <c r="ADK101" s="0" t="n">
        <f aca="false">-ADK99*$B$75</f>
        <v>-1861.19767040132</v>
      </c>
      <c r="ADL101" s="0" t="n">
        <f aca="false">-ADL99*$B$75</f>
        <v>-2111.59657058403</v>
      </c>
      <c r="ADM101" s="0" t="n">
        <f aca="false">-ADM99*$B$75</f>
        <v>-2159.73478870664</v>
      </c>
      <c r="ADN101" s="0" t="n">
        <f aca="false">-ADN99*$B$75</f>
        <v>-1747.1470626088</v>
      </c>
      <c r="ADO101" s="0" t="n">
        <f aca="false">-ADO99*$B$75</f>
        <v>-1704.83417841734</v>
      </c>
      <c r="ADP101" s="0" t="n">
        <f aca="false">-ADP99*$B$75</f>
        <v>-2048.96960591433</v>
      </c>
      <c r="ADQ101" s="0" t="n">
        <f aca="false">-ADQ99*$B$75</f>
        <v>-2226.7732082527</v>
      </c>
      <c r="ADR101" s="0" t="n">
        <f aca="false">-ADR99*$B$75</f>
        <v>-2237.16954135322</v>
      </c>
      <c r="ADS101" s="0" t="n">
        <f aca="false">-ADS99*$B$75</f>
        <v>-2302.96032837649</v>
      </c>
      <c r="ADT101" s="0" t="n">
        <f aca="false">-ADT99*$B$75</f>
        <v>-2322.85847231155</v>
      </c>
      <c r="ADU101" s="0" t="n">
        <f aca="false">-ADU99*$B$75</f>
        <v>-1936.55368763256</v>
      </c>
      <c r="ADV101" s="0" t="n">
        <f aca="false">-ADV99*$B$75</f>
        <v>-1927.86028737962</v>
      </c>
      <c r="ADW101" s="0" t="n">
        <f aca="false">-ADW99*$B$75</f>
        <v>-1410.54740842446</v>
      </c>
      <c r="ADX101" s="0" t="n">
        <f aca="false">-ADX99*$B$75</f>
        <v>-1504.56136010453</v>
      </c>
      <c r="ADY101" s="0" t="n">
        <f aca="false">-ADY99*$B$75</f>
        <v>-2333.88176491291</v>
      </c>
      <c r="ADZ101" s="0" t="n">
        <f aca="false">-ADZ99*$B$75</f>
        <v>-2058.50255541784</v>
      </c>
      <c r="AEA101" s="0" t="n">
        <f aca="false">-AEA99*$B$75</f>
        <v>-2229.88664110927</v>
      </c>
      <c r="AEB101" s="0" t="n">
        <f aca="false">-AEB99*$B$75</f>
        <v>-1439.42402496834</v>
      </c>
      <c r="AEC101" s="0" t="n">
        <f aca="false">-AEC99*$B$75</f>
        <v>-2164.08251738901</v>
      </c>
      <c r="AED101" s="0" t="n">
        <f aca="false">-AED99*$B$75</f>
        <v>-2534.71091199896</v>
      </c>
      <c r="AEE101" s="0" t="n">
        <f aca="false">-AEE99*$B$75</f>
        <v>-1839.81322851102</v>
      </c>
      <c r="AEF101" s="0" t="n">
        <f aca="false">-AEF99*$B$75</f>
        <v>-2615.04276433838</v>
      </c>
      <c r="AEG101" s="0" t="n">
        <f aca="false">-AEG99*$B$75</f>
        <v>-2109.83957631293</v>
      </c>
      <c r="AEH101" s="0" t="n">
        <f aca="false">-AEH99*$B$75</f>
        <v>-2065.23873716699</v>
      </c>
      <c r="AEI101" s="0" t="n">
        <f aca="false">-AEI99*$B$75</f>
        <v>-1381.59504748512</v>
      </c>
      <c r="AEJ101" s="0" t="n">
        <f aca="false">-AEJ99*$B$75</f>
        <v>-1837.58780367917</v>
      </c>
      <c r="AEK101" s="0" t="n">
        <f aca="false">-AEK99*$B$75</f>
        <v>-2253.00715570903</v>
      </c>
      <c r="AEL101" s="0" t="n">
        <f aca="false">-AEL99*$B$75</f>
        <v>-2022.62511299951</v>
      </c>
      <c r="AEM101" s="0" t="n">
        <f aca="false">-AEM99*$B$75</f>
        <v>-2244.79561045317</v>
      </c>
      <c r="AEN101" s="0" t="n">
        <f aca="false">-AEN99*$B$75</f>
        <v>-1218.58710232115</v>
      </c>
      <c r="AEO101" s="0" t="n">
        <f aca="false">-AEO99*$B$75</f>
        <v>-2130.62153208924</v>
      </c>
      <c r="AEP101" s="0" t="n">
        <f aca="false">-AEP99*$B$75</f>
        <v>-2100.82587115939</v>
      </c>
      <c r="AEQ101" s="0" t="n">
        <f aca="false">-AEQ99*$B$75</f>
        <v>-2250.66464493475</v>
      </c>
      <c r="AER101" s="0" t="n">
        <f aca="false">-AER99*$B$75</f>
        <v>-1131.15734497752</v>
      </c>
      <c r="AES101" s="0" t="n">
        <f aca="false">-AES99*$B$75</f>
        <v>-2129.34096691925</v>
      </c>
      <c r="AET101" s="0" t="n">
        <f aca="false">-AET99*$B$75</f>
        <v>-2206.41974995274</v>
      </c>
      <c r="AEU101" s="0" t="n">
        <f aca="false">-AEU99*$B$75</f>
        <v>-2179.52183402559</v>
      </c>
      <c r="AEV101" s="0" t="n">
        <f aca="false">-AEV99*$B$75</f>
        <v>-2325.19190396081</v>
      </c>
      <c r="AEW101" s="0" t="n">
        <f aca="false">-AEW99*$B$75</f>
        <v>-2322.44887976192</v>
      </c>
      <c r="AEX101" s="0" t="n">
        <f aca="false">-AEX99*$B$75</f>
        <v>-2275.02574146424</v>
      </c>
      <c r="AEY101" s="0" t="n">
        <f aca="false">-AEY99*$B$75</f>
        <v>-1631.78680256559</v>
      </c>
      <c r="AEZ101" s="0" t="n">
        <f aca="false">-AEZ99*$B$75</f>
        <v>-2406.1477546194</v>
      </c>
      <c r="AFA101" s="0" t="n">
        <f aca="false">-AFA99*$B$75</f>
        <v>-2050.74934684803</v>
      </c>
      <c r="AFB101" s="0" t="n">
        <f aca="false">-AFB99*$B$75</f>
        <v>-1826.19231755764</v>
      </c>
      <c r="AFC101" s="0" t="n">
        <f aca="false">-AFC99*$B$75</f>
        <v>-1919.53209222146</v>
      </c>
      <c r="AFD101" s="0" t="n">
        <f aca="false">-AFD99*$B$75</f>
        <v>-2043.10477431572</v>
      </c>
      <c r="AFE101" s="0" t="n">
        <f aca="false">-AFE99*$B$75</f>
        <v>-1122.92568126322</v>
      </c>
      <c r="AFF101" s="0" t="n">
        <f aca="false">-AFF99*$B$75</f>
        <v>-2066.70812336434</v>
      </c>
      <c r="AFG101" s="0" t="n">
        <f aca="false">-AFG99*$B$75</f>
        <v>-1721.76320117652</v>
      </c>
      <c r="AFH101" s="0" t="n">
        <f aca="false">-AFH99*$B$75</f>
        <v>-2065.32439355685</v>
      </c>
      <c r="AFI101" s="0" t="n">
        <f aca="false">-AFI99*$B$75</f>
        <v>-1989.53571042338</v>
      </c>
      <c r="AFJ101" s="0" t="n">
        <f aca="false">-AFJ99*$B$75</f>
        <v>-1881.96441112397</v>
      </c>
      <c r="AFK101" s="0" t="n">
        <f aca="false">-AFK99*$B$75</f>
        <v>-2281.35997119391</v>
      </c>
      <c r="AFL101" s="0" t="n">
        <f aca="false">-AFL99*$B$75</f>
        <v>-2204.86586498576</v>
      </c>
      <c r="AFM101" s="0" t="n">
        <f aca="false">-AFM99*$B$75</f>
        <v>-1458.60104305375</v>
      </c>
      <c r="AFN101" s="0" t="n">
        <f aca="false">-AFN99*$B$75</f>
        <v>-1956.78687679104</v>
      </c>
      <c r="AFO101" s="0" t="n">
        <f aca="false">-AFO99*$B$75</f>
        <v>-2291.09962742511</v>
      </c>
      <c r="AFP101" s="0" t="n">
        <f aca="false">-AFP99*$B$75</f>
        <v>-1988.08828519427</v>
      </c>
      <c r="AFQ101" s="0" t="n">
        <f aca="false">-AFQ99*$B$75</f>
        <v>-2074.51028691669</v>
      </c>
      <c r="AFR101" s="0" t="n">
        <f aca="false">-AFR99*$B$75</f>
        <v>-2415.97060021588</v>
      </c>
      <c r="AFS101" s="0" t="n">
        <f aca="false">-AFS99*$B$75</f>
        <v>-1637.07704495368</v>
      </c>
      <c r="AFT101" s="0" t="n">
        <f aca="false">-AFT99*$B$75</f>
        <v>-1358.18071625081</v>
      </c>
      <c r="AFU101" s="0" t="n">
        <f aca="false">-AFU99*$B$75</f>
        <v>-2630.59273055741</v>
      </c>
      <c r="AFV101" s="0" t="n">
        <f aca="false">-AFV99*$B$75</f>
        <v>-1605.81276931259</v>
      </c>
      <c r="AFW101" s="0" t="n">
        <f aca="false">-AFW99*$B$75</f>
        <v>-2035.24372943779</v>
      </c>
      <c r="AFX101" s="0" t="n">
        <f aca="false">-AFX99*$B$75</f>
        <v>-1334.89261909804</v>
      </c>
      <c r="AFY101" s="0" t="n">
        <f aca="false">-AFY99*$B$75</f>
        <v>-1965.5547136286</v>
      </c>
      <c r="AFZ101" s="0" t="n">
        <f aca="false">-AFZ99*$B$75</f>
        <v>-1856.8027477158</v>
      </c>
      <c r="AGA101" s="0" t="n">
        <f aca="false">-AGA99*$B$75</f>
        <v>-1907.59418339195</v>
      </c>
      <c r="AGB101" s="0" t="n">
        <f aca="false">-AGB99*$B$75</f>
        <v>-2206.08533748232</v>
      </c>
      <c r="AGC101" s="0" t="n">
        <f aca="false">-AGC99*$B$75</f>
        <v>-2000.49612269404</v>
      </c>
      <c r="AGD101" s="0" t="n">
        <f aca="false">-AGD99*$B$75</f>
        <v>-2298.01951164596</v>
      </c>
      <c r="AGE101" s="0" t="n">
        <f aca="false">-AGE99*$B$75</f>
        <v>-1338.52074052941</v>
      </c>
      <c r="AGF101" s="0" t="n">
        <f aca="false">-AGF99*$B$75</f>
        <v>-1770.95201151089</v>
      </c>
      <c r="AGG101" s="0" t="n">
        <f aca="false">-AGG99*$B$75</f>
        <v>-2113.47396620868</v>
      </c>
      <c r="AGH101" s="0" t="n">
        <f aca="false">-AGH99*$B$75</f>
        <v>-1710.80735114501</v>
      </c>
      <c r="AGI101" s="0" t="n">
        <f aca="false">-AGI99*$B$75</f>
        <v>-1577.07353180817</v>
      </c>
      <c r="AGJ101" s="0" t="n">
        <f aca="false">-AGJ99*$B$75</f>
        <v>-1590.569728357</v>
      </c>
      <c r="AGK101" s="0" t="n">
        <f aca="false">-AGK99*$B$75</f>
        <v>-1741.95047902927</v>
      </c>
      <c r="AGL101" s="0" t="n">
        <f aca="false">-AGL99*$B$75</f>
        <v>-1567.6902586366</v>
      </c>
      <c r="AGM101" s="0" t="n">
        <f aca="false">-AGM99*$B$75</f>
        <v>-2108.94794556794</v>
      </c>
      <c r="AGN101" s="0" t="n">
        <f aca="false">-AGN99*$B$75</f>
        <v>-1832.11577362486</v>
      </c>
      <c r="AGO101" s="0" t="n">
        <f aca="false">-AGO99*$B$75</f>
        <v>-1708.47549940474</v>
      </c>
      <c r="AGP101" s="0" t="n">
        <f aca="false">-AGP99*$B$75</f>
        <v>-1612.80014810198</v>
      </c>
      <c r="AGQ101" s="0" t="n">
        <f aca="false">-AGQ99*$B$75</f>
        <v>-2107.90188462539</v>
      </c>
      <c r="AGR101" s="0" t="n">
        <f aca="false">-AGR99*$B$75</f>
        <v>-1943.11453357641</v>
      </c>
      <c r="AGS101" s="0" t="n">
        <f aca="false">-AGS99*$B$75</f>
        <v>-2477.06315737284</v>
      </c>
      <c r="AGT101" s="0" t="n">
        <f aca="false">-AGT99*$B$75</f>
        <v>-1460.19363853077</v>
      </c>
      <c r="AGU101" s="0" t="n">
        <f aca="false">-AGU99*$B$75</f>
        <v>-2314.05982585228</v>
      </c>
      <c r="AGV101" s="0" t="n">
        <f aca="false">-AGV99*$B$75</f>
        <v>-2023.40512272972</v>
      </c>
      <c r="AGW101" s="0" t="n">
        <f aca="false">-AGW99*$B$75</f>
        <v>-2015.41946731534</v>
      </c>
      <c r="AGX101" s="0" t="n">
        <f aca="false">-AGX99*$B$75</f>
        <v>-1187.19546385552</v>
      </c>
      <c r="AGY101" s="0" t="n">
        <f aca="false">-AGY99*$B$75</f>
        <v>-1891.53807106862</v>
      </c>
      <c r="AGZ101" s="0" t="n">
        <f aca="false">-AGZ99*$B$75</f>
        <v>-1531.59459417053</v>
      </c>
      <c r="AHA101" s="0" t="n">
        <f aca="false">-AHA99*$B$75</f>
        <v>-845.617569947447</v>
      </c>
      <c r="AHB101" s="0" t="n">
        <f aca="false">-AHB99*$B$75</f>
        <v>-2001.16131068189</v>
      </c>
      <c r="AHC101" s="0" t="n">
        <f aca="false">-AHC99*$B$75</f>
        <v>-1468.89972172359</v>
      </c>
      <c r="AHD101" s="0" t="n">
        <f aca="false">-AHD99*$B$75</f>
        <v>-1517.76506386092</v>
      </c>
      <c r="AHE101" s="0" t="n">
        <f aca="false">-AHE99*$B$75</f>
        <v>-2246.19295431851</v>
      </c>
      <c r="AHF101" s="0" t="n">
        <f aca="false">-AHF99*$B$75</f>
        <v>-1244.07548340835</v>
      </c>
      <c r="AHG101" s="0" t="n">
        <f aca="false">-AHG99*$B$75</f>
        <v>-2209.81040023736</v>
      </c>
      <c r="AHH101" s="0" t="n">
        <f aca="false">-AHH99*$B$75</f>
        <v>-2300.93927178505</v>
      </c>
      <c r="AHI101" s="0" t="n">
        <f aca="false">-AHI99*$B$75</f>
        <v>-1616.65730977755</v>
      </c>
      <c r="AHJ101" s="0" t="n">
        <f aca="false">-AHJ99*$B$75</f>
        <v>-2328.27808714817</v>
      </c>
      <c r="AHK101" s="0" t="n">
        <f aca="false">-AHK99*$B$75</f>
        <v>-1652.82502803011</v>
      </c>
      <c r="AHL101" s="0" t="n">
        <f aca="false">-AHL99*$B$75</f>
        <v>-1746.45434775295</v>
      </c>
      <c r="AHM101" s="0" t="n">
        <f aca="false">-AHM99*$B$75</f>
        <v>-2133.32210037316</v>
      </c>
      <c r="AHN101" s="0" t="n">
        <f aca="false">-AHN99*$B$75</f>
        <v>-1719.80087573373</v>
      </c>
      <c r="AHO101" s="0" t="n">
        <f aca="false">-AHO99*$B$75</f>
        <v>-2017.97853293375</v>
      </c>
      <c r="AHP101" s="0" t="n">
        <f aca="false">-AHP99*$B$75</f>
        <v>-1068.59044416551</v>
      </c>
      <c r="AHQ101" s="0" t="n">
        <f aca="false">-AHQ99*$B$75</f>
        <v>-1995.29214348231</v>
      </c>
      <c r="AHR101" s="0" t="n">
        <f aca="false">-AHR99*$B$75</f>
        <v>-1303.93956167428</v>
      </c>
      <c r="AHS101" s="0" t="n">
        <f aca="false">-AHS99*$B$75</f>
        <v>-2248.11192998014</v>
      </c>
      <c r="AHT101" s="0" t="n">
        <f aca="false">-AHT99*$B$75</f>
        <v>-1826.99542184555</v>
      </c>
      <c r="AHU101" s="0" t="n">
        <f aca="false">-AHU99*$B$75</f>
        <v>-2416.75248132965</v>
      </c>
      <c r="AHV101" s="0" t="n">
        <f aca="false">-AHV99*$B$75</f>
        <v>-1969.36009660389</v>
      </c>
      <c r="AHW101" s="0" t="n">
        <f aca="false">-AHW99*$B$75</f>
        <v>-2351.3898453315</v>
      </c>
      <c r="AHX101" s="0" t="n">
        <f aca="false">-AHX99*$B$75</f>
        <v>-1502.90529979301</v>
      </c>
      <c r="AHY101" s="0" t="n">
        <f aca="false">-AHY99*$B$75</f>
        <v>-1699.93326179501</v>
      </c>
      <c r="AHZ101" s="0" t="n">
        <f aca="false">-AHZ99*$B$75</f>
        <v>-2226.09273156185</v>
      </c>
      <c r="AIA101" s="0" t="n">
        <f aca="false">-AIA99*$B$75</f>
        <v>-1747.82625834123</v>
      </c>
      <c r="AIB101" s="0" t="n">
        <f aca="false">-AIB99*$B$75</f>
        <v>-2395.55674686981</v>
      </c>
      <c r="AIC101" s="0" t="n">
        <f aca="false">-AIC99*$B$75</f>
        <v>-2225.63166896126</v>
      </c>
      <c r="AID101" s="0" t="n">
        <f aca="false">-AID99*$B$75</f>
        <v>-1308.47849007995</v>
      </c>
      <c r="AIE101" s="0" t="n">
        <f aca="false">-AIE99*$B$75</f>
        <v>-1832.18896807142</v>
      </c>
      <c r="AIF101" s="0" t="n">
        <f aca="false">-AIF99*$B$75</f>
        <v>-2267.27154621806</v>
      </c>
      <c r="AIG101" s="0" t="n">
        <f aca="false">-AIG99*$B$75</f>
        <v>-1970.39545861008</v>
      </c>
      <c r="AIH101" s="0" t="n">
        <f aca="false">-AIH99*$B$75</f>
        <v>-2546.42783537372</v>
      </c>
      <c r="AII101" s="0" t="n">
        <f aca="false">-AII99*$B$75</f>
        <v>-1868.75556853849</v>
      </c>
      <c r="AIJ101" s="0" t="n">
        <f aca="false">-AIJ99*$B$75</f>
        <v>-2320.98383773662</v>
      </c>
      <c r="AIK101" s="0" t="n">
        <f aca="false">-AIK99*$B$75</f>
        <v>-1883.43012942291</v>
      </c>
      <c r="AIL101" s="0" t="n">
        <f aca="false">-AIL99*$B$75</f>
        <v>-2075.61931164375</v>
      </c>
      <c r="AIM101" s="0" t="n">
        <f aca="false">-AIM99*$B$75</f>
        <v>-1927.61810778849</v>
      </c>
      <c r="AIN101" s="0" t="n">
        <f aca="false">-AIN99*$B$75</f>
        <v>-2454.24051761334</v>
      </c>
      <c r="AIO101" s="0" t="n">
        <f aca="false">-AIO99*$B$75</f>
        <v>-1570.95249416294</v>
      </c>
      <c r="AIP101" s="0" t="n">
        <f aca="false">-AIP99*$B$75</f>
        <v>-1671.1703345654</v>
      </c>
      <c r="AIQ101" s="0" t="n">
        <f aca="false">-AIQ99*$B$75</f>
        <v>-1985.83424591279</v>
      </c>
      <c r="AIR101" s="0" t="n">
        <f aca="false">-AIR99*$B$75</f>
        <v>-1655.39954390706</v>
      </c>
      <c r="AIS101" s="0" t="n">
        <f aca="false">-AIS99*$B$75</f>
        <v>-1619.61744082829</v>
      </c>
      <c r="AIT101" s="0" t="n">
        <f aca="false">-AIT99*$B$75</f>
        <v>-1925.52983868212</v>
      </c>
      <c r="AIU101" s="0" t="n">
        <f aca="false">-AIU99*$B$75</f>
        <v>-2237.59316539818</v>
      </c>
      <c r="AIV101" s="0" t="n">
        <f aca="false">-AIV99*$B$75</f>
        <v>-1855.68902395307</v>
      </c>
      <c r="AIW101" s="0" t="n">
        <f aca="false">-AIW99*$B$75</f>
        <v>-415.645757229788</v>
      </c>
      <c r="AIX101" s="0" t="n">
        <f aca="false">-AIX99*$B$75</f>
        <v>-2339.10809063879</v>
      </c>
      <c r="AIY101" s="0" t="n">
        <f aca="false">-AIY99*$B$75</f>
        <v>-1987.49281974324</v>
      </c>
      <c r="AIZ101" s="0" t="n">
        <f aca="false">-AIZ99*$B$75</f>
        <v>-1852.24523420857</v>
      </c>
      <c r="AJA101" s="0" t="n">
        <f aca="false">-AJA99*$B$75</f>
        <v>-1504.59549369194</v>
      </c>
      <c r="AJB101" s="0" t="n">
        <f aca="false">-AJB99*$B$75</f>
        <v>-1669.83287004622</v>
      </c>
      <c r="AJC101" s="0" t="n">
        <f aca="false">-AJC99*$B$75</f>
        <v>-2326.47529263409</v>
      </c>
      <c r="AJD101" s="0" t="n">
        <f aca="false">-AJD99*$B$75</f>
        <v>-2123.96635620926</v>
      </c>
      <c r="AJE101" s="0" t="n">
        <f aca="false">-AJE99*$B$75</f>
        <v>-1584.80724099055</v>
      </c>
      <c r="AJF101" s="0" t="n">
        <f aca="false">-AJF99*$B$75</f>
        <v>-1927.02289688696</v>
      </c>
      <c r="AJG101" s="0" t="n">
        <f aca="false">-AJG99*$B$75</f>
        <v>-1907.64489849177</v>
      </c>
      <c r="AJH101" s="0" t="n">
        <f aca="false">-AJH99*$B$75</f>
        <v>-2111.02274559164</v>
      </c>
      <c r="AJI101" s="0" t="n">
        <f aca="false">-AJI99*$B$75</f>
        <v>-2201.9458325645</v>
      </c>
      <c r="AJJ101" s="0" t="n">
        <f aca="false">-AJJ99*$B$75</f>
        <v>-2074.62746232337</v>
      </c>
      <c r="AJK101" s="0" t="n">
        <f aca="false">-AJK99*$B$75</f>
        <v>-1945.91356818114</v>
      </c>
      <c r="AJL101" s="0" t="n">
        <f aca="false">-AJL99*$B$75</f>
        <v>-1750.30059037127</v>
      </c>
      <c r="AJM101" s="0" t="n">
        <f aca="false">-AJM99*$B$75</f>
        <v>-1741.87235071637</v>
      </c>
      <c r="AJN101" s="0" t="n">
        <f aca="false">-AJN99*$B$75</f>
        <v>-1918.44321424138</v>
      </c>
      <c r="AJO101" s="0" t="n">
        <f aca="false">-AJO99*$B$75</f>
        <v>-1840.27295176705</v>
      </c>
      <c r="AJP101" s="0" t="n">
        <f aca="false">-AJP99*$B$75</f>
        <v>-1530.67172797592</v>
      </c>
      <c r="AJQ101" s="0" t="n">
        <f aca="false">-AJQ99*$B$75</f>
        <v>-1795.81296222707</v>
      </c>
      <c r="AJR101" s="0" t="n">
        <f aca="false">-AJR99*$B$75</f>
        <v>-2175.50334017097</v>
      </c>
      <c r="AJS101" s="0" t="n">
        <f aca="false">-AJS99*$B$75</f>
        <v>-1873.00151361492</v>
      </c>
      <c r="AJT101" s="0" t="n">
        <f aca="false">-AJT99*$B$75</f>
        <v>-2403.00543165532</v>
      </c>
      <c r="AJU101" s="0" t="n">
        <f aca="false">-AJU99*$B$75</f>
        <v>-942.827621616963</v>
      </c>
      <c r="AJV101" s="0" t="n">
        <f aca="false">-AJV99*$B$75</f>
        <v>-2040.56443512992</v>
      </c>
      <c r="AJW101" s="0" t="n">
        <f aca="false">-AJW99*$B$75</f>
        <v>-2187.91465091899</v>
      </c>
      <c r="AJX101" s="0" t="n">
        <f aca="false">-AJX99*$B$75</f>
        <v>-2029.43416491612</v>
      </c>
      <c r="AJY101" s="0" t="n">
        <f aca="false">-AJY99*$B$75</f>
        <v>-1662.73392283703</v>
      </c>
      <c r="AJZ101" s="0" t="n">
        <f aca="false">-AJZ99*$B$75</f>
        <v>-2478.80276968339</v>
      </c>
      <c r="AKA101" s="0" t="n">
        <f aca="false">-AKA99*$B$75</f>
        <v>-1401.95979090819</v>
      </c>
      <c r="AKB101" s="0" t="n">
        <f aca="false">-AKB99*$B$75</f>
        <v>-2624.56394614456</v>
      </c>
      <c r="AKC101" s="0" t="n">
        <f aca="false">-AKC99*$B$75</f>
        <v>-1815.6935783795</v>
      </c>
      <c r="AKD101" s="0" t="n">
        <f aca="false">-AKD99*$B$75</f>
        <v>-2389.31630146277</v>
      </c>
      <c r="AKE101" s="0" t="n">
        <f aca="false">-AKE99*$B$75</f>
        <v>-2048.68092080324</v>
      </c>
      <c r="AKF101" s="0" t="n">
        <f aca="false">-AKF99*$B$75</f>
        <v>-1326.23892907539</v>
      </c>
      <c r="AKG101" s="0" t="n">
        <f aca="false">-AKG99*$B$75</f>
        <v>-2012.76371203464</v>
      </c>
      <c r="AKH101" s="0" t="n">
        <f aca="false">-AKH99*$B$75</f>
        <v>-1730.45114858082</v>
      </c>
      <c r="AKI101" s="0" t="n">
        <f aca="false">-AKI99*$B$75</f>
        <v>-2268.02981925963</v>
      </c>
      <c r="AKJ101" s="0" t="n">
        <f aca="false">-AKJ99*$B$75</f>
        <v>-2207.86986198287</v>
      </c>
      <c r="AKK101" s="0" t="n">
        <f aca="false">-AKK99*$B$75</f>
        <v>-2137.92062632996</v>
      </c>
      <c r="AKL101" s="0" t="n">
        <f aca="false">-AKL99*$B$75</f>
        <v>-2404.21779555113</v>
      </c>
      <c r="AKM101" s="0" t="n">
        <f aca="false">-AKM99*$B$75</f>
        <v>-1771.8262185098</v>
      </c>
      <c r="AKN101" s="0" t="n">
        <f aca="false">-AKN99*$B$75</f>
        <v>-1659.32577089942</v>
      </c>
      <c r="AKO101" s="0" t="n">
        <f aca="false">-AKO99*$B$75</f>
        <v>-1734.00505157301</v>
      </c>
      <c r="AKP101" s="0" t="n">
        <f aca="false">-AKP99*$B$75</f>
        <v>-2379.69392037311</v>
      </c>
      <c r="AKQ101" s="0" t="n">
        <f aca="false">-AKQ99*$B$75</f>
        <v>-1656.03101580753</v>
      </c>
      <c r="AKR101" s="0" t="n">
        <f aca="false">-AKR99*$B$75</f>
        <v>-1894.89650824529</v>
      </c>
      <c r="AKS101" s="0" t="n">
        <f aca="false">-AKS99*$B$75</f>
        <v>-2212.37053781969</v>
      </c>
      <c r="AKT101" s="0" t="n">
        <f aca="false">-AKT99*$B$75</f>
        <v>-1876.22337510656</v>
      </c>
      <c r="AKU101" s="0" t="n">
        <f aca="false">-AKU99*$B$75</f>
        <v>-2084.94804054662</v>
      </c>
      <c r="AKV101" s="0" t="n">
        <f aca="false">-AKV99*$B$75</f>
        <v>-1637.55833671841</v>
      </c>
      <c r="AKW101" s="0" t="n">
        <f aca="false">-AKW99*$B$75</f>
        <v>-2139.09180486095</v>
      </c>
      <c r="AKX101" s="0" t="n">
        <f aca="false">-AKX99*$B$75</f>
        <v>-1976.64767772199</v>
      </c>
      <c r="AKY101" s="0" t="n">
        <f aca="false">-AKY99*$B$75</f>
        <v>-987.291303739413</v>
      </c>
      <c r="AKZ101" s="0" t="n">
        <f aca="false">-AKZ99*$B$75</f>
        <v>-2588.01753771503</v>
      </c>
      <c r="ALA101" s="0" t="n">
        <f aca="false">-ALA99*$B$75</f>
        <v>-2156.32148617253</v>
      </c>
      <c r="ALB101" s="0" t="n">
        <f aca="false">-ALB99*$B$75</f>
        <v>-1543.76955616086</v>
      </c>
      <c r="ALC101" s="0" t="n">
        <f aca="false">-ALC99*$B$75</f>
        <v>-1908.52040517874</v>
      </c>
      <c r="ALD101" s="0" t="n">
        <f aca="false">-ALD99*$B$75</f>
        <v>-2119.74793705487</v>
      </c>
      <c r="ALE101" s="0" t="n">
        <f aca="false">-ALE99*$B$75</f>
        <v>-2012.94146751843</v>
      </c>
      <c r="ALF101" s="0" t="n">
        <f aca="false">-ALF99*$B$75</f>
        <v>-2278.52993492003</v>
      </c>
      <c r="ALG101" s="0" t="n">
        <f aca="false">-ALG99*$B$75</f>
        <v>-1612.96847653228</v>
      </c>
      <c r="ALH101" s="0" t="n">
        <f aca="false">-ALH99*$B$75</f>
        <v>-1186.74504406535</v>
      </c>
      <c r="ALI101" s="0" t="n">
        <f aca="false">-ALI99*$B$75</f>
        <v>-1645.72288085691</v>
      </c>
      <c r="ALJ101" s="0" t="n">
        <f aca="false">-ALJ99*$B$75</f>
        <v>-1828.41035464298</v>
      </c>
      <c r="ALK101" s="0" t="n">
        <f aca="false">-ALK99*$B$75</f>
        <v>-2244.28509803131</v>
      </c>
      <c r="ALL101" s="0" t="n">
        <f aca="false">-ALL99*$B$75</f>
        <v>-2370.44148856103</v>
      </c>
      <c r="ALM101" s="0" t="n">
        <f aca="false">-ALM99*$B$75</f>
        <v>-2105.37284830755</v>
      </c>
    </row>
    <row r="102" customFormat="false" ht="14.5" hidden="false" customHeight="false" outlineLevel="0" collapsed="false">
      <c r="A102" s="20" t="s">
        <v>93</v>
      </c>
      <c r="B102" s="0" t="n">
        <f aca="false">B99+B101</f>
        <v>3135.32990713387</v>
      </c>
      <c r="C102" s="0" t="n">
        <f aca="false">C99+C101</f>
        <v>2925.95878914909</v>
      </c>
      <c r="D102" s="0" t="n">
        <f aca="false">D99+D101</f>
        <v>1762.35294459661</v>
      </c>
      <c r="E102" s="0" t="n">
        <f aca="false">E99+E101</f>
        <v>2783.30286092213</v>
      </c>
      <c r="F102" s="0" t="n">
        <f aca="false">F99+F101</f>
        <v>3031.15836176485</v>
      </c>
      <c r="G102" s="0" t="n">
        <f aca="false">G99+G101</f>
        <v>2708.72994390758</v>
      </c>
      <c r="H102" s="0" t="n">
        <f aca="false">H99+H101</f>
        <v>2796.00856446839</v>
      </c>
      <c r="I102" s="0" t="n">
        <f aca="false">I99+I101</f>
        <v>1914.88208941652</v>
      </c>
      <c r="J102" s="0" t="n">
        <f aca="false">J99+J101</f>
        <v>2824.21523197342</v>
      </c>
      <c r="K102" s="0" t="n">
        <f aca="false">K99+K101</f>
        <v>3247.78201783527</v>
      </c>
      <c r="L102" s="0" t="n">
        <f aca="false">L99+L101</f>
        <v>2919.94201096586</v>
      </c>
      <c r="M102" s="0" t="n">
        <f aca="false">M99+M101</f>
        <v>2615.74484802292</v>
      </c>
      <c r="N102" s="0" t="n">
        <f aca="false">N99+N101</f>
        <v>3415.53133762867</v>
      </c>
      <c r="O102" s="0" t="n">
        <f aca="false">O99+O101</f>
        <v>3617.39428975355</v>
      </c>
      <c r="P102" s="0" t="n">
        <f aca="false">P99+P101</f>
        <v>2582.37184008915</v>
      </c>
      <c r="Q102" s="0" t="n">
        <f aca="false">Q99+Q101</f>
        <v>3287.16443134287</v>
      </c>
      <c r="R102" s="0" t="n">
        <f aca="false">R99+R101</f>
        <v>3616.17538151987</v>
      </c>
      <c r="S102" s="0" t="n">
        <f aca="false">S99+S101</f>
        <v>3250.47307411398</v>
      </c>
      <c r="T102" s="0" t="n">
        <f aca="false">T99+T101</f>
        <v>3375.95472790066</v>
      </c>
      <c r="U102" s="0" t="n">
        <f aca="false">U99+U101</f>
        <v>3590.76523812193</v>
      </c>
      <c r="V102" s="0" t="n">
        <f aca="false">V99+V101</f>
        <v>3268.33242421696</v>
      </c>
      <c r="W102" s="0" t="n">
        <f aca="false">W99+W101</f>
        <v>2662.06910279747</v>
      </c>
      <c r="X102" s="0" t="n">
        <f aca="false">X99+X101</f>
        <v>2450.98434204805</v>
      </c>
      <c r="Y102" s="0" t="n">
        <f aca="false">Y99+Y101</f>
        <v>3051.39715421702</v>
      </c>
      <c r="Z102" s="0" t="n">
        <f aca="false">Z99+Z101</f>
        <v>1660.31545318265</v>
      </c>
      <c r="AA102" s="0" t="n">
        <f aca="false">AA99+AA101</f>
        <v>1627.1243097744</v>
      </c>
      <c r="AB102" s="0" t="n">
        <f aca="false">AB99+AB101</f>
        <v>1297.46506346793</v>
      </c>
      <c r="AC102" s="0" t="n">
        <f aca="false">AC99+AC101</f>
        <v>3634.22603626298</v>
      </c>
      <c r="AD102" s="0" t="n">
        <f aca="false">AD99+AD101</f>
        <v>2182.67430763853</v>
      </c>
      <c r="AE102" s="0" t="n">
        <f aca="false">AE99+AE101</f>
        <v>2977.78564014226</v>
      </c>
      <c r="AF102" s="0" t="n">
        <f aca="false">AF99+AF101</f>
        <v>3087.45584496637</v>
      </c>
      <c r="AG102" s="0" t="n">
        <f aca="false">AG99+AG101</f>
        <v>2702.7180117411</v>
      </c>
      <c r="AH102" s="0" t="n">
        <f aca="false">AH99+AH101</f>
        <v>3053.88472480372</v>
      </c>
      <c r="AI102" s="0" t="n">
        <f aca="false">AI99+AI101</f>
        <v>3194.31855916129</v>
      </c>
      <c r="AJ102" s="0" t="n">
        <f aca="false">AJ99+AJ101</f>
        <v>2105.69015024453</v>
      </c>
      <c r="AK102" s="0" t="n">
        <f aca="false">AK99+AK101</f>
        <v>2709.22750340107</v>
      </c>
      <c r="AL102" s="0" t="n">
        <f aca="false">AL99+AL101</f>
        <v>2127.73187901123</v>
      </c>
      <c r="AM102" s="0" t="n">
        <f aca="false">AM99+AM101</f>
        <v>2033.78449102466</v>
      </c>
      <c r="AN102" s="0" t="n">
        <f aca="false">AN99+AN101</f>
        <v>3051.03529788718</v>
      </c>
      <c r="AO102" s="0" t="n">
        <f aca="false">AO99+AO101</f>
        <v>3835.51558021976</v>
      </c>
      <c r="AP102" s="0" t="n">
        <f aca="false">AP99+AP101</f>
        <v>3187.77596178737</v>
      </c>
      <c r="AQ102" s="0" t="n">
        <f aca="false">AQ99+AQ101</f>
        <v>2813.67677224922</v>
      </c>
      <c r="AR102" s="0" t="n">
        <f aca="false">AR99+AR101</f>
        <v>3710.87240440553</v>
      </c>
      <c r="AS102" s="0" t="n">
        <f aca="false">AS99+AS101</f>
        <v>2897.44690733424</v>
      </c>
      <c r="AT102" s="0" t="n">
        <f aca="false">AT99+AT101</f>
        <v>3038.99610857086</v>
      </c>
      <c r="AU102" s="0" t="n">
        <f aca="false">AU99+AU101</f>
        <v>2794.79931060658</v>
      </c>
      <c r="AV102" s="0" t="n">
        <f aca="false">AV99+AV101</f>
        <v>2085.95930521636</v>
      </c>
      <c r="AW102" s="0" t="n">
        <f aca="false">AW99+AW101</f>
        <v>2962.36847537411</v>
      </c>
      <c r="AX102" s="0" t="n">
        <f aca="false">AX99+AX101</f>
        <v>3553.8493581562</v>
      </c>
      <c r="AY102" s="0" t="n">
        <f aca="false">AY99+AY101</f>
        <v>2750.50129384778</v>
      </c>
      <c r="AZ102" s="0" t="n">
        <f aca="false">AZ99+AZ101</f>
        <v>1590.33536175256</v>
      </c>
      <c r="BA102" s="0" t="n">
        <f aca="false">BA99+BA101</f>
        <v>3040.67775063363</v>
      </c>
      <c r="BB102" s="0" t="n">
        <f aca="false">BB99+BB101</f>
        <v>3554.43462735185</v>
      </c>
      <c r="BC102" s="0" t="n">
        <f aca="false">BC99+BC101</f>
        <v>2728.74648819712</v>
      </c>
      <c r="BD102" s="0" t="n">
        <f aca="false">BD99+BD101</f>
        <v>3359.839552759</v>
      </c>
      <c r="BE102" s="0" t="n">
        <f aca="false">BE99+BE101</f>
        <v>2984.19672471385</v>
      </c>
      <c r="BF102" s="0" t="n">
        <f aca="false">BF99+BF101</f>
        <v>3239.14576475608</v>
      </c>
      <c r="BG102" s="0" t="n">
        <f aca="false">BG99+BG101</f>
        <v>2087.20635714242</v>
      </c>
      <c r="BH102" s="0" t="n">
        <f aca="false">BH99+BH101</f>
        <v>3219.56099752255</v>
      </c>
      <c r="BI102" s="0" t="n">
        <f aca="false">BI99+BI101</f>
        <v>1615.18459190255</v>
      </c>
      <c r="BJ102" s="0" t="n">
        <f aca="false">BJ99+BJ101</f>
        <v>2646.59052155982</v>
      </c>
      <c r="BK102" s="0" t="n">
        <f aca="false">BK99+BK101</f>
        <v>2512.10740549895</v>
      </c>
      <c r="BL102" s="0" t="n">
        <f aca="false">BL99+BL101</f>
        <v>2684.08046323669</v>
      </c>
      <c r="BM102" s="0" t="n">
        <f aca="false">BM99+BM101</f>
        <v>3624.73601075824</v>
      </c>
      <c r="BN102" s="0" t="n">
        <f aca="false">BN99+BN101</f>
        <v>3674.07926712302</v>
      </c>
      <c r="BO102" s="0" t="n">
        <f aca="false">BO99+BO101</f>
        <v>3207.19850236589</v>
      </c>
      <c r="BP102" s="0" t="n">
        <f aca="false">BP99+BP101</f>
        <v>3054.72010454922</v>
      </c>
      <c r="BQ102" s="0" t="n">
        <f aca="false">BQ99+BQ101</f>
        <v>3290.57069359308</v>
      </c>
      <c r="BR102" s="0" t="n">
        <f aca="false">BR99+BR101</f>
        <v>2992.87569091552</v>
      </c>
      <c r="BS102" s="0" t="n">
        <f aca="false">BS99+BS101</f>
        <v>3374.38638357983</v>
      </c>
      <c r="BT102" s="0" t="n">
        <f aca="false">BT99+BT101</f>
        <v>2638.14985212166</v>
      </c>
      <c r="BU102" s="0" t="n">
        <f aca="false">BU99+BU101</f>
        <v>3631.25895359862</v>
      </c>
      <c r="BV102" s="0" t="n">
        <f aca="false">BV99+BV101</f>
        <v>2727.09072856698</v>
      </c>
      <c r="BW102" s="0" t="n">
        <f aca="false">BW99+BW101</f>
        <v>3196.47598634345</v>
      </c>
      <c r="BX102" s="0" t="n">
        <f aca="false">BX99+BX101</f>
        <v>3330.84643241832</v>
      </c>
      <c r="BY102" s="0" t="n">
        <f aca="false">BY99+BY101</f>
        <v>3419.70525052788</v>
      </c>
      <c r="BZ102" s="0" t="n">
        <f aca="false">BZ99+BZ101</f>
        <v>2275.82281417671</v>
      </c>
      <c r="CA102" s="0" t="n">
        <f aca="false">CA99+CA101</f>
        <v>2592.2729174799</v>
      </c>
      <c r="CB102" s="0" t="n">
        <f aca="false">CB99+CB101</f>
        <v>3645.17384228026</v>
      </c>
      <c r="CC102" s="0" t="n">
        <f aca="false">CC99+CC101</f>
        <v>1661.99007666487</v>
      </c>
      <c r="CD102" s="0" t="n">
        <f aca="false">CD99+CD101</f>
        <v>691.16512193913</v>
      </c>
      <c r="CE102" s="0" t="n">
        <f aca="false">CE99+CE101</f>
        <v>2326.61534989803</v>
      </c>
      <c r="CF102" s="0" t="n">
        <f aca="false">CF99+CF101</f>
        <v>2339.72557324924</v>
      </c>
      <c r="CG102" s="0" t="n">
        <f aca="false">CG99+CG101</f>
        <v>3948.61138059307</v>
      </c>
      <c r="CH102" s="0" t="n">
        <f aca="false">CH99+CH101</f>
        <v>3181.21448994464</v>
      </c>
      <c r="CI102" s="0" t="n">
        <f aca="false">CI99+CI101</f>
        <v>2104.11401253062</v>
      </c>
      <c r="CJ102" s="0" t="n">
        <f aca="false">CJ99+CJ101</f>
        <v>1486.18861091546</v>
      </c>
      <c r="CK102" s="0" t="n">
        <f aca="false">CK99+CK101</f>
        <v>3141.41038797833</v>
      </c>
      <c r="CL102" s="0" t="n">
        <f aca="false">CL99+CL101</f>
        <v>3252.9721054713</v>
      </c>
      <c r="CM102" s="0" t="n">
        <f aca="false">CM99+CM101</f>
        <v>2128.81959680493</v>
      </c>
      <c r="CN102" s="0" t="n">
        <f aca="false">CN99+CN101</f>
        <v>2526.38992528279</v>
      </c>
      <c r="CO102" s="0" t="n">
        <f aca="false">CO99+CO101</f>
        <v>2706.46350631738</v>
      </c>
      <c r="CP102" s="0" t="n">
        <f aca="false">CP99+CP101</f>
        <v>3579.84895182747</v>
      </c>
      <c r="CQ102" s="0" t="n">
        <f aca="false">CQ99+CQ101</f>
        <v>3107.59160013615</v>
      </c>
      <c r="CR102" s="0" t="n">
        <f aca="false">CR99+CR101</f>
        <v>2815.79386405285</v>
      </c>
      <c r="CS102" s="0" t="n">
        <f aca="false">CS99+CS101</f>
        <v>2873.5247169736</v>
      </c>
      <c r="CT102" s="0" t="n">
        <f aca="false">CT99+CT101</f>
        <v>3647.40310888281</v>
      </c>
      <c r="CU102" s="0" t="n">
        <f aca="false">CU99+CU101</f>
        <v>3287.7000842775</v>
      </c>
      <c r="CV102" s="0" t="n">
        <f aca="false">CV99+CV101</f>
        <v>3561.35735498385</v>
      </c>
      <c r="CW102" s="0" t="n">
        <f aca="false">CW99+CW101</f>
        <v>2985.72859120906</v>
      </c>
      <c r="CX102" s="0" t="n">
        <f aca="false">CX99+CX101</f>
        <v>2780.81440167758</v>
      </c>
      <c r="CY102" s="0" t="n">
        <f aca="false">CY99+CY101</f>
        <v>2844.74254405067</v>
      </c>
      <c r="CZ102" s="0" t="n">
        <f aca="false">CZ99+CZ101</f>
        <v>3024.30999466886</v>
      </c>
      <c r="DA102" s="0" t="n">
        <f aca="false">DA99+DA101</f>
        <v>3593.66352141712</v>
      </c>
      <c r="DB102" s="0" t="n">
        <f aca="false">DB99+DB101</f>
        <v>3374.57665817194</v>
      </c>
      <c r="DC102" s="0" t="n">
        <f aca="false">DC99+DC101</f>
        <v>1890.29467195311</v>
      </c>
      <c r="DD102" s="0" t="n">
        <f aca="false">DD99+DD101</f>
        <v>2906.92681445139</v>
      </c>
      <c r="DE102" s="0" t="n">
        <f aca="false">DE99+DE101</f>
        <v>3059.67756121981</v>
      </c>
      <c r="DF102" s="0" t="n">
        <f aca="false">DF99+DF101</f>
        <v>3160.40030076717</v>
      </c>
      <c r="DG102" s="0" t="n">
        <f aca="false">DG99+DG101</f>
        <v>3204.89518480138</v>
      </c>
      <c r="DH102" s="0" t="n">
        <f aca="false">DH99+DH101</f>
        <v>3267.58816052961</v>
      </c>
      <c r="DI102" s="0" t="n">
        <f aca="false">DI99+DI101</f>
        <v>3508.32054769496</v>
      </c>
      <c r="DJ102" s="0" t="n">
        <f aca="false">DJ99+DJ101</f>
        <v>2972.54859893929</v>
      </c>
      <c r="DK102" s="0" t="n">
        <f aca="false">DK99+DK101</f>
        <v>2646.57837266304</v>
      </c>
      <c r="DL102" s="0" t="n">
        <f aca="false">DL99+DL101</f>
        <v>2452.41643324009</v>
      </c>
      <c r="DM102" s="0" t="n">
        <f aca="false">DM99+DM101</f>
        <v>2555.2504730848</v>
      </c>
      <c r="DN102" s="0" t="n">
        <f aca="false">DN99+DN101</f>
        <v>2197.08666283153</v>
      </c>
      <c r="DO102" s="0" t="n">
        <f aca="false">DO99+DO101</f>
        <v>1025.74281296532</v>
      </c>
      <c r="DP102" s="0" t="n">
        <f aca="false">DP99+DP101</f>
        <v>2174.16343767894</v>
      </c>
      <c r="DQ102" s="0" t="n">
        <f aca="false">DQ99+DQ101</f>
        <v>3127.88115862061</v>
      </c>
      <c r="DR102" s="0" t="n">
        <f aca="false">DR99+DR101</f>
        <v>2554.37485184229</v>
      </c>
      <c r="DS102" s="0" t="n">
        <f aca="false">DS99+DS101</f>
        <v>3707.45166720242</v>
      </c>
      <c r="DT102" s="0" t="n">
        <f aca="false">DT99+DT101</f>
        <v>2061.23655092525</v>
      </c>
      <c r="DU102" s="0" t="n">
        <f aca="false">DU99+DU101</f>
        <v>2386.40595266774</v>
      </c>
      <c r="DV102" s="0" t="n">
        <f aca="false">DV99+DV101</f>
        <v>2472.97062266347</v>
      </c>
      <c r="DW102" s="0" t="n">
        <f aca="false">DW99+DW101</f>
        <v>3699.47729212164</v>
      </c>
      <c r="DX102" s="0" t="n">
        <f aca="false">DX99+DX101</f>
        <v>3437.68141275812</v>
      </c>
      <c r="DY102" s="0" t="n">
        <f aca="false">DY99+DY101</f>
        <v>2737.15114502854</v>
      </c>
      <c r="DZ102" s="0" t="n">
        <f aca="false">DZ99+DZ101</f>
        <v>3686.74173885221</v>
      </c>
      <c r="EA102" s="0" t="n">
        <f aca="false">EA99+EA101</f>
        <v>3356.90550616184</v>
      </c>
      <c r="EB102" s="0" t="n">
        <f aca="false">EB99+EB101</f>
        <v>3251.96725392543</v>
      </c>
      <c r="EC102" s="0" t="n">
        <f aca="false">EC99+EC101</f>
        <v>2913.53791343604</v>
      </c>
      <c r="ED102" s="0" t="n">
        <f aca="false">ED99+ED101</f>
        <v>3649.75871387746</v>
      </c>
      <c r="EE102" s="0" t="n">
        <f aca="false">EE99+EE101</f>
        <v>2157.44681256775</v>
      </c>
      <c r="EF102" s="0" t="n">
        <f aca="false">EF99+EF101</f>
        <v>2809.12022139304</v>
      </c>
      <c r="EG102" s="0" t="n">
        <f aca="false">EG99+EG101</f>
        <v>3340.35276538255</v>
      </c>
      <c r="EH102" s="0" t="n">
        <f aca="false">EH99+EH101</f>
        <v>3063.60713276991</v>
      </c>
      <c r="EI102" s="0" t="n">
        <f aca="false">EI99+EI101</f>
        <v>3576.86592348788</v>
      </c>
      <c r="EJ102" s="0" t="n">
        <f aca="false">EJ99+EJ101</f>
        <v>2563.93423428116</v>
      </c>
      <c r="EK102" s="0" t="n">
        <f aca="false">EK99+EK101</f>
        <v>2786.23945395015</v>
      </c>
      <c r="EL102" s="0" t="n">
        <f aca="false">EL99+EL101</f>
        <v>2056.31401844299</v>
      </c>
      <c r="EM102" s="0" t="n">
        <f aca="false">EM99+EM101</f>
        <v>3026.90373681435</v>
      </c>
      <c r="EN102" s="0" t="n">
        <f aca="false">EN99+EN101</f>
        <v>2139.4271760593</v>
      </c>
      <c r="EO102" s="0" t="n">
        <f aca="false">EO99+EO101</f>
        <v>3031.61277740982</v>
      </c>
      <c r="EP102" s="0" t="n">
        <f aca="false">EP99+EP101</f>
        <v>3143.76157572235</v>
      </c>
      <c r="EQ102" s="0" t="n">
        <f aca="false">EQ99+EQ101</f>
        <v>3306.15828656572</v>
      </c>
      <c r="ER102" s="0" t="n">
        <f aca="false">ER99+ER101</f>
        <v>2644.45437253124</v>
      </c>
      <c r="ES102" s="0" t="n">
        <f aca="false">ES99+ES101</f>
        <v>2400.14942299422</v>
      </c>
      <c r="ET102" s="0" t="n">
        <f aca="false">ET99+ET101</f>
        <v>2792.48537318839</v>
      </c>
      <c r="EU102" s="0" t="n">
        <f aca="false">EU99+EU101</f>
        <v>1872.74835405948</v>
      </c>
      <c r="EV102" s="0" t="n">
        <f aca="false">EV99+EV101</f>
        <v>2476.17558051135</v>
      </c>
      <c r="EW102" s="0" t="n">
        <f aca="false">EW99+EW101</f>
        <v>3554.63475417443</v>
      </c>
      <c r="EX102" s="0" t="n">
        <f aca="false">EX99+EX101</f>
        <v>4048.85148075692</v>
      </c>
      <c r="EY102" s="0" t="n">
        <f aca="false">EY99+EY101</f>
        <v>870.141801172129</v>
      </c>
      <c r="EZ102" s="0" t="n">
        <f aca="false">EZ99+EZ101</f>
        <v>2941.71905082892</v>
      </c>
      <c r="FA102" s="0" t="n">
        <f aca="false">FA99+FA101</f>
        <v>1958.93536788781</v>
      </c>
      <c r="FB102" s="0" t="n">
        <f aca="false">FB99+FB101</f>
        <v>2636.08385547083</v>
      </c>
      <c r="FC102" s="0" t="n">
        <f aca="false">FC99+FC101</f>
        <v>2312.28577483369</v>
      </c>
      <c r="FD102" s="0" t="n">
        <f aca="false">FD99+FD101</f>
        <v>1961.70382894111</v>
      </c>
      <c r="FE102" s="0" t="n">
        <f aca="false">FE99+FE101</f>
        <v>3950.38152617708</v>
      </c>
      <c r="FF102" s="0" t="n">
        <f aca="false">FF99+FF101</f>
        <v>3316.83515991668</v>
      </c>
      <c r="FG102" s="0" t="n">
        <f aca="false">FG99+FG101</f>
        <v>2960.42520248782</v>
      </c>
      <c r="FH102" s="0" t="n">
        <f aca="false">FH99+FH101</f>
        <v>2927.28504458701</v>
      </c>
      <c r="FI102" s="0" t="n">
        <f aca="false">FI99+FI101</f>
        <v>3129.9364704757</v>
      </c>
      <c r="FJ102" s="0" t="n">
        <f aca="false">FJ99+FJ101</f>
        <v>2751.92418693771</v>
      </c>
      <c r="FK102" s="0" t="n">
        <f aca="false">FK99+FK101</f>
        <v>1822.93014879221</v>
      </c>
      <c r="FL102" s="0" t="n">
        <f aca="false">FL99+FL101</f>
        <v>3221.34138779238</v>
      </c>
      <c r="FM102" s="0" t="n">
        <f aca="false">FM99+FM101</f>
        <v>1510.50504412115</v>
      </c>
      <c r="FN102" s="0" t="n">
        <f aca="false">FN99+FN101</f>
        <v>2147.04117976661</v>
      </c>
      <c r="FO102" s="0" t="n">
        <f aca="false">FO99+FO101</f>
        <v>2926.75132452073</v>
      </c>
      <c r="FP102" s="0" t="n">
        <f aca="false">FP99+FP101</f>
        <v>3288.22396900184</v>
      </c>
      <c r="FQ102" s="0" t="n">
        <f aca="false">FQ99+FQ101</f>
        <v>3154.11414763543</v>
      </c>
      <c r="FR102" s="0" t="n">
        <f aca="false">FR99+FR101</f>
        <v>3302.57321229381</v>
      </c>
      <c r="FS102" s="0" t="n">
        <f aca="false">FS99+FS101</f>
        <v>3150.11039600371</v>
      </c>
      <c r="FT102" s="0" t="n">
        <f aca="false">FT99+FT101</f>
        <v>2819.63929279687</v>
      </c>
      <c r="FU102" s="0" t="n">
        <f aca="false">FU99+FU101</f>
        <v>2151.22639717764</v>
      </c>
      <c r="FV102" s="0" t="n">
        <f aca="false">FV99+FV101</f>
        <v>2218.2470877762</v>
      </c>
      <c r="FW102" s="0" t="n">
        <f aca="false">FW99+FW101</f>
        <v>2398.18109622465</v>
      </c>
      <c r="FX102" s="0" t="n">
        <f aca="false">FX99+FX101</f>
        <v>2877.03204141234</v>
      </c>
      <c r="FY102" s="0" t="n">
        <f aca="false">FY99+FY101</f>
        <v>2300.6257175307</v>
      </c>
      <c r="FZ102" s="0" t="n">
        <f aca="false">FZ99+FZ101</f>
        <v>3453.09335267217</v>
      </c>
      <c r="GA102" s="0" t="n">
        <f aca="false">GA99+GA101</f>
        <v>3075.31062689373</v>
      </c>
      <c r="GB102" s="0" t="n">
        <f aca="false">GB99+GB101</f>
        <v>2951.19731749153</v>
      </c>
      <c r="GC102" s="0" t="n">
        <f aca="false">GC99+GC101</f>
        <v>3686.21252949643</v>
      </c>
      <c r="GD102" s="0" t="n">
        <f aca="false">GD99+GD101</f>
        <v>3168.7083755842</v>
      </c>
      <c r="GE102" s="0" t="n">
        <f aca="false">GE99+GE101</f>
        <v>2639.84468305303</v>
      </c>
      <c r="GF102" s="0" t="n">
        <f aca="false">GF99+GF101</f>
        <v>2809.9775048778</v>
      </c>
      <c r="GG102" s="0" t="n">
        <f aca="false">GG99+GG101</f>
        <v>3197.68517637227</v>
      </c>
      <c r="GH102" s="0" t="n">
        <f aca="false">GH99+GH101</f>
        <v>2905.60829414786</v>
      </c>
      <c r="GI102" s="0" t="n">
        <f aca="false">GI99+GI101</f>
        <v>2127.47101406155</v>
      </c>
      <c r="GJ102" s="0" t="n">
        <f aca="false">GJ99+GJ101</f>
        <v>3909.15632743603</v>
      </c>
      <c r="GK102" s="0" t="n">
        <f aca="false">GK99+GK101</f>
        <v>3606.52782821824</v>
      </c>
      <c r="GL102" s="0" t="n">
        <f aca="false">GL99+GL101</f>
        <v>3201.2996598955</v>
      </c>
      <c r="GM102" s="0" t="n">
        <f aca="false">GM99+GM101</f>
        <v>2894.21941907187</v>
      </c>
      <c r="GN102" s="0" t="n">
        <f aca="false">GN99+GN101</f>
        <v>3110.4037492789</v>
      </c>
      <c r="GO102" s="0" t="n">
        <f aca="false">GO99+GO101</f>
        <v>3469.25653868891</v>
      </c>
      <c r="GP102" s="0" t="n">
        <f aca="false">GP99+GP101</f>
        <v>2339.04851943849</v>
      </c>
      <c r="GQ102" s="0" t="n">
        <f aca="false">GQ99+GQ101</f>
        <v>3497.6711197021</v>
      </c>
      <c r="GR102" s="0" t="n">
        <f aca="false">GR99+GR101</f>
        <v>2017.93191875915</v>
      </c>
      <c r="GS102" s="0" t="n">
        <f aca="false">GS99+GS101</f>
        <v>2922.10542757776</v>
      </c>
      <c r="GT102" s="0" t="n">
        <f aca="false">GT99+GT101</f>
        <v>2648.34373504504</v>
      </c>
      <c r="GU102" s="0" t="n">
        <f aca="false">GU99+GU101</f>
        <v>3446.97822937471</v>
      </c>
      <c r="GV102" s="0" t="n">
        <f aca="false">GV99+GV101</f>
        <v>2465.13667532151</v>
      </c>
      <c r="GW102" s="0" t="n">
        <f aca="false">GW99+GW101</f>
        <v>3340.82717669528</v>
      </c>
      <c r="GX102" s="0" t="n">
        <f aca="false">GX99+GX101</f>
        <v>3018.09717791369</v>
      </c>
      <c r="GY102" s="0" t="n">
        <f aca="false">GY99+GY101</f>
        <v>3201.92213915764</v>
      </c>
      <c r="GZ102" s="0" t="n">
        <f aca="false">GZ99+GZ101</f>
        <v>2399.34229760085</v>
      </c>
      <c r="HA102" s="0" t="n">
        <f aca="false">HA99+HA101</f>
        <v>2734.52279026648</v>
      </c>
      <c r="HB102" s="0" t="n">
        <f aca="false">HB99+HB101</f>
        <v>3226.5546625479</v>
      </c>
      <c r="HC102" s="0" t="n">
        <f aca="false">HC99+HC101</f>
        <v>3406.93052009426</v>
      </c>
      <c r="HD102" s="0" t="n">
        <f aca="false">HD99+HD101</f>
        <v>1839.91896704696</v>
      </c>
      <c r="HE102" s="0" t="n">
        <f aca="false">HE99+HE101</f>
        <v>2255.32828559199</v>
      </c>
      <c r="HF102" s="0" t="n">
        <f aca="false">HF99+HF101</f>
        <v>2935.60141676049</v>
      </c>
      <c r="HG102" s="0" t="n">
        <f aca="false">HG99+HG101</f>
        <v>2342.21259927522</v>
      </c>
      <c r="HH102" s="0" t="n">
        <f aca="false">HH99+HH101</f>
        <v>2303.16168974056</v>
      </c>
      <c r="HI102" s="0" t="n">
        <f aca="false">HI99+HI101</f>
        <v>2612.61030385398</v>
      </c>
      <c r="HJ102" s="0" t="n">
        <f aca="false">HJ99+HJ101</f>
        <v>3110.88926375962</v>
      </c>
      <c r="HK102" s="0" t="n">
        <f aca="false">HK99+HK101</f>
        <v>3423.99043809476</v>
      </c>
      <c r="HL102" s="0" t="n">
        <f aca="false">HL99+HL101</f>
        <v>1885.92756640624</v>
      </c>
      <c r="HM102" s="0" t="n">
        <f aca="false">HM99+HM101</f>
        <v>3586.12187313531</v>
      </c>
      <c r="HN102" s="0" t="n">
        <f aca="false">HN99+HN101</f>
        <v>3569.50334380094</v>
      </c>
      <c r="HO102" s="0" t="n">
        <f aca="false">HO99+HO101</f>
        <v>3815.10672674191</v>
      </c>
      <c r="HP102" s="0" t="n">
        <f aca="false">HP99+HP101</f>
        <v>3415.41412695153</v>
      </c>
      <c r="HQ102" s="0" t="n">
        <f aca="false">HQ99+HQ101</f>
        <v>2673.75294462355</v>
      </c>
      <c r="HR102" s="0" t="n">
        <f aca="false">HR99+HR101</f>
        <v>2757.43886613078</v>
      </c>
      <c r="HS102" s="0" t="n">
        <f aca="false">HS99+HS101</f>
        <v>2647.18848427971</v>
      </c>
      <c r="HT102" s="0" t="n">
        <f aca="false">HT99+HT101</f>
        <v>1007.72001958263</v>
      </c>
      <c r="HU102" s="0" t="n">
        <f aca="false">HU99+HU101</f>
        <v>3534.18488230661</v>
      </c>
      <c r="HV102" s="0" t="n">
        <f aca="false">HV99+HV101</f>
        <v>2603.61845975093</v>
      </c>
      <c r="HW102" s="0" t="n">
        <f aca="false">HW99+HW101</f>
        <v>3262.98644785372</v>
      </c>
      <c r="HX102" s="0" t="n">
        <f aca="false">HX99+HX101</f>
        <v>2228.63494533804</v>
      </c>
      <c r="HY102" s="0" t="n">
        <f aca="false">HY99+HY101</f>
        <v>3453.4686982931</v>
      </c>
      <c r="HZ102" s="0" t="n">
        <f aca="false">HZ99+HZ101</f>
        <v>3428.36245938787</v>
      </c>
      <c r="IA102" s="0" t="n">
        <f aca="false">IA99+IA101</f>
        <v>1934.49684044784</v>
      </c>
      <c r="IB102" s="0" t="n">
        <f aca="false">IB99+IB101</f>
        <v>3641.08236425033</v>
      </c>
      <c r="IC102" s="0" t="n">
        <f aca="false">IC99+IC101</f>
        <v>3553.55779810231</v>
      </c>
      <c r="ID102" s="0" t="n">
        <f aca="false">ID99+ID101</f>
        <v>3375.35842711218</v>
      </c>
      <c r="IE102" s="0" t="n">
        <f aca="false">IE99+IE101</f>
        <v>1733.14380717429</v>
      </c>
      <c r="IF102" s="0" t="n">
        <f aca="false">IF99+IF101</f>
        <v>3188.36684734413</v>
      </c>
      <c r="IG102" s="0" t="n">
        <f aca="false">IG99+IG101</f>
        <v>3439.7819731793</v>
      </c>
      <c r="IH102" s="0" t="n">
        <f aca="false">IH99+IH101</f>
        <v>2875.60816330808</v>
      </c>
      <c r="II102" s="0" t="n">
        <f aca="false">II99+II101</f>
        <v>3026.91318528911</v>
      </c>
      <c r="IJ102" s="0" t="n">
        <f aca="false">IJ99+IJ101</f>
        <v>3137.58630963126</v>
      </c>
      <c r="IK102" s="0" t="n">
        <f aca="false">IK99+IK101</f>
        <v>1111.17334937302</v>
      </c>
      <c r="IL102" s="0" t="n">
        <f aca="false">IL99+IL101</f>
        <v>2575.11928180446</v>
      </c>
      <c r="IM102" s="0" t="n">
        <f aca="false">IM99+IM101</f>
        <v>3293.66659286871</v>
      </c>
      <c r="IN102" s="0" t="n">
        <f aca="false">IN99+IN101</f>
        <v>2975.97827047251</v>
      </c>
      <c r="IO102" s="0" t="n">
        <f aca="false">IO99+IO101</f>
        <v>2621.00028997092</v>
      </c>
      <c r="IP102" s="0" t="n">
        <f aca="false">IP99+IP101</f>
        <v>2865.09105181184</v>
      </c>
      <c r="IQ102" s="0" t="n">
        <f aca="false">IQ99+IQ101</f>
        <v>2978.59533792975</v>
      </c>
      <c r="IR102" s="0" t="n">
        <f aca="false">IR99+IR101</f>
        <v>3403.54019768261</v>
      </c>
      <c r="IS102" s="0" t="n">
        <f aca="false">IS99+IS101</f>
        <v>2839.77900060495</v>
      </c>
      <c r="IT102" s="0" t="n">
        <f aca="false">IT99+IT101</f>
        <v>2604.05653461653</v>
      </c>
      <c r="IU102" s="0" t="n">
        <f aca="false">IU99+IU101</f>
        <v>3110.22451364332</v>
      </c>
      <c r="IV102" s="0" t="n">
        <f aca="false">IV99+IV101</f>
        <v>2380.03629012931</v>
      </c>
      <c r="IW102" s="0" t="n">
        <f aca="false">IW99+IW101</f>
        <v>3016.63731951063</v>
      </c>
      <c r="IX102" s="0" t="n">
        <f aca="false">IX99+IX101</f>
        <v>2924.31898897568</v>
      </c>
      <c r="IY102" s="0" t="n">
        <f aca="false">IY99+IY101</f>
        <v>2617.20725205917</v>
      </c>
      <c r="IZ102" s="0" t="n">
        <f aca="false">IZ99+IZ101</f>
        <v>2765.44996053491</v>
      </c>
      <c r="JA102" s="0" t="n">
        <f aca="false">JA99+JA101</f>
        <v>3695.93209436654</v>
      </c>
      <c r="JB102" s="0" t="n">
        <f aca="false">JB99+JB101</f>
        <v>3146.17120401999</v>
      </c>
      <c r="JC102" s="0" t="n">
        <f aca="false">JC99+JC101</f>
        <v>3108.67834120449</v>
      </c>
      <c r="JD102" s="0" t="n">
        <f aca="false">JD99+JD101</f>
        <v>3207.85666983365</v>
      </c>
      <c r="JE102" s="0" t="n">
        <f aca="false">JE99+JE101</f>
        <v>3541.373876497</v>
      </c>
      <c r="JF102" s="0" t="n">
        <f aca="false">JF99+JF101</f>
        <v>2635.8374481143</v>
      </c>
      <c r="JG102" s="0" t="n">
        <f aca="false">JG99+JG101</f>
        <v>2441.58221112903</v>
      </c>
      <c r="JH102" s="0" t="n">
        <f aca="false">JH99+JH101</f>
        <v>3281.21116825654</v>
      </c>
      <c r="JI102" s="0" t="n">
        <f aca="false">JI99+JI101</f>
        <v>2606.12652353044</v>
      </c>
      <c r="JJ102" s="0" t="n">
        <f aca="false">JJ99+JJ101</f>
        <v>3077.34563541815</v>
      </c>
      <c r="JK102" s="0" t="n">
        <f aca="false">JK99+JK101</f>
        <v>3356.4594260408</v>
      </c>
      <c r="JL102" s="0" t="n">
        <f aca="false">JL99+JL101</f>
        <v>2939.1494216404</v>
      </c>
      <c r="JM102" s="0" t="n">
        <f aca="false">JM99+JM101</f>
        <v>3060.89106953863</v>
      </c>
      <c r="JN102" s="0" t="n">
        <f aca="false">JN99+JN101</f>
        <v>2871.31006476642</v>
      </c>
      <c r="JO102" s="0" t="n">
        <f aca="false">JO99+JO101</f>
        <v>3728.89725712769</v>
      </c>
      <c r="JP102" s="0" t="n">
        <f aca="false">JP99+JP101</f>
        <v>3118.91419910042</v>
      </c>
      <c r="JQ102" s="0" t="n">
        <f aca="false">JQ99+JQ101</f>
        <v>3236.91490952911</v>
      </c>
      <c r="JR102" s="0" t="n">
        <f aca="false">JR99+JR101</f>
        <v>3503.82268490912</v>
      </c>
      <c r="JS102" s="0" t="n">
        <f aca="false">JS99+JS101</f>
        <v>3177.35317007523</v>
      </c>
      <c r="JT102" s="0" t="n">
        <f aca="false">JT99+JT101</f>
        <v>3138.26182675874</v>
      </c>
      <c r="JU102" s="0" t="n">
        <f aca="false">JU99+JU101</f>
        <v>3126.17989936085</v>
      </c>
      <c r="JV102" s="0" t="n">
        <f aca="false">JV99+JV101</f>
        <v>2910.00416135888</v>
      </c>
      <c r="JW102" s="0" t="n">
        <f aca="false">JW99+JW101</f>
        <v>1539.02650580106</v>
      </c>
      <c r="JX102" s="0" t="n">
        <f aca="false">JX99+JX101</f>
        <v>3668.59330433453</v>
      </c>
      <c r="JY102" s="0" t="n">
        <f aca="false">JY99+JY101</f>
        <v>3102.5352122454</v>
      </c>
      <c r="JZ102" s="0" t="n">
        <f aca="false">JZ99+JZ101</f>
        <v>3654.15287046699</v>
      </c>
      <c r="KA102" s="0" t="n">
        <f aca="false">KA99+KA101</f>
        <v>3458.92377398405</v>
      </c>
      <c r="KB102" s="0" t="n">
        <f aca="false">KB99+KB101</f>
        <v>2447.84465409151</v>
      </c>
      <c r="KC102" s="0" t="n">
        <f aca="false">KC99+KC101</f>
        <v>3595.97032159661</v>
      </c>
      <c r="KD102" s="0" t="n">
        <f aca="false">KD99+KD101</f>
        <v>3014.19276500846</v>
      </c>
      <c r="KE102" s="0" t="n">
        <f aca="false">KE99+KE101</f>
        <v>2735.411355747</v>
      </c>
      <c r="KF102" s="0" t="n">
        <f aca="false">KF99+KF101</f>
        <v>2889.86958843492</v>
      </c>
      <c r="KG102" s="0" t="n">
        <f aca="false">KG99+KG101</f>
        <v>1447.87929948876</v>
      </c>
      <c r="KH102" s="0" t="n">
        <f aca="false">KH99+KH101</f>
        <v>2940.6035579368</v>
      </c>
      <c r="KI102" s="0" t="n">
        <f aca="false">KI99+KI101</f>
        <v>3536.34357471829</v>
      </c>
      <c r="KJ102" s="0" t="n">
        <f aca="false">KJ99+KJ101</f>
        <v>2570.70506163834</v>
      </c>
      <c r="KK102" s="0" t="n">
        <f aca="false">KK99+KK101</f>
        <v>3399.56607999588</v>
      </c>
      <c r="KL102" s="0" t="n">
        <f aca="false">KL99+KL101</f>
        <v>2747.44513012686</v>
      </c>
      <c r="KM102" s="0" t="n">
        <f aca="false">KM99+KM101</f>
        <v>2721.48709771083</v>
      </c>
      <c r="KN102" s="0" t="n">
        <f aca="false">KN99+KN101</f>
        <v>3154.57018521927</v>
      </c>
      <c r="KO102" s="0" t="n">
        <f aca="false">KO99+KO101</f>
        <v>3122.99754666056</v>
      </c>
      <c r="KP102" s="0" t="n">
        <f aca="false">KP99+KP101</f>
        <v>3892.50853293669</v>
      </c>
      <c r="KQ102" s="0" t="n">
        <f aca="false">KQ99+KQ101</f>
        <v>3121.29360993004</v>
      </c>
      <c r="KR102" s="0" t="n">
        <f aca="false">KR99+KR101</f>
        <v>2952.6739420962</v>
      </c>
      <c r="KS102" s="0" t="n">
        <f aca="false">KS99+KS101</f>
        <v>3085.90973625098</v>
      </c>
      <c r="KT102" s="0" t="n">
        <f aca="false">KT99+KT101</f>
        <v>3510.02732584112</v>
      </c>
      <c r="KU102" s="0" t="n">
        <f aca="false">KU99+KU101</f>
        <v>3539.37604751755</v>
      </c>
      <c r="KV102" s="0" t="n">
        <f aca="false">KV99+KV101</f>
        <v>3170.13799397176</v>
      </c>
      <c r="KW102" s="0" t="n">
        <f aca="false">KW99+KW101</f>
        <v>3810.14996440162</v>
      </c>
      <c r="KX102" s="0" t="n">
        <f aca="false">KX99+KX101</f>
        <v>2678.86634112347</v>
      </c>
      <c r="KY102" s="0" t="n">
        <f aca="false">KY99+KY101</f>
        <v>2700.20855141548</v>
      </c>
      <c r="KZ102" s="0" t="n">
        <f aca="false">KZ99+KZ101</f>
        <v>3425.43688048453</v>
      </c>
      <c r="LA102" s="0" t="n">
        <f aca="false">LA99+LA101</f>
        <v>2453.62630725682</v>
      </c>
      <c r="LB102" s="0" t="n">
        <f aca="false">LB99+LB101</f>
        <v>1201.16249551357</v>
      </c>
      <c r="LC102" s="0" t="n">
        <f aca="false">LC99+LC101</f>
        <v>2629.21125816401</v>
      </c>
      <c r="LD102" s="0" t="n">
        <f aca="false">LD99+LD101</f>
        <v>3221.71482489592</v>
      </c>
      <c r="LE102" s="0" t="n">
        <f aca="false">LE99+LE101</f>
        <v>3569.54816511614</v>
      </c>
      <c r="LF102" s="0" t="n">
        <f aca="false">LF99+LF101</f>
        <v>3318.80826767478</v>
      </c>
      <c r="LG102" s="0" t="n">
        <f aca="false">LG99+LG101</f>
        <v>2692.03875779992</v>
      </c>
      <c r="LH102" s="0" t="n">
        <f aca="false">LH99+LH101</f>
        <v>3604.68649472302</v>
      </c>
      <c r="LI102" s="0" t="n">
        <f aca="false">LI99+LI101</f>
        <v>2650.27381047474</v>
      </c>
      <c r="LJ102" s="0" t="n">
        <f aca="false">LJ99+LJ101</f>
        <v>3045.66120295443</v>
      </c>
      <c r="LK102" s="0" t="n">
        <f aca="false">LK99+LK101</f>
        <v>2399.9536913422</v>
      </c>
      <c r="LL102" s="0" t="n">
        <f aca="false">LL99+LL101</f>
        <v>3138.20711595553</v>
      </c>
      <c r="LM102" s="0" t="n">
        <f aca="false">LM99+LM101</f>
        <v>3070.2377168942</v>
      </c>
      <c r="LN102" s="0" t="n">
        <f aca="false">LN99+LN101</f>
        <v>2019.18462356783</v>
      </c>
      <c r="LO102" s="0" t="n">
        <f aca="false">LO99+LO101</f>
        <v>3260.66475778648</v>
      </c>
      <c r="LP102" s="0" t="n">
        <f aca="false">LP99+LP101</f>
        <v>2398.68039964892</v>
      </c>
      <c r="LQ102" s="0" t="n">
        <f aca="false">LQ99+LQ101</f>
        <v>3292.18217881445</v>
      </c>
      <c r="LR102" s="0" t="n">
        <f aca="false">LR99+LR101</f>
        <v>3462.84829549575</v>
      </c>
      <c r="LS102" s="0" t="n">
        <f aca="false">LS99+LS101</f>
        <v>3201.38512517984</v>
      </c>
      <c r="LT102" s="0" t="n">
        <f aca="false">LT99+LT101</f>
        <v>2948.65161531681</v>
      </c>
      <c r="LU102" s="0" t="n">
        <f aca="false">LU99+LU101</f>
        <v>3108.50407228723</v>
      </c>
      <c r="LV102" s="0" t="n">
        <f aca="false">LV99+LV101</f>
        <v>3519.65138532957</v>
      </c>
      <c r="LW102" s="0" t="n">
        <f aca="false">LW99+LW101</f>
        <v>2932.79599769083</v>
      </c>
      <c r="LX102" s="0" t="n">
        <f aca="false">LX99+LX101</f>
        <v>2978.424698958</v>
      </c>
      <c r="LY102" s="0" t="n">
        <f aca="false">LY99+LY101</f>
        <v>3488.78465323752</v>
      </c>
      <c r="LZ102" s="0" t="n">
        <f aca="false">LZ99+LZ101</f>
        <v>3382.29360521364</v>
      </c>
      <c r="MA102" s="0" t="n">
        <f aca="false">MA99+MA101</f>
        <v>2835.76688614538</v>
      </c>
      <c r="MB102" s="0" t="n">
        <f aca="false">MB99+MB101</f>
        <v>1976.10490678287</v>
      </c>
      <c r="MC102" s="0" t="n">
        <f aca="false">MC99+MC101</f>
        <v>2669.45150460051</v>
      </c>
      <c r="MD102" s="0" t="n">
        <f aca="false">MD99+MD101</f>
        <v>143.332474116328</v>
      </c>
      <c r="ME102" s="0" t="n">
        <f aca="false">ME99+ME101</f>
        <v>2259.46142360179</v>
      </c>
      <c r="MF102" s="0" t="n">
        <f aca="false">MF99+MF101</f>
        <v>3002.97961129768</v>
      </c>
      <c r="MG102" s="0" t="n">
        <f aca="false">MG99+MG101</f>
        <v>3615.70519753257</v>
      </c>
      <c r="MH102" s="0" t="n">
        <f aca="false">MH99+MH101</f>
        <v>2984.14739393379</v>
      </c>
      <c r="MI102" s="0" t="n">
        <f aca="false">MI99+MI101</f>
        <v>2767.44558139628</v>
      </c>
      <c r="MJ102" s="0" t="n">
        <f aca="false">MJ99+MJ101</f>
        <v>2422.54033091239</v>
      </c>
      <c r="MK102" s="0" t="n">
        <f aca="false">MK99+MK101</f>
        <v>2553.0830228243</v>
      </c>
      <c r="ML102" s="0" t="n">
        <f aca="false">ML99+ML101</f>
        <v>2148.53732078882</v>
      </c>
      <c r="MM102" s="0" t="n">
        <f aca="false">MM99+MM101</f>
        <v>3185.5557625745</v>
      </c>
      <c r="MN102" s="0" t="n">
        <f aca="false">MN99+MN101</f>
        <v>2559.35433332482</v>
      </c>
      <c r="MO102" s="0" t="n">
        <f aca="false">MO99+MO101</f>
        <v>1803.42779500337</v>
      </c>
      <c r="MP102" s="0" t="n">
        <f aca="false">MP99+MP101</f>
        <v>1880.43051025729</v>
      </c>
      <c r="MQ102" s="0" t="n">
        <f aca="false">MQ99+MQ101</f>
        <v>3676.75392386919</v>
      </c>
      <c r="MR102" s="0" t="n">
        <f aca="false">MR99+MR101</f>
        <v>2608.49567923506</v>
      </c>
      <c r="MS102" s="0" t="n">
        <f aca="false">MS99+MS101</f>
        <v>2436.40142785733</v>
      </c>
      <c r="MT102" s="0" t="n">
        <f aca="false">MT99+MT101</f>
        <v>3310.13583114512</v>
      </c>
      <c r="MU102" s="0" t="n">
        <f aca="false">MU99+MU101</f>
        <v>3443.30329147914</v>
      </c>
      <c r="MV102" s="0" t="n">
        <f aca="false">MV99+MV101</f>
        <v>2114.48235398746</v>
      </c>
      <c r="MW102" s="0" t="n">
        <f aca="false">MW99+MW101</f>
        <v>3106.00243881845</v>
      </c>
      <c r="MX102" s="0" t="n">
        <f aca="false">MX99+MX101</f>
        <v>3675.74012414481</v>
      </c>
      <c r="MY102" s="0" t="n">
        <f aca="false">MY99+MY101</f>
        <v>2584.05222077668</v>
      </c>
      <c r="MZ102" s="0" t="n">
        <f aca="false">MZ99+MZ101</f>
        <v>2735.045141179</v>
      </c>
      <c r="NA102" s="0" t="n">
        <f aca="false">NA99+NA101</f>
        <v>2409.32089149384</v>
      </c>
      <c r="NB102" s="0" t="n">
        <f aca="false">NB99+NB101</f>
        <v>2027.4754451057</v>
      </c>
      <c r="NC102" s="0" t="n">
        <f aca="false">NC99+NC101</f>
        <v>2970.72254536715</v>
      </c>
      <c r="ND102" s="0" t="n">
        <f aca="false">ND99+ND101</f>
        <v>3293.61248677786</v>
      </c>
      <c r="NE102" s="0" t="n">
        <f aca="false">NE99+NE101</f>
        <v>1593.53129175035</v>
      </c>
      <c r="NF102" s="0" t="n">
        <f aca="false">NF99+NF101</f>
        <v>3078.75067005206</v>
      </c>
      <c r="NG102" s="0" t="n">
        <f aca="false">NG99+NG101</f>
        <v>3091.32179149981</v>
      </c>
      <c r="NH102" s="0" t="n">
        <f aca="false">NH99+NH101</f>
        <v>3132.94894431065</v>
      </c>
      <c r="NI102" s="0" t="n">
        <f aca="false">NI99+NI101</f>
        <v>2999.82723836843</v>
      </c>
      <c r="NJ102" s="0" t="n">
        <f aca="false">NJ99+NJ101</f>
        <v>3277.09206713879</v>
      </c>
      <c r="NK102" s="0" t="n">
        <f aca="false">NK99+NK101</f>
        <v>2520.31933302366</v>
      </c>
      <c r="NL102" s="0" t="n">
        <f aca="false">NL99+NL101</f>
        <v>3041.33988973677</v>
      </c>
      <c r="NM102" s="0" t="n">
        <f aca="false">NM99+NM101</f>
        <v>1877.67353094508</v>
      </c>
      <c r="NN102" s="0" t="n">
        <f aca="false">NN99+NN101</f>
        <v>1854.85536327152</v>
      </c>
      <c r="NO102" s="0" t="n">
        <f aca="false">NO99+NO101</f>
        <v>3712.27421000952</v>
      </c>
      <c r="NP102" s="0" t="n">
        <f aca="false">NP99+NP101</f>
        <v>2957.41955380337</v>
      </c>
      <c r="NQ102" s="0" t="n">
        <f aca="false">NQ99+NQ101</f>
        <v>2903.06817146139</v>
      </c>
      <c r="NR102" s="0" t="n">
        <f aca="false">NR99+NR101</f>
        <v>3178.27741868318</v>
      </c>
      <c r="NS102" s="0" t="n">
        <f aca="false">NS99+NS101</f>
        <v>3013.23757776281</v>
      </c>
      <c r="NT102" s="0" t="n">
        <f aca="false">NT99+NT101</f>
        <v>3300.7960218238</v>
      </c>
      <c r="NU102" s="0" t="n">
        <f aca="false">NU99+NU101</f>
        <v>3761.86454070902</v>
      </c>
      <c r="NV102" s="0" t="n">
        <f aca="false">NV99+NV101</f>
        <v>3120.43570125596</v>
      </c>
      <c r="NW102" s="0" t="n">
        <f aca="false">NW99+NW101</f>
        <v>3069.42878122727</v>
      </c>
      <c r="NX102" s="0" t="n">
        <f aca="false">NX99+NX101</f>
        <v>3105.04948045519</v>
      </c>
      <c r="NY102" s="0" t="n">
        <f aca="false">NY99+NY101</f>
        <v>3063.53966679654</v>
      </c>
      <c r="NZ102" s="0" t="n">
        <f aca="false">NZ99+NZ101</f>
        <v>2245.39824301864</v>
      </c>
      <c r="OA102" s="0" t="n">
        <f aca="false">OA99+OA101</f>
        <v>3009.27298059758</v>
      </c>
      <c r="OB102" s="0" t="n">
        <f aca="false">OB99+OB101</f>
        <v>3004.76113768711</v>
      </c>
      <c r="OC102" s="0" t="n">
        <f aca="false">OC99+OC101</f>
        <v>2984.03226526308</v>
      </c>
      <c r="OD102" s="0" t="n">
        <f aca="false">OD99+OD101</f>
        <v>2667.57343966908</v>
      </c>
      <c r="OE102" s="0" t="n">
        <f aca="false">OE99+OE101</f>
        <v>2980.04122366064</v>
      </c>
      <c r="OF102" s="0" t="n">
        <f aca="false">OF99+OF101</f>
        <v>2877.47484141315</v>
      </c>
      <c r="OG102" s="0" t="n">
        <f aca="false">OG99+OG101</f>
        <v>2588.85906680453</v>
      </c>
      <c r="OH102" s="0" t="n">
        <f aca="false">OH99+OH101</f>
        <v>2980.25890453495</v>
      </c>
      <c r="OI102" s="0" t="n">
        <f aca="false">OI99+OI101</f>
        <v>2941.62021661757</v>
      </c>
      <c r="OJ102" s="0" t="n">
        <f aca="false">OJ99+OJ101</f>
        <v>3782.0938941907</v>
      </c>
      <c r="OK102" s="0" t="n">
        <f aca="false">OK99+OK101</f>
        <v>2617.26687162601</v>
      </c>
      <c r="OL102" s="0" t="n">
        <f aca="false">OL99+OL101</f>
        <v>3353.25371231273</v>
      </c>
      <c r="OM102" s="0" t="n">
        <f aca="false">OM99+OM101</f>
        <v>2650.57563578206</v>
      </c>
      <c r="ON102" s="0" t="n">
        <f aca="false">ON99+ON101</f>
        <v>2118.48673820538</v>
      </c>
      <c r="OO102" s="0" t="n">
        <f aca="false">OO99+OO101</f>
        <v>1620.47861105756</v>
      </c>
      <c r="OP102" s="0" t="n">
        <f aca="false">OP99+OP101</f>
        <v>3269.28661220427</v>
      </c>
      <c r="OQ102" s="0" t="n">
        <f aca="false">OQ99+OQ101</f>
        <v>2786.05841754443</v>
      </c>
      <c r="OR102" s="0" t="n">
        <f aca="false">OR99+OR101</f>
        <v>2919.43364149495</v>
      </c>
      <c r="OS102" s="0" t="n">
        <f aca="false">OS99+OS101</f>
        <v>3298.89050070545</v>
      </c>
      <c r="OT102" s="0" t="n">
        <f aca="false">OT99+OT101</f>
        <v>2155.82500802619</v>
      </c>
      <c r="OU102" s="0" t="n">
        <f aca="false">OU99+OU101</f>
        <v>3269.61846785629</v>
      </c>
      <c r="OV102" s="0" t="n">
        <f aca="false">OV99+OV101</f>
        <v>2791.53843966478</v>
      </c>
      <c r="OW102" s="0" t="n">
        <f aca="false">OW99+OW101</f>
        <v>3065.12891154777</v>
      </c>
      <c r="OX102" s="0" t="n">
        <f aca="false">OX99+OX101</f>
        <v>3483.30836214141</v>
      </c>
      <c r="OY102" s="0" t="n">
        <f aca="false">OY99+OY101</f>
        <v>2506.07919342129</v>
      </c>
      <c r="OZ102" s="0" t="n">
        <f aca="false">OZ99+OZ101</f>
        <v>1819.9020755639</v>
      </c>
      <c r="PA102" s="0" t="n">
        <f aca="false">PA99+PA101</f>
        <v>3548.35178737134</v>
      </c>
      <c r="PB102" s="0" t="n">
        <f aca="false">PB99+PB101</f>
        <v>2529.20271221614</v>
      </c>
      <c r="PC102" s="0" t="n">
        <f aca="false">PC99+PC101</f>
        <v>2483.28580840369</v>
      </c>
      <c r="PD102" s="0" t="n">
        <f aca="false">PD99+PD101</f>
        <v>3252.60127144637</v>
      </c>
      <c r="PE102" s="0" t="n">
        <f aca="false">PE99+PE101</f>
        <v>2270.71243576015</v>
      </c>
      <c r="PF102" s="0" t="n">
        <f aca="false">PF99+PF101</f>
        <v>2708.2941933367</v>
      </c>
      <c r="PG102" s="0" t="n">
        <f aca="false">PG99+PG101</f>
        <v>2485.70263630232</v>
      </c>
      <c r="PH102" s="0" t="n">
        <f aca="false">PH99+PH101</f>
        <v>3034.14026325526</v>
      </c>
      <c r="PI102" s="0" t="n">
        <f aca="false">PI99+PI101</f>
        <v>3266.03216288456</v>
      </c>
      <c r="PJ102" s="0" t="n">
        <f aca="false">PJ99+PJ101</f>
        <v>2886.27744218864</v>
      </c>
      <c r="PK102" s="0" t="n">
        <f aca="false">PK99+PK101</f>
        <v>2771.47468924484</v>
      </c>
      <c r="PL102" s="0" t="n">
        <f aca="false">PL99+PL101</f>
        <v>2898.66087917773</v>
      </c>
      <c r="PM102" s="0" t="n">
        <f aca="false">PM99+PM101</f>
        <v>3171.93470010887</v>
      </c>
      <c r="PN102" s="0" t="n">
        <f aca="false">PN99+PN101</f>
        <v>1953.27281518724</v>
      </c>
      <c r="PO102" s="0" t="n">
        <f aca="false">PO99+PO101</f>
        <v>2450.65989765515</v>
      </c>
      <c r="PP102" s="0" t="n">
        <f aca="false">PP99+PP101</f>
        <v>3191.87580989715</v>
      </c>
      <c r="PQ102" s="0" t="n">
        <f aca="false">PQ99+PQ101</f>
        <v>2626.43927611404</v>
      </c>
      <c r="PR102" s="0" t="n">
        <f aca="false">PR99+PR101</f>
        <v>2592.2512134483</v>
      </c>
      <c r="PS102" s="0" t="n">
        <f aca="false">PS99+PS101</f>
        <v>1401.83376799703</v>
      </c>
      <c r="PT102" s="0" t="n">
        <f aca="false">PT99+PT101</f>
        <v>2987.14114531109</v>
      </c>
      <c r="PU102" s="0" t="n">
        <f aca="false">PU99+PU101</f>
        <v>2566.05603050715</v>
      </c>
      <c r="PV102" s="0" t="n">
        <f aca="false">PV99+PV101</f>
        <v>2923.89568899083</v>
      </c>
      <c r="PW102" s="0" t="n">
        <f aca="false">PW99+PW101</f>
        <v>3202.46261944583</v>
      </c>
      <c r="PX102" s="0" t="n">
        <f aca="false">PX99+PX101</f>
        <v>1606.17928321829</v>
      </c>
      <c r="PY102" s="0" t="n">
        <f aca="false">PY99+PY101</f>
        <v>3761.4427682699</v>
      </c>
      <c r="PZ102" s="0" t="n">
        <f aca="false">PZ99+PZ101</f>
        <v>3663.6508966363</v>
      </c>
      <c r="QA102" s="0" t="n">
        <f aca="false">QA99+QA101</f>
        <v>2597.18794014429</v>
      </c>
      <c r="QB102" s="0" t="n">
        <f aca="false">QB99+QB101</f>
        <v>3707.17017366276</v>
      </c>
      <c r="QC102" s="0" t="n">
        <f aca="false">QC99+QC101</f>
        <v>2188.46269950607</v>
      </c>
      <c r="QD102" s="0" t="n">
        <f aca="false">QD99+QD101</f>
        <v>3449.51030492361</v>
      </c>
      <c r="QE102" s="0" t="n">
        <f aca="false">QE99+QE101</f>
        <v>2447.14307303138</v>
      </c>
      <c r="QF102" s="0" t="n">
        <f aca="false">QF99+QF101</f>
        <v>1633.35267954415</v>
      </c>
      <c r="QG102" s="0" t="n">
        <f aca="false">QG99+QG101</f>
        <v>2619.69614164626</v>
      </c>
      <c r="QH102" s="0" t="n">
        <f aca="false">QH99+QH101</f>
        <v>3146.89106463941</v>
      </c>
      <c r="QI102" s="0" t="n">
        <f aca="false">QI99+QI101</f>
        <v>2703.800748896</v>
      </c>
      <c r="QJ102" s="0" t="n">
        <f aca="false">QJ99+QJ101</f>
        <v>3511.87556069354</v>
      </c>
      <c r="QK102" s="0" t="n">
        <f aca="false">QK99+QK101</f>
        <v>3297.17938302462</v>
      </c>
      <c r="QL102" s="0" t="n">
        <f aca="false">QL99+QL101</f>
        <v>3407.65602784131</v>
      </c>
      <c r="QM102" s="0" t="n">
        <f aca="false">QM99+QM101</f>
        <v>2728.15226323614</v>
      </c>
      <c r="QN102" s="0" t="n">
        <f aca="false">QN99+QN101</f>
        <v>2857.03189829216</v>
      </c>
      <c r="QO102" s="0" t="n">
        <f aca="false">QO99+QO101</f>
        <v>2749.55062265197</v>
      </c>
      <c r="QP102" s="0" t="n">
        <f aca="false">QP99+QP101</f>
        <v>3190.24462226313</v>
      </c>
      <c r="QQ102" s="0" t="n">
        <f aca="false">QQ99+QQ101</f>
        <v>2815.19871637293</v>
      </c>
      <c r="QR102" s="0" t="n">
        <f aca="false">QR99+QR101</f>
        <v>3336.89221960059</v>
      </c>
      <c r="QS102" s="0" t="n">
        <f aca="false">QS99+QS101</f>
        <v>2971.87882843571</v>
      </c>
      <c r="QT102" s="0" t="n">
        <f aca="false">QT99+QT101</f>
        <v>3945.53553808145</v>
      </c>
      <c r="QU102" s="0" t="n">
        <f aca="false">QU99+QU101</f>
        <v>2898.73650059478</v>
      </c>
      <c r="QV102" s="0" t="n">
        <f aca="false">QV99+QV101</f>
        <v>3120.12098699162</v>
      </c>
      <c r="QW102" s="0" t="n">
        <f aca="false">QW99+QW101</f>
        <v>1942.09918551828</v>
      </c>
      <c r="QX102" s="0" t="n">
        <f aca="false">QX99+QX101</f>
        <v>665.60964682842</v>
      </c>
      <c r="QY102" s="0" t="n">
        <f aca="false">QY99+QY101</f>
        <v>2035.43675783682</v>
      </c>
      <c r="QZ102" s="0" t="n">
        <f aca="false">QZ99+QZ101</f>
        <v>2864.81796488712</v>
      </c>
      <c r="RA102" s="0" t="n">
        <f aca="false">RA99+RA101</f>
        <v>2595.55915503311</v>
      </c>
      <c r="RB102" s="0" t="n">
        <f aca="false">RB99+RB101</f>
        <v>3468.70670179703</v>
      </c>
      <c r="RC102" s="0" t="n">
        <f aca="false">RC99+RC101</f>
        <v>3404.8486525043</v>
      </c>
      <c r="RD102" s="0" t="n">
        <f aca="false">RD99+RD101</f>
        <v>3498.92086977313</v>
      </c>
      <c r="RE102" s="0" t="n">
        <f aca="false">RE99+RE101</f>
        <v>3234.2445733831</v>
      </c>
      <c r="RF102" s="0" t="n">
        <f aca="false">RF99+RF101</f>
        <v>3549.63061335086</v>
      </c>
      <c r="RG102" s="0" t="n">
        <f aca="false">RG99+RG101</f>
        <v>3428.7668413543</v>
      </c>
      <c r="RH102" s="0" t="n">
        <f aca="false">RH99+RH101</f>
        <v>3390.34683981765</v>
      </c>
      <c r="RI102" s="0" t="n">
        <f aca="false">RI99+RI101</f>
        <v>3232.233727288</v>
      </c>
      <c r="RJ102" s="0" t="n">
        <f aca="false">RJ99+RJ101</f>
        <v>3096.18714519215</v>
      </c>
      <c r="RK102" s="0" t="n">
        <f aca="false">RK99+RK101</f>
        <v>1483.81279903485</v>
      </c>
      <c r="RL102" s="0" t="n">
        <f aca="false">RL99+RL101</f>
        <v>2197.92314301214</v>
      </c>
      <c r="RM102" s="0" t="n">
        <f aca="false">RM99+RM101</f>
        <v>3742.19279969689</v>
      </c>
      <c r="RN102" s="0" t="n">
        <f aca="false">RN99+RN101</f>
        <v>2941.7410581836</v>
      </c>
      <c r="RO102" s="0" t="n">
        <f aca="false">RO99+RO101</f>
        <v>1690.66078325167</v>
      </c>
      <c r="RP102" s="0" t="n">
        <f aca="false">RP99+RP101</f>
        <v>3823.35377707237</v>
      </c>
      <c r="RQ102" s="0" t="n">
        <f aca="false">RQ99+RQ101</f>
        <v>2143.9022151627</v>
      </c>
      <c r="RR102" s="0" t="n">
        <f aca="false">RR99+RR101</f>
        <v>2305.40617981049</v>
      </c>
      <c r="RS102" s="0" t="n">
        <f aca="false">RS99+RS101</f>
        <v>2925.64304527708</v>
      </c>
      <c r="RT102" s="0" t="n">
        <f aca="false">RT99+RT101</f>
        <v>3306.06798040767</v>
      </c>
      <c r="RU102" s="0" t="n">
        <f aca="false">RU99+RU101</f>
        <v>2137.06479435054</v>
      </c>
      <c r="RV102" s="0" t="n">
        <f aca="false">RV99+RV101</f>
        <v>1875.18579829726</v>
      </c>
      <c r="RW102" s="0" t="n">
        <f aca="false">RW99+RW101</f>
        <v>3027.12074814716</v>
      </c>
      <c r="RX102" s="0" t="n">
        <f aca="false">RX99+RX101</f>
        <v>2627.65501501497</v>
      </c>
      <c r="RY102" s="0" t="n">
        <f aca="false">RY99+RY101</f>
        <v>3385.39219993059</v>
      </c>
      <c r="RZ102" s="0" t="n">
        <f aca="false">RZ99+RZ101</f>
        <v>3352.99389021755</v>
      </c>
      <c r="SA102" s="0" t="n">
        <f aca="false">SA99+SA101</f>
        <v>2542.22562794464</v>
      </c>
      <c r="SB102" s="0" t="n">
        <f aca="false">SB99+SB101</f>
        <v>3270.75774576865</v>
      </c>
      <c r="SC102" s="0" t="n">
        <f aca="false">SC99+SC101</f>
        <v>1906.66331927219</v>
      </c>
      <c r="SD102" s="0" t="n">
        <f aca="false">SD99+SD101</f>
        <v>3522.39751437394</v>
      </c>
      <c r="SE102" s="0" t="n">
        <f aca="false">SE99+SE101</f>
        <v>2931.12869206374</v>
      </c>
      <c r="SF102" s="0" t="n">
        <f aca="false">SF99+SF101</f>
        <v>2608.81441470229</v>
      </c>
      <c r="SG102" s="0" t="n">
        <f aca="false">SG99+SG101</f>
        <v>3210.16580456043</v>
      </c>
      <c r="SH102" s="0" t="n">
        <f aca="false">SH99+SH101</f>
        <v>2239.36233139336</v>
      </c>
      <c r="SI102" s="0" t="n">
        <f aca="false">SI99+SI101</f>
        <v>2773.9214965213</v>
      </c>
      <c r="SJ102" s="0" t="n">
        <f aca="false">SJ99+SJ101</f>
        <v>1675.7941156691</v>
      </c>
      <c r="SK102" s="0" t="n">
        <f aca="false">SK99+SK101</f>
        <v>3554.63573934591</v>
      </c>
      <c r="SL102" s="0" t="n">
        <f aca="false">SL99+SL101</f>
        <v>3162.61330061792</v>
      </c>
      <c r="SM102" s="0" t="n">
        <f aca="false">SM99+SM101</f>
        <v>3123.72138996425</v>
      </c>
      <c r="SN102" s="0" t="n">
        <f aca="false">SN99+SN101</f>
        <v>3436.42691691943</v>
      </c>
      <c r="SO102" s="0" t="n">
        <f aca="false">SO99+SO101</f>
        <v>3490.92597566099</v>
      </c>
      <c r="SP102" s="0" t="n">
        <f aca="false">SP99+SP101</f>
        <v>3037.18662535959</v>
      </c>
      <c r="SQ102" s="0" t="n">
        <f aca="false">SQ99+SQ101</f>
        <v>2987.58020509596</v>
      </c>
      <c r="SR102" s="0" t="n">
        <f aca="false">SR99+SR101</f>
        <v>3067.8495347686</v>
      </c>
      <c r="SS102" s="0" t="n">
        <f aca="false">SS99+SS101</f>
        <v>3036.98610339743</v>
      </c>
      <c r="ST102" s="0" t="n">
        <f aca="false">ST99+ST101</f>
        <v>2909.72788565109</v>
      </c>
      <c r="SU102" s="0" t="n">
        <f aca="false">SU99+SU101</f>
        <v>3293.7355340646</v>
      </c>
      <c r="SV102" s="0" t="n">
        <f aca="false">SV99+SV101</f>
        <v>3545.78880294549</v>
      </c>
      <c r="SW102" s="0" t="n">
        <f aca="false">SW99+SW101</f>
        <v>1788.63097319438</v>
      </c>
      <c r="SX102" s="0" t="n">
        <f aca="false">SX99+SX101</f>
        <v>1936.38653280094</v>
      </c>
      <c r="SY102" s="0" t="n">
        <f aca="false">SY99+SY101</f>
        <v>2269.01725974944</v>
      </c>
      <c r="SZ102" s="0" t="n">
        <f aca="false">SZ99+SZ101</f>
        <v>2505.40055061905</v>
      </c>
      <c r="TA102" s="0" t="n">
        <f aca="false">TA99+TA101</f>
        <v>3886.68376606702</v>
      </c>
      <c r="TB102" s="0" t="n">
        <f aca="false">TB99+TB101</f>
        <v>2562.63061135902</v>
      </c>
      <c r="TC102" s="0" t="n">
        <f aca="false">TC99+TC101</f>
        <v>3411.72798258314</v>
      </c>
      <c r="TD102" s="0" t="n">
        <f aca="false">TD99+TD101</f>
        <v>2089.46779782569</v>
      </c>
      <c r="TE102" s="0" t="n">
        <f aca="false">TE99+TE101</f>
        <v>2880.70446293145</v>
      </c>
      <c r="TF102" s="0" t="n">
        <f aca="false">TF99+TF101</f>
        <v>3204.86515726819</v>
      </c>
      <c r="TG102" s="0" t="n">
        <f aca="false">TG99+TG101</f>
        <v>3324.55678820005</v>
      </c>
      <c r="TH102" s="0" t="n">
        <f aca="false">TH99+TH101</f>
        <v>3178.84072437033</v>
      </c>
      <c r="TI102" s="0" t="n">
        <f aca="false">TI99+TI101</f>
        <v>1769.2766643053</v>
      </c>
      <c r="TJ102" s="0" t="n">
        <f aca="false">TJ99+TJ101</f>
        <v>3146.79966400175</v>
      </c>
      <c r="TK102" s="0" t="n">
        <f aca="false">TK99+TK101</f>
        <v>2444.74033319647</v>
      </c>
      <c r="TL102" s="0" t="n">
        <f aca="false">TL99+TL101</f>
        <v>3395.65336552583</v>
      </c>
      <c r="TM102" s="0" t="n">
        <f aca="false">TM99+TM101</f>
        <v>2372.64495339134</v>
      </c>
      <c r="TN102" s="0" t="n">
        <f aca="false">TN99+TN101</f>
        <v>2718.82158663149</v>
      </c>
      <c r="TO102" s="0" t="n">
        <f aca="false">TO99+TO101</f>
        <v>2789.49195712289</v>
      </c>
      <c r="TP102" s="0" t="n">
        <f aca="false">TP99+TP101</f>
        <v>3380.850447278</v>
      </c>
      <c r="TQ102" s="0" t="n">
        <f aca="false">TQ99+TQ101</f>
        <v>3395.05036393819</v>
      </c>
      <c r="TR102" s="0" t="n">
        <f aca="false">TR99+TR101</f>
        <v>1553.74900472644</v>
      </c>
      <c r="TS102" s="0" t="n">
        <f aca="false">TS99+TS101</f>
        <v>2765.5891775041</v>
      </c>
      <c r="TT102" s="0" t="n">
        <f aca="false">TT99+TT101</f>
        <v>3067.74761072468</v>
      </c>
      <c r="TU102" s="0" t="n">
        <f aca="false">TU99+TU101</f>
        <v>2667.26480441753</v>
      </c>
      <c r="TV102" s="0" t="n">
        <f aca="false">TV99+TV101</f>
        <v>2997.16493535624</v>
      </c>
      <c r="TW102" s="0" t="n">
        <f aca="false">TW99+TW101</f>
        <v>2652.29655228937</v>
      </c>
      <c r="TX102" s="0" t="n">
        <f aca="false">TX99+TX101</f>
        <v>2419.0433371362</v>
      </c>
      <c r="TY102" s="0" t="n">
        <f aca="false">TY99+TY101</f>
        <v>1467.17608606519</v>
      </c>
      <c r="TZ102" s="0" t="n">
        <f aca="false">TZ99+TZ101</f>
        <v>3318.30758865226</v>
      </c>
      <c r="UA102" s="0" t="n">
        <f aca="false">UA99+UA101</f>
        <v>3094.13533253628</v>
      </c>
      <c r="UB102" s="0" t="n">
        <f aca="false">UB99+UB101</f>
        <v>2803.12035248559</v>
      </c>
      <c r="UC102" s="0" t="n">
        <f aca="false">UC99+UC101</f>
        <v>2856.02228517563</v>
      </c>
      <c r="UD102" s="0" t="n">
        <f aca="false">UD99+UD101</f>
        <v>3461.71329800359</v>
      </c>
      <c r="UE102" s="0" t="n">
        <f aca="false">UE99+UE101</f>
        <v>3234.40709307881</v>
      </c>
      <c r="UF102" s="0" t="n">
        <f aca="false">UF99+UF101</f>
        <v>3166.74742494544</v>
      </c>
      <c r="UG102" s="0" t="n">
        <f aca="false">UG99+UG101</f>
        <v>2714.71611341166</v>
      </c>
      <c r="UH102" s="0" t="n">
        <f aca="false">UH99+UH101</f>
        <v>2890.51594167653</v>
      </c>
      <c r="UI102" s="0" t="n">
        <f aca="false">UI99+UI101</f>
        <v>3201.2812167706</v>
      </c>
      <c r="UJ102" s="0" t="n">
        <f aca="false">UJ99+UJ101</f>
        <v>2791.46339183642</v>
      </c>
      <c r="UK102" s="0" t="n">
        <f aca="false">UK99+UK101</f>
        <v>2744.05741207013</v>
      </c>
      <c r="UL102" s="0" t="n">
        <f aca="false">UL99+UL101</f>
        <v>3153.54048885269</v>
      </c>
      <c r="UM102" s="0" t="n">
        <f aca="false">UM99+UM101</f>
        <v>3852.34679198012</v>
      </c>
      <c r="UN102" s="0" t="n">
        <f aca="false">UN99+UN101</f>
        <v>3471.80896228463</v>
      </c>
      <c r="UO102" s="0" t="n">
        <f aca="false">UO99+UO101</f>
        <v>3053.11338744712</v>
      </c>
      <c r="UP102" s="0" t="n">
        <f aca="false">UP99+UP101</f>
        <v>2888.19932096421</v>
      </c>
      <c r="UQ102" s="0" t="n">
        <f aca="false">UQ99+UQ101</f>
        <v>2309.42622817647</v>
      </c>
      <c r="UR102" s="0" t="n">
        <f aca="false">UR99+UR101</f>
        <v>2955.03683164693</v>
      </c>
      <c r="US102" s="0" t="n">
        <f aca="false">US99+US101</f>
        <v>3043.09190637771</v>
      </c>
      <c r="UT102" s="0" t="n">
        <f aca="false">UT99+UT101</f>
        <v>2548.67098055165</v>
      </c>
      <c r="UU102" s="0" t="n">
        <f aca="false">UU99+UU101</f>
        <v>2751.81590598966</v>
      </c>
      <c r="UV102" s="0" t="n">
        <f aca="false">UV99+UV101</f>
        <v>2014.47214508886</v>
      </c>
      <c r="UW102" s="0" t="n">
        <f aca="false">UW99+UW101</f>
        <v>2573.71890280016</v>
      </c>
      <c r="UX102" s="0" t="n">
        <f aca="false">UX99+UX101</f>
        <v>3280.21083020982</v>
      </c>
      <c r="UY102" s="0" t="n">
        <f aca="false">UY99+UY101</f>
        <v>2993.44167271379</v>
      </c>
      <c r="UZ102" s="0" t="n">
        <f aca="false">UZ99+UZ101</f>
        <v>3726.92272790873</v>
      </c>
      <c r="VA102" s="0" t="n">
        <f aca="false">VA99+VA101</f>
        <v>2850.30802224068</v>
      </c>
      <c r="VB102" s="0" t="n">
        <f aca="false">VB99+VB101</f>
        <v>3403.61414618204</v>
      </c>
      <c r="VC102" s="0" t="n">
        <f aca="false">VC99+VC101</f>
        <v>2854.95439728694</v>
      </c>
      <c r="VD102" s="0" t="n">
        <f aca="false">VD99+VD101</f>
        <v>2601.00607009751</v>
      </c>
      <c r="VE102" s="0" t="n">
        <f aca="false">VE99+VE101</f>
        <v>2686.44295496018</v>
      </c>
      <c r="VF102" s="0" t="n">
        <f aca="false">VF99+VF101</f>
        <v>2281.50511609486</v>
      </c>
      <c r="VG102" s="0" t="n">
        <f aca="false">VG99+VG101</f>
        <v>2045.2158940685</v>
      </c>
      <c r="VH102" s="0" t="n">
        <f aca="false">VH99+VH101</f>
        <v>1575.83442467452</v>
      </c>
      <c r="VI102" s="0" t="n">
        <f aca="false">VI99+VI101</f>
        <v>3288.58235562573</v>
      </c>
      <c r="VJ102" s="0" t="n">
        <f aca="false">VJ99+VJ101</f>
        <v>2321.65457102591</v>
      </c>
      <c r="VK102" s="0" t="n">
        <f aca="false">VK99+VK101</f>
        <v>2932.64371932035</v>
      </c>
      <c r="VL102" s="0" t="n">
        <f aca="false">VL99+VL101</f>
        <v>2950.90299122968</v>
      </c>
      <c r="VM102" s="0" t="n">
        <f aca="false">VM99+VM101</f>
        <v>3644.04568986268</v>
      </c>
      <c r="VN102" s="0" t="n">
        <f aca="false">VN99+VN101</f>
        <v>2389.61825739771</v>
      </c>
      <c r="VO102" s="0" t="n">
        <f aca="false">VO99+VO101</f>
        <v>3594.44334547204</v>
      </c>
      <c r="VP102" s="0" t="n">
        <f aca="false">VP99+VP101</f>
        <v>3274.92568254962</v>
      </c>
      <c r="VQ102" s="0" t="n">
        <f aca="false">VQ99+VQ101</f>
        <v>3068.65810895085</v>
      </c>
      <c r="VR102" s="0" t="n">
        <f aca="false">VR99+VR101</f>
        <v>3634.09163630546</v>
      </c>
      <c r="VS102" s="0" t="n">
        <f aca="false">VS99+VS101</f>
        <v>3005.08420161952</v>
      </c>
      <c r="VT102" s="0" t="n">
        <f aca="false">VT99+VT101</f>
        <v>2315.05151104272</v>
      </c>
      <c r="VU102" s="0" t="n">
        <f aca="false">VU99+VU101</f>
        <v>3164.67941538103</v>
      </c>
      <c r="VV102" s="0" t="n">
        <f aca="false">VV99+VV101</f>
        <v>1559.1592374862</v>
      </c>
      <c r="VW102" s="0" t="n">
        <f aca="false">VW99+VW101</f>
        <v>3094.41266985825</v>
      </c>
      <c r="VX102" s="0" t="n">
        <f aca="false">VX99+VX101</f>
        <v>2108.86514841244</v>
      </c>
      <c r="VY102" s="0" t="n">
        <f aca="false">VY99+VY101</f>
        <v>3326.06836639489</v>
      </c>
      <c r="VZ102" s="0" t="n">
        <f aca="false">VZ99+VZ101</f>
        <v>3384.89223844237</v>
      </c>
      <c r="WA102" s="0" t="n">
        <f aca="false">WA99+WA101</f>
        <v>848.97823023273</v>
      </c>
      <c r="WB102" s="0" t="n">
        <f aca="false">WB99+WB101</f>
        <v>3170.75228070178</v>
      </c>
      <c r="WC102" s="0" t="n">
        <f aca="false">WC99+WC101</f>
        <v>3438.17193016054</v>
      </c>
      <c r="WD102" s="0" t="n">
        <f aca="false">WD99+WD101</f>
        <v>2723.6170395126</v>
      </c>
      <c r="WE102" s="0" t="n">
        <f aca="false">WE99+WE101</f>
        <v>2871.15668073964</v>
      </c>
      <c r="WF102" s="0" t="n">
        <f aca="false">WF99+WF101</f>
        <v>3360.36489770055</v>
      </c>
      <c r="WG102" s="0" t="n">
        <f aca="false">WG99+WG101</f>
        <v>2577.52206397738</v>
      </c>
      <c r="WH102" s="0" t="n">
        <f aca="false">WH99+WH101</f>
        <v>2616.98007695722</v>
      </c>
      <c r="WI102" s="0" t="n">
        <f aca="false">WI99+WI101</f>
        <v>3665.49979548958</v>
      </c>
      <c r="WJ102" s="0" t="n">
        <f aca="false">WJ99+WJ101</f>
        <v>2831.77423954647</v>
      </c>
      <c r="WK102" s="0" t="n">
        <f aca="false">WK99+WK101</f>
        <v>2086.47103586647</v>
      </c>
      <c r="WL102" s="0" t="n">
        <f aca="false">WL99+WL101</f>
        <v>2728.31787550188</v>
      </c>
      <c r="WM102" s="0" t="n">
        <f aca="false">WM99+WM101</f>
        <v>3306.01786769532</v>
      </c>
      <c r="WN102" s="0" t="n">
        <f aca="false">WN99+WN101</f>
        <v>2012.16262351345</v>
      </c>
      <c r="WO102" s="0" t="n">
        <f aca="false">WO99+WO101</f>
        <v>3152.11057641739</v>
      </c>
      <c r="WP102" s="0" t="n">
        <f aca="false">WP99+WP101</f>
        <v>3428.16508126937</v>
      </c>
      <c r="WQ102" s="0" t="n">
        <f aca="false">WQ99+WQ101</f>
        <v>1630.27361649975</v>
      </c>
      <c r="WR102" s="0" t="n">
        <f aca="false">WR99+WR101</f>
        <v>2496.43596699437</v>
      </c>
      <c r="WS102" s="0" t="n">
        <f aca="false">WS99+WS101</f>
        <v>3024.0979932864</v>
      </c>
      <c r="WT102" s="0" t="n">
        <f aca="false">WT99+WT101</f>
        <v>2807.26394937232</v>
      </c>
      <c r="WU102" s="0" t="n">
        <f aca="false">WU99+WU101</f>
        <v>3247.55262442146</v>
      </c>
      <c r="WV102" s="0" t="n">
        <f aca="false">WV99+WV101</f>
        <v>3215.30331176699</v>
      </c>
      <c r="WW102" s="0" t="n">
        <f aca="false">WW99+WW101</f>
        <v>3279.9492435808</v>
      </c>
      <c r="WX102" s="0" t="n">
        <f aca="false">WX99+WX101</f>
        <v>2331.63681022432</v>
      </c>
      <c r="WY102" s="0" t="n">
        <f aca="false">WY99+WY101</f>
        <v>3049.63265008935</v>
      </c>
      <c r="WZ102" s="0" t="n">
        <f aca="false">WZ99+WZ101</f>
        <v>3056.42499992103</v>
      </c>
      <c r="XA102" s="0" t="n">
        <f aca="false">XA99+XA101</f>
        <v>3274.64405507925</v>
      </c>
      <c r="XB102" s="0" t="n">
        <f aca="false">XB99+XB101</f>
        <v>3368.39712060024</v>
      </c>
      <c r="XC102" s="0" t="n">
        <f aca="false">XC99+XC101</f>
        <v>2032.92806363103</v>
      </c>
      <c r="XD102" s="0" t="n">
        <f aca="false">XD99+XD101</f>
        <v>3415.15990497531</v>
      </c>
      <c r="XE102" s="0" t="n">
        <f aca="false">XE99+XE101</f>
        <v>3624.91487419031</v>
      </c>
      <c r="XF102" s="0" t="n">
        <f aca="false">XF99+XF101</f>
        <v>1467.42562477384</v>
      </c>
      <c r="XG102" s="0" t="n">
        <f aca="false">XG99+XG101</f>
        <v>2675.49475224051</v>
      </c>
      <c r="XH102" s="0" t="n">
        <f aca="false">XH99+XH101</f>
        <v>2878.41863459535</v>
      </c>
      <c r="XI102" s="0" t="n">
        <f aca="false">XI99+XI101</f>
        <v>3467.91947059938</v>
      </c>
      <c r="XJ102" s="0" t="n">
        <f aca="false">XJ99+XJ101</f>
        <v>2607.4524580692</v>
      </c>
      <c r="XK102" s="0" t="n">
        <f aca="false">XK99+XK101</f>
        <v>3110.52942718446</v>
      </c>
      <c r="XL102" s="0" t="n">
        <f aca="false">XL99+XL101</f>
        <v>2746.92572976167</v>
      </c>
      <c r="XM102" s="0" t="n">
        <f aca="false">XM99+XM101</f>
        <v>3739.33526309711</v>
      </c>
      <c r="XN102" s="0" t="n">
        <f aca="false">XN99+XN101</f>
        <v>2866.61768080759</v>
      </c>
      <c r="XO102" s="0" t="n">
        <f aca="false">XO99+XO101</f>
        <v>2819.27367062021</v>
      </c>
      <c r="XP102" s="0" t="n">
        <f aca="false">XP99+XP101</f>
        <v>1953.14699225982</v>
      </c>
      <c r="XQ102" s="0" t="n">
        <f aca="false">XQ99+XQ101</f>
        <v>2670.05118286813</v>
      </c>
      <c r="XR102" s="0" t="n">
        <f aca="false">XR99+XR101</f>
        <v>2655.01415174198</v>
      </c>
      <c r="XS102" s="0" t="n">
        <f aca="false">XS99+XS101</f>
        <v>2437.22785630569</v>
      </c>
      <c r="XT102" s="0" t="n">
        <f aca="false">XT99+XT101</f>
        <v>3124.14952998108</v>
      </c>
      <c r="XU102" s="0" t="n">
        <f aca="false">XU99+XU101</f>
        <v>1884.77809080773</v>
      </c>
      <c r="XV102" s="0" t="n">
        <f aca="false">XV99+XV101</f>
        <v>3367.16851863316</v>
      </c>
      <c r="XW102" s="0" t="n">
        <f aca="false">XW99+XW101</f>
        <v>2783.510717894</v>
      </c>
      <c r="XX102" s="0" t="n">
        <f aca="false">XX99+XX101</f>
        <v>2246.57788150833</v>
      </c>
      <c r="XY102" s="0" t="n">
        <f aca="false">XY99+XY101</f>
        <v>2582.36378941542</v>
      </c>
      <c r="XZ102" s="0" t="n">
        <f aca="false">XZ99+XZ101</f>
        <v>3186.17615067627</v>
      </c>
      <c r="YA102" s="0" t="n">
        <f aca="false">YA99+YA101</f>
        <v>2969.30924304516</v>
      </c>
      <c r="YB102" s="0" t="n">
        <f aca="false">YB99+YB101</f>
        <v>2699.59789061692</v>
      </c>
      <c r="YC102" s="0" t="n">
        <f aca="false">YC99+YC101</f>
        <v>2538.51114593533</v>
      </c>
      <c r="YD102" s="0" t="n">
        <f aca="false">YD99+YD101</f>
        <v>3000.42884042852</v>
      </c>
      <c r="YE102" s="0" t="n">
        <f aca="false">YE99+YE101</f>
        <v>3152.14243082892</v>
      </c>
      <c r="YF102" s="0" t="n">
        <f aca="false">YF99+YF101</f>
        <v>2612.66602221081</v>
      </c>
      <c r="YG102" s="0" t="n">
        <f aca="false">YG99+YG101</f>
        <v>3297.38833194816</v>
      </c>
      <c r="YH102" s="0" t="n">
        <f aca="false">YH99+YH101</f>
        <v>303.854299713582</v>
      </c>
      <c r="YI102" s="0" t="n">
        <f aca="false">YI99+YI101</f>
        <v>3176.28676389184</v>
      </c>
      <c r="YJ102" s="0" t="n">
        <f aca="false">YJ99+YJ101</f>
        <v>3406.12876293796</v>
      </c>
      <c r="YK102" s="0" t="n">
        <f aca="false">YK99+YK101</f>
        <v>2847.4264290273</v>
      </c>
      <c r="YL102" s="0" t="n">
        <f aca="false">YL99+YL101</f>
        <v>1699.4348109361</v>
      </c>
      <c r="YM102" s="0" t="n">
        <f aca="false">YM99+YM101</f>
        <v>2936.59749271985</v>
      </c>
      <c r="YN102" s="0" t="n">
        <f aca="false">YN99+YN101</f>
        <v>2864.28256872276</v>
      </c>
      <c r="YO102" s="0" t="n">
        <f aca="false">YO99+YO101</f>
        <v>3341.13722271546</v>
      </c>
      <c r="YP102" s="0" t="n">
        <f aca="false">YP99+YP101</f>
        <v>1684.6695242482</v>
      </c>
      <c r="YQ102" s="0" t="n">
        <f aca="false">YQ99+YQ101</f>
        <v>2436.8662012888</v>
      </c>
      <c r="YR102" s="0" t="n">
        <f aca="false">YR99+YR101</f>
        <v>2075.89459518857</v>
      </c>
      <c r="YS102" s="0" t="n">
        <f aca="false">YS99+YS101</f>
        <v>3004.65620098494</v>
      </c>
      <c r="YT102" s="0" t="n">
        <f aca="false">YT99+YT101</f>
        <v>3100.09145495578</v>
      </c>
      <c r="YU102" s="0" t="n">
        <f aca="false">YU99+YU101</f>
        <v>3573.26305619981</v>
      </c>
      <c r="YV102" s="0" t="n">
        <f aca="false">YV99+YV101</f>
        <v>2844.4100424299</v>
      </c>
      <c r="YW102" s="0" t="n">
        <f aca="false">YW99+YW101</f>
        <v>2338.76781180546</v>
      </c>
      <c r="YX102" s="0" t="n">
        <f aca="false">YX99+YX101</f>
        <v>3385.02916608579</v>
      </c>
      <c r="YY102" s="0" t="n">
        <f aca="false">YY99+YY101</f>
        <v>3458.46038423227</v>
      </c>
      <c r="YZ102" s="0" t="n">
        <f aca="false">YZ99+YZ101</f>
        <v>3051.70749504978</v>
      </c>
      <c r="ZA102" s="0" t="n">
        <f aca="false">ZA99+ZA101</f>
        <v>3366.74245511903</v>
      </c>
      <c r="ZB102" s="0" t="n">
        <f aca="false">ZB99+ZB101</f>
        <v>3328.80283357974</v>
      </c>
      <c r="ZC102" s="0" t="n">
        <f aca="false">ZC99+ZC101</f>
        <v>2350.19707699387</v>
      </c>
      <c r="ZD102" s="0" t="n">
        <f aca="false">ZD99+ZD101</f>
        <v>1861.42551594926</v>
      </c>
      <c r="ZE102" s="0" t="n">
        <f aca="false">ZE99+ZE101</f>
        <v>2977.57417689544</v>
      </c>
      <c r="ZF102" s="0" t="n">
        <f aca="false">ZF99+ZF101</f>
        <v>2838.97567911712</v>
      </c>
      <c r="ZG102" s="0" t="n">
        <f aca="false">ZG99+ZG101</f>
        <v>2952.9775679108</v>
      </c>
      <c r="ZH102" s="0" t="n">
        <f aca="false">ZH99+ZH101</f>
        <v>2149.59194523403</v>
      </c>
      <c r="ZI102" s="0" t="n">
        <f aca="false">ZI99+ZI101</f>
        <v>3064.12560068299</v>
      </c>
      <c r="ZJ102" s="0" t="n">
        <f aca="false">ZJ99+ZJ101</f>
        <v>3034.86770074625</v>
      </c>
      <c r="ZK102" s="0" t="n">
        <f aca="false">ZK99+ZK101</f>
        <v>3020.68574981806</v>
      </c>
      <c r="ZL102" s="0" t="n">
        <f aca="false">ZL99+ZL101</f>
        <v>2874.62539607614</v>
      </c>
      <c r="ZM102" s="0" t="n">
        <f aca="false">ZM99+ZM101</f>
        <v>3473.92363737822</v>
      </c>
      <c r="ZN102" s="0" t="n">
        <f aca="false">ZN99+ZN101</f>
        <v>2958.44550965325</v>
      </c>
      <c r="ZO102" s="0" t="n">
        <f aca="false">ZO99+ZO101</f>
        <v>3349.27971356839</v>
      </c>
      <c r="ZP102" s="0" t="n">
        <f aca="false">ZP99+ZP101</f>
        <v>3894.50765963459</v>
      </c>
      <c r="ZQ102" s="0" t="n">
        <f aca="false">ZQ99+ZQ101</f>
        <v>3217.14021778352</v>
      </c>
      <c r="ZR102" s="0" t="n">
        <f aca="false">ZR99+ZR101</f>
        <v>3585.60481161292</v>
      </c>
      <c r="ZS102" s="0" t="n">
        <f aca="false">ZS99+ZS101</f>
        <v>1238.57896296693</v>
      </c>
      <c r="ZT102" s="0" t="n">
        <f aca="false">ZT99+ZT101</f>
        <v>2495.57921931646</v>
      </c>
      <c r="ZU102" s="0" t="n">
        <f aca="false">ZU99+ZU101</f>
        <v>3498.85778663308</v>
      </c>
      <c r="ZV102" s="0" t="n">
        <f aca="false">ZV99+ZV101</f>
        <v>2875.47937466136</v>
      </c>
      <c r="ZW102" s="0" t="n">
        <f aca="false">ZW99+ZW101</f>
        <v>2816.09070352274</v>
      </c>
      <c r="ZX102" s="0" t="n">
        <f aca="false">ZX99+ZX101</f>
        <v>1099.60823317565</v>
      </c>
      <c r="ZY102" s="0" t="n">
        <f aca="false">ZY99+ZY101</f>
        <v>3929.6940265104</v>
      </c>
      <c r="ZZ102" s="0" t="n">
        <f aca="false">ZZ99+ZZ101</f>
        <v>2723.58199415617</v>
      </c>
      <c r="AAA102" s="0" t="n">
        <f aca="false">AAA99+AAA101</f>
        <v>3100.63840194034</v>
      </c>
      <c r="AAB102" s="0" t="n">
        <f aca="false">AAB99+AAB101</f>
        <v>2971.35053367142</v>
      </c>
      <c r="AAC102" s="0" t="n">
        <f aca="false">AAC99+AAC101</f>
        <v>3274.29858348355</v>
      </c>
      <c r="AAD102" s="0" t="n">
        <f aca="false">AAD99+AAD101</f>
        <v>2631.91932284163</v>
      </c>
      <c r="AAE102" s="0" t="n">
        <f aca="false">AAE99+AAE101</f>
        <v>3095.47606520319</v>
      </c>
      <c r="AAF102" s="0" t="n">
        <f aca="false">AAF99+AAF101</f>
        <v>2412.42942859681</v>
      </c>
      <c r="AAG102" s="0" t="n">
        <f aca="false">AAG99+AAG101</f>
        <v>2444.02298582861</v>
      </c>
      <c r="AAH102" s="0" t="n">
        <f aca="false">AAH99+AAH101</f>
        <v>2369.71019715514</v>
      </c>
      <c r="AAI102" s="0" t="n">
        <f aca="false">AAI99+AAI101</f>
        <v>3283.1793605355</v>
      </c>
      <c r="AAJ102" s="0" t="n">
        <f aca="false">AAJ99+AAJ101</f>
        <v>3150.12274227288</v>
      </c>
      <c r="AAK102" s="0" t="n">
        <f aca="false">AAK99+AAK101</f>
        <v>1897.02718842719</v>
      </c>
      <c r="AAL102" s="0" t="n">
        <f aca="false">AAL99+AAL101</f>
        <v>2732.36154233878</v>
      </c>
      <c r="AAM102" s="0" t="n">
        <f aca="false">AAM99+AAM101</f>
        <v>2988.98823966889</v>
      </c>
      <c r="AAN102" s="0" t="n">
        <f aca="false">AAN99+AAN101</f>
        <v>3442.68942373696</v>
      </c>
      <c r="AAO102" s="0" t="n">
        <f aca="false">AAO99+AAO101</f>
        <v>2987.21294863999</v>
      </c>
      <c r="AAP102" s="0" t="n">
        <f aca="false">AAP99+AAP101</f>
        <v>3597.42153005667</v>
      </c>
      <c r="AAQ102" s="0" t="n">
        <f aca="false">AAQ99+AAQ101</f>
        <v>2899.9457305213</v>
      </c>
      <c r="AAR102" s="0" t="n">
        <f aca="false">AAR99+AAR101</f>
        <v>1564.7768878436</v>
      </c>
      <c r="AAS102" s="0" t="n">
        <f aca="false">AAS99+AAS101</f>
        <v>3019.95746417095</v>
      </c>
      <c r="AAT102" s="0" t="n">
        <f aca="false">AAT99+AAT101</f>
        <v>3259.36423317335</v>
      </c>
      <c r="AAU102" s="0" t="n">
        <f aca="false">AAU99+AAU101</f>
        <v>3217.40663178003</v>
      </c>
      <c r="AAV102" s="0" t="n">
        <f aca="false">AAV99+AAV101</f>
        <v>2379.84891792074</v>
      </c>
      <c r="AAW102" s="0" t="n">
        <f aca="false">AAW99+AAW101</f>
        <v>2950.01103891122</v>
      </c>
      <c r="AAX102" s="0" t="n">
        <f aca="false">AAX99+AAX101</f>
        <v>3273.47991734866</v>
      </c>
      <c r="AAY102" s="0" t="n">
        <f aca="false">AAY99+AAY101</f>
        <v>3412.74641888257</v>
      </c>
      <c r="AAZ102" s="0" t="n">
        <f aca="false">AAZ99+AAZ101</f>
        <v>2700.42945636163</v>
      </c>
      <c r="ABA102" s="0" t="n">
        <f aca="false">ABA99+ABA101</f>
        <v>2760.88604244753</v>
      </c>
      <c r="ABB102" s="0" t="n">
        <f aca="false">ABB99+ABB101</f>
        <v>2614.56705324336</v>
      </c>
      <c r="ABC102" s="0" t="n">
        <f aca="false">ABC99+ABC101</f>
        <v>2448.72496992885</v>
      </c>
      <c r="ABD102" s="0" t="n">
        <f aca="false">ABD99+ABD101</f>
        <v>3370.1197340423</v>
      </c>
      <c r="ABE102" s="0" t="n">
        <f aca="false">ABE99+ABE101</f>
        <v>3106.0022214812</v>
      </c>
      <c r="ABF102" s="0" t="n">
        <f aca="false">ABF99+ABF101</f>
        <v>3245.86197999688</v>
      </c>
      <c r="ABG102" s="0" t="n">
        <f aca="false">ABG99+ABG101</f>
        <v>3387.05044070306</v>
      </c>
      <c r="ABH102" s="0" t="n">
        <f aca="false">ABH99+ABH101</f>
        <v>3324.70755071144</v>
      </c>
      <c r="ABI102" s="0" t="n">
        <f aca="false">ABI99+ABI101</f>
        <v>3521.10208150456</v>
      </c>
      <c r="ABJ102" s="0" t="n">
        <f aca="false">ABJ99+ABJ101</f>
        <v>2831.82282090196</v>
      </c>
      <c r="ABK102" s="0" t="n">
        <f aca="false">ABK99+ABK101</f>
        <v>3247.83048027364</v>
      </c>
      <c r="ABL102" s="0" t="n">
        <f aca="false">ABL99+ABL101</f>
        <v>2865.29194770752</v>
      </c>
      <c r="ABM102" s="0" t="n">
        <f aca="false">ABM99+ABM101</f>
        <v>2989.08495795139</v>
      </c>
      <c r="ABN102" s="0" t="n">
        <f aca="false">ABN99+ABN101</f>
        <v>3337.50227872865</v>
      </c>
      <c r="ABO102" s="0" t="n">
        <f aca="false">ABO99+ABO101</f>
        <v>3889.63239998208</v>
      </c>
      <c r="ABP102" s="0" t="n">
        <f aca="false">ABP99+ABP101</f>
        <v>3043.52041422863</v>
      </c>
      <c r="ABQ102" s="0" t="n">
        <f aca="false">ABQ99+ABQ101</f>
        <v>3134.14290512718</v>
      </c>
      <c r="ABR102" s="0" t="n">
        <f aca="false">ABR99+ABR101</f>
        <v>2895.42513763767</v>
      </c>
      <c r="ABS102" s="0" t="n">
        <f aca="false">ABS99+ABS101</f>
        <v>3800.41125836002</v>
      </c>
      <c r="ABT102" s="0" t="n">
        <f aca="false">ABT99+ABT101</f>
        <v>3549.73482918923</v>
      </c>
      <c r="ABU102" s="0" t="n">
        <f aca="false">ABU99+ABU101</f>
        <v>2846.63309432015</v>
      </c>
      <c r="ABV102" s="0" t="n">
        <f aca="false">ABV99+ABV101</f>
        <v>3294.13922374934</v>
      </c>
      <c r="ABW102" s="0" t="n">
        <f aca="false">ABW99+ABW101</f>
        <v>2879.42696270339</v>
      </c>
      <c r="ABX102" s="0" t="n">
        <f aca="false">ABX99+ABX101</f>
        <v>3412.90146020039</v>
      </c>
      <c r="ABY102" s="0" t="n">
        <f aca="false">ABY99+ABY101</f>
        <v>3104.69891814297</v>
      </c>
      <c r="ABZ102" s="0" t="n">
        <f aca="false">ABZ99+ABZ101</f>
        <v>2623.26623338104</v>
      </c>
      <c r="ACA102" s="0" t="n">
        <f aca="false">ACA99+ACA101</f>
        <v>3147.78418932747</v>
      </c>
      <c r="ACB102" s="0" t="n">
        <f aca="false">ACB99+ACB101</f>
        <v>3804.65381715026</v>
      </c>
      <c r="ACC102" s="0" t="n">
        <f aca="false">ACC99+ACC101</f>
        <v>2675.62691575072</v>
      </c>
      <c r="ACD102" s="0" t="n">
        <f aca="false">ACD99+ACD101</f>
        <v>3383.05636273225</v>
      </c>
      <c r="ACE102" s="0" t="n">
        <f aca="false">ACE99+ACE101</f>
        <v>2926.10938908823</v>
      </c>
      <c r="ACF102" s="0" t="n">
        <f aca="false">ACF99+ACF101</f>
        <v>2444.08251933978</v>
      </c>
      <c r="ACG102" s="0" t="n">
        <f aca="false">ACG99+ACG101</f>
        <v>2579.55672599666</v>
      </c>
      <c r="ACH102" s="0" t="n">
        <f aca="false">ACH99+ACH101</f>
        <v>3139.8737476226</v>
      </c>
      <c r="ACI102" s="0" t="n">
        <f aca="false">ACI99+ACI101</f>
        <v>2610.11657313388</v>
      </c>
      <c r="ACJ102" s="0" t="n">
        <f aca="false">ACJ99+ACJ101</f>
        <v>2947.74930701465</v>
      </c>
      <c r="ACK102" s="0" t="n">
        <f aca="false">ACK99+ACK101</f>
        <v>3187.73986888075</v>
      </c>
      <c r="ACL102" s="0" t="n">
        <f aca="false">ACL99+ACL101</f>
        <v>1959.29439618608</v>
      </c>
      <c r="ACM102" s="0" t="n">
        <f aca="false">ACM99+ACM101</f>
        <v>2533.69936623368</v>
      </c>
      <c r="ACN102" s="0" t="n">
        <f aca="false">ACN99+ACN101</f>
        <v>3213.6816009942</v>
      </c>
      <c r="ACO102" s="0" t="n">
        <f aca="false">ACO99+ACO101</f>
        <v>3298.4386824756</v>
      </c>
      <c r="ACP102" s="0" t="n">
        <f aca="false">ACP99+ACP101</f>
        <v>2460.66778226948</v>
      </c>
      <c r="ACQ102" s="0" t="n">
        <f aca="false">ACQ99+ACQ101</f>
        <v>2955.86498204664</v>
      </c>
      <c r="ACR102" s="0" t="n">
        <f aca="false">ACR99+ACR101</f>
        <v>2698.16867543549</v>
      </c>
      <c r="ACS102" s="0" t="n">
        <f aca="false">ACS99+ACS101</f>
        <v>3353.92440438064</v>
      </c>
      <c r="ACT102" s="0" t="n">
        <f aca="false">ACT99+ACT101</f>
        <v>2984.19535756978</v>
      </c>
      <c r="ACU102" s="0" t="n">
        <f aca="false">ACU99+ACU101</f>
        <v>3261.13410340253</v>
      </c>
      <c r="ACV102" s="0" t="n">
        <f aca="false">ACV99+ACV101</f>
        <v>3188.37997065826</v>
      </c>
      <c r="ACW102" s="0" t="n">
        <f aca="false">ACW99+ACW101</f>
        <v>2611.88015857612</v>
      </c>
      <c r="ACX102" s="0" t="n">
        <f aca="false">ACX99+ACX101</f>
        <v>3159.85427768749</v>
      </c>
      <c r="ACY102" s="0" t="n">
        <f aca="false">ACY99+ACY101</f>
        <v>1843.20535363838</v>
      </c>
      <c r="ACZ102" s="0" t="n">
        <f aca="false">ACZ99+ACZ101</f>
        <v>3342.42911387942</v>
      </c>
      <c r="ADA102" s="0" t="n">
        <f aca="false">ADA99+ADA101</f>
        <v>4192.68928996173</v>
      </c>
      <c r="ADB102" s="0" t="n">
        <f aca="false">ADB99+ADB101</f>
        <v>1792.82139430907</v>
      </c>
      <c r="ADC102" s="0" t="n">
        <f aca="false">ADC99+ADC101</f>
        <v>3182.35066857356</v>
      </c>
      <c r="ADD102" s="0" t="n">
        <f aca="false">ADD99+ADD101</f>
        <v>2552.53122904199</v>
      </c>
      <c r="ADE102" s="0" t="n">
        <f aca="false">ADE99+ADE101</f>
        <v>1829.71340953003</v>
      </c>
      <c r="ADF102" s="0" t="n">
        <f aca="false">ADF99+ADF101</f>
        <v>3219.23333660702</v>
      </c>
      <c r="ADG102" s="0" t="n">
        <f aca="false">ADG99+ADG101</f>
        <v>3692.97074997021</v>
      </c>
      <c r="ADH102" s="0" t="n">
        <f aca="false">ADH99+ADH101</f>
        <v>2781.90779215867</v>
      </c>
      <c r="ADI102" s="0" t="n">
        <f aca="false">ADI99+ADI101</f>
        <v>3380.07957162918</v>
      </c>
      <c r="ADJ102" s="0" t="n">
        <f aca="false">ADJ99+ADJ101</f>
        <v>3557.38665242509</v>
      </c>
      <c r="ADK102" s="0" t="n">
        <f aca="false">ADK99+ADK101</f>
        <v>2791.79650560197</v>
      </c>
      <c r="ADL102" s="0" t="n">
        <f aca="false">ADL99+ADL101</f>
        <v>3167.39485587604</v>
      </c>
      <c r="ADM102" s="0" t="n">
        <f aca="false">ADM99+ADM101</f>
        <v>3239.60218305996</v>
      </c>
      <c r="ADN102" s="0" t="n">
        <f aca="false">ADN99+ADN101</f>
        <v>2620.7205939132</v>
      </c>
      <c r="ADO102" s="0" t="n">
        <f aca="false">ADO99+ADO101</f>
        <v>2557.25126762601</v>
      </c>
      <c r="ADP102" s="0" t="n">
        <f aca="false">ADP99+ADP101</f>
        <v>3073.45440887149</v>
      </c>
      <c r="ADQ102" s="0" t="n">
        <f aca="false">ADQ99+ADQ101</f>
        <v>3340.15981237905</v>
      </c>
      <c r="ADR102" s="0" t="n">
        <f aca="false">ADR99+ADR101</f>
        <v>3355.75431202983</v>
      </c>
      <c r="ADS102" s="0" t="n">
        <f aca="false">ADS99+ADS101</f>
        <v>3454.44049256473</v>
      </c>
      <c r="ADT102" s="0" t="n">
        <f aca="false">ADT99+ADT101</f>
        <v>3484.28770846732</v>
      </c>
      <c r="ADU102" s="0" t="n">
        <f aca="false">ADU99+ADU101</f>
        <v>2904.83053144883</v>
      </c>
      <c r="ADV102" s="0" t="n">
        <f aca="false">ADV99+ADV101</f>
        <v>2891.79043106943</v>
      </c>
      <c r="ADW102" s="0" t="n">
        <f aca="false">ADW99+ADW101</f>
        <v>2115.82111263668</v>
      </c>
      <c r="ADX102" s="0" t="n">
        <f aca="false">ADX99+ADX101</f>
        <v>2256.84204015679</v>
      </c>
      <c r="ADY102" s="0" t="n">
        <f aca="false">ADY99+ADY101</f>
        <v>3500.82264736937</v>
      </c>
      <c r="ADZ102" s="0" t="n">
        <f aca="false">ADZ99+ADZ101</f>
        <v>3087.75383312676</v>
      </c>
      <c r="AEA102" s="0" t="n">
        <f aca="false">AEA99+AEA101</f>
        <v>3344.8299616639</v>
      </c>
      <c r="AEB102" s="0" t="n">
        <f aca="false">AEB99+AEB101</f>
        <v>2159.13603745251</v>
      </c>
      <c r="AEC102" s="0" t="n">
        <f aca="false">AEC99+AEC101</f>
        <v>3246.12377608352</v>
      </c>
      <c r="AED102" s="0" t="n">
        <f aca="false">AED99+AED101</f>
        <v>3802.06636799844</v>
      </c>
      <c r="AEE102" s="0" t="n">
        <f aca="false">AEE99+AEE101</f>
        <v>2759.71984276652</v>
      </c>
      <c r="AEF102" s="0" t="n">
        <f aca="false">AEF99+AEF101</f>
        <v>3922.56414650758</v>
      </c>
      <c r="AEG102" s="0" t="n">
        <f aca="false">AEG99+AEG101</f>
        <v>3164.75936446939</v>
      </c>
      <c r="AEH102" s="0" t="n">
        <f aca="false">AEH99+AEH101</f>
        <v>3097.85810575049</v>
      </c>
      <c r="AEI102" s="0" t="n">
        <f aca="false">AEI99+AEI101</f>
        <v>2072.39257122768</v>
      </c>
      <c r="AEJ102" s="0" t="n">
        <f aca="false">AEJ99+AEJ101</f>
        <v>2756.38170551876</v>
      </c>
      <c r="AEK102" s="0" t="n">
        <f aca="false">AEK99+AEK101</f>
        <v>3379.51073356354</v>
      </c>
      <c r="AEL102" s="0" t="n">
        <f aca="false">AEL99+AEL101</f>
        <v>3033.93766949927</v>
      </c>
      <c r="AEM102" s="0" t="n">
        <f aca="false">AEM99+AEM101</f>
        <v>3367.19341567975</v>
      </c>
      <c r="AEN102" s="0" t="n">
        <f aca="false">AEN99+AEN101</f>
        <v>1827.88065348172</v>
      </c>
      <c r="AEO102" s="0" t="n">
        <f aca="false">AEO99+AEO101</f>
        <v>3195.93229813386</v>
      </c>
      <c r="AEP102" s="0" t="n">
        <f aca="false">AEP99+AEP101</f>
        <v>3151.23880673908</v>
      </c>
      <c r="AEQ102" s="0" t="n">
        <f aca="false">AEQ99+AEQ101</f>
        <v>3375.99696740212</v>
      </c>
      <c r="AER102" s="0" t="n">
        <f aca="false">AER99+AER101</f>
        <v>1696.73601746629</v>
      </c>
      <c r="AES102" s="0" t="n">
        <f aca="false">AES99+AES101</f>
        <v>3194.01145037888</v>
      </c>
      <c r="AET102" s="0" t="n">
        <f aca="false">AET99+AET101</f>
        <v>3309.62962492912</v>
      </c>
      <c r="AEU102" s="0" t="n">
        <f aca="false">AEU99+AEU101</f>
        <v>3269.28275103838</v>
      </c>
      <c r="AEV102" s="0" t="n">
        <f aca="false">AEV99+AEV101</f>
        <v>3487.78785594122</v>
      </c>
      <c r="AEW102" s="0" t="n">
        <f aca="false">AEW99+AEW101</f>
        <v>3483.67331964287</v>
      </c>
      <c r="AEX102" s="0" t="n">
        <f aca="false">AEX99+AEX101</f>
        <v>3412.53861219636</v>
      </c>
      <c r="AEY102" s="0" t="n">
        <f aca="false">AEY99+AEY101</f>
        <v>2447.68020384839</v>
      </c>
      <c r="AEZ102" s="0" t="n">
        <f aca="false">AEZ99+AEZ101</f>
        <v>3609.2216319291</v>
      </c>
      <c r="AFA102" s="0" t="n">
        <f aca="false">AFA99+AFA101</f>
        <v>3076.12402027204</v>
      </c>
      <c r="AFB102" s="0" t="n">
        <f aca="false">AFB99+AFB101</f>
        <v>2739.28847633646</v>
      </c>
      <c r="AFC102" s="0" t="n">
        <f aca="false">AFC99+AFC101</f>
        <v>2879.29813833218</v>
      </c>
      <c r="AFD102" s="0" t="n">
        <f aca="false">AFD99+AFD101</f>
        <v>3064.65716147359</v>
      </c>
      <c r="AFE102" s="0" t="n">
        <f aca="false">AFE99+AFE101</f>
        <v>1684.38852189482</v>
      </c>
      <c r="AFF102" s="0" t="n">
        <f aca="false">AFF99+AFF101</f>
        <v>3100.06218504651</v>
      </c>
      <c r="AFG102" s="0" t="n">
        <f aca="false">AFG99+AFG101</f>
        <v>2582.64480176477</v>
      </c>
      <c r="AFH102" s="0" t="n">
        <f aca="false">AFH99+AFH101</f>
        <v>3097.98659033528</v>
      </c>
      <c r="AFI102" s="0" t="n">
        <f aca="false">AFI99+AFI101</f>
        <v>2984.30356563507</v>
      </c>
      <c r="AFJ102" s="0" t="n">
        <f aca="false">AFJ99+AFJ101</f>
        <v>2822.94661668596</v>
      </c>
      <c r="AFK102" s="0" t="n">
        <f aca="false">AFK99+AFK101</f>
        <v>3422.03995679087</v>
      </c>
      <c r="AFL102" s="0" t="n">
        <f aca="false">AFL99+AFL101</f>
        <v>3307.29879747864</v>
      </c>
      <c r="AFM102" s="0" t="n">
        <f aca="false">AFM99+AFM101</f>
        <v>2187.90156458062</v>
      </c>
      <c r="AFN102" s="0" t="n">
        <f aca="false">AFN99+AFN101</f>
        <v>2935.18031518655</v>
      </c>
      <c r="AFO102" s="0" t="n">
        <f aca="false">AFO99+AFO101</f>
        <v>3436.64944113767</v>
      </c>
      <c r="AFP102" s="0" t="n">
        <f aca="false">AFP99+AFP101</f>
        <v>2982.1324277914</v>
      </c>
      <c r="AFQ102" s="0" t="n">
        <f aca="false">AFQ99+AFQ101</f>
        <v>3111.76543037503</v>
      </c>
      <c r="AFR102" s="0" t="n">
        <f aca="false">AFR99+AFR101</f>
        <v>3623.95590032382</v>
      </c>
      <c r="AFS102" s="0" t="n">
        <f aca="false">AFS99+AFS101</f>
        <v>2455.61556743052</v>
      </c>
      <c r="AFT102" s="0" t="n">
        <f aca="false">AFT99+AFT101</f>
        <v>2037.27107437622</v>
      </c>
      <c r="AFU102" s="0" t="n">
        <f aca="false">AFU99+AFU101</f>
        <v>3945.88909583612</v>
      </c>
      <c r="AFV102" s="0" t="n">
        <f aca="false">AFV99+AFV101</f>
        <v>2408.71915396888</v>
      </c>
      <c r="AFW102" s="0" t="n">
        <f aca="false">AFW99+AFW101</f>
        <v>3052.86559415669</v>
      </c>
      <c r="AFX102" s="0" t="n">
        <f aca="false">AFX99+AFX101</f>
        <v>2002.33892864706</v>
      </c>
      <c r="AFY102" s="0" t="n">
        <f aca="false">AFY99+AFY101</f>
        <v>2948.3320704429</v>
      </c>
      <c r="AFZ102" s="0" t="n">
        <f aca="false">AFZ99+AFZ101</f>
        <v>2785.2041215737</v>
      </c>
      <c r="AGA102" s="0" t="n">
        <f aca="false">AGA99+AGA101</f>
        <v>2861.39127508792</v>
      </c>
      <c r="AGB102" s="0" t="n">
        <f aca="false">AGB99+AGB101</f>
        <v>3309.12800622348</v>
      </c>
      <c r="AGC102" s="0" t="n">
        <f aca="false">AGC99+AGC101</f>
        <v>3000.74418404105</v>
      </c>
      <c r="AGD102" s="0" t="n">
        <f aca="false">AGD99+AGD101</f>
        <v>3447.02926746894</v>
      </c>
      <c r="AGE102" s="0" t="n">
        <f aca="false">AGE99+AGE101</f>
        <v>2007.78111079412</v>
      </c>
      <c r="AGF102" s="0" t="n">
        <f aca="false">AGF99+AGF101</f>
        <v>2656.42801726633</v>
      </c>
      <c r="AGG102" s="0" t="n">
        <f aca="false">AGG99+AGG101</f>
        <v>3170.21094931302</v>
      </c>
      <c r="AGH102" s="0" t="n">
        <f aca="false">AGH99+AGH101</f>
        <v>2566.21102671751</v>
      </c>
      <c r="AGI102" s="0" t="n">
        <f aca="false">AGI99+AGI101</f>
        <v>2365.61029771226</v>
      </c>
      <c r="AGJ102" s="0" t="n">
        <f aca="false">AGJ99+AGJ101</f>
        <v>2385.8545925355</v>
      </c>
      <c r="AGK102" s="0" t="n">
        <f aca="false">AGK99+AGK101</f>
        <v>2612.9257185439</v>
      </c>
      <c r="AGL102" s="0" t="n">
        <f aca="false">AGL99+AGL101</f>
        <v>2351.53538795491</v>
      </c>
      <c r="AGM102" s="0" t="n">
        <f aca="false">AGM99+AGM101</f>
        <v>3163.42191835191</v>
      </c>
      <c r="AGN102" s="0" t="n">
        <f aca="false">AGN99+AGN101</f>
        <v>2748.1736604373</v>
      </c>
      <c r="AGO102" s="0" t="n">
        <f aca="false">AGO99+AGO101</f>
        <v>2562.71324910712</v>
      </c>
      <c r="AGP102" s="0" t="n">
        <f aca="false">AGP99+AGP101</f>
        <v>2419.20022215296</v>
      </c>
      <c r="AGQ102" s="0" t="n">
        <f aca="false">AGQ99+AGQ101</f>
        <v>3161.85282693808</v>
      </c>
      <c r="AGR102" s="0" t="n">
        <f aca="false">AGR99+AGR101</f>
        <v>2914.67180036461</v>
      </c>
      <c r="AGS102" s="0" t="n">
        <f aca="false">AGS99+AGS101</f>
        <v>3715.59473605927</v>
      </c>
      <c r="AGT102" s="0" t="n">
        <f aca="false">AGT99+AGT101</f>
        <v>2190.29045779615</v>
      </c>
      <c r="AGU102" s="0" t="n">
        <f aca="false">AGU99+AGU101</f>
        <v>3471.08973877842</v>
      </c>
      <c r="AGV102" s="0" t="n">
        <f aca="false">AGV99+AGV101</f>
        <v>3035.10768409459</v>
      </c>
      <c r="AGW102" s="0" t="n">
        <f aca="false">AGW99+AGW101</f>
        <v>3023.12920097302</v>
      </c>
      <c r="AGX102" s="0" t="n">
        <f aca="false">AGX99+AGX101</f>
        <v>1780.79319578328</v>
      </c>
      <c r="AGY102" s="0" t="n">
        <f aca="false">AGY99+AGY101</f>
        <v>2837.30710660293</v>
      </c>
      <c r="AGZ102" s="0" t="n">
        <f aca="false">AGZ99+AGZ101</f>
        <v>2297.3918912558</v>
      </c>
      <c r="AHA102" s="0" t="n">
        <f aca="false">AHA99+AHA101</f>
        <v>1268.42635492117</v>
      </c>
      <c r="AHB102" s="0" t="n">
        <f aca="false">AHB99+AHB101</f>
        <v>3001.74196602283</v>
      </c>
      <c r="AHC102" s="0" t="n">
        <f aca="false">AHC99+AHC101</f>
        <v>2203.34958258538</v>
      </c>
      <c r="AHD102" s="0" t="n">
        <f aca="false">AHD99+AHD101</f>
        <v>2276.64759579138</v>
      </c>
      <c r="AHE102" s="0" t="n">
        <f aca="false">AHE99+AHE101</f>
        <v>3369.28943147777</v>
      </c>
      <c r="AHF102" s="0" t="n">
        <f aca="false">AHF99+AHF101</f>
        <v>1866.11322511252</v>
      </c>
      <c r="AHG102" s="0" t="n">
        <f aca="false">AHG99+AHG101</f>
        <v>3314.71560035604</v>
      </c>
      <c r="AHH102" s="0" t="n">
        <f aca="false">AHH99+AHH101</f>
        <v>3451.40890767757</v>
      </c>
      <c r="AHI102" s="0" t="n">
        <f aca="false">AHI99+AHI101</f>
        <v>2424.98596466632</v>
      </c>
      <c r="AHJ102" s="0" t="n">
        <f aca="false">AHJ99+AHJ101</f>
        <v>3492.41713072225</v>
      </c>
      <c r="AHK102" s="0" t="n">
        <f aca="false">AHK99+AHK101</f>
        <v>2479.23754204516</v>
      </c>
      <c r="AHL102" s="0" t="n">
        <f aca="false">AHL99+AHL101</f>
        <v>2619.68152162942</v>
      </c>
      <c r="AHM102" s="0" t="n">
        <f aca="false">AHM99+AHM101</f>
        <v>3199.98315055973</v>
      </c>
      <c r="AHN102" s="0" t="n">
        <f aca="false">AHN99+AHN101</f>
        <v>2579.70131360059</v>
      </c>
      <c r="AHO102" s="0" t="n">
        <f aca="false">AHO99+AHO101</f>
        <v>3026.96779940062</v>
      </c>
      <c r="AHP102" s="0" t="n">
        <f aca="false">AHP99+AHP101</f>
        <v>1602.88566624826</v>
      </c>
      <c r="AHQ102" s="0" t="n">
        <f aca="false">AHQ99+AHQ101</f>
        <v>2992.93821522347</v>
      </c>
      <c r="AHR102" s="0" t="n">
        <f aca="false">AHR99+AHR101</f>
        <v>1955.90934251142</v>
      </c>
      <c r="AHS102" s="0" t="n">
        <f aca="false">AHS99+AHS101</f>
        <v>3372.16789497021</v>
      </c>
      <c r="AHT102" s="0" t="n">
        <f aca="false">AHT99+AHT101</f>
        <v>2740.49313276833</v>
      </c>
      <c r="AHU102" s="0" t="n">
        <f aca="false">AHU99+AHU101</f>
        <v>3625.12872199448</v>
      </c>
      <c r="AHV102" s="0" t="n">
        <f aca="false">AHV99+AHV101</f>
        <v>2954.04014490583</v>
      </c>
      <c r="AHW102" s="0" t="n">
        <f aca="false">AHW99+AHW101</f>
        <v>3527.08476799725</v>
      </c>
      <c r="AHX102" s="0" t="n">
        <f aca="false">AHX99+AHX101</f>
        <v>2254.35794968952</v>
      </c>
      <c r="AHY102" s="0" t="n">
        <f aca="false">AHY99+AHY101</f>
        <v>2549.89989269252</v>
      </c>
      <c r="AHZ102" s="0" t="n">
        <f aca="false">AHZ99+AHZ101</f>
        <v>3339.13909734278</v>
      </c>
      <c r="AIA102" s="0" t="n">
        <f aca="false">AIA99+AIA101</f>
        <v>2621.73938751184</v>
      </c>
      <c r="AIB102" s="0" t="n">
        <f aca="false">AIB99+AIB101</f>
        <v>3593.33512030472</v>
      </c>
      <c r="AIC102" s="0" t="n">
        <f aca="false">AIC99+AIC101</f>
        <v>3338.44750344189</v>
      </c>
      <c r="AID102" s="0" t="n">
        <f aca="false">AID99+AID101</f>
        <v>1962.71773511992</v>
      </c>
      <c r="AIE102" s="0" t="n">
        <f aca="false">AIE99+AIE101</f>
        <v>2748.28345210713</v>
      </c>
      <c r="AIF102" s="0" t="n">
        <f aca="false">AIF99+AIF101</f>
        <v>3400.90731932709</v>
      </c>
      <c r="AIG102" s="0" t="n">
        <f aca="false">AIG99+AIG101</f>
        <v>2955.59318791513</v>
      </c>
      <c r="AIH102" s="0" t="n">
        <f aca="false">AIH99+AIH101</f>
        <v>3819.64175306059</v>
      </c>
      <c r="AII102" s="0" t="n">
        <f aca="false">AII99+AII101</f>
        <v>2803.13335280773</v>
      </c>
      <c r="AIJ102" s="0" t="n">
        <f aca="false">AIJ99+AIJ101</f>
        <v>3481.47575660493</v>
      </c>
      <c r="AIK102" s="0" t="n">
        <f aca="false">AIK99+AIK101</f>
        <v>2825.14519413436</v>
      </c>
      <c r="AIL102" s="0" t="n">
        <f aca="false">AIL99+AIL101</f>
        <v>3113.42896746562</v>
      </c>
      <c r="AIM102" s="0" t="n">
        <f aca="false">AIM99+AIM101</f>
        <v>2891.42716168273</v>
      </c>
      <c r="AIN102" s="0" t="n">
        <f aca="false">AIN99+AIN101</f>
        <v>3681.36077642001</v>
      </c>
      <c r="AIO102" s="0" t="n">
        <f aca="false">AIO99+AIO101</f>
        <v>2356.4287412444</v>
      </c>
      <c r="AIP102" s="0" t="n">
        <f aca="false">AIP99+AIP101</f>
        <v>2506.7555018481</v>
      </c>
      <c r="AIQ102" s="0" t="n">
        <f aca="false">AIQ99+AIQ101</f>
        <v>2978.75136886919</v>
      </c>
      <c r="AIR102" s="0" t="n">
        <f aca="false">AIR99+AIR101</f>
        <v>2483.09931586059</v>
      </c>
      <c r="AIS102" s="0" t="n">
        <f aca="false">AIS99+AIS101</f>
        <v>2429.42616124243</v>
      </c>
      <c r="AIT102" s="0" t="n">
        <f aca="false">AIT99+AIT101</f>
        <v>2888.29475802318</v>
      </c>
      <c r="AIU102" s="0" t="n">
        <f aca="false">AIU99+AIU101</f>
        <v>3356.38974809727</v>
      </c>
      <c r="AIV102" s="0" t="n">
        <f aca="false">AIV99+AIV101</f>
        <v>2783.53353592961</v>
      </c>
      <c r="AIW102" s="0" t="n">
        <f aca="false">AIW99+AIW101</f>
        <v>623.468635844682</v>
      </c>
      <c r="AIX102" s="0" t="n">
        <f aca="false">AIX99+AIX101</f>
        <v>3508.66213595819</v>
      </c>
      <c r="AIY102" s="0" t="n">
        <f aca="false">AIY99+AIY101</f>
        <v>2981.23922961487</v>
      </c>
      <c r="AIZ102" s="0" t="n">
        <f aca="false">AIZ99+AIZ101</f>
        <v>2778.36785131285</v>
      </c>
      <c r="AJA102" s="0" t="n">
        <f aca="false">AJA99+AJA101</f>
        <v>2256.89324053791</v>
      </c>
      <c r="AJB102" s="0" t="n">
        <f aca="false">AJB99+AJB101</f>
        <v>2504.74930506932</v>
      </c>
      <c r="AJC102" s="0" t="n">
        <f aca="false">AJC99+AJC101</f>
        <v>3489.71293895113</v>
      </c>
      <c r="AJD102" s="0" t="n">
        <f aca="false">AJD99+AJD101</f>
        <v>3185.94953431388</v>
      </c>
      <c r="AJE102" s="0" t="n">
        <f aca="false">AJE99+AJE101</f>
        <v>2377.21086148583</v>
      </c>
      <c r="AJF102" s="0" t="n">
        <f aca="false">AJF99+AJF101</f>
        <v>2890.53434533044</v>
      </c>
      <c r="AJG102" s="0" t="n">
        <f aca="false">AJG99+AJG101</f>
        <v>2861.46734773766</v>
      </c>
      <c r="AJH102" s="0" t="n">
        <f aca="false">AJH99+AJH101</f>
        <v>3166.53411838747</v>
      </c>
      <c r="AJI102" s="0" t="n">
        <f aca="false">AJI99+AJI101</f>
        <v>3302.91874884675</v>
      </c>
      <c r="AJJ102" s="0" t="n">
        <f aca="false">AJJ99+AJJ101</f>
        <v>3111.94119348506</v>
      </c>
      <c r="AJK102" s="0" t="n">
        <f aca="false">AJK99+AJK101</f>
        <v>2918.87035227171</v>
      </c>
      <c r="AJL102" s="0" t="n">
        <f aca="false">AJL99+AJL101</f>
        <v>2625.4508855569</v>
      </c>
      <c r="AJM102" s="0" t="n">
        <f aca="false">AJM99+AJM101</f>
        <v>2612.80852607456</v>
      </c>
      <c r="AJN102" s="0" t="n">
        <f aca="false">AJN99+AJN101</f>
        <v>2877.66482136207</v>
      </c>
      <c r="AJO102" s="0" t="n">
        <f aca="false">AJO99+AJO101</f>
        <v>2760.40942765058</v>
      </c>
      <c r="AJP102" s="0" t="n">
        <f aca="false">AJP99+AJP101</f>
        <v>2296.00759196387</v>
      </c>
      <c r="AJQ102" s="0" t="n">
        <f aca="false">AJQ99+AJQ101</f>
        <v>2693.71944334061</v>
      </c>
      <c r="AJR102" s="0" t="n">
        <f aca="false">AJR99+AJR101</f>
        <v>3263.25501025645</v>
      </c>
      <c r="AJS102" s="0" t="n">
        <f aca="false">AJS99+AJS101</f>
        <v>2809.50227042238</v>
      </c>
      <c r="AJT102" s="0" t="n">
        <f aca="false">AJT99+AJT101</f>
        <v>3604.50814748298</v>
      </c>
      <c r="AJU102" s="0" t="n">
        <f aca="false">AJU99+AJU101</f>
        <v>1414.24143242544</v>
      </c>
      <c r="AJV102" s="0" t="n">
        <f aca="false">AJV99+AJV101</f>
        <v>3060.84665269488</v>
      </c>
      <c r="AJW102" s="0" t="n">
        <f aca="false">AJW99+AJW101</f>
        <v>3281.87197637849</v>
      </c>
      <c r="AJX102" s="0" t="n">
        <f aca="false">AJX99+AJX101</f>
        <v>3044.15124737418</v>
      </c>
      <c r="AJY102" s="0" t="n">
        <f aca="false">AJY99+AJY101</f>
        <v>2494.10088425554</v>
      </c>
      <c r="AJZ102" s="0" t="n">
        <f aca="false">AJZ99+AJZ101</f>
        <v>3718.20415452509</v>
      </c>
      <c r="AKA102" s="0" t="n">
        <f aca="false">AKA99+AKA101</f>
        <v>2102.93968636228</v>
      </c>
      <c r="AKB102" s="0" t="n">
        <f aca="false">AKB99+AKB101</f>
        <v>3936.84591921684</v>
      </c>
      <c r="AKC102" s="0" t="n">
        <f aca="false">AKC99+AKC101</f>
        <v>2723.54036756925</v>
      </c>
      <c r="AKD102" s="0" t="n">
        <f aca="false">AKD99+AKD101</f>
        <v>3583.97445219416</v>
      </c>
      <c r="AKE102" s="0" t="n">
        <f aca="false">AKE99+AKE101</f>
        <v>3073.02138120486</v>
      </c>
      <c r="AKF102" s="0" t="n">
        <f aca="false">AKF99+AKF101</f>
        <v>1989.35839361308</v>
      </c>
      <c r="AKG102" s="0" t="n">
        <f aca="false">AKG99+AKG101</f>
        <v>3019.14556805196</v>
      </c>
      <c r="AKH102" s="0" t="n">
        <f aca="false">AKH99+AKH101</f>
        <v>2595.67672287122</v>
      </c>
      <c r="AKI102" s="0" t="n">
        <f aca="false">AKI99+AKI101</f>
        <v>3402.04472888944</v>
      </c>
      <c r="AKJ102" s="0" t="n">
        <f aca="false">AKJ99+AKJ101</f>
        <v>3311.80479297431</v>
      </c>
      <c r="AKK102" s="0" t="n">
        <f aca="false">AKK99+AKK101</f>
        <v>3206.88093949495</v>
      </c>
      <c r="AKL102" s="0" t="n">
        <f aca="false">AKL99+AKL101</f>
        <v>3606.3266933267</v>
      </c>
      <c r="AKM102" s="0" t="n">
        <f aca="false">AKM99+AKM101</f>
        <v>2657.7393277647</v>
      </c>
      <c r="AKN102" s="0" t="n">
        <f aca="false">AKN99+AKN101</f>
        <v>2488.98865634912</v>
      </c>
      <c r="AKO102" s="0" t="n">
        <f aca="false">AKO99+AKO101</f>
        <v>2601.00757735952</v>
      </c>
      <c r="AKP102" s="0" t="n">
        <f aca="false">AKP99+AKP101</f>
        <v>3569.54088055967</v>
      </c>
      <c r="AKQ102" s="0" t="n">
        <f aca="false">AKQ99+AKQ101</f>
        <v>2484.04652371129</v>
      </c>
      <c r="AKR102" s="0" t="n">
        <f aca="false">AKR99+AKR101</f>
        <v>2842.34476236794</v>
      </c>
      <c r="AKS102" s="0" t="n">
        <f aca="false">AKS99+AKS101</f>
        <v>3318.55580672954</v>
      </c>
      <c r="AKT102" s="0" t="n">
        <f aca="false">AKT99+AKT101</f>
        <v>2814.33506265983</v>
      </c>
      <c r="AKU102" s="0" t="n">
        <f aca="false">AKU99+AKU101</f>
        <v>3127.42206081993</v>
      </c>
      <c r="AKV102" s="0" t="n">
        <f aca="false">AKV99+AKV101</f>
        <v>2456.33750507762</v>
      </c>
      <c r="AKW102" s="0" t="n">
        <f aca="false">AKW99+AKW101</f>
        <v>3208.63770729142</v>
      </c>
      <c r="AKX102" s="0" t="n">
        <f aca="false">AKX99+AKX101</f>
        <v>2964.97151658298</v>
      </c>
      <c r="AKY102" s="0" t="n">
        <f aca="false">AKY99+AKY101</f>
        <v>1480.93695560912</v>
      </c>
      <c r="AKZ102" s="0" t="n">
        <f aca="false">AKZ99+AKZ101</f>
        <v>3882.02630657255</v>
      </c>
      <c r="ALA102" s="0" t="n">
        <f aca="false">ALA99+ALA101</f>
        <v>3234.48222925879</v>
      </c>
      <c r="ALB102" s="0" t="n">
        <f aca="false">ALB99+ALB101</f>
        <v>2315.65433424129</v>
      </c>
      <c r="ALC102" s="0" t="n">
        <f aca="false">ALC99+ALC101</f>
        <v>2862.78060776811</v>
      </c>
      <c r="ALD102" s="0" t="n">
        <f aca="false">ALD99+ALD101</f>
        <v>3179.6219055823</v>
      </c>
      <c r="ALE102" s="0" t="n">
        <f aca="false">ALE99+ALE101</f>
        <v>3019.41220127764</v>
      </c>
      <c r="ALF102" s="0" t="n">
        <f aca="false">ALF99+ALF101</f>
        <v>3417.79490238005</v>
      </c>
      <c r="ALG102" s="0" t="n">
        <f aca="false">ALG99+ALG101</f>
        <v>2419.45271479842</v>
      </c>
      <c r="ALH102" s="0" t="n">
        <f aca="false">ALH99+ALH101</f>
        <v>1780.11756609803</v>
      </c>
      <c r="ALI102" s="0" t="n">
        <f aca="false">ALI99+ALI101</f>
        <v>2468.58432128536</v>
      </c>
      <c r="ALJ102" s="0" t="n">
        <f aca="false">ALJ99+ALJ101</f>
        <v>2742.61553196447</v>
      </c>
      <c r="ALK102" s="0" t="n">
        <f aca="false">ALK99+ALK101</f>
        <v>3366.42764704696</v>
      </c>
      <c r="ALL102" s="0" t="n">
        <f aca="false">ALL99+ALL101</f>
        <v>3555.66223284154</v>
      </c>
      <c r="ALM102" s="0" t="n">
        <f aca="false">ALM99+ALM101</f>
        <v>3158.05927246132</v>
      </c>
    </row>
    <row r="103" customFormat="false" ht="14.5" hidden="false" customHeight="false" outlineLevel="0" collapsed="false">
      <c r="A103" s="97" t="s">
        <v>94</v>
      </c>
      <c r="B103" s="0" t="n">
        <f aca="false">-B98</f>
        <v>2000</v>
      </c>
      <c r="C103" s="0" t="n">
        <f aca="false">-C98</f>
        <v>2000</v>
      </c>
      <c r="D103" s="0" t="n">
        <f aca="false">-D98</f>
        <v>2000</v>
      </c>
      <c r="E103" s="0" t="n">
        <f aca="false">-E98</f>
        <v>2000</v>
      </c>
      <c r="F103" s="0" t="n">
        <f aca="false">-F98</f>
        <v>2000</v>
      </c>
      <c r="G103" s="0" t="n">
        <f aca="false">-G98</f>
        <v>2000</v>
      </c>
      <c r="H103" s="0" t="n">
        <f aca="false">-H98</f>
        <v>2000</v>
      </c>
      <c r="I103" s="0" t="n">
        <f aca="false">-I98</f>
        <v>2000</v>
      </c>
      <c r="J103" s="0" t="n">
        <f aca="false">-J98</f>
        <v>2000</v>
      </c>
      <c r="K103" s="0" t="n">
        <f aca="false">-K98</f>
        <v>2000</v>
      </c>
      <c r="L103" s="0" t="n">
        <f aca="false">-L98</f>
        <v>2000</v>
      </c>
      <c r="M103" s="0" t="n">
        <f aca="false">-M98</f>
        <v>2000</v>
      </c>
      <c r="N103" s="0" t="n">
        <f aca="false">-N98</f>
        <v>2000</v>
      </c>
      <c r="O103" s="0" t="n">
        <f aca="false">-O98</f>
        <v>2000</v>
      </c>
      <c r="P103" s="0" t="n">
        <f aca="false">-P98</f>
        <v>2000</v>
      </c>
      <c r="Q103" s="0" t="n">
        <f aca="false">-Q98</f>
        <v>2000</v>
      </c>
      <c r="R103" s="0" t="n">
        <f aca="false">-R98</f>
        <v>2000</v>
      </c>
      <c r="S103" s="0" t="n">
        <f aca="false">-S98</f>
        <v>2000</v>
      </c>
      <c r="T103" s="0" t="n">
        <f aca="false">-T98</f>
        <v>2000</v>
      </c>
      <c r="U103" s="0" t="n">
        <f aca="false">-U98</f>
        <v>2000</v>
      </c>
      <c r="V103" s="0" t="n">
        <f aca="false">-V98</f>
        <v>2000</v>
      </c>
      <c r="W103" s="0" t="n">
        <f aca="false">-W98</f>
        <v>2000</v>
      </c>
      <c r="X103" s="0" t="n">
        <f aca="false">-X98</f>
        <v>2000</v>
      </c>
      <c r="Y103" s="0" t="n">
        <f aca="false">-Y98</f>
        <v>2000</v>
      </c>
      <c r="Z103" s="0" t="n">
        <f aca="false">-Z98</f>
        <v>2000</v>
      </c>
      <c r="AA103" s="0" t="n">
        <f aca="false">-AA98</f>
        <v>2000</v>
      </c>
      <c r="AB103" s="0" t="n">
        <f aca="false">-AB98</f>
        <v>2000</v>
      </c>
      <c r="AC103" s="0" t="n">
        <f aca="false">-AC98</f>
        <v>2000</v>
      </c>
      <c r="AD103" s="0" t="n">
        <f aca="false">-AD98</f>
        <v>2000</v>
      </c>
      <c r="AE103" s="0" t="n">
        <f aca="false">-AE98</f>
        <v>2000</v>
      </c>
      <c r="AF103" s="0" t="n">
        <f aca="false">-AF98</f>
        <v>2000</v>
      </c>
      <c r="AG103" s="0" t="n">
        <f aca="false">-AG98</f>
        <v>2000</v>
      </c>
      <c r="AH103" s="0" t="n">
        <f aca="false">-AH98</f>
        <v>2000</v>
      </c>
      <c r="AI103" s="0" t="n">
        <f aca="false">-AI98</f>
        <v>2000</v>
      </c>
      <c r="AJ103" s="0" t="n">
        <f aca="false">-AJ98</f>
        <v>2000</v>
      </c>
      <c r="AK103" s="0" t="n">
        <f aca="false">-AK98</f>
        <v>2000</v>
      </c>
      <c r="AL103" s="0" t="n">
        <f aca="false">-AL98</f>
        <v>2000</v>
      </c>
      <c r="AM103" s="0" t="n">
        <f aca="false">-AM98</f>
        <v>2000</v>
      </c>
      <c r="AN103" s="0" t="n">
        <f aca="false">-AN98</f>
        <v>2000</v>
      </c>
      <c r="AO103" s="0" t="n">
        <f aca="false">-AO98</f>
        <v>2000</v>
      </c>
      <c r="AP103" s="0" t="n">
        <f aca="false">-AP98</f>
        <v>2000</v>
      </c>
      <c r="AQ103" s="0" t="n">
        <f aca="false">-AQ98</f>
        <v>2000</v>
      </c>
      <c r="AR103" s="0" t="n">
        <f aca="false">-AR98</f>
        <v>2000</v>
      </c>
      <c r="AS103" s="0" t="n">
        <f aca="false">-AS98</f>
        <v>2000</v>
      </c>
      <c r="AT103" s="0" t="n">
        <f aca="false">-AT98</f>
        <v>2000</v>
      </c>
      <c r="AU103" s="0" t="n">
        <f aca="false">-AU98</f>
        <v>2000</v>
      </c>
      <c r="AV103" s="0" t="n">
        <f aca="false">-AV98</f>
        <v>2000</v>
      </c>
      <c r="AW103" s="0" t="n">
        <f aca="false">-AW98</f>
        <v>2000</v>
      </c>
      <c r="AX103" s="0" t="n">
        <f aca="false">-AX98</f>
        <v>2000</v>
      </c>
      <c r="AY103" s="0" t="n">
        <f aca="false">-AY98</f>
        <v>2000</v>
      </c>
      <c r="AZ103" s="0" t="n">
        <f aca="false">-AZ98</f>
        <v>2000</v>
      </c>
      <c r="BA103" s="0" t="n">
        <f aca="false">-BA98</f>
        <v>2000</v>
      </c>
      <c r="BB103" s="0" t="n">
        <f aca="false">-BB98</f>
        <v>2000</v>
      </c>
      <c r="BC103" s="0" t="n">
        <f aca="false">-BC98</f>
        <v>2000</v>
      </c>
      <c r="BD103" s="0" t="n">
        <f aca="false">-BD98</f>
        <v>2000</v>
      </c>
      <c r="BE103" s="0" t="n">
        <f aca="false">-BE98</f>
        <v>2000</v>
      </c>
      <c r="BF103" s="0" t="n">
        <f aca="false">-BF98</f>
        <v>2000</v>
      </c>
      <c r="BG103" s="0" t="n">
        <f aca="false">-BG98</f>
        <v>2000</v>
      </c>
      <c r="BH103" s="0" t="n">
        <f aca="false">-BH98</f>
        <v>2000</v>
      </c>
      <c r="BI103" s="0" t="n">
        <f aca="false">-BI98</f>
        <v>2000</v>
      </c>
      <c r="BJ103" s="0" t="n">
        <f aca="false">-BJ98</f>
        <v>2000</v>
      </c>
      <c r="BK103" s="0" t="n">
        <f aca="false">-BK98</f>
        <v>2000</v>
      </c>
      <c r="BL103" s="0" t="n">
        <f aca="false">-BL98</f>
        <v>2000</v>
      </c>
      <c r="BM103" s="0" t="n">
        <f aca="false">-BM98</f>
        <v>2000</v>
      </c>
      <c r="BN103" s="0" t="n">
        <f aca="false">-BN98</f>
        <v>2000</v>
      </c>
      <c r="BO103" s="0" t="n">
        <f aca="false">-BO98</f>
        <v>2000</v>
      </c>
      <c r="BP103" s="0" t="n">
        <f aca="false">-BP98</f>
        <v>2000</v>
      </c>
      <c r="BQ103" s="0" t="n">
        <f aca="false">-BQ98</f>
        <v>2000</v>
      </c>
      <c r="BR103" s="0" t="n">
        <f aca="false">-BR98</f>
        <v>2000</v>
      </c>
      <c r="BS103" s="0" t="n">
        <f aca="false">-BS98</f>
        <v>2000</v>
      </c>
      <c r="BT103" s="0" t="n">
        <f aca="false">-BT98</f>
        <v>2000</v>
      </c>
      <c r="BU103" s="0" t="n">
        <f aca="false">-BU98</f>
        <v>2000</v>
      </c>
      <c r="BV103" s="0" t="n">
        <f aca="false">-BV98</f>
        <v>2000</v>
      </c>
      <c r="BW103" s="0" t="n">
        <f aca="false">-BW98</f>
        <v>2000</v>
      </c>
      <c r="BX103" s="0" t="n">
        <f aca="false">-BX98</f>
        <v>2000</v>
      </c>
      <c r="BY103" s="0" t="n">
        <f aca="false">-BY98</f>
        <v>2000</v>
      </c>
      <c r="BZ103" s="0" t="n">
        <f aca="false">-BZ98</f>
        <v>2000</v>
      </c>
      <c r="CA103" s="0" t="n">
        <f aca="false">-CA98</f>
        <v>2000</v>
      </c>
      <c r="CB103" s="0" t="n">
        <f aca="false">-CB98</f>
        <v>2000</v>
      </c>
      <c r="CC103" s="0" t="n">
        <f aca="false">-CC98</f>
        <v>2000</v>
      </c>
      <c r="CD103" s="0" t="n">
        <f aca="false">-CD98</f>
        <v>2000</v>
      </c>
      <c r="CE103" s="0" t="n">
        <f aca="false">-CE98</f>
        <v>2000</v>
      </c>
      <c r="CF103" s="0" t="n">
        <f aca="false">-CF98</f>
        <v>2000</v>
      </c>
      <c r="CG103" s="0" t="n">
        <f aca="false">-CG98</f>
        <v>2000</v>
      </c>
      <c r="CH103" s="0" t="n">
        <f aca="false">-CH98</f>
        <v>2000</v>
      </c>
      <c r="CI103" s="0" t="n">
        <f aca="false">-CI98</f>
        <v>2000</v>
      </c>
      <c r="CJ103" s="0" t="n">
        <f aca="false">-CJ98</f>
        <v>2000</v>
      </c>
      <c r="CK103" s="0" t="n">
        <f aca="false">-CK98</f>
        <v>2000</v>
      </c>
      <c r="CL103" s="0" t="n">
        <f aca="false">-CL98</f>
        <v>2000</v>
      </c>
      <c r="CM103" s="0" t="n">
        <f aca="false">-CM98</f>
        <v>2000</v>
      </c>
      <c r="CN103" s="0" t="n">
        <f aca="false">-CN98</f>
        <v>2000</v>
      </c>
      <c r="CO103" s="0" t="n">
        <f aca="false">-CO98</f>
        <v>2000</v>
      </c>
      <c r="CP103" s="0" t="n">
        <f aca="false">-CP98</f>
        <v>2000</v>
      </c>
      <c r="CQ103" s="0" t="n">
        <f aca="false">-CQ98</f>
        <v>2000</v>
      </c>
      <c r="CR103" s="0" t="n">
        <f aca="false">-CR98</f>
        <v>2000</v>
      </c>
      <c r="CS103" s="0" t="n">
        <f aca="false">-CS98</f>
        <v>2000</v>
      </c>
      <c r="CT103" s="0" t="n">
        <f aca="false">-CT98</f>
        <v>2000</v>
      </c>
      <c r="CU103" s="0" t="n">
        <f aca="false">-CU98</f>
        <v>2000</v>
      </c>
      <c r="CV103" s="0" t="n">
        <f aca="false">-CV98</f>
        <v>2000</v>
      </c>
      <c r="CW103" s="0" t="n">
        <f aca="false">-CW98</f>
        <v>2000</v>
      </c>
      <c r="CX103" s="0" t="n">
        <f aca="false">-CX98</f>
        <v>2000</v>
      </c>
      <c r="CY103" s="0" t="n">
        <f aca="false">-CY98</f>
        <v>2000</v>
      </c>
      <c r="CZ103" s="0" t="n">
        <f aca="false">-CZ98</f>
        <v>2000</v>
      </c>
      <c r="DA103" s="0" t="n">
        <f aca="false">-DA98</f>
        <v>2000</v>
      </c>
      <c r="DB103" s="0" t="n">
        <f aca="false">-DB98</f>
        <v>2000</v>
      </c>
      <c r="DC103" s="0" t="n">
        <f aca="false">-DC98</f>
        <v>2000</v>
      </c>
      <c r="DD103" s="0" t="n">
        <f aca="false">-DD98</f>
        <v>2000</v>
      </c>
      <c r="DE103" s="0" t="n">
        <f aca="false">-DE98</f>
        <v>2000</v>
      </c>
      <c r="DF103" s="0" t="n">
        <f aca="false">-DF98</f>
        <v>2000</v>
      </c>
      <c r="DG103" s="0" t="n">
        <f aca="false">-DG98</f>
        <v>2000</v>
      </c>
      <c r="DH103" s="0" t="n">
        <f aca="false">-DH98</f>
        <v>2000</v>
      </c>
      <c r="DI103" s="0" t="n">
        <f aca="false">-DI98</f>
        <v>2000</v>
      </c>
      <c r="DJ103" s="0" t="n">
        <f aca="false">-DJ98</f>
        <v>2000</v>
      </c>
      <c r="DK103" s="0" t="n">
        <f aca="false">-DK98</f>
        <v>2000</v>
      </c>
      <c r="DL103" s="0" t="n">
        <f aca="false">-DL98</f>
        <v>2000</v>
      </c>
      <c r="DM103" s="0" t="n">
        <f aca="false">-DM98</f>
        <v>2000</v>
      </c>
      <c r="DN103" s="0" t="n">
        <f aca="false">-DN98</f>
        <v>2000</v>
      </c>
      <c r="DO103" s="0" t="n">
        <f aca="false">-DO98</f>
        <v>2000</v>
      </c>
      <c r="DP103" s="0" t="n">
        <f aca="false">-DP98</f>
        <v>2000</v>
      </c>
      <c r="DQ103" s="0" t="n">
        <f aca="false">-DQ98</f>
        <v>2000</v>
      </c>
      <c r="DR103" s="0" t="n">
        <f aca="false">-DR98</f>
        <v>2000</v>
      </c>
      <c r="DS103" s="0" t="n">
        <f aca="false">-DS98</f>
        <v>2000</v>
      </c>
      <c r="DT103" s="0" t="n">
        <f aca="false">-DT98</f>
        <v>2000</v>
      </c>
      <c r="DU103" s="0" t="n">
        <f aca="false">-DU98</f>
        <v>2000</v>
      </c>
      <c r="DV103" s="0" t="n">
        <f aca="false">-DV98</f>
        <v>2000</v>
      </c>
      <c r="DW103" s="0" t="n">
        <f aca="false">-DW98</f>
        <v>2000</v>
      </c>
      <c r="DX103" s="0" t="n">
        <f aca="false">-DX98</f>
        <v>2000</v>
      </c>
      <c r="DY103" s="0" t="n">
        <f aca="false">-DY98</f>
        <v>2000</v>
      </c>
      <c r="DZ103" s="0" t="n">
        <f aca="false">-DZ98</f>
        <v>2000</v>
      </c>
      <c r="EA103" s="0" t="n">
        <f aca="false">-EA98</f>
        <v>2000</v>
      </c>
      <c r="EB103" s="0" t="n">
        <f aca="false">-EB98</f>
        <v>2000</v>
      </c>
      <c r="EC103" s="0" t="n">
        <f aca="false">-EC98</f>
        <v>2000</v>
      </c>
      <c r="ED103" s="0" t="n">
        <f aca="false">-ED98</f>
        <v>2000</v>
      </c>
      <c r="EE103" s="0" t="n">
        <f aca="false">-EE98</f>
        <v>2000</v>
      </c>
      <c r="EF103" s="0" t="n">
        <f aca="false">-EF98</f>
        <v>2000</v>
      </c>
      <c r="EG103" s="0" t="n">
        <f aca="false">-EG98</f>
        <v>2000</v>
      </c>
      <c r="EH103" s="0" t="n">
        <f aca="false">-EH98</f>
        <v>2000</v>
      </c>
      <c r="EI103" s="0" t="n">
        <f aca="false">-EI98</f>
        <v>2000</v>
      </c>
      <c r="EJ103" s="0" t="n">
        <f aca="false">-EJ98</f>
        <v>2000</v>
      </c>
      <c r="EK103" s="0" t="n">
        <f aca="false">-EK98</f>
        <v>2000</v>
      </c>
      <c r="EL103" s="0" t="n">
        <f aca="false">-EL98</f>
        <v>2000</v>
      </c>
      <c r="EM103" s="0" t="n">
        <f aca="false">-EM98</f>
        <v>2000</v>
      </c>
      <c r="EN103" s="0" t="n">
        <f aca="false">-EN98</f>
        <v>2000</v>
      </c>
      <c r="EO103" s="0" t="n">
        <f aca="false">-EO98</f>
        <v>2000</v>
      </c>
      <c r="EP103" s="0" t="n">
        <f aca="false">-EP98</f>
        <v>2000</v>
      </c>
      <c r="EQ103" s="0" t="n">
        <f aca="false">-EQ98</f>
        <v>2000</v>
      </c>
      <c r="ER103" s="0" t="n">
        <f aca="false">-ER98</f>
        <v>2000</v>
      </c>
      <c r="ES103" s="0" t="n">
        <f aca="false">-ES98</f>
        <v>2000</v>
      </c>
      <c r="ET103" s="0" t="n">
        <f aca="false">-ET98</f>
        <v>2000</v>
      </c>
      <c r="EU103" s="0" t="n">
        <f aca="false">-EU98</f>
        <v>2000</v>
      </c>
      <c r="EV103" s="0" t="n">
        <f aca="false">-EV98</f>
        <v>2000</v>
      </c>
      <c r="EW103" s="0" t="n">
        <f aca="false">-EW98</f>
        <v>2000</v>
      </c>
      <c r="EX103" s="0" t="n">
        <f aca="false">-EX98</f>
        <v>2000</v>
      </c>
      <c r="EY103" s="0" t="n">
        <f aca="false">-EY98</f>
        <v>2000</v>
      </c>
      <c r="EZ103" s="0" t="n">
        <f aca="false">-EZ98</f>
        <v>2000</v>
      </c>
      <c r="FA103" s="0" t="n">
        <f aca="false">-FA98</f>
        <v>2000</v>
      </c>
      <c r="FB103" s="0" t="n">
        <f aca="false">-FB98</f>
        <v>2000</v>
      </c>
      <c r="FC103" s="0" t="n">
        <f aca="false">-FC98</f>
        <v>2000</v>
      </c>
      <c r="FD103" s="0" t="n">
        <f aca="false">-FD98</f>
        <v>2000</v>
      </c>
      <c r="FE103" s="0" t="n">
        <f aca="false">-FE98</f>
        <v>2000</v>
      </c>
      <c r="FF103" s="0" t="n">
        <f aca="false">-FF98</f>
        <v>2000</v>
      </c>
      <c r="FG103" s="0" t="n">
        <f aca="false">-FG98</f>
        <v>2000</v>
      </c>
      <c r="FH103" s="0" t="n">
        <f aca="false">-FH98</f>
        <v>2000</v>
      </c>
      <c r="FI103" s="0" t="n">
        <f aca="false">-FI98</f>
        <v>2000</v>
      </c>
      <c r="FJ103" s="0" t="n">
        <f aca="false">-FJ98</f>
        <v>2000</v>
      </c>
      <c r="FK103" s="0" t="n">
        <f aca="false">-FK98</f>
        <v>2000</v>
      </c>
      <c r="FL103" s="0" t="n">
        <f aca="false">-FL98</f>
        <v>2000</v>
      </c>
      <c r="FM103" s="0" t="n">
        <f aca="false">-FM98</f>
        <v>2000</v>
      </c>
      <c r="FN103" s="0" t="n">
        <f aca="false">-FN98</f>
        <v>2000</v>
      </c>
      <c r="FO103" s="0" t="n">
        <f aca="false">-FO98</f>
        <v>2000</v>
      </c>
      <c r="FP103" s="0" t="n">
        <f aca="false">-FP98</f>
        <v>2000</v>
      </c>
      <c r="FQ103" s="0" t="n">
        <f aca="false">-FQ98</f>
        <v>2000</v>
      </c>
      <c r="FR103" s="0" t="n">
        <f aca="false">-FR98</f>
        <v>2000</v>
      </c>
      <c r="FS103" s="0" t="n">
        <f aca="false">-FS98</f>
        <v>2000</v>
      </c>
      <c r="FT103" s="0" t="n">
        <f aca="false">-FT98</f>
        <v>2000</v>
      </c>
      <c r="FU103" s="0" t="n">
        <f aca="false">-FU98</f>
        <v>2000</v>
      </c>
      <c r="FV103" s="0" t="n">
        <f aca="false">-FV98</f>
        <v>2000</v>
      </c>
      <c r="FW103" s="0" t="n">
        <f aca="false">-FW98</f>
        <v>2000</v>
      </c>
      <c r="FX103" s="0" t="n">
        <f aca="false">-FX98</f>
        <v>2000</v>
      </c>
      <c r="FY103" s="0" t="n">
        <f aca="false">-FY98</f>
        <v>2000</v>
      </c>
      <c r="FZ103" s="0" t="n">
        <f aca="false">-FZ98</f>
        <v>2000</v>
      </c>
      <c r="GA103" s="0" t="n">
        <f aca="false">-GA98</f>
        <v>2000</v>
      </c>
      <c r="GB103" s="0" t="n">
        <f aca="false">-GB98</f>
        <v>2000</v>
      </c>
      <c r="GC103" s="0" t="n">
        <f aca="false">-GC98</f>
        <v>2000</v>
      </c>
      <c r="GD103" s="0" t="n">
        <f aca="false">-GD98</f>
        <v>2000</v>
      </c>
      <c r="GE103" s="0" t="n">
        <f aca="false">-GE98</f>
        <v>2000</v>
      </c>
      <c r="GF103" s="0" t="n">
        <f aca="false">-GF98</f>
        <v>2000</v>
      </c>
      <c r="GG103" s="0" t="n">
        <f aca="false">-GG98</f>
        <v>2000</v>
      </c>
      <c r="GH103" s="0" t="n">
        <f aca="false">-GH98</f>
        <v>2000</v>
      </c>
      <c r="GI103" s="0" t="n">
        <f aca="false">-GI98</f>
        <v>2000</v>
      </c>
      <c r="GJ103" s="0" t="n">
        <f aca="false">-GJ98</f>
        <v>2000</v>
      </c>
      <c r="GK103" s="0" t="n">
        <f aca="false">-GK98</f>
        <v>2000</v>
      </c>
      <c r="GL103" s="0" t="n">
        <f aca="false">-GL98</f>
        <v>2000</v>
      </c>
      <c r="GM103" s="0" t="n">
        <f aca="false">-GM98</f>
        <v>2000</v>
      </c>
      <c r="GN103" s="0" t="n">
        <f aca="false">-GN98</f>
        <v>2000</v>
      </c>
      <c r="GO103" s="0" t="n">
        <f aca="false">-GO98</f>
        <v>2000</v>
      </c>
      <c r="GP103" s="0" t="n">
        <f aca="false">-GP98</f>
        <v>2000</v>
      </c>
      <c r="GQ103" s="0" t="n">
        <f aca="false">-GQ98</f>
        <v>2000</v>
      </c>
      <c r="GR103" s="0" t="n">
        <f aca="false">-GR98</f>
        <v>2000</v>
      </c>
      <c r="GS103" s="0" t="n">
        <f aca="false">-GS98</f>
        <v>2000</v>
      </c>
      <c r="GT103" s="0" t="n">
        <f aca="false">-GT98</f>
        <v>2000</v>
      </c>
      <c r="GU103" s="0" t="n">
        <f aca="false">-GU98</f>
        <v>2000</v>
      </c>
      <c r="GV103" s="0" t="n">
        <f aca="false">-GV98</f>
        <v>2000</v>
      </c>
      <c r="GW103" s="0" t="n">
        <f aca="false">-GW98</f>
        <v>2000</v>
      </c>
      <c r="GX103" s="0" t="n">
        <f aca="false">-GX98</f>
        <v>2000</v>
      </c>
      <c r="GY103" s="0" t="n">
        <f aca="false">-GY98</f>
        <v>2000</v>
      </c>
      <c r="GZ103" s="0" t="n">
        <f aca="false">-GZ98</f>
        <v>2000</v>
      </c>
      <c r="HA103" s="0" t="n">
        <f aca="false">-HA98</f>
        <v>2000</v>
      </c>
      <c r="HB103" s="0" t="n">
        <f aca="false">-HB98</f>
        <v>2000</v>
      </c>
      <c r="HC103" s="0" t="n">
        <f aca="false">-HC98</f>
        <v>2000</v>
      </c>
      <c r="HD103" s="0" t="n">
        <f aca="false">-HD98</f>
        <v>2000</v>
      </c>
      <c r="HE103" s="0" t="n">
        <f aca="false">-HE98</f>
        <v>2000</v>
      </c>
      <c r="HF103" s="0" t="n">
        <f aca="false">-HF98</f>
        <v>2000</v>
      </c>
      <c r="HG103" s="0" t="n">
        <f aca="false">-HG98</f>
        <v>2000</v>
      </c>
      <c r="HH103" s="0" t="n">
        <f aca="false">-HH98</f>
        <v>2000</v>
      </c>
      <c r="HI103" s="0" t="n">
        <f aca="false">-HI98</f>
        <v>2000</v>
      </c>
      <c r="HJ103" s="0" t="n">
        <f aca="false">-HJ98</f>
        <v>2000</v>
      </c>
      <c r="HK103" s="0" t="n">
        <f aca="false">-HK98</f>
        <v>2000</v>
      </c>
      <c r="HL103" s="0" t="n">
        <f aca="false">-HL98</f>
        <v>2000</v>
      </c>
      <c r="HM103" s="0" t="n">
        <f aca="false">-HM98</f>
        <v>2000</v>
      </c>
      <c r="HN103" s="0" t="n">
        <f aca="false">-HN98</f>
        <v>2000</v>
      </c>
      <c r="HO103" s="0" t="n">
        <f aca="false">-HO98</f>
        <v>2000</v>
      </c>
      <c r="HP103" s="0" t="n">
        <f aca="false">-HP98</f>
        <v>2000</v>
      </c>
      <c r="HQ103" s="0" t="n">
        <f aca="false">-HQ98</f>
        <v>2000</v>
      </c>
      <c r="HR103" s="0" t="n">
        <f aca="false">-HR98</f>
        <v>2000</v>
      </c>
      <c r="HS103" s="0" t="n">
        <f aca="false">-HS98</f>
        <v>2000</v>
      </c>
      <c r="HT103" s="0" t="n">
        <f aca="false">-HT98</f>
        <v>2000</v>
      </c>
      <c r="HU103" s="0" t="n">
        <f aca="false">-HU98</f>
        <v>2000</v>
      </c>
      <c r="HV103" s="0" t="n">
        <f aca="false">-HV98</f>
        <v>2000</v>
      </c>
      <c r="HW103" s="0" t="n">
        <f aca="false">-HW98</f>
        <v>2000</v>
      </c>
      <c r="HX103" s="0" t="n">
        <f aca="false">-HX98</f>
        <v>2000</v>
      </c>
      <c r="HY103" s="0" t="n">
        <f aca="false">-HY98</f>
        <v>2000</v>
      </c>
      <c r="HZ103" s="0" t="n">
        <f aca="false">-HZ98</f>
        <v>2000</v>
      </c>
      <c r="IA103" s="0" t="n">
        <f aca="false">-IA98</f>
        <v>2000</v>
      </c>
      <c r="IB103" s="0" t="n">
        <f aca="false">-IB98</f>
        <v>2000</v>
      </c>
      <c r="IC103" s="0" t="n">
        <f aca="false">-IC98</f>
        <v>2000</v>
      </c>
      <c r="ID103" s="0" t="n">
        <f aca="false">-ID98</f>
        <v>2000</v>
      </c>
      <c r="IE103" s="0" t="n">
        <f aca="false">-IE98</f>
        <v>2000</v>
      </c>
      <c r="IF103" s="0" t="n">
        <f aca="false">-IF98</f>
        <v>2000</v>
      </c>
      <c r="IG103" s="0" t="n">
        <f aca="false">-IG98</f>
        <v>2000</v>
      </c>
      <c r="IH103" s="0" t="n">
        <f aca="false">-IH98</f>
        <v>2000</v>
      </c>
      <c r="II103" s="0" t="n">
        <f aca="false">-II98</f>
        <v>2000</v>
      </c>
      <c r="IJ103" s="0" t="n">
        <f aca="false">-IJ98</f>
        <v>2000</v>
      </c>
      <c r="IK103" s="0" t="n">
        <f aca="false">-IK98</f>
        <v>2000</v>
      </c>
      <c r="IL103" s="0" t="n">
        <f aca="false">-IL98</f>
        <v>2000</v>
      </c>
      <c r="IM103" s="0" t="n">
        <f aca="false">-IM98</f>
        <v>2000</v>
      </c>
      <c r="IN103" s="0" t="n">
        <f aca="false">-IN98</f>
        <v>2000</v>
      </c>
      <c r="IO103" s="0" t="n">
        <f aca="false">-IO98</f>
        <v>2000</v>
      </c>
      <c r="IP103" s="0" t="n">
        <f aca="false">-IP98</f>
        <v>2000</v>
      </c>
      <c r="IQ103" s="0" t="n">
        <f aca="false">-IQ98</f>
        <v>2000</v>
      </c>
      <c r="IR103" s="0" t="n">
        <f aca="false">-IR98</f>
        <v>2000</v>
      </c>
      <c r="IS103" s="0" t="n">
        <f aca="false">-IS98</f>
        <v>2000</v>
      </c>
      <c r="IT103" s="0" t="n">
        <f aca="false">-IT98</f>
        <v>2000</v>
      </c>
      <c r="IU103" s="0" t="n">
        <f aca="false">-IU98</f>
        <v>2000</v>
      </c>
      <c r="IV103" s="0" t="n">
        <f aca="false">-IV98</f>
        <v>2000</v>
      </c>
      <c r="IW103" s="0" t="n">
        <f aca="false">-IW98</f>
        <v>2000</v>
      </c>
      <c r="IX103" s="0" t="n">
        <f aca="false">-IX98</f>
        <v>2000</v>
      </c>
      <c r="IY103" s="0" t="n">
        <f aca="false">-IY98</f>
        <v>2000</v>
      </c>
      <c r="IZ103" s="0" t="n">
        <f aca="false">-IZ98</f>
        <v>2000</v>
      </c>
      <c r="JA103" s="0" t="n">
        <f aca="false">-JA98</f>
        <v>2000</v>
      </c>
      <c r="JB103" s="0" t="n">
        <f aca="false">-JB98</f>
        <v>2000</v>
      </c>
      <c r="JC103" s="0" t="n">
        <f aca="false">-JC98</f>
        <v>2000</v>
      </c>
      <c r="JD103" s="0" t="n">
        <f aca="false">-JD98</f>
        <v>2000</v>
      </c>
      <c r="JE103" s="0" t="n">
        <f aca="false">-JE98</f>
        <v>2000</v>
      </c>
      <c r="JF103" s="0" t="n">
        <f aca="false">-JF98</f>
        <v>2000</v>
      </c>
      <c r="JG103" s="0" t="n">
        <f aca="false">-JG98</f>
        <v>2000</v>
      </c>
      <c r="JH103" s="0" t="n">
        <f aca="false">-JH98</f>
        <v>2000</v>
      </c>
      <c r="JI103" s="0" t="n">
        <f aca="false">-JI98</f>
        <v>2000</v>
      </c>
      <c r="JJ103" s="0" t="n">
        <f aca="false">-JJ98</f>
        <v>2000</v>
      </c>
      <c r="JK103" s="0" t="n">
        <f aca="false">-JK98</f>
        <v>2000</v>
      </c>
      <c r="JL103" s="0" t="n">
        <f aca="false">-JL98</f>
        <v>2000</v>
      </c>
      <c r="JM103" s="0" t="n">
        <f aca="false">-JM98</f>
        <v>2000</v>
      </c>
      <c r="JN103" s="0" t="n">
        <f aca="false">-JN98</f>
        <v>2000</v>
      </c>
      <c r="JO103" s="0" t="n">
        <f aca="false">-JO98</f>
        <v>2000</v>
      </c>
      <c r="JP103" s="0" t="n">
        <f aca="false">-JP98</f>
        <v>2000</v>
      </c>
      <c r="JQ103" s="0" t="n">
        <f aca="false">-JQ98</f>
        <v>2000</v>
      </c>
      <c r="JR103" s="0" t="n">
        <f aca="false">-JR98</f>
        <v>2000</v>
      </c>
      <c r="JS103" s="0" t="n">
        <f aca="false">-JS98</f>
        <v>2000</v>
      </c>
      <c r="JT103" s="0" t="n">
        <f aca="false">-JT98</f>
        <v>2000</v>
      </c>
      <c r="JU103" s="0" t="n">
        <f aca="false">-JU98</f>
        <v>2000</v>
      </c>
      <c r="JV103" s="0" t="n">
        <f aca="false">-JV98</f>
        <v>2000</v>
      </c>
      <c r="JW103" s="0" t="n">
        <f aca="false">-JW98</f>
        <v>2000</v>
      </c>
      <c r="JX103" s="0" t="n">
        <f aca="false">-JX98</f>
        <v>2000</v>
      </c>
      <c r="JY103" s="0" t="n">
        <f aca="false">-JY98</f>
        <v>2000</v>
      </c>
      <c r="JZ103" s="0" t="n">
        <f aca="false">-JZ98</f>
        <v>2000</v>
      </c>
      <c r="KA103" s="0" t="n">
        <f aca="false">-KA98</f>
        <v>2000</v>
      </c>
      <c r="KB103" s="0" t="n">
        <f aca="false">-KB98</f>
        <v>2000</v>
      </c>
      <c r="KC103" s="0" t="n">
        <f aca="false">-KC98</f>
        <v>2000</v>
      </c>
      <c r="KD103" s="0" t="n">
        <f aca="false">-KD98</f>
        <v>2000</v>
      </c>
      <c r="KE103" s="0" t="n">
        <f aca="false">-KE98</f>
        <v>2000</v>
      </c>
      <c r="KF103" s="0" t="n">
        <f aca="false">-KF98</f>
        <v>2000</v>
      </c>
      <c r="KG103" s="0" t="n">
        <f aca="false">-KG98</f>
        <v>2000</v>
      </c>
      <c r="KH103" s="0" t="n">
        <f aca="false">-KH98</f>
        <v>2000</v>
      </c>
      <c r="KI103" s="0" t="n">
        <f aca="false">-KI98</f>
        <v>2000</v>
      </c>
      <c r="KJ103" s="0" t="n">
        <f aca="false">-KJ98</f>
        <v>2000</v>
      </c>
      <c r="KK103" s="0" t="n">
        <f aca="false">-KK98</f>
        <v>2000</v>
      </c>
      <c r="KL103" s="0" t="n">
        <f aca="false">-KL98</f>
        <v>2000</v>
      </c>
      <c r="KM103" s="0" t="n">
        <f aca="false">-KM98</f>
        <v>2000</v>
      </c>
      <c r="KN103" s="0" t="n">
        <f aca="false">-KN98</f>
        <v>2000</v>
      </c>
      <c r="KO103" s="0" t="n">
        <f aca="false">-KO98</f>
        <v>2000</v>
      </c>
      <c r="KP103" s="0" t="n">
        <f aca="false">-KP98</f>
        <v>2000</v>
      </c>
      <c r="KQ103" s="0" t="n">
        <f aca="false">-KQ98</f>
        <v>2000</v>
      </c>
      <c r="KR103" s="0" t="n">
        <f aca="false">-KR98</f>
        <v>2000</v>
      </c>
      <c r="KS103" s="0" t="n">
        <f aca="false">-KS98</f>
        <v>2000</v>
      </c>
      <c r="KT103" s="0" t="n">
        <f aca="false">-KT98</f>
        <v>2000</v>
      </c>
      <c r="KU103" s="0" t="n">
        <f aca="false">-KU98</f>
        <v>2000</v>
      </c>
      <c r="KV103" s="0" t="n">
        <f aca="false">-KV98</f>
        <v>2000</v>
      </c>
      <c r="KW103" s="0" t="n">
        <f aca="false">-KW98</f>
        <v>2000</v>
      </c>
      <c r="KX103" s="0" t="n">
        <f aca="false">-KX98</f>
        <v>2000</v>
      </c>
      <c r="KY103" s="0" t="n">
        <f aca="false">-KY98</f>
        <v>2000</v>
      </c>
      <c r="KZ103" s="0" t="n">
        <f aca="false">-KZ98</f>
        <v>2000</v>
      </c>
      <c r="LA103" s="0" t="n">
        <f aca="false">-LA98</f>
        <v>2000</v>
      </c>
      <c r="LB103" s="0" t="n">
        <f aca="false">-LB98</f>
        <v>2000</v>
      </c>
      <c r="LC103" s="0" t="n">
        <f aca="false">-LC98</f>
        <v>2000</v>
      </c>
      <c r="LD103" s="0" t="n">
        <f aca="false">-LD98</f>
        <v>2000</v>
      </c>
      <c r="LE103" s="0" t="n">
        <f aca="false">-LE98</f>
        <v>2000</v>
      </c>
      <c r="LF103" s="0" t="n">
        <f aca="false">-LF98</f>
        <v>2000</v>
      </c>
      <c r="LG103" s="0" t="n">
        <f aca="false">-LG98</f>
        <v>2000</v>
      </c>
      <c r="LH103" s="0" t="n">
        <f aca="false">-LH98</f>
        <v>2000</v>
      </c>
      <c r="LI103" s="0" t="n">
        <f aca="false">-LI98</f>
        <v>2000</v>
      </c>
      <c r="LJ103" s="0" t="n">
        <f aca="false">-LJ98</f>
        <v>2000</v>
      </c>
      <c r="LK103" s="0" t="n">
        <f aca="false">-LK98</f>
        <v>2000</v>
      </c>
      <c r="LL103" s="0" t="n">
        <f aca="false">-LL98</f>
        <v>2000</v>
      </c>
      <c r="LM103" s="0" t="n">
        <f aca="false">-LM98</f>
        <v>2000</v>
      </c>
      <c r="LN103" s="0" t="n">
        <f aca="false">-LN98</f>
        <v>2000</v>
      </c>
      <c r="LO103" s="0" t="n">
        <f aca="false">-LO98</f>
        <v>2000</v>
      </c>
      <c r="LP103" s="0" t="n">
        <f aca="false">-LP98</f>
        <v>2000</v>
      </c>
      <c r="LQ103" s="0" t="n">
        <f aca="false">-LQ98</f>
        <v>2000</v>
      </c>
      <c r="LR103" s="0" t="n">
        <f aca="false">-LR98</f>
        <v>2000</v>
      </c>
      <c r="LS103" s="0" t="n">
        <f aca="false">-LS98</f>
        <v>2000</v>
      </c>
      <c r="LT103" s="0" t="n">
        <f aca="false">-LT98</f>
        <v>2000</v>
      </c>
      <c r="LU103" s="0" t="n">
        <f aca="false">-LU98</f>
        <v>2000</v>
      </c>
      <c r="LV103" s="0" t="n">
        <f aca="false">-LV98</f>
        <v>2000</v>
      </c>
      <c r="LW103" s="0" t="n">
        <f aca="false">-LW98</f>
        <v>2000</v>
      </c>
      <c r="LX103" s="0" t="n">
        <f aca="false">-LX98</f>
        <v>2000</v>
      </c>
      <c r="LY103" s="0" t="n">
        <f aca="false">-LY98</f>
        <v>2000</v>
      </c>
      <c r="LZ103" s="0" t="n">
        <f aca="false">-LZ98</f>
        <v>2000</v>
      </c>
      <c r="MA103" s="0" t="n">
        <f aca="false">-MA98</f>
        <v>2000</v>
      </c>
      <c r="MB103" s="0" t="n">
        <f aca="false">-MB98</f>
        <v>2000</v>
      </c>
      <c r="MC103" s="0" t="n">
        <f aca="false">-MC98</f>
        <v>2000</v>
      </c>
      <c r="MD103" s="0" t="n">
        <f aca="false">-MD98</f>
        <v>2000</v>
      </c>
      <c r="ME103" s="0" t="n">
        <f aca="false">-ME98</f>
        <v>2000</v>
      </c>
      <c r="MF103" s="0" t="n">
        <f aca="false">-MF98</f>
        <v>2000</v>
      </c>
      <c r="MG103" s="0" t="n">
        <f aca="false">-MG98</f>
        <v>2000</v>
      </c>
      <c r="MH103" s="0" t="n">
        <f aca="false">-MH98</f>
        <v>2000</v>
      </c>
      <c r="MI103" s="0" t="n">
        <f aca="false">-MI98</f>
        <v>2000</v>
      </c>
      <c r="MJ103" s="0" t="n">
        <f aca="false">-MJ98</f>
        <v>2000</v>
      </c>
      <c r="MK103" s="0" t="n">
        <f aca="false">-MK98</f>
        <v>2000</v>
      </c>
      <c r="ML103" s="0" t="n">
        <f aca="false">-ML98</f>
        <v>2000</v>
      </c>
      <c r="MM103" s="0" t="n">
        <f aca="false">-MM98</f>
        <v>2000</v>
      </c>
      <c r="MN103" s="0" t="n">
        <f aca="false">-MN98</f>
        <v>2000</v>
      </c>
      <c r="MO103" s="0" t="n">
        <f aca="false">-MO98</f>
        <v>2000</v>
      </c>
      <c r="MP103" s="0" t="n">
        <f aca="false">-MP98</f>
        <v>2000</v>
      </c>
      <c r="MQ103" s="0" t="n">
        <f aca="false">-MQ98</f>
        <v>2000</v>
      </c>
      <c r="MR103" s="0" t="n">
        <f aca="false">-MR98</f>
        <v>2000</v>
      </c>
      <c r="MS103" s="0" t="n">
        <f aca="false">-MS98</f>
        <v>2000</v>
      </c>
      <c r="MT103" s="0" t="n">
        <f aca="false">-MT98</f>
        <v>2000</v>
      </c>
      <c r="MU103" s="0" t="n">
        <f aca="false">-MU98</f>
        <v>2000</v>
      </c>
      <c r="MV103" s="0" t="n">
        <f aca="false">-MV98</f>
        <v>2000</v>
      </c>
      <c r="MW103" s="0" t="n">
        <f aca="false">-MW98</f>
        <v>2000</v>
      </c>
      <c r="MX103" s="0" t="n">
        <f aca="false">-MX98</f>
        <v>2000</v>
      </c>
      <c r="MY103" s="0" t="n">
        <f aca="false">-MY98</f>
        <v>2000</v>
      </c>
      <c r="MZ103" s="0" t="n">
        <f aca="false">-MZ98</f>
        <v>2000</v>
      </c>
      <c r="NA103" s="0" t="n">
        <f aca="false">-NA98</f>
        <v>2000</v>
      </c>
      <c r="NB103" s="0" t="n">
        <f aca="false">-NB98</f>
        <v>2000</v>
      </c>
      <c r="NC103" s="0" t="n">
        <f aca="false">-NC98</f>
        <v>2000</v>
      </c>
      <c r="ND103" s="0" t="n">
        <f aca="false">-ND98</f>
        <v>2000</v>
      </c>
      <c r="NE103" s="0" t="n">
        <f aca="false">-NE98</f>
        <v>2000</v>
      </c>
      <c r="NF103" s="0" t="n">
        <f aca="false">-NF98</f>
        <v>2000</v>
      </c>
      <c r="NG103" s="0" t="n">
        <f aca="false">-NG98</f>
        <v>2000</v>
      </c>
      <c r="NH103" s="0" t="n">
        <f aca="false">-NH98</f>
        <v>2000</v>
      </c>
      <c r="NI103" s="0" t="n">
        <f aca="false">-NI98</f>
        <v>2000</v>
      </c>
      <c r="NJ103" s="0" t="n">
        <f aca="false">-NJ98</f>
        <v>2000</v>
      </c>
      <c r="NK103" s="0" t="n">
        <f aca="false">-NK98</f>
        <v>2000</v>
      </c>
      <c r="NL103" s="0" t="n">
        <f aca="false">-NL98</f>
        <v>2000</v>
      </c>
      <c r="NM103" s="0" t="n">
        <f aca="false">-NM98</f>
        <v>2000</v>
      </c>
      <c r="NN103" s="0" t="n">
        <f aca="false">-NN98</f>
        <v>2000</v>
      </c>
      <c r="NO103" s="0" t="n">
        <f aca="false">-NO98</f>
        <v>2000</v>
      </c>
      <c r="NP103" s="0" t="n">
        <f aca="false">-NP98</f>
        <v>2000</v>
      </c>
      <c r="NQ103" s="0" t="n">
        <f aca="false">-NQ98</f>
        <v>2000</v>
      </c>
      <c r="NR103" s="0" t="n">
        <f aca="false">-NR98</f>
        <v>2000</v>
      </c>
      <c r="NS103" s="0" t="n">
        <f aca="false">-NS98</f>
        <v>2000</v>
      </c>
      <c r="NT103" s="0" t="n">
        <f aca="false">-NT98</f>
        <v>2000</v>
      </c>
      <c r="NU103" s="0" t="n">
        <f aca="false">-NU98</f>
        <v>2000</v>
      </c>
      <c r="NV103" s="0" t="n">
        <f aca="false">-NV98</f>
        <v>2000</v>
      </c>
      <c r="NW103" s="0" t="n">
        <f aca="false">-NW98</f>
        <v>2000</v>
      </c>
      <c r="NX103" s="0" t="n">
        <f aca="false">-NX98</f>
        <v>2000</v>
      </c>
      <c r="NY103" s="0" t="n">
        <f aca="false">-NY98</f>
        <v>2000</v>
      </c>
      <c r="NZ103" s="0" t="n">
        <f aca="false">-NZ98</f>
        <v>2000</v>
      </c>
      <c r="OA103" s="0" t="n">
        <f aca="false">-OA98</f>
        <v>2000</v>
      </c>
      <c r="OB103" s="0" t="n">
        <f aca="false">-OB98</f>
        <v>2000</v>
      </c>
      <c r="OC103" s="0" t="n">
        <f aca="false">-OC98</f>
        <v>2000</v>
      </c>
      <c r="OD103" s="0" t="n">
        <f aca="false">-OD98</f>
        <v>2000</v>
      </c>
      <c r="OE103" s="0" t="n">
        <f aca="false">-OE98</f>
        <v>2000</v>
      </c>
      <c r="OF103" s="0" t="n">
        <f aca="false">-OF98</f>
        <v>2000</v>
      </c>
      <c r="OG103" s="0" t="n">
        <f aca="false">-OG98</f>
        <v>2000</v>
      </c>
      <c r="OH103" s="0" t="n">
        <f aca="false">-OH98</f>
        <v>2000</v>
      </c>
      <c r="OI103" s="0" t="n">
        <f aca="false">-OI98</f>
        <v>2000</v>
      </c>
      <c r="OJ103" s="0" t="n">
        <f aca="false">-OJ98</f>
        <v>2000</v>
      </c>
      <c r="OK103" s="0" t="n">
        <f aca="false">-OK98</f>
        <v>2000</v>
      </c>
      <c r="OL103" s="0" t="n">
        <f aca="false">-OL98</f>
        <v>2000</v>
      </c>
      <c r="OM103" s="0" t="n">
        <f aca="false">-OM98</f>
        <v>2000</v>
      </c>
      <c r="ON103" s="0" t="n">
        <f aca="false">-ON98</f>
        <v>2000</v>
      </c>
      <c r="OO103" s="0" t="n">
        <f aca="false">-OO98</f>
        <v>2000</v>
      </c>
      <c r="OP103" s="0" t="n">
        <f aca="false">-OP98</f>
        <v>2000</v>
      </c>
      <c r="OQ103" s="0" t="n">
        <f aca="false">-OQ98</f>
        <v>2000</v>
      </c>
      <c r="OR103" s="0" t="n">
        <f aca="false">-OR98</f>
        <v>2000</v>
      </c>
      <c r="OS103" s="0" t="n">
        <f aca="false">-OS98</f>
        <v>2000</v>
      </c>
      <c r="OT103" s="0" t="n">
        <f aca="false">-OT98</f>
        <v>2000</v>
      </c>
      <c r="OU103" s="0" t="n">
        <f aca="false">-OU98</f>
        <v>2000</v>
      </c>
      <c r="OV103" s="0" t="n">
        <f aca="false">-OV98</f>
        <v>2000</v>
      </c>
      <c r="OW103" s="0" t="n">
        <f aca="false">-OW98</f>
        <v>2000</v>
      </c>
      <c r="OX103" s="0" t="n">
        <f aca="false">-OX98</f>
        <v>2000</v>
      </c>
      <c r="OY103" s="0" t="n">
        <f aca="false">-OY98</f>
        <v>2000</v>
      </c>
      <c r="OZ103" s="0" t="n">
        <f aca="false">-OZ98</f>
        <v>2000</v>
      </c>
      <c r="PA103" s="0" t="n">
        <f aca="false">-PA98</f>
        <v>2000</v>
      </c>
      <c r="PB103" s="0" t="n">
        <f aca="false">-PB98</f>
        <v>2000</v>
      </c>
      <c r="PC103" s="0" t="n">
        <f aca="false">-PC98</f>
        <v>2000</v>
      </c>
      <c r="PD103" s="0" t="n">
        <f aca="false">-PD98</f>
        <v>2000</v>
      </c>
      <c r="PE103" s="0" t="n">
        <f aca="false">-PE98</f>
        <v>2000</v>
      </c>
      <c r="PF103" s="0" t="n">
        <f aca="false">-PF98</f>
        <v>2000</v>
      </c>
      <c r="PG103" s="0" t="n">
        <f aca="false">-PG98</f>
        <v>2000</v>
      </c>
      <c r="PH103" s="0" t="n">
        <f aca="false">-PH98</f>
        <v>2000</v>
      </c>
      <c r="PI103" s="0" t="n">
        <f aca="false">-PI98</f>
        <v>2000</v>
      </c>
      <c r="PJ103" s="0" t="n">
        <f aca="false">-PJ98</f>
        <v>2000</v>
      </c>
      <c r="PK103" s="0" t="n">
        <f aca="false">-PK98</f>
        <v>2000</v>
      </c>
      <c r="PL103" s="0" t="n">
        <f aca="false">-PL98</f>
        <v>2000</v>
      </c>
      <c r="PM103" s="0" t="n">
        <f aca="false">-PM98</f>
        <v>2000</v>
      </c>
      <c r="PN103" s="0" t="n">
        <f aca="false">-PN98</f>
        <v>2000</v>
      </c>
      <c r="PO103" s="0" t="n">
        <f aca="false">-PO98</f>
        <v>2000</v>
      </c>
      <c r="PP103" s="0" t="n">
        <f aca="false">-PP98</f>
        <v>2000</v>
      </c>
      <c r="PQ103" s="0" t="n">
        <f aca="false">-PQ98</f>
        <v>2000</v>
      </c>
      <c r="PR103" s="0" t="n">
        <f aca="false">-PR98</f>
        <v>2000</v>
      </c>
      <c r="PS103" s="0" t="n">
        <f aca="false">-PS98</f>
        <v>2000</v>
      </c>
      <c r="PT103" s="0" t="n">
        <f aca="false">-PT98</f>
        <v>2000</v>
      </c>
      <c r="PU103" s="0" t="n">
        <f aca="false">-PU98</f>
        <v>2000</v>
      </c>
      <c r="PV103" s="0" t="n">
        <f aca="false">-PV98</f>
        <v>2000</v>
      </c>
      <c r="PW103" s="0" t="n">
        <f aca="false">-PW98</f>
        <v>2000</v>
      </c>
      <c r="PX103" s="0" t="n">
        <f aca="false">-PX98</f>
        <v>2000</v>
      </c>
      <c r="PY103" s="0" t="n">
        <f aca="false">-PY98</f>
        <v>2000</v>
      </c>
      <c r="PZ103" s="0" t="n">
        <f aca="false">-PZ98</f>
        <v>2000</v>
      </c>
      <c r="QA103" s="0" t="n">
        <f aca="false">-QA98</f>
        <v>2000</v>
      </c>
      <c r="QB103" s="0" t="n">
        <f aca="false">-QB98</f>
        <v>2000</v>
      </c>
      <c r="QC103" s="0" t="n">
        <f aca="false">-QC98</f>
        <v>2000</v>
      </c>
      <c r="QD103" s="0" t="n">
        <f aca="false">-QD98</f>
        <v>2000</v>
      </c>
      <c r="QE103" s="0" t="n">
        <f aca="false">-QE98</f>
        <v>2000</v>
      </c>
      <c r="QF103" s="0" t="n">
        <f aca="false">-QF98</f>
        <v>2000</v>
      </c>
      <c r="QG103" s="0" t="n">
        <f aca="false">-QG98</f>
        <v>2000</v>
      </c>
      <c r="QH103" s="0" t="n">
        <f aca="false">-QH98</f>
        <v>2000</v>
      </c>
      <c r="QI103" s="0" t="n">
        <f aca="false">-QI98</f>
        <v>2000</v>
      </c>
      <c r="QJ103" s="0" t="n">
        <f aca="false">-QJ98</f>
        <v>2000</v>
      </c>
      <c r="QK103" s="0" t="n">
        <f aca="false">-QK98</f>
        <v>2000</v>
      </c>
      <c r="QL103" s="0" t="n">
        <f aca="false">-QL98</f>
        <v>2000</v>
      </c>
      <c r="QM103" s="0" t="n">
        <f aca="false">-QM98</f>
        <v>2000</v>
      </c>
      <c r="QN103" s="0" t="n">
        <f aca="false">-QN98</f>
        <v>2000</v>
      </c>
      <c r="QO103" s="0" t="n">
        <f aca="false">-QO98</f>
        <v>2000</v>
      </c>
      <c r="QP103" s="0" t="n">
        <f aca="false">-QP98</f>
        <v>2000</v>
      </c>
      <c r="QQ103" s="0" t="n">
        <f aca="false">-QQ98</f>
        <v>2000</v>
      </c>
      <c r="QR103" s="0" t="n">
        <f aca="false">-QR98</f>
        <v>2000</v>
      </c>
      <c r="QS103" s="0" t="n">
        <f aca="false">-QS98</f>
        <v>2000</v>
      </c>
      <c r="QT103" s="0" t="n">
        <f aca="false">-QT98</f>
        <v>2000</v>
      </c>
      <c r="QU103" s="0" t="n">
        <f aca="false">-QU98</f>
        <v>2000</v>
      </c>
      <c r="QV103" s="0" t="n">
        <f aca="false">-QV98</f>
        <v>2000</v>
      </c>
      <c r="QW103" s="0" t="n">
        <f aca="false">-QW98</f>
        <v>2000</v>
      </c>
      <c r="QX103" s="0" t="n">
        <f aca="false">-QX98</f>
        <v>2000</v>
      </c>
      <c r="QY103" s="0" t="n">
        <f aca="false">-QY98</f>
        <v>2000</v>
      </c>
      <c r="QZ103" s="0" t="n">
        <f aca="false">-QZ98</f>
        <v>2000</v>
      </c>
      <c r="RA103" s="0" t="n">
        <f aca="false">-RA98</f>
        <v>2000</v>
      </c>
      <c r="RB103" s="0" t="n">
        <f aca="false">-RB98</f>
        <v>2000</v>
      </c>
      <c r="RC103" s="0" t="n">
        <f aca="false">-RC98</f>
        <v>2000</v>
      </c>
      <c r="RD103" s="0" t="n">
        <f aca="false">-RD98</f>
        <v>2000</v>
      </c>
      <c r="RE103" s="0" t="n">
        <f aca="false">-RE98</f>
        <v>2000</v>
      </c>
      <c r="RF103" s="0" t="n">
        <f aca="false">-RF98</f>
        <v>2000</v>
      </c>
      <c r="RG103" s="0" t="n">
        <f aca="false">-RG98</f>
        <v>2000</v>
      </c>
      <c r="RH103" s="0" t="n">
        <f aca="false">-RH98</f>
        <v>2000</v>
      </c>
      <c r="RI103" s="0" t="n">
        <f aca="false">-RI98</f>
        <v>2000</v>
      </c>
      <c r="RJ103" s="0" t="n">
        <f aca="false">-RJ98</f>
        <v>2000</v>
      </c>
      <c r="RK103" s="0" t="n">
        <f aca="false">-RK98</f>
        <v>2000</v>
      </c>
      <c r="RL103" s="0" t="n">
        <f aca="false">-RL98</f>
        <v>2000</v>
      </c>
      <c r="RM103" s="0" t="n">
        <f aca="false">-RM98</f>
        <v>2000</v>
      </c>
      <c r="RN103" s="0" t="n">
        <f aca="false">-RN98</f>
        <v>2000</v>
      </c>
      <c r="RO103" s="0" t="n">
        <f aca="false">-RO98</f>
        <v>2000</v>
      </c>
      <c r="RP103" s="0" t="n">
        <f aca="false">-RP98</f>
        <v>2000</v>
      </c>
      <c r="RQ103" s="0" t="n">
        <f aca="false">-RQ98</f>
        <v>2000</v>
      </c>
      <c r="RR103" s="0" t="n">
        <f aca="false">-RR98</f>
        <v>2000</v>
      </c>
      <c r="RS103" s="0" t="n">
        <f aca="false">-RS98</f>
        <v>2000</v>
      </c>
      <c r="RT103" s="0" t="n">
        <f aca="false">-RT98</f>
        <v>2000</v>
      </c>
      <c r="RU103" s="0" t="n">
        <f aca="false">-RU98</f>
        <v>2000</v>
      </c>
      <c r="RV103" s="0" t="n">
        <f aca="false">-RV98</f>
        <v>2000</v>
      </c>
      <c r="RW103" s="0" t="n">
        <f aca="false">-RW98</f>
        <v>2000</v>
      </c>
      <c r="RX103" s="0" t="n">
        <f aca="false">-RX98</f>
        <v>2000</v>
      </c>
      <c r="RY103" s="0" t="n">
        <f aca="false">-RY98</f>
        <v>2000</v>
      </c>
      <c r="RZ103" s="0" t="n">
        <f aca="false">-RZ98</f>
        <v>2000</v>
      </c>
      <c r="SA103" s="0" t="n">
        <f aca="false">-SA98</f>
        <v>2000</v>
      </c>
      <c r="SB103" s="0" t="n">
        <f aca="false">-SB98</f>
        <v>2000</v>
      </c>
      <c r="SC103" s="0" t="n">
        <f aca="false">-SC98</f>
        <v>2000</v>
      </c>
      <c r="SD103" s="0" t="n">
        <f aca="false">-SD98</f>
        <v>2000</v>
      </c>
      <c r="SE103" s="0" t="n">
        <f aca="false">-SE98</f>
        <v>2000</v>
      </c>
      <c r="SF103" s="0" t="n">
        <f aca="false">-SF98</f>
        <v>2000</v>
      </c>
      <c r="SG103" s="0" t="n">
        <f aca="false">-SG98</f>
        <v>2000</v>
      </c>
      <c r="SH103" s="0" t="n">
        <f aca="false">-SH98</f>
        <v>2000</v>
      </c>
      <c r="SI103" s="0" t="n">
        <f aca="false">-SI98</f>
        <v>2000</v>
      </c>
      <c r="SJ103" s="0" t="n">
        <f aca="false">-SJ98</f>
        <v>2000</v>
      </c>
      <c r="SK103" s="0" t="n">
        <f aca="false">-SK98</f>
        <v>2000</v>
      </c>
      <c r="SL103" s="0" t="n">
        <f aca="false">-SL98</f>
        <v>2000</v>
      </c>
      <c r="SM103" s="0" t="n">
        <f aca="false">-SM98</f>
        <v>2000</v>
      </c>
      <c r="SN103" s="0" t="n">
        <f aca="false">-SN98</f>
        <v>2000</v>
      </c>
      <c r="SO103" s="0" t="n">
        <f aca="false">-SO98</f>
        <v>2000</v>
      </c>
      <c r="SP103" s="0" t="n">
        <f aca="false">-SP98</f>
        <v>2000</v>
      </c>
      <c r="SQ103" s="0" t="n">
        <f aca="false">-SQ98</f>
        <v>2000</v>
      </c>
      <c r="SR103" s="0" t="n">
        <f aca="false">-SR98</f>
        <v>2000</v>
      </c>
      <c r="SS103" s="0" t="n">
        <f aca="false">-SS98</f>
        <v>2000</v>
      </c>
      <c r="ST103" s="0" t="n">
        <f aca="false">-ST98</f>
        <v>2000</v>
      </c>
      <c r="SU103" s="0" t="n">
        <f aca="false">-SU98</f>
        <v>2000</v>
      </c>
      <c r="SV103" s="0" t="n">
        <f aca="false">-SV98</f>
        <v>2000</v>
      </c>
      <c r="SW103" s="0" t="n">
        <f aca="false">-SW98</f>
        <v>2000</v>
      </c>
      <c r="SX103" s="0" t="n">
        <f aca="false">-SX98</f>
        <v>2000</v>
      </c>
      <c r="SY103" s="0" t="n">
        <f aca="false">-SY98</f>
        <v>2000</v>
      </c>
      <c r="SZ103" s="0" t="n">
        <f aca="false">-SZ98</f>
        <v>2000</v>
      </c>
      <c r="TA103" s="0" t="n">
        <f aca="false">-TA98</f>
        <v>2000</v>
      </c>
      <c r="TB103" s="0" t="n">
        <f aca="false">-TB98</f>
        <v>2000</v>
      </c>
      <c r="TC103" s="0" t="n">
        <f aca="false">-TC98</f>
        <v>2000</v>
      </c>
      <c r="TD103" s="0" t="n">
        <f aca="false">-TD98</f>
        <v>2000</v>
      </c>
      <c r="TE103" s="0" t="n">
        <f aca="false">-TE98</f>
        <v>2000</v>
      </c>
      <c r="TF103" s="0" t="n">
        <f aca="false">-TF98</f>
        <v>2000</v>
      </c>
      <c r="TG103" s="0" t="n">
        <f aca="false">-TG98</f>
        <v>2000</v>
      </c>
      <c r="TH103" s="0" t="n">
        <f aca="false">-TH98</f>
        <v>2000</v>
      </c>
      <c r="TI103" s="0" t="n">
        <f aca="false">-TI98</f>
        <v>2000</v>
      </c>
      <c r="TJ103" s="0" t="n">
        <f aca="false">-TJ98</f>
        <v>2000</v>
      </c>
      <c r="TK103" s="0" t="n">
        <f aca="false">-TK98</f>
        <v>2000</v>
      </c>
      <c r="TL103" s="0" t="n">
        <f aca="false">-TL98</f>
        <v>2000</v>
      </c>
      <c r="TM103" s="0" t="n">
        <f aca="false">-TM98</f>
        <v>2000</v>
      </c>
      <c r="TN103" s="0" t="n">
        <f aca="false">-TN98</f>
        <v>2000</v>
      </c>
      <c r="TO103" s="0" t="n">
        <f aca="false">-TO98</f>
        <v>2000</v>
      </c>
      <c r="TP103" s="0" t="n">
        <f aca="false">-TP98</f>
        <v>2000</v>
      </c>
      <c r="TQ103" s="0" t="n">
        <f aca="false">-TQ98</f>
        <v>2000</v>
      </c>
      <c r="TR103" s="0" t="n">
        <f aca="false">-TR98</f>
        <v>2000</v>
      </c>
      <c r="TS103" s="0" t="n">
        <f aca="false">-TS98</f>
        <v>2000</v>
      </c>
      <c r="TT103" s="0" t="n">
        <f aca="false">-TT98</f>
        <v>2000</v>
      </c>
      <c r="TU103" s="0" t="n">
        <f aca="false">-TU98</f>
        <v>2000</v>
      </c>
      <c r="TV103" s="0" t="n">
        <f aca="false">-TV98</f>
        <v>2000</v>
      </c>
      <c r="TW103" s="0" t="n">
        <f aca="false">-TW98</f>
        <v>2000</v>
      </c>
      <c r="TX103" s="0" t="n">
        <f aca="false">-TX98</f>
        <v>2000</v>
      </c>
      <c r="TY103" s="0" t="n">
        <f aca="false">-TY98</f>
        <v>2000</v>
      </c>
      <c r="TZ103" s="0" t="n">
        <f aca="false">-TZ98</f>
        <v>2000</v>
      </c>
      <c r="UA103" s="0" t="n">
        <f aca="false">-UA98</f>
        <v>2000</v>
      </c>
      <c r="UB103" s="0" t="n">
        <f aca="false">-UB98</f>
        <v>2000</v>
      </c>
      <c r="UC103" s="0" t="n">
        <f aca="false">-UC98</f>
        <v>2000</v>
      </c>
      <c r="UD103" s="0" t="n">
        <f aca="false">-UD98</f>
        <v>2000</v>
      </c>
      <c r="UE103" s="0" t="n">
        <f aca="false">-UE98</f>
        <v>2000</v>
      </c>
      <c r="UF103" s="0" t="n">
        <f aca="false">-UF98</f>
        <v>2000</v>
      </c>
      <c r="UG103" s="0" t="n">
        <f aca="false">-UG98</f>
        <v>2000</v>
      </c>
      <c r="UH103" s="0" t="n">
        <f aca="false">-UH98</f>
        <v>2000</v>
      </c>
      <c r="UI103" s="0" t="n">
        <f aca="false">-UI98</f>
        <v>2000</v>
      </c>
      <c r="UJ103" s="0" t="n">
        <f aca="false">-UJ98</f>
        <v>2000</v>
      </c>
      <c r="UK103" s="0" t="n">
        <f aca="false">-UK98</f>
        <v>2000</v>
      </c>
      <c r="UL103" s="0" t="n">
        <f aca="false">-UL98</f>
        <v>2000</v>
      </c>
      <c r="UM103" s="0" t="n">
        <f aca="false">-UM98</f>
        <v>2000</v>
      </c>
      <c r="UN103" s="0" t="n">
        <f aca="false">-UN98</f>
        <v>2000</v>
      </c>
      <c r="UO103" s="0" t="n">
        <f aca="false">-UO98</f>
        <v>2000</v>
      </c>
      <c r="UP103" s="0" t="n">
        <f aca="false">-UP98</f>
        <v>2000</v>
      </c>
      <c r="UQ103" s="0" t="n">
        <f aca="false">-UQ98</f>
        <v>2000</v>
      </c>
      <c r="UR103" s="0" t="n">
        <f aca="false">-UR98</f>
        <v>2000</v>
      </c>
      <c r="US103" s="0" t="n">
        <f aca="false">-US98</f>
        <v>2000</v>
      </c>
      <c r="UT103" s="0" t="n">
        <f aca="false">-UT98</f>
        <v>2000</v>
      </c>
      <c r="UU103" s="0" t="n">
        <f aca="false">-UU98</f>
        <v>2000</v>
      </c>
      <c r="UV103" s="0" t="n">
        <f aca="false">-UV98</f>
        <v>2000</v>
      </c>
      <c r="UW103" s="0" t="n">
        <f aca="false">-UW98</f>
        <v>2000</v>
      </c>
      <c r="UX103" s="0" t="n">
        <f aca="false">-UX98</f>
        <v>2000</v>
      </c>
      <c r="UY103" s="0" t="n">
        <f aca="false">-UY98</f>
        <v>2000</v>
      </c>
      <c r="UZ103" s="0" t="n">
        <f aca="false">-UZ98</f>
        <v>2000</v>
      </c>
      <c r="VA103" s="0" t="n">
        <f aca="false">-VA98</f>
        <v>2000</v>
      </c>
      <c r="VB103" s="0" t="n">
        <f aca="false">-VB98</f>
        <v>2000</v>
      </c>
      <c r="VC103" s="0" t="n">
        <f aca="false">-VC98</f>
        <v>2000</v>
      </c>
      <c r="VD103" s="0" t="n">
        <f aca="false">-VD98</f>
        <v>2000</v>
      </c>
      <c r="VE103" s="0" t="n">
        <f aca="false">-VE98</f>
        <v>2000</v>
      </c>
      <c r="VF103" s="0" t="n">
        <f aca="false">-VF98</f>
        <v>2000</v>
      </c>
      <c r="VG103" s="0" t="n">
        <f aca="false">-VG98</f>
        <v>2000</v>
      </c>
      <c r="VH103" s="0" t="n">
        <f aca="false">-VH98</f>
        <v>2000</v>
      </c>
      <c r="VI103" s="0" t="n">
        <f aca="false">-VI98</f>
        <v>2000</v>
      </c>
      <c r="VJ103" s="0" t="n">
        <f aca="false">-VJ98</f>
        <v>2000</v>
      </c>
      <c r="VK103" s="0" t="n">
        <f aca="false">-VK98</f>
        <v>2000</v>
      </c>
      <c r="VL103" s="0" t="n">
        <f aca="false">-VL98</f>
        <v>2000</v>
      </c>
      <c r="VM103" s="0" t="n">
        <f aca="false">-VM98</f>
        <v>2000</v>
      </c>
      <c r="VN103" s="0" t="n">
        <f aca="false">-VN98</f>
        <v>2000</v>
      </c>
      <c r="VO103" s="0" t="n">
        <f aca="false">-VO98</f>
        <v>2000</v>
      </c>
      <c r="VP103" s="0" t="n">
        <f aca="false">-VP98</f>
        <v>2000</v>
      </c>
      <c r="VQ103" s="0" t="n">
        <f aca="false">-VQ98</f>
        <v>2000</v>
      </c>
      <c r="VR103" s="0" t="n">
        <f aca="false">-VR98</f>
        <v>2000</v>
      </c>
      <c r="VS103" s="0" t="n">
        <f aca="false">-VS98</f>
        <v>2000</v>
      </c>
      <c r="VT103" s="0" t="n">
        <f aca="false">-VT98</f>
        <v>2000</v>
      </c>
      <c r="VU103" s="0" t="n">
        <f aca="false">-VU98</f>
        <v>2000</v>
      </c>
      <c r="VV103" s="0" t="n">
        <f aca="false">-VV98</f>
        <v>2000</v>
      </c>
      <c r="VW103" s="0" t="n">
        <f aca="false">-VW98</f>
        <v>2000</v>
      </c>
      <c r="VX103" s="0" t="n">
        <f aca="false">-VX98</f>
        <v>2000</v>
      </c>
      <c r="VY103" s="0" t="n">
        <f aca="false">-VY98</f>
        <v>2000</v>
      </c>
      <c r="VZ103" s="0" t="n">
        <f aca="false">-VZ98</f>
        <v>2000</v>
      </c>
      <c r="WA103" s="0" t="n">
        <f aca="false">-WA98</f>
        <v>2000</v>
      </c>
      <c r="WB103" s="0" t="n">
        <f aca="false">-WB98</f>
        <v>2000</v>
      </c>
      <c r="WC103" s="0" t="n">
        <f aca="false">-WC98</f>
        <v>2000</v>
      </c>
      <c r="WD103" s="0" t="n">
        <f aca="false">-WD98</f>
        <v>2000</v>
      </c>
      <c r="WE103" s="0" t="n">
        <f aca="false">-WE98</f>
        <v>2000</v>
      </c>
      <c r="WF103" s="0" t="n">
        <f aca="false">-WF98</f>
        <v>2000</v>
      </c>
      <c r="WG103" s="0" t="n">
        <f aca="false">-WG98</f>
        <v>2000</v>
      </c>
      <c r="WH103" s="0" t="n">
        <f aca="false">-WH98</f>
        <v>2000</v>
      </c>
      <c r="WI103" s="0" t="n">
        <f aca="false">-WI98</f>
        <v>2000</v>
      </c>
      <c r="WJ103" s="0" t="n">
        <f aca="false">-WJ98</f>
        <v>2000</v>
      </c>
      <c r="WK103" s="0" t="n">
        <f aca="false">-WK98</f>
        <v>2000</v>
      </c>
      <c r="WL103" s="0" t="n">
        <f aca="false">-WL98</f>
        <v>2000</v>
      </c>
      <c r="WM103" s="0" t="n">
        <f aca="false">-WM98</f>
        <v>2000</v>
      </c>
      <c r="WN103" s="0" t="n">
        <f aca="false">-WN98</f>
        <v>2000</v>
      </c>
      <c r="WO103" s="0" t="n">
        <f aca="false">-WO98</f>
        <v>2000</v>
      </c>
      <c r="WP103" s="0" t="n">
        <f aca="false">-WP98</f>
        <v>2000</v>
      </c>
      <c r="WQ103" s="0" t="n">
        <f aca="false">-WQ98</f>
        <v>2000</v>
      </c>
      <c r="WR103" s="0" t="n">
        <f aca="false">-WR98</f>
        <v>2000</v>
      </c>
      <c r="WS103" s="0" t="n">
        <f aca="false">-WS98</f>
        <v>2000</v>
      </c>
      <c r="WT103" s="0" t="n">
        <f aca="false">-WT98</f>
        <v>2000</v>
      </c>
      <c r="WU103" s="0" t="n">
        <f aca="false">-WU98</f>
        <v>2000</v>
      </c>
      <c r="WV103" s="0" t="n">
        <f aca="false">-WV98</f>
        <v>2000</v>
      </c>
      <c r="WW103" s="0" t="n">
        <f aca="false">-WW98</f>
        <v>2000</v>
      </c>
      <c r="WX103" s="0" t="n">
        <f aca="false">-WX98</f>
        <v>2000</v>
      </c>
      <c r="WY103" s="0" t="n">
        <f aca="false">-WY98</f>
        <v>2000</v>
      </c>
      <c r="WZ103" s="0" t="n">
        <f aca="false">-WZ98</f>
        <v>2000</v>
      </c>
      <c r="XA103" s="0" t="n">
        <f aca="false">-XA98</f>
        <v>2000</v>
      </c>
      <c r="XB103" s="0" t="n">
        <f aca="false">-XB98</f>
        <v>2000</v>
      </c>
      <c r="XC103" s="0" t="n">
        <f aca="false">-XC98</f>
        <v>2000</v>
      </c>
      <c r="XD103" s="0" t="n">
        <f aca="false">-XD98</f>
        <v>2000</v>
      </c>
      <c r="XE103" s="0" t="n">
        <f aca="false">-XE98</f>
        <v>2000</v>
      </c>
      <c r="XF103" s="0" t="n">
        <f aca="false">-XF98</f>
        <v>2000</v>
      </c>
      <c r="XG103" s="0" t="n">
        <f aca="false">-XG98</f>
        <v>2000</v>
      </c>
      <c r="XH103" s="0" t="n">
        <f aca="false">-XH98</f>
        <v>2000</v>
      </c>
      <c r="XI103" s="0" t="n">
        <f aca="false">-XI98</f>
        <v>2000</v>
      </c>
      <c r="XJ103" s="0" t="n">
        <f aca="false">-XJ98</f>
        <v>2000</v>
      </c>
      <c r="XK103" s="0" t="n">
        <f aca="false">-XK98</f>
        <v>2000</v>
      </c>
      <c r="XL103" s="0" t="n">
        <f aca="false">-XL98</f>
        <v>2000</v>
      </c>
      <c r="XM103" s="0" t="n">
        <f aca="false">-XM98</f>
        <v>2000</v>
      </c>
      <c r="XN103" s="0" t="n">
        <f aca="false">-XN98</f>
        <v>2000</v>
      </c>
      <c r="XO103" s="0" t="n">
        <f aca="false">-XO98</f>
        <v>2000</v>
      </c>
      <c r="XP103" s="0" t="n">
        <f aca="false">-XP98</f>
        <v>2000</v>
      </c>
      <c r="XQ103" s="0" t="n">
        <f aca="false">-XQ98</f>
        <v>2000</v>
      </c>
      <c r="XR103" s="0" t="n">
        <f aca="false">-XR98</f>
        <v>2000</v>
      </c>
      <c r="XS103" s="0" t="n">
        <f aca="false">-XS98</f>
        <v>2000</v>
      </c>
      <c r="XT103" s="0" t="n">
        <f aca="false">-XT98</f>
        <v>2000</v>
      </c>
      <c r="XU103" s="0" t="n">
        <f aca="false">-XU98</f>
        <v>2000</v>
      </c>
      <c r="XV103" s="0" t="n">
        <f aca="false">-XV98</f>
        <v>2000</v>
      </c>
      <c r="XW103" s="0" t="n">
        <f aca="false">-XW98</f>
        <v>2000</v>
      </c>
      <c r="XX103" s="0" t="n">
        <f aca="false">-XX98</f>
        <v>2000</v>
      </c>
      <c r="XY103" s="0" t="n">
        <f aca="false">-XY98</f>
        <v>2000</v>
      </c>
      <c r="XZ103" s="0" t="n">
        <f aca="false">-XZ98</f>
        <v>2000</v>
      </c>
      <c r="YA103" s="0" t="n">
        <f aca="false">-YA98</f>
        <v>2000</v>
      </c>
      <c r="YB103" s="0" t="n">
        <f aca="false">-YB98</f>
        <v>2000</v>
      </c>
      <c r="YC103" s="0" t="n">
        <f aca="false">-YC98</f>
        <v>2000</v>
      </c>
      <c r="YD103" s="0" t="n">
        <f aca="false">-YD98</f>
        <v>2000</v>
      </c>
      <c r="YE103" s="0" t="n">
        <f aca="false">-YE98</f>
        <v>2000</v>
      </c>
      <c r="YF103" s="0" t="n">
        <f aca="false">-YF98</f>
        <v>2000</v>
      </c>
      <c r="YG103" s="0" t="n">
        <f aca="false">-YG98</f>
        <v>2000</v>
      </c>
      <c r="YH103" s="0" t="n">
        <f aca="false">-YH98</f>
        <v>2000</v>
      </c>
      <c r="YI103" s="0" t="n">
        <f aca="false">-YI98</f>
        <v>2000</v>
      </c>
      <c r="YJ103" s="0" t="n">
        <f aca="false">-YJ98</f>
        <v>2000</v>
      </c>
      <c r="YK103" s="0" t="n">
        <f aca="false">-YK98</f>
        <v>2000</v>
      </c>
      <c r="YL103" s="0" t="n">
        <f aca="false">-YL98</f>
        <v>2000</v>
      </c>
      <c r="YM103" s="0" t="n">
        <f aca="false">-YM98</f>
        <v>2000</v>
      </c>
      <c r="YN103" s="0" t="n">
        <f aca="false">-YN98</f>
        <v>2000</v>
      </c>
      <c r="YO103" s="0" t="n">
        <f aca="false">-YO98</f>
        <v>2000</v>
      </c>
      <c r="YP103" s="0" t="n">
        <f aca="false">-YP98</f>
        <v>2000</v>
      </c>
      <c r="YQ103" s="0" t="n">
        <f aca="false">-YQ98</f>
        <v>2000</v>
      </c>
      <c r="YR103" s="0" t="n">
        <f aca="false">-YR98</f>
        <v>2000</v>
      </c>
      <c r="YS103" s="0" t="n">
        <f aca="false">-YS98</f>
        <v>2000</v>
      </c>
      <c r="YT103" s="0" t="n">
        <f aca="false">-YT98</f>
        <v>2000</v>
      </c>
      <c r="YU103" s="0" t="n">
        <f aca="false">-YU98</f>
        <v>2000</v>
      </c>
      <c r="YV103" s="0" t="n">
        <f aca="false">-YV98</f>
        <v>2000</v>
      </c>
      <c r="YW103" s="0" t="n">
        <f aca="false">-YW98</f>
        <v>2000</v>
      </c>
      <c r="YX103" s="0" t="n">
        <f aca="false">-YX98</f>
        <v>2000</v>
      </c>
      <c r="YY103" s="0" t="n">
        <f aca="false">-YY98</f>
        <v>2000</v>
      </c>
      <c r="YZ103" s="0" t="n">
        <f aca="false">-YZ98</f>
        <v>2000</v>
      </c>
      <c r="ZA103" s="0" t="n">
        <f aca="false">-ZA98</f>
        <v>2000</v>
      </c>
      <c r="ZB103" s="0" t="n">
        <f aca="false">-ZB98</f>
        <v>2000</v>
      </c>
      <c r="ZC103" s="0" t="n">
        <f aca="false">-ZC98</f>
        <v>2000</v>
      </c>
      <c r="ZD103" s="0" t="n">
        <f aca="false">-ZD98</f>
        <v>2000</v>
      </c>
      <c r="ZE103" s="0" t="n">
        <f aca="false">-ZE98</f>
        <v>2000</v>
      </c>
      <c r="ZF103" s="0" t="n">
        <f aca="false">-ZF98</f>
        <v>2000</v>
      </c>
      <c r="ZG103" s="0" t="n">
        <f aca="false">-ZG98</f>
        <v>2000</v>
      </c>
      <c r="ZH103" s="0" t="n">
        <f aca="false">-ZH98</f>
        <v>2000</v>
      </c>
      <c r="ZI103" s="0" t="n">
        <f aca="false">-ZI98</f>
        <v>2000</v>
      </c>
      <c r="ZJ103" s="0" t="n">
        <f aca="false">-ZJ98</f>
        <v>2000</v>
      </c>
      <c r="ZK103" s="0" t="n">
        <f aca="false">-ZK98</f>
        <v>2000</v>
      </c>
      <c r="ZL103" s="0" t="n">
        <f aca="false">-ZL98</f>
        <v>2000</v>
      </c>
      <c r="ZM103" s="0" t="n">
        <f aca="false">-ZM98</f>
        <v>2000</v>
      </c>
      <c r="ZN103" s="0" t="n">
        <f aca="false">-ZN98</f>
        <v>2000</v>
      </c>
      <c r="ZO103" s="0" t="n">
        <f aca="false">-ZO98</f>
        <v>2000</v>
      </c>
      <c r="ZP103" s="0" t="n">
        <f aca="false">-ZP98</f>
        <v>2000</v>
      </c>
      <c r="ZQ103" s="0" t="n">
        <f aca="false">-ZQ98</f>
        <v>2000</v>
      </c>
      <c r="ZR103" s="0" t="n">
        <f aca="false">-ZR98</f>
        <v>2000</v>
      </c>
      <c r="ZS103" s="0" t="n">
        <f aca="false">-ZS98</f>
        <v>2000</v>
      </c>
      <c r="ZT103" s="0" t="n">
        <f aca="false">-ZT98</f>
        <v>2000</v>
      </c>
      <c r="ZU103" s="0" t="n">
        <f aca="false">-ZU98</f>
        <v>2000</v>
      </c>
      <c r="ZV103" s="0" t="n">
        <f aca="false">-ZV98</f>
        <v>2000</v>
      </c>
      <c r="ZW103" s="0" t="n">
        <f aca="false">-ZW98</f>
        <v>2000</v>
      </c>
      <c r="ZX103" s="0" t="n">
        <f aca="false">-ZX98</f>
        <v>2000</v>
      </c>
      <c r="ZY103" s="0" t="n">
        <f aca="false">-ZY98</f>
        <v>2000</v>
      </c>
      <c r="ZZ103" s="0" t="n">
        <f aca="false">-ZZ98</f>
        <v>2000</v>
      </c>
      <c r="AAA103" s="0" t="n">
        <f aca="false">-AAA98</f>
        <v>2000</v>
      </c>
      <c r="AAB103" s="0" t="n">
        <f aca="false">-AAB98</f>
        <v>2000</v>
      </c>
      <c r="AAC103" s="0" t="n">
        <f aca="false">-AAC98</f>
        <v>2000</v>
      </c>
      <c r="AAD103" s="0" t="n">
        <f aca="false">-AAD98</f>
        <v>2000</v>
      </c>
      <c r="AAE103" s="0" t="n">
        <f aca="false">-AAE98</f>
        <v>2000</v>
      </c>
      <c r="AAF103" s="0" t="n">
        <f aca="false">-AAF98</f>
        <v>2000</v>
      </c>
      <c r="AAG103" s="0" t="n">
        <f aca="false">-AAG98</f>
        <v>2000</v>
      </c>
      <c r="AAH103" s="0" t="n">
        <f aca="false">-AAH98</f>
        <v>2000</v>
      </c>
      <c r="AAI103" s="0" t="n">
        <f aca="false">-AAI98</f>
        <v>2000</v>
      </c>
      <c r="AAJ103" s="0" t="n">
        <f aca="false">-AAJ98</f>
        <v>2000</v>
      </c>
      <c r="AAK103" s="0" t="n">
        <f aca="false">-AAK98</f>
        <v>2000</v>
      </c>
      <c r="AAL103" s="0" t="n">
        <f aca="false">-AAL98</f>
        <v>2000</v>
      </c>
      <c r="AAM103" s="0" t="n">
        <f aca="false">-AAM98</f>
        <v>2000</v>
      </c>
      <c r="AAN103" s="0" t="n">
        <f aca="false">-AAN98</f>
        <v>2000</v>
      </c>
      <c r="AAO103" s="0" t="n">
        <f aca="false">-AAO98</f>
        <v>2000</v>
      </c>
      <c r="AAP103" s="0" t="n">
        <f aca="false">-AAP98</f>
        <v>2000</v>
      </c>
      <c r="AAQ103" s="0" t="n">
        <f aca="false">-AAQ98</f>
        <v>2000</v>
      </c>
      <c r="AAR103" s="0" t="n">
        <f aca="false">-AAR98</f>
        <v>2000</v>
      </c>
      <c r="AAS103" s="0" t="n">
        <f aca="false">-AAS98</f>
        <v>2000</v>
      </c>
      <c r="AAT103" s="0" t="n">
        <f aca="false">-AAT98</f>
        <v>2000</v>
      </c>
      <c r="AAU103" s="0" t="n">
        <f aca="false">-AAU98</f>
        <v>2000</v>
      </c>
      <c r="AAV103" s="0" t="n">
        <f aca="false">-AAV98</f>
        <v>2000</v>
      </c>
      <c r="AAW103" s="0" t="n">
        <f aca="false">-AAW98</f>
        <v>2000</v>
      </c>
      <c r="AAX103" s="0" t="n">
        <f aca="false">-AAX98</f>
        <v>2000</v>
      </c>
      <c r="AAY103" s="0" t="n">
        <f aca="false">-AAY98</f>
        <v>2000</v>
      </c>
      <c r="AAZ103" s="0" t="n">
        <f aca="false">-AAZ98</f>
        <v>2000</v>
      </c>
      <c r="ABA103" s="0" t="n">
        <f aca="false">-ABA98</f>
        <v>2000</v>
      </c>
      <c r="ABB103" s="0" t="n">
        <f aca="false">-ABB98</f>
        <v>2000</v>
      </c>
      <c r="ABC103" s="0" t="n">
        <f aca="false">-ABC98</f>
        <v>2000</v>
      </c>
      <c r="ABD103" s="0" t="n">
        <f aca="false">-ABD98</f>
        <v>2000</v>
      </c>
      <c r="ABE103" s="0" t="n">
        <f aca="false">-ABE98</f>
        <v>2000</v>
      </c>
      <c r="ABF103" s="0" t="n">
        <f aca="false">-ABF98</f>
        <v>2000</v>
      </c>
      <c r="ABG103" s="0" t="n">
        <f aca="false">-ABG98</f>
        <v>2000</v>
      </c>
      <c r="ABH103" s="0" t="n">
        <f aca="false">-ABH98</f>
        <v>2000</v>
      </c>
      <c r="ABI103" s="0" t="n">
        <f aca="false">-ABI98</f>
        <v>2000</v>
      </c>
      <c r="ABJ103" s="0" t="n">
        <f aca="false">-ABJ98</f>
        <v>2000</v>
      </c>
      <c r="ABK103" s="0" t="n">
        <f aca="false">-ABK98</f>
        <v>2000</v>
      </c>
      <c r="ABL103" s="0" t="n">
        <f aca="false">-ABL98</f>
        <v>2000</v>
      </c>
      <c r="ABM103" s="0" t="n">
        <f aca="false">-ABM98</f>
        <v>2000</v>
      </c>
      <c r="ABN103" s="0" t="n">
        <f aca="false">-ABN98</f>
        <v>2000</v>
      </c>
      <c r="ABO103" s="0" t="n">
        <f aca="false">-ABO98</f>
        <v>2000</v>
      </c>
      <c r="ABP103" s="0" t="n">
        <f aca="false">-ABP98</f>
        <v>2000</v>
      </c>
      <c r="ABQ103" s="0" t="n">
        <f aca="false">-ABQ98</f>
        <v>2000</v>
      </c>
      <c r="ABR103" s="0" t="n">
        <f aca="false">-ABR98</f>
        <v>2000</v>
      </c>
      <c r="ABS103" s="0" t="n">
        <f aca="false">-ABS98</f>
        <v>2000</v>
      </c>
      <c r="ABT103" s="0" t="n">
        <f aca="false">-ABT98</f>
        <v>2000</v>
      </c>
      <c r="ABU103" s="0" t="n">
        <f aca="false">-ABU98</f>
        <v>2000</v>
      </c>
      <c r="ABV103" s="0" t="n">
        <f aca="false">-ABV98</f>
        <v>2000</v>
      </c>
      <c r="ABW103" s="0" t="n">
        <f aca="false">-ABW98</f>
        <v>2000</v>
      </c>
      <c r="ABX103" s="0" t="n">
        <f aca="false">-ABX98</f>
        <v>2000</v>
      </c>
      <c r="ABY103" s="0" t="n">
        <f aca="false">-ABY98</f>
        <v>2000</v>
      </c>
      <c r="ABZ103" s="0" t="n">
        <f aca="false">-ABZ98</f>
        <v>2000</v>
      </c>
      <c r="ACA103" s="0" t="n">
        <f aca="false">-ACA98</f>
        <v>2000</v>
      </c>
      <c r="ACB103" s="0" t="n">
        <f aca="false">-ACB98</f>
        <v>2000</v>
      </c>
      <c r="ACC103" s="0" t="n">
        <f aca="false">-ACC98</f>
        <v>2000</v>
      </c>
      <c r="ACD103" s="0" t="n">
        <f aca="false">-ACD98</f>
        <v>2000</v>
      </c>
      <c r="ACE103" s="0" t="n">
        <f aca="false">-ACE98</f>
        <v>2000</v>
      </c>
      <c r="ACF103" s="0" t="n">
        <f aca="false">-ACF98</f>
        <v>2000</v>
      </c>
      <c r="ACG103" s="0" t="n">
        <f aca="false">-ACG98</f>
        <v>2000</v>
      </c>
      <c r="ACH103" s="0" t="n">
        <f aca="false">-ACH98</f>
        <v>2000</v>
      </c>
      <c r="ACI103" s="0" t="n">
        <f aca="false">-ACI98</f>
        <v>2000</v>
      </c>
      <c r="ACJ103" s="0" t="n">
        <f aca="false">-ACJ98</f>
        <v>2000</v>
      </c>
      <c r="ACK103" s="0" t="n">
        <f aca="false">-ACK98</f>
        <v>2000</v>
      </c>
      <c r="ACL103" s="0" t="n">
        <f aca="false">-ACL98</f>
        <v>2000</v>
      </c>
      <c r="ACM103" s="0" t="n">
        <f aca="false">-ACM98</f>
        <v>2000</v>
      </c>
      <c r="ACN103" s="0" t="n">
        <f aca="false">-ACN98</f>
        <v>2000</v>
      </c>
      <c r="ACO103" s="0" t="n">
        <f aca="false">-ACO98</f>
        <v>2000</v>
      </c>
      <c r="ACP103" s="0" t="n">
        <f aca="false">-ACP98</f>
        <v>2000</v>
      </c>
      <c r="ACQ103" s="0" t="n">
        <f aca="false">-ACQ98</f>
        <v>2000</v>
      </c>
      <c r="ACR103" s="0" t="n">
        <f aca="false">-ACR98</f>
        <v>2000</v>
      </c>
      <c r="ACS103" s="0" t="n">
        <f aca="false">-ACS98</f>
        <v>2000</v>
      </c>
      <c r="ACT103" s="0" t="n">
        <f aca="false">-ACT98</f>
        <v>2000</v>
      </c>
      <c r="ACU103" s="0" t="n">
        <f aca="false">-ACU98</f>
        <v>2000</v>
      </c>
      <c r="ACV103" s="0" t="n">
        <f aca="false">-ACV98</f>
        <v>2000</v>
      </c>
      <c r="ACW103" s="0" t="n">
        <f aca="false">-ACW98</f>
        <v>2000</v>
      </c>
      <c r="ACX103" s="0" t="n">
        <f aca="false">-ACX98</f>
        <v>2000</v>
      </c>
      <c r="ACY103" s="0" t="n">
        <f aca="false">-ACY98</f>
        <v>2000</v>
      </c>
      <c r="ACZ103" s="0" t="n">
        <f aca="false">-ACZ98</f>
        <v>2000</v>
      </c>
      <c r="ADA103" s="0" t="n">
        <f aca="false">-ADA98</f>
        <v>2000</v>
      </c>
      <c r="ADB103" s="0" t="n">
        <f aca="false">-ADB98</f>
        <v>2000</v>
      </c>
      <c r="ADC103" s="0" t="n">
        <f aca="false">-ADC98</f>
        <v>2000</v>
      </c>
      <c r="ADD103" s="0" t="n">
        <f aca="false">-ADD98</f>
        <v>2000</v>
      </c>
      <c r="ADE103" s="0" t="n">
        <f aca="false">-ADE98</f>
        <v>2000</v>
      </c>
      <c r="ADF103" s="0" t="n">
        <f aca="false">-ADF98</f>
        <v>2000</v>
      </c>
      <c r="ADG103" s="0" t="n">
        <f aca="false">-ADG98</f>
        <v>2000</v>
      </c>
      <c r="ADH103" s="0" t="n">
        <f aca="false">-ADH98</f>
        <v>2000</v>
      </c>
      <c r="ADI103" s="0" t="n">
        <f aca="false">-ADI98</f>
        <v>2000</v>
      </c>
      <c r="ADJ103" s="0" t="n">
        <f aca="false">-ADJ98</f>
        <v>2000</v>
      </c>
      <c r="ADK103" s="0" t="n">
        <f aca="false">-ADK98</f>
        <v>2000</v>
      </c>
      <c r="ADL103" s="0" t="n">
        <f aca="false">-ADL98</f>
        <v>2000</v>
      </c>
      <c r="ADM103" s="0" t="n">
        <f aca="false">-ADM98</f>
        <v>2000</v>
      </c>
      <c r="ADN103" s="0" t="n">
        <f aca="false">-ADN98</f>
        <v>2000</v>
      </c>
      <c r="ADO103" s="0" t="n">
        <f aca="false">-ADO98</f>
        <v>2000</v>
      </c>
      <c r="ADP103" s="0" t="n">
        <f aca="false">-ADP98</f>
        <v>2000</v>
      </c>
      <c r="ADQ103" s="0" t="n">
        <f aca="false">-ADQ98</f>
        <v>2000</v>
      </c>
      <c r="ADR103" s="0" t="n">
        <f aca="false">-ADR98</f>
        <v>2000</v>
      </c>
      <c r="ADS103" s="0" t="n">
        <f aca="false">-ADS98</f>
        <v>2000</v>
      </c>
      <c r="ADT103" s="0" t="n">
        <f aca="false">-ADT98</f>
        <v>2000</v>
      </c>
      <c r="ADU103" s="0" t="n">
        <f aca="false">-ADU98</f>
        <v>2000</v>
      </c>
      <c r="ADV103" s="0" t="n">
        <f aca="false">-ADV98</f>
        <v>2000</v>
      </c>
      <c r="ADW103" s="0" t="n">
        <f aca="false">-ADW98</f>
        <v>2000</v>
      </c>
      <c r="ADX103" s="0" t="n">
        <f aca="false">-ADX98</f>
        <v>2000</v>
      </c>
      <c r="ADY103" s="0" t="n">
        <f aca="false">-ADY98</f>
        <v>2000</v>
      </c>
      <c r="ADZ103" s="0" t="n">
        <f aca="false">-ADZ98</f>
        <v>2000</v>
      </c>
      <c r="AEA103" s="0" t="n">
        <f aca="false">-AEA98</f>
        <v>2000</v>
      </c>
      <c r="AEB103" s="0" t="n">
        <f aca="false">-AEB98</f>
        <v>2000</v>
      </c>
      <c r="AEC103" s="0" t="n">
        <f aca="false">-AEC98</f>
        <v>2000</v>
      </c>
      <c r="AED103" s="0" t="n">
        <f aca="false">-AED98</f>
        <v>2000</v>
      </c>
      <c r="AEE103" s="0" t="n">
        <f aca="false">-AEE98</f>
        <v>2000</v>
      </c>
      <c r="AEF103" s="0" t="n">
        <f aca="false">-AEF98</f>
        <v>2000</v>
      </c>
      <c r="AEG103" s="0" t="n">
        <f aca="false">-AEG98</f>
        <v>2000</v>
      </c>
      <c r="AEH103" s="0" t="n">
        <f aca="false">-AEH98</f>
        <v>2000</v>
      </c>
      <c r="AEI103" s="0" t="n">
        <f aca="false">-AEI98</f>
        <v>2000</v>
      </c>
      <c r="AEJ103" s="0" t="n">
        <f aca="false">-AEJ98</f>
        <v>2000</v>
      </c>
      <c r="AEK103" s="0" t="n">
        <f aca="false">-AEK98</f>
        <v>2000</v>
      </c>
      <c r="AEL103" s="0" t="n">
        <f aca="false">-AEL98</f>
        <v>2000</v>
      </c>
      <c r="AEM103" s="0" t="n">
        <f aca="false">-AEM98</f>
        <v>2000</v>
      </c>
      <c r="AEN103" s="0" t="n">
        <f aca="false">-AEN98</f>
        <v>2000</v>
      </c>
      <c r="AEO103" s="0" t="n">
        <f aca="false">-AEO98</f>
        <v>2000</v>
      </c>
      <c r="AEP103" s="0" t="n">
        <f aca="false">-AEP98</f>
        <v>2000</v>
      </c>
      <c r="AEQ103" s="0" t="n">
        <f aca="false">-AEQ98</f>
        <v>2000</v>
      </c>
      <c r="AER103" s="0" t="n">
        <f aca="false">-AER98</f>
        <v>2000</v>
      </c>
      <c r="AES103" s="0" t="n">
        <f aca="false">-AES98</f>
        <v>2000</v>
      </c>
      <c r="AET103" s="0" t="n">
        <f aca="false">-AET98</f>
        <v>2000</v>
      </c>
      <c r="AEU103" s="0" t="n">
        <f aca="false">-AEU98</f>
        <v>2000</v>
      </c>
      <c r="AEV103" s="0" t="n">
        <f aca="false">-AEV98</f>
        <v>2000</v>
      </c>
      <c r="AEW103" s="0" t="n">
        <f aca="false">-AEW98</f>
        <v>2000</v>
      </c>
      <c r="AEX103" s="0" t="n">
        <f aca="false">-AEX98</f>
        <v>2000</v>
      </c>
      <c r="AEY103" s="0" t="n">
        <f aca="false">-AEY98</f>
        <v>2000</v>
      </c>
      <c r="AEZ103" s="0" t="n">
        <f aca="false">-AEZ98</f>
        <v>2000</v>
      </c>
      <c r="AFA103" s="0" t="n">
        <f aca="false">-AFA98</f>
        <v>2000</v>
      </c>
      <c r="AFB103" s="0" t="n">
        <f aca="false">-AFB98</f>
        <v>2000</v>
      </c>
      <c r="AFC103" s="0" t="n">
        <f aca="false">-AFC98</f>
        <v>2000</v>
      </c>
      <c r="AFD103" s="0" t="n">
        <f aca="false">-AFD98</f>
        <v>2000</v>
      </c>
      <c r="AFE103" s="0" t="n">
        <f aca="false">-AFE98</f>
        <v>2000</v>
      </c>
      <c r="AFF103" s="0" t="n">
        <f aca="false">-AFF98</f>
        <v>2000</v>
      </c>
      <c r="AFG103" s="0" t="n">
        <f aca="false">-AFG98</f>
        <v>2000</v>
      </c>
      <c r="AFH103" s="0" t="n">
        <f aca="false">-AFH98</f>
        <v>2000</v>
      </c>
      <c r="AFI103" s="0" t="n">
        <f aca="false">-AFI98</f>
        <v>2000</v>
      </c>
      <c r="AFJ103" s="0" t="n">
        <f aca="false">-AFJ98</f>
        <v>2000</v>
      </c>
      <c r="AFK103" s="0" t="n">
        <f aca="false">-AFK98</f>
        <v>2000</v>
      </c>
      <c r="AFL103" s="0" t="n">
        <f aca="false">-AFL98</f>
        <v>2000</v>
      </c>
      <c r="AFM103" s="0" t="n">
        <f aca="false">-AFM98</f>
        <v>2000</v>
      </c>
      <c r="AFN103" s="0" t="n">
        <f aca="false">-AFN98</f>
        <v>2000</v>
      </c>
      <c r="AFO103" s="0" t="n">
        <f aca="false">-AFO98</f>
        <v>2000</v>
      </c>
      <c r="AFP103" s="0" t="n">
        <f aca="false">-AFP98</f>
        <v>2000</v>
      </c>
      <c r="AFQ103" s="0" t="n">
        <f aca="false">-AFQ98</f>
        <v>2000</v>
      </c>
      <c r="AFR103" s="0" t="n">
        <f aca="false">-AFR98</f>
        <v>2000</v>
      </c>
      <c r="AFS103" s="0" t="n">
        <f aca="false">-AFS98</f>
        <v>2000</v>
      </c>
      <c r="AFT103" s="0" t="n">
        <f aca="false">-AFT98</f>
        <v>2000</v>
      </c>
      <c r="AFU103" s="0" t="n">
        <f aca="false">-AFU98</f>
        <v>2000</v>
      </c>
      <c r="AFV103" s="0" t="n">
        <f aca="false">-AFV98</f>
        <v>2000</v>
      </c>
      <c r="AFW103" s="0" t="n">
        <f aca="false">-AFW98</f>
        <v>2000</v>
      </c>
      <c r="AFX103" s="0" t="n">
        <f aca="false">-AFX98</f>
        <v>2000</v>
      </c>
      <c r="AFY103" s="0" t="n">
        <f aca="false">-AFY98</f>
        <v>2000</v>
      </c>
      <c r="AFZ103" s="0" t="n">
        <f aca="false">-AFZ98</f>
        <v>2000</v>
      </c>
      <c r="AGA103" s="0" t="n">
        <f aca="false">-AGA98</f>
        <v>2000</v>
      </c>
      <c r="AGB103" s="0" t="n">
        <f aca="false">-AGB98</f>
        <v>2000</v>
      </c>
      <c r="AGC103" s="0" t="n">
        <f aca="false">-AGC98</f>
        <v>2000</v>
      </c>
      <c r="AGD103" s="0" t="n">
        <f aca="false">-AGD98</f>
        <v>2000</v>
      </c>
      <c r="AGE103" s="0" t="n">
        <f aca="false">-AGE98</f>
        <v>2000</v>
      </c>
      <c r="AGF103" s="0" t="n">
        <f aca="false">-AGF98</f>
        <v>2000</v>
      </c>
      <c r="AGG103" s="0" t="n">
        <f aca="false">-AGG98</f>
        <v>2000</v>
      </c>
      <c r="AGH103" s="0" t="n">
        <f aca="false">-AGH98</f>
        <v>2000</v>
      </c>
      <c r="AGI103" s="0" t="n">
        <f aca="false">-AGI98</f>
        <v>2000</v>
      </c>
      <c r="AGJ103" s="0" t="n">
        <f aca="false">-AGJ98</f>
        <v>2000</v>
      </c>
      <c r="AGK103" s="0" t="n">
        <f aca="false">-AGK98</f>
        <v>2000</v>
      </c>
      <c r="AGL103" s="0" t="n">
        <f aca="false">-AGL98</f>
        <v>2000</v>
      </c>
      <c r="AGM103" s="0" t="n">
        <f aca="false">-AGM98</f>
        <v>2000</v>
      </c>
      <c r="AGN103" s="0" t="n">
        <f aca="false">-AGN98</f>
        <v>2000</v>
      </c>
      <c r="AGO103" s="0" t="n">
        <f aca="false">-AGO98</f>
        <v>2000</v>
      </c>
      <c r="AGP103" s="0" t="n">
        <f aca="false">-AGP98</f>
        <v>2000</v>
      </c>
      <c r="AGQ103" s="0" t="n">
        <f aca="false">-AGQ98</f>
        <v>2000</v>
      </c>
      <c r="AGR103" s="0" t="n">
        <f aca="false">-AGR98</f>
        <v>2000</v>
      </c>
      <c r="AGS103" s="0" t="n">
        <f aca="false">-AGS98</f>
        <v>2000</v>
      </c>
      <c r="AGT103" s="0" t="n">
        <f aca="false">-AGT98</f>
        <v>2000</v>
      </c>
      <c r="AGU103" s="0" t="n">
        <f aca="false">-AGU98</f>
        <v>2000</v>
      </c>
      <c r="AGV103" s="0" t="n">
        <f aca="false">-AGV98</f>
        <v>2000</v>
      </c>
      <c r="AGW103" s="0" t="n">
        <f aca="false">-AGW98</f>
        <v>2000</v>
      </c>
      <c r="AGX103" s="0" t="n">
        <f aca="false">-AGX98</f>
        <v>2000</v>
      </c>
      <c r="AGY103" s="0" t="n">
        <f aca="false">-AGY98</f>
        <v>2000</v>
      </c>
      <c r="AGZ103" s="0" t="n">
        <f aca="false">-AGZ98</f>
        <v>2000</v>
      </c>
      <c r="AHA103" s="0" t="n">
        <f aca="false">-AHA98</f>
        <v>2000</v>
      </c>
      <c r="AHB103" s="0" t="n">
        <f aca="false">-AHB98</f>
        <v>2000</v>
      </c>
      <c r="AHC103" s="0" t="n">
        <f aca="false">-AHC98</f>
        <v>2000</v>
      </c>
      <c r="AHD103" s="0" t="n">
        <f aca="false">-AHD98</f>
        <v>2000</v>
      </c>
      <c r="AHE103" s="0" t="n">
        <f aca="false">-AHE98</f>
        <v>2000</v>
      </c>
      <c r="AHF103" s="0" t="n">
        <f aca="false">-AHF98</f>
        <v>2000</v>
      </c>
      <c r="AHG103" s="0" t="n">
        <f aca="false">-AHG98</f>
        <v>2000</v>
      </c>
      <c r="AHH103" s="0" t="n">
        <f aca="false">-AHH98</f>
        <v>2000</v>
      </c>
      <c r="AHI103" s="0" t="n">
        <f aca="false">-AHI98</f>
        <v>2000</v>
      </c>
      <c r="AHJ103" s="0" t="n">
        <f aca="false">-AHJ98</f>
        <v>2000</v>
      </c>
      <c r="AHK103" s="0" t="n">
        <f aca="false">-AHK98</f>
        <v>2000</v>
      </c>
      <c r="AHL103" s="0" t="n">
        <f aca="false">-AHL98</f>
        <v>2000</v>
      </c>
      <c r="AHM103" s="0" t="n">
        <f aca="false">-AHM98</f>
        <v>2000</v>
      </c>
      <c r="AHN103" s="0" t="n">
        <f aca="false">-AHN98</f>
        <v>2000</v>
      </c>
      <c r="AHO103" s="0" t="n">
        <f aca="false">-AHO98</f>
        <v>2000</v>
      </c>
      <c r="AHP103" s="0" t="n">
        <f aca="false">-AHP98</f>
        <v>2000</v>
      </c>
      <c r="AHQ103" s="0" t="n">
        <f aca="false">-AHQ98</f>
        <v>2000</v>
      </c>
      <c r="AHR103" s="0" t="n">
        <f aca="false">-AHR98</f>
        <v>2000</v>
      </c>
      <c r="AHS103" s="0" t="n">
        <f aca="false">-AHS98</f>
        <v>2000</v>
      </c>
      <c r="AHT103" s="0" t="n">
        <f aca="false">-AHT98</f>
        <v>2000</v>
      </c>
      <c r="AHU103" s="0" t="n">
        <f aca="false">-AHU98</f>
        <v>2000</v>
      </c>
      <c r="AHV103" s="0" t="n">
        <f aca="false">-AHV98</f>
        <v>2000</v>
      </c>
      <c r="AHW103" s="0" t="n">
        <f aca="false">-AHW98</f>
        <v>2000</v>
      </c>
      <c r="AHX103" s="0" t="n">
        <f aca="false">-AHX98</f>
        <v>2000</v>
      </c>
      <c r="AHY103" s="0" t="n">
        <f aca="false">-AHY98</f>
        <v>2000</v>
      </c>
      <c r="AHZ103" s="0" t="n">
        <f aca="false">-AHZ98</f>
        <v>2000</v>
      </c>
      <c r="AIA103" s="0" t="n">
        <f aca="false">-AIA98</f>
        <v>2000</v>
      </c>
      <c r="AIB103" s="0" t="n">
        <f aca="false">-AIB98</f>
        <v>2000</v>
      </c>
      <c r="AIC103" s="0" t="n">
        <f aca="false">-AIC98</f>
        <v>2000</v>
      </c>
      <c r="AID103" s="0" t="n">
        <f aca="false">-AID98</f>
        <v>2000</v>
      </c>
      <c r="AIE103" s="0" t="n">
        <f aca="false">-AIE98</f>
        <v>2000</v>
      </c>
      <c r="AIF103" s="0" t="n">
        <f aca="false">-AIF98</f>
        <v>2000</v>
      </c>
      <c r="AIG103" s="0" t="n">
        <f aca="false">-AIG98</f>
        <v>2000</v>
      </c>
      <c r="AIH103" s="0" t="n">
        <f aca="false">-AIH98</f>
        <v>2000</v>
      </c>
      <c r="AII103" s="0" t="n">
        <f aca="false">-AII98</f>
        <v>2000</v>
      </c>
      <c r="AIJ103" s="0" t="n">
        <f aca="false">-AIJ98</f>
        <v>2000</v>
      </c>
      <c r="AIK103" s="0" t="n">
        <f aca="false">-AIK98</f>
        <v>2000</v>
      </c>
      <c r="AIL103" s="0" t="n">
        <f aca="false">-AIL98</f>
        <v>2000</v>
      </c>
      <c r="AIM103" s="0" t="n">
        <f aca="false">-AIM98</f>
        <v>2000</v>
      </c>
      <c r="AIN103" s="0" t="n">
        <f aca="false">-AIN98</f>
        <v>2000</v>
      </c>
      <c r="AIO103" s="0" t="n">
        <f aca="false">-AIO98</f>
        <v>2000</v>
      </c>
      <c r="AIP103" s="0" t="n">
        <f aca="false">-AIP98</f>
        <v>2000</v>
      </c>
      <c r="AIQ103" s="0" t="n">
        <f aca="false">-AIQ98</f>
        <v>2000</v>
      </c>
      <c r="AIR103" s="0" t="n">
        <f aca="false">-AIR98</f>
        <v>2000</v>
      </c>
      <c r="AIS103" s="0" t="n">
        <f aca="false">-AIS98</f>
        <v>2000</v>
      </c>
      <c r="AIT103" s="0" t="n">
        <f aca="false">-AIT98</f>
        <v>2000</v>
      </c>
      <c r="AIU103" s="0" t="n">
        <f aca="false">-AIU98</f>
        <v>2000</v>
      </c>
      <c r="AIV103" s="0" t="n">
        <f aca="false">-AIV98</f>
        <v>2000</v>
      </c>
      <c r="AIW103" s="0" t="n">
        <f aca="false">-AIW98</f>
        <v>2000</v>
      </c>
      <c r="AIX103" s="0" t="n">
        <f aca="false">-AIX98</f>
        <v>2000</v>
      </c>
      <c r="AIY103" s="0" t="n">
        <f aca="false">-AIY98</f>
        <v>2000</v>
      </c>
      <c r="AIZ103" s="0" t="n">
        <f aca="false">-AIZ98</f>
        <v>2000</v>
      </c>
      <c r="AJA103" s="0" t="n">
        <f aca="false">-AJA98</f>
        <v>2000</v>
      </c>
      <c r="AJB103" s="0" t="n">
        <f aca="false">-AJB98</f>
        <v>2000</v>
      </c>
      <c r="AJC103" s="0" t="n">
        <f aca="false">-AJC98</f>
        <v>2000</v>
      </c>
      <c r="AJD103" s="0" t="n">
        <f aca="false">-AJD98</f>
        <v>2000</v>
      </c>
      <c r="AJE103" s="0" t="n">
        <f aca="false">-AJE98</f>
        <v>2000</v>
      </c>
      <c r="AJF103" s="0" t="n">
        <f aca="false">-AJF98</f>
        <v>2000</v>
      </c>
      <c r="AJG103" s="0" t="n">
        <f aca="false">-AJG98</f>
        <v>2000</v>
      </c>
      <c r="AJH103" s="0" t="n">
        <f aca="false">-AJH98</f>
        <v>2000</v>
      </c>
      <c r="AJI103" s="0" t="n">
        <f aca="false">-AJI98</f>
        <v>2000</v>
      </c>
      <c r="AJJ103" s="0" t="n">
        <f aca="false">-AJJ98</f>
        <v>2000</v>
      </c>
      <c r="AJK103" s="0" t="n">
        <f aca="false">-AJK98</f>
        <v>2000</v>
      </c>
      <c r="AJL103" s="0" t="n">
        <f aca="false">-AJL98</f>
        <v>2000</v>
      </c>
      <c r="AJM103" s="0" t="n">
        <f aca="false">-AJM98</f>
        <v>2000</v>
      </c>
      <c r="AJN103" s="0" t="n">
        <f aca="false">-AJN98</f>
        <v>2000</v>
      </c>
      <c r="AJO103" s="0" t="n">
        <f aca="false">-AJO98</f>
        <v>2000</v>
      </c>
      <c r="AJP103" s="0" t="n">
        <f aca="false">-AJP98</f>
        <v>2000</v>
      </c>
      <c r="AJQ103" s="0" t="n">
        <f aca="false">-AJQ98</f>
        <v>2000</v>
      </c>
      <c r="AJR103" s="0" t="n">
        <f aca="false">-AJR98</f>
        <v>2000</v>
      </c>
      <c r="AJS103" s="0" t="n">
        <f aca="false">-AJS98</f>
        <v>2000</v>
      </c>
      <c r="AJT103" s="0" t="n">
        <f aca="false">-AJT98</f>
        <v>2000</v>
      </c>
      <c r="AJU103" s="0" t="n">
        <f aca="false">-AJU98</f>
        <v>2000</v>
      </c>
      <c r="AJV103" s="0" t="n">
        <f aca="false">-AJV98</f>
        <v>2000</v>
      </c>
      <c r="AJW103" s="0" t="n">
        <f aca="false">-AJW98</f>
        <v>2000</v>
      </c>
      <c r="AJX103" s="0" t="n">
        <f aca="false">-AJX98</f>
        <v>2000</v>
      </c>
      <c r="AJY103" s="0" t="n">
        <f aca="false">-AJY98</f>
        <v>2000</v>
      </c>
      <c r="AJZ103" s="0" t="n">
        <f aca="false">-AJZ98</f>
        <v>2000</v>
      </c>
      <c r="AKA103" s="0" t="n">
        <f aca="false">-AKA98</f>
        <v>2000</v>
      </c>
      <c r="AKB103" s="0" t="n">
        <f aca="false">-AKB98</f>
        <v>2000</v>
      </c>
      <c r="AKC103" s="0" t="n">
        <f aca="false">-AKC98</f>
        <v>2000</v>
      </c>
      <c r="AKD103" s="0" t="n">
        <f aca="false">-AKD98</f>
        <v>2000</v>
      </c>
      <c r="AKE103" s="0" t="n">
        <f aca="false">-AKE98</f>
        <v>2000</v>
      </c>
      <c r="AKF103" s="0" t="n">
        <f aca="false">-AKF98</f>
        <v>2000</v>
      </c>
      <c r="AKG103" s="0" t="n">
        <f aca="false">-AKG98</f>
        <v>2000</v>
      </c>
      <c r="AKH103" s="0" t="n">
        <f aca="false">-AKH98</f>
        <v>2000</v>
      </c>
      <c r="AKI103" s="0" t="n">
        <f aca="false">-AKI98</f>
        <v>2000</v>
      </c>
      <c r="AKJ103" s="0" t="n">
        <f aca="false">-AKJ98</f>
        <v>2000</v>
      </c>
      <c r="AKK103" s="0" t="n">
        <f aca="false">-AKK98</f>
        <v>2000</v>
      </c>
      <c r="AKL103" s="0" t="n">
        <f aca="false">-AKL98</f>
        <v>2000</v>
      </c>
      <c r="AKM103" s="0" t="n">
        <f aca="false">-AKM98</f>
        <v>2000</v>
      </c>
      <c r="AKN103" s="0" t="n">
        <f aca="false">-AKN98</f>
        <v>2000</v>
      </c>
      <c r="AKO103" s="0" t="n">
        <f aca="false">-AKO98</f>
        <v>2000</v>
      </c>
      <c r="AKP103" s="0" t="n">
        <f aca="false">-AKP98</f>
        <v>2000</v>
      </c>
      <c r="AKQ103" s="0" t="n">
        <f aca="false">-AKQ98</f>
        <v>2000</v>
      </c>
      <c r="AKR103" s="0" t="n">
        <f aca="false">-AKR98</f>
        <v>2000</v>
      </c>
      <c r="AKS103" s="0" t="n">
        <f aca="false">-AKS98</f>
        <v>2000</v>
      </c>
      <c r="AKT103" s="0" t="n">
        <f aca="false">-AKT98</f>
        <v>2000</v>
      </c>
      <c r="AKU103" s="0" t="n">
        <f aca="false">-AKU98</f>
        <v>2000</v>
      </c>
      <c r="AKV103" s="0" t="n">
        <f aca="false">-AKV98</f>
        <v>2000</v>
      </c>
      <c r="AKW103" s="0" t="n">
        <f aca="false">-AKW98</f>
        <v>2000</v>
      </c>
      <c r="AKX103" s="0" t="n">
        <f aca="false">-AKX98</f>
        <v>2000</v>
      </c>
      <c r="AKY103" s="0" t="n">
        <f aca="false">-AKY98</f>
        <v>2000</v>
      </c>
      <c r="AKZ103" s="0" t="n">
        <f aca="false">-AKZ98</f>
        <v>2000</v>
      </c>
      <c r="ALA103" s="0" t="n">
        <f aca="false">-ALA98</f>
        <v>2000</v>
      </c>
      <c r="ALB103" s="0" t="n">
        <f aca="false">-ALB98</f>
        <v>2000</v>
      </c>
      <c r="ALC103" s="0" t="n">
        <f aca="false">-ALC98</f>
        <v>2000</v>
      </c>
      <c r="ALD103" s="0" t="n">
        <f aca="false">-ALD98</f>
        <v>2000</v>
      </c>
      <c r="ALE103" s="0" t="n">
        <f aca="false">-ALE98</f>
        <v>2000</v>
      </c>
      <c r="ALF103" s="0" t="n">
        <f aca="false">-ALF98</f>
        <v>2000</v>
      </c>
      <c r="ALG103" s="0" t="n">
        <f aca="false">-ALG98</f>
        <v>2000</v>
      </c>
      <c r="ALH103" s="0" t="n">
        <f aca="false">-ALH98</f>
        <v>2000</v>
      </c>
      <c r="ALI103" s="0" t="n">
        <f aca="false">-ALI98</f>
        <v>2000</v>
      </c>
      <c r="ALJ103" s="0" t="n">
        <f aca="false">-ALJ98</f>
        <v>2000</v>
      </c>
      <c r="ALK103" s="0" t="n">
        <f aca="false">-ALK98</f>
        <v>2000</v>
      </c>
      <c r="ALL103" s="0" t="n">
        <f aca="false">-ALL98</f>
        <v>2000</v>
      </c>
      <c r="ALM103" s="0" t="n">
        <f aca="false">-ALM98</f>
        <v>2000</v>
      </c>
    </row>
    <row r="104" customFormat="false" ht="14.5" hidden="false" customHeight="false" outlineLevel="0" collapsed="false">
      <c r="A104" s="20" t="s">
        <v>95</v>
      </c>
      <c r="B104" s="0" t="n">
        <f aca="false">+B102+B103</f>
        <v>5135.32990713387</v>
      </c>
      <c r="C104" s="0" t="n">
        <f aca="false">+C102+C103</f>
        <v>4925.9587891491</v>
      </c>
      <c r="D104" s="0" t="n">
        <f aca="false">+D102+D103</f>
        <v>3762.35294459661</v>
      </c>
      <c r="E104" s="0" t="n">
        <f aca="false">+E102+E103</f>
        <v>4783.30286092213</v>
      </c>
      <c r="F104" s="0" t="n">
        <f aca="false">+F102+F103</f>
        <v>5031.15836176485</v>
      </c>
      <c r="G104" s="0" t="n">
        <f aca="false">+G102+G103</f>
        <v>4708.72994390759</v>
      </c>
      <c r="H104" s="0" t="n">
        <f aca="false">+H102+H103</f>
        <v>4796.00856446839</v>
      </c>
      <c r="I104" s="0" t="n">
        <f aca="false">+I102+I103</f>
        <v>3914.88208941652</v>
      </c>
      <c r="J104" s="0" t="n">
        <f aca="false">+J102+J103</f>
        <v>4824.21523197342</v>
      </c>
      <c r="K104" s="0" t="n">
        <f aca="false">+K102+K103</f>
        <v>5247.78201783527</v>
      </c>
      <c r="L104" s="0" t="n">
        <f aca="false">+L102+L103</f>
        <v>4919.94201096587</v>
      </c>
      <c r="M104" s="0" t="n">
        <f aca="false">+M102+M103</f>
        <v>4615.74484802292</v>
      </c>
      <c r="N104" s="0" t="n">
        <f aca="false">+N102+N103</f>
        <v>5415.53133762867</v>
      </c>
      <c r="O104" s="0" t="n">
        <f aca="false">+O102+O103</f>
        <v>5617.39428975355</v>
      </c>
      <c r="P104" s="0" t="n">
        <f aca="false">+P102+P103</f>
        <v>4582.37184008915</v>
      </c>
      <c r="Q104" s="0" t="n">
        <f aca="false">+Q102+Q103</f>
        <v>5287.16443134287</v>
      </c>
      <c r="R104" s="0" t="n">
        <f aca="false">+R102+R103</f>
        <v>5616.17538151987</v>
      </c>
      <c r="S104" s="0" t="n">
        <f aca="false">+S102+S103</f>
        <v>5250.47307411398</v>
      </c>
      <c r="T104" s="0" t="n">
        <f aca="false">+T102+T103</f>
        <v>5375.95472790066</v>
      </c>
      <c r="U104" s="0" t="n">
        <f aca="false">+U102+U103</f>
        <v>5590.76523812193</v>
      </c>
      <c r="V104" s="0" t="n">
        <f aca="false">+V102+V103</f>
        <v>5268.33242421696</v>
      </c>
      <c r="W104" s="0" t="n">
        <f aca="false">+W102+W103</f>
        <v>4662.06910279747</v>
      </c>
      <c r="X104" s="0" t="n">
        <f aca="false">+X102+X103</f>
        <v>4450.98434204805</v>
      </c>
      <c r="Y104" s="0" t="n">
        <f aca="false">+Y102+Y103</f>
        <v>5051.39715421702</v>
      </c>
      <c r="Z104" s="0" t="n">
        <f aca="false">+Z102+Z103</f>
        <v>3660.31545318265</v>
      </c>
      <c r="AA104" s="0" t="n">
        <f aca="false">+AA102+AA103</f>
        <v>3627.1243097744</v>
      </c>
      <c r="AB104" s="0" t="n">
        <f aca="false">+AB102+AB103</f>
        <v>3297.46506346792</v>
      </c>
      <c r="AC104" s="0" t="n">
        <f aca="false">+AC102+AC103</f>
        <v>5634.22603626298</v>
      </c>
      <c r="AD104" s="0" t="n">
        <f aca="false">+AD102+AD103</f>
        <v>4182.67430763853</v>
      </c>
      <c r="AE104" s="0" t="n">
        <f aca="false">+AE102+AE103</f>
        <v>4977.78564014226</v>
      </c>
      <c r="AF104" s="0" t="n">
        <f aca="false">+AF102+AF103</f>
        <v>5087.45584496637</v>
      </c>
      <c r="AG104" s="0" t="n">
        <f aca="false">+AG102+AG103</f>
        <v>4702.7180117411</v>
      </c>
      <c r="AH104" s="0" t="n">
        <f aca="false">+AH102+AH103</f>
        <v>5053.88472480373</v>
      </c>
      <c r="AI104" s="0" t="n">
        <f aca="false">+AI102+AI103</f>
        <v>5194.31855916129</v>
      </c>
      <c r="AJ104" s="0" t="n">
        <f aca="false">+AJ102+AJ103</f>
        <v>4105.69015024453</v>
      </c>
      <c r="AK104" s="0" t="n">
        <f aca="false">+AK102+AK103</f>
        <v>4709.22750340107</v>
      </c>
      <c r="AL104" s="0" t="n">
        <f aca="false">+AL102+AL103</f>
        <v>4127.73187901123</v>
      </c>
      <c r="AM104" s="0" t="n">
        <f aca="false">+AM102+AM103</f>
        <v>4033.78449102466</v>
      </c>
      <c r="AN104" s="0" t="n">
        <f aca="false">+AN102+AN103</f>
        <v>5051.03529788718</v>
      </c>
      <c r="AO104" s="0" t="n">
        <f aca="false">+AO102+AO103</f>
        <v>5835.51558021976</v>
      </c>
      <c r="AP104" s="0" t="n">
        <f aca="false">+AP102+AP103</f>
        <v>5187.77596178737</v>
      </c>
      <c r="AQ104" s="0" t="n">
        <f aca="false">+AQ102+AQ103</f>
        <v>4813.67677224922</v>
      </c>
      <c r="AR104" s="0" t="n">
        <f aca="false">+AR102+AR103</f>
        <v>5710.87240440553</v>
      </c>
      <c r="AS104" s="0" t="n">
        <f aca="false">+AS102+AS103</f>
        <v>4897.44690733424</v>
      </c>
      <c r="AT104" s="0" t="n">
        <f aca="false">+AT102+AT103</f>
        <v>5038.99610857086</v>
      </c>
      <c r="AU104" s="0" t="n">
        <f aca="false">+AU102+AU103</f>
        <v>4794.79931060658</v>
      </c>
      <c r="AV104" s="0" t="n">
        <f aca="false">+AV102+AV103</f>
        <v>4085.95930521636</v>
      </c>
      <c r="AW104" s="0" t="n">
        <f aca="false">+AW102+AW103</f>
        <v>4962.36847537411</v>
      </c>
      <c r="AX104" s="0" t="n">
        <f aca="false">+AX102+AX103</f>
        <v>5553.84935815621</v>
      </c>
      <c r="AY104" s="0" t="n">
        <f aca="false">+AY102+AY103</f>
        <v>4750.50129384778</v>
      </c>
      <c r="AZ104" s="0" t="n">
        <f aca="false">+AZ102+AZ103</f>
        <v>3590.33536175256</v>
      </c>
      <c r="BA104" s="0" t="n">
        <f aca="false">+BA102+BA103</f>
        <v>5040.67775063363</v>
      </c>
      <c r="BB104" s="0" t="n">
        <f aca="false">+BB102+BB103</f>
        <v>5554.43462735185</v>
      </c>
      <c r="BC104" s="0" t="n">
        <f aca="false">+BC102+BC103</f>
        <v>4728.74648819712</v>
      </c>
      <c r="BD104" s="0" t="n">
        <f aca="false">+BD102+BD103</f>
        <v>5359.839552759</v>
      </c>
      <c r="BE104" s="0" t="n">
        <f aca="false">+BE102+BE103</f>
        <v>4984.19672471385</v>
      </c>
      <c r="BF104" s="0" t="n">
        <f aca="false">+BF102+BF103</f>
        <v>5239.14576475608</v>
      </c>
      <c r="BG104" s="0" t="n">
        <f aca="false">+BG102+BG103</f>
        <v>4087.20635714242</v>
      </c>
      <c r="BH104" s="0" t="n">
        <f aca="false">+BH102+BH103</f>
        <v>5219.56099752255</v>
      </c>
      <c r="BI104" s="0" t="n">
        <f aca="false">+BI102+BI103</f>
        <v>3615.18459190255</v>
      </c>
      <c r="BJ104" s="0" t="n">
        <f aca="false">+BJ102+BJ103</f>
        <v>4646.59052155982</v>
      </c>
      <c r="BK104" s="0" t="n">
        <f aca="false">+BK102+BK103</f>
        <v>4512.10740549895</v>
      </c>
      <c r="BL104" s="0" t="n">
        <f aca="false">+BL102+BL103</f>
        <v>4684.08046323669</v>
      </c>
      <c r="BM104" s="0" t="n">
        <f aca="false">+BM102+BM103</f>
        <v>5624.73601075824</v>
      </c>
      <c r="BN104" s="0" t="n">
        <f aca="false">+BN102+BN103</f>
        <v>5674.07926712302</v>
      </c>
      <c r="BO104" s="0" t="n">
        <f aca="false">+BO102+BO103</f>
        <v>5207.19850236589</v>
      </c>
      <c r="BP104" s="0" t="n">
        <f aca="false">+BP102+BP103</f>
        <v>5054.72010454923</v>
      </c>
      <c r="BQ104" s="0" t="n">
        <f aca="false">+BQ102+BQ103</f>
        <v>5290.57069359308</v>
      </c>
      <c r="BR104" s="0" t="n">
        <f aca="false">+BR102+BR103</f>
        <v>4992.87569091552</v>
      </c>
      <c r="BS104" s="0" t="n">
        <f aca="false">+BS102+BS103</f>
        <v>5374.38638357983</v>
      </c>
      <c r="BT104" s="0" t="n">
        <f aca="false">+BT102+BT103</f>
        <v>4638.14985212167</v>
      </c>
      <c r="BU104" s="0" t="n">
        <f aca="false">+BU102+BU103</f>
        <v>5631.25895359862</v>
      </c>
      <c r="BV104" s="0" t="n">
        <f aca="false">+BV102+BV103</f>
        <v>4727.09072856698</v>
      </c>
      <c r="BW104" s="0" t="n">
        <f aca="false">+BW102+BW103</f>
        <v>5196.47598634345</v>
      </c>
      <c r="BX104" s="0" t="n">
        <f aca="false">+BX102+BX103</f>
        <v>5330.84643241832</v>
      </c>
      <c r="BY104" s="0" t="n">
        <f aca="false">+BY102+BY103</f>
        <v>5419.70525052788</v>
      </c>
      <c r="BZ104" s="0" t="n">
        <f aca="false">+BZ102+BZ103</f>
        <v>4275.82281417671</v>
      </c>
      <c r="CA104" s="0" t="n">
        <f aca="false">+CA102+CA103</f>
        <v>4592.2729174799</v>
      </c>
      <c r="CB104" s="0" t="n">
        <f aca="false">+CB102+CB103</f>
        <v>5645.17384228026</v>
      </c>
      <c r="CC104" s="0" t="n">
        <f aca="false">+CC102+CC103</f>
        <v>3661.99007666487</v>
      </c>
      <c r="CD104" s="0" t="n">
        <f aca="false">+CD102+CD103</f>
        <v>2691.16512193913</v>
      </c>
      <c r="CE104" s="0" t="n">
        <f aca="false">+CE102+CE103</f>
        <v>4326.61534989803</v>
      </c>
      <c r="CF104" s="0" t="n">
        <f aca="false">+CF102+CF103</f>
        <v>4339.72557324924</v>
      </c>
      <c r="CG104" s="0" t="n">
        <f aca="false">+CG102+CG103</f>
        <v>5948.61138059307</v>
      </c>
      <c r="CH104" s="0" t="n">
        <f aca="false">+CH102+CH103</f>
        <v>5181.21448994464</v>
      </c>
      <c r="CI104" s="0" t="n">
        <f aca="false">+CI102+CI103</f>
        <v>4104.11401253062</v>
      </c>
      <c r="CJ104" s="0" t="n">
        <f aca="false">+CJ102+CJ103</f>
        <v>3486.18861091546</v>
      </c>
      <c r="CK104" s="0" t="n">
        <f aca="false">+CK102+CK103</f>
        <v>5141.41038797833</v>
      </c>
      <c r="CL104" s="0" t="n">
        <f aca="false">+CL102+CL103</f>
        <v>5252.9721054713</v>
      </c>
      <c r="CM104" s="0" t="n">
        <f aca="false">+CM102+CM103</f>
        <v>4128.81959680493</v>
      </c>
      <c r="CN104" s="0" t="n">
        <f aca="false">+CN102+CN103</f>
        <v>4526.38992528279</v>
      </c>
      <c r="CO104" s="0" t="n">
        <f aca="false">+CO102+CO103</f>
        <v>4706.46350631738</v>
      </c>
      <c r="CP104" s="0" t="n">
        <f aca="false">+CP102+CP103</f>
        <v>5579.84895182747</v>
      </c>
      <c r="CQ104" s="0" t="n">
        <f aca="false">+CQ102+CQ103</f>
        <v>5107.59160013615</v>
      </c>
      <c r="CR104" s="0" t="n">
        <f aca="false">+CR102+CR103</f>
        <v>4815.79386405285</v>
      </c>
      <c r="CS104" s="0" t="n">
        <f aca="false">+CS102+CS103</f>
        <v>4873.52471697361</v>
      </c>
      <c r="CT104" s="0" t="n">
        <f aca="false">+CT102+CT103</f>
        <v>5647.40310888281</v>
      </c>
      <c r="CU104" s="0" t="n">
        <f aca="false">+CU102+CU103</f>
        <v>5287.7000842775</v>
      </c>
      <c r="CV104" s="0" t="n">
        <f aca="false">+CV102+CV103</f>
        <v>5561.35735498385</v>
      </c>
      <c r="CW104" s="0" t="n">
        <f aca="false">+CW102+CW103</f>
        <v>4985.72859120906</v>
      </c>
      <c r="CX104" s="0" t="n">
        <f aca="false">+CX102+CX103</f>
        <v>4780.81440167758</v>
      </c>
      <c r="CY104" s="0" t="n">
        <f aca="false">+CY102+CY103</f>
        <v>4844.74254405068</v>
      </c>
      <c r="CZ104" s="0" t="n">
        <f aca="false">+CZ102+CZ103</f>
        <v>5024.30999466887</v>
      </c>
      <c r="DA104" s="0" t="n">
        <f aca="false">+DA102+DA103</f>
        <v>5593.66352141712</v>
      </c>
      <c r="DB104" s="0" t="n">
        <f aca="false">+DB102+DB103</f>
        <v>5374.57665817194</v>
      </c>
      <c r="DC104" s="0" t="n">
        <f aca="false">+DC102+DC103</f>
        <v>3890.29467195311</v>
      </c>
      <c r="DD104" s="0" t="n">
        <f aca="false">+DD102+DD103</f>
        <v>4906.92681445139</v>
      </c>
      <c r="DE104" s="0" t="n">
        <f aca="false">+DE102+DE103</f>
        <v>5059.67756121981</v>
      </c>
      <c r="DF104" s="0" t="n">
        <f aca="false">+DF102+DF103</f>
        <v>5160.40030076717</v>
      </c>
      <c r="DG104" s="0" t="n">
        <f aca="false">+DG102+DG103</f>
        <v>5204.89518480138</v>
      </c>
      <c r="DH104" s="0" t="n">
        <f aca="false">+DH102+DH103</f>
        <v>5267.58816052961</v>
      </c>
      <c r="DI104" s="0" t="n">
        <f aca="false">+DI102+DI103</f>
        <v>5508.32054769496</v>
      </c>
      <c r="DJ104" s="0" t="n">
        <f aca="false">+DJ102+DJ103</f>
        <v>4972.54859893929</v>
      </c>
      <c r="DK104" s="0" t="n">
        <f aca="false">+DK102+DK103</f>
        <v>4646.57837266305</v>
      </c>
      <c r="DL104" s="0" t="n">
        <f aca="false">+DL102+DL103</f>
        <v>4452.41643324009</v>
      </c>
      <c r="DM104" s="0" t="n">
        <f aca="false">+DM102+DM103</f>
        <v>4555.2504730848</v>
      </c>
      <c r="DN104" s="0" t="n">
        <f aca="false">+DN102+DN103</f>
        <v>4197.08666283154</v>
      </c>
      <c r="DO104" s="0" t="n">
        <f aca="false">+DO102+DO103</f>
        <v>3025.74281296532</v>
      </c>
      <c r="DP104" s="0" t="n">
        <f aca="false">+DP102+DP103</f>
        <v>4174.16343767894</v>
      </c>
      <c r="DQ104" s="0" t="n">
        <f aca="false">+DQ102+DQ103</f>
        <v>5127.88115862061</v>
      </c>
      <c r="DR104" s="0" t="n">
        <f aca="false">+DR102+DR103</f>
        <v>4554.37485184229</v>
      </c>
      <c r="DS104" s="0" t="n">
        <f aca="false">+DS102+DS103</f>
        <v>5707.45166720242</v>
      </c>
      <c r="DT104" s="0" t="n">
        <f aca="false">+DT102+DT103</f>
        <v>4061.23655092525</v>
      </c>
      <c r="DU104" s="0" t="n">
        <f aca="false">+DU102+DU103</f>
        <v>4386.40595266774</v>
      </c>
      <c r="DV104" s="0" t="n">
        <f aca="false">+DV102+DV103</f>
        <v>4472.97062266347</v>
      </c>
      <c r="DW104" s="0" t="n">
        <f aca="false">+DW102+DW103</f>
        <v>5699.47729212164</v>
      </c>
      <c r="DX104" s="0" t="n">
        <f aca="false">+DX102+DX103</f>
        <v>5437.68141275812</v>
      </c>
      <c r="DY104" s="0" t="n">
        <f aca="false">+DY102+DY103</f>
        <v>4737.15114502854</v>
      </c>
      <c r="DZ104" s="0" t="n">
        <f aca="false">+DZ102+DZ103</f>
        <v>5686.74173885221</v>
      </c>
      <c r="EA104" s="0" t="n">
        <f aca="false">+EA102+EA103</f>
        <v>5356.90550616184</v>
      </c>
      <c r="EB104" s="0" t="n">
        <f aca="false">+EB102+EB103</f>
        <v>5251.96725392543</v>
      </c>
      <c r="EC104" s="0" t="n">
        <f aca="false">+EC102+EC103</f>
        <v>4913.53791343604</v>
      </c>
      <c r="ED104" s="0" t="n">
        <f aca="false">+ED102+ED103</f>
        <v>5649.75871387746</v>
      </c>
      <c r="EE104" s="0" t="n">
        <f aca="false">+EE102+EE103</f>
        <v>4157.44681256775</v>
      </c>
      <c r="EF104" s="0" t="n">
        <f aca="false">+EF102+EF103</f>
        <v>4809.12022139304</v>
      </c>
      <c r="EG104" s="0" t="n">
        <f aca="false">+EG102+EG103</f>
        <v>5340.35276538255</v>
      </c>
      <c r="EH104" s="0" t="n">
        <f aca="false">+EH102+EH103</f>
        <v>5063.60713276991</v>
      </c>
      <c r="EI104" s="0" t="n">
        <f aca="false">+EI102+EI103</f>
        <v>5576.86592348788</v>
      </c>
      <c r="EJ104" s="0" t="n">
        <f aca="false">+EJ102+EJ103</f>
        <v>4563.93423428116</v>
      </c>
      <c r="EK104" s="0" t="n">
        <f aca="false">+EK102+EK103</f>
        <v>4786.23945395015</v>
      </c>
      <c r="EL104" s="0" t="n">
        <f aca="false">+EL102+EL103</f>
        <v>4056.31401844299</v>
      </c>
      <c r="EM104" s="0" t="n">
        <f aca="false">+EM102+EM103</f>
        <v>5026.90373681435</v>
      </c>
      <c r="EN104" s="0" t="n">
        <f aca="false">+EN102+EN103</f>
        <v>4139.4271760593</v>
      </c>
      <c r="EO104" s="0" t="n">
        <f aca="false">+EO102+EO103</f>
        <v>5031.61277740982</v>
      </c>
      <c r="EP104" s="0" t="n">
        <f aca="false">+EP102+EP103</f>
        <v>5143.76157572235</v>
      </c>
      <c r="EQ104" s="0" t="n">
        <f aca="false">+EQ102+EQ103</f>
        <v>5306.15828656572</v>
      </c>
      <c r="ER104" s="0" t="n">
        <f aca="false">+ER102+ER103</f>
        <v>4644.45437253124</v>
      </c>
      <c r="ES104" s="0" t="n">
        <f aca="false">+ES102+ES103</f>
        <v>4400.14942299422</v>
      </c>
      <c r="ET104" s="0" t="n">
        <f aca="false">+ET102+ET103</f>
        <v>4792.48537318839</v>
      </c>
      <c r="EU104" s="0" t="n">
        <f aca="false">+EU102+EU103</f>
        <v>3872.74835405948</v>
      </c>
      <c r="EV104" s="0" t="n">
        <f aca="false">+EV102+EV103</f>
        <v>4476.17558051135</v>
      </c>
      <c r="EW104" s="0" t="n">
        <f aca="false">+EW102+EW103</f>
        <v>5554.63475417443</v>
      </c>
      <c r="EX104" s="0" t="n">
        <f aca="false">+EX102+EX103</f>
        <v>6048.85148075692</v>
      </c>
      <c r="EY104" s="0" t="n">
        <f aca="false">+EY102+EY103</f>
        <v>2870.14180117213</v>
      </c>
      <c r="EZ104" s="0" t="n">
        <f aca="false">+EZ102+EZ103</f>
        <v>4941.71905082892</v>
      </c>
      <c r="FA104" s="0" t="n">
        <f aca="false">+FA102+FA103</f>
        <v>3958.93536788781</v>
      </c>
      <c r="FB104" s="0" t="n">
        <f aca="false">+FB102+FB103</f>
        <v>4636.08385547083</v>
      </c>
      <c r="FC104" s="0" t="n">
        <f aca="false">+FC102+FC103</f>
        <v>4312.28577483369</v>
      </c>
      <c r="FD104" s="0" t="n">
        <f aca="false">+FD102+FD103</f>
        <v>3961.70382894111</v>
      </c>
      <c r="FE104" s="0" t="n">
        <f aca="false">+FE102+FE103</f>
        <v>5950.38152617708</v>
      </c>
      <c r="FF104" s="0" t="n">
        <f aca="false">+FF102+FF103</f>
        <v>5316.83515991668</v>
      </c>
      <c r="FG104" s="0" t="n">
        <f aca="false">+FG102+FG103</f>
        <v>4960.42520248782</v>
      </c>
      <c r="FH104" s="0" t="n">
        <f aca="false">+FH102+FH103</f>
        <v>4927.28504458701</v>
      </c>
      <c r="FI104" s="0" t="n">
        <f aca="false">+FI102+FI103</f>
        <v>5129.9364704757</v>
      </c>
      <c r="FJ104" s="0" t="n">
        <f aca="false">+FJ102+FJ103</f>
        <v>4751.92418693771</v>
      </c>
      <c r="FK104" s="0" t="n">
        <f aca="false">+FK102+FK103</f>
        <v>3822.93014879221</v>
      </c>
      <c r="FL104" s="0" t="n">
        <f aca="false">+FL102+FL103</f>
        <v>5221.34138779238</v>
      </c>
      <c r="FM104" s="0" t="n">
        <f aca="false">+FM102+FM103</f>
        <v>3510.50504412115</v>
      </c>
      <c r="FN104" s="0" t="n">
        <f aca="false">+FN102+FN103</f>
        <v>4147.04117976661</v>
      </c>
      <c r="FO104" s="0" t="n">
        <f aca="false">+FO102+FO103</f>
        <v>4926.75132452073</v>
      </c>
      <c r="FP104" s="0" t="n">
        <f aca="false">+FP102+FP103</f>
        <v>5288.22396900184</v>
      </c>
      <c r="FQ104" s="0" t="n">
        <f aca="false">+FQ102+FQ103</f>
        <v>5154.11414763543</v>
      </c>
      <c r="FR104" s="0" t="n">
        <f aca="false">+FR102+FR103</f>
        <v>5302.57321229381</v>
      </c>
      <c r="FS104" s="0" t="n">
        <f aca="false">+FS102+FS103</f>
        <v>5150.11039600371</v>
      </c>
      <c r="FT104" s="0" t="n">
        <f aca="false">+FT102+FT103</f>
        <v>4819.63929279687</v>
      </c>
      <c r="FU104" s="0" t="n">
        <f aca="false">+FU102+FU103</f>
        <v>4151.22639717764</v>
      </c>
      <c r="FV104" s="0" t="n">
        <f aca="false">+FV102+FV103</f>
        <v>4218.2470877762</v>
      </c>
      <c r="FW104" s="0" t="n">
        <f aca="false">+FW102+FW103</f>
        <v>4398.18109622465</v>
      </c>
      <c r="FX104" s="0" t="n">
        <f aca="false">+FX102+FX103</f>
        <v>4877.03204141234</v>
      </c>
      <c r="FY104" s="0" t="n">
        <f aca="false">+FY102+FY103</f>
        <v>4300.6257175307</v>
      </c>
      <c r="FZ104" s="0" t="n">
        <f aca="false">+FZ102+FZ103</f>
        <v>5453.09335267217</v>
      </c>
      <c r="GA104" s="0" t="n">
        <f aca="false">+GA102+GA103</f>
        <v>5075.31062689373</v>
      </c>
      <c r="GB104" s="0" t="n">
        <f aca="false">+GB102+GB103</f>
        <v>4951.19731749153</v>
      </c>
      <c r="GC104" s="0" t="n">
        <f aca="false">+GC102+GC103</f>
        <v>5686.21252949643</v>
      </c>
      <c r="GD104" s="0" t="n">
        <f aca="false">+GD102+GD103</f>
        <v>5168.7083755842</v>
      </c>
      <c r="GE104" s="0" t="n">
        <f aca="false">+GE102+GE103</f>
        <v>4639.84468305303</v>
      </c>
      <c r="GF104" s="0" t="n">
        <f aca="false">+GF102+GF103</f>
        <v>4809.9775048778</v>
      </c>
      <c r="GG104" s="0" t="n">
        <f aca="false">+GG102+GG103</f>
        <v>5197.68517637227</v>
      </c>
      <c r="GH104" s="0" t="n">
        <f aca="false">+GH102+GH103</f>
        <v>4905.60829414786</v>
      </c>
      <c r="GI104" s="0" t="n">
        <f aca="false">+GI102+GI103</f>
        <v>4127.47101406155</v>
      </c>
      <c r="GJ104" s="0" t="n">
        <f aca="false">+GJ102+GJ103</f>
        <v>5909.15632743603</v>
      </c>
      <c r="GK104" s="0" t="n">
        <f aca="false">+GK102+GK103</f>
        <v>5606.52782821824</v>
      </c>
      <c r="GL104" s="0" t="n">
        <f aca="false">+GL102+GL103</f>
        <v>5201.2996598955</v>
      </c>
      <c r="GM104" s="0" t="n">
        <f aca="false">+GM102+GM103</f>
        <v>4894.21941907187</v>
      </c>
      <c r="GN104" s="0" t="n">
        <f aca="false">+GN102+GN103</f>
        <v>5110.4037492789</v>
      </c>
      <c r="GO104" s="0" t="n">
        <f aca="false">+GO102+GO103</f>
        <v>5469.25653868891</v>
      </c>
      <c r="GP104" s="0" t="n">
        <f aca="false">+GP102+GP103</f>
        <v>4339.04851943849</v>
      </c>
      <c r="GQ104" s="0" t="n">
        <f aca="false">+GQ102+GQ103</f>
        <v>5497.6711197021</v>
      </c>
      <c r="GR104" s="0" t="n">
        <f aca="false">+GR102+GR103</f>
        <v>4017.93191875915</v>
      </c>
      <c r="GS104" s="0" t="n">
        <f aca="false">+GS102+GS103</f>
        <v>4922.10542757776</v>
      </c>
      <c r="GT104" s="0" t="n">
        <f aca="false">+GT102+GT103</f>
        <v>4648.34373504504</v>
      </c>
      <c r="GU104" s="0" t="n">
        <f aca="false">+GU102+GU103</f>
        <v>5446.97822937471</v>
      </c>
      <c r="GV104" s="0" t="n">
        <f aca="false">+GV102+GV103</f>
        <v>4465.13667532151</v>
      </c>
      <c r="GW104" s="0" t="n">
        <f aca="false">+GW102+GW103</f>
        <v>5340.82717669528</v>
      </c>
      <c r="GX104" s="0" t="n">
        <f aca="false">+GX102+GX103</f>
        <v>5018.09717791369</v>
      </c>
      <c r="GY104" s="0" t="n">
        <f aca="false">+GY102+GY103</f>
        <v>5201.92213915765</v>
      </c>
      <c r="GZ104" s="0" t="n">
        <f aca="false">+GZ102+GZ103</f>
        <v>4399.34229760085</v>
      </c>
      <c r="HA104" s="0" t="n">
        <f aca="false">+HA102+HA103</f>
        <v>4734.52279026648</v>
      </c>
      <c r="HB104" s="0" t="n">
        <f aca="false">+HB102+HB103</f>
        <v>5226.5546625479</v>
      </c>
      <c r="HC104" s="0" t="n">
        <f aca="false">+HC102+HC103</f>
        <v>5406.93052009426</v>
      </c>
      <c r="HD104" s="0" t="n">
        <f aca="false">+HD102+HD103</f>
        <v>3839.91896704696</v>
      </c>
      <c r="HE104" s="0" t="n">
        <f aca="false">+HE102+HE103</f>
        <v>4255.32828559199</v>
      </c>
      <c r="HF104" s="0" t="n">
        <f aca="false">+HF102+HF103</f>
        <v>4935.60141676049</v>
      </c>
      <c r="HG104" s="0" t="n">
        <f aca="false">+HG102+HG103</f>
        <v>4342.21259927522</v>
      </c>
      <c r="HH104" s="0" t="n">
        <f aca="false">+HH102+HH103</f>
        <v>4303.16168974056</v>
      </c>
      <c r="HI104" s="0" t="n">
        <f aca="false">+HI102+HI103</f>
        <v>4612.61030385398</v>
      </c>
      <c r="HJ104" s="0" t="n">
        <f aca="false">+HJ102+HJ103</f>
        <v>5110.88926375962</v>
      </c>
      <c r="HK104" s="0" t="n">
        <f aca="false">+HK102+HK103</f>
        <v>5423.99043809476</v>
      </c>
      <c r="HL104" s="0" t="n">
        <f aca="false">+HL102+HL103</f>
        <v>3885.92756640624</v>
      </c>
      <c r="HM104" s="0" t="n">
        <f aca="false">+HM102+HM103</f>
        <v>5586.12187313531</v>
      </c>
      <c r="HN104" s="0" t="n">
        <f aca="false">+HN102+HN103</f>
        <v>5569.50334380094</v>
      </c>
      <c r="HO104" s="0" t="n">
        <f aca="false">+HO102+HO103</f>
        <v>5815.10672674191</v>
      </c>
      <c r="HP104" s="0" t="n">
        <f aca="false">+HP102+HP103</f>
        <v>5415.41412695153</v>
      </c>
      <c r="HQ104" s="0" t="n">
        <f aca="false">+HQ102+HQ103</f>
        <v>4673.75294462355</v>
      </c>
      <c r="HR104" s="0" t="n">
        <f aca="false">+HR102+HR103</f>
        <v>4757.43886613078</v>
      </c>
      <c r="HS104" s="0" t="n">
        <f aca="false">+HS102+HS103</f>
        <v>4647.18848427971</v>
      </c>
      <c r="HT104" s="0" t="n">
        <f aca="false">+HT102+HT103</f>
        <v>3007.72001958263</v>
      </c>
      <c r="HU104" s="0" t="n">
        <f aca="false">+HU102+HU103</f>
        <v>5534.18488230661</v>
      </c>
      <c r="HV104" s="0" t="n">
        <f aca="false">+HV102+HV103</f>
        <v>4603.61845975093</v>
      </c>
      <c r="HW104" s="0" t="n">
        <f aca="false">+HW102+HW103</f>
        <v>5262.98644785372</v>
      </c>
      <c r="HX104" s="0" t="n">
        <f aca="false">+HX102+HX103</f>
        <v>4228.63494533805</v>
      </c>
      <c r="HY104" s="0" t="n">
        <f aca="false">+HY102+HY103</f>
        <v>5453.4686982931</v>
      </c>
      <c r="HZ104" s="0" t="n">
        <f aca="false">+HZ102+HZ103</f>
        <v>5428.36245938787</v>
      </c>
      <c r="IA104" s="0" t="n">
        <f aca="false">+IA102+IA103</f>
        <v>3934.49684044784</v>
      </c>
      <c r="IB104" s="0" t="n">
        <f aca="false">+IB102+IB103</f>
        <v>5641.08236425034</v>
      </c>
      <c r="IC104" s="0" t="n">
        <f aca="false">+IC102+IC103</f>
        <v>5553.55779810231</v>
      </c>
      <c r="ID104" s="0" t="n">
        <f aca="false">+ID102+ID103</f>
        <v>5375.35842711218</v>
      </c>
      <c r="IE104" s="0" t="n">
        <f aca="false">+IE102+IE103</f>
        <v>3733.14380717428</v>
      </c>
      <c r="IF104" s="0" t="n">
        <f aca="false">+IF102+IF103</f>
        <v>5188.36684734413</v>
      </c>
      <c r="IG104" s="0" t="n">
        <f aca="false">+IG102+IG103</f>
        <v>5439.7819731793</v>
      </c>
      <c r="IH104" s="0" t="n">
        <f aca="false">+IH102+IH103</f>
        <v>4875.60816330808</v>
      </c>
      <c r="II104" s="0" t="n">
        <f aca="false">+II102+II103</f>
        <v>5026.91318528911</v>
      </c>
      <c r="IJ104" s="0" t="n">
        <f aca="false">+IJ102+IJ103</f>
        <v>5137.58630963126</v>
      </c>
      <c r="IK104" s="0" t="n">
        <f aca="false">+IK102+IK103</f>
        <v>3111.17334937302</v>
      </c>
      <c r="IL104" s="0" t="n">
        <f aca="false">+IL102+IL103</f>
        <v>4575.11928180446</v>
      </c>
      <c r="IM104" s="0" t="n">
        <f aca="false">+IM102+IM103</f>
        <v>5293.66659286871</v>
      </c>
      <c r="IN104" s="0" t="n">
        <f aca="false">+IN102+IN103</f>
        <v>4975.97827047251</v>
      </c>
      <c r="IO104" s="0" t="n">
        <f aca="false">+IO102+IO103</f>
        <v>4621.00028997092</v>
      </c>
      <c r="IP104" s="0" t="n">
        <f aca="false">+IP102+IP103</f>
        <v>4865.09105181184</v>
      </c>
      <c r="IQ104" s="0" t="n">
        <f aca="false">+IQ102+IQ103</f>
        <v>4978.59533792975</v>
      </c>
      <c r="IR104" s="0" t="n">
        <f aca="false">+IR102+IR103</f>
        <v>5403.54019768261</v>
      </c>
      <c r="IS104" s="0" t="n">
        <f aca="false">+IS102+IS103</f>
        <v>4839.77900060495</v>
      </c>
      <c r="IT104" s="0" t="n">
        <f aca="false">+IT102+IT103</f>
        <v>4604.05653461653</v>
      </c>
      <c r="IU104" s="0" t="n">
        <f aca="false">+IU102+IU103</f>
        <v>5110.22451364332</v>
      </c>
      <c r="IV104" s="0" t="n">
        <f aca="false">+IV102+IV103</f>
        <v>4380.03629012931</v>
      </c>
      <c r="IW104" s="0" t="n">
        <f aca="false">+IW102+IW103</f>
        <v>5016.63731951063</v>
      </c>
      <c r="IX104" s="0" t="n">
        <f aca="false">+IX102+IX103</f>
        <v>4924.31898897568</v>
      </c>
      <c r="IY104" s="0" t="n">
        <f aca="false">+IY102+IY103</f>
        <v>4617.20725205917</v>
      </c>
      <c r="IZ104" s="0" t="n">
        <f aca="false">+IZ102+IZ103</f>
        <v>4765.44996053491</v>
      </c>
      <c r="JA104" s="0" t="n">
        <f aca="false">+JA102+JA103</f>
        <v>5695.93209436654</v>
      </c>
      <c r="JB104" s="0" t="n">
        <f aca="false">+JB102+JB103</f>
        <v>5146.17120401999</v>
      </c>
      <c r="JC104" s="0" t="n">
        <f aca="false">+JC102+JC103</f>
        <v>5108.67834120449</v>
      </c>
      <c r="JD104" s="0" t="n">
        <f aca="false">+JD102+JD103</f>
        <v>5207.85666983365</v>
      </c>
      <c r="JE104" s="0" t="n">
        <f aca="false">+JE102+JE103</f>
        <v>5541.373876497</v>
      </c>
      <c r="JF104" s="0" t="n">
        <f aca="false">+JF102+JF103</f>
        <v>4635.8374481143</v>
      </c>
      <c r="JG104" s="0" t="n">
        <f aca="false">+JG102+JG103</f>
        <v>4441.58221112903</v>
      </c>
      <c r="JH104" s="0" t="n">
        <f aca="false">+JH102+JH103</f>
        <v>5281.21116825654</v>
      </c>
      <c r="JI104" s="0" t="n">
        <f aca="false">+JI102+JI103</f>
        <v>4606.12652353044</v>
      </c>
      <c r="JJ104" s="0" t="n">
        <f aca="false">+JJ102+JJ103</f>
        <v>5077.34563541815</v>
      </c>
      <c r="JK104" s="0" t="n">
        <f aca="false">+JK102+JK103</f>
        <v>5356.4594260408</v>
      </c>
      <c r="JL104" s="0" t="n">
        <f aca="false">+JL102+JL103</f>
        <v>4939.1494216404</v>
      </c>
      <c r="JM104" s="0" t="n">
        <f aca="false">+JM102+JM103</f>
        <v>5060.89106953863</v>
      </c>
      <c r="JN104" s="0" t="n">
        <f aca="false">+JN102+JN103</f>
        <v>4871.31006476642</v>
      </c>
      <c r="JO104" s="0" t="n">
        <f aca="false">+JO102+JO103</f>
        <v>5728.89725712769</v>
      </c>
      <c r="JP104" s="0" t="n">
        <f aca="false">+JP102+JP103</f>
        <v>5118.91419910042</v>
      </c>
      <c r="JQ104" s="0" t="n">
        <f aca="false">+JQ102+JQ103</f>
        <v>5236.91490952911</v>
      </c>
      <c r="JR104" s="0" t="n">
        <f aca="false">+JR102+JR103</f>
        <v>5503.82268490912</v>
      </c>
      <c r="JS104" s="0" t="n">
        <f aca="false">+JS102+JS103</f>
        <v>5177.35317007523</v>
      </c>
      <c r="JT104" s="0" t="n">
        <f aca="false">+JT102+JT103</f>
        <v>5138.26182675874</v>
      </c>
      <c r="JU104" s="0" t="n">
        <f aca="false">+JU102+JU103</f>
        <v>5126.17989936085</v>
      </c>
      <c r="JV104" s="0" t="n">
        <f aca="false">+JV102+JV103</f>
        <v>4910.00416135888</v>
      </c>
      <c r="JW104" s="0" t="n">
        <f aca="false">+JW102+JW103</f>
        <v>3539.02650580106</v>
      </c>
      <c r="JX104" s="0" t="n">
        <f aca="false">+JX102+JX103</f>
        <v>5668.59330433453</v>
      </c>
      <c r="JY104" s="0" t="n">
        <f aca="false">+JY102+JY103</f>
        <v>5102.5352122454</v>
      </c>
      <c r="JZ104" s="0" t="n">
        <f aca="false">+JZ102+JZ103</f>
        <v>5654.15287046699</v>
      </c>
      <c r="KA104" s="0" t="n">
        <f aca="false">+KA102+KA103</f>
        <v>5458.92377398405</v>
      </c>
      <c r="KB104" s="0" t="n">
        <f aca="false">+KB102+KB103</f>
        <v>4447.84465409151</v>
      </c>
      <c r="KC104" s="0" t="n">
        <f aca="false">+KC102+KC103</f>
        <v>5595.97032159661</v>
      </c>
      <c r="KD104" s="0" t="n">
        <f aca="false">+KD102+KD103</f>
        <v>5014.19276500846</v>
      </c>
      <c r="KE104" s="0" t="n">
        <f aca="false">+KE102+KE103</f>
        <v>4735.411355747</v>
      </c>
      <c r="KF104" s="0" t="n">
        <f aca="false">+KF102+KF103</f>
        <v>4889.86958843492</v>
      </c>
      <c r="KG104" s="0" t="n">
        <f aca="false">+KG102+KG103</f>
        <v>3447.87929948876</v>
      </c>
      <c r="KH104" s="0" t="n">
        <f aca="false">+KH102+KH103</f>
        <v>4940.6035579368</v>
      </c>
      <c r="KI104" s="0" t="n">
        <f aca="false">+KI102+KI103</f>
        <v>5536.34357471829</v>
      </c>
      <c r="KJ104" s="0" t="n">
        <f aca="false">+KJ102+KJ103</f>
        <v>4570.70506163834</v>
      </c>
      <c r="KK104" s="0" t="n">
        <f aca="false">+KK102+KK103</f>
        <v>5399.56607999588</v>
      </c>
      <c r="KL104" s="0" t="n">
        <f aca="false">+KL102+KL103</f>
        <v>4747.44513012686</v>
      </c>
      <c r="KM104" s="0" t="n">
        <f aca="false">+KM102+KM103</f>
        <v>4721.48709771083</v>
      </c>
      <c r="KN104" s="0" t="n">
        <f aca="false">+KN102+KN103</f>
        <v>5154.57018521927</v>
      </c>
      <c r="KO104" s="0" t="n">
        <f aca="false">+KO102+KO103</f>
        <v>5122.99754666056</v>
      </c>
      <c r="KP104" s="0" t="n">
        <f aca="false">+KP102+KP103</f>
        <v>5892.50853293669</v>
      </c>
      <c r="KQ104" s="0" t="n">
        <f aca="false">+KQ102+KQ103</f>
        <v>5121.29360993004</v>
      </c>
      <c r="KR104" s="0" t="n">
        <f aca="false">+KR102+KR103</f>
        <v>4952.6739420962</v>
      </c>
      <c r="KS104" s="0" t="n">
        <f aca="false">+KS102+KS103</f>
        <v>5085.90973625098</v>
      </c>
      <c r="KT104" s="0" t="n">
        <f aca="false">+KT102+KT103</f>
        <v>5510.02732584112</v>
      </c>
      <c r="KU104" s="0" t="n">
        <f aca="false">+KU102+KU103</f>
        <v>5539.37604751755</v>
      </c>
      <c r="KV104" s="0" t="n">
        <f aca="false">+KV102+KV103</f>
        <v>5170.13799397176</v>
      </c>
      <c r="KW104" s="0" t="n">
        <f aca="false">+KW102+KW103</f>
        <v>5810.14996440162</v>
      </c>
      <c r="KX104" s="0" t="n">
        <f aca="false">+KX102+KX103</f>
        <v>4678.86634112347</v>
      </c>
      <c r="KY104" s="0" t="n">
        <f aca="false">+KY102+KY103</f>
        <v>4700.20855141548</v>
      </c>
      <c r="KZ104" s="0" t="n">
        <f aca="false">+KZ102+KZ103</f>
        <v>5425.43688048453</v>
      </c>
      <c r="LA104" s="0" t="n">
        <f aca="false">+LA102+LA103</f>
        <v>4453.62630725682</v>
      </c>
      <c r="LB104" s="0" t="n">
        <f aca="false">+LB102+LB103</f>
        <v>3201.16249551357</v>
      </c>
      <c r="LC104" s="0" t="n">
        <f aca="false">+LC102+LC103</f>
        <v>4629.21125816401</v>
      </c>
      <c r="LD104" s="0" t="n">
        <f aca="false">+LD102+LD103</f>
        <v>5221.71482489592</v>
      </c>
      <c r="LE104" s="0" t="n">
        <f aca="false">+LE102+LE103</f>
        <v>5569.54816511614</v>
      </c>
      <c r="LF104" s="0" t="n">
        <f aca="false">+LF102+LF103</f>
        <v>5318.80826767478</v>
      </c>
      <c r="LG104" s="0" t="n">
        <f aca="false">+LG102+LG103</f>
        <v>4692.03875779992</v>
      </c>
      <c r="LH104" s="0" t="n">
        <f aca="false">+LH102+LH103</f>
        <v>5604.68649472302</v>
      </c>
      <c r="LI104" s="0" t="n">
        <f aca="false">+LI102+LI103</f>
        <v>4650.27381047474</v>
      </c>
      <c r="LJ104" s="0" t="n">
        <f aca="false">+LJ102+LJ103</f>
        <v>5045.66120295443</v>
      </c>
      <c r="LK104" s="0" t="n">
        <f aca="false">+LK102+LK103</f>
        <v>4399.9536913422</v>
      </c>
      <c r="LL104" s="0" t="n">
        <f aca="false">+LL102+LL103</f>
        <v>5138.20711595553</v>
      </c>
      <c r="LM104" s="0" t="n">
        <f aca="false">+LM102+LM103</f>
        <v>5070.2377168942</v>
      </c>
      <c r="LN104" s="0" t="n">
        <f aca="false">+LN102+LN103</f>
        <v>4019.18462356783</v>
      </c>
      <c r="LO104" s="0" t="n">
        <f aca="false">+LO102+LO103</f>
        <v>5260.66475778648</v>
      </c>
      <c r="LP104" s="0" t="n">
        <f aca="false">+LP102+LP103</f>
        <v>4398.68039964892</v>
      </c>
      <c r="LQ104" s="0" t="n">
        <f aca="false">+LQ102+LQ103</f>
        <v>5292.18217881445</v>
      </c>
      <c r="LR104" s="0" t="n">
        <f aca="false">+LR102+LR103</f>
        <v>5462.84829549575</v>
      </c>
      <c r="LS104" s="0" t="n">
        <f aca="false">+LS102+LS103</f>
        <v>5201.38512517984</v>
      </c>
      <c r="LT104" s="0" t="n">
        <f aca="false">+LT102+LT103</f>
        <v>4948.65161531681</v>
      </c>
      <c r="LU104" s="0" t="n">
        <f aca="false">+LU102+LU103</f>
        <v>5108.50407228723</v>
      </c>
      <c r="LV104" s="0" t="n">
        <f aca="false">+LV102+LV103</f>
        <v>5519.65138532957</v>
      </c>
      <c r="LW104" s="0" t="n">
        <f aca="false">+LW102+LW103</f>
        <v>4932.79599769083</v>
      </c>
      <c r="LX104" s="0" t="n">
        <f aca="false">+LX102+LX103</f>
        <v>4978.424698958</v>
      </c>
      <c r="LY104" s="0" t="n">
        <f aca="false">+LY102+LY103</f>
        <v>5488.78465323752</v>
      </c>
      <c r="LZ104" s="0" t="n">
        <f aca="false">+LZ102+LZ103</f>
        <v>5382.29360521364</v>
      </c>
      <c r="MA104" s="0" t="n">
        <f aca="false">+MA102+MA103</f>
        <v>4835.76688614538</v>
      </c>
      <c r="MB104" s="0" t="n">
        <f aca="false">+MB102+MB103</f>
        <v>3976.10490678287</v>
      </c>
      <c r="MC104" s="0" t="n">
        <f aca="false">+MC102+MC103</f>
        <v>4669.45150460051</v>
      </c>
      <c r="MD104" s="0" t="n">
        <f aca="false">+MD102+MD103</f>
        <v>2143.33247411633</v>
      </c>
      <c r="ME104" s="0" t="n">
        <f aca="false">+ME102+ME103</f>
        <v>4259.46142360179</v>
      </c>
      <c r="MF104" s="0" t="n">
        <f aca="false">+MF102+MF103</f>
        <v>5002.97961129768</v>
      </c>
      <c r="MG104" s="0" t="n">
        <f aca="false">+MG102+MG103</f>
        <v>5615.70519753257</v>
      </c>
      <c r="MH104" s="0" t="n">
        <f aca="false">+MH102+MH103</f>
        <v>4984.14739393379</v>
      </c>
      <c r="MI104" s="0" t="n">
        <f aca="false">+MI102+MI103</f>
        <v>4767.44558139628</v>
      </c>
      <c r="MJ104" s="0" t="n">
        <f aca="false">+MJ102+MJ103</f>
        <v>4422.54033091239</v>
      </c>
      <c r="MK104" s="0" t="n">
        <f aca="false">+MK102+MK103</f>
        <v>4553.0830228243</v>
      </c>
      <c r="ML104" s="0" t="n">
        <f aca="false">+ML102+ML103</f>
        <v>4148.53732078882</v>
      </c>
      <c r="MM104" s="0" t="n">
        <f aca="false">+MM102+MM103</f>
        <v>5185.5557625745</v>
      </c>
      <c r="MN104" s="0" t="n">
        <f aca="false">+MN102+MN103</f>
        <v>4559.35433332482</v>
      </c>
      <c r="MO104" s="0" t="n">
        <f aca="false">+MO102+MO103</f>
        <v>3803.42779500337</v>
      </c>
      <c r="MP104" s="0" t="n">
        <f aca="false">+MP102+MP103</f>
        <v>3880.43051025729</v>
      </c>
      <c r="MQ104" s="0" t="n">
        <f aca="false">+MQ102+MQ103</f>
        <v>5676.75392386919</v>
      </c>
      <c r="MR104" s="0" t="n">
        <f aca="false">+MR102+MR103</f>
        <v>4608.49567923506</v>
      </c>
      <c r="MS104" s="0" t="n">
        <f aca="false">+MS102+MS103</f>
        <v>4436.40142785733</v>
      </c>
      <c r="MT104" s="0" t="n">
        <f aca="false">+MT102+MT103</f>
        <v>5310.13583114512</v>
      </c>
      <c r="MU104" s="0" t="n">
        <f aca="false">+MU102+MU103</f>
        <v>5443.30329147914</v>
      </c>
      <c r="MV104" s="0" t="n">
        <f aca="false">+MV102+MV103</f>
        <v>4114.48235398746</v>
      </c>
      <c r="MW104" s="0" t="n">
        <f aca="false">+MW102+MW103</f>
        <v>5106.00243881845</v>
      </c>
      <c r="MX104" s="0" t="n">
        <f aca="false">+MX102+MX103</f>
        <v>5675.74012414481</v>
      </c>
      <c r="MY104" s="0" t="n">
        <f aca="false">+MY102+MY103</f>
        <v>4584.05222077668</v>
      </c>
      <c r="MZ104" s="0" t="n">
        <f aca="false">+MZ102+MZ103</f>
        <v>4735.045141179</v>
      </c>
      <c r="NA104" s="0" t="n">
        <f aca="false">+NA102+NA103</f>
        <v>4409.32089149384</v>
      </c>
      <c r="NB104" s="0" t="n">
        <f aca="false">+NB102+NB103</f>
        <v>4027.4754451057</v>
      </c>
      <c r="NC104" s="0" t="n">
        <f aca="false">+NC102+NC103</f>
        <v>4970.72254536715</v>
      </c>
      <c r="ND104" s="0" t="n">
        <f aca="false">+ND102+ND103</f>
        <v>5293.61248677786</v>
      </c>
      <c r="NE104" s="0" t="n">
        <f aca="false">+NE102+NE103</f>
        <v>3593.53129175035</v>
      </c>
      <c r="NF104" s="0" t="n">
        <f aca="false">+NF102+NF103</f>
        <v>5078.75067005206</v>
      </c>
      <c r="NG104" s="0" t="n">
        <f aca="false">+NG102+NG103</f>
        <v>5091.32179149981</v>
      </c>
      <c r="NH104" s="0" t="n">
        <f aca="false">+NH102+NH103</f>
        <v>5132.94894431065</v>
      </c>
      <c r="NI104" s="0" t="n">
        <f aca="false">+NI102+NI103</f>
        <v>4999.82723836843</v>
      </c>
      <c r="NJ104" s="0" t="n">
        <f aca="false">+NJ102+NJ103</f>
        <v>5277.09206713879</v>
      </c>
      <c r="NK104" s="0" t="n">
        <f aca="false">+NK102+NK103</f>
        <v>4520.31933302366</v>
      </c>
      <c r="NL104" s="0" t="n">
        <f aca="false">+NL102+NL103</f>
        <v>5041.33988973677</v>
      </c>
      <c r="NM104" s="0" t="n">
        <f aca="false">+NM102+NM103</f>
        <v>3877.67353094508</v>
      </c>
      <c r="NN104" s="0" t="n">
        <f aca="false">+NN102+NN103</f>
        <v>3854.85536327152</v>
      </c>
      <c r="NO104" s="0" t="n">
        <f aca="false">+NO102+NO103</f>
        <v>5712.27421000952</v>
      </c>
      <c r="NP104" s="0" t="n">
        <f aca="false">+NP102+NP103</f>
        <v>4957.41955380337</v>
      </c>
      <c r="NQ104" s="0" t="n">
        <f aca="false">+NQ102+NQ103</f>
        <v>4903.06817146139</v>
      </c>
      <c r="NR104" s="0" t="n">
        <f aca="false">+NR102+NR103</f>
        <v>5178.27741868318</v>
      </c>
      <c r="NS104" s="0" t="n">
        <f aca="false">+NS102+NS103</f>
        <v>5013.23757776281</v>
      </c>
      <c r="NT104" s="0" t="n">
        <f aca="false">+NT102+NT103</f>
        <v>5300.7960218238</v>
      </c>
      <c r="NU104" s="0" t="n">
        <f aca="false">+NU102+NU103</f>
        <v>5761.86454070902</v>
      </c>
      <c r="NV104" s="0" t="n">
        <f aca="false">+NV102+NV103</f>
        <v>5120.43570125596</v>
      </c>
      <c r="NW104" s="0" t="n">
        <f aca="false">+NW102+NW103</f>
        <v>5069.42878122727</v>
      </c>
      <c r="NX104" s="0" t="n">
        <f aca="false">+NX102+NX103</f>
        <v>5105.04948045519</v>
      </c>
      <c r="NY104" s="0" t="n">
        <f aca="false">+NY102+NY103</f>
        <v>5063.53966679654</v>
      </c>
      <c r="NZ104" s="0" t="n">
        <f aca="false">+NZ102+NZ103</f>
        <v>4245.39824301864</v>
      </c>
      <c r="OA104" s="0" t="n">
        <f aca="false">+OA102+OA103</f>
        <v>5009.27298059758</v>
      </c>
      <c r="OB104" s="0" t="n">
        <f aca="false">+OB102+OB103</f>
        <v>5004.76113768711</v>
      </c>
      <c r="OC104" s="0" t="n">
        <f aca="false">+OC102+OC103</f>
        <v>4984.03226526308</v>
      </c>
      <c r="OD104" s="0" t="n">
        <f aca="false">+OD102+OD103</f>
        <v>4667.57343966908</v>
      </c>
      <c r="OE104" s="0" t="n">
        <f aca="false">+OE102+OE103</f>
        <v>4980.04122366064</v>
      </c>
      <c r="OF104" s="0" t="n">
        <f aca="false">+OF102+OF103</f>
        <v>4877.47484141315</v>
      </c>
      <c r="OG104" s="0" t="n">
        <f aca="false">+OG102+OG103</f>
        <v>4588.85906680453</v>
      </c>
      <c r="OH104" s="0" t="n">
        <f aca="false">+OH102+OH103</f>
        <v>4980.25890453495</v>
      </c>
      <c r="OI104" s="0" t="n">
        <f aca="false">+OI102+OI103</f>
        <v>4941.62021661757</v>
      </c>
      <c r="OJ104" s="0" t="n">
        <f aca="false">+OJ102+OJ103</f>
        <v>5782.0938941907</v>
      </c>
      <c r="OK104" s="0" t="n">
        <f aca="false">+OK102+OK103</f>
        <v>4617.26687162601</v>
      </c>
      <c r="OL104" s="0" t="n">
        <f aca="false">+OL102+OL103</f>
        <v>5353.25371231273</v>
      </c>
      <c r="OM104" s="0" t="n">
        <f aca="false">+OM102+OM103</f>
        <v>4650.57563578206</v>
      </c>
      <c r="ON104" s="0" t="n">
        <f aca="false">+ON102+ON103</f>
        <v>4118.48673820538</v>
      </c>
      <c r="OO104" s="0" t="n">
        <f aca="false">+OO102+OO103</f>
        <v>3620.47861105756</v>
      </c>
      <c r="OP104" s="0" t="n">
        <f aca="false">+OP102+OP103</f>
        <v>5269.28661220427</v>
      </c>
      <c r="OQ104" s="0" t="n">
        <f aca="false">+OQ102+OQ103</f>
        <v>4786.05841754443</v>
      </c>
      <c r="OR104" s="0" t="n">
        <f aca="false">+OR102+OR103</f>
        <v>4919.43364149495</v>
      </c>
      <c r="OS104" s="0" t="n">
        <f aca="false">+OS102+OS103</f>
        <v>5298.89050070545</v>
      </c>
      <c r="OT104" s="0" t="n">
        <f aca="false">+OT102+OT103</f>
        <v>4155.82500802619</v>
      </c>
      <c r="OU104" s="0" t="n">
        <f aca="false">+OU102+OU103</f>
        <v>5269.61846785629</v>
      </c>
      <c r="OV104" s="0" t="n">
        <f aca="false">+OV102+OV103</f>
        <v>4791.53843966478</v>
      </c>
      <c r="OW104" s="0" t="n">
        <f aca="false">+OW102+OW103</f>
        <v>5065.12891154777</v>
      </c>
      <c r="OX104" s="0" t="n">
        <f aca="false">+OX102+OX103</f>
        <v>5483.30836214141</v>
      </c>
      <c r="OY104" s="0" t="n">
        <f aca="false">+OY102+OY103</f>
        <v>4506.07919342129</v>
      </c>
      <c r="OZ104" s="0" t="n">
        <f aca="false">+OZ102+OZ103</f>
        <v>3819.9020755639</v>
      </c>
      <c r="PA104" s="0" t="n">
        <f aca="false">+PA102+PA103</f>
        <v>5548.35178737134</v>
      </c>
      <c r="PB104" s="0" t="n">
        <f aca="false">+PB102+PB103</f>
        <v>4529.20271221614</v>
      </c>
      <c r="PC104" s="0" t="n">
        <f aca="false">+PC102+PC103</f>
        <v>4483.28580840369</v>
      </c>
      <c r="PD104" s="0" t="n">
        <f aca="false">+PD102+PD103</f>
        <v>5252.60127144637</v>
      </c>
      <c r="PE104" s="0" t="n">
        <f aca="false">+PE102+PE103</f>
        <v>4270.71243576015</v>
      </c>
      <c r="PF104" s="0" t="n">
        <f aca="false">+PF102+PF103</f>
        <v>4708.2941933367</v>
      </c>
      <c r="PG104" s="0" t="n">
        <f aca="false">+PG102+PG103</f>
        <v>4485.70263630232</v>
      </c>
      <c r="PH104" s="0" t="n">
        <f aca="false">+PH102+PH103</f>
        <v>5034.14026325526</v>
      </c>
      <c r="PI104" s="0" t="n">
        <f aca="false">+PI102+PI103</f>
        <v>5266.03216288456</v>
      </c>
      <c r="PJ104" s="0" t="n">
        <f aca="false">+PJ102+PJ103</f>
        <v>4886.27744218864</v>
      </c>
      <c r="PK104" s="0" t="n">
        <f aca="false">+PK102+PK103</f>
        <v>4771.47468924484</v>
      </c>
      <c r="PL104" s="0" t="n">
        <f aca="false">+PL102+PL103</f>
        <v>4898.66087917773</v>
      </c>
      <c r="PM104" s="0" t="n">
        <f aca="false">+PM102+PM103</f>
        <v>5171.93470010887</v>
      </c>
      <c r="PN104" s="0" t="n">
        <f aca="false">+PN102+PN103</f>
        <v>3953.27281518724</v>
      </c>
      <c r="PO104" s="0" t="n">
        <f aca="false">+PO102+PO103</f>
        <v>4450.65989765515</v>
      </c>
      <c r="PP104" s="0" t="n">
        <f aca="false">+PP102+PP103</f>
        <v>5191.87580989715</v>
      </c>
      <c r="PQ104" s="0" t="n">
        <f aca="false">+PQ102+PQ103</f>
        <v>4626.43927611404</v>
      </c>
      <c r="PR104" s="0" t="n">
        <f aca="false">+PR102+PR103</f>
        <v>4592.2512134483</v>
      </c>
      <c r="PS104" s="0" t="n">
        <f aca="false">+PS102+PS103</f>
        <v>3401.83376799703</v>
      </c>
      <c r="PT104" s="0" t="n">
        <f aca="false">+PT102+PT103</f>
        <v>4987.14114531109</v>
      </c>
      <c r="PU104" s="0" t="n">
        <f aca="false">+PU102+PU103</f>
        <v>4566.05603050715</v>
      </c>
      <c r="PV104" s="0" t="n">
        <f aca="false">+PV102+PV103</f>
        <v>4923.89568899083</v>
      </c>
      <c r="PW104" s="0" t="n">
        <f aca="false">+PW102+PW103</f>
        <v>5202.46261944583</v>
      </c>
      <c r="PX104" s="0" t="n">
        <f aca="false">+PX102+PX103</f>
        <v>3606.17928321828</v>
      </c>
      <c r="PY104" s="0" t="n">
        <f aca="false">+PY102+PY103</f>
        <v>5761.4427682699</v>
      </c>
      <c r="PZ104" s="0" t="n">
        <f aca="false">+PZ102+PZ103</f>
        <v>5663.6508966363</v>
      </c>
      <c r="QA104" s="0" t="n">
        <f aca="false">+QA102+QA103</f>
        <v>4597.18794014429</v>
      </c>
      <c r="QB104" s="0" t="n">
        <f aca="false">+QB102+QB103</f>
        <v>5707.17017366276</v>
      </c>
      <c r="QC104" s="0" t="n">
        <f aca="false">+QC102+QC103</f>
        <v>4188.46269950607</v>
      </c>
      <c r="QD104" s="0" t="n">
        <f aca="false">+QD102+QD103</f>
        <v>5449.51030492361</v>
      </c>
      <c r="QE104" s="0" t="n">
        <f aca="false">+QE102+QE103</f>
        <v>4447.14307303138</v>
      </c>
      <c r="QF104" s="0" t="n">
        <f aca="false">+QF102+QF103</f>
        <v>3633.35267954415</v>
      </c>
      <c r="QG104" s="0" t="n">
        <f aca="false">+QG102+QG103</f>
        <v>4619.69614164626</v>
      </c>
      <c r="QH104" s="0" t="n">
        <f aca="false">+QH102+QH103</f>
        <v>5146.89106463941</v>
      </c>
      <c r="QI104" s="0" t="n">
        <f aca="false">+QI102+QI103</f>
        <v>4703.800748896</v>
      </c>
      <c r="QJ104" s="0" t="n">
        <f aca="false">+QJ102+QJ103</f>
        <v>5511.87556069354</v>
      </c>
      <c r="QK104" s="0" t="n">
        <f aca="false">+QK102+QK103</f>
        <v>5297.17938302462</v>
      </c>
      <c r="QL104" s="0" t="n">
        <f aca="false">+QL102+QL103</f>
        <v>5407.65602784131</v>
      </c>
      <c r="QM104" s="0" t="n">
        <f aca="false">+QM102+QM103</f>
        <v>4728.15226323614</v>
      </c>
      <c r="QN104" s="0" t="n">
        <f aca="false">+QN102+QN103</f>
        <v>4857.03189829217</v>
      </c>
      <c r="QO104" s="0" t="n">
        <f aca="false">+QO102+QO103</f>
        <v>4749.55062265197</v>
      </c>
      <c r="QP104" s="0" t="n">
        <f aca="false">+QP102+QP103</f>
        <v>5190.24462226313</v>
      </c>
      <c r="QQ104" s="0" t="n">
        <f aca="false">+QQ102+QQ103</f>
        <v>4815.19871637293</v>
      </c>
      <c r="QR104" s="0" t="n">
        <f aca="false">+QR102+QR103</f>
        <v>5336.89221960059</v>
      </c>
      <c r="QS104" s="0" t="n">
        <f aca="false">+QS102+QS103</f>
        <v>4971.87882843571</v>
      </c>
      <c r="QT104" s="0" t="n">
        <f aca="false">+QT102+QT103</f>
        <v>5945.53553808145</v>
      </c>
      <c r="QU104" s="0" t="n">
        <f aca="false">+QU102+QU103</f>
        <v>4898.73650059478</v>
      </c>
      <c r="QV104" s="0" t="n">
        <f aca="false">+QV102+QV103</f>
        <v>5120.12098699162</v>
      </c>
      <c r="QW104" s="0" t="n">
        <f aca="false">+QW102+QW103</f>
        <v>3942.09918551827</v>
      </c>
      <c r="QX104" s="0" t="n">
        <f aca="false">+QX102+QX103</f>
        <v>2665.60964682842</v>
      </c>
      <c r="QY104" s="0" t="n">
        <f aca="false">+QY102+QY103</f>
        <v>4035.43675783682</v>
      </c>
      <c r="QZ104" s="0" t="n">
        <f aca="false">+QZ102+QZ103</f>
        <v>4864.81796488712</v>
      </c>
      <c r="RA104" s="0" t="n">
        <f aca="false">+RA102+RA103</f>
        <v>4595.55915503311</v>
      </c>
      <c r="RB104" s="0" t="n">
        <f aca="false">+RB102+RB103</f>
        <v>5468.70670179703</v>
      </c>
      <c r="RC104" s="0" t="n">
        <f aca="false">+RC102+RC103</f>
        <v>5404.8486525043</v>
      </c>
      <c r="RD104" s="0" t="n">
        <f aca="false">+RD102+RD103</f>
        <v>5498.92086977313</v>
      </c>
      <c r="RE104" s="0" t="n">
        <f aca="false">+RE102+RE103</f>
        <v>5234.2445733831</v>
      </c>
      <c r="RF104" s="0" t="n">
        <f aca="false">+RF102+RF103</f>
        <v>5549.63061335086</v>
      </c>
      <c r="RG104" s="0" t="n">
        <f aca="false">+RG102+RG103</f>
        <v>5428.7668413543</v>
      </c>
      <c r="RH104" s="0" t="n">
        <f aca="false">+RH102+RH103</f>
        <v>5390.34683981765</v>
      </c>
      <c r="RI104" s="0" t="n">
        <f aca="false">+RI102+RI103</f>
        <v>5232.233727288</v>
      </c>
      <c r="RJ104" s="0" t="n">
        <f aca="false">+RJ102+RJ103</f>
        <v>5096.18714519215</v>
      </c>
      <c r="RK104" s="0" t="n">
        <f aca="false">+RK102+RK103</f>
        <v>3483.81279903485</v>
      </c>
      <c r="RL104" s="0" t="n">
        <f aca="false">+RL102+RL103</f>
        <v>4197.92314301214</v>
      </c>
      <c r="RM104" s="0" t="n">
        <f aca="false">+RM102+RM103</f>
        <v>5742.19279969689</v>
      </c>
      <c r="RN104" s="0" t="n">
        <f aca="false">+RN102+RN103</f>
        <v>4941.7410581836</v>
      </c>
      <c r="RO104" s="0" t="n">
        <f aca="false">+RO102+RO103</f>
        <v>3690.66078325167</v>
      </c>
      <c r="RP104" s="0" t="n">
        <f aca="false">+RP102+RP103</f>
        <v>5823.35377707237</v>
      </c>
      <c r="RQ104" s="0" t="n">
        <f aca="false">+RQ102+RQ103</f>
        <v>4143.9022151627</v>
      </c>
      <c r="RR104" s="0" t="n">
        <f aca="false">+RR102+RR103</f>
        <v>4305.40617981049</v>
      </c>
      <c r="RS104" s="0" t="n">
        <f aca="false">+RS102+RS103</f>
        <v>4925.64304527708</v>
      </c>
      <c r="RT104" s="0" t="n">
        <f aca="false">+RT102+RT103</f>
        <v>5306.06798040767</v>
      </c>
      <c r="RU104" s="0" t="n">
        <f aca="false">+RU102+RU103</f>
        <v>4137.06479435054</v>
      </c>
      <c r="RV104" s="0" t="n">
        <f aca="false">+RV102+RV103</f>
        <v>3875.18579829726</v>
      </c>
      <c r="RW104" s="0" t="n">
        <f aca="false">+RW102+RW103</f>
        <v>5027.12074814716</v>
      </c>
      <c r="RX104" s="0" t="n">
        <f aca="false">+RX102+RX103</f>
        <v>4627.65501501497</v>
      </c>
      <c r="RY104" s="0" t="n">
        <f aca="false">+RY102+RY103</f>
        <v>5385.39219993059</v>
      </c>
      <c r="RZ104" s="0" t="n">
        <f aca="false">+RZ102+RZ103</f>
        <v>5352.99389021755</v>
      </c>
      <c r="SA104" s="0" t="n">
        <f aca="false">+SA102+SA103</f>
        <v>4542.22562794464</v>
      </c>
      <c r="SB104" s="0" t="n">
        <f aca="false">+SB102+SB103</f>
        <v>5270.75774576865</v>
      </c>
      <c r="SC104" s="0" t="n">
        <f aca="false">+SC102+SC103</f>
        <v>3906.66331927219</v>
      </c>
      <c r="SD104" s="0" t="n">
        <f aca="false">+SD102+SD103</f>
        <v>5522.39751437394</v>
      </c>
      <c r="SE104" s="0" t="n">
        <f aca="false">+SE102+SE103</f>
        <v>4931.12869206374</v>
      </c>
      <c r="SF104" s="0" t="n">
        <f aca="false">+SF102+SF103</f>
        <v>4608.81441470229</v>
      </c>
      <c r="SG104" s="0" t="n">
        <f aca="false">+SG102+SG103</f>
        <v>5210.16580456043</v>
      </c>
      <c r="SH104" s="0" t="n">
        <f aca="false">+SH102+SH103</f>
        <v>4239.36233139336</v>
      </c>
      <c r="SI104" s="0" t="n">
        <f aca="false">+SI102+SI103</f>
        <v>4773.9214965213</v>
      </c>
      <c r="SJ104" s="0" t="n">
        <f aca="false">+SJ102+SJ103</f>
        <v>3675.7941156691</v>
      </c>
      <c r="SK104" s="0" t="n">
        <f aca="false">+SK102+SK103</f>
        <v>5554.63573934591</v>
      </c>
      <c r="SL104" s="0" t="n">
        <f aca="false">+SL102+SL103</f>
        <v>5162.61330061792</v>
      </c>
      <c r="SM104" s="0" t="n">
        <f aca="false">+SM102+SM103</f>
        <v>5123.72138996425</v>
      </c>
      <c r="SN104" s="0" t="n">
        <f aca="false">+SN102+SN103</f>
        <v>5436.42691691943</v>
      </c>
      <c r="SO104" s="0" t="n">
        <f aca="false">+SO102+SO103</f>
        <v>5490.92597566099</v>
      </c>
      <c r="SP104" s="0" t="n">
        <f aca="false">+SP102+SP103</f>
        <v>5037.18662535959</v>
      </c>
      <c r="SQ104" s="0" t="n">
        <f aca="false">+SQ102+SQ103</f>
        <v>4987.58020509596</v>
      </c>
      <c r="SR104" s="0" t="n">
        <f aca="false">+SR102+SR103</f>
        <v>5067.8495347686</v>
      </c>
      <c r="SS104" s="0" t="n">
        <f aca="false">+SS102+SS103</f>
        <v>5036.98610339743</v>
      </c>
      <c r="ST104" s="0" t="n">
        <f aca="false">+ST102+ST103</f>
        <v>4909.7278856511</v>
      </c>
      <c r="SU104" s="0" t="n">
        <f aca="false">+SU102+SU103</f>
        <v>5293.7355340646</v>
      </c>
      <c r="SV104" s="0" t="n">
        <f aca="false">+SV102+SV103</f>
        <v>5545.78880294549</v>
      </c>
      <c r="SW104" s="0" t="n">
        <f aca="false">+SW102+SW103</f>
        <v>3788.63097319438</v>
      </c>
      <c r="SX104" s="0" t="n">
        <f aca="false">+SX102+SX103</f>
        <v>3936.38653280094</v>
      </c>
      <c r="SY104" s="0" t="n">
        <f aca="false">+SY102+SY103</f>
        <v>4269.01725974944</v>
      </c>
      <c r="SZ104" s="0" t="n">
        <f aca="false">+SZ102+SZ103</f>
        <v>4505.40055061906</v>
      </c>
      <c r="TA104" s="0" t="n">
        <f aca="false">+TA102+TA103</f>
        <v>5886.68376606702</v>
      </c>
      <c r="TB104" s="0" t="n">
        <f aca="false">+TB102+TB103</f>
        <v>4562.63061135902</v>
      </c>
      <c r="TC104" s="0" t="n">
        <f aca="false">+TC102+TC103</f>
        <v>5411.72798258314</v>
      </c>
      <c r="TD104" s="0" t="n">
        <f aca="false">+TD102+TD103</f>
        <v>4089.46779782569</v>
      </c>
      <c r="TE104" s="0" t="n">
        <f aca="false">+TE102+TE103</f>
        <v>4880.70446293145</v>
      </c>
      <c r="TF104" s="0" t="n">
        <f aca="false">+TF102+TF103</f>
        <v>5204.86515726819</v>
      </c>
      <c r="TG104" s="0" t="n">
        <f aca="false">+TG102+TG103</f>
        <v>5324.55678820005</v>
      </c>
      <c r="TH104" s="0" t="n">
        <f aca="false">+TH102+TH103</f>
        <v>5178.84072437033</v>
      </c>
      <c r="TI104" s="0" t="n">
        <f aca="false">+TI102+TI103</f>
        <v>3769.2766643053</v>
      </c>
      <c r="TJ104" s="0" t="n">
        <f aca="false">+TJ102+TJ103</f>
        <v>5146.79966400175</v>
      </c>
      <c r="TK104" s="0" t="n">
        <f aca="false">+TK102+TK103</f>
        <v>4444.74033319647</v>
      </c>
      <c r="TL104" s="0" t="n">
        <f aca="false">+TL102+TL103</f>
        <v>5395.65336552583</v>
      </c>
      <c r="TM104" s="0" t="n">
        <f aca="false">+TM102+TM103</f>
        <v>4372.64495339135</v>
      </c>
      <c r="TN104" s="0" t="n">
        <f aca="false">+TN102+TN103</f>
        <v>4718.82158663149</v>
      </c>
      <c r="TO104" s="0" t="n">
        <f aca="false">+TO102+TO103</f>
        <v>4789.49195712289</v>
      </c>
      <c r="TP104" s="0" t="n">
        <f aca="false">+TP102+TP103</f>
        <v>5380.850447278</v>
      </c>
      <c r="TQ104" s="0" t="n">
        <f aca="false">+TQ102+TQ103</f>
        <v>5395.05036393819</v>
      </c>
      <c r="TR104" s="0" t="n">
        <f aca="false">+TR102+TR103</f>
        <v>3553.74900472644</v>
      </c>
      <c r="TS104" s="0" t="n">
        <f aca="false">+TS102+TS103</f>
        <v>4765.5891775041</v>
      </c>
      <c r="TT104" s="0" t="n">
        <f aca="false">+TT102+TT103</f>
        <v>5067.74761072468</v>
      </c>
      <c r="TU104" s="0" t="n">
        <f aca="false">+TU102+TU103</f>
        <v>4667.26480441753</v>
      </c>
      <c r="TV104" s="0" t="n">
        <f aca="false">+TV102+TV103</f>
        <v>4997.16493535624</v>
      </c>
      <c r="TW104" s="0" t="n">
        <f aca="false">+TW102+TW103</f>
        <v>4652.29655228937</v>
      </c>
      <c r="TX104" s="0" t="n">
        <f aca="false">+TX102+TX103</f>
        <v>4419.0433371362</v>
      </c>
      <c r="TY104" s="0" t="n">
        <f aca="false">+TY102+TY103</f>
        <v>3467.17608606519</v>
      </c>
      <c r="TZ104" s="0" t="n">
        <f aca="false">+TZ102+TZ103</f>
        <v>5318.30758865226</v>
      </c>
      <c r="UA104" s="0" t="n">
        <f aca="false">+UA102+UA103</f>
        <v>5094.13533253628</v>
      </c>
      <c r="UB104" s="0" t="n">
        <f aca="false">+UB102+UB103</f>
        <v>4803.12035248559</v>
      </c>
      <c r="UC104" s="0" t="n">
        <f aca="false">+UC102+UC103</f>
        <v>4856.02228517563</v>
      </c>
      <c r="UD104" s="0" t="n">
        <f aca="false">+UD102+UD103</f>
        <v>5461.71329800359</v>
      </c>
      <c r="UE104" s="0" t="n">
        <f aca="false">+UE102+UE103</f>
        <v>5234.40709307882</v>
      </c>
      <c r="UF104" s="0" t="n">
        <f aca="false">+UF102+UF103</f>
        <v>5166.74742494544</v>
      </c>
      <c r="UG104" s="0" t="n">
        <f aca="false">+UG102+UG103</f>
        <v>4714.71611341166</v>
      </c>
      <c r="UH104" s="0" t="n">
        <f aca="false">+UH102+UH103</f>
        <v>4890.51594167653</v>
      </c>
      <c r="UI104" s="0" t="n">
        <f aca="false">+UI102+UI103</f>
        <v>5201.2812167706</v>
      </c>
      <c r="UJ104" s="0" t="n">
        <f aca="false">+UJ102+UJ103</f>
        <v>4791.46339183642</v>
      </c>
      <c r="UK104" s="0" t="n">
        <f aca="false">+UK102+UK103</f>
        <v>4744.05741207013</v>
      </c>
      <c r="UL104" s="0" t="n">
        <f aca="false">+UL102+UL103</f>
        <v>5153.54048885269</v>
      </c>
      <c r="UM104" s="0" t="n">
        <f aca="false">+UM102+UM103</f>
        <v>5852.34679198012</v>
      </c>
      <c r="UN104" s="0" t="n">
        <f aca="false">+UN102+UN103</f>
        <v>5471.80896228463</v>
      </c>
      <c r="UO104" s="0" t="n">
        <f aca="false">+UO102+UO103</f>
        <v>5053.11338744712</v>
      </c>
      <c r="UP104" s="0" t="n">
        <f aca="false">+UP102+UP103</f>
        <v>4888.19932096421</v>
      </c>
      <c r="UQ104" s="0" t="n">
        <f aca="false">+UQ102+UQ103</f>
        <v>4309.42622817647</v>
      </c>
      <c r="UR104" s="0" t="n">
        <f aca="false">+UR102+UR103</f>
        <v>4955.03683164693</v>
      </c>
      <c r="US104" s="0" t="n">
        <f aca="false">+US102+US103</f>
        <v>5043.09190637771</v>
      </c>
      <c r="UT104" s="0" t="n">
        <f aca="false">+UT102+UT103</f>
        <v>4548.67098055165</v>
      </c>
      <c r="UU104" s="0" t="n">
        <f aca="false">+UU102+UU103</f>
        <v>4751.81590598966</v>
      </c>
      <c r="UV104" s="0" t="n">
        <f aca="false">+UV102+UV103</f>
        <v>4014.47214508886</v>
      </c>
      <c r="UW104" s="0" t="n">
        <f aca="false">+UW102+UW103</f>
        <v>4573.71890280016</v>
      </c>
      <c r="UX104" s="0" t="n">
        <f aca="false">+UX102+UX103</f>
        <v>5280.21083020982</v>
      </c>
      <c r="UY104" s="0" t="n">
        <f aca="false">+UY102+UY103</f>
        <v>4993.44167271379</v>
      </c>
      <c r="UZ104" s="0" t="n">
        <f aca="false">+UZ102+UZ103</f>
        <v>5726.92272790873</v>
      </c>
      <c r="VA104" s="0" t="n">
        <f aca="false">+VA102+VA103</f>
        <v>4850.30802224068</v>
      </c>
      <c r="VB104" s="0" t="n">
        <f aca="false">+VB102+VB103</f>
        <v>5403.61414618204</v>
      </c>
      <c r="VC104" s="0" t="n">
        <f aca="false">+VC102+VC103</f>
        <v>4854.95439728694</v>
      </c>
      <c r="VD104" s="0" t="n">
        <f aca="false">+VD102+VD103</f>
        <v>4601.00607009751</v>
      </c>
      <c r="VE104" s="0" t="n">
        <f aca="false">+VE102+VE103</f>
        <v>4686.44295496018</v>
      </c>
      <c r="VF104" s="0" t="n">
        <f aca="false">+VF102+VF103</f>
        <v>4281.50511609486</v>
      </c>
      <c r="VG104" s="0" t="n">
        <f aca="false">+VG102+VG103</f>
        <v>4045.2158940685</v>
      </c>
      <c r="VH104" s="0" t="n">
        <f aca="false">+VH102+VH103</f>
        <v>3575.83442467452</v>
      </c>
      <c r="VI104" s="0" t="n">
        <f aca="false">+VI102+VI103</f>
        <v>5288.58235562573</v>
      </c>
      <c r="VJ104" s="0" t="n">
        <f aca="false">+VJ102+VJ103</f>
        <v>4321.65457102591</v>
      </c>
      <c r="VK104" s="0" t="n">
        <f aca="false">+VK102+VK103</f>
        <v>4932.64371932036</v>
      </c>
      <c r="VL104" s="0" t="n">
        <f aca="false">+VL102+VL103</f>
        <v>4950.90299122968</v>
      </c>
      <c r="VM104" s="0" t="n">
        <f aca="false">+VM102+VM103</f>
        <v>5644.04568986268</v>
      </c>
      <c r="VN104" s="0" t="n">
        <f aca="false">+VN102+VN103</f>
        <v>4389.61825739771</v>
      </c>
      <c r="VO104" s="0" t="n">
        <f aca="false">+VO102+VO103</f>
        <v>5594.44334547204</v>
      </c>
      <c r="VP104" s="0" t="n">
        <f aca="false">+VP102+VP103</f>
        <v>5274.92568254963</v>
      </c>
      <c r="VQ104" s="0" t="n">
        <f aca="false">+VQ102+VQ103</f>
        <v>5068.65810895085</v>
      </c>
      <c r="VR104" s="0" t="n">
        <f aca="false">+VR102+VR103</f>
        <v>5634.09163630546</v>
      </c>
      <c r="VS104" s="0" t="n">
        <f aca="false">+VS102+VS103</f>
        <v>5005.08420161952</v>
      </c>
      <c r="VT104" s="0" t="n">
        <f aca="false">+VT102+VT103</f>
        <v>4315.05151104272</v>
      </c>
      <c r="VU104" s="0" t="n">
        <f aca="false">+VU102+VU103</f>
        <v>5164.67941538103</v>
      </c>
      <c r="VV104" s="0" t="n">
        <f aca="false">+VV102+VV103</f>
        <v>3559.1592374862</v>
      </c>
      <c r="VW104" s="0" t="n">
        <f aca="false">+VW102+VW103</f>
        <v>5094.41266985825</v>
      </c>
      <c r="VX104" s="0" t="n">
        <f aca="false">+VX102+VX103</f>
        <v>4108.86514841244</v>
      </c>
      <c r="VY104" s="0" t="n">
        <f aca="false">+VY102+VY103</f>
        <v>5326.06836639489</v>
      </c>
      <c r="VZ104" s="0" t="n">
        <f aca="false">+VZ102+VZ103</f>
        <v>5384.89223844238</v>
      </c>
      <c r="WA104" s="0" t="n">
        <f aca="false">+WA102+WA103</f>
        <v>2848.97823023273</v>
      </c>
      <c r="WB104" s="0" t="n">
        <f aca="false">+WB102+WB103</f>
        <v>5170.75228070178</v>
      </c>
      <c r="WC104" s="0" t="n">
        <f aca="false">+WC102+WC103</f>
        <v>5438.17193016054</v>
      </c>
      <c r="WD104" s="0" t="n">
        <f aca="false">+WD102+WD103</f>
        <v>4723.6170395126</v>
      </c>
      <c r="WE104" s="0" t="n">
        <f aca="false">+WE102+WE103</f>
        <v>4871.15668073964</v>
      </c>
      <c r="WF104" s="0" t="n">
        <f aca="false">+WF102+WF103</f>
        <v>5360.36489770055</v>
      </c>
      <c r="WG104" s="0" t="n">
        <f aca="false">+WG102+WG103</f>
        <v>4577.52206397738</v>
      </c>
      <c r="WH104" s="0" t="n">
        <f aca="false">+WH102+WH103</f>
        <v>4616.98007695722</v>
      </c>
      <c r="WI104" s="0" t="n">
        <f aca="false">+WI102+WI103</f>
        <v>5665.49979548958</v>
      </c>
      <c r="WJ104" s="0" t="n">
        <f aca="false">+WJ102+WJ103</f>
        <v>4831.77423954647</v>
      </c>
      <c r="WK104" s="0" t="n">
        <f aca="false">+WK102+WK103</f>
        <v>4086.47103586647</v>
      </c>
      <c r="WL104" s="0" t="n">
        <f aca="false">+WL102+WL103</f>
        <v>4728.31787550188</v>
      </c>
      <c r="WM104" s="0" t="n">
        <f aca="false">+WM102+WM103</f>
        <v>5306.01786769532</v>
      </c>
      <c r="WN104" s="0" t="n">
        <f aca="false">+WN102+WN103</f>
        <v>4012.16262351345</v>
      </c>
      <c r="WO104" s="0" t="n">
        <f aca="false">+WO102+WO103</f>
        <v>5152.11057641739</v>
      </c>
      <c r="WP104" s="0" t="n">
        <f aca="false">+WP102+WP103</f>
        <v>5428.16508126937</v>
      </c>
      <c r="WQ104" s="0" t="n">
        <f aca="false">+WQ102+WQ103</f>
        <v>3630.27361649975</v>
      </c>
      <c r="WR104" s="0" t="n">
        <f aca="false">+WR102+WR103</f>
        <v>4496.43596699437</v>
      </c>
      <c r="WS104" s="0" t="n">
        <f aca="false">+WS102+WS103</f>
        <v>5024.0979932864</v>
      </c>
      <c r="WT104" s="0" t="n">
        <f aca="false">+WT102+WT103</f>
        <v>4807.26394937232</v>
      </c>
      <c r="WU104" s="0" t="n">
        <f aca="false">+WU102+WU103</f>
        <v>5247.55262442147</v>
      </c>
      <c r="WV104" s="0" t="n">
        <f aca="false">+WV102+WV103</f>
        <v>5215.303311767</v>
      </c>
      <c r="WW104" s="0" t="n">
        <f aca="false">+WW102+WW103</f>
        <v>5279.9492435808</v>
      </c>
      <c r="WX104" s="0" t="n">
        <f aca="false">+WX102+WX103</f>
        <v>4331.63681022432</v>
      </c>
      <c r="WY104" s="0" t="n">
        <f aca="false">+WY102+WY103</f>
        <v>5049.63265008935</v>
      </c>
      <c r="WZ104" s="0" t="n">
        <f aca="false">+WZ102+WZ103</f>
        <v>5056.42499992103</v>
      </c>
      <c r="XA104" s="0" t="n">
        <f aca="false">+XA102+XA103</f>
        <v>5274.64405507925</v>
      </c>
      <c r="XB104" s="0" t="n">
        <f aca="false">+XB102+XB103</f>
        <v>5368.39712060024</v>
      </c>
      <c r="XC104" s="0" t="n">
        <f aca="false">+XC102+XC103</f>
        <v>4032.92806363103</v>
      </c>
      <c r="XD104" s="0" t="n">
        <f aca="false">+XD102+XD103</f>
        <v>5415.15990497531</v>
      </c>
      <c r="XE104" s="0" t="n">
        <f aca="false">+XE102+XE103</f>
        <v>5624.91487419031</v>
      </c>
      <c r="XF104" s="0" t="n">
        <f aca="false">+XF102+XF103</f>
        <v>3467.42562477384</v>
      </c>
      <c r="XG104" s="0" t="n">
        <f aca="false">+XG102+XG103</f>
        <v>4675.49475224051</v>
      </c>
      <c r="XH104" s="0" t="n">
        <f aca="false">+XH102+XH103</f>
        <v>4878.41863459536</v>
      </c>
      <c r="XI104" s="0" t="n">
        <f aca="false">+XI102+XI103</f>
        <v>5467.91947059938</v>
      </c>
      <c r="XJ104" s="0" t="n">
        <f aca="false">+XJ102+XJ103</f>
        <v>4607.4524580692</v>
      </c>
      <c r="XK104" s="0" t="n">
        <f aca="false">+XK102+XK103</f>
        <v>5110.52942718446</v>
      </c>
      <c r="XL104" s="0" t="n">
        <f aca="false">+XL102+XL103</f>
        <v>4746.92572976167</v>
      </c>
      <c r="XM104" s="0" t="n">
        <f aca="false">+XM102+XM103</f>
        <v>5739.33526309711</v>
      </c>
      <c r="XN104" s="0" t="n">
        <f aca="false">+XN102+XN103</f>
        <v>4866.61768080759</v>
      </c>
      <c r="XO104" s="0" t="n">
        <f aca="false">+XO102+XO103</f>
        <v>4819.27367062021</v>
      </c>
      <c r="XP104" s="0" t="n">
        <f aca="false">+XP102+XP103</f>
        <v>3953.14699225982</v>
      </c>
      <c r="XQ104" s="0" t="n">
        <f aca="false">+XQ102+XQ103</f>
        <v>4670.05118286813</v>
      </c>
      <c r="XR104" s="0" t="n">
        <f aca="false">+XR102+XR103</f>
        <v>4655.01415174198</v>
      </c>
      <c r="XS104" s="0" t="n">
        <f aca="false">+XS102+XS103</f>
        <v>4437.22785630569</v>
      </c>
      <c r="XT104" s="0" t="n">
        <f aca="false">+XT102+XT103</f>
        <v>5124.14952998108</v>
      </c>
      <c r="XU104" s="0" t="n">
        <f aca="false">+XU102+XU103</f>
        <v>3884.77809080773</v>
      </c>
      <c r="XV104" s="0" t="n">
        <f aca="false">+XV102+XV103</f>
        <v>5367.16851863316</v>
      </c>
      <c r="XW104" s="0" t="n">
        <f aca="false">+XW102+XW103</f>
        <v>4783.510717894</v>
      </c>
      <c r="XX104" s="0" t="n">
        <f aca="false">+XX102+XX103</f>
        <v>4246.57788150833</v>
      </c>
      <c r="XY104" s="0" t="n">
        <f aca="false">+XY102+XY103</f>
        <v>4582.36378941542</v>
      </c>
      <c r="XZ104" s="0" t="n">
        <f aca="false">+XZ102+XZ103</f>
        <v>5186.17615067627</v>
      </c>
      <c r="YA104" s="0" t="n">
        <f aca="false">+YA102+YA103</f>
        <v>4969.30924304516</v>
      </c>
      <c r="YB104" s="0" t="n">
        <f aca="false">+YB102+YB103</f>
        <v>4699.59789061692</v>
      </c>
      <c r="YC104" s="0" t="n">
        <f aca="false">+YC102+YC103</f>
        <v>4538.51114593533</v>
      </c>
      <c r="YD104" s="0" t="n">
        <f aca="false">+YD102+YD103</f>
        <v>5000.42884042852</v>
      </c>
      <c r="YE104" s="0" t="n">
        <f aca="false">+YE102+YE103</f>
        <v>5152.14243082892</v>
      </c>
      <c r="YF104" s="0" t="n">
        <f aca="false">+YF102+YF103</f>
        <v>4612.66602221081</v>
      </c>
      <c r="YG104" s="0" t="n">
        <f aca="false">+YG102+YG103</f>
        <v>5297.38833194816</v>
      </c>
      <c r="YH104" s="0" t="n">
        <f aca="false">+YH102+YH103</f>
        <v>2303.85429971358</v>
      </c>
      <c r="YI104" s="0" t="n">
        <f aca="false">+YI102+YI103</f>
        <v>5176.28676389184</v>
      </c>
      <c r="YJ104" s="0" t="n">
        <f aca="false">+YJ102+YJ103</f>
        <v>5406.12876293796</v>
      </c>
      <c r="YK104" s="0" t="n">
        <f aca="false">+YK102+YK103</f>
        <v>4847.4264290273</v>
      </c>
      <c r="YL104" s="0" t="n">
        <f aca="false">+YL102+YL103</f>
        <v>3699.4348109361</v>
      </c>
      <c r="YM104" s="0" t="n">
        <f aca="false">+YM102+YM103</f>
        <v>4936.59749271985</v>
      </c>
      <c r="YN104" s="0" t="n">
        <f aca="false">+YN102+YN103</f>
        <v>4864.28256872276</v>
      </c>
      <c r="YO104" s="0" t="n">
        <f aca="false">+YO102+YO103</f>
        <v>5341.13722271546</v>
      </c>
      <c r="YP104" s="0" t="n">
        <f aca="false">+YP102+YP103</f>
        <v>3684.6695242482</v>
      </c>
      <c r="YQ104" s="0" t="n">
        <f aca="false">+YQ102+YQ103</f>
        <v>4436.8662012888</v>
      </c>
      <c r="YR104" s="0" t="n">
        <f aca="false">+YR102+YR103</f>
        <v>4075.89459518857</v>
      </c>
      <c r="YS104" s="0" t="n">
        <f aca="false">+YS102+YS103</f>
        <v>5004.65620098495</v>
      </c>
      <c r="YT104" s="0" t="n">
        <f aca="false">+YT102+YT103</f>
        <v>5100.09145495578</v>
      </c>
      <c r="YU104" s="0" t="n">
        <f aca="false">+YU102+YU103</f>
        <v>5573.26305619981</v>
      </c>
      <c r="YV104" s="0" t="n">
        <f aca="false">+YV102+YV103</f>
        <v>4844.4100424299</v>
      </c>
      <c r="YW104" s="0" t="n">
        <f aca="false">+YW102+YW103</f>
        <v>4338.76781180546</v>
      </c>
      <c r="YX104" s="0" t="n">
        <f aca="false">+YX102+YX103</f>
        <v>5385.02916608579</v>
      </c>
      <c r="YY104" s="0" t="n">
        <f aca="false">+YY102+YY103</f>
        <v>5458.46038423227</v>
      </c>
      <c r="YZ104" s="0" t="n">
        <f aca="false">+YZ102+YZ103</f>
        <v>5051.70749504978</v>
      </c>
      <c r="ZA104" s="0" t="n">
        <f aca="false">+ZA102+ZA103</f>
        <v>5366.74245511903</v>
      </c>
      <c r="ZB104" s="0" t="n">
        <f aca="false">+ZB102+ZB103</f>
        <v>5328.80283357974</v>
      </c>
      <c r="ZC104" s="0" t="n">
        <f aca="false">+ZC102+ZC103</f>
        <v>4350.19707699387</v>
      </c>
      <c r="ZD104" s="0" t="n">
        <f aca="false">+ZD102+ZD103</f>
        <v>3861.42551594926</v>
      </c>
      <c r="ZE104" s="0" t="n">
        <f aca="false">+ZE102+ZE103</f>
        <v>4977.57417689544</v>
      </c>
      <c r="ZF104" s="0" t="n">
        <f aca="false">+ZF102+ZF103</f>
        <v>4838.97567911713</v>
      </c>
      <c r="ZG104" s="0" t="n">
        <f aca="false">+ZG102+ZG103</f>
        <v>4952.9775679108</v>
      </c>
      <c r="ZH104" s="0" t="n">
        <f aca="false">+ZH102+ZH103</f>
        <v>4149.59194523403</v>
      </c>
      <c r="ZI104" s="0" t="n">
        <f aca="false">+ZI102+ZI103</f>
        <v>5064.12560068299</v>
      </c>
      <c r="ZJ104" s="0" t="n">
        <f aca="false">+ZJ102+ZJ103</f>
        <v>5034.86770074625</v>
      </c>
      <c r="ZK104" s="0" t="n">
        <f aca="false">+ZK102+ZK103</f>
        <v>5020.68574981806</v>
      </c>
      <c r="ZL104" s="0" t="n">
        <f aca="false">+ZL102+ZL103</f>
        <v>4874.62539607614</v>
      </c>
      <c r="ZM104" s="0" t="n">
        <f aca="false">+ZM102+ZM103</f>
        <v>5473.92363737822</v>
      </c>
      <c r="ZN104" s="0" t="n">
        <f aca="false">+ZN102+ZN103</f>
        <v>4958.44550965325</v>
      </c>
      <c r="ZO104" s="0" t="n">
        <f aca="false">+ZO102+ZO103</f>
        <v>5349.27971356839</v>
      </c>
      <c r="ZP104" s="0" t="n">
        <f aca="false">+ZP102+ZP103</f>
        <v>5894.50765963459</v>
      </c>
      <c r="ZQ104" s="0" t="n">
        <f aca="false">+ZQ102+ZQ103</f>
        <v>5217.14021778352</v>
      </c>
      <c r="ZR104" s="0" t="n">
        <f aca="false">+ZR102+ZR103</f>
        <v>5585.60481161292</v>
      </c>
      <c r="ZS104" s="0" t="n">
        <f aca="false">+ZS102+ZS103</f>
        <v>3238.57896296693</v>
      </c>
      <c r="ZT104" s="0" t="n">
        <f aca="false">+ZT102+ZT103</f>
        <v>4495.57921931646</v>
      </c>
      <c r="ZU104" s="0" t="n">
        <f aca="false">+ZU102+ZU103</f>
        <v>5498.85778663308</v>
      </c>
      <c r="ZV104" s="0" t="n">
        <f aca="false">+ZV102+ZV103</f>
        <v>4875.47937466137</v>
      </c>
      <c r="ZW104" s="0" t="n">
        <f aca="false">+ZW102+ZW103</f>
        <v>4816.09070352274</v>
      </c>
      <c r="ZX104" s="0" t="n">
        <f aca="false">+ZX102+ZX103</f>
        <v>3099.60823317565</v>
      </c>
      <c r="ZY104" s="0" t="n">
        <f aca="false">+ZY102+ZY103</f>
        <v>5929.6940265104</v>
      </c>
      <c r="ZZ104" s="0" t="n">
        <f aca="false">+ZZ102+ZZ103</f>
        <v>4723.58199415617</v>
      </c>
      <c r="AAA104" s="0" t="n">
        <f aca="false">+AAA102+AAA103</f>
        <v>5100.63840194035</v>
      </c>
      <c r="AAB104" s="0" t="n">
        <f aca="false">+AAB102+AAB103</f>
        <v>4971.35053367142</v>
      </c>
      <c r="AAC104" s="0" t="n">
        <f aca="false">+AAC102+AAC103</f>
        <v>5274.29858348355</v>
      </c>
      <c r="AAD104" s="0" t="n">
        <f aca="false">+AAD102+AAD103</f>
        <v>4631.91932284163</v>
      </c>
      <c r="AAE104" s="0" t="n">
        <f aca="false">+AAE102+AAE103</f>
        <v>5095.47606520319</v>
      </c>
      <c r="AAF104" s="0" t="n">
        <f aca="false">+AAF102+AAF103</f>
        <v>4412.42942859681</v>
      </c>
      <c r="AAG104" s="0" t="n">
        <f aca="false">+AAG102+AAG103</f>
        <v>4444.02298582861</v>
      </c>
      <c r="AAH104" s="0" t="n">
        <f aca="false">+AAH102+AAH103</f>
        <v>4369.71019715515</v>
      </c>
      <c r="AAI104" s="0" t="n">
        <f aca="false">+AAI102+AAI103</f>
        <v>5283.1793605355</v>
      </c>
      <c r="AAJ104" s="0" t="n">
        <f aca="false">+AAJ102+AAJ103</f>
        <v>5150.12274227288</v>
      </c>
      <c r="AAK104" s="0" t="n">
        <f aca="false">+AAK102+AAK103</f>
        <v>3897.02718842719</v>
      </c>
      <c r="AAL104" s="0" t="n">
        <f aca="false">+AAL102+AAL103</f>
        <v>4732.36154233878</v>
      </c>
      <c r="AAM104" s="0" t="n">
        <f aca="false">+AAM102+AAM103</f>
        <v>4988.98823966889</v>
      </c>
      <c r="AAN104" s="0" t="n">
        <f aca="false">+AAN102+AAN103</f>
        <v>5442.68942373696</v>
      </c>
      <c r="AAO104" s="0" t="n">
        <f aca="false">+AAO102+AAO103</f>
        <v>4987.21294863999</v>
      </c>
      <c r="AAP104" s="0" t="n">
        <f aca="false">+AAP102+AAP103</f>
        <v>5597.42153005667</v>
      </c>
      <c r="AAQ104" s="0" t="n">
        <f aca="false">+AAQ102+AAQ103</f>
        <v>4899.9457305213</v>
      </c>
      <c r="AAR104" s="0" t="n">
        <f aca="false">+AAR102+AAR103</f>
        <v>3564.7768878436</v>
      </c>
      <c r="AAS104" s="0" t="n">
        <f aca="false">+AAS102+AAS103</f>
        <v>5019.95746417095</v>
      </c>
      <c r="AAT104" s="0" t="n">
        <f aca="false">+AAT102+AAT103</f>
        <v>5259.36423317335</v>
      </c>
      <c r="AAU104" s="0" t="n">
        <f aca="false">+AAU102+AAU103</f>
        <v>5217.40663178003</v>
      </c>
      <c r="AAV104" s="0" t="n">
        <f aca="false">+AAV102+AAV103</f>
        <v>4379.84891792074</v>
      </c>
      <c r="AAW104" s="0" t="n">
        <f aca="false">+AAW102+AAW103</f>
        <v>4950.01103891122</v>
      </c>
      <c r="AAX104" s="0" t="n">
        <f aca="false">+AAX102+AAX103</f>
        <v>5273.47991734866</v>
      </c>
      <c r="AAY104" s="0" t="n">
        <f aca="false">+AAY102+AAY103</f>
        <v>5412.74641888257</v>
      </c>
      <c r="AAZ104" s="0" t="n">
        <f aca="false">+AAZ102+AAZ103</f>
        <v>4700.42945636163</v>
      </c>
      <c r="ABA104" s="0" t="n">
        <f aca="false">+ABA102+ABA103</f>
        <v>4760.88604244754</v>
      </c>
      <c r="ABB104" s="0" t="n">
        <f aca="false">+ABB102+ABB103</f>
        <v>4614.56705324336</v>
      </c>
      <c r="ABC104" s="0" t="n">
        <f aca="false">+ABC102+ABC103</f>
        <v>4448.72496992885</v>
      </c>
      <c r="ABD104" s="0" t="n">
        <f aca="false">+ABD102+ABD103</f>
        <v>5370.11973404231</v>
      </c>
      <c r="ABE104" s="0" t="n">
        <f aca="false">+ABE102+ABE103</f>
        <v>5106.0022214812</v>
      </c>
      <c r="ABF104" s="0" t="n">
        <f aca="false">+ABF102+ABF103</f>
        <v>5245.86197999689</v>
      </c>
      <c r="ABG104" s="0" t="n">
        <f aca="false">+ABG102+ABG103</f>
        <v>5387.05044070306</v>
      </c>
      <c r="ABH104" s="0" t="n">
        <f aca="false">+ABH102+ABH103</f>
        <v>5324.70755071144</v>
      </c>
      <c r="ABI104" s="0" t="n">
        <f aca="false">+ABI102+ABI103</f>
        <v>5521.10208150456</v>
      </c>
      <c r="ABJ104" s="0" t="n">
        <f aca="false">+ABJ102+ABJ103</f>
        <v>4831.82282090196</v>
      </c>
      <c r="ABK104" s="0" t="n">
        <f aca="false">+ABK102+ABK103</f>
        <v>5247.83048027364</v>
      </c>
      <c r="ABL104" s="0" t="n">
        <f aca="false">+ABL102+ABL103</f>
        <v>4865.29194770752</v>
      </c>
      <c r="ABM104" s="0" t="n">
        <f aca="false">+ABM102+ABM103</f>
        <v>4989.08495795139</v>
      </c>
      <c r="ABN104" s="0" t="n">
        <f aca="false">+ABN102+ABN103</f>
        <v>5337.50227872865</v>
      </c>
      <c r="ABO104" s="0" t="n">
        <f aca="false">+ABO102+ABO103</f>
        <v>5889.63239998208</v>
      </c>
      <c r="ABP104" s="0" t="n">
        <f aca="false">+ABP102+ABP103</f>
        <v>5043.52041422863</v>
      </c>
      <c r="ABQ104" s="0" t="n">
        <f aca="false">+ABQ102+ABQ103</f>
        <v>5134.14290512718</v>
      </c>
      <c r="ABR104" s="0" t="n">
        <f aca="false">+ABR102+ABR103</f>
        <v>4895.42513763767</v>
      </c>
      <c r="ABS104" s="0" t="n">
        <f aca="false">+ABS102+ABS103</f>
        <v>5800.41125836002</v>
      </c>
      <c r="ABT104" s="0" t="n">
        <f aca="false">+ABT102+ABT103</f>
        <v>5549.73482918923</v>
      </c>
      <c r="ABU104" s="0" t="n">
        <f aca="false">+ABU102+ABU103</f>
        <v>4846.63309432016</v>
      </c>
      <c r="ABV104" s="0" t="n">
        <f aca="false">+ABV102+ABV103</f>
        <v>5294.13922374934</v>
      </c>
      <c r="ABW104" s="0" t="n">
        <f aca="false">+ABW102+ABW103</f>
        <v>4879.42696270339</v>
      </c>
      <c r="ABX104" s="0" t="n">
        <f aca="false">+ABX102+ABX103</f>
        <v>5412.90146020039</v>
      </c>
      <c r="ABY104" s="0" t="n">
        <f aca="false">+ABY102+ABY103</f>
        <v>5104.69891814297</v>
      </c>
      <c r="ABZ104" s="0" t="n">
        <f aca="false">+ABZ102+ABZ103</f>
        <v>4623.26623338104</v>
      </c>
      <c r="ACA104" s="0" t="n">
        <f aca="false">+ACA102+ACA103</f>
        <v>5147.78418932747</v>
      </c>
      <c r="ACB104" s="0" t="n">
        <f aca="false">+ACB102+ACB103</f>
        <v>5804.65381715026</v>
      </c>
      <c r="ACC104" s="0" t="n">
        <f aca="false">+ACC102+ACC103</f>
        <v>4675.62691575072</v>
      </c>
      <c r="ACD104" s="0" t="n">
        <f aca="false">+ACD102+ACD103</f>
        <v>5383.05636273225</v>
      </c>
      <c r="ACE104" s="0" t="n">
        <f aca="false">+ACE102+ACE103</f>
        <v>4926.10938908823</v>
      </c>
      <c r="ACF104" s="0" t="n">
        <f aca="false">+ACF102+ACF103</f>
        <v>4444.08251933978</v>
      </c>
      <c r="ACG104" s="0" t="n">
        <f aca="false">+ACG102+ACG103</f>
        <v>4579.55672599667</v>
      </c>
      <c r="ACH104" s="0" t="n">
        <f aca="false">+ACH102+ACH103</f>
        <v>5139.8737476226</v>
      </c>
      <c r="ACI104" s="0" t="n">
        <f aca="false">+ACI102+ACI103</f>
        <v>4610.11657313388</v>
      </c>
      <c r="ACJ104" s="0" t="n">
        <f aca="false">+ACJ102+ACJ103</f>
        <v>4947.74930701465</v>
      </c>
      <c r="ACK104" s="0" t="n">
        <f aca="false">+ACK102+ACK103</f>
        <v>5187.73986888075</v>
      </c>
      <c r="ACL104" s="0" t="n">
        <f aca="false">+ACL102+ACL103</f>
        <v>3959.29439618608</v>
      </c>
      <c r="ACM104" s="0" t="n">
        <f aca="false">+ACM102+ACM103</f>
        <v>4533.69936623368</v>
      </c>
      <c r="ACN104" s="0" t="n">
        <f aca="false">+ACN102+ACN103</f>
        <v>5213.6816009942</v>
      </c>
      <c r="ACO104" s="0" t="n">
        <f aca="false">+ACO102+ACO103</f>
        <v>5298.4386824756</v>
      </c>
      <c r="ACP104" s="0" t="n">
        <f aca="false">+ACP102+ACP103</f>
        <v>4460.66778226948</v>
      </c>
      <c r="ACQ104" s="0" t="n">
        <f aca="false">+ACQ102+ACQ103</f>
        <v>4955.86498204664</v>
      </c>
      <c r="ACR104" s="0" t="n">
        <f aca="false">+ACR102+ACR103</f>
        <v>4698.16867543549</v>
      </c>
      <c r="ACS104" s="0" t="n">
        <f aca="false">+ACS102+ACS103</f>
        <v>5353.92440438064</v>
      </c>
      <c r="ACT104" s="0" t="n">
        <f aca="false">+ACT102+ACT103</f>
        <v>4984.19535756978</v>
      </c>
      <c r="ACU104" s="0" t="n">
        <f aca="false">+ACU102+ACU103</f>
        <v>5261.13410340253</v>
      </c>
      <c r="ACV104" s="0" t="n">
        <f aca="false">+ACV102+ACV103</f>
        <v>5188.37997065826</v>
      </c>
      <c r="ACW104" s="0" t="n">
        <f aca="false">+ACW102+ACW103</f>
        <v>4611.88015857612</v>
      </c>
      <c r="ACX104" s="0" t="n">
        <f aca="false">+ACX102+ACX103</f>
        <v>5159.85427768749</v>
      </c>
      <c r="ACY104" s="0" t="n">
        <f aca="false">+ACY102+ACY103</f>
        <v>3843.20535363838</v>
      </c>
      <c r="ACZ104" s="0" t="n">
        <f aca="false">+ACZ102+ACZ103</f>
        <v>5342.42911387942</v>
      </c>
      <c r="ADA104" s="0" t="n">
        <f aca="false">+ADA102+ADA103</f>
        <v>6192.68928996173</v>
      </c>
      <c r="ADB104" s="0" t="n">
        <f aca="false">+ADB102+ADB103</f>
        <v>3792.82139430907</v>
      </c>
      <c r="ADC104" s="0" t="n">
        <f aca="false">+ADC102+ADC103</f>
        <v>5182.35066857356</v>
      </c>
      <c r="ADD104" s="0" t="n">
        <f aca="false">+ADD102+ADD103</f>
        <v>4552.53122904199</v>
      </c>
      <c r="ADE104" s="0" t="n">
        <f aca="false">+ADE102+ADE103</f>
        <v>3829.71340953003</v>
      </c>
      <c r="ADF104" s="0" t="n">
        <f aca="false">+ADF102+ADF103</f>
        <v>5219.23333660702</v>
      </c>
      <c r="ADG104" s="0" t="n">
        <f aca="false">+ADG102+ADG103</f>
        <v>5692.97074997021</v>
      </c>
      <c r="ADH104" s="0" t="n">
        <f aca="false">+ADH102+ADH103</f>
        <v>4781.90779215867</v>
      </c>
      <c r="ADI104" s="0" t="n">
        <f aca="false">+ADI102+ADI103</f>
        <v>5380.07957162918</v>
      </c>
      <c r="ADJ104" s="0" t="n">
        <f aca="false">+ADJ102+ADJ103</f>
        <v>5557.38665242509</v>
      </c>
      <c r="ADK104" s="0" t="n">
        <f aca="false">+ADK102+ADK103</f>
        <v>4791.79650560197</v>
      </c>
      <c r="ADL104" s="0" t="n">
        <f aca="false">+ADL102+ADL103</f>
        <v>5167.39485587604</v>
      </c>
      <c r="ADM104" s="0" t="n">
        <f aca="false">+ADM102+ADM103</f>
        <v>5239.60218305995</v>
      </c>
      <c r="ADN104" s="0" t="n">
        <f aca="false">+ADN102+ADN103</f>
        <v>4620.72059391321</v>
      </c>
      <c r="ADO104" s="0" t="n">
        <f aca="false">+ADO102+ADO103</f>
        <v>4557.25126762601</v>
      </c>
      <c r="ADP104" s="0" t="n">
        <f aca="false">+ADP102+ADP103</f>
        <v>5073.45440887149</v>
      </c>
      <c r="ADQ104" s="0" t="n">
        <f aca="false">+ADQ102+ADQ103</f>
        <v>5340.15981237905</v>
      </c>
      <c r="ADR104" s="0" t="n">
        <f aca="false">+ADR102+ADR103</f>
        <v>5355.75431202983</v>
      </c>
      <c r="ADS104" s="0" t="n">
        <f aca="false">+ADS102+ADS103</f>
        <v>5454.44049256473</v>
      </c>
      <c r="ADT104" s="0" t="n">
        <f aca="false">+ADT102+ADT103</f>
        <v>5484.28770846732</v>
      </c>
      <c r="ADU104" s="0" t="n">
        <f aca="false">+ADU102+ADU103</f>
        <v>4904.83053144883</v>
      </c>
      <c r="ADV104" s="0" t="n">
        <f aca="false">+ADV102+ADV103</f>
        <v>4891.79043106943</v>
      </c>
      <c r="ADW104" s="0" t="n">
        <f aca="false">+ADW102+ADW103</f>
        <v>4115.82111263668</v>
      </c>
      <c r="ADX104" s="0" t="n">
        <f aca="false">+ADX102+ADX103</f>
        <v>4256.84204015679</v>
      </c>
      <c r="ADY104" s="0" t="n">
        <f aca="false">+ADY102+ADY103</f>
        <v>5500.82264736937</v>
      </c>
      <c r="ADZ104" s="0" t="n">
        <f aca="false">+ADZ102+ADZ103</f>
        <v>5087.75383312676</v>
      </c>
      <c r="AEA104" s="0" t="n">
        <f aca="false">+AEA102+AEA103</f>
        <v>5344.8299616639</v>
      </c>
      <c r="AEB104" s="0" t="n">
        <f aca="false">+AEB102+AEB103</f>
        <v>4159.13603745251</v>
      </c>
      <c r="AEC104" s="0" t="n">
        <f aca="false">+AEC102+AEC103</f>
        <v>5246.12377608352</v>
      </c>
      <c r="AED104" s="0" t="n">
        <f aca="false">+AED102+AED103</f>
        <v>5802.06636799844</v>
      </c>
      <c r="AEE104" s="0" t="n">
        <f aca="false">+AEE102+AEE103</f>
        <v>4759.71984276652</v>
      </c>
      <c r="AEF104" s="0" t="n">
        <f aca="false">+AEF102+AEF103</f>
        <v>5922.56414650758</v>
      </c>
      <c r="AEG104" s="0" t="n">
        <f aca="false">+AEG102+AEG103</f>
        <v>5164.75936446939</v>
      </c>
      <c r="AEH104" s="0" t="n">
        <f aca="false">+AEH102+AEH103</f>
        <v>5097.85810575049</v>
      </c>
      <c r="AEI104" s="0" t="n">
        <f aca="false">+AEI102+AEI103</f>
        <v>4072.39257122768</v>
      </c>
      <c r="AEJ104" s="0" t="n">
        <f aca="false">+AEJ102+AEJ103</f>
        <v>4756.38170551876</v>
      </c>
      <c r="AEK104" s="0" t="n">
        <f aca="false">+AEK102+AEK103</f>
        <v>5379.51073356354</v>
      </c>
      <c r="AEL104" s="0" t="n">
        <f aca="false">+AEL102+AEL103</f>
        <v>5033.93766949927</v>
      </c>
      <c r="AEM104" s="0" t="n">
        <f aca="false">+AEM102+AEM103</f>
        <v>5367.19341567975</v>
      </c>
      <c r="AEN104" s="0" t="n">
        <f aca="false">+AEN102+AEN103</f>
        <v>3827.88065348172</v>
      </c>
      <c r="AEO104" s="0" t="n">
        <f aca="false">+AEO102+AEO103</f>
        <v>5195.93229813386</v>
      </c>
      <c r="AEP104" s="0" t="n">
        <f aca="false">+AEP102+AEP103</f>
        <v>5151.23880673908</v>
      </c>
      <c r="AEQ104" s="0" t="n">
        <f aca="false">+AEQ102+AEQ103</f>
        <v>5375.99696740212</v>
      </c>
      <c r="AER104" s="0" t="n">
        <f aca="false">+AER102+AER103</f>
        <v>3696.73601746629</v>
      </c>
      <c r="AES104" s="0" t="n">
        <f aca="false">+AES102+AES103</f>
        <v>5194.01145037888</v>
      </c>
      <c r="AET104" s="0" t="n">
        <f aca="false">+AET102+AET103</f>
        <v>5309.62962492912</v>
      </c>
      <c r="AEU104" s="0" t="n">
        <f aca="false">+AEU102+AEU103</f>
        <v>5269.28275103838</v>
      </c>
      <c r="AEV104" s="0" t="n">
        <f aca="false">+AEV102+AEV103</f>
        <v>5487.78785594122</v>
      </c>
      <c r="AEW104" s="0" t="n">
        <f aca="false">+AEW102+AEW103</f>
        <v>5483.67331964288</v>
      </c>
      <c r="AEX104" s="0" t="n">
        <f aca="false">+AEX102+AEX103</f>
        <v>5412.53861219636</v>
      </c>
      <c r="AEY104" s="0" t="n">
        <f aca="false">+AEY102+AEY103</f>
        <v>4447.68020384839</v>
      </c>
      <c r="AEZ104" s="0" t="n">
        <f aca="false">+AEZ102+AEZ103</f>
        <v>5609.2216319291</v>
      </c>
      <c r="AFA104" s="0" t="n">
        <f aca="false">+AFA102+AFA103</f>
        <v>5076.12402027204</v>
      </c>
      <c r="AFB104" s="0" t="n">
        <f aca="false">+AFB102+AFB103</f>
        <v>4739.28847633646</v>
      </c>
      <c r="AFC104" s="0" t="n">
        <f aca="false">+AFC102+AFC103</f>
        <v>4879.29813833218</v>
      </c>
      <c r="AFD104" s="0" t="n">
        <f aca="false">+AFD102+AFD103</f>
        <v>5064.65716147359</v>
      </c>
      <c r="AFE104" s="0" t="n">
        <f aca="false">+AFE102+AFE103</f>
        <v>3684.38852189482</v>
      </c>
      <c r="AFF104" s="0" t="n">
        <f aca="false">+AFF102+AFF103</f>
        <v>5100.06218504651</v>
      </c>
      <c r="AFG104" s="0" t="n">
        <f aca="false">+AFG102+AFG103</f>
        <v>4582.64480176478</v>
      </c>
      <c r="AFH104" s="0" t="n">
        <f aca="false">+AFH102+AFH103</f>
        <v>5097.98659033528</v>
      </c>
      <c r="AFI104" s="0" t="n">
        <f aca="false">+AFI102+AFI103</f>
        <v>4984.30356563507</v>
      </c>
      <c r="AFJ104" s="0" t="n">
        <f aca="false">+AFJ102+AFJ103</f>
        <v>4822.94661668596</v>
      </c>
      <c r="AFK104" s="0" t="n">
        <f aca="false">+AFK102+AFK103</f>
        <v>5422.03995679087</v>
      </c>
      <c r="AFL104" s="0" t="n">
        <f aca="false">+AFL102+AFL103</f>
        <v>5307.29879747864</v>
      </c>
      <c r="AFM104" s="0" t="n">
        <f aca="false">+AFM102+AFM103</f>
        <v>4187.90156458062</v>
      </c>
      <c r="AFN104" s="0" t="n">
        <f aca="false">+AFN102+AFN103</f>
        <v>4935.18031518655</v>
      </c>
      <c r="AFO104" s="0" t="n">
        <f aca="false">+AFO102+AFO103</f>
        <v>5436.64944113767</v>
      </c>
      <c r="AFP104" s="0" t="n">
        <f aca="false">+AFP102+AFP103</f>
        <v>4982.1324277914</v>
      </c>
      <c r="AFQ104" s="0" t="n">
        <f aca="false">+AFQ102+AFQ103</f>
        <v>5111.76543037503</v>
      </c>
      <c r="AFR104" s="0" t="n">
        <f aca="false">+AFR102+AFR103</f>
        <v>5623.95590032382</v>
      </c>
      <c r="AFS104" s="0" t="n">
        <f aca="false">+AFS102+AFS103</f>
        <v>4455.61556743052</v>
      </c>
      <c r="AFT104" s="0" t="n">
        <f aca="false">+AFT102+AFT103</f>
        <v>4037.27107437622</v>
      </c>
      <c r="AFU104" s="0" t="n">
        <f aca="false">+AFU102+AFU103</f>
        <v>5945.88909583612</v>
      </c>
      <c r="AFV104" s="0" t="n">
        <f aca="false">+AFV102+AFV103</f>
        <v>4408.71915396888</v>
      </c>
      <c r="AFW104" s="0" t="n">
        <f aca="false">+AFW102+AFW103</f>
        <v>5052.86559415669</v>
      </c>
      <c r="AFX104" s="0" t="n">
        <f aca="false">+AFX102+AFX103</f>
        <v>4002.33892864706</v>
      </c>
      <c r="AFY104" s="0" t="n">
        <f aca="false">+AFY102+AFY103</f>
        <v>4948.3320704429</v>
      </c>
      <c r="AFZ104" s="0" t="n">
        <f aca="false">+AFZ102+AFZ103</f>
        <v>4785.2041215737</v>
      </c>
      <c r="AGA104" s="0" t="n">
        <f aca="false">+AGA102+AGA103</f>
        <v>4861.39127508792</v>
      </c>
      <c r="AGB104" s="0" t="n">
        <f aca="false">+AGB102+AGB103</f>
        <v>5309.12800622348</v>
      </c>
      <c r="AGC104" s="0" t="n">
        <f aca="false">+AGC102+AGC103</f>
        <v>5000.74418404105</v>
      </c>
      <c r="AGD104" s="0" t="n">
        <f aca="false">+AGD102+AGD103</f>
        <v>5447.02926746894</v>
      </c>
      <c r="AGE104" s="0" t="n">
        <f aca="false">+AGE102+AGE103</f>
        <v>4007.78111079412</v>
      </c>
      <c r="AGF104" s="0" t="n">
        <f aca="false">+AGF102+AGF103</f>
        <v>4656.42801726634</v>
      </c>
      <c r="AGG104" s="0" t="n">
        <f aca="false">+AGG102+AGG103</f>
        <v>5170.21094931302</v>
      </c>
      <c r="AGH104" s="0" t="n">
        <f aca="false">+AGH102+AGH103</f>
        <v>4566.21102671751</v>
      </c>
      <c r="AGI104" s="0" t="n">
        <f aca="false">+AGI102+AGI103</f>
        <v>4365.61029771226</v>
      </c>
      <c r="AGJ104" s="0" t="n">
        <f aca="false">+AGJ102+AGJ103</f>
        <v>4385.8545925355</v>
      </c>
      <c r="AGK104" s="0" t="n">
        <f aca="false">+AGK102+AGK103</f>
        <v>4612.9257185439</v>
      </c>
      <c r="AGL104" s="0" t="n">
        <f aca="false">+AGL102+AGL103</f>
        <v>4351.53538795491</v>
      </c>
      <c r="AGM104" s="0" t="n">
        <f aca="false">+AGM102+AGM103</f>
        <v>5163.42191835191</v>
      </c>
      <c r="AGN104" s="0" t="n">
        <f aca="false">+AGN102+AGN103</f>
        <v>4748.1736604373</v>
      </c>
      <c r="AGO104" s="0" t="n">
        <f aca="false">+AGO102+AGO103</f>
        <v>4562.71324910712</v>
      </c>
      <c r="AGP104" s="0" t="n">
        <f aca="false">+AGP102+AGP103</f>
        <v>4419.20022215296</v>
      </c>
      <c r="AGQ104" s="0" t="n">
        <f aca="false">+AGQ102+AGQ103</f>
        <v>5161.85282693808</v>
      </c>
      <c r="AGR104" s="0" t="n">
        <f aca="false">+AGR102+AGR103</f>
        <v>4914.67180036461</v>
      </c>
      <c r="AGS104" s="0" t="n">
        <f aca="false">+AGS102+AGS103</f>
        <v>5715.59473605927</v>
      </c>
      <c r="AGT104" s="0" t="n">
        <f aca="false">+AGT102+AGT103</f>
        <v>4190.29045779615</v>
      </c>
      <c r="AGU104" s="0" t="n">
        <f aca="false">+AGU102+AGU103</f>
        <v>5471.08973877842</v>
      </c>
      <c r="AGV104" s="0" t="n">
        <f aca="false">+AGV102+AGV103</f>
        <v>5035.10768409459</v>
      </c>
      <c r="AGW104" s="0" t="n">
        <f aca="false">+AGW102+AGW103</f>
        <v>5023.12920097302</v>
      </c>
      <c r="AGX104" s="0" t="n">
        <f aca="false">+AGX102+AGX103</f>
        <v>3780.79319578328</v>
      </c>
      <c r="AGY104" s="0" t="n">
        <f aca="false">+AGY102+AGY103</f>
        <v>4837.30710660294</v>
      </c>
      <c r="AGZ104" s="0" t="n">
        <f aca="false">+AGZ102+AGZ103</f>
        <v>4297.3918912558</v>
      </c>
      <c r="AHA104" s="0" t="n">
        <f aca="false">+AHA102+AHA103</f>
        <v>3268.42635492117</v>
      </c>
      <c r="AHB104" s="0" t="n">
        <f aca="false">+AHB102+AHB103</f>
        <v>5001.74196602284</v>
      </c>
      <c r="AHC104" s="0" t="n">
        <f aca="false">+AHC102+AHC103</f>
        <v>4203.34958258538</v>
      </c>
      <c r="AHD104" s="0" t="n">
        <f aca="false">+AHD102+AHD103</f>
        <v>4276.64759579138</v>
      </c>
      <c r="AHE104" s="0" t="n">
        <f aca="false">+AHE102+AHE103</f>
        <v>5369.28943147777</v>
      </c>
      <c r="AHF104" s="0" t="n">
        <f aca="false">+AHF102+AHF103</f>
        <v>3866.11322511252</v>
      </c>
      <c r="AHG104" s="0" t="n">
        <f aca="false">+AHG102+AHG103</f>
        <v>5314.71560035604</v>
      </c>
      <c r="AHH104" s="0" t="n">
        <f aca="false">+AHH102+AHH103</f>
        <v>5451.40890767757</v>
      </c>
      <c r="AHI104" s="0" t="n">
        <f aca="false">+AHI102+AHI103</f>
        <v>4424.98596466632</v>
      </c>
      <c r="AHJ104" s="0" t="n">
        <f aca="false">+AHJ102+AHJ103</f>
        <v>5492.41713072225</v>
      </c>
      <c r="AHK104" s="0" t="n">
        <f aca="false">+AHK102+AHK103</f>
        <v>4479.23754204516</v>
      </c>
      <c r="AHL104" s="0" t="n">
        <f aca="false">+AHL102+AHL103</f>
        <v>4619.68152162942</v>
      </c>
      <c r="AHM104" s="0" t="n">
        <f aca="false">+AHM102+AHM103</f>
        <v>5199.98315055973</v>
      </c>
      <c r="AHN104" s="0" t="n">
        <f aca="false">+AHN102+AHN103</f>
        <v>4579.70131360059</v>
      </c>
      <c r="AHO104" s="0" t="n">
        <f aca="false">+AHO102+AHO103</f>
        <v>5026.96779940062</v>
      </c>
      <c r="AHP104" s="0" t="n">
        <f aca="false">+AHP102+AHP103</f>
        <v>3602.88566624826</v>
      </c>
      <c r="AHQ104" s="0" t="n">
        <f aca="false">+AHQ102+AHQ103</f>
        <v>4992.93821522347</v>
      </c>
      <c r="AHR104" s="0" t="n">
        <f aca="false">+AHR102+AHR103</f>
        <v>3955.90934251142</v>
      </c>
      <c r="AHS104" s="0" t="n">
        <f aca="false">+AHS102+AHS103</f>
        <v>5372.16789497021</v>
      </c>
      <c r="AHT104" s="0" t="n">
        <f aca="false">+AHT102+AHT103</f>
        <v>4740.49313276833</v>
      </c>
      <c r="AHU104" s="0" t="n">
        <f aca="false">+AHU102+AHU103</f>
        <v>5625.12872199448</v>
      </c>
      <c r="AHV104" s="0" t="n">
        <f aca="false">+AHV102+AHV103</f>
        <v>4954.04014490583</v>
      </c>
      <c r="AHW104" s="0" t="n">
        <f aca="false">+AHW102+AHW103</f>
        <v>5527.08476799725</v>
      </c>
      <c r="AHX104" s="0" t="n">
        <f aca="false">+AHX102+AHX103</f>
        <v>4254.35794968952</v>
      </c>
      <c r="AHY104" s="0" t="n">
        <f aca="false">+AHY102+AHY103</f>
        <v>4549.89989269252</v>
      </c>
      <c r="AHZ104" s="0" t="n">
        <f aca="false">+AHZ102+AHZ103</f>
        <v>5339.13909734278</v>
      </c>
      <c r="AIA104" s="0" t="n">
        <f aca="false">+AIA102+AIA103</f>
        <v>4621.73938751184</v>
      </c>
      <c r="AIB104" s="0" t="n">
        <f aca="false">+AIB102+AIB103</f>
        <v>5593.33512030472</v>
      </c>
      <c r="AIC104" s="0" t="n">
        <f aca="false">+AIC102+AIC103</f>
        <v>5338.44750344189</v>
      </c>
      <c r="AID104" s="0" t="n">
        <f aca="false">+AID102+AID103</f>
        <v>3962.71773511992</v>
      </c>
      <c r="AIE104" s="0" t="n">
        <f aca="false">+AIE102+AIE103</f>
        <v>4748.28345210713</v>
      </c>
      <c r="AIF104" s="0" t="n">
        <f aca="false">+AIF102+AIF103</f>
        <v>5400.90731932709</v>
      </c>
      <c r="AIG104" s="0" t="n">
        <f aca="false">+AIG102+AIG103</f>
        <v>4955.59318791513</v>
      </c>
      <c r="AIH104" s="0" t="n">
        <f aca="false">+AIH102+AIH103</f>
        <v>5819.64175306059</v>
      </c>
      <c r="AII104" s="0" t="n">
        <f aca="false">+AII102+AII103</f>
        <v>4803.13335280773</v>
      </c>
      <c r="AIJ104" s="0" t="n">
        <f aca="false">+AIJ102+AIJ103</f>
        <v>5481.47575660493</v>
      </c>
      <c r="AIK104" s="0" t="n">
        <f aca="false">+AIK102+AIK103</f>
        <v>4825.14519413436</v>
      </c>
      <c r="AIL104" s="0" t="n">
        <f aca="false">+AIL102+AIL103</f>
        <v>5113.42896746562</v>
      </c>
      <c r="AIM104" s="0" t="n">
        <f aca="false">+AIM102+AIM103</f>
        <v>4891.42716168273</v>
      </c>
      <c r="AIN104" s="0" t="n">
        <f aca="false">+AIN102+AIN103</f>
        <v>5681.36077642001</v>
      </c>
      <c r="AIO104" s="0" t="n">
        <f aca="false">+AIO102+AIO103</f>
        <v>4356.4287412444</v>
      </c>
      <c r="AIP104" s="0" t="n">
        <f aca="false">+AIP102+AIP103</f>
        <v>4506.7555018481</v>
      </c>
      <c r="AIQ104" s="0" t="n">
        <f aca="false">+AIQ102+AIQ103</f>
        <v>4978.75136886919</v>
      </c>
      <c r="AIR104" s="0" t="n">
        <f aca="false">+AIR102+AIR103</f>
        <v>4483.09931586059</v>
      </c>
      <c r="AIS104" s="0" t="n">
        <f aca="false">+AIS102+AIS103</f>
        <v>4429.42616124243</v>
      </c>
      <c r="AIT104" s="0" t="n">
        <f aca="false">+AIT102+AIT103</f>
        <v>4888.29475802318</v>
      </c>
      <c r="AIU104" s="0" t="n">
        <f aca="false">+AIU102+AIU103</f>
        <v>5356.38974809727</v>
      </c>
      <c r="AIV104" s="0" t="n">
        <f aca="false">+AIV102+AIV103</f>
        <v>4783.53353592961</v>
      </c>
      <c r="AIW104" s="0" t="n">
        <f aca="false">+AIW102+AIW103</f>
        <v>2623.46863584468</v>
      </c>
      <c r="AIX104" s="0" t="n">
        <f aca="false">+AIX102+AIX103</f>
        <v>5508.66213595819</v>
      </c>
      <c r="AIY104" s="0" t="n">
        <f aca="false">+AIY102+AIY103</f>
        <v>4981.23922961487</v>
      </c>
      <c r="AIZ104" s="0" t="n">
        <f aca="false">+AIZ102+AIZ103</f>
        <v>4778.36785131285</v>
      </c>
      <c r="AJA104" s="0" t="n">
        <f aca="false">+AJA102+AJA103</f>
        <v>4256.89324053791</v>
      </c>
      <c r="AJB104" s="0" t="n">
        <f aca="false">+AJB102+AJB103</f>
        <v>4504.74930506932</v>
      </c>
      <c r="AJC104" s="0" t="n">
        <f aca="false">+AJC102+AJC103</f>
        <v>5489.71293895113</v>
      </c>
      <c r="AJD104" s="0" t="n">
        <f aca="false">+AJD102+AJD103</f>
        <v>5185.94953431388</v>
      </c>
      <c r="AJE104" s="0" t="n">
        <f aca="false">+AJE102+AJE103</f>
        <v>4377.21086148583</v>
      </c>
      <c r="AJF104" s="0" t="n">
        <f aca="false">+AJF102+AJF103</f>
        <v>4890.53434533045</v>
      </c>
      <c r="AJG104" s="0" t="n">
        <f aca="false">+AJG102+AJG103</f>
        <v>4861.46734773766</v>
      </c>
      <c r="AJH104" s="0" t="n">
        <f aca="false">+AJH102+AJH103</f>
        <v>5166.53411838747</v>
      </c>
      <c r="AJI104" s="0" t="n">
        <f aca="false">+AJI102+AJI103</f>
        <v>5302.91874884674</v>
      </c>
      <c r="AJJ104" s="0" t="n">
        <f aca="false">+AJJ102+AJJ103</f>
        <v>5111.94119348506</v>
      </c>
      <c r="AJK104" s="0" t="n">
        <f aca="false">+AJK102+AJK103</f>
        <v>4918.87035227171</v>
      </c>
      <c r="AJL104" s="0" t="n">
        <f aca="false">+AJL102+AJL103</f>
        <v>4625.4508855569</v>
      </c>
      <c r="AJM104" s="0" t="n">
        <f aca="false">+AJM102+AJM103</f>
        <v>4612.80852607456</v>
      </c>
      <c r="AJN104" s="0" t="n">
        <f aca="false">+AJN102+AJN103</f>
        <v>4877.66482136207</v>
      </c>
      <c r="AJO104" s="0" t="n">
        <f aca="false">+AJO102+AJO103</f>
        <v>4760.40942765058</v>
      </c>
      <c r="AJP104" s="0" t="n">
        <f aca="false">+AJP102+AJP103</f>
        <v>4296.00759196388</v>
      </c>
      <c r="AJQ104" s="0" t="n">
        <f aca="false">+AJQ102+AJQ103</f>
        <v>4693.71944334061</v>
      </c>
      <c r="AJR104" s="0" t="n">
        <f aca="false">+AJR102+AJR103</f>
        <v>5263.25501025645</v>
      </c>
      <c r="AJS104" s="0" t="n">
        <f aca="false">+AJS102+AJS103</f>
        <v>4809.50227042238</v>
      </c>
      <c r="AJT104" s="0" t="n">
        <f aca="false">+AJT102+AJT103</f>
        <v>5604.50814748298</v>
      </c>
      <c r="AJU104" s="0" t="n">
        <f aca="false">+AJU102+AJU103</f>
        <v>3414.24143242544</v>
      </c>
      <c r="AJV104" s="0" t="n">
        <f aca="false">+AJV102+AJV103</f>
        <v>5060.84665269488</v>
      </c>
      <c r="AJW104" s="0" t="n">
        <f aca="false">+AJW102+AJW103</f>
        <v>5281.87197637848</v>
      </c>
      <c r="AJX104" s="0" t="n">
        <f aca="false">+AJX102+AJX103</f>
        <v>5044.15124737418</v>
      </c>
      <c r="AJY104" s="0" t="n">
        <f aca="false">+AJY102+AJY103</f>
        <v>4494.10088425554</v>
      </c>
      <c r="AJZ104" s="0" t="n">
        <f aca="false">+AJZ102+AJZ103</f>
        <v>5718.20415452509</v>
      </c>
      <c r="AKA104" s="0" t="n">
        <f aca="false">+AKA102+AKA103</f>
        <v>4102.93968636228</v>
      </c>
      <c r="AKB104" s="0" t="n">
        <f aca="false">+AKB102+AKB103</f>
        <v>5936.84591921684</v>
      </c>
      <c r="AKC104" s="0" t="n">
        <f aca="false">+AKC102+AKC103</f>
        <v>4723.54036756925</v>
      </c>
      <c r="AKD104" s="0" t="n">
        <f aca="false">+AKD102+AKD103</f>
        <v>5583.97445219416</v>
      </c>
      <c r="AKE104" s="0" t="n">
        <f aca="false">+AKE102+AKE103</f>
        <v>5073.02138120486</v>
      </c>
      <c r="AKF104" s="0" t="n">
        <f aca="false">+AKF102+AKF103</f>
        <v>3989.35839361308</v>
      </c>
      <c r="AKG104" s="0" t="n">
        <f aca="false">+AKG102+AKG103</f>
        <v>5019.14556805196</v>
      </c>
      <c r="AKH104" s="0" t="n">
        <f aca="false">+AKH102+AKH103</f>
        <v>4595.67672287122</v>
      </c>
      <c r="AKI104" s="0" t="n">
        <f aca="false">+AKI102+AKI103</f>
        <v>5402.04472888944</v>
      </c>
      <c r="AKJ104" s="0" t="n">
        <f aca="false">+AKJ102+AKJ103</f>
        <v>5311.80479297431</v>
      </c>
      <c r="AKK104" s="0" t="n">
        <f aca="false">+AKK102+AKK103</f>
        <v>5206.88093949495</v>
      </c>
      <c r="AKL104" s="0" t="n">
        <f aca="false">+AKL102+AKL103</f>
        <v>5606.3266933267</v>
      </c>
      <c r="AKM104" s="0" t="n">
        <f aca="false">+AKM102+AKM103</f>
        <v>4657.7393277647</v>
      </c>
      <c r="AKN104" s="0" t="n">
        <f aca="false">+AKN102+AKN103</f>
        <v>4488.98865634912</v>
      </c>
      <c r="AKO104" s="0" t="n">
        <f aca="false">+AKO102+AKO103</f>
        <v>4601.00757735952</v>
      </c>
      <c r="AKP104" s="0" t="n">
        <f aca="false">+AKP102+AKP103</f>
        <v>5569.54088055967</v>
      </c>
      <c r="AKQ104" s="0" t="n">
        <f aca="false">+AKQ102+AKQ103</f>
        <v>4484.0465237113</v>
      </c>
      <c r="AKR104" s="0" t="n">
        <f aca="false">+AKR102+AKR103</f>
        <v>4842.34476236794</v>
      </c>
      <c r="AKS104" s="0" t="n">
        <f aca="false">+AKS102+AKS103</f>
        <v>5318.55580672954</v>
      </c>
      <c r="AKT104" s="0" t="n">
        <f aca="false">+AKT102+AKT103</f>
        <v>4814.33506265983</v>
      </c>
      <c r="AKU104" s="0" t="n">
        <f aca="false">+AKU102+AKU103</f>
        <v>5127.42206081993</v>
      </c>
      <c r="AKV104" s="0" t="n">
        <f aca="false">+AKV102+AKV103</f>
        <v>4456.33750507762</v>
      </c>
      <c r="AKW104" s="0" t="n">
        <f aca="false">+AKW102+AKW103</f>
        <v>5208.63770729142</v>
      </c>
      <c r="AKX104" s="0" t="n">
        <f aca="false">+AKX102+AKX103</f>
        <v>4964.97151658298</v>
      </c>
      <c r="AKY104" s="0" t="n">
        <f aca="false">+AKY102+AKY103</f>
        <v>3480.93695560912</v>
      </c>
      <c r="AKZ104" s="0" t="n">
        <f aca="false">+AKZ102+AKZ103</f>
        <v>5882.02630657255</v>
      </c>
      <c r="ALA104" s="0" t="n">
        <f aca="false">+ALA102+ALA103</f>
        <v>5234.48222925879</v>
      </c>
      <c r="ALB104" s="0" t="n">
        <f aca="false">+ALB102+ALB103</f>
        <v>4315.6543342413</v>
      </c>
      <c r="ALC104" s="0" t="n">
        <f aca="false">+ALC102+ALC103</f>
        <v>4862.78060776811</v>
      </c>
      <c r="ALD104" s="0" t="n">
        <f aca="false">+ALD102+ALD103</f>
        <v>5179.6219055823</v>
      </c>
      <c r="ALE104" s="0" t="n">
        <f aca="false">+ALE102+ALE103</f>
        <v>5019.41220127764</v>
      </c>
      <c r="ALF104" s="0" t="n">
        <f aca="false">+ALF102+ALF103</f>
        <v>5417.79490238005</v>
      </c>
      <c r="ALG104" s="0" t="n">
        <f aca="false">+ALG102+ALG103</f>
        <v>4419.45271479842</v>
      </c>
      <c r="ALH104" s="0" t="n">
        <f aca="false">+ALH102+ALH103</f>
        <v>3780.11756609803</v>
      </c>
      <c r="ALI104" s="0" t="n">
        <f aca="false">+ALI102+ALI103</f>
        <v>4468.58432128536</v>
      </c>
      <c r="ALJ104" s="0" t="n">
        <f aca="false">+ALJ102+ALJ103</f>
        <v>4742.61553196447</v>
      </c>
      <c r="ALK104" s="0" t="n">
        <f aca="false">+ALK102+ALK103</f>
        <v>5366.42764704696</v>
      </c>
      <c r="ALL104" s="0" t="n">
        <f aca="false">+ALL102+ALL103</f>
        <v>5555.66223284154</v>
      </c>
      <c r="ALM104" s="0" t="n">
        <f aca="false">+ALM102+ALM103</f>
        <v>5158.05927246132</v>
      </c>
    </row>
    <row r="105" customFormat="false" ht="14.5" hidden="false" customHeight="false" outlineLevel="0" collapsed="false">
      <c r="A105" s="10"/>
    </row>
    <row r="106" customFormat="false" ht="14.5" hidden="false" customHeight="false" outlineLevel="0" collapsed="false">
      <c r="A106" s="94" t="s">
        <v>96</v>
      </c>
    </row>
    <row r="107" customFormat="false" ht="14.5" hidden="false" customHeight="false" outlineLevel="0" collapsed="false">
      <c r="A107" s="10" t="s">
        <v>97</v>
      </c>
      <c r="B107" s="0" t="n">
        <f aca="false">B84</f>
        <v>2093.48521321526</v>
      </c>
      <c r="C107" s="0" t="n">
        <f aca="false">C84</f>
        <v>2030.68787690824</v>
      </c>
      <c r="D107" s="0" t="n">
        <f aca="false">D84</f>
        <v>2208.79135019023</v>
      </c>
      <c r="E107" s="0" t="n">
        <f aca="false">E84</f>
        <v>2121.59133654386</v>
      </c>
      <c r="F107" s="0" t="n">
        <f aca="false">F84</f>
        <v>2034.59119208424</v>
      </c>
      <c r="G107" s="0" t="n">
        <f aca="false">G84</f>
        <v>2182.12270307297</v>
      </c>
      <c r="H107" s="0" t="n">
        <f aca="false">H84</f>
        <v>1941.53219266172</v>
      </c>
      <c r="I107" s="0" t="n">
        <f aca="false">I84</f>
        <v>2245.79025380257</v>
      </c>
      <c r="J107" s="0" t="n">
        <f aca="false">J84</f>
        <v>2070.63232549689</v>
      </c>
      <c r="K107" s="0" t="n">
        <f aca="false">K84</f>
        <v>1761.56212100277</v>
      </c>
      <c r="L107" s="0" t="n">
        <f aca="false">L84</f>
        <v>1991.47592342405</v>
      </c>
      <c r="M107" s="0" t="n">
        <f aca="false">M84</f>
        <v>2092.83114224611</v>
      </c>
      <c r="N107" s="0" t="n">
        <f aca="false">N84</f>
        <v>1869.78924619212</v>
      </c>
      <c r="O107" s="0" t="n">
        <f aca="false">O84</f>
        <v>1842.63659684985</v>
      </c>
      <c r="P107" s="0" t="n">
        <f aca="false">P84</f>
        <v>2159.80168194147</v>
      </c>
      <c r="Q107" s="0" t="n">
        <f aca="false">Q84</f>
        <v>1669.99076234134</v>
      </c>
      <c r="R107" s="0" t="n">
        <f aca="false">R84</f>
        <v>1741.29549702319</v>
      </c>
      <c r="S107" s="0" t="n">
        <f aca="false">S84</f>
        <v>1710.36960856895</v>
      </c>
      <c r="T107" s="0" t="n">
        <f aca="false">T84</f>
        <v>1877.35856415437</v>
      </c>
      <c r="U107" s="0" t="n">
        <f aca="false">U84</f>
        <v>1608.78757655671</v>
      </c>
      <c r="V107" s="0" t="n">
        <f aca="false">V84</f>
        <v>1906.7939558502</v>
      </c>
      <c r="W107" s="0" t="n">
        <f aca="false">W84</f>
        <v>2080.39157988091</v>
      </c>
      <c r="X107" s="0" t="n">
        <f aca="false">X84</f>
        <v>2159.75506951909</v>
      </c>
      <c r="Y107" s="0" t="n">
        <f aca="false">Y84</f>
        <v>1990.46438486261</v>
      </c>
      <c r="Z107" s="0" t="n">
        <f aca="false">Z84</f>
        <v>2275.30136291192</v>
      </c>
      <c r="AA107" s="0" t="n">
        <f aca="false">AA84</f>
        <v>2313.51622599027</v>
      </c>
      <c r="AB107" s="0" t="n">
        <f aca="false">AB84</f>
        <v>2373.49004193158</v>
      </c>
      <c r="AC107" s="0" t="n">
        <f aca="false">AC84</f>
        <v>1697.16872127441</v>
      </c>
      <c r="AD107" s="0" t="n">
        <f aca="false">AD84</f>
        <v>2136.02372399621</v>
      </c>
      <c r="AE107" s="0" t="n">
        <f aca="false">AE84</f>
        <v>1962.58687525848</v>
      </c>
      <c r="AF107" s="0" t="n">
        <f aca="false">AF84</f>
        <v>1679.54988536417</v>
      </c>
      <c r="AG107" s="0" t="n">
        <f aca="false">AG84</f>
        <v>2162.4547982203</v>
      </c>
      <c r="AH107" s="0" t="n">
        <f aca="false">AH84</f>
        <v>1946.59501727576</v>
      </c>
      <c r="AI107" s="0" t="n">
        <f aca="false">AI84</f>
        <v>1863.0189952596</v>
      </c>
      <c r="AJ107" s="0" t="n">
        <f aca="false">AJ84</f>
        <v>2321.47316262906</v>
      </c>
      <c r="AK107" s="0" t="n">
        <f aca="false">AK84</f>
        <v>2145.15639432584</v>
      </c>
      <c r="AL107" s="0" t="n">
        <f aca="false">AL84</f>
        <v>2196.90370861952</v>
      </c>
      <c r="AM107" s="0" t="n">
        <f aca="false">AM84</f>
        <v>2187.77101436217</v>
      </c>
      <c r="AN107" s="0" t="n">
        <f aca="false">AN84</f>
        <v>2034.48563479284</v>
      </c>
      <c r="AO107" s="0" t="n">
        <f aca="false">AO84</f>
        <v>1623.93697482027</v>
      </c>
      <c r="AP107" s="0" t="n">
        <f aca="false">AP84</f>
        <v>1918.76860339626</v>
      </c>
      <c r="AQ107" s="0" t="n">
        <f aca="false">AQ84</f>
        <v>2125.29641972089</v>
      </c>
      <c r="AR107" s="0" t="n">
        <f aca="false">AR84</f>
        <v>1882.57488605109</v>
      </c>
      <c r="AS107" s="0" t="n">
        <f aca="false">AS84</f>
        <v>1858.19423011516</v>
      </c>
      <c r="AT107" s="0" t="n">
        <f aca="false">AT84</f>
        <v>2031.68874871522</v>
      </c>
      <c r="AU107" s="0" t="n">
        <f aca="false">AU84</f>
        <v>1930.07991329329</v>
      </c>
      <c r="AV107" s="0" t="n">
        <f aca="false">AV84</f>
        <v>2336.23526384967</v>
      </c>
      <c r="AW107" s="0" t="n">
        <f aca="false">AW84</f>
        <v>1995.88456871145</v>
      </c>
      <c r="AX107" s="0" t="n">
        <f aca="false">AX84</f>
        <v>1721.11288904462</v>
      </c>
      <c r="AY107" s="0" t="n">
        <f aca="false">AY84</f>
        <v>2203.88720702909</v>
      </c>
      <c r="AZ107" s="0" t="n">
        <f aca="false">AZ84</f>
        <v>2321.33094087986</v>
      </c>
      <c r="BA107" s="0" t="n">
        <f aca="false">BA84</f>
        <v>2018.79663189623</v>
      </c>
      <c r="BB107" s="0" t="n">
        <f aca="false">BB84</f>
        <v>1750.93525582845</v>
      </c>
      <c r="BC107" s="0" t="n">
        <f aca="false">BC84</f>
        <v>2182.41964894328</v>
      </c>
      <c r="BD107" s="0" t="n">
        <f aca="false">BD84</f>
        <v>1754.87587018498</v>
      </c>
      <c r="BE107" s="0" t="n">
        <f aca="false">BE84</f>
        <v>1899.51606603626</v>
      </c>
      <c r="BF107" s="0" t="n">
        <f aca="false">BF84</f>
        <v>1631.78883264138</v>
      </c>
      <c r="BG107" s="0" t="n">
        <f aca="false">BG84</f>
        <v>2091.51961757778</v>
      </c>
      <c r="BH107" s="0" t="n">
        <f aca="false">BH84</f>
        <v>1932.83898026384</v>
      </c>
      <c r="BI107" s="0" t="n">
        <f aca="false">BI84</f>
        <v>2413.19178124814</v>
      </c>
      <c r="BJ107" s="0" t="n">
        <f aca="false">BJ84</f>
        <v>2152.53164203856</v>
      </c>
      <c r="BK107" s="0" t="n">
        <f aca="false">BK84</f>
        <v>2193.22178984054</v>
      </c>
      <c r="BL107" s="0" t="n">
        <f aca="false">BL84</f>
        <v>2119.3744611866</v>
      </c>
      <c r="BM107" s="0" t="n">
        <f aca="false">BM84</f>
        <v>1929.42687364677</v>
      </c>
      <c r="BN107" s="0" t="n">
        <f aca="false">BN84</f>
        <v>1827.29614170656</v>
      </c>
      <c r="BO107" s="0" t="n">
        <f aca="false">BO84</f>
        <v>1999.08939397695</v>
      </c>
      <c r="BP107" s="0" t="n">
        <f aca="false">BP84</f>
        <v>2100.35073634551</v>
      </c>
      <c r="BQ107" s="0" t="n">
        <f aca="false">BQ84</f>
        <v>1906.10264169366</v>
      </c>
      <c r="BR107" s="0" t="n">
        <f aca="false">BR84</f>
        <v>2122.59721629698</v>
      </c>
      <c r="BS107" s="0" t="n">
        <f aca="false">BS84</f>
        <v>1720.59329569695</v>
      </c>
      <c r="BT107" s="0" t="n">
        <f aca="false">BT84</f>
        <v>2026.33284733563</v>
      </c>
      <c r="BU107" s="0" t="n">
        <f aca="false">BU84</f>
        <v>1646.54132969639</v>
      </c>
      <c r="BV107" s="0" t="n">
        <f aca="false">BV84</f>
        <v>1921.68619075508</v>
      </c>
      <c r="BW107" s="0" t="n">
        <f aca="false">BW84</f>
        <v>1803.50884385642</v>
      </c>
      <c r="BX107" s="0" t="n">
        <f aca="false">BX84</f>
        <v>1758.61338813037</v>
      </c>
      <c r="BY107" s="0" t="n">
        <f aca="false">BY84</f>
        <v>1780.83826163165</v>
      </c>
      <c r="BZ107" s="0" t="n">
        <f aca="false">BZ84</f>
        <v>2222.2859804775</v>
      </c>
      <c r="CA107" s="0" t="n">
        <f aca="false">CA84</f>
        <v>2122.78908945346</v>
      </c>
      <c r="CB107" s="0" t="n">
        <f aca="false">CB84</f>
        <v>1794.88874684235</v>
      </c>
      <c r="CC107" s="0" t="n">
        <f aca="false">CC84</f>
        <v>2273.68739504245</v>
      </c>
      <c r="CD107" s="0" t="n">
        <f aca="false">CD84</f>
        <v>2523.48594827498</v>
      </c>
      <c r="CE107" s="0" t="n">
        <f aca="false">CE84</f>
        <v>2168.47574685912</v>
      </c>
      <c r="CF107" s="0" t="n">
        <f aca="false">CF84</f>
        <v>2145.24589181804</v>
      </c>
      <c r="CG107" s="0" t="n">
        <f aca="false">CG84</f>
        <v>1712.02103172607</v>
      </c>
      <c r="CH107" s="0" t="n">
        <f aca="false">CH84</f>
        <v>2092.85332308453</v>
      </c>
      <c r="CI107" s="0" t="n">
        <f aca="false">CI84</f>
        <v>2186.99557322502</v>
      </c>
      <c r="CJ107" s="0" t="n">
        <f aca="false">CJ84</f>
        <v>2405.02110124437</v>
      </c>
      <c r="CK107" s="0" t="n">
        <f aca="false">CK84</f>
        <v>1959.60778849146</v>
      </c>
      <c r="CL107" s="0" t="n">
        <f aca="false">CL84</f>
        <v>1890.18598569082</v>
      </c>
      <c r="CM107" s="0" t="n">
        <f aca="false">CM84</f>
        <v>2243.25827899565</v>
      </c>
      <c r="CN107" s="0" t="n">
        <f aca="false">CN84</f>
        <v>2131.01254144458</v>
      </c>
      <c r="CO107" s="0" t="n">
        <f aca="false">CO84</f>
        <v>2192.08708431543</v>
      </c>
      <c r="CP107" s="0" t="n">
        <f aca="false">CP84</f>
        <v>1913.33920863148</v>
      </c>
      <c r="CQ107" s="0" t="n">
        <f aca="false">CQ84</f>
        <v>1907.34935278617</v>
      </c>
      <c r="CR107" s="0" t="n">
        <f aca="false">CR84</f>
        <v>2084.53046590618</v>
      </c>
      <c r="CS107" s="0" t="n">
        <f aca="false">CS84</f>
        <v>1915.68428040377</v>
      </c>
      <c r="CT107" s="0" t="n">
        <f aca="false">CT84</f>
        <v>1669.75325458383</v>
      </c>
      <c r="CU107" s="0" t="n">
        <f aca="false">CU84</f>
        <v>1792.06315294723</v>
      </c>
      <c r="CV107" s="0" t="n">
        <f aca="false">CV84</f>
        <v>1736.27351057098</v>
      </c>
      <c r="CW107" s="0" t="n">
        <f aca="false">CW84</f>
        <v>2006.29216696445</v>
      </c>
      <c r="CX107" s="0" t="n">
        <f aca="false">CX84</f>
        <v>2083.93025466668</v>
      </c>
      <c r="CY107" s="0" t="n">
        <f aca="false">CY84</f>
        <v>1979.23008988068</v>
      </c>
      <c r="CZ107" s="0" t="n">
        <f aca="false">CZ84</f>
        <v>2008.38439247228</v>
      </c>
      <c r="DA107" s="0" t="n">
        <f aca="false">DA84</f>
        <v>1623.47377260072</v>
      </c>
      <c r="DB107" s="0" t="n">
        <f aca="false">DB84</f>
        <v>1371.41363455891</v>
      </c>
      <c r="DC107" s="0" t="n">
        <f aca="false">DC84</f>
        <v>2305.53133980992</v>
      </c>
      <c r="DD107" s="0" t="n">
        <f aca="false">DD84</f>
        <v>1870.89530892788</v>
      </c>
      <c r="DE107" s="0" t="n">
        <f aca="false">DE84</f>
        <v>2041.03566548837</v>
      </c>
      <c r="DF107" s="0" t="n">
        <f aca="false">DF84</f>
        <v>1793.27271263689</v>
      </c>
      <c r="DG107" s="0" t="n">
        <f aca="false">DG84</f>
        <v>2045.36997211087</v>
      </c>
      <c r="DH107" s="0" t="n">
        <f aca="false">DH84</f>
        <v>2038.88983659525</v>
      </c>
      <c r="DI107" s="0" t="n">
        <f aca="false">DI84</f>
        <v>1794.61281387107</v>
      </c>
      <c r="DJ107" s="0" t="n">
        <f aca="false">DJ84</f>
        <v>1973.92866280565</v>
      </c>
      <c r="DK107" s="0" t="n">
        <f aca="false">DK84</f>
        <v>2007.64977347266</v>
      </c>
      <c r="DL107" s="0" t="n">
        <f aca="false">DL84</f>
        <v>2195.46270597043</v>
      </c>
      <c r="DM107" s="0" t="n">
        <f aca="false">DM84</f>
        <v>2160.83564582043</v>
      </c>
      <c r="DN107" s="0" t="n">
        <f aca="false">DN84</f>
        <v>2350.71975685502</v>
      </c>
      <c r="DO107" s="0" t="n">
        <f aca="false">DO84</f>
        <v>2449.72468768288</v>
      </c>
      <c r="DP107" s="0" t="n">
        <f aca="false">DP84</f>
        <v>2286.15011262985</v>
      </c>
      <c r="DQ107" s="0" t="n">
        <f aca="false">DQ84</f>
        <v>2092.54455854046</v>
      </c>
      <c r="DR107" s="0" t="n">
        <f aca="false">DR84</f>
        <v>1581.84603736722</v>
      </c>
      <c r="DS107" s="0" t="n">
        <f aca="false">DS84</f>
        <v>1843.90562837768</v>
      </c>
      <c r="DT107" s="0" t="n">
        <f aca="false">DT84</f>
        <v>2349.65514025904</v>
      </c>
      <c r="DU107" s="0" t="n">
        <f aca="false">DU84</f>
        <v>2171.37113198213</v>
      </c>
      <c r="DV107" s="0" t="n">
        <f aca="false">DV84</f>
        <v>2145.62537073028</v>
      </c>
      <c r="DW107" s="0" t="n">
        <f aca="false">DW84</f>
        <v>1910.03609178788</v>
      </c>
      <c r="DX107" s="0" t="n">
        <f aca="false">DX84</f>
        <v>1967.22729342704</v>
      </c>
      <c r="DY107" s="0" t="n">
        <f aca="false">DY84</f>
        <v>2136.83309752993</v>
      </c>
      <c r="DZ107" s="0" t="n">
        <f aca="false">DZ84</f>
        <v>1743.70062094654</v>
      </c>
      <c r="EA107" s="0" t="n">
        <f aca="false">EA84</f>
        <v>1525.3634932564</v>
      </c>
      <c r="EB107" s="0" t="n">
        <f aca="false">EB84</f>
        <v>1932.19512806011</v>
      </c>
      <c r="EC107" s="0" t="n">
        <f aca="false">EC84</f>
        <v>1974.9224086887</v>
      </c>
      <c r="ED107" s="0" t="n">
        <f aca="false">ED84</f>
        <v>1998.50067383405</v>
      </c>
      <c r="EE107" s="0" t="n">
        <f aca="false">EE84</f>
        <v>2178.14188780753</v>
      </c>
      <c r="EF107" s="0" t="n">
        <f aca="false">EF84</f>
        <v>2041.57990198862</v>
      </c>
      <c r="EG107" s="0" t="n">
        <f aca="false">EG84</f>
        <v>1945.91996279302</v>
      </c>
      <c r="EH107" s="0" t="n">
        <f aca="false">EH84</f>
        <v>1924.75860939834</v>
      </c>
      <c r="EI107" s="0" t="n">
        <f aca="false">EI84</f>
        <v>1716.45659181171</v>
      </c>
      <c r="EJ107" s="0" t="n">
        <f aca="false">EJ84</f>
        <v>2165.29600007661</v>
      </c>
      <c r="EK107" s="0" t="n">
        <f aca="false">EK84</f>
        <v>2118.60457024341</v>
      </c>
      <c r="EL107" s="0" t="n">
        <f aca="false">EL84</f>
        <v>2221.844725666</v>
      </c>
      <c r="EM107" s="0" t="n">
        <f aca="false">EM84</f>
        <v>2005.68939874688</v>
      </c>
      <c r="EN107" s="0" t="n">
        <f aca="false">EN84</f>
        <v>2193.30322245759</v>
      </c>
      <c r="EO107" s="0" t="n">
        <f aca="false">EO84</f>
        <v>1987.10362774087</v>
      </c>
      <c r="EP107" s="0" t="n">
        <f aca="false">EP84</f>
        <v>2028.52520956654</v>
      </c>
      <c r="EQ107" s="0" t="n">
        <f aca="false">EQ84</f>
        <v>2079.20037189018</v>
      </c>
      <c r="ER107" s="0" t="n">
        <f aca="false">ER84</f>
        <v>2071.45180164501</v>
      </c>
      <c r="ES107" s="0" t="n">
        <f aca="false">ES84</f>
        <v>2163.37316545994</v>
      </c>
      <c r="ET107" s="0" t="n">
        <f aca="false">ET84</f>
        <v>2125.12040765911</v>
      </c>
      <c r="EU107" s="0" t="n">
        <f aca="false">EU84</f>
        <v>2264.33430819918</v>
      </c>
      <c r="EV107" s="0" t="n">
        <f aca="false">EV84</f>
        <v>2139.30366191319</v>
      </c>
      <c r="EW107" s="0" t="n">
        <f aca="false">EW84</f>
        <v>1793.04685640411</v>
      </c>
      <c r="EX107" s="0" t="n">
        <f aca="false">EX84</f>
        <v>1657.97693379565</v>
      </c>
      <c r="EY107" s="0" t="n">
        <f aca="false">EY84</f>
        <v>2533.62940717065</v>
      </c>
      <c r="EZ107" s="0" t="n">
        <f aca="false">EZ84</f>
        <v>1899.11125339449</v>
      </c>
      <c r="FA107" s="0" t="n">
        <f aca="false">FA84</f>
        <v>2288.53876327678</v>
      </c>
      <c r="FB107" s="0" t="n">
        <f aca="false">FB84</f>
        <v>2094.73121996033</v>
      </c>
      <c r="FC107" s="0" t="n">
        <f aca="false">FC84</f>
        <v>2047.72619963462</v>
      </c>
      <c r="FD107" s="0" t="n">
        <f aca="false">FD84</f>
        <v>2315.56064435037</v>
      </c>
      <c r="FE107" s="0" t="n">
        <f aca="false">FE84</f>
        <v>1709.34132702122</v>
      </c>
      <c r="FF107" s="0" t="n">
        <f aca="false">FF84</f>
        <v>1739.58130163387</v>
      </c>
      <c r="FG107" s="0" t="n">
        <f aca="false">FG84</f>
        <v>2019.92341449843</v>
      </c>
      <c r="FH107" s="0" t="n">
        <f aca="false">FH84</f>
        <v>2042.69441890187</v>
      </c>
      <c r="FI107" s="0" t="n">
        <f aca="false">FI84</f>
        <v>1648.48753154959</v>
      </c>
      <c r="FJ107" s="0" t="n">
        <f aca="false">FJ84</f>
        <v>1976.51134307003</v>
      </c>
      <c r="FK107" s="0" t="n">
        <f aca="false">FK84</f>
        <v>2324.31944801964</v>
      </c>
      <c r="FL107" s="0" t="n">
        <f aca="false">FL84</f>
        <v>1708.5804808686</v>
      </c>
      <c r="FM107" s="0" t="n">
        <f aca="false">FM84</f>
        <v>2386.34080610265</v>
      </c>
      <c r="FN107" s="0" t="n">
        <f aca="false">FN84</f>
        <v>2182.04080015437</v>
      </c>
      <c r="FO107" s="0" t="n">
        <f aca="false">FO84</f>
        <v>1898.20320037918</v>
      </c>
      <c r="FP107" s="0" t="n">
        <f aca="false">FP84</f>
        <v>1884.16437196807</v>
      </c>
      <c r="FQ107" s="0" t="n">
        <f aca="false">FQ84</f>
        <v>1770.22813015435</v>
      </c>
      <c r="FR107" s="0" t="n">
        <f aca="false">FR84</f>
        <v>1982.38781354727</v>
      </c>
      <c r="FS107" s="0" t="n">
        <f aca="false">FS84</f>
        <v>1650.92524591064</v>
      </c>
      <c r="FT107" s="0" t="n">
        <f aca="false">FT84</f>
        <v>1971.50705114102</v>
      </c>
      <c r="FU107" s="0" t="n">
        <f aca="false">FU84</f>
        <v>2118.89356609678</v>
      </c>
      <c r="FV107" s="0" t="n">
        <f aca="false">FV84</f>
        <v>2106.9945597369</v>
      </c>
      <c r="FW107" s="0" t="n">
        <f aca="false">FW84</f>
        <v>2210.63121692057</v>
      </c>
      <c r="FX107" s="0" t="n">
        <f aca="false">FX84</f>
        <v>1957.93266332513</v>
      </c>
      <c r="FY107" s="0" t="n">
        <f aca="false">FY84</f>
        <v>2084.22928539844</v>
      </c>
      <c r="FZ107" s="0" t="n">
        <f aca="false">FZ84</f>
        <v>1644.11093551121</v>
      </c>
      <c r="GA107" s="0" t="n">
        <f aca="false">GA84</f>
        <v>1864.19220979674</v>
      </c>
      <c r="GB107" s="0" t="n">
        <f aca="false">GB84</f>
        <v>1957.77486090108</v>
      </c>
      <c r="GC107" s="0" t="n">
        <f aca="false">GC84</f>
        <v>1884.05478092435</v>
      </c>
      <c r="GD107" s="0" t="n">
        <f aca="false">GD84</f>
        <v>1805.40835186791</v>
      </c>
      <c r="GE107" s="0" t="n">
        <f aca="false">GE84</f>
        <v>2041.8862671117</v>
      </c>
      <c r="GF107" s="0" t="n">
        <f aca="false">GF84</f>
        <v>1946.08890048251</v>
      </c>
      <c r="GG107" s="0" t="n">
        <f aca="false">GG84</f>
        <v>1931.1434704711</v>
      </c>
      <c r="GH107" s="0" t="n">
        <f aca="false">GH84</f>
        <v>2059.28349777277</v>
      </c>
      <c r="GI107" s="0" t="n">
        <f aca="false">GI84</f>
        <v>2218.7778042121</v>
      </c>
      <c r="GJ107" s="0" t="n">
        <f aca="false">GJ84</f>
        <v>1841.4947435209</v>
      </c>
      <c r="GK107" s="0" t="n">
        <f aca="false">GK84</f>
        <v>1808.68571832095</v>
      </c>
      <c r="GL107" s="0" t="n">
        <f aca="false">GL84</f>
        <v>1960.10670933608</v>
      </c>
      <c r="GM107" s="0" t="n">
        <f aca="false">GM84</f>
        <v>1903.5715486464</v>
      </c>
      <c r="GN107" s="0" t="n">
        <f aca="false">GN84</f>
        <v>2079.74502355618</v>
      </c>
      <c r="GO107" s="0" t="n">
        <f aca="false">GO84</f>
        <v>1782.39034920104</v>
      </c>
      <c r="GP107" s="0" t="n">
        <f aca="false">GP84</f>
        <v>2136.18087334032</v>
      </c>
      <c r="GQ107" s="0" t="n">
        <f aca="false">GQ84</f>
        <v>1610.25342484475</v>
      </c>
      <c r="GR107" s="0" t="n">
        <f aca="false">GR84</f>
        <v>2319.39572360412</v>
      </c>
      <c r="GS107" s="0" t="n">
        <f aca="false">GS84</f>
        <v>1962.21176106069</v>
      </c>
      <c r="GT107" s="0" t="n">
        <f aca="false">GT84</f>
        <v>2106.43011972381</v>
      </c>
      <c r="GU107" s="0" t="n">
        <f aca="false">GU84</f>
        <v>1869.1065407513</v>
      </c>
      <c r="GV107" s="0" t="n">
        <f aca="false">GV84</f>
        <v>2023.6456687943</v>
      </c>
      <c r="GW107" s="0" t="n">
        <f aca="false">GW84</f>
        <v>2041.97043215022</v>
      </c>
      <c r="GX107" s="0" t="n">
        <f aca="false">GX84</f>
        <v>1859.3923252614</v>
      </c>
      <c r="GY107" s="0" t="n">
        <f aca="false">GY84</f>
        <v>1913.70778747862</v>
      </c>
      <c r="GZ107" s="0" t="n">
        <f aca="false">GZ84</f>
        <v>2240.59956580569</v>
      </c>
      <c r="HA107" s="0" t="n">
        <f aca="false">HA84</f>
        <v>2047.85020864894</v>
      </c>
      <c r="HB107" s="0" t="n">
        <f aca="false">HB84</f>
        <v>1932.43553509817</v>
      </c>
      <c r="HC107" s="0" t="n">
        <f aca="false">HC84</f>
        <v>1882.74828200994</v>
      </c>
      <c r="HD107" s="0" t="n">
        <f aca="false">HD84</f>
        <v>2331.69311374495</v>
      </c>
      <c r="HE107" s="0" t="n">
        <f aca="false">HE84</f>
        <v>2235.20713085239</v>
      </c>
      <c r="HF107" s="0" t="n">
        <f aca="false">HF84</f>
        <v>1709.0421031744</v>
      </c>
      <c r="HG107" s="0" t="n">
        <f aca="false">HG84</f>
        <v>2209.00650632564</v>
      </c>
      <c r="HH107" s="0" t="n">
        <f aca="false">HH84</f>
        <v>2166.31310917233</v>
      </c>
      <c r="HI107" s="0" t="n">
        <f aca="false">HI84</f>
        <v>2136.29184254894</v>
      </c>
      <c r="HJ107" s="0" t="n">
        <f aca="false">HJ84</f>
        <v>1894.19265142106</v>
      </c>
      <c r="HK107" s="0" t="n">
        <f aca="false">HK84</f>
        <v>1938.84129844776</v>
      </c>
      <c r="HL107" s="0" t="n">
        <f aca="false">HL84</f>
        <v>2331.90775786585</v>
      </c>
      <c r="HM107" s="0" t="n">
        <f aca="false">HM84</f>
        <v>1849.50295017161</v>
      </c>
      <c r="HN107" s="0" t="n">
        <f aca="false">HN84</f>
        <v>1888.95175429258</v>
      </c>
      <c r="HO107" s="0" t="n">
        <f aca="false">HO84</f>
        <v>1882.36794375713</v>
      </c>
      <c r="HP107" s="0" t="n">
        <f aca="false">HP84</f>
        <v>1620.20011555701</v>
      </c>
      <c r="HQ107" s="0" t="n">
        <f aca="false">HQ84</f>
        <v>2027.01677890467</v>
      </c>
      <c r="HR107" s="0" t="n">
        <f aca="false">HR84</f>
        <v>1935.79360252321</v>
      </c>
      <c r="HS107" s="0" t="n">
        <f aca="false">HS84</f>
        <v>1970.8459295117</v>
      </c>
      <c r="HT107" s="0" t="n">
        <f aca="false">HT84</f>
        <v>2553.38775837373</v>
      </c>
      <c r="HU107" s="0" t="n">
        <f aca="false">HU84</f>
        <v>1815.38469736364</v>
      </c>
      <c r="HV107" s="0" t="n">
        <f aca="false">HV84</f>
        <v>1967.29494362706</v>
      </c>
      <c r="HW107" s="0" t="n">
        <f aca="false">HW84</f>
        <v>1874.84672977769</v>
      </c>
      <c r="HX107" s="0" t="n">
        <f aca="false">HX84</f>
        <v>2245.97703246288</v>
      </c>
      <c r="HY107" s="0" t="n">
        <f aca="false">HY84</f>
        <v>1834.22742969469</v>
      </c>
      <c r="HZ107" s="0" t="n">
        <f aca="false">HZ84</f>
        <v>1880.85034786575</v>
      </c>
      <c r="IA107" s="0" t="n">
        <f aca="false">IA84</f>
        <v>2346.59611628713</v>
      </c>
      <c r="IB107" s="0" t="n">
        <f aca="false">IB84</f>
        <v>1716.4427551703</v>
      </c>
      <c r="IC107" s="0" t="n">
        <f aca="false">IC84</f>
        <v>1841.53623861963</v>
      </c>
      <c r="ID107" s="0" t="n">
        <f aca="false">ID84</f>
        <v>1709.61053768494</v>
      </c>
      <c r="IE107" s="0" t="n">
        <f aca="false">IE84</f>
        <v>2331.12215091027</v>
      </c>
      <c r="IF107" s="0" t="n">
        <f aca="false">IF84</f>
        <v>1735.12456131076</v>
      </c>
      <c r="IG107" s="0" t="n">
        <f aca="false">IG84</f>
        <v>1800.5111452271</v>
      </c>
      <c r="IH107" s="0" t="n">
        <f aca="false">IH84</f>
        <v>2001.86016899772</v>
      </c>
      <c r="II107" s="0" t="n">
        <f aca="false">II84</f>
        <v>2125.49302413591</v>
      </c>
      <c r="IJ107" s="0" t="n">
        <f aca="false">IJ84</f>
        <v>1902.91924780596</v>
      </c>
      <c r="IK107" s="0" t="n">
        <f aca="false">IK84</f>
        <v>2495.5221492529</v>
      </c>
      <c r="IL107" s="0" t="n">
        <f aca="false">IL84</f>
        <v>2288.00645023597</v>
      </c>
      <c r="IM107" s="0" t="n">
        <f aca="false">IM84</f>
        <v>1987.23948514658</v>
      </c>
      <c r="IN107" s="0" t="n">
        <f aca="false">IN84</f>
        <v>1808.74735014652</v>
      </c>
      <c r="IO107" s="0" t="n">
        <f aca="false">IO84</f>
        <v>2094.23506453898</v>
      </c>
      <c r="IP107" s="0" t="n">
        <f aca="false">IP84</f>
        <v>2152.36953395094</v>
      </c>
      <c r="IQ107" s="0" t="n">
        <f aca="false">IQ84</f>
        <v>2063.95944453662</v>
      </c>
      <c r="IR107" s="0" t="n">
        <f aca="false">IR84</f>
        <v>1755.02226282228</v>
      </c>
      <c r="IS107" s="0" t="n">
        <f aca="false">IS84</f>
        <v>1988.02876294588</v>
      </c>
      <c r="IT107" s="0" t="n">
        <f aca="false">IT84</f>
        <v>2201.83617954465</v>
      </c>
      <c r="IU107" s="0" t="n">
        <f aca="false">IU84</f>
        <v>1893.70590007371</v>
      </c>
      <c r="IV107" s="0" t="n">
        <f aca="false">IV84</f>
        <v>2136.66959760318</v>
      </c>
      <c r="IW107" s="0" t="n">
        <f aca="false">IW84</f>
        <v>1953.1798700589</v>
      </c>
      <c r="IX107" s="0" t="n">
        <f aca="false">IX84</f>
        <v>1902.06009747682</v>
      </c>
      <c r="IY107" s="0" t="n">
        <f aca="false">IY84</f>
        <v>2182.85403288049</v>
      </c>
      <c r="IZ107" s="0" t="n">
        <f aca="false">IZ84</f>
        <v>2095.07715984605</v>
      </c>
      <c r="JA107" s="0" t="n">
        <f aca="false">JA84</f>
        <v>1662.35466695999</v>
      </c>
      <c r="JB107" s="0" t="n">
        <f aca="false">JB84</f>
        <v>1942.15463889205</v>
      </c>
      <c r="JC107" s="0" t="n">
        <f aca="false">JC84</f>
        <v>1757.84275168709</v>
      </c>
      <c r="JD107" s="0" t="n">
        <f aca="false">JD84</f>
        <v>1832.04924095975</v>
      </c>
      <c r="JE107" s="0" t="n">
        <f aca="false">JE84</f>
        <v>1987.87536881284</v>
      </c>
      <c r="JF107" s="0" t="n">
        <f aca="false">JF84</f>
        <v>2134.92815476928</v>
      </c>
      <c r="JG107" s="0" t="n">
        <f aca="false">JG84</f>
        <v>2163.93543690102</v>
      </c>
      <c r="JH107" s="0" t="n">
        <f aca="false">JH84</f>
        <v>1791.38757551933</v>
      </c>
      <c r="JI107" s="0" t="n">
        <f aca="false">JI84</f>
        <v>1976.31264497631</v>
      </c>
      <c r="JJ107" s="0" t="n">
        <f aca="false">JJ84</f>
        <v>1903.7732694144</v>
      </c>
      <c r="JK107" s="0" t="n">
        <f aca="false">JK84</f>
        <v>1779.98561654658</v>
      </c>
      <c r="JL107" s="0" t="n">
        <f aca="false">JL84</f>
        <v>1980.81284734478</v>
      </c>
      <c r="JM107" s="0" t="n">
        <f aca="false">JM84</f>
        <v>2029.0352231803</v>
      </c>
      <c r="JN107" s="0" t="n">
        <f aca="false">JN84</f>
        <v>1975.50352486767</v>
      </c>
      <c r="JO107" s="0" t="n">
        <f aca="false">JO84</f>
        <v>1923.80332807868</v>
      </c>
      <c r="JP107" s="0" t="n">
        <f aca="false">JP84</f>
        <v>1978.30129264342</v>
      </c>
      <c r="JQ107" s="0" t="n">
        <f aca="false">JQ84</f>
        <v>1740.20936468166</v>
      </c>
      <c r="JR107" s="0" t="n">
        <f aca="false">JR84</f>
        <v>1616.7480336376</v>
      </c>
      <c r="JS107" s="0" t="n">
        <f aca="false">JS84</f>
        <v>1691.99978754853</v>
      </c>
      <c r="JT107" s="0" t="n">
        <f aca="false">JT84</f>
        <v>1883.18008726725</v>
      </c>
      <c r="JU107" s="0" t="n">
        <f aca="false">JU84</f>
        <v>1852.25889115789</v>
      </c>
      <c r="JV107" s="0" t="n">
        <f aca="false">JV84</f>
        <v>2100.24146654048</v>
      </c>
      <c r="JW107" s="0" t="n">
        <f aca="false">JW84</f>
        <v>2407.22273139189</v>
      </c>
      <c r="JX107" s="0" t="n">
        <f aca="false">JX84</f>
        <v>1748.52456268462</v>
      </c>
      <c r="JY107" s="0" t="n">
        <f aca="false">JY84</f>
        <v>2025.13256937004</v>
      </c>
      <c r="JZ107" s="0" t="n">
        <f aca="false">JZ84</f>
        <v>1964.03071272306</v>
      </c>
      <c r="KA107" s="0" t="n">
        <f aca="false">KA84</f>
        <v>1995.06847253774</v>
      </c>
      <c r="KB107" s="0" t="n">
        <f aca="false">KB84</f>
        <v>2132.77331288875</v>
      </c>
      <c r="KC107" s="0" t="n">
        <f aca="false">KC84</f>
        <v>1957.91638595937</v>
      </c>
      <c r="KD107" s="0" t="n">
        <f aca="false">KD84</f>
        <v>1904.05608972635</v>
      </c>
      <c r="KE107" s="0" t="n">
        <f aca="false">KE84</f>
        <v>1923.5354686314</v>
      </c>
      <c r="KF107" s="0" t="n">
        <f aca="false">KF84</f>
        <v>2031.3888641945</v>
      </c>
      <c r="KG107" s="0" t="n">
        <f aca="false">KG84</f>
        <v>2486.58674884614</v>
      </c>
      <c r="KH107" s="0" t="n">
        <f aca="false">KH84</f>
        <v>1969.8378529263</v>
      </c>
      <c r="KI107" s="0" t="n">
        <f aca="false">KI84</f>
        <v>1822.19789808152</v>
      </c>
      <c r="KJ107" s="0" t="n">
        <f aca="false">KJ84</f>
        <v>2132.69215080252</v>
      </c>
      <c r="KK107" s="0" t="n">
        <f aca="false">KK84</f>
        <v>1909.22719774175</v>
      </c>
      <c r="KL107" s="0" t="n">
        <f aca="false">KL84</f>
        <v>2161.17604841788</v>
      </c>
      <c r="KM107" s="0" t="n">
        <f aca="false">KM84</f>
        <v>2041.95369394266</v>
      </c>
      <c r="KN107" s="0" t="n">
        <f aca="false">KN84</f>
        <v>1910.882267526</v>
      </c>
      <c r="KO107" s="0" t="n">
        <f aca="false">KO84</f>
        <v>2163.3114164726</v>
      </c>
      <c r="KP107" s="0" t="n">
        <f aca="false">KP84</f>
        <v>1815.86370935776</v>
      </c>
      <c r="KQ107" s="0" t="n">
        <f aca="false">KQ84</f>
        <v>1898.92353755411</v>
      </c>
      <c r="KR107" s="0" t="n">
        <f aca="false">KR84</f>
        <v>1874.76288823707</v>
      </c>
      <c r="KS107" s="0" t="n">
        <f aca="false">KS84</f>
        <v>1778.98925478804</v>
      </c>
      <c r="KT107" s="0" t="n">
        <f aca="false">KT84</f>
        <v>1894.54998247189</v>
      </c>
      <c r="KU107" s="0" t="n">
        <f aca="false">KU84</f>
        <v>1908.82037125757</v>
      </c>
      <c r="KV107" s="0" t="n">
        <f aca="false">KV84</f>
        <v>1938.92991202913</v>
      </c>
      <c r="KW107" s="0" t="n">
        <f aca="false">KW84</f>
        <v>1826.32482010355</v>
      </c>
      <c r="KX107" s="0" t="n">
        <f aca="false">KX84</f>
        <v>2100.15457063882</v>
      </c>
      <c r="KY107" s="0" t="n">
        <f aca="false">KY84</f>
        <v>2108.8906506909</v>
      </c>
      <c r="KZ107" s="0" t="n">
        <f aca="false">KZ84</f>
        <v>1794.50129562214</v>
      </c>
      <c r="LA107" s="0" t="n">
        <f aca="false">LA84</f>
        <v>2146.98678594041</v>
      </c>
      <c r="LB107" s="0" t="n">
        <f aca="false">LB84</f>
        <v>2430.92766890457</v>
      </c>
      <c r="LC107" s="0" t="n">
        <f aca="false">LC84</f>
        <v>2110.22089017048</v>
      </c>
      <c r="LD107" s="0" t="n">
        <f aca="false">LD84</f>
        <v>1633.90980393852</v>
      </c>
      <c r="LE107" s="0" t="n">
        <f aca="false">LE84</f>
        <v>1862.03023838662</v>
      </c>
      <c r="LF107" s="0" t="n">
        <f aca="false">LF84</f>
        <v>1782.38545463456</v>
      </c>
      <c r="LG107" s="0" t="n">
        <f aca="false">LG84</f>
        <v>2109.60265410805</v>
      </c>
      <c r="LH107" s="0" t="n">
        <f aca="false">LH84</f>
        <v>1722.48121038991</v>
      </c>
      <c r="LI107" s="0" t="n">
        <f aca="false">LI84</f>
        <v>2129.72539455502</v>
      </c>
      <c r="LJ107" s="0" t="n">
        <f aca="false">LJ84</f>
        <v>1668.34121658493</v>
      </c>
      <c r="LK107" s="0" t="n">
        <f aca="false">LK84</f>
        <v>2144.95970586452</v>
      </c>
      <c r="LL107" s="0" t="n">
        <f aca="false">LL84</f>
        <v>2061.73897797159</v>
      </c>
      <c r="LM107" s="0" t="n">
        <f aca="false">LM84</f>
        <v>1991.40157446262</v>
      </c>
      <c r="LN107" s="0" t="n">
        <f aca="false">LN84</f>
        <v>2194.96648358666</v>
      </c>
      <c r="LO107" s="0" t="n">
        <f aca="false">LO84</f>
        <v>1916.56406860708</v>
      </c>
      <c r="LP107" s="0" t="n">
        <f aca="false">LP84</f>
        <v>2123.22090216125</v>
      </c>
      <c r="LQ107" s="0" t="n">
        <f aca="false">LQ84</f>
        <v>1940.97143578886</v>
      </c>
      <c r="LR107" s="0" t="n">
        <f aca="false">LR84</f>
        <v>1744.81538245314</v>
      </c>
      <c r="LS107" s="0" t="n">
        <f aca="false">LS84</f>
        <v>1977.83687188926</v>
      </c>
      <c r="LT107" s="0" t="n">
        <f aca="false">LT84</f>
        <v>2174.08771313515</v>
      </c>
      <c r="LU107" s="0" t="n">
        <f aca="false">LU84</f>
        <v>2056.7643635826</v>
      </c>
      <c r="LV107" s="0" t="n">
        <f aca="false">LV84</f>
        <v>1764.42389497312</v>
      </c>
      <c r="LW107" s="0" t="n">
        <f aca="false">LW84</f>
        <v>2112.45205905216</v>
      </c>
      <c r="LX107" s="0" t="n">
        <f aca="false">LX84</f>
        <v>1984.4993113116</v>
      </c>
      <c r="LY107" s="0" t="n">
        <f aca="false">LY84</f>
        <v>1940.0547296649</v>
      </c>
      <c r="LZ107" s="0" t="n">
        <f aca="false">LZ84</f>
        <v>1921.41553311939</v>
      </c>
      <c r="MA107" s="0" t="n">
        <f aca="false">MA84</f>
        <v>2000.49130921365</v>
      </c>
      <c r="MB107" s="0" t="n">
        <f aca="false">MB84</f>
        <v>2268.96087562602</v>
      </c>
      <c r="MC107" s="0" t="n">
        <f aca="false">MC84</f>
        <v>2078.43615011936</v>
      </c>
      <c r="MD107" s="0" t="n">
        <f aca="false">MD84</f>
        <v>2706.45872921886</v>
      </c>
      <c r="ME107" s="0" t="n">
        <f aca="false">ME84</f>
        <v>2140.73703546744</v>
      </c>
      <c r="MF107" s="0" t="n">
        <f aca="false">MF84</f>
        <v>1886.15332907541</v>
      </c>
      <c r="MG107" s="0" t="n">
        <f aca="false">MG84</f>
        <v>1742.82804276167</v>
      </c>
      <c r="MH107" s="0" t="n">
        <f aca="false">MH84</f>
        <v>1953.98574551989</v>
      </c>
      <c r="MI107" s="0" t="n">
        <f aca="false">MI84</f>
        <v>1953.03529091498</v>
      </c>
      <c r="MJ107" s="0" t="n">
        <f aca="false">MJ84</f>
        <v>2099.49695235663</v>
      </c>
      <c r="MK107" s="0" t="n">
        <f aca="false">MK84</f>
        <v>2174.02101205862</v>
      </c>
      <c r="ML107" s="0" t="n">
        <f aca="false">ML84</f>
        <v>2157.07292049851</v>
      </c>
      <c r="MM107" s="0" t="n">
        <f aca="false">MM84</f>
        <v>1822.24804118485</v>
      </c>
      <c r="MN107" s="0" t="n">
        <f aca="false">MN84</f>
        <v>2158.06909534774</v>
      </c>
      <c r="MO107" s="0" t="n">
        <f aca="false">MO84</f>
        <v>2202.90988326465</v>
      </c>
      <c r="MP107" s="0" t="n">
        <f aca="false">MP84</f>
        <v>2259.2549569892</v>
      </c>
      <c r="MQ107" s="0" t="n">
        <f aca="false">MQ84</f>
        <v>1614.40423685386</v>
      </c>
      <c r="MR107" s="0" t="n">
        <f aca="false">MR84</f>
        <v>2044.4094034687</v>
      </c>
      <c r="MS107" s="0" t="n">
        <f aca="false">MS84</f>
        <v>2141.50662289976</v>
      </c>
      <c r="MT107" s="0" t="n">
        <f aca="false">MT84</f>
        <v>1988.80690007296</v>
      </c>
      <c r="MU107" s="0" t="n">
        <f aca="false">MU84</f>
        <v>1944.00882403244</v>
      </c>
      <c r="MV107" s="0" t="n">
        <f aca="false">MV84</f>
        <v>2301.8070879187</v>
      </c>
      <c r="MW107" s="0" t="n">
        <f aca="false">MW84</f>
        <v>1953.42750156641</v>
      </c>
      <c r="MX107" s="0" t="n">
        <f aca="false">MX84</f>
        <v>1771.1906563156</v>
      </c>
      <c r="MY107" s="0" t="n">
        <f aca="false">MY84</f>
        <v>2068.4718151623</v>
      </c>
      <c r="MZ107" s="0" t="n">
        <f aca="false">MZ84</f>
        <v>2024.60347894004</v>
      </c>
      <c r="NA107" s="0" t="n">
        <f aca="false">NA84</f>
        <v>2306.8247641486</v>
      </c>
      <c r="NB107" s="0" t="n">
        <f aca="false">NB84</f>
        <v>2283.95608679171</v>
      </c>
      <c r="NC107" s="0" t="n">
        <f aca="false">NC84</f>
        <v>2124.53144341983</v>
      </c>
      <c r="ND107" s="0" t="n">
        <f aca="false">ND84</f>
        <v>2122.65523717942</v>
      </c>
      <c r="NE107" s="0" t="n">
        <f aca="false">NE84</f>
        <v>2424.20865407895</v>
      </c>
      <c r="NF107" s="0" t="n">
        <f aca="false">NF84</f>
        <v>2027.80301909456</v>
      </c>
      <c r="NG107" s="0" t="n">
        <f aca="false">NG84</f>
        <v>1889.29944527781</v>
      </c>
      <c r="NH107" s="0" t="n">
        <f aca="false">NH84</f>
        <v>1950.51536348126</v>
      </c>
      <c r="NI107" s="0" t="n">
        <f aca="false">NI84</f>
        <v>1668.92644308642</v>
      </c>
      <c r="NJ107" s="0" t="n">
        <f aca="false">NJ84</f>
        <v>1956.26795919655</v>
      </c>
      <c r="NK107" s="0" t="n">
        <f aca="false">NK84</f>
        <v>2130.39557117482</v>
      </c>
      <c r="NL107" s="0" t="n">
        <f aca="false">NL84</f>
        <v>2172.60937695589</v>
      </c>
      <c r="NM107" s="0" t="n">
        <f aca="false">NM84</f>
        <v>2255.63073689015</v>
      </c>
      <c r="NN107" s="0" t="n">
        <f aca="false">NN84</f>
        <v>2256.05249555057</v>
      </c>
      <c r="NO107" s="0" t="n">
        <f aca="false">NO84</f>
        <v>1751.50063291023</v>
      </c>
      <c r="NP107" s="0" t="n">
        <f aca="false">NP84</f>
        <v>2153.28245409631</v>
      </c>
      <c r="NQ107" s="0" t="n">
        <f aca="false">NQ84</f>
        <v>1917.67654591025</v>
      </c>
      <c r="NR107" s="0" t="n">
        <f aca="false">NR84</f>
        <v>2117.84351364701</v>
      </c>
      <c r="NS107" s="0" t="n">
        <f aca="false">NS84</f>
        <v>1806.47303556176</v>
      </c>
      <c r="NT107" s="0" t="n">
        <f aca="false">NT84</f>
        <v>1479.81851618163</v>
      </c>
      <c r="NU107" s="0" t="n">
        <f aca="false">NU84</f>
        <v>1707.05128783252</v>
      </c>
      <c r="NV107" s="0" t="n">
        <f aca="false">NV84</f>
        <v>1950.12286705361</v>
      </c>
      <c r="NW107" s="0" t="n">
        <f aca="false">NW84</f>
        <v>1873.88209759737</v>
      </c>
      <c r="NX107" s="0" t="n">
        <f aca="false">NX84</f>
        <v>1951.45873856392</v>
      </c>
      <c r="NY107" s="0" t="n">
        <f aca="false">NY84</f>
        <v>2013.53593904258</v>
      </c>
      <c r="NZ107" s="0" t="n">
        <f aca="false">NZ84</f>
        <v>2113.26964021435</v>
      </c>
      <c r="OA107" s="0" t="n">
        <f aca="false">OA84</f>
        <v>2126.13125195096</v>
      </c>
      <c r="OB107" s="0" t="n">
        <f aca="false">OB84</f>
        <v>2027.61721439542</v>
      </c>
      <c r="OC107" s="0" t="n">
        <f aca="false">OC84</f>
        <v>2042.0325101949</v>
      </c>
      <c r="OD107" s="0" t="n">
        <f aca="false">OD84</f>
        <v>2045.22046105441</v>
      </c>
      <c r="OE107" s="0" t="n">
        <f aca="false">OE84</f>
        <v>1947.83918684771</v>
      </c>
      <c r="OF107" s="0" t="n">
        <f aca="false">OF84</f>
        <v>2067.29118190633</v>
      </c>
      <c r="OG107" s="0" t="n">
        <f aca="false">OG84</f>
        <v>2232.00959395504</v>
      </c>
      <c r="OH107" s="0" t="n">
        <f aca="false">OH84</f>
        <v>1921.34205103806</v>
      </c>
      <c r="OI107" s="0" t="n">
        <f aca="false">OI84</f>
        <v>1977.74460152247</v>
      </c>
      <c r="OJ107" s="0" t="n">
        <f aca="false">OJ84</f>
        <v>1637.42757553959</v>
      </c>
      <c r="OK107" s="0" t="n">
        <f aca="false">OK84</f>
        <v>2034.68087413167</v>
      </c>
      <c r="OL107" s="0" t="n">
        <f aca="false">OL84</f>
        <v>2066.22642514734</v>
      </c>
      <c r="OM107" s="0" t="n">
        <f aca="false">OM84</f>
        <v>1879.93291109823</v>
      </c>
      <c r="ON107" s="0" t="n">
        <f aca="false">ON84</f>
        <v>2152.60970716862</v>
      </c>
      <c r="OO107" s="0" t="n">
        <f aca="false">OO84</f>
        <v>2348.74121497201</v>
      </c>
      <c r="OP107" s="0" t="n">
        <f aca="false">OP84</f>
        <v>1934.20638716989</v>
      </c>
      <c r="OQ107" s="0" t="n">
        <f aca="false">OQ84</f>
        <v>2103.58478529978</v>
      </c>
      <c r="OR107" s="0" t="n">
        <f aca="false">OR84</f>
        <v>1965.16938391328</v>
      </c>
      <c r="OS107" s="0" t="n">
        <f aca="false">OS84</f>
        <v>1692.51758178525</v>
      </c>
      <c r="OT107" s="0" t="n">
        <f aca="false">OT84</f>
        <v>2296.81618167202</v>
      </c>
      <c r="OU107" s="0" t="n">
        <f aca="false">OU84</f>
        <v>1999.41962294067</v>
      </c>
      <c r="OV107" s="0" t="n">
        <f aca="false">OV84</f>
        <v>1900.77391774842</v>
      </c>
      <c r="OW107" s="0" t="n">
        <f aca="false">OW84</f>
        <v>1974.46820552043</v>
      </c>
      <c r="OX107" s="0" t="n">
        <f aca="false">OX84</f>
        <v>1835.47972240616</v>
      </c>
      <c r="OY107" s="0" t="n">
        <f aca="false">OY84</f>
        <v>2093.41893789811</v>
      </c>
      <c r="OZ107" s="0" t="n">
        <f aca="false">OZ84</f>
        <v>2305.68191047493</v>
      </c>
      <c r="PA107" s="0" t="n">
        <f aca="false">PA84</f>
        <v>1612.46489172709</v>
      </c>
      <c r="PB107" s="0" t="n">
        <f aca="false">PB84</f>
        <v>2097.48667855472</v>
      </c>
      <c r="PC107" s="0" t="n">
        <f aca="false">PC84</f>
        <v>2167.30060208438</v>
      </c>
      <c r="PD107" s="0" t="n">
        <f aca="false">PD84</f>
        <v>1849.962752746</v>
      </c>
      <c r="PE107" s="0" t="n">
        <f aca="false">PE84</f>
        <v>2102.19346178562</v>
      </c>
      <c r="PF107" s="0" t="n">
        <f aca="false">PF84</f>
        <v>2031.98548293775</v>
      </c>
      <c r="PG107" s="0" t="n">
        <f aca="false">PG84</f>
        <v>2134.48663325536</v>
      </c>
      <c r="PH107" s="0" t="n">
        <f aca="false">PH84</f>
        <v>2002.8569816601</v>
      </c>
      <c r="PI107" s="0" t="n">
        <f aca="false">PI84</f>
        <v>1802.99550443807</v>
      </c>
      <c r="PJ107" s="0" t="n">
        <f aca="false">PJ84</f>
        <v>1822.10966731211</v>
      </c>
      <c r="PK107" s="0" t="n">
        <f aca="false">PK84</f>
        <v>2153.62397090715</v>
      </c>
      <c r="PL107" s="0" t="n">
        <f aca="false">PL84</f>
        <v>2124.25606365061</v>
      </c>
      <c r="PM107" s="0" t="n">
        <f aca="false">PM84</f>
        <v>1903.07746130331</v>
      </c>
      <c r="PN107" s="0" t="n">
        <f aca="false">PN84</f>
        <v>2337.68397460733</v>
      </c>
      <c r="PO107" s="0" t="n">
        <f aca="false">PO84</f>
        <v>2089.34746257491</v>
      </c>
      <c r="PP107" s="0" t="n">
        <f aca="false">PP84</f>
        <v>1938.4901902016</v>
      </c>
      <c r="PQ107" s="0" t="n">
        <f aca="false">PQ84</f>
        <v>2136.54473025669</v>
      </c>
      <c r="PR107" s="0" t="n">
        <f aca="false">PR84</f>
        <v>2197.90689611666</v>
      </c>
      <c r="PS107" s="0" t="n">
        <f aca="false">PS84</f>
        <v>2406.95715307491</v>
      </c>
      <c r="PT107" s="0" t="n">
        <f aca="false">PT84</f>
        <v>1932.14187872378</v>
      </c>
      <c r="PU107" s="0" t="n">
        <f aca="false">PU84</f>
        <v>2078.61898752865</v>
      </c>
      <c r="PV107" s="0" t="n">
        <f aca="false">PV84</f>
        <v>2076.21830274543</v>
      </c>
      <c r="PW107" s="0" t="n">
        <f aca="false">PW84</f>
        <v>1819.82886564775</v>
      </c>
      <c r="PX107" s="0" t="n">
        <f aca="false">PX84</f>
        <v>2315.52673899464</v>
      </c>
      <c r="PY107" s="0" t="n">
        <f aca="false">PY84</f>
        <v>1702.90623562712</v>
      </c>
      <c r="PZ107" s="0" t="n">
        <f aca="false">PZ84</f>
        <v>1742.67840306163</v>
      </c>
      <c r="QA107" s="0" t="n">
        <f aca="false">QA84</f>
        <v>2042.09171386021</v>
      </c>
      <c r="QB107" s="0" t="n">
        <f aca="false">QB84</f>
        <v>1838.3896244203</v>
      </c>
      <c r="QC107" s="0" t="n">
        <f aca="false">QC84</f>
        <v>2181.78296347858</v>
      </c>
      <c r="QD107" s="0" t="n">
        <f aca="false">QD84</f>
        <v>1954.49135649599</v>
      </c>
      <c r="QE107" s="0" t="n">
        <f aca="false">QE84</f>
        <v>2114.72645116751</v>
      </c>
      <c r="QF107" s="0" t="n">
        <f aca="false">QF84</f>
        <v>2262.65872175626</v>
      </c>
      <c r="QG107" s="0" t="n">
        <f aca="false">QG84</f>
        <v>2122.24065788791</v>
      </c>
      <c r="QH107" s="0" t="n">
        <f aca="false">QH84</f>
        <v>1899.16725997517</v>
      </c>
      <c r="QI107" s="0" t="n">
        <f aca="false">QI84</f>
        <v>1957.3872824777</v>
      </c>
      <c r="QJ107" s="0" t="n">
        <f aca="false">QJ84</f>
        <v>1771.52590586157</v>
      </c>
      <c r="QK107" s="0" t="n">
        <f aca="false">QK84</f>
        <v>1962.11254093607</v>
      </c>
      <c r="QL107" s="0" t="n">
        <f aca="false">QL84</f>
        <v>1678.13019069726</v>
      </c>
      <c r="QM107" s="0" t="n">
        <f aca="false">QM84</f>
        <v>1982.52378399284</v>
      </c>
      <c r="QN107" s="0" t="n">
        <f aca="false">QN84</f>
        <v>2058.22932664611</v>
      </c>
      <c r="QO107" s="0" t="n">
        <f aca="false">QO84</f>
        <v>1990.50872237857</v>
      </c>
      <c r="QP107" s="0" t="n">
        <f aca="false">QP84</f>
        <v>1692.27973309192</v>
      </c>
      <c r="QQ107" s="0" t="n">
        <f aca="false">QQ84</f>
        <v>2029.45516475111</v>
      </c>
      <c r="QR107" s="0" t="n">
        <f aca="false">QR84</f>
        <v>1863.41047847315</v>
      </c>
      <c r="QS107" s="0" t="n">
        <f aca="false">QS84</f>
        <v>1708.98138684433</v>
      </c>
      <c r="QT107" s="0" t="n">
        <f aca="false">QT84</f>
        <v>1811.6775732308</v>
      </c>
      <c r="QU107" s="0" t="n">
        <f aca="false">QU84</f>
        <v>2003.35526977234</v>
      </c>
      <c r="QV107" s="0" t="n">
        <f aca="false">QV84</f>
        <v>2053.46050744686</v>
      </c>
      <c r="QW107" s="0" t="n">
        <f aca="false">QW84</f>
        <v>2202.58978520172</v>
      </c>
      <c r="QX107" s="0" t="n">
        <f aca="false">QX84</f>
        <v>2606.91693438289</v>
      </c>
      <c r="QY107" s="0" t="n">
        <f aca="false">QY84</f>
        <v>2228.03917208204</v>
      </c>
      <c r="QZ107" s="0" t="n">
        <f aca="false">QZ84</f>
        <v>1951.21874376232</v>
      </c>
      <c r="RA107" s="0" t="n">
        <f aca="false">RA84</f>
        <v>2194.49343332057</v>
      </c>
      <c r="RB107" s="0" t="n">
        <f aca="false">RB84</f>
        <v>1980.55097825837</v>
      </c>
      <c r="RC107" s="0" t="n">
        <f aca="false">RC84</f>
        <v>1844.896534949</v>
      </c>
      <c r="RD107" s="0" t="n">
        <f aca="false">RD84</f>
        <v>1779.59195261713</v>
      </c>
      <c r="RE107" s="0" t="n">
        <f aca="false">RE84</f>
        <v>1852.18828874893</v>
      </c>
      <c r="RF107" s="0" t="n">
        <f aca="false">RF84</f>
        <v>1897.83585667182</v>
      </c>
      <c r="RG107" s="0" t="n">
        <f aca="false">RG84</f>
        <v>1807.59654118476</v>
      </c>
      <c r="RH107" s="0" t="n">
        <f aca="false">RH84</f>
        <v>1919.81704479501</v>
      </c>
      <c r="RI107" s="0" t="n">
        <f aca="false">RI84</f>
        <v>1834.17898138097</v>
      </c>
      <c r="RJ107" s="0" t="n">
        <f aca="false">RJ84</f>
        <v>1780.34609443554</v>
      </c>
      <c r="RK107" s="0" t="n">
        <f aca="false">RK84</f>
        <v>2310.50614035411</v>
      </c>
      <c r="RL107" s="0" t="n">
        <f aca="false">RL84</f>
        <v>2331.7236548692</v>
      </c>
      <c r="RM107" s="0" t="n">
        <f aca="false">RM84</f>
        <v>1699.35911436858</v>
      </c>
      <c r="RN107" s="0" t="n">
        <f aca="false">RN84</f>
        <v>1892.07454614426</v>
      </c>
      <c r="RO107" s="0" t="n">
        <f aca="false">RO84</f>
        <v>2282.35082220479</v>
      </c>
      <c r="RP107" s="0" t="n">
        <f aca="false">RP84</f>
        <v>1920.3358718018</v>
      </c>
      <c r="RQ107" s="0" t="n">
        <f aca="false">RQ84</f>
        <v>2108.17065396773</v>
      </c>
      <c r="RR107" s="0" t="n">
        <f aca="false">RR84</f>
        <v>2228.55058351299</v>
      </c>
      <c r="RS107" s="0" t="n">
        <f aca="false">RS84</f>
        <v>1992.51748527824</v>
      </c>
      <c r="RT107" s="0" t="n">
        <f aca="false">RT84</f>
        <v>1890.60829314105</v>
      </c>
      <c r="RU107" s="0" t="n">
        <f aca="false">RU84</f>
        <v>2175.81355859518</v>
      </c>
      <c r="RV107" s="0" t="n">
        <f aca="false">RV84</f>
        <v>2308.3431051543</v>
      </c>
      <c r="RW107" s="0" t="n">
        <f aca="false">RW84</f>
        <v>2041.67452436042</v>
      </c>
      <c r="RX107" s="0" t="n">
        <f aca="false">RX84</f>
        <v>2176.79969635186</v>
      </c>
      <c r="RY107" s="0" t="n">
        <f aca="false">RY84</f>
        <v>1900.43616077564</v>
      </c>
      <c r="RZ107" s="0" t="n">
        <f aca="false">RZ84</f>
        <v>1942.88497378006</v>
      </c>
      <c r="SA107" s="0" t="n">
        <f aca="false">SA84</f>
        <v>2142.12794713756</v>
      </c>
      <c r="SB107" s="0" t="n">
        <f aca="false">SB84</f>
        <v>1970.34151910229</v>
      </c>
      <c r="SC107" s="0" t="n">
        <f aca="false">SC84</f>
        <v>2268.2424058498</v>
      </c>
      <c r="SD107" s="0" t="n">
        <f aca="false">SD84</f>
        <v>1810.17975774285</v>
      </c>
      <c r="SE107" s="0" t="n">
        <f aca="false">SE84</f>
        <v>1904.20738935765</v>
      </c>
      <c r="SF107" s="0" t="n">
        <f aca="false">SF84</f>
        <v>2004.17479650408</v>
      </c>
      <c r="SG107" s="0" t="n">
        <f aca="false">SG84</f>
        <v>1942.6891302209</v>
      </c>
      <c r="SH107" s="0" t="n">
        <f aca="false">SH84</f>
        <v>2197.2899631047</v>
      </c>
      <c r="SI107" s="0" t="n">
        <f aca="false">SI84</f>
        <v>1973.40149174818</v>
      </c>
      <c r="SJ107" s="0" t="n">
        <f aca="false">SJ84</f>
        <v>2211.15030401742</v>
      </c>
      <c r="SK107" s="0" t="n">
        <f aca="false">SK84</f>
        <v>1851.1839818216</v>
      </c>
      <c r="SL107" s="0" t="n">
        <f aca="false">SL84</f>
        <v>1943.55199133471</v>
      </c>
      <c r="SM107" s="0" t="n">
        <f aca="false">SM84</f>
        <v>2031.19861116623</v>
      </c>
      <c r="SN107" s="0" t="n">
        <f aca="false">SN84</f>
        <v>1660.70563686821</v>
      </c>
      <c r="SO107" s="0" t="n">
        <f aca="false">SO84</f>
        <v>1884.24827542368</v>
      </c>
      <c r="SP107" s="0" t="n">
        <f aca="false">SP84</f>
        <v>1861.04155841487</v>
      </c>
      <c r="SQ107" s="0" t="n">
        <f aca="false">SQ84</f>
        <v>2122.08275118504</v>
      </c>
      <c r="SR107" s="0" t="n">
        <f aca="false">SR84</f>
        <v>1819.47212155966</v>
      </c>
      <c r="SS107" s="0" t="n">
        <f aca="false">SS84</f>
        <v>2074.01998699606</v>
      </c>
      <c r="ST107" s="0" t="n">
        <f aca="false">ST84</f>
        <v>2021.21457599224</v>
      </c>
      <c r="SU107" s="0" t="n">
        <f aca="false">SU84</f>
        <v>1748.03607062068</v>
      </c>
      <c r="SV107" s="0" t="n">
        <f aca="false">SV84</f>
        <v>1825.18896905865</v>
      </c>
      <c r="SW107" s="0" t="n">
        <f aca="false">SW84</f>
        <v>2312.34259550518</v>
      </c>
      <c r="SX107" s="0" t="n">
        <f aca="false">SX84</f>
        <v>2194.8027171797</v>
      </c>
      <c r="SY107" s="0" t="n">
        <f aca="false">SY84</f>
        <v>2120.07508657881</v>
      </c>
      <c r="SZ107" s="0" t="n">
        <f aca="false">SZ84</f>
        <v>2260.78324654078</v>
      </c>
      <c r="TA107" s="0" t="n">
        <f aca="false">TA84</f>
        <v>1784.89228394821</v>
      </c>
      <c r="TB107" s="0" t="n">
        <f aca="false">TB84</f>
        <v>2017.60499698726</v>
      </c>
      <c r="TC107" s="0" t="n">
        <f aca="false">TC84</f>
        <v>1859.31529849414</v>
      </c>
      <c r="TD107" s="0" t="n">
        <f aca="false">TD84</f>
        <v>2300.8977197214</v>
      </c>
      <c r="TE107" s="0" t="n">
        <f aca="false">TE84</f>
        <v>1570.09680228036</v>
      </c>
      <c r="TF107" s="0" t="n">
        <f aca="false">TF84</f>
        <v>2027.22146423091</v>
      </c>
      <c r="TG107" s="0" t="n">
        <f aca="false">TG84</f>
        <v>1984.16062669596</v>
      </c>
      <c r="TH107" s="0" t="n">
        <f aca="false">TH84</f>
        <v>1922.94896736012</v>
      </c>
      <c r="TI107" s="0" t="n">
        <f aca="false">TI84</f>
        <v>2301.02808114719</v>
      </c>
      <c r="TJ107" s="0" t="n">
        <f aca="false">TJ84</f>
        <v>1715.69347745006</v>
      </c>
      <c r="TK107" s="0" t="n">
        <f aca="false">TK84</f>
        <v>2162.71754857278</v>
      </c>
      <c r="TL107" s="0" t="n">
        <f aca="false">TL84</f>
        <v>1530.80294062133</v>
      </c>
      <c r="TM107" s="0" t="n">
        <f aca="false">TM84</f>
        <v>2126.18560711712</v>
      </c>
      <c r="TN107" s="0" t="n">
        <f aca="false">TN84</f>
        <v>2041.41659686005</v>
      </c>
      <c r="TO107" s="0" t="n">
        <f aca="false">TO84</f>
        <v>2095.42825320976</v>
      </c>
      <c r="TP107" s="0" t="n">
        <f aca="false">TP84</f>
        <v>1911.41732640022</v>
      </c>
      <c r="TQ107" s="0" t="n">
        <f aca="false">TQ84</f>
        <v>1622.33699916179</v>
      </c>
      <c r="TR107" s="0" t="n">
        <f aca="false">TR84</f>
        <v>2358.78787127608</v>
      </c>
      <c r="TS107" s="0" t="n">
        <f aca="false">TS84</f>
        <v>2250.0943586393</v>
      </c>
      <c r="TT107" s="0" t="n">
        <f aca="false">TT84</f>
        <v>1949.69404792857</v>
      </c>
      <c r="TU107" s="0" t="n">
        <f aca="false">TU84</f>
        <v>2073.26296623682</v>
      </c>
      <c r="TV107" s="0" t="n">
        <f aca="false">TV84</f>
        <v>2049.35423519055</v>
      </c>
      <c r="TW107" s="0" t="n">
        <f aca="false">TW84</f>
        <v>2110.38507507982</v>
      </c>
      <c r="TX107" s="0" t="n">
        <f aca="false">TX84</f>
        <v>2138.39654345177</v>
      </c>
      <c r="TY107" s="0" t="n">
        <f aca="false">TY84</f>
        <v>2433.05018744038</v>
      </c>
      <c r="TZ107" s="0" t="n">
        <f aca="false">TZ84</f>
        <v>1889.91153553767</v>
      </c>
      <c r="UA107" s="0" t="n">
        <f aca="false">UA84</f>
        <v>1949.40780393518</v>
      </c>
      <c r="UB107" s="0" t="n">
        <f aca="false">UB84</f>
        <v>2159.46925884043</v>
      </c>
      <c r="UC107" s="0" t="n">
        <f aca="false">UC84</f>
        <v>1713.45199161914</v>
      </c>
      <c r="UD107" s="0" t="n">
        <f aca="false">UD84</f>
        <v>1757.07872977298</v>
      </c>
      <c r="UE107" s="0" t="n">
        <f aca="false">UE84</f>
        <v>2002.32613891491</v>
      </c>
      <c r="UF107" s="0" t="n">
        <f aca="false">UF84</f>
        <v>1965.87230398618</v>
      </c>
      <c r="UG107" s="0" t="n">
        <f aca="false">UG84</f>
        <v>2001.64724614252</v>
      </c>
      <c r="UH107" s="0" t="n">
        <f aca="false">UH84</f>
        <v>1965.91878756361</v>
      </c>
      <c r="UI107" s="0" t="n">
        <f aca="false">UI84</f>
        <v>2034.50637620512</v>
      </c>
      <c r="UJ107" s="0" t="n">
        <f aca="false">UJ84</f>
        <v>1944.52374759473</v>
      </c>
      <c r="UK107" s="0" t="n">
        <f aca="false">UK84</f>
        <v>2146.8196097403</v>
      </c>
      <c r="UL107" s="0" t="n">
        <f aca="false">UL84</f>
        <v>1886.2339862868</v>
      </c>
      <c r="UM107" s="0" t="n">
        <f aca="false">UM84</f>
        <v>1670.78903121218</v>
      </c>
      <c r="UN107" s="0" t="n">
        <f aca="false">UN84</f>
        <v>1941.18772828481</v>
      </c>
      <c r="UO107" s="0" t="n">
        <f aca="false">UO84</f>
        <v>2131.73491702989</v>
      </c>
      <c r="UP107" s="0" t="n">
        <f aca="false">UP84</f>
        <v>1854.45810247967</v>
      </c>
      <c r="UQ107" s="0" t="n">
        <f aca="false">UQ84</f>
        <v>2329.32892669507</v>
      </c>
      <c r="UR107" s="0" t="n">
        <f aca="false">UR84</f>
        <v>1970.82188302064</v>
      </c>
      <c r="US107" s="0" t="n">
        <f aca="false">US84</f>
        <v>2103.97111341611</v>
      </c>
      <c r="UT107" s="0" t="n">
        <f aca="false">UT84</f>
        <v>2006.00186397219</v>
      </c>
      <c r="UU107" s="0" t="n">
        <f aca="false">UU84</f>
        <v>1918.6694784546</v>
      </c>
      <c r="UV107" s="0" t="n">
        <f aca="false">UV84</f>
        <v>2227.79195320671</v>
      </c>
      <c r="UW107" s="0" t="n">
        <f aca="false">UW84</f>
        <v>2166.625174098</v>
      </c>
      <c r="UX107" s="0" t="n">
        <f aca="false">UX84</f>
        <v>1921.28880859782</v>
      </c>
      <c r="UY107" s="0" t="n">
        <f aca="false">UY84</f>
        <v>1483.46939208314</v>
      </c>
      <c r="UZ107" s="0" t="n">
        <f aca="false">UZ84</f>
        <v>1711.16616466704</v>
      </c>
      <c r="VA107" s="0" t="n">
        <f aca="false">VA84</f>
        <v>1864.57250524034</v>
      </c>
      <c r="VB107" s="0" t="n">
        <f aca="false">VB84</f>
        <v>1684.64805050715</v>
      </c>
      <c r="VC107" s="0" t="n">
        <f aca="false">VC84</f>
        <v>1868.69341496181</v>
      </c>
      <c r="VD107" s="0" t="n">
        <f aca="false">VD84</f>
        <v>2075.93090621071</v>
      </c>
      <c r="VE107" s="0" t="n">
        <f aca="false">VE84</f>
        <v>1894.92477588861</v>
      </c>
      <c r="VF107" s="0" t="n">
        <f aca="false">VF84</f>
        <v>2214.99954600637</v>
      </c>
      <c r="VG107" s="0" t="n">
        <f aca="false">VG84</f>
        <v>2141.13922410403</v>
      </c>
      <c r="VH107" s="0" t="n">
        <f aca="false">VH84</f>
        <v>2367.28720700059</v>
      </c>
      <c r="VI107" s="0" t="n">
        <f aca="false">VI84</f>
        <v>1746.94097496124</v>
      </c>
      <c r="VJ107" s="0" t="n">
        <f aca="false">VJ84</f>
        <v>2310.45290097456</v>
      </c>
      <c r="VK107" s="0" t="n">
        <f aca="false">VK84</f>
        <v>2084.47645661698</v>
      </c>
      <c r="VL107" s="0" t="n">
        <f aca="false">VL84</f>
        <v>2054.40401058598</v>
      </c>
      <c r="VM107" s="0" t="n">
        <f aca="false">VM84</f>
        <v>1984.04546008554</v>
      </c>
      <c r="VN107" s="0" t="n">
        <f aca="false">VN84</f>
        <v>2082.66652076073</v>
      </c>
      <c r="VO107" s="0" t="n">
        <f aca="false">VO84</f>
        <v>1707.20992736285</v>
      </c>
      <c r="VP107" s="0" t="n">
        <f aca="false">VP84</f>
        <v>1921.41890227603</v>
      </c>
      <c r="VQ107" s="0" t="n">
        <f aca="false">VQ84</f>
        <v>1740.41152814336</v>
      </c>
      <c r="VR107" s="0" t="n">
        <f aca="false">VR84</f>
        <v>1888.48870918598</v>
      </c>
      <c r="VS107" s="0" t="n">
        <f aca="false">VS84</f>
        <v>2004.72773615047</v>
      </c>
      <c r="VT107" s="0" t="n">
        <f aca="false">VT84</f>
        <v>2072.53771734965</v>
      </c>
      <c r="VU107" s="0" t="n">
        <f aca="false">VU84</f>
        <v>2092.09197077437</v>
      </c>
      <c r="VV107" s="0" t="n">
        <f aca="false">VV84</f>
        <v>2401.53454583789</v>
      </c>
      <c r="VW107" s="0" t="n">
        <f aca="false">VW84</f>
        <v>1904.69279844313</v>
      </c>
      <c r="VX107" s="0" t="n">
        <f aca="false">VX84</f>
        <v>2225.52994647844</v>
      </c>
      <c r="VY107" s="0" t="n">
        <f aca="false">VY84</f>
        <v>1999.4623173082</v>
      </c>
      <c r="VZ107" s="0" t="n">
        <f aca="false">VZ84</f>
        <v>1869.77112787672</v>
      </c>
      <c r="WA107" s="0" t="n">
        <f aca="false">WA84</f>
        <v>2464.49619936216</v>
      </c>
      <c r="WB107" s="0" t="n">
        <f aca="false">WB84</f>
        <v>1905.24918995007</v>
      </c>
      <c r="WC107" s="0" t="n">
        <f aca="false">WC84</f>
        <v>1840.17172219784</v>
      </c>
      <c r="WD107" s="0" t="n">
        <f aca="false">WD84</f>
        <v>1909.79824137734</v>
      </c>
      <c r="WE107" s="0" t="n">
        <f aca="false">WE84</f>
        <v>2082.06753244654</v>
      </c>
      <c r="WF107" s="0" t="n">
        <f aca="false">WF84</f>
        <v>1722.36898372623</v>
      </c>
      <c r="WG107" s="0" t="n">
        <f aca="false">WG84</f>
        <v>2127.97197162624</v>
      </c>
      <c r="WH107" s="0" t="n">
        <f aca="false">WH84</f>
        <v>2069.43152839016</v>
      </c>
      <c r="WI107" s="0" t="n">
        <f aca="false">WI84</f>
        <v>1852.36552189204</v>
      </c>
      <c r="WJ107" s="0" t="n">
        <f aca="false">WJ84</f>
        <v>1913.05164766328</v>
      </c>
      <c r="WK107" s="0" t="n">
        <f aca="false">WK84</f>
        <v>2298.38882291929</v>
      </c>
      <c r="WL107" s="0" t="n">
        <f aca="false">WL84</f>
        <v>2187.40379297296</v>
      </c>
      <c r="WM107" s="0" t="n">
        <f aca="false">WM84</f>
        <v>2066.94386333041</v>
      </c>
      <c r="WN107" s="0" t="n">
        <f aca="false">WN84</f>
        <v>2272.67425875808</v>
      </c>
      <c r="WO107" s="0" t="n">
        <f aca="false">WO84</f>
        <v>2055.42904648193</v>
      </c>
      <c r="WP107" s="0" t="n">
        <f aca="false">WP84</f>
        <v>1950.15550430671</v>
      </c>
      <c r="WQ107" s="0" t="n">
        <f aca="false">WQ84</f>
        <v>2274.58368791787</v>
      </c>
      <c r="WR107" s="0" t="n">
        <f aca="false">WR84</f>
        <v>2104.43609278906</v>
      </c>
      <c r="WS107" s="0" t="n">
        <f aca="false">WS84</f>
        <v>1487.38305159352</v>
      </c>
      <c r="WT107" s="0" t="n">
        <f aca="false">WT84</f>
        <v>2080.94469403362</v>
      </c>
      <c r="WU107" s="0" t="n">
        <f aca="false">WU84</f>
        <v>1903.51675202624</v>
      </c>
      <c r="WV107" s="0" t="n">
        <f aca="false">WV84</f>
        <v>1951.11771552165</v>
      </c>
      <c r="WW107" s="0" t="n">
        <f aca="false">WW84</f>
        <v>1815.0107611679</v>
      </c>
      <c r="WX107" s="0" t="n">
        <f aca="false">WX84</f>
        <v>2054.99278906404</v>
      </c>
      <c r="WY107" s="0" t="n">
        <f aca="false">WY84</f>
        <v>1920.47466946177</v>
      </c>
      <c r="WZ107" s="0" t="n">
        <f aca="false">WZ84</f>
        <v>1990.09903108944</v>
      </c>
      <c r="XA107" s="0" t="n">
        <f aca="false">XA84</f>
        <v>1943.89916043159</v>
      </c>
      <c r="XB107" s="0" t="n">
        <f aca="false">XB84</f>
        <v>1786.32454670818</v>
      </c>
      <c r="XC107" s="0" t="n">
        <f aca="false">XC84</f>
        <v>2220.36621093991</v>
      </c>
      <c r="XD107" s="0" t="n">
        <f aca="false">XD84</f>
        <v>2002.49478378325</v>
      </c>
      <c r="XE107" s="0" t="n">
        <f aca="false">XE84</f>
        <v>1779.49679345146</v>
      </c>
      <c r="XF107" s="0" t="n">
        <f aca="false">XF84</f>
        <v>2365.84295410665</v>
      </c>
      <c r="XG107" s="0" t="n">
        <f aca="false">XG84</f>
        <v>2070.74092041434</v>
      </c>
      <c r="XH107" s="0" t="n">
        <f aca="false">XH84</f>
        <v>2152.33459800391</v>
      </c>
      <c r="XI107" s="0" t="n">
        <f aca="false">XI84</f>
        <v>1700.57034814456</v>
      </c>
      <c r="XJ107" s="0" t="n">
        <f aca="false">XJ84</f>
        <v>2126.50534689474</v>
      </c>
      <c r="XK107" s="0" t="n">
        <f aca="false">XK84</f>
        <v>2011.21771731623</v>
      </c>
      <c r="XL107" s="0" t="n">
        <f aca="false">XL84</f>
        <v>2033.21450684776</v>
      </c>
      <c r="XM107" s="0" t="n">
        <f aca="false">XM84</f>
        <v>1756.64793301252</v>
      </c>
      <c r="XN107" s="0" t="n">
        <f aca="false">XN84</f>
        <v>1913.56130517709</v>
      </c>
      <c r="XO107" s="0" t="n">
        <f aca="false">XO84</f>
        <v>1950.13699471252</v>
      </c>
      <c r="XP107" s="0" t="n">
        <f aca="false">XP84</f>
        <v>2338.32238714436</v>
      </c>
      <c r="XQ107" s="0" t="n">
        <f aca="false">XQ84</f>
        <v>2074.4706285708</v>
      </c>
      <c r="XR107" s="0" t="n">
        <f aca="false">XR84</f>
        <v>2039.57637415255</v>
      </c>
      <c r="XS107" s="0" t="n">
        <f aca="false">XS84</f>
        <v>2189.34212299227</v>
      </c>
      <c r="XT107" s="0" t="n">
        <f aca="false">XT84</f>
        <v>1923.86233426737</v>
      </c>
      <c r="XU107" s="0" t="n">
        <f aca="false">XU84</f>
        <v>2298.87032482178</v>
      </c>
      <c r="XV107" s="0" t="n">
        <f aca="false">XV84</f>
        <v>1760.38500718511</v>
      </c>
      <c r="XW107" s="0" t="n">
        <f aca="false">XW84</f>
        <v>1997.90153132468</v>
      </c>
      <c r="XX107" s="0" t="n">
        <f aca="false">XX84</f>
        <v>2170.70373315761</v>
      </c>
      <c r="XY107" s="0" t="n">
        <f aca="false">XY84</f>
        <v>2104.9101393</v>
      </c>
      <c r="XZ107" s="0" t="n">
        <f aca="false">XZ84</f>
        <v>1971.5685769826</v>
      </c>
      <c r="YA107" s="0" t="n">
        <f aca="false">YA84</f>
        <v>2157.09424656735</v>
      </c>
      <c r="YB107" s="0" t="n">
        <f aca="false">YB84</f>
        <v>2095.2141162945</v>
      </c>
      <c r="YC107" s="0" t="n">
        <f aca="false">YC84</f>
        <v>2024.86996346888</v>
      </c>
      <c r="YD107" s="0" t="n">
        <f aca="false">YD84</f>
        <v>1457.88324759798</v>
      </c>
      <c r="YE107" s="0" t="n">
        <f aca="false">YE84</f>
        <v>1552.48257713338</v>
      </c>
      <c r="YF107" s="0" t="n">
        <f aca="false">YF84</f>
        <v>2157.10038550017</v>
      </c>
      <c r="YG107" s="0" t="n">
        <f aca="false">YG84</f>
        <v>1701.61586827552</v>
      </c>
      <c r="YH107" s="0" t="n">
        <f aca="false">YH84</f>
        <v>2615.24257120464</v>
      </c>
      <c r="YI107" s="0" t="n">
        <f aca="false">YI84</f>
        <v>1889.36628981872</v>
      </c>
      <c r="YJ107" s="0" t="n">
        <f aca="false">YJ84</f>
        <v>1693.37517975159</v>
      </c>
      <c r="YK107" s="0" t="n">
        <f aca="false">YK84</f>
        <v>2090.28495585293</v>
      </c>
      <c r="YL107" s="0" t="n">
        <f aca="false">YL84</f>
        <v>2338.60022800244</v>
      </c>
      <c r="YM107" s="0" t="n">
        <f aca="false">YM84</f>
        <v>1997.62599246236</v>
      </c>
      <c r="YN107" s="0" t="n">
        <f aca="false">YN84</f>
        <v>1830.25105740319</v>
      </c>
      <c r="YO107" s="0" t="n">
        <f aca="false">YO84</f>
        <v>1881.17977052237</v>
      </c>
      <c r="YP107" s="0" t="n">
        <f aca="false">YP84</f>
        <v>2399.6746973619</v>
      </c>
      <c r="YQ107" s="0" t="n">
        <f aca="false">YQ84</f>
        <v>2059.22220588407</v>
      </c>
      <c r="YR107" s="0" t="n">
        <f aca="false">YR84</f>
        <v>2239.11894114209</v>
      </c>
      <c r="YS107" s="0" t="n">
        <f aca="false">YS84</f>
        <v>1898.91781813047</v>
      </c>
      <c r="YT107" s="0" t="n">
        <f aca="false">YT84</f>
        <v>1816.50762102358</v>
      </c>
      <c r="YU107" s="0" t="n">
        <f aca="false">YU84</f>
        <v>2026.96462366408</v>
      </c>
      <c r="YV107" s="0" t="n">
        <f aca="false">YV84</f>
        <v>1949.97911531132</v>
      </c>
      <c r="YW107" s="0" t="n">
        <f aca="false">YW84</f>
        <v>2207.78243478736</v>
      </c>
      <c r="YX107" s="0" t="n">
        <f aca="false">YX84</f>
        <v>1983.031945606</v>
      </c>
      <c r="YY107" s="0" t="n">
        <f aca="false">YY84</f>
        <v>1845.12971754874</v>
      </c>
      <c r="YZ107" s="0" t="n">
        <f aca="false">YZ84</f>
        <v>1905.29472851178</v>
      </c>
      <c r="ZA107" s="0" t="n">
        <f aca="false">ZA84</f>
        <v>1650.45969588838</v>
      </c>
      <c r="ZB107" s="0" t="n">
        <f aca="false">ZB84</f>
        <v>1769.19336535077</v>
      </c>
      <c r="ZC107" s="0" t="n">
        <f aca="false">ZC84</f>
        <v>2191.203133601</v>
      </c>
      <c r="ZD107" s="0" t="n">
        <f aca="false">ZD84</f>
        <v>2288.21255344095</v>
      </c>
      <c r="ZE107" s="0" t="n">
        <f aca="false">ZE84</f>
        <v>2013.49477328395</v>
      </c>
      <c r="ZF107" s="0" t="n">
        <f aca="false">ZF84</f>
        <v>1881.44975733799</v>
      </c>
      <c r="ZG107" s="0" t="n">
        <f aca="false">ZG84</f>
        <v>1972.07301396454</v>
      </c>
      <c r="ZH107" s="0" t="n">
        <f aca="false">ZH84</f>
        <v>2317.58135988665</v>
      </c>
      <c r="ZI107" s="0" t="n">
        <f aca="false">ZI84</f>
        <v>2065.972101162</v>
      </c>
      <c r="ZJ107" s="0" t="n">
        <f aca="false">ZJ84</f>
        <v>1920.67696272733</v>
      </c>
      <c r="ZK107" s="0" t="n">
        <f aca="false">ZK84</f>
        <v>1861.40159170102</v>
      </c>
      <c r="ZL107" s="0" t="n">
        <f aca="false">ZL84</f>
        <v>1926.68132464221</v>
      </c>
      <c r="ZM107" s="0" t="n">
        <f aca="false">ZM84</f>
        <v>1772.88484875594</v>
      </c>
      <c r="ZN107" s="0" t="n">
        <f aca="false">ZN84</f>
        <v>1624.95131025414</v>
      </c>
      <c r="ZO107" s="0" t="n">
        <f aca="false">ZO84</f>
        <v>1840.50917950221</v>
      </c>
      <c r="ZP107" s="0" t="n">
        <f aca="false">ZP84</f>
        <v>1583.42510858649</v>
      </c>
      <c r="ZQ107" s="0" t="n">
        <f aca="false">ZQ84</f>
        <v>2026.93114624203</v>
      </c>
      <c r="ZR107" s="0" t="n">
        <f aca="false">ZR84</f>
        <v>1745.44459302325</v>
      </c>
      <c r="ZS107" s="0" t="n">
        <f aca="false">ZS84</f>
        <v>2457.47555985584</v>
      </c>
      <c r="ZT107" s="0" t="n">
        <f aca="false">ZT84</f>
        <v>2096.57733979149</v>
      </c>
      <c r="ZU107" s="0" t="n">
        <f aca="false">ZU84</f>
        <v>1890.05521284924</v>
      </c>
      <c r="ZV107" s="0" t="n">
        <f aca="false">ZV84</f>
        <v>2014.36449383695</v>
      </c>
      <c r="ZW107" s="0" t="n">
        <f aca="false">ZW84</f>
        <v>2055.13047162207</v>
      </c>
      <c r="ZX107" s="0" t="n">
        <f aca="false">ZX84</f>
        <v>2408.78080515939</v>
      </c>
      <c r="ZY107" s="0" t="n">
        <f aca="false">ZY84</f>
        <v>1732.07459224872</v>
      </c>
      <c r="ZZ107" s="0" t="n">
        <f aca="false">ZZ84</f>
        <v>2048.95607644643</v>
      </c>
      <c r="AAA107" s="0" t="n">
        <f aca="false">AAA84</f>
        <v>1899.65065223191</v>
      </c>
      <c r="AAB107" s="0" t="n">
        <f aca="false">AAB84</f>
        <v>2008.77483855615</v>
      </c>
      <c r="AAC107" s="0" t="n">
        <f aca="false">AAC84</f>
        <v>1607.68932526991</v>
      </c>
      <c r="AAD107" s="0" t="n">
        <f aca="false">AAD84</f>
        <v>2171.40239071049</v>
      </c>
      <c r="AAE107" s="0" t="n">
        <f aca="false">AAE84</f>
        <v>1899.30460980382</v>
      </c>
      <c r="AAF107" s="0" t="n">
        <f aca="false">AAF84</f>
        <v>2054.14964156606</v>
      </c>
      <c r="AAG107" s="0" t="n">
        <f aca="false">AAG84</f>
        <v>1939.31546491664</v>
      </c>
      <c r="AAH107" s="0" t="n">
        <f aca="false">AAH84</f>
        <v>2229.86948280855</v>
      </c>
      <c r="AAI107" s="0" t="n">
        <f aca="false">AAI84</f>
        <v>1793.38469815796</v>
      </c>
      <c r="AAJ107" s="0" t="n">
        <f aca="false">AAJ84</f>
        <v>2025.43686893431</v>
      </c>
      <c r="AAK107" s="0" t="n">
        <f aca="false">AAK84</f>
        <v>2276.21330830885</v>
      </c>
      <c r="AAL107" s="0" t="n">
        <f aca="false">AAL84</f>
        <v>2101.58704490647</v>
      </c>
      <c r="AAM107" s="0" t="n">
        <f aca="false">AAM84</f>
        <v>1830.33686565546</v>
      </c>
      <c r="AAN107" s="0" t="n">
        <f aca="false">AAN84</f>
        <v>1757.02846988975</v>
      </c>
      <c r="AAO107" s="0" t="n">
        <f aca="false">AAO84</f>
        <v>2013.45041548566</v>
      </c>
      <c r="AAP107" s="0" t="n">
        <f aca="false">AAP84</f>
        <v>1735.23546566316</v>
      </c>
      <c r="AAQ107" s="0" t="n">
        <f aca="false">AAQ84</f>
        <v>1999.34818170267</v>
      </c>
      <c r="AAR107" s="0" t="n">
        <f aca="false">AAR84</f>
        <v>2404.36780177732</v>
      </c>
      <c r="AAS107" s="0" t="n">
        <f aca="false">AAS84</f>
        <v>2017.14487973846</v>
      </c>
      <c r="AAT107" s="0" t="n">
        <f aca="false">AAT84</f>
        <v>1786.04904260075</v>
      </c>
      <c r="AAU107" s="0" t="n">
        <f aca="false">AAU84</f>
        <v>1769.73893533979</v>
      </c>
      <c r="AAV107" s="0" t="n">
        <f aca="false">AAV84</f>
        <v>2095.75760994236</v>
      </c>
      <c r="AAW107" s="0" t="n">
        <f aca="false">AAW84</f>
        <v>2037.1853430859</v>
      </c>
      <c r="AAX107" s="0" t="n">
        <f aca="false">AAX84</f>
        <v>1937.2582801175</v>
      </c>
      <c r="AAY107" s="0" t="n">
        <f aca="false">AAY84</f>
        <v>2029.95528067009</v>
      </c>
      <c r="AAZ107" s="0" t="n">
        <f aca="false">AAZ84</f>
        <v>2110.69317402279</v>
      </c>
      <c r="ABA107" s="0" t="n">
        <f aca="false">ABA84</f>
        <v>2038.57456641482</v>
      </c>
      <c r="ABB107" s="0" t="n">
        <f aca="false">ABB84</f>
        <v>2123.73514541883</v>
      </c>
      <c r="ABC107" s="0" t="n">
        <f aca="false">ABC84</f>
        <v>2188.89200469932</v>
      </c>
      <c r="ABD107" s="0" t="n">
        <f aca="false">ABD84</f>
        <v>1823.60442545889</v>
      </c>
      <c r="ABE107" s="0" t="n">
        <f aca="false">ABE84</f>
        <v>2089.59357765752</v>
      </c>
      <c r="ABF107" s="0" t="n">
        <f aca="false">ABF84</f>
        <v>1892.09355403289</v>
      </c>
      <c r="ABG107" s="0" t="n">
        <f aca="false">ABG84</f>
        <v>1839.20710388331</v>
      </c>
      <c r="ABH107" s="0" t="n">
        <f aca="false">ABH84</f>
        <v>1887.90443295295</v>
      </c>
      <c r="ABI107" s="0" t="n">
        <f aca="false">ABI84</f>
        <v>1748.77723362638</v>
      </c>
      <c r="ABJ107" s="0" t="n">
        <f aca="false">ABJ84</f>
        <v>2022.14240652573</v>
      </c>
      <c r="ABK107" s="0" t="n">
        <f aca="false">ABK84</f>
        <v>1942.84187407868</v>
      </c>
      <c r="ABL107" s="0" t="n">
        <f aca="false">ABL84</f>
        <v>2057.96453655265</v>
      </c>
      <c r="ABM107" s="0" t="n">
        <f aca="false">ABM84</f>
        <v>2047.95081922008</v>
      </c>
      <c r="ABN107" s="0" t="n">
        <f aca="false">ABN84</f>
        <v>1937.32034661655</v>
      </c>
      <c r="ABO107" s="0" t="n">
        <f aca="false">ABO84</f>
        <v>1744.84580825865</v>
      </c>
      <c r="ABP107" s="0" t="n">
        <f aca="false">ABP84</f>
        <v>2007.64831368585</v>
      </c>
      <c r="ABQ107" s="0" t="n">
        <f aca="false">ABQ84</f>
        <v>1916.92540774273</v>
      </c>
      <c r="ABR107" s="0" t="n">
        <f aca="false">ABR84</f>
        <v>1949.91906338128</v>
      </c>
      <c r="ABS107" s="0" t="n">
        <f aca="false">ABS84</f>
        <v>1615.90964682029</v>
      </c>
      <c r="ABT107" s="0" t="n">
        <f aca="false">ABT84</f>
        <v>1614.09478745902</v>
      </c>
      <c r="ABU107" s="0" t="n">
        <f aca="false">ABU84</f>
        <v>1876.8164105801</v>
      </c>
      <c r="ABV107" s="0" t="n">
        <f aca="false">ABV84</f>
        <v>1698.51592014668</v>
      </c>
      <c r="ABW107" s="0" t="n">
        <f aca="false">ABW84</f>
        <v>2076.92817773771</v>
      </c>
      <c r="ABX107" s="0" t="n">
        <f aca="false">ABX84</f>
        <v>1561.82736485487</v>
      </c>
      <c r="ABY107" s="0" t="n">
        <f aca="false">ABY84</f>
        <v>2007.87637231054</v>
      </c>
      <c r="ABZ107" s="0" t="n">
        <f aca="false">ABZ84</f>
        <v>2050.54992302872</v>
      </c>
      <c r="ACA107" s="0" t="n">
        <f aca="false">ACA84</f>
        <v>1878.28161079744</v>
      </c>
      <c r="ACB107" s="0" t="n">
        <f aca="false">ACB84</f>
        <v>1838.46837738758</v>
      </c>
      <c r="ACC107" s="0" t="n">
        <f aca="false">ACC84</f>
        <v>2037.44644320399</v>
      </c>
      <c r="ACD107" s="0" t="n">
        <f aca="false">ACD84</f>
        <v>2001.51010203503</v>
      </c>
      <c r="ACE107" s="0" t="n">
        <f aca="false">ACE84</f>
        <v>2026.78560657727</v>
      </c>
      <c r="ACF107" s="0" t="n">
        <f aca="false">ACF84</f>
        <v>2298.02491559706</v>
      </c>
      <c r="ACG107" s="0" t="n">
        <f aca="false">ACG84</f>
        <v>2196.728376811</v>
      </c>
      <c r="ACH107" s="0" t="n">
        <f aca="false">ACH84</f>
        <v>1825.9752631559</v>
      </c>
      <c r="ACI107" s="0" t="n">
        <f aca="false">ACI84</f>
        <v>2161.67577075667</v>
      </c>
      <c r="ACJ107" s="0" t="n">
        <f aca="false">ACJ84</f>
        <v>2060.65089334077</v>
      </c>
      <c r="ACK107" s="0" t="n">
        <f aca="false">ACK84</f>
        <v>1917.14692338539</v>
      </c>
      <c r="ACL107" s="0" t="n">
        <f aca="false">ACL84</f>
        <v>2395.84079848261</v>
      </c>
      <c r="ACM107" s="0" t="n">
        <f aca="false">ACM84</f>
        <v>1953.52415936103</v>
      </c>
      <c r="ACN107" s="0" t="n">
        <f aca="false">ACN84</f>
        <v>1818.33652656535</v>
      </c>
      <c r="ACO107" s="0" t="n">
        <f aca="false">ACO84</f>
        <v>1873.24865894391</v>
      </c>
      <c r="ACP107" s="0" t="n">
        <f aca="false">ACP84</f>
        <v>2126.81510484264</v>
      </c>
      <c r="ACQ107" s="0" t="n">
        <f aca="false">ACQ84</f>
        <v>1793.77880444569</v>
      </c>
      <c r="ACR107" s="0" t="n">
        <f aca="false">ACR84</f>
        <v>1981.49529664509</v>
      </c>
      <c r="ACS107" s="0" t="n">
        <f aca="false">ACS84</f>
        <v>2021.42288868329</v>
      </c>
      <c r="ACT107" s="0" t="n">
        <f aca="false">ACT84</f>
        <v>2005.41772528103</v>
      </c>
      <c r="ACU107" s="0" t="n">
        <f aca="false">ACU84</f>
        <v>1898.00302674558</v>
      </c>
      <c r="ACV107" s="0" t="n">
        <f aca="false">ACV84</f>
        <v>1848.25872500718</v>
      </c>
      <c r="ACW107" s="0" t="n">
        <f aca="false">ACW84</f>
        <v>2146.29571082939</v>
      </c>
      <c r="ACX107" s="0" t="n">
        <f aca="false">ACX84</f>
        <v>2010.56205034904</v>
      </c>
      <c r="ACY107" s="0" t="n">
        <f aca="false">ACY84</f>
        <v>2399.50773668481</v>
      </c>
      <c r="ACZ107" s="0" t="n">
        <f aca="false">ACZ84</f>
        <v>2118.31941744168</v>
      </c>
      <c r="ADA107" s="0" t="n">
        <f aca="false">ADA84</f>
        <v>1886.77592626778</v>
      </c>
      <c r="ADB107" s="0" t="n">
        <f aca="false">ADB84</f>
        <v>2185.40721012317</v>
      </c>
      <c r="ADC107" s="0" t="n">
        <f aca="false">ADC84</f>
        <v>1899.35609347175</v>
      </c>
      <c r="ADD107" s="0" t="n">
        <f aca="false">ADD84</f>
        <v>2119.50685882931</v>
      </c>
      <c r="ADE107" s="0" t="n">
        <f aca="false">ADE84</f>
        <v>2279.18912531972</v>
      </c>
      <c r="ADF107" s="0" t="n">
        <f aca="false">ADF84</f>
        <v>1854.16012746383</v>
      </c>
      <c r="ADG107" s="0" t="n">
        <f aca="false">ADG84</f>
        <v>1664.10584025426</v>
      </c>
      <c r="ADH107" s="0" t="n">
        <f aca="false">ADH84</f>
        <v>1982.23549791044</v>
      </c>
      <c r="ADI107" s="0" t="n">
        <f aca="false">ADI84</f>
        <v>1787.28607891842</v>
      </c>
      <c r="ADJ107" s="0" t="n">
        <f aca="false">ADJ84</f>
        <v>1714.5249296876</v>
      </c>
      <c r="ADK107" s="0" t="n">
        <f aca="false">ADK84</f>
        <v>1953.14517089759</v>
      </c>
      <c r="ADL107" s="0" t="n">
        <f aca="false">ADL84</f>
        <v>1437.95684210724</v>
      </c>
      <c r="ADM107" s="0" t="n">
        <f aca="false">ADM84</f>
        <v>1958.21721559109</v>
      </c>
      <c r="ADN107" s="0" t="n">
        <f aca="false">ADN84</f>
        <v>2150.16066794599</v>
      </c>
      <c r="ADO107" s="0" t="n">
        <f aca="false">ADO84</f>
        <v>2171.40649104793</v>
      </c>
      <c r="ADP107" s="0" t="n">
        <f aca="false">ADP84</f>
        <v>2041.90927048766</v>
      </c>
      <c r="ADQ107" s="0" t="n">
        <f aca="false">ADQ84</f>
        <v>1908.26702584467</v>
      </c>
      <c r="ADR107" s="0" t="n">
        <f aca="false">ADR84</f>
        <v>1714.05226992828</v>
      </c>
      <c r="ADS107" s="0" t="n">
        <f aca="false">ADS84</f>
        <v>1794.17430485211</v>
      </c>
      <c r="ADT107" s="0" t="n">
        <f aca="false">ADT84</f>
        <v>1687.36365820881</v>
      </c>
      <c r="ADU107" s="0" t="n">
        <f aca="false">ADU84</f>
        <v>2023.75166260983</v>
      </c>
      <c r="ADV107" s="0" t="n">
        <f aca="false">ADV84</f>
        <v>2092.60529695778</v>
      </c>
      <c r="ADW107" s="0" t="n">
        <f aca="false">ADW84</f>
        <v>2256.49110087654</v>
      </c>
      <c r="ADX107" s="0" t="n">
        <f aca="false">ADX84</f>
        <v>2364.96043685854</v>
      </c>
      <c r="ADY107" s="0" t="n">
        <f aca="false">ADY84</f>
        <v>1605.80266559813</v>
      </c>
      <c r="ADZ107" s="0" t="n">
        <f aca="false">ADZ84</f>
        <v>1771.44132402483</v>
      </c>
      <c r="AEA107" s="0" t="n">
        <f aca="false">AEA84</f>
        <v>1978.72685966264</v>
      </c>
      <c r="AEB107" s="0" t="n">
        <f aca="false">AEB84</f>
        <v>2112.04607478528</v>
      </c>
      <c r="AEC107" s="0" t="n">
        <f aca="false">AEC84</f>
        <v>1953.55110514778</v>
      </c>
      <c r="AED107" s="0" t="n">
        <f aca="false">AED84</f>
        <v>2007.16209222726</v>
      </c>
      <c r="AEE107" s="0" t="n">
        <f aca="false">AEE84</f>
        <v>2052.46782367048</v>
      </c>
      <c r="AEF107" s="0" t="n">
        <f aca="false">AEF84</f>
        <v>1790.34158081723</v>
      </c>
      <c r="AEG107" s="0" t="n">
        <f aca="false">AEG84</f>
        <v>1642.86296805127</v>
      </c>
      <c r="AEH107" s="0" t="n">
        <f aca="false">AEH84</f>
        <v>1985.88876541009</v>
      </c>
      <c r="AEI107" s="0" t="n">
        <f aca="false">AEI84</f>
        <v>2181.45408002683</v>
      </c>
      <c r="AEJ107" s="0" t="n">
        <f aca="false">AEJ84</f>
        <v>2045.92379680014</v>
      </c>
      <c r="AEK107" s="0" t="n">
        <f aca="false">AEK84</f>
        <v>1726.979827763</v>
      </c>
      <c r="AEL107" s="0" t="n">
        <f aca="false">AEL84</f>
        <v>1998.91474622088</v>
      </c>
      <c r="AEM107" s="0" t="n">
        <f aca="false">AEM84</f>
        <v>1929.28441959587</v>
      </c>
      <c r="AEN107" s="0" t="n">
        <f aca="false">AEN84</f>
        <v>2331.77288706225</v>
      </c>
      <c r="AEO107" s="0" t="n">
        <f aca="false">AEO84</f>
        <v>1944.06811668253</v>
      </c>
      <c r="AEP107" s="0" t="n">
        <f aca="false">AEP84</f>
        <v>1832.82895793918</v>
      </c>
      <c r="AEQ107" s="0" t="n">
        <f aca="false">AEQ84</f>
        <v>1971.82728924302</v>
      </c>
      <c r="AER107" s="0" t="n">
        <f aca="false">AER84</f>
        <v>2286.13319920614</v>
      </c>
      <c r="AES107" s="0" t="n">
        <f aca="false">AES84</f>
        <v>1658.39468186323</v>
      </c>
      <c r="AET107" s="0" t="n">
        <f aca="false">AET84</f>
        <v>1999.00360067186</v>
      </c>
      <c r="AEU107" s="0" t="n">
        <f aca="false">AEU84</f>
        <v>1734.17163331154</v>
      </c>
      <c r="AEV107" s="0" t="n">
        <f aca="false">AEV84</f>
        <v>1721.19136050882</v>
      </c>
      <c r="AEW107" s="0" t="n">
        <f aca="false">AEW84</f>
        <v>1620.13203370466</v>
      </c>
      <c r="AEX107" s="0" t="n">
        <f aca="false">AEX84</f>
        <v>1583.57681762514</v>
      </c>
      <c r="AEY107" s="0" t="n">
        <f aca="false">AEY84</f>
        <v>2213.18303379611</v>
      </c>
      <c r="AEZ107" s="0" t="n">
        <f aca="false">AEZ84</f>
        <v>1826.52075595043</v>
      </c>
      <c r="AFA107" s="0" t="n">
        <f aca="false">AFA84</f>
        <v>2154.07174773596</v>
      </c>
      <c r="AFB107" s="0" t="n">
        <f aca="false">AFB84</f>
        <v>2014.67238076881</v>
      </c>
      <c r="AFC107" s="0" t="n">
        <f aca="false">AFC84</f>
        <v>2035.36482723105</v>
      </c>
      <c r="AFD107" s="0" t="n">
        <f aca="false">AFD84</f>
        <v>1854.89562718363</v>
      </c>
      <c r="AFE107" s="0" t="n">
        <f aca="false">AFE84</f>
        <v>2333.09522352237</v>
      </c>
      <c r="AFF107" s="0" t="n">
        <f aca="false">AFF84</f>
        <v>1931.68842824852</v>
      </c>
      <c r="AFG107" s="0" t="n">
        <f aca="false">AFG84</f>
        <v>2105.68070769509</v>
      </c>
      <c r="AFH107" s="0" t="n">
        <f aca="false">AFH84</f>
        <v>1980.42416610221</v>
      </c>
      <c r="AFI107" s="0" t="n">
        <f aca="false">AFI84</f>
        <v>1920.57837654293</v>
      </c>
      <c r="AFJ107" s="0" t="n">
        <f aca="false">AFJ84</f>
        <v>2046.86843334439</v>
      </c>
      <c r="AFK107" s="0" t="n">
        <f aca="false">AFK84</f>
        <v>1951.85220074475</v>
      </c>
      <c r="AFL107" s="0" t="n">
        <f aca="false">AFL84</f>
        <v>1825.47257112577</v>
      </c>
      <c r="AFM107" s="0" t="n">
        <f aca="false">AFM84</f>
        <v>2224.32967096882</v>
      </c>
      <c r="AFN107" s="0" t="n">
        <f aca="false">AFN84</f>
        <v>1937.16309090966</v>
      </c>
      <c r="AFO107" s="0" t="n">
        <f aca="false">AFO84</f>
        <v>1900.00217502477</v>
      </c>
      <c r="AFP107" s="0" t="n">
        <f aca="false">AFP84</f>
        <v>1974.96142977967</v>
      </c>
      <c r="AFQ107" s="0" t="n">
        <f aca="false">AFQ84</f>
        <v>1847.4340805811</v>
      </c>
      <c r="AFR107" s="0" t="n">
        <f aca="false">AFR84</f>
        <v>1744.99969218289</v>
      </c>
      <c r="AFS107" s="0" t="n">
        <f aca="false">AFS84</f>
        <v>2241.0713274642</v>
      </c>
      <c r="AFT107" s="0" t="n">
        <f aca="false">AFT84</f>
        <v>2334.27625599849</v>
      </c>
      <c r="AFU107" s="0" t="n">
        <f aca="false">AFU84</f>
        <v>1810.01843737496</v>
      </c>
      <c r="AFV107" s="0" t="n">
        <f aca="false">AFV84</f>
        <v>2222.86337357487</v>
      </c>
      <c r="AFW107" s="0" t="n">
        <f aca="false">AFW84</f>
        <v>2034.50695342309</v>
      </c>
      <c r="AFX107" s="0" t="n">
        <f aca="false">AFX84</f>
        <v>2258.0034246102</v>
      </c>
      <c r="AFY107" s="0" t="n">
        <f aca="false">AFY84</f>
        <v>1985.1574390114</v>
      </c>
      <c r="AFZ107" s="0" t="n">
        <f aca="false">AFZ84</f>
        <v>2087.00734644974</v>
      </c>
      <c r="AGA107" s="0" t="n">
        <f aca="false">AGA84</f>
        <v>2130.45189826018</v>
      </c>
      <c r="AGB107" s="0" t="n">
        <f aca="false">AGB84</f>
        <v>1779.33881655757</v>
      </c>
      <c r="AGC107" s="0" t="n">
        <f aca="false">AGC84</f>
        <v>2024.89744390591</v>
      </c>
      <c r="AGD107" s="0" t="n">
        <f aca="false">AGD84</f>
        <v>1522.94597308455</v>
      </c>
      <c r="AGE107" s="0" t="n">
        <f aca="false">AGE84</f>
        <v>2263.77145922326</v>
      </c>
      <c r="AGF107" s="0" t="n">
        <f aca="false">AGF84</f>
        <v>2061.57180182724</v>
      </c>
      <c r="AGG107" s="0" t="n">
        <f aca="false">AGG84</f>
        <v>2093.64559430563</v>
      </c>
      <c r="AGH107" s="0" t="n">
        <f aca="false">AGH84</f>
        <v>2136.97033269743</v>
      </c>
      <c r="AGI107" s="0" t="n">
        <f aca="false">AGI84</f>
        <v>2238.42793351551</v>
      </c>
      <c r="AGJ107" s="0" t="n">
        <f aca="false">AGJ84</f>
        <v>2265.21110876414</v>
      </c>
      <c r="AGK107" s="0" t="n">
        <f aca="false">AGK84</f>
        <v>2093.25818461829</v>
      </c>
      <c r="AGL107" s="0" t="n">
        <f aca="false">AGL84</f>
        <v>2219.57323132642</v>
      </c>
      <c r="AGM107" s="0" t="n">
        <f aca="false">AGM84</f>
        <v>1803.71648976869</v>
      </c>
      <c r="AGN107" s="0" t="n">
        <f aca="false">AGN84</f>
        <v>1998.94548545033</v>
      </c>
      <c r="AGO107" s="0" t="n">
        <f aca="false">AGO84</f>
        <v>2128.91562239532</v>
      </c>
      <c r="AGP107" s="0" t="n">
        <f aca="false">AGP84</f>
        <v>2141.80534417905</v>
      </c>
      <c r="AGQ107" s="0" t="n">
        <f aca="false">AGQ84</f>
        <v>1750.86183804174</v>
      </c>
      <c r="AGR107" s="0" t="n">
        <f aca="false">AGR84</f>
        <v>2027.68017606747</v>
      </c>
      <c r="AGS107" s="0" t="n">
        <f aca="false">AGS84</f>
        <v>1832.17224580132</v>
      </c>
      <c r="AGT107" s="0" t="n">
        <f aca="false">AGT84</f>
        <v>2255.2201437326</v>
      </c>
      <c r="AGU107" s="0" t="n">
        <f aca="false">AGU84</f>
        <v>1923.98120030287</v>
      </c>
      <c r="AGV107" s="0" t="n">
        <f aca="false">AGV84</f>
        <v>1791.25386366819</v>
      </c>
      <c r="AGW107" s="0" t="n">
        <f aca="false">AGW84</f>
        <v>2192.99428870968</v>
      </c>
      <c r="AGX107" s="0" t="n">
        <f aca="false">AGX84</f>
        <v>2190.0022695358</v>
      </c>
      <c r="AGY107" s="0" t="n">
        <f aca="false">AGY84</f>
        <v>1979.13144135159</v>
      </c>
      <c r="AGZ107" s="0" t="n">
        <f aca="false">AGZ84</f>
        <v>2118.4631965445</v>
      </c>
      <c r="AHA107" s="0" t="n">
        <f aca="false">AHA84</f>
        <v>2460.17903464289</v>
      </c>
      <c r="AHB107" s="0" t="n">
        <f aca="false">AHB84</f>
        <v>1954.27731890456</v>
      </c>
      <c r="AHC107" s="0" t="n">
        <f aca="false">AHC84</f>
        <v>2312.30615172927</v>
      </c>
      <c r="AHD107" s="0" t="n">
        <f aca="false">AHD84</f>
        <v>2069.4074320546</v>
      </c>
      <c r="AHE107" s="0" t="n">
        <f aca="false">AHE84</f>
        <v>1897.10986478659</v>
      </c>
      <c r="AHF107" s="0" t="n">
        <f aca="false">AHF84</f>
        <v>2362.52007824867</v>
      </c>
      <c r="AHG107" s="0" t="n">
        <f aca="false">AHG84</f>
        <v>1848.16981554998</v>
      </c>
      <c r="AHH107" s="0" t="n">
        <f aca="false">AHH84</f>
        <v>1681.96856693247</v>
      </c>
      <c r="AHI107" s="0" t="n">
        <f aca="false">AHI84</f>
        <v>2161.96499342559</v>
      </c>
      <c r="AHJ107" s="0" t="n">
        <f aca="false">AHJ84</f>
        <v>1874.79817370746</v>
      </c>
      <c r="AHK107" s="0" t="n">
        <f aca="false">AHK84</f>
        <v>2130.71063908579</v>
      </c>
      <c r="AHL107" s="0" t="n">
        <f aca="false">AHL84</f>
        <v>2100.25934840973</v>
      </c>
      <c r="AHM107" s="0" t="n">
        <f aca="false">AHM84</f>
        <v>1975.49900490244</v>
      </c>
      <c r="AHN107" s="0" t="n">
        <f aca="false">AHN84</f>
        <v>2117.09744251389</v>
      </c>
      <c r="AHO107" s="0" t="n">
        <f aca="false">AHO84</f>
        <v>1947.37322193535</v>
      </c>
      <c r="AHP107" s="0" t="n">
        <f aca="false">AHP84</f>
        <v>2430.03506964238</v>
      </c>
      <c r="AHQ107" s="0" t="n">
        <f aca="false">AHQ84</f>
        <v>2044.34923663023</v>
      </c>
      <c r="AHR107" s="0" t="n">
        <f aca="false">AHR84</f>
        <v>2273.53671011929</v>
      </c>
      <c r="AHS107" s="0" t="n">
        <f aca="false">AHS84</f>
        <v>1837.63249387745</v>
      </c>
      <c r="AHT107" s="0" t="n">
        <f aca="false">AHT84</f>
        <v>2043.0230045289</v>
      </c>
      <c r="AHU107" s="0" t="n">
        <f aca="false">AHU84</f>
        <v>1963.36304657905</v>
      </c>
      <c r="AHV107" s="0" t="n">
        <f aca="false">AHV84</f>
        <v>1857.74315237961</v>
      </c>
      <c r="AHW107" s="0" t="n">
        <f aca="false">AHW84</f>
        <v>1828.0668447199</v>
      </c>
      <c r="AHX107" s="0" t="n">
        <f aca="false">AHX84</f>
        <v>2108.88302991375</v>
      </c>
      <c r="AHY107" s="0" t="n">
        <f aca="false">AHY84</f>
        <v>2088.99752054489</v>
      </c>
      <c r="AHZ107" s="0" t="n">
        <f aca="false">AHZ84</f>
        <v>1632.40936795496</v>
      </c>
      <c r="AIA107" s="0" t="n">
        <f aca="false">AIA84</f>
        <v>2056.04837144785</v>
      </c>
      <c r="AIB107" s="0" t="n">
        <f aca="false">AIB84</f>
        <v>1861.11433763657</v>
      </c>
      <c r="AIC107" s="0" t="n">
        <f aca="false">AIC84</f>
        <v>1932.3482539128</v>
      </c>
      <c r="AID107" s="0" t="n">
        <f aca="false">AID84</f>
        <v>2305.58827345614</v>
      </c>
      <c r="AIE107" s="0" t="n">
        <f aca="false">AIE84</f>
        <v>2046.855756629</v>
      </c>
      <c r="AIF107" s="0" t="n">
        <f aca="false">AIF84</f>
        <v>1787.99200285421</v>
      </c>
      <c r="AIG107" s="0" t="n">
        <f aca="false">AIG84</f>
        <v>1928.06919356812</v>
      </c>
      <c r="AIH107" s="0" t="n">
        <f aca="false">AIH84</f>
        <v>1666.06449903562</v>
      </c>
      <c r="AII107" s="0" t="n">
        <f aca="false">AII84</f>
        <v>1976.27946892264</v>
      </c>
      <c r="AIJ107" s="0" t="n">
        <f aca="false">AIJ84</f>
        <v>1953.1943271863</v>
      </c>
      <c r="AIK107" s="0" t="n">
        <f aca="false">AIK84</f>
        <v>2180.05279396416</v>
      </c>
      <c r="AIL107" s="0" t="n">
        <f aca="false">AIL84</f>
        <v>1988.58875146705</v>
      </c>
      <c r="AIM107" s="0" t="n">
        <f aca="false">AIM84</f>
        <v>1896.02325183742</v>
      </c>
      <c r="AIN107" s="0" t="n">
        <f aca="false">AIN84</f>
        <v>1949.11056706483</v>
      </c>
      <c r="AIO107" s="0" t="n">
        <f aca="false">AIO84</f>
        <v>2114.79645249296</v>
      </c>
      <c r="AIP107" s="0" t="n">
        <f aca="false">AIP84</f>
        <v>2231.47753813518</v>
      </c>
      <c r="AIQ107" s="0" t="n">
        <f aca="false">AIQ84</f>
        <v>2001.4633821543</v>
      </c>
      <c r="AIR107" s="0" t="n">
        <f aca="false">AIR84</f>
        <v>1987.12748234633</v>
      </c>
      <c r="AIS107" s="0" t="n">
        <f aca="false">AIS84</f>
        <v>2188.791361501</v>
      </c>
      <c r="AIT107" s="0" t="n">
        <f aca="false">AIT84</f>
        <v>2083.19243546664</v>
      </c>
      <c r="AIU107" s="0" t="n">
        <f aca="false">AIU84</f>
        <v>1734.88368669733</v>
      </c>
      <c r="AIV107" s="0" t="n">
        <f aca="false">AIV84</f>
        <v>2020.46552957736</v>
      </c>
      <c r="AIW107" s="0" t="n">
        <f aca="false">AIW84</f>
        <v>2626.45356948054</v>
      </c>
      <c r="AIX107" s="0" t="n">
        <f aca="false">AIX84</f>
        <v>1906.24598620502</v>
      </c>
      <c r="AIY107" s="0" t="n">
        <f aca="false">AIY84</f>
        <v>1974.96019057252</v>
      </c>
      <c r="AIZ107" s="0" t="n">
        <f aca="false">AIZ84</f>
        <v>2073.66300495292</v>
      </c>
      <c r="AJA107" s="0" t="n">
        <f aca="false">AJA84</f>
        <v>2251.36283220001</v>
      </c>
      <c r="AJB107" s="0" t="n">
        <f aca="false">AJB84</f>
        <v>2170.29500154954</v>
      </c>
      <c r="AJC107" s="0" t="n">
        <f aca="false">AJC84</f>
        <v>1962.09194014411</v>
      </c>
      <c r="AJD107" s="0" t="n">
        <f aca="false">AJD84</f>
        <v>1738.73193558901</v>
      </c>
      <c r="AJE107" s="0" t="n">
        <f aca="false">AJE84</f>
        <v>2176.18139636191</v>
      </c>
      <c r="AJF107" s="0" t="n">
        <f aca="false">AJF84</f>
        <v>2146.15838934952</v>
      </c>
      <c r="AJG107" s="0" t="n">
        <f aca="false">AJG84</f>
        <v>1351.16099762365</v>
      </c>
      <c r="AJH107" s="0" t="n">
        <f aca="false">AJH84</f>
        <v>1930.42049824284</v>
      </c>
      <c r="AJI107" s="0" t="n">
        <f aca="false">AJI84</f>
        <v>2087.50537356996</v>
      </c>
      <c r="AJJ107" s="0" t="n">
        <f aca="false">AJJ84</f>
        <v>2041.40076350453</v>
      </c>
      <c r="AJK107" s="0" t="n">
        <f aca="false">AJK84</f>
        <v>2084.45670524142</v>
      </c>
      <c r="AJL107" s="0" t="n">
        <f aca="false">AJL84</f>
        <v>2131.55078967584</v>
      </c>
      <c r="AJM107" s="0" t="n">
        <f aca="false">AJM84</f>
        <v>2081.88608672817</v>
      </c>
      <c r="AJN107" s="0" t="n">
        <f aca="false">AJN84</f>
        <v>2175.16531742934</v>
      </c>
      <c r="AJO107" s="0" t="n">
        <f aca="false">AJO84</f>
        <v>2087.92190683535</v>
      </c>
      <c r="AJP107" s="0" t="n">
        <f aca="false">AJP84</f>
        <v>2274.22432099033</v>
      </c>
      <c r="AJQ107" s="0" t="n">
        <f aca="false">AJQ84</f>
        <v>2004.35298114269</v>
      </c>
      <c r="AJR107" s="0" t="n">
        <f aca="false">AJR84</f>
        <v>1861.30391592023</v>
      </c>
      <c r="AJS107" s="0" t="n">
        <f aca="false">AJS84</f>
        <v>1957.98130701259</v>
      </c>
      <c r="AJT107" s="0" t="n">
        <f aca="false">AJT84</f>
        <v>1809.42681870595</v>
      </c>
      <c r="AJU107" s="0" t="n">
        <f aca="false">AJU84</f>
        <v>2412.70626493403</v>
      </c>
      <c r="AJV107" s="0" t="n">
        <f aca="false">AJV84</f>
        <v>1889.67954490865</v>
      </c>
      <c r="AJW107" s="0" t="n">
        <f aca="false">AJW84</f>
        <v>2039.96984824824</v>
      </c>
      <c r="AJX107" s="0" t="n">
        <f aca="false">AJX84</f>
        <v>1890.24823012183</v>
      </c>
      <c r="AJY107" s="0" t="n">
        <f aca="false">AJY84</f>
        <v>2065.85646376888</v>
      </c>
      <c r="AJZ107" s="0" t="n">
        <f aca="false">AJZ84</f>
        <v>1694.99737974859</v>
      </c>
      <c r="AKA107" s="0" t="n">
        <f aca="false">AKA84</f>
        <v>2150.70110060627</v>
      </c>
      <c r="AKB107" s="0" t="n">
        <f aca="false">AKB84</f>
        <v>1703.56583592597</v>
      </c>
      <c r="AKC107" s="0" t="n">
        <f aca="false">AKC84</f>
        <v>2130.27442119582</v>
      </c>
      <c r="AKD107" s="0" t="n">
        <f aca="false">AKD84</f>
        <v>1778.86019672753</v>
      </c>
      <c r="AKE107" s="0" t="n">
        <f aca="false">AKE84</f>
        <v>2128.73634701715</v>
      </c>
      <c r="AKF107" s="0" t="n">
        <f aca="false">AKF84</f>
        <v>2195.83801788089</v>
      </c>
      <c r="AKG107" s="0" t="n">
        <f aca="false">AKG84</f>
        <v>1870.11272203807</v>
      </c>
      <c r="AKH107" s="0" t="n">
        <f aca="false">AKH84</f>
        <v>2167.41414774251</v>
      </c>
      <c r="AKI107" s="0" t="n">
        <f aca="false">AKI84</f>
        <v>1743.49448741526</v>
      </c>
      <c r="AKJ107" s="0" t="n">
        <f aca="false">AKJ84</f>
        <v>1566.81869421458</v>
      </c>
      <c r="AKK107" s="0" t="n">
        <f aca="false">AKK84</f>
        <v>1716.55687832383</v>
      </c>
      <c r="AKL107" s="0" t="n">
        <f aca="false">AKL84</f>
        <v>1825.1514494711</v>
      </c>
      <c r="AKM107" s="0" t="n">
        <f aca="false">AKM84</f>
        <v>2082.80922998423</v>
      </c>
      <c r="AKN107" s="0" t="n">
        <f aca="false">AKN84</f>
        <v>2079.57963981888</v>
      </c>
      <c r="AKO107" s="0" t="n">
        <f aca="false">AKO84</f>
        <v>2068.76369601886</v>
      </c>
      <c r="AKP107" s="0" t="n">
        <f aca="false">AKP84</f>
        <v>1702.67097951507</v>
      </c>
      <c r="AKQ107" s="0" t="n">
        <f aca="false">AKQ84</f>
        <v>2078.72796351174</v>
      </c>
      <c r="AKR107" s="0" t="n">
        <f aca="false">AKR84</f>
        <v>2038.92665481929</v>
      </c>
      <c r="AKS107" s="0" t="n">
        <f aca="false">AKS84</f>
        <v>1947.22224204843</v>
      </c>
      <c r="AKT107" s="0" t="n">
        <f aca="false">AKT84</f>
        <v>2109.01071330718</v>
      </c>
      <c r="AKU107" s="0" t="n">
        <f aca="false">AKU84</f>
        <v>1886.83137788425</v>
      </c>
      <c r="AKV107" s="0" t="n">
        <f aca="false">AKV84</f>
        <v>2067.34304806488</v>
      </c>
      <c r="AKW107" s="0" t="n">
        <f aca="false">AKW84</f>
        <v>2018.3407593538</v>
      </c>
      <c r="AKX107" s="0" t="n">
        <f aca="false">AKX84</f>
        <v>1860.86047517748</v>
      </c>
      <c r="AKY107" s="0" t="n">
        <f aca="false">AKY84</f>
        <v>2365.06961336826</v>
      </c>
      <c r="AKZ107" s="0" t="n">
        <f aca="false">AKZ84</f>
        <v>1662.53686252823</v>
      </c>
      <c r="ALA107" s="0" t="n">
        <f aca="false">ALA84</f>
        <v>2069.59365620317</v>
      </c>
      <c r="ALB107" s="0" t="n">
        <f aca="false">ALB84</f>
        <v>2184.12952372182</v>
      </c>
      <c r="ALC107" s="0" t="n">
        <f aca="false">ALC84</f>
        <v>2069.76127562438</v>
      </c>
      <c r="ALD107" s="0" t="n">
        <f aca="false">ALD84</f>
        <v>2014.6277604056</v>
      </c>
      <c r="ALE107" s="0" t="n">
        <f aca="false">ALE84</f>
        <v>1846.45102509334</v>
      </c>
      <c r="ALF107" s="0" t="n">
        <f aca="false">ALF84</f>
        <v>1669.42788505237</v>
      </c>
      <c r="ALG107" s="0" t="n">
        <f aca="false">ALG84</f>
        <v>2209.16281171715</v>
      </c>
      <c r="ALH107" s="0" t="n">
        <f aca="false">ALH84</f>
        <v>2305.60927280798</v>
      </c>
      <c r="ALI107" s="0" t="n">
        <f aca="false">ALI84</f>
        <v>2053.86475022057</v>
      </c>
      <c r="ALJ107" s="0" t="n">
        <f aca="false">ALJ84</f>
        <v>2098.41584994579</v>
      </c>
      <c r="ALK107" s="0" t="n">
        <f aca="false">ALK84</f>
        <v>1922.63626742509</v>
      </c>
      <c r="ALL107" s="0" t="n">
        <f aca="false">ALL84</f>
        <v>1763.88859085052</v>
      </c>
      <c r="ALM107" s="0" t="n">
        <f aca="false">ALM84</f>
        <v>1831.03770653341</v>
      </c>
    </row>
    <row r="108" customFormat="false" ht="14.5" hidden="false" customHeight="false" outlineLevel="0" collapsed="false">
      <c r="A108" s="112" t="s">
        <v>98</v>
      </c>
      <c r="B108" s="0" t="n">
        <f aca="false">-(B107-$F$59)*$B$75</f>
        <v>-37.3940852861042</v>
      </c>
      <c r="C108" s="0" t="n">
        <f aca="false">-(C107-$F$59)*$B$75</f>
        <v>-12.2751507632964</v>
      </c>
      <c r="D108" s="0" t="n">
        <f aca="false">-(D107-$F$59)*$B$75</f>
        <v>-83.5165400760901</v>
      </c>
      <c r="E108" s="0" t="n">
        <f aca="false">-(E107-$F$59)*$B$75</f>
        <v>-48.6365346175429</v>
      </c>
      <c r="F108" s="0" t="n">
        <f aca="false">-(F107-$F$59)*$B$75</f>
        <v>-13.8364768336965</v>
      </c>
      <c r="G108" s="0" t="n">
        <f aca="false">-(G107-$F$59)*$B$75</f>
        <v>-72.8490812291891</v>
      </c>
      <c r="H108" s="0" t="n">
        <f aca="false">-(H107-$F$59)*$B$75</f>
        <v>23.3871229353116</v>
      </c>
      <c r="I108" s="0" t="n">
        <f aca="false">-(I107-$F$59)*$B$75</f>
        <v>-98.3161015210282</v>
      </c>
      <c r="J108" s="0" t="n">
        <f aca="false">-(J107-$F$59)*$B$75</f>
        <v>-28.2529301987559</v>
      </c>
      <c r="K108" s="0" t="n">
        <f aca="false">-(K107-$F$59)*$B$75</f>
        <v>95.3751515988939</v>
      </c>
      <c r="L108" s="0" t="n">
        <f aca="false">-(L107-$F$59)*$B$75</f>
        <v>3.40963063037952</v>
      </c>
      <c r="M108" s="0" t="n">
        <f aca="false">-(M107-$F$59)*$B$75</f>
        <v>-37.1324568984453</v>
      </c>
      <c r="N108" s="0" t="n">
        <f aca="false">-(N107-$F$59)*$B$75</f>
        <v>52.0843015231523</v>
      </c>
      <c r="O108" s="0" t="n">
        <f aca="false">-(O107-$F$59)*$B$75</f>
        <v>62.9453612600582</v>
      </c>
      <c r="P108" s="0" t="n">
        <f aca="false">-(P107-$F$59)*$B$75</f>
        <v>-63.9206727765879</v>
      </c>
      <c r="Q108" s="0" t="n">
        <f aca="false">-(Q107-$F$59)*$B$75</f>
        <v>132.003695063463</v>
      </c>
      <c r="R108" s="0" t="n">
        <f aca="false">-(R107-$F$59)*$B$75</f>
        <v>103.481801190724</v>
      </c>
      <c r="S108" s="0" t="n">
        <f aca="false">-(S107-$F$59)*$B$75</f>
        <v>115.852156572421</v>
      </c>
      <c r="T108" s="0" t="n">
        <f aca="false">-(T107-$F$59)*$B$75</f>
        <v>49.0565743382527</v>
      </c>
      <c r="U108" s="0" t="n">
        <f aca="false">-(U107-$F$59)*$B$75</f>
        <v>156.484969377318</v>
      </c>
      <c r="V108" s="0" t="n">
        <f aca="false">-(V107-$F$59)*$B$75</f>
        <v>37.2824176599204</v>
      </c>
      <c r="W108" s="0" t="n">
        <f aca="false">-(W107-$F$59)*$B$75</f>
        <v>-32.1566319523645</v>
      </c>
      <c r="X108" s="0" t="n">
        <f aca="false">-(X107-$F$59)*$B$75</f>
        <v>-63.9020278076378</v>
      </c>
      <c r="Y108" s="0" t="n">
        <f aca="false">-(Y107-$F$59)*$B$75</f>
        <v>3.81424605495695</v>
      </c>
      <c r="Z108" s="0" t="n">
        <f aca="false">-(Z107-$F$59)*$B$75</f>
        <v>-110.120545164769</v>
      </c>
      <c r="AA108" s="0" t="n">
        <f aca="false">-(AA107-$F$59)*$B$75</f>
        <v>-125.406490396109</v>
      </c>
      <c r="AB108" s="0" t="n">
        <f aca="false">-(AB107-$F$59)*$B$75</f>
        <v>-149.396016772632</v>
      </c>
      <c r="AC108" s="0" t="n">
        <f aca="false">-(AC107-$F$59)*$B$75</f>
        <v>121.132511490235</v>
      </c>
      <c r="AD108" s="0" t="n">
        <f aca="false">-(AD107-$F$59)*$B$75</f>
        <v>-54.409489598485</v>
      </c>
      <c r="AE108" s="0" t="n">
        <f aca="false">-(AE107-$F$59)*$B$75</f>
        <v>14.9652498966079</v>
      </c>
      <c r="AF108" s="0" t="n">
        <f aca="false">-(AF107-$F$59)*$B$75</f>
        <v>128.180045854333</v>
      </c>
      <c r="AG108" s="0" t="n">
        <f aca="false">-(AG107-$F$59)*$B$75</f>
        <v>-64.9819192881194</v>
      </c>
      <c r="AH108" s="0" t="n">
        <f aca="false">-(AH107-$F$59)*$B$75</f>
        <v>21.3619930896948</v>
      </c>
      <c r="AI108" s="0" t="n">
        <f aca="false">-(AI107-$F$59)*$B$75</f>
        <v>54.7924018961601</v>
      </c>
      <c r="AJ108" s="0" t="n">
        <f aca="false">-(AJ107-$F$59)*$B$75</f>
        <v>-128.589265051623</v>
      </c>
      <c r="AK108" s="0" t="n">
        <f aca="false">-(AK107-$F$59)*$B$75</f>
        <v>-58.0625577303344</v>
      </c>
      <c r="AL108" s="0" t="n">
        <f aca="false">-(AL107-$F$59)*$B$75</f>
        <v>-78.7614834478072</v>
      </c>
      <c r="AM108" s="0" t="n">
        <f aca="false">-(AM107-$F$59)*$B$75</f>
        <v>-75.1084057448667</v>
      </c>
      <c r="AN108" s="0" t="n">
        <f aca="false">-(AN107-$F$59)*$B$75</f>
        <v>-13.7942539171366</v>
      </c>
      <c r="AO108" s="0" t="n">
        <f aca="false">-(AO107-$F$59)*$B$75</f>
        <v>150.425210071893</v>
      </c>
      <c r="AP108" s="0" t="n">
        <f aca="false">-(AP107-$F$59)*$B$75</f>
        <v>32.4925586414979</v>
      </c>
      <c r="AQ108" s="0" t="n">
        <f aca="false">-(AQ107-$F$59)*$B$75</f>
        <v>-50.1185678883561</v>
      </c>
      <c r="AR108" s="0" t="n">
        <f aca="false">-(AR107-$F$59)*$B$75</f>
        <v>46.9700455795622</v>
      </c>
      <c r="AS108" s="0" t="n">
        <f aca="false">-(AS107-$F$59)*$B$75</f>
        <v>56.7223079539353</v>
      </c>
      <c r="AT108" s="0" t="n">
        <f aca="false">-(AT107-$F$59)*$B$75</f>
        <v>-12.6754994860867</v>
      </c>
      <c r="AU108" s="0" t="n">
        <f aca="false">-(AU107-$F$59)*$B$75</f>
        <v>27.9680346826835</v>
      </c>
      <c r="AV108" s="0" t="n">
        <f aca="false">-(AV107-$F$59)*$B$75</f>
        <v>-134.494105539867</v>
      </c>
      <c r="AW108" s="0" t="n">
        <f aca="false">-(AW107-$F$59)*$B$75</f>
        <v>1.64617251541968</v>
      </c>
      <c r="AX108" s="0" t="n">
        <f aca="false">-(AX107-$F$59)*$B$75</f>
        <v>111.554844382153</v>
      </c>
      <c r="AY108" s="0" t="n">
        <f aca="false">-(AY107-$F$59)*$B$75</f>
        <v>-81.5548828116378</v>
      </c>
      <c r="AZ108" s="0" t="n">
        <f aca="false">-(AZ107-$F$59)*$B$75</f>
        <v>-128.532376351945</v>
      </c>
      <c r="BA108" s="0" t="n">
        <f aca="false">-(BA107-$F$59)*$B$75</f>
        <v>-7.51865275849314</v>
      </c>
      <c r="BB108" s="0" t="n">
        <f aca="false">-(BB107-$F$59)*$B$75</f>
        <v>99.6258976686197</v>
      </c>
      <c r="BC108" s="0" t="n">
        <f aca="false">-(BC107-$F$59)*$B$75</f>
        <v>-72.9678595773108</v>
      </c>
      <c r="BD108" s="0" t="n">
        <f aca="false">-(BD107-$F$59)*$B$75</f>
        <v>98.0496519260079</v>
      </c>
      <c r="BE108" s="0" t="n">
        <f aca="false">-(BE107-$F$59)*$B$75</f>
        <v>40.1935735854955</v>
      </c>
      <c r="BF108" s="0" t="n">
        <f aca="false">-(BF107-$F$59)*$B$75</f>
        <v>147.284466943446</v>
      </c>
      <c r="BG108" s="0" t="n">
        <f aca="false">-(BG107-$F$59)*$B$75</f>
        <v>-36.6078470311135</v>
      </c>
      <c r="BH108" s="0" t="n">
        <f aca="false">-(BH107-$F$59)*$B$75</f>
        <v>26.8644078944639</v>
      </c>
      <c r="BI108" s="0" t="n">
        <f aca="false">-(BI107-$F$59)*$B$75</f>
        <v>-165.276712499255</v>
      </c>
      <c r="BJ108" s="0" t="n">
        <f aca="false">-(BJ107-$F$59)*$B$75</f>
        <v>-61.0126568154248</v>
      </c>
      <c r="BK108" s="0" t="n">
        <f aca="false">-(BK107-$F$59)*$B$75</f>
        <v>-77.2887159362168</v>
      </c>
      <c r="BL108" s="0" t="n">
        <f aca="false">-(BL107-$F$59)*$B$75</f>
        <v>-47.7497844746385</v>
      </c>
      <c r="BM108" s="0" t="n">
        <f aca="false">-(BM107-$F$59)*$B$75</f>
        <v>28.2292505412915</v>
      </c>
      <c r="BN108" s="0" t="n">
        <f aca="false">-(BN107-$F$59)*$B$75</f>
        <v>69.0815433173775</v>
      </c>
      <c r="BO108" s="0" t="n">
        <f aca="false">-(BO107-$F$59)*$B$75</f>
        <v>0.364242409220333</v>
      </c>
      <c r="BP108" s="0" t="n">
        <f aca="false">-(BP107-$F$59)*$B$75</f>
        <v>-40.1402945382053</v>
      </c>
      <c r="BQ108" s="0" t="n">
        <f aca="false">-(BQ107-$F$59)*$B$75</f>
        <v>37.5589433225349</v>
      </c>
      <c r="BR108" s="0" t="n">
        <f aca="false">-(BR107-$F$59)*$B$75</f>
        <v>-49.0388865187937</v>
      </c>
      <c r="BS108" s="0" t="n">
        <f aca="false">-(BS107-$F$59)*$B$75</f>
        <v>111.76268172122</v>
      </c>
      <c r="BT108" s="0" t="n">
        <f aca="false">-(BT107-$F$59)*$B$75</f>
        <v>-10.5331389342522</v>
      </c>
      <c r="BU108" s="0" t="n">
        <f aca="false">-(BU107-$F$59)*$B$75</f>
        <v>141.383468121445</v>
      </c>
      <c r="BV108" s="0" t="n">
        <f aca="false">-(BV107-$F$59)*$B$75</f>
        <v>31.3255236979696</v>
      </c>
      <c r="BW108" s="0" t="n">
        <f aca="false">-(BW107-$F$59)*$B$75</f>
        <v>78.5964624574321</v>
      </c>
      <c r="BX108" s="0" t="n">
        <f aca="false">-(BX107-$F$59)*$B$75</f>
        <v>96.554644747854</v>
      </c>
      <c r="BY108" s="0" t="n">
        <f aca="false">-(BY107-$F$59)*$B$75</f>
        <v>87.6646953473392</v>
      </c>
      <c r="BZ108" s="0" t="n">
        <f aca="false">-(BZ107-$F$59)*$B$75</f>
        <v>-88.9143921909996</v>
      </c>
      <c r="CA108" s="0" t="n">
        <f aca="false">-(CA107-$F$59)*$B$75</f>
        <v>-49.1156357813829</v>
      </c>
      <c r="CB108" s="0" t="n">
        <f aca="false">-(CB107-$F$59)*$B$75</f>
        <v>82.0445012630585</v>
      </c>
      <c r="CC108" s="0" t="n">
        <f aca="false">-(CC107-$F$59)*$B$75</f>
        <v>-109.474958016981</v>
      </c>
      <c r="CD108" s="0" t="n">
        <f aca="false">-(CD107-$F$59)*$B$75</f>
        <v>-209.394379309991</v>
      </c>
      <c r="CE108" s="0" t="n">
        <f aca="false">-(CE107-$F$59)*$B$75</f>
        <v>-67.390298743649</v>
      </c>
      <c r="CF108" s="0" t="n">
        <f aca="false">-(CF107-$F$59)*$B$75</f>
        <v>-58.0983567272155</v>
      </c>
      <c r="CG108" s="0" t="n">
        <f aca="false">-(CG107-$F$59)*$B$75</f>
        <v>115.191587309573</v>
      </c>
      <c r="CH108" s="0" t="n">
        <f aca="false">-(CH107-$F$59)*$B$75</f>
        <v>-37.1413292338108</v>
      </c>
      <c r="CI108" s="0" t="n">
        <f aca="false">-(CI107-$F$59)*$B$75</f>
        <v>-74.7982292900066</v>
      </c>
      <c r="CJ108" s="0" t="n">
        <f aca="false">-(CJ107-$F$59)*$B$75</f>
        <v>-162.00844049775</v>
      </c>
      <c r="CK108" s="0" t="n">
        <f aca="false">-(CK107-$F$59)*$B$75</f>
        <v>16.1568846034149</v>
      </c>
      <c r="CL108" s="0" t="n">
        <f aca="false">-(CL107-$F$59)*$B$75</f>
        <v>43.9256057236722</v>
      </c>
      <c r="CM108" s="0" t="n">
        <f aca="false">-(CM107-$F$59)*$B$75</f>
        <v>-97.3033115982589</v>
      </c>
      <c r="CN108" s="0" t="n">
        <f aca="false">-(CN107-$F$59)*$B$75</f>
        <v>-52.405016577833</v>
      </c>
      <c r="CO108" s="0" t="n">
        <f aca="false">-(CO107-$F$59)*$B$75</f>
        <v>-76.8348337261712</v>
      </c>
      <c r="CP108" s="0" t="n">
        <f aca="false">-(CP107-$F$59)*$B$75</f>
        <v>34.6643165474067</v>
      </c>
      <c r="CQ108" s="0" t="n">
        <f aca="false">-(CQ107-$F$59)*$B$75</f>
        <v>37.0602588855319</v>
      </c>
      <c r="CR108" s="0" t="n">
        <f aca="false">-(CR107-$F$59)*$B$75</f>
        <v>-33.8121863624705</v>
      </c>
      <c r="CS108" s="0" t="n">
        <f aca="false">-(CS107-$F$59)*$B$75</f>
        <v>33.7262878384924</v>
      </c>
      <c r="CT108" s="0" t="n">
        <f aca="false">-(CT107-$F$59)*$B$75</f>
        <v>132.09869816647</v>
      </c>
      <c r="CU108" s="0" t="n">
        <f aca="false">-(CU107-$F$59)*$B$75</f>
        <v>83.1747388211073</v>
      </c>
      <c r="CV108" s="0" t="n">
        <f aca="false">-(CV107-$F$59)*$B$75</f>
        <v>105.490595771607</v>
      </c>
      <c r="CW108" s="0" t="n">
        <f aca="false">-(CW107-$F$59)*$B$75</f>
        <v>-2.51686678577807</v>
      </c>
      <c r="CX108" s="0" t="n">
        <f aca="false">-(CX107-$F$59)*$B$75</f>
        <v>-33.5721018666729</v>
      </c>
      <c r="CY108" s="0" t="n">
        <f aca="false">-(CY107-$F$59)*$B$75</f>
        <v>8.30796404772982</v>
      </c>
      <c r="CZ108" s="0" t="n">
        <f aca="false">-(CZ107-$F$59)*$B$75</f>
        <v>-3.35375698891203</v>
      </c>
      <c r="DA108" s="0" t="n">
        <f aca="false">-(DA107-$F$59)*$B$75</f>
        <v>150.610490959713</v>
      </c>
      <c r="DB108" s="0" t="n">
        <f aca="false">-(DB107-$F$59)*$B$75</f>
        <v>251.434546176437</v>
      </c>
      <c r="DC108" s="0" t="n">
        <f aca="false">-(DC107-$F$59)*$B$75</f>
        <v>-122.21253592397</v>
      </c>
      <c r="DD108" s="0" t="n">
        <f aca="false">-(DD107-$F$59)*$B$75</f>
        <v>51.6418764288467</v>
      </c>
      <c r="DE108" s="0" t="n">
        <f aca="false">-(DE107-$F$59)*$B$75</f>
        <v>-16.4142661953489</v>
      </c>
      <c r="DF108" s="0" t="n">
        <f aca="false">-(DF107-$F$59)*$B$75</f>
        <v>82.6909149452421</v>
      </c>
      <c r="DG108" s="0" t="n">
        <f aca="false">-(DG107-$F$59)*$B$75</f>
        <v>-18.1479888443494</v>
      </c>
      <c r="DH108" s="0" t="n">
        <f aca="false">-(DH107-$F$59)*$B$75</f>
        <v>-15.555934638102</v>
      </c>
      <c r="DI108" s="0" t="n">
        <f aca="false">-(DI107-$F$59)*$B$75</f>
        <v>82.1548744515732</v>
      </c>
      <c r="DJ108" s="0" t="n">
        <f aca="false">-(DJ107-$F$59)*$B$75</f>
        <v>10.4285348777407</v>
      </c>
      <c r="DK108" s="0" t="n">
        <f aca="false">-(DK107-$F$59)*$B$75</f>
        <v>-3.05990938906316</v>
      </c>
      <c r="DL108" s="0" t="n">
        <f aca="false">-(DL107-$F$59)*$B$75</f>
        <v>-78.1850823881734</v>
      </c>
      <c r="DM108" s="0" t="n">
        <f aca="false">-(DM107-$F$59)*$B$75</f>
        <v>-64.3342583281725</v>
      </c>
      <c r="DN108" s="0" t="n">
        <f aca="false">-(DN107-$F$59)*$B$75</f>
        <v>-140.287902742009</v>
      </c>
      <c r="DO108" s="0" t="n">
        <f aca="false">-(DO107-$F$59)*$B$75</f>
        <v>-179.88987507315</v>
      </c>
      <c r="DP108" s="0" t="n">
        <f aca="false">-(DP107-$F$59)*$B$75</f>
        <v>-114.460045051938</v>
      </c>
      <c r="DQ108" s="0" t="n">
        <f aca="false">-(DQ107-$F$59)*$B$75</f>
        <v>-37.0178234161851</v>
      </c>
      <c r="DR108" s="0" t="n">
        <f aca="false">-(DR107-$F$59)*$B$75</f>
        <v>167.261585053113</v>
      </c>
      <c r="DS108" s="0" t="n">
        <f aca="false">-(DS107-$F$59)*$B$75</f>
        <v>62.4377486489268</v>
      </c>
      <c r="DT108" s="0" t="n">
        <f aca="false">-(DT107-$F$59)*$B$75</f>
        <v>-139.862056103615</v>
      </c>
      <c r="DU108" s="0" t="n">
        <f aca="false">-(DU107-$F$59)*$B$75</f>
        <v>-68.5484527928538</v>
      </c>
      <c r="DV108" s="0" t="n">
        <f aca="false">-(DV107-$F$59)*$B$75</f>
        <v>-58.2501482921123</v>
      </c>
      <c r="DW108" s="0" t="n">
        <f aca="false">-(DW107-$F$59)*$B$75</f>
        <v>35.985563284848</v>
      </c>
      <c r="DX108" s="0" t="n">
        <f aca="false">-(DX107-$F$59)*$B$75</f>
        <v>13.1090826291827</v>
      </c>
      <c r="DY108" s="0" t="n">
        <f aca="false">-(DY107-$F$59)*$B$75</f>
        <v>-54.733239011974</v>
      </c>
      <c r="DZ108" s="0" t="n">
        <f aca="false">-(DZ107-$F$59)*$B$75</f>
        <v>102.519751621384</v>
      </c>
      <c r="EA108" s="0" t="n">
        <f aca="false">-(EA107-$F$59)*$B$75</f>
        <v>189.85460269744</v>
      </c>
      <c r="EB108" s="0" t="n">
        <f aca="false">-(EB107-$F$59)*$B$75</f>
        <v>27.1219487759577</v>
      </c>
      <c r="EC108" s="0" t="n">
        <f aca="false">-(EC107-$F$59)*$B$75</f>
        <v>10.0310365245198</v>
      </c>
      <c r="ED108" s="0" t="n">
        <f aca="false">-(ED107-$F$59)*$B$75</f>
        <v>0.599730466379242</v>
      </c>
      <c r="EE108" s="0" t="n">
        <f aca="false">-(EE107-$F$59)*$B$75</f>
        <v>-71.2567551230104</v>
      </c>
      <c r="EF108" s="0" t="n">
        <f aca="false">-(EF107-$F$59)*$B$75</f>
        <v>-16.6319607954488</v>
      </c>
      <c r="EG108" s="0" t="n">
        <f aca="false">-(EG107-$F$59)*$B$75</f>
        <v>21.6320148827903</v>
      </c>
      <c r="EH108" s="0" t="n">
        <f aca="false">-(EH107-$F$59)*$B$75</f>
        <v>30.096556240663</v>
      </c>
      <c r="EI108" s="0" t="n">
        <f aca="false">-(EI107-$F$59)*$B$75</f>
        <v>113.417363275315</v>
      </c>
      <c r="EJ108" s="0" t="n">
        <f aca="false">-(EJ107-$F$59)*$B$75</f>
        <v>-66.1184000306434</v>
      </c>
      <c r="EK108" s="0" t="n">
        <f aca="false">-(EK107-$F$59)*$B$75</f>
        <v>-47.4418280973649</v>
      </c>
      <c r="EL108" s="0" t="n">
        <f aca="false">-(EL107-$F$59)*$B$75</f>
        <v>-88.7378902664003</v>
      </c>
      <c r="EM108" s="0" t="n">
        <f aca="false">-(EM107-$F$59)*$B$75</f>
        <v>-2.27575949875118</v>
      </c>
      <c r="EN108" s="0" t="n">
        <f aca="false">-(EN107-$F$59)*$B$75</f>
        <v>-77.3212889830347</v>
      </c>
      <c r="EO108" s="0" t="n">
        <f aca="false">-(EO107-$F$59)*$B$75</f>
        <v>5.15854890365354</v>
      </c>
      <c r="EP108" s="0" t="n">
        <f aca="false">-(EP107-$F$59)*$B$75</f>
        <v>-11.4100838266171</v>
      </c>
      <c r="EQ108" s="0" t="n">
        <f aca="false">-(EQ107-$F$59)*$B$75</f>
        <v>-31.6801487560722</v>
      </c>
      <c r="ER108" s="0" t="n">
        <f aca="false">-(ER107-$F$59)*$B$75</f>
        <v>-28.5807206580055</v>
      </c>
      <c r="ES108" s="0" t="n">
        <f aca="false">-(ES107-$F$59)*$B$75</f>
        <v>-65.3492661839744</v>
      </c>
      <c r="ET108" s="0" t="n">
        <f aca="false">-(ET107-$F$59)*$B$75</f>
        <v>-50.0481630636437</v>
      </c>
      <c r="EU108" s="0" t="n">
        <f aca="false">-(EU107-$F$59)*$B$75</f>
        <v>-105.733723279672</v>
      </c>
      <c r="EV108" s="0" t="n">
        <f aca="false">-(EV107-$F$59)*$B$75</f>
        <v>-55.721464765276</v>
      </c>
      <c r="EW108" s="0" t="n">
        <f aca="false">-(EW107-$F$59)*$B$75</f>
        <v>82.7812574383571</v>
      </c>
      <c r="EX108" s="0" t="n">
        <f aca="false">-(EX107-$F$59)*$B$75</f>
        <v>136.809226481742</v>
      </c>
      <c r="EY108" s="0" t="n">
        <f aca="false">-(EY107-$F$59)*$B$75</f>
        <v>-213.451762868259</v>
      </c>
      <c r="EZ108" s="0" t="n">
        <f aca="false">-(EZ107-$F$59)*$B$75</f>
        <v>40.3554986422032</v>
      </c>
      <c r="FA108" s="0" t="n">
        <f aca="false">-(FA107-$F$59)*$B$75</f>
        <v>-115.415505310711</v>
      </c>
      <c r="FB108" s="0" t="n">
        <f aca="false">-(FB107-$F$59)*$B$75</f>
        <v>-37.8924879841315</v>
      </c>
      <c r="FC108" s="0" t="n">
        <f aca="false">-(FC107-$F$59)*$B$75</f>
        <v>-19.090479853848</v>
      </c>
      <c r="FD108" s="0" t="n">
        <f aca="false">-(FD107-$F$59)*$B$75</f>
        <v>-126.224257740146</v>
      </c>
      <c r="FE108" s="0" t="n">
        <f aca="false">-(FE107-$F$59)*$B$75</f>
        <v>116.263469191511</v>
      </c>
      <c r="FF108" s="0" t="n">
        <f aca="false">-(FF107-$F$59)*$B$75</f>
        <v>104.167479346453</v>
      </c>
      <c r="FG108" s="0" t="n">
        <f aca="false">-(FG107-$F$59)*$B$75</f>
        <v>-7.96936579937374</v>
      </c>
      <c r="FH108" s="0" t="n">
        <f aca="false">-(FH107-$F$59)*$B$75</f>
        <v>-17.0777675607482</v>
      </c>
      <c r="FI108" s="0" t="n">
        <f aca="false">-(FI107-$F$59)*$B$75</f>
        <v>140.604987380166</v>
      </c>
      <c r="FJ108" s="0" t="n">
        <f aca="false">-(FJ107-$F$59)*$B$75</f>
        <v>9.39546277198906</v>
      </c>
      <c r="FK108" s="0" t="n">
        <f aca="false">-(FK107-$F$59)*$B$75</f>
        <v>-129.727779207856</v>
      </c>
      <c r="FL108" s="0" t="n">
        <f aca="false">-(FL107-$F$59)*$B$75</f>
        <v>116.56780765256</v>
      </c>
      <c r="FM108" s="0" t="n">
        <f aca="false">-(FM107-$F$59)*$B$75</f>
        <v>-154.536322441062</v>
      </c>
      <c r="FN108" s="0" t="n">
        <f aca="false">-(FN107-$F$59)*$B$75</f>
        <v>-72.8163200617466</v>
      </c>
      <c r="FO108" s="0" t="n">
        <f aca="false">-(FO107-$F$59)*$B$75</f>
        <v>40.7187198483273</v>
      </c>
      <c r="FP108" s="0" t="n">
        <f aca="false">-(FP107-$F$59)*$B$75</f>
        <v>46.3342512127731</v>
      </c>
      <c r="FQ108" s="0" t="n">
        <f aca="false">-(FQ107-$F$59)*$B$75</f>
        <v>91.9087479382612</v>
      </c>
      <c r="FR108" s="0" t="n">
        <f aca="false">-(FR107-$F$59)*$B$75</f>
        <v>7.04487458109161</v>
      </c>
      <c r="FS108" s="0" t="n">
        <f aca="false">-(FS107-$F$59)*$B$75</f>
        <v>139.629901635745</v>
      </c>
      <c r="FT108" s="0" t="n">
        <f aca="false">-(FT107-$F$59)*$B$75</f>
        <v>11.39717954359</v>
      </c>
      <c r="FU108" s="0" t="n">
        <f aca="false">-(FU107-$F$59)*$B$75</f>
        <v>-47.5574264387113</v>
      </c>
      <c r="FV108" s="0" t="n">
        <f aca="false">-(FV107-$F$59)*$B$75</f>
        <v>-42.7978238947593</v>
      </c>
      <c r="FW108" s="0" t="n">
        <f aca="false">-(FW107-$F$59)*$B$75</f>
        <v>-84.2524867682296</v>
      </c>
      <c r="FX108" s="0" t="n">
        <f aca="false">-(FX107-$F$59)*$B$75</f>
        <v>16.8269346699465</v>
      </c>
      <c r="FY108" s="0" t="n">
        <f aca="false">-(FY107-$F$59)*$B$75</f>
        <v>-33.6917141593769</v>
      </c>
      <c r="FZ108" s="0" t="n">
        <f aca="false">-(FZ107-$F$59)*$B$75</f>
        <v>142.355625795517</v>
      </c>
      <c r="GA108" s="0" t="n">
        <f aca="false">-(GA107-$F$59)*$B$75</f>
        <v>54.3231160813053</v>
      </c>
      <c r="GB108" s="0" t="n">
        <f aca="false">-(GB107-$F$59)*$B$75</f>
        <v>16.8900556395669</v>
      </c>
      <c r="GC108" s="0" t="n">
        <f aca="false">-(GC107-$F$59)*$B$75</f>
        <v>46.3780876302584</v>
      </c>
      <c r="GD108" s="0" t="n">
        <f aca="false">-(GD107-$F$59)*$B$75</f>
        <v>77.8366592528348</v>
      </c>
      <c r="GE108" s="0" t="n">
        <f aca="false">-(GE107-$F$59)*$B$75</f>
        <v>-16.7545068446808</v>
      </c>
      <c r="GF108" s="0" t="n">
        <f aca="false">-(GF107-$F$59)*$B$75</f>
        <v>21.5644398069946</v>
      </c>
      <c r="GG108" s="0" t="n">
        <f aca="false">-(GG107-$F$59)*$B$75</f>
        <v>27.54261181156</v>
      </c>
      <c r="GH108" s="0" t="n">
        <f aca="false">-(GH107-$F$59)*$B$75</f>
        <v>-23.7133991091074</v>
      </c>
      <c r="GI108" s="0" t="n">
        <f aca="false">-(GI107-$F$59)*$B$75</f>
        <v>-87.5111216848391</v>
      </c>
      <c r="GJ108" s="0" t="n">
        <f aca="false">-(GJ107-$F$59)*$B$75</f>
        <v>63.402102591639</v>
      </c>
      <c r="GK108" s="0" t="n">
        <f aca="false">-(GK107-$F$59)*$B$75</f>
        <v>76.5257126716194</v>
      </c>
      <c r="GL108" s="0" t="n">
        <f aca="false">-(GL107-$F$59)*$B$75</f>
        <v>15.9573162655688</v>
      </c>
      <c r="GM108" s="0" t="n">
        <f aca="false">-(GM107-$F$59)*$B$75</f>
        <v>38.5713805414393</v>
      </c>
      <c r="GN108" s="0" t="n">
        <f aca="false">-(GN107-$F$59)*$B$75</f>
        <v>-31.8980094224731</v>
      </c>
      <c r="GO108" s="0" t="n">
        <f aca="false">-(GO107-$F$59)*$B$75</f>
        <v>87.043860319586</v>
      </c>
      <c r="GP108" s="0" t="n">
        <f aca="false">-(GP107-$F$59)*$B$75</f>
        <v>-54.472349336126</v>
      </c>
      <c r="GQ108" s="0" t="n">
        <f aca="false">-(GQ107-$F$59)*$B$75</f>
        <v>155.8986300621</v>
      </c>
      <c r="GR108" s="0" t="n">
        <f aca="false">-(GR107-$F$59)*$B$75</f>
        <v>-127.758289441649</v>
      </c>
      <c r="GS108" s="0" t="n">
        <f aca="false">-(GS107-$F$59)*$B$75</f>
        <v>15.1152955757242</v>
      </c>
      <c r="GT108" s="0" t="n">
        <f aca="false">-(GT107-$F$59)*$B$75</f>
        <v>-42.572047889524</v>
      </c>
      <c r="GU108" s="0" t="n">
        <f aca="false">-(GU107-$F$59)*$B$75</f>
        <v>52.3573836994805</v>
      </c>
      <c r="GV108" s="0" t="n">
        <f aca="false">-(GV107-$F$59)*$B$75</f>
        <v>-9.45826751771992</v>
      </c>
      <c r="GW108" s="0" t="n">
        <f aca="false">-(GW107-$F$59)*$B$75</f>
        <v>-16.7881728600863</v>
      </c>
      <c r="GX108" s="0" t="n">
        <f aca="false">-(GX107-$F$59)*$B$75</f>
        <v>56.2430698954401</v>
      </c>
      <c r="GY108" s="0" t="n">
        <f aca="false">-(GY107-$F$59)*$B$75</f>
        <v>34.5168850085537</v>
      </c>
      <c r="GZ108" s="0" t="n">
        <f aca="false">-(GZ107-$F$59)*$B$75</f>
        <v>-96.2398263222751</v>
      </c>
      <c r="HA108" s="0" t="n">
        <f aca="false">-(HA107-$F$59)*$B$75</f>
        <v>-19.1400834595765</v>
      </c>
      <c r="HB108" s="0" t="n">
        <f aca="false">-(HB107-$F$59)*$B$75</f>
        <v>27.025785960734</v>
      </c>
      <c r="HC108" s="0" t="n">
        <f aca="false">-(HC107-$F$59)*$B$75</f>
        <v>46.9006871960255</v>
      </c>
      <c r="HD108" s="0" t="n">
        <f aca="false">-(HD107-$F$59)*$B$75</f>
        <v>-132.677245497981</v>
      </c>
      <c r="HE108" s="0" t="n">
        <f aca="false">-(HE107-$F$59)*$B$75</f>
        <v>-94.0828523409558</v>
      </c>
      <c r="HF108" s="0" t="n">
        <f aca="false">-(HF107-$F$59)*$B$75</f>
        <v>116.383158730238</v>
      </c>
      <c r="HG108" s="0" t="n">
        <f aca="false">-(HG107-$F$59)*$B$75</f>
        <v>-83.6026025302546</v>
      </c>
      <c r="HH108" s="0" t="n">
        <f aca="false">-(HH107-$F$59)*$B$75</f>
        <v>-66.5252436689331</v>
      </c>
      <c r="HI108" s="0" t="n">
        <f aca="false">-(HI107-$F$59)*$B$75</f>
        <v>-54.5167370195779</v>
      </c>
      <c r="HJ108" s="0" t="n">
        <f aca="false">-(HJ107-$F$59)*$B$75</f>
        <v>42.3229394315752</v>
      </c>
      <c r="HK108" s="0" t="n">
        <f aca="false">-(HK107-$F$59)*$B$75</f>
        <v>24.4634806208949</v>
      </c>
      <c r="HL108" s="0" t="n">
        <f aca="false">-(HL107-$F$59)*$B$75</f>
        <v>-132.763103146341</v>
      </c>
      <c r="HM108" s="0" t="n">
        <f aca="false">-(HM107-$F$59)*$B$75</f>
        <v>60.1988199313549</v>
      </c>
      <c r="HN108" s="0" t="n">
        <f aca="false">-(HN107-$F$59)*$B$75</f>
        <v>44.4192982829688</v>
      </c>
      <c r="HO108" s="0" t="n">
        <f aca="false">-(HO107-$F$59)*$B$75</f>
        <v>47.0528224971493</v>
      </c>
      <c r="HP108" s="0" t="n">
        <f aca="false">-(HP107-$F$59)*$B$75</f>
        <v>151.919953777195</v>
      </c>
      <c r="HQ108" s="0" t="n">
        <f aca="false">-(HQ107-$F$59)*$B$75</f>
        <v>-10.8067115618669</v>
      </c>
      <c r="HR108" s="0" t="n">
        <f aca="false">-(HR107-$F$59)*$B$75</f>
        <v>25.6825589907176</v>
      </c>
      <c r="HS108" s="0" t="n">
        <f aca="false">-(HS107-$F$59)*$B$75</f>
        <v>11.6616281953191</v>
      </c>
      <c r="HT108" s="0" t="n">
        <f aca="false">-(HT107-$F$59)*$B$75</f>
        <v>-221.355103349492</v>
      </c>
      <c r="HU108" s="0" t="n">
        <f aca="false">-(HU107-$F$59)*$B$75</f>
        <v>73.8461210545442</v>
      </c>
      <c r="HV108" s="0" t="n">
        <f aca="false">-(HV107-$F$59)*$B$75</f>
        <v>13.082022549178</v>
      </c>
      <c r="HW108" s="0" t="n">
        <f aca="false">-(HW107-$F$59)*$B$75</f>
        <v>50.0613080889243</v>
      </c>
      <c r="HX108" s="0" t="n">
        <f aca="false">-(HX107-$F$59)*$B$75</f>
        <v>-98.3908129851523</v>
      </c>
      <c r="HY108" s="0" t="n">
        <f aca="false">-(HY107-$F$59)*$B$75</f>
        <v>66.3090281221221</v>
      </c>
      <c r="HZ108" s="0" t="n">
        <f aca="false">-(HZ107-$F$59)*$B$75</f>
        <v>47.6598608536998</v>
      </c>
      <c r="IA108" s="0" t="n">
        <f aca="false">-(IA107-$F$59)*$B$75</f>
        <v>-138.63844651485</v>
      </c>
      <c r="IB108" s="0" t="n">
        <f aca="false">-(IB107-$F$59)*$B$75</f>
        <v>113.42289793188</v>
      </c>
      <c r="IC108" s="0" t="n">
        <f aca="false">-(IC107-$F$59)*$B$75</f>
        <v>63.3855045521464</v>
      </c>
      <c r="ID108" s="0" t="n">
        <f aca="false">-(ID107-$F$59)*$B$75</f>
        <v>116.155784926026</v>
      </c>
      <c r="IE108" s="0" t="n">
        <f aca="false">-(IE107-$F$59)*$B$75</f>
        <v>-132.448860364108</v>
      </c>
      <c r="IF108" s="0" t="n">
        <f aca="false">-(IF107-$F$59)*$B$75</f>
        <v>105.950175475698</v>
      </c>
      <c r="IG108" s="0" t="n">
        <f aca="false">-(IG107-$F$59)*$B$75</f>
        <v>79.7955419091599</v>
      </c>
      <c r="IH108" s="0" t="n">
        <f aca="false">-(IH107-$F$59)*$B$75</f>
        <v>-0.744067599088339</v>
      </c>
      <c r="II108" s="0" t="n">
        <f aca="false">-(II107-$F$59)*$B$75</f>
        <v>-50.1972096543659</v>
      </c>
      <c r="IJ108" s="0" t="n">
        <f aca="false">-(IJ107-$F$59)*$B$75</f>
        <v>38.8323008776156</v>
      </c>
      <c r="IK108" s="0" t="n">
        <f aca="false">-(IK107-$F$59)*$B$75</f>
        <v>-198.208859701161</v>
      </c>
      <c r="IL108" s="0" t="n">
        <f aca="false">-(IL107-$F$59)*$B$75</f>
        <v>-115.202580094387</v>
      </c>
      <c r="IM108" s="0" t="n">
        <f aca="false">-(IM107-$F$59)*$B$75</f>
        <v>5.10420594136904</v>
      </c>
      <c r="IN108" s="0" t="n">
        <f aca="false">-(IN107-$F$59)*$B$75</f>
        <v>76.5010599413913</v>
      </c>
      <c r="IO108" s="0" t="n">
        <f aca="false">-(IO107-$F$59)*$B$75</f>
        <v>-37.6940258155906</v>
      </c>
      <c r="IP108" s="0" t="n">
        <f aca="false">-(IP107-$F$59)*$B$75</f>
        <v>-60.9478135803751</v>
      </c>
      <c r="IQ108" s="0" t="n">
        <f aca="false">-(IQ107-$F$59)*$B$75</f>
        <v>-25.5837778146471</v>
      </c>
      <c r="IR108" s="0" t="n">
        <f aca="false">-(IR107-$F$59)*$B$75</f>
        <v>97.9910948710864</v>
      </c>
      <c r="IS108" s="0" t="n">
        <f aca="false">-(IS107-$F$59)*$B$75</f>
        <v>4.78849482164806</v>
      </c>
      <c r="IT108" s="0" t="n">
        <f aca="false">-(IT107-$F$59)*$B$75</f>
        <v>-80.7344718178618</v>
      </c>
      <c r="IU108" s="0" t="n">
        <f aca="false">-(IU107-$F$59)*$B$75</f>
        <v>42.5176399705158</v>
      </c>
      <c r="IV108" s="0" t="n">
        <f aca="false">-(IV107-$F$59)*$B$75</f>
        <v>-54.6678390412721</v>
      </c>
      <c r="IW108" s="0" t="n">
        <f aca="false">-(IW107-$F$59)*$B$75</f>
        <v>18.7280519764394</v>
      </c>
      <c r="IX108" s="0" t="n">
        <f aca="false">-(IX107-$F$59)*$B$75</f>
        <v>39.175961009274</v>
      </c>
      <c r="IY108" s="0" t="n">
        <f aca="false">-(IY107-$F$59)*$B$75</f>
        <v>-73.1416131521979</v>
      </c>
      <c r="IZ108" s="0" t="n">
        <f aca="false">-(IZ107-$F$59)*$B$75</f>
        <v>-38.0308639384193</v>
      </c>
      <c r="JA108" s="0" t="n">
        <f aca="false">-(JA107-$F$59)*$B$75</f>
        <v>135.058133216005</v>
      </c>
      <c r="JB108" s="0" t="n">
        <f aca="false">-(JB107-$F$59)*$B$75</f>
        <v>23.1381444431819</v>
      </c>
      <c r="JC108" s="0" t="n">
        <f aca="false">-(JC107-$F$59)*$B$75</f>
        <v>96.8628993251625</v>
      </c>
      <c r="JD108" s="0" t="n">
        <f aca="false">-(JD107-$F$59)*$B$75</f>
        <v>67.1803036161011</v>
      </c>
      <c r="JE108" s="0" t="n">
        <f aca="false">-(JE107-$F$59)*$B$75</f>
        <v>4.84985247486211</v>
      </c>
      <c r="JF108" s="0" t="n">
        <f aca="false">-(JF107-$F$59)*$B$75</f>
        <v>-53.9712619077125</v>
      </c>
      <c r="JG108" s="0" t="n">
        <f aca="false">-(JG107-$F$59)*$B$75</f>
        <v>-65.5741747604085</v>
      </c>
      <c r="JH108" s="0" t="n">
        <f aca="false">-(JH107-$F$59)*$B$75</f>
        <v>83.4449697922667</v>
      </c>
      <c r="JI108" s="0" t="n">
        <f aca="false">-(JI107-$F$59)*$B$75</f>
        <v>9.47494200947631</v>
      </c>
      <c r="JJ108" s="0" t="n">
        <f aca="false">-(JJ107-$F$59)*$B$75</f>
        <v>38.4906922342401</v>
      </c>
      <c r="JK108" s="0" t="n">
        <f aca="false">-(JK107-$F$59)*$B$75</f>
        <v>88.0057533813675</v>
      </c>
      <c r="JL108" s="0" t="n">
        <f aca="false">-(JL107-$F$59)*$B$75</f>
        <v>7.67486106208608</v>
      </c>
      <c r="JM108" s="0" t="n">
        <f aca="false">-(JM107-$F$59)*$B$75</f>
        <v>-11.6140892721212</v>
      </c>
      <c r="JN108" s="0" t="n">
        <f aca="false">-(JN107-$F$59)*$B$75</f>
        <v>9.79859005293201</v>
      </c>
      <c r="JO108" s="0" t="n">
        <f aca="false">-(JO107-$F$59)*$B$75</f>
        <v>30.4786687685277</v>
      </c>
      <c r="JP108" s="0" t="n">
        <f aca="false">-(JP107-$F$59)*$B$75</f>
        <v>8.67948294263315</v>
      </c>
      <c r="JQ108" s="0" t="n">
        <f aca="false">-(JQ107-$F$59)*$B$75</f>
        <v>103.916254127335</v>
      </c>
      <c r="JR108" s="0" t="n">
        <f aca="false">-(JR107-$F$59)*$B$75</f>
        <v>153.300786544961</v>
      </c>
      <c r="JS108" s="0" t="n">
        <f aca="false">-(JS107-$F$59)*$B$75</f>
        <v>123.200084980589</v>
      </c>
      <c r="JT108" s="0" t="n">
        <f aca="false">-(JT107-$F$59)*$B$75</f>
        <v>46.7279650931003</v>
      </c>
      <c r="JU108" s="0" t="n">
        <f aca="false">-(JU107-$F$59)*$B$75</f>
        <v>59.0964435368451</v>
      </c>
      <c r="JV108" s="0" t="n">
        <f aca="false">-(JV107-$F$59)*$B$75</f>
        <v>-40.0965866161916</v>
      </c>
      <c r="JW108" s="0" t="n">
        <f aca="false">-(JW107-$F$59)*$B$75</f>
        <v>-162.889092556755</v>
      </c>
      <c r="JX108" s="0" t="n">
        <f aca="false">-(JX107-$F$59)*$B$75</f>
        <v>100.590174926153</v>
      </c>
      <c r="JY108" s="0" t="n">
        <f aca="false">-(JY107-$F$59)*$B$75</f>
        <v>-10.0530277480178</v>
      </c>
      <c r="JZ108" s="0" t="n">
        <f aca="false">-(JZ107-$F$59)*$B$75</f>
        <v>14.387714910776</v>
      </c>
      <c r="KA108" s="0" t="n">
        <f aca="false">-(KA107-$F$59)*$B$75</f>
        <v>1.9726109849039</v>
      </c>
      <c r="KB108" s="0" t="n">
        <f aca="false">-(KB107-$F$59)*$B$75</f>
        <v>-53.1093251554989</v>
      </c>
      <c r="KC108" s="0" t="n">
        <f aca="false">-(KC107-$F$59)*$B$75</f>
        <v>16.8334456162536</v>
      </c>
      <c r="KD108" s="0" t="n">
        <f aca="false">-(KD107-$F$59)*$B$75</f>
        <v>38.3775641094619</v>
      </c>
      <c r="KE108" s="0" t="n">
        <f aca="false">-(KE107-$F$59)*$B$75</f>
        <v>30.5858125474391</v>
      </c>
      <c r="KF108" s="0" t="n">
        <f aca="false">-(KF107-$F$59)*$B$75</f>
        <v>-12.5555456777989</v>
      </c>
      <c r="KG108" s="0" t="n">
        <f aca="false">-(KG107-$F$59)*$B$75</f>
        <v>-194.634699538456</v>
      </c>
      <c r="KH108" s="0" t="n">
        <f aca="false">-(KH107-$F$59)*$B$75</f>
        <v>12.0648588294786</v>
      </c>
      <c r="KI108" s="0" t="n">
        <f aca="false">-(KI107-$F$59)*$B$75</f>
        <v>71.120840767393</v>
      </c>
      <c r="KJ108" s="0" t="n">
        <f aca="false">-(KJ107-$F$59)*$B$75</f>
        <v>-53.0768603210061</v>
      </c>
      <c r="KK108" s="0" t="n">
        <f aca="false">-(KK107-$F$59)*$B$75</f>
        <v>36.3091209033018</v>
      </c>
      <c r="KL108" s="0" t="n">
        <f aca="false">-(KL107-$F$59)*$B$75</f>
        <v>-64.4704193671523</v>
      </c>
      <c r="KM108" s="0" t="n">
        <f aca="false">-(KM107-$F$59)*$B$75</f>
        <v>-16.7814775770636</v>
      </c>
      <c r="KN108" s="0" t="n">
        <f aca="false">-(KN107-$F$59)*$B$75</f>
        <v>35.6470929896017</v>
      </c>
      <c r="KO108" s="0" t="n">
        <f aca="false">-(KO107-$F$59)*$B$75</f>
        <v>-65.3245665890394</v>
      </c>
      <c r="KP108" s="0" t="n">
        <f aca="false">-(KP107-$F$59)*$B$75</f>
        <v>73.6545162568976</v>
      </c>
      <c r="KQ108" s="0" t="n">
        <f aca="false">-(KQ107-$F$59)*$B$75</f>
        <v>40.4305849783566</v>
      </c>
      <c r="KR108" s="0" t="n">
        <f aca="false">-(KR107-$F$59)*$B$75</f>
        <v>50.0948447051726</v>
      </c>
      <c r="KS108" s="0" t="n">
        <f aca="false">-(KS107-$F$59)*$B$75</f>
        <v>88.404298084785</v>
      </c>
      <c r="KT108" s="0" t="n">
        <f aca="false">-(KT107-$F$59)*$B$75</f>
        <v>42.1800070112433</v>
      </c>
      <c r="KU108" s="0" t="n">
        <f aca="false">-(KU107-$F$59)*$B$75</f>
        <v>36.4718514969713</v>
      </c>
      <c r="KV108" s="0" t="n">
        <f aca="false">-(KV107-$F$59)*$B$75</f>
        <v>24.4280351883468</v>
      </c>
      <c r="KW108" s="0" t="n">
        <f aca="false">-(KW107-$F$59)*$B$75</f>
        <v>69.4700719585782</v>
      </c>
      <c r="KX108" s="0" t="n">
        <f aca="false">-(KX107-$F$59)*$B$75</f>
        <v>-40.0618282555295</v>
      </c>
      <c r="KY108" s="0" t="n">
        <f aca="false">-(KY107-$F$59)*$B$75</f>
        <v>-43.5562602763619</v>
      </c>
      <c r="KZ108" s="0" t="n">
        <f aca="false">-(KZ107-$F$59)*$B$75</f>
        <v>82.1994817511431</v>
      </c>
      <c r="LA108" s="0" t="n">
        <f aca="false">-(LA107-$F$59)*$B$75</f>
        <v>-58.7947143761654</v>
      </c>
      <c r="LB108" s="0" t="n">
        <f aca="false">-(LB107-$F$59)*$B$75</f>
        <v>-172.371067561828</v>
      </c>
      <c r="LC108" s="0" t="n">
        <f aca="false">-(LC107-$F$59)*$B$75</f>
        <v>-44.0883560681925</v>
      </c>
      <c r="LD108" s="0" t="n">
        <f aca="false">-(LD107-$F$59)*$B$75</f>
        <v>146.436078424594</v>
      </c>
      <c r="LE108" s="0" t="n">
        <f aca="false">-(LE107-$F$59)*$B$75</f>
        <v>55.1879046453529</v>
      </c>
      <c r="LF108" s="0" t="n">
        <f aca="false">-(LF107-$F$59)*$B$75</f>
        <v>87.045818146176</v>
      </c>
      <c r="LG108" s="0" t="n">
        <f aca="false">-(LG107-$F$59)*$B$75</f>
        <v>-43.8410616432189</v>
      </c>
      <c r="LH108" s="0" t="n">
        <f aca="false">-(LH107-$F$59)*$B$75</f>
        <v>111.007515844035</v>
      </c>
      <c r="LI108" s="0" t="n">
        <f aca="false">-(LI107-$F$59)*$B$75</f>
        <v>-51.8901578220099</v>
      </c>
      <c r="LJ108" s="0" t="n">
        <f aca="false">-(LJ107-$F$59)*$B$75</f>
        <v>132.663513366028</v>
      </c>
      <c r="LK108" s="0" t="n">
        <f aca="false">-(LK107-$F$59)*$B$75</f>
        <v>-57.9838823458082</v>
      </c>
      <c r="LL108" s="0" t="n">
        <f aca="false">-(LL107-$F$59)*$B$75</f>
        <v>-24.6955911886347</v>
      </c>
      <c r="LM108" s="0" t="n">
        <f aca="false">-(LM107-$F$59)*$B$75</f>
        <v>3.43937021495285</v>
      </c>
      <c r="LN108" s="0" t="n">
        <f aca="false">-(LN107-$F$59)*$B$75</f>
        <v>-77.9865934346624</v>
      </c>
      <c r="LO108" s="0" t="n">
        <f aca="false">-(LO107-$F$59)*$B$75</f>
        <v>33.3743725571696</v>
      </c>
      <c r="LP108" s="0" t="n">
        <f aca="false">-(LP107-$F$59)*$B$75</f>
        <v>-49.2883608644985</v>
      </c>
      <c r="LQ108" s="0" t="n">
        <f aca="false">-(LQ107-$F$59)*$B$75</f>
        <v>23.6114256844562</v>
      </c>
      <c r="LR108" s="0" t="n">
        <f aca="false">-(LR107-$F$59)*$B$75</f>
        <v>102.073847018745</v>
      </c>
      <c r="LS108" s="0" t="n">
        <f aca="false">-(LS107-$F$59)*$B$75</f>
        <v>8.86525124429463</v>
      </c>
      <c r="LT108" s="0" t="n">
        <f aca="false">-(LT107-$F$59)*$B$75</f>
        <v>-69.6350852540594</v>
      </c>
      <c r="LU108" s="0" t="n">
        <f aca="false">-(LU107-$F$59)*$B$75</f>
        <v>-22.7057454330383</v>
      </c>
      <c r="LV108" s="0" t="n">
        <f aca="false">-(LV107-$F$59)*$B$75</f>
        <v>94.2304420107537</v>
      </c>
      <c r="LW108" s="0" t="n">
        <f aca="false">-(LW107-$F$59)*$B$75</f>
        <v>-44.9808236208628</v>
      </c>
      <c r="LX108" s="0" t="n">
        <f aca="false">-(LX107-$F$59)*$B$75</f>
        <v>6.20027547535974</v>
      </c>
      <c r="LY108" s="0" t="n">
        <f aca="false">-(LY107-$F$59)*$B$75</f>
        <v>23.9781081340417</v>
      </c>
      <c r="LZ108" s="0" t="n">
        <f aca="false">-(LZ107-$F$59)*$B$75</f>
        <v>31.4337867522423</v>
      </c>
      <c r="MA108" s="0" t="n">
        <f aca="false">-(MA107-$F$59)*$B$75</f>
        <v>-0.196523685459306</v>
      </c>
      <c r="MB108" s="0" t="n">
        <f aca="false">-(MB107-$F$59)*$B$75</f>
        <v>-107.584350250407</v>
      </c>
      <c r="MC108" s="0" t="n">
        <f aca="false">-(MC107-$F$59)*$B$75</f>
        <v>-31.3744600477425</v>
      </c>
      <c r="MD108" s="0" t="n">
        <f aca="false">-(MD107-$F$59)*$B$75</f>
        <v>-282.583491687543</v>
      </c>
      <c r="ME108" s="0" t="n">
        <f aca="false">-(ME107-$F$59)*$B$75</f>
        <v>-56.2948141869752</v>
      </c>
      <c r="MF108" s="0" t="n">
        <f aca="false">-(MF107-$F$59)*$B$75</f>
        <v>45.5386683698343</v>
      </c>
      <c r="MG108" s="0" t="n">
        <f aca="false">-(MG107-$F$59)*$B$75</f>
        <v>102.868782895333</v>
      </c>
      <c r="MH108" s="0" t="n">
        <f aca="false">-(MH107-$F$59)*$B$75</f>
        <v>18.4057017920439</v>
      </c>
      <c r="MI108" s="0" t="n">
        <f aca="false">-(MI107-$F$59)*$B$75</f>
        <v>18.7858836340063</v>
      </c>
      <c r="MJ108" s="0" t="n">
        <f aca="false">-(MJ107-$F$59)*$B$75</f>
        <v>-39.7987809426506</v>
      </c>
      <c r="MK108" s="0" t="n">
        <f aca="false">-(MK107-$F$59)*$B$75</f>
        <v>-69.6084048234487</v>
      </c>
      <c r="ML108" s="0" t="n">
        <f aca="false">-(ML107-$F$59)*$B$75</f>
        <v>-62.8291681994033</v>
      </c>
      <c r="MM108" s="0" t="n">
        <f aca="false">-(MM107-$F$59)*$B$75</f>
        <v>71.1007835260605</v>
      </c>
      <c r="MN108" s="0" t="n">
        <f aca="false">-(MN107-$F$59)*$B$75</f>
        <v>-63.2276381390968</v>
      </c>
      <c r="MO108" s="0" t="n">
        <f aca="false">-(MO107-$F$59)*$B$75</f>
        <v>-81.1639533058591</v>
      </c>
      <c r="MP108" s="0" t="n">
        <f aca="false">-(MP107-$F$59)*$B$75</f>
        <v>-103.70198279568</v>
      </c>
      <c r="MQ108" s="0" t="n">
        <f aca="false">-(MQ107-$F$59)*$B$75</f>
        <v>154.238305258458</v>
      </c>
      <c r="MR108" s="0" t="n">
        <f aca="false">-(MR107-$F$59)*$B$75</f>
        <v>-17.7637613874786</v>
      </c>
      <c r="MS108" s="0" t="n">
        <f aca="false">-(MS107-$F$59)*$B$75</f>
        <v>-56.6026491599036</v>
      </c>
      <c r="MT108" s="0" t="n">
        <f aca="false">-(MT107-$F$59)*$B$75</f>
        <v>4.47723997081557</v>
      </c>
      <c r="MU108" s="0" t="n">
        <f aca="false">-(MU107-$F$59)*$B$75</f>
        <v>22.396470387023</v>
      </c>
      <c r="MV108" s="0" t="n">
        <f aca="false">-(MV107-$F$59)*$B$75</f>
        <v>-120.722835167481</v>
      </c>
      <c r="MW108" s="0" t="n">
        <f aca="false">-(MW107-$F$59)*$B$75</f>
        <v>18.6289993734358</v>
      </c>
      <c r="MX108" s="0" t="n">
        <f aca="false">-(MX107-$F$59)*$B$75</f>
        <v>91.523737473759</v>
      </c>
      <c r="MY108" s="0" t="n">
        <f aca="false">-(MY107-$F$59)*$B$75</f>
        <v>-27.3887260649199</v>
      </c>
      <c r="MZ108" s="0" t="n">
        <f aca="false">-(MZ107-$F$59)*$B$75</f>
        <v>-9.84139157601467</v>
      </c>
      <c r="NA108" s="0" t="n">
        <f aca="false">-(NA107-$F$59)*$B$75</f>
        <v>-122.72990565944</v>
      </c>
      <c r="NB108" s="0" t="n">
        <f aca="false">-(NB107-$F$59)*$B$75</f>
        <v>-113.582434716684</v>
      </c>
      <c r="NC108" s="0" t="n">
        <f aca="false">-(NC107-$F$59)*$B$75</f>
        <v>-49.8125773679312</v>
      </c>
      <c r="ND108" s="0" t="n">
        <f aca="false">-(ND107-$F$59)*$B$75</f>
        <v>-49.0620948717689</v>
      </c>
      <c r="NE108" s="0" t="n">
        <f aca="false">-(NE107-$F$59)*$B$75</f>
        <v>-169.683461631579</v>
      </c>
      <c r="NF108" s="0" t="n">
        <f aca="false">-(NF107-$F$59)*$B$75</f>
        <v>-11.1212076378258</v>
      </c>
      <c r="NG108" s="0" t="n">
        <f aca="false">-(NG107-$F$59)*$B$75</f>
        <v>44.2802218888776</v>
      </c>
      <c r="NH108" s="0" t="n">
        <f aca="false">-(NH107-$F$59)*$B$75</f>
        <v>19.7938546074956</v>
      </c>
      <c r="NI108" s="0" t="n">
        <f aca="false">-(NI107-$F$59)*$B$75</f>
        <v>132.429422765431</v>
      </c>
      <c r="NJ108" s="0" t="n">
        <f aca="false">-(NJ107-$F$59)*$B$75</f>
        <v>17.4928163213812</v>
      </c>
      <c r="NK108" s="0" t="n">
        <f aca="false">-(NK107-$F$59)*$B$75</f>
        <v>-52.1582284699269</v>
      </c>
      <c r="NL108" s="0" t="n">
        <f aca="false">-(NL107-$F$59)*$B$75</f>
        <v>-69.0437507823557</v>
      </c>
      <c r="NM108" s="0" t="n">
        <f aca="false">-(NM107-$F$59)*$B$75</f>
        <v>-102.252294756058</v>
      </c>
      <c r="NN108" s="0" t="n">
        <f aca="false">-(NN107-$F$59)*$B$75</f>
        <v>-102.420998220229</v>
      </c>
      <c r="NO108" s="0" t="n">
        <f aca="false">-(NO107-$F$59)*$B$75</f>
        <v>99.3997468359083</v>
      </c>
      <c r="NP108" s="0" t="n">
        <f aca="false">-(NP107-$F$59)*$B$75</f>
        <v>-61.3129816385259</v>
      </c>
      <c r="NQ108" s="0" t="n">
        <f aca="false">-(NQ107-$F$59)*$B$75</f>
        <v>32.9293816359007</v>
      </c>
      <c r="NR108" s="0" t="n">
        <f aca="false">-(NR107-$F$59)*$B$75</f>
        <v>-47.137405458805</v>
      </c>
      <c r="NS108" s="0" t="n">
        <f aca="false">-(NS107-$F$59)*$B$75</f>
        <v>77.4107857752976</v>
      </c>
      <c r="NT108" s="0" t="n">
        <f aca="false">-(NT107-$F$59)*$B$75</f>
        <v>208.072593527347</v>
      </c>
      <c r="NU108" s="0" t="n">
        <f aca="false">-(NU107-$F$59)*$B$75</f>
        <v>117.17948486699</v>
      </c>
      <c r="NV108" s="0" t="n">
        <f aca="false">-(NV107-$F$59)*$B$75</f>
        <v>19.9508531785542</v>
      </c>
      <c r="NW108" s="0" t="n">
        <f aca="false">-(NW107-$F$59)*$B$75</f>
        <v>50.4471609610502</v>
      </c>
      <c r="NX108" s="0" t="n">
        <f aca="false">-(NX107-$F$59)*$B$75</f>
        <v>19.416504574432</v>
      </c>
      <c r="NY108" s="0" t="n">
        <f aca="false">-(NY107-$F$59)*$B$75</f>
        <v>-5.41437561703169</v>
      </c>
      <c r="NZ108" s="0" t="n">
        <f aca="false">-(NZ107-$F$59)*$B$75</f>
        <v>-45.307856085739</v>
      </c>
      <c r="OA108" s="0" t="n">
        <f aca="false">-(OA107-$F$59)*$B$75</f>
        <v>-50.4525007803837</v>
      </c>
      <c r="OB108" s="0" t="n">
        <f aca="false">-(OB107-$F$59)*$B$75</f>
        <v>-11.0468857581694</v>
      </c>
      <c r="OC108" s="0" t="n">
        <f aca="false">-(OC107-$F$59)*$B$75</f>
        <v>-16.8130040779614</v>
      </c>
      <c r="OD108" s="0" t="n">
        <f aca="false">-(OD107-$F$59)*$B$75</f>
        <v>-18.0881844217638</v>
      </c>
      <c r="OE108" s="0" t="n">
        <f aca="false">-(OE107-$F$59)*$B$75</f>
        <v>20.8643252609176</v>
      </c>
      <c r="OF108" s="0" t="n">
        <f aca="false">-(OF107-$F$59)*$B$75</f>
        <v>-26.9164727625332</v>
      </c>
      <c r="OG108" s="0" t="n">
        <f aca="false">-(OG107-$F$59)*$B$75</f>
        <v>-92.8038375820164</v>
      </c>
      <c r="OH108" s="0" t="n">
        <f aca="false">-(OH107-$F$59)*$B$75</f>
        <v>31.4631795847769</v>
      </c>
      <c r="OI108" s="0" t="n">
        <f aca="false">-(OI107-$F$59)*$B$75</f>
        <v>8.90215939101072</v>
      </c>
      <c r="OJ108" s="0" t="n">
        <f aca="false">-(OJ107-$F$59)*$B$75</f>
        <v>145.028969784164</v>
      </c>
      <c r="OK108" s="0" t="n">
        <f aca="false">-(OK107-$F$59)*$B$75</f>
        <v>-13.8723496526669</v>
      </c>
      <c r="OL108" s="0" t="n">
        <f aca="false">-(OL107-$F$59)*$B$75</f>
        <v>-26.4905700589341</v>
      </c>
      <c r="OM108" s="0" t="n">
        <f aca="false">-(OM107-$F$59)*$B$75</f>
        <v>48.0268355607065</v>
      </c>
      <c r="ON108" s="0" t="n">
        <f aca="false">-(ON107-$F$59)*$B$75</f>
        <v>-61.0438828674494</v>
      </c>
      <c r="OO108" s="0" t="n">
        <f aca="false">-(OO107-$F$59)*$B$75</f>
        <v>-139.496485988803</v>
      </c>
      <c r="OP108" s="0" t="n">
        <f aca="false">-(OP107-$F$59)*$B$75</f>
        <v>26.3174451320431</v>
      </c>
      <c r="OQ108" s="0" t="n">
        <f aca="false">-(OQ107-$F$59)*$B$75</f>
        <v>-41.4339141199127</v>
      </c>
      <c r="OR108" s="0" t="n">
        <f aca="false">-(OR107-$F$59)*$B$75</f>
        <v>13.9322464346885</v>
      </c>
      <c r="OS108" s="0" t="n">
        <f aca="false">-(OS107-$F$59)*$B$75</f>
        <v>122.992967285901</v>
      </c>
      <c r="OT108" s="0" t="n">
        <f aca="false">-(OT107-$F$59)*$B$75</f>
        <v>-118.726472668809</v>
      </c>
      <c r="OU108" s="0" t="n">
        <f aca="false">-(OU107-$F$59)*$B$75</f>
        <v>0.232150823733627</v>
      </c>
      <c r="OV108" s="0" t="n">
        <f aca="false">-(OV107-$F$59)*$B$75</f>
        <v>39.6904329006325</v>
      </c>
      <c r="OW108" s="0" t="n">
        <f aca="false">-(OW107-$F$59)*$B$75</f>
        <v>10.2127177918281</v>
      </c>
      <c r="OX108" s="0" t="n">
        <f aca="false">-(OX107-$F$59)*$B$75</f>
        <v>65.8081110375374</v>
      </c>
      <c r="OY108" s="0" t="n">
        <f aca="false">-(OY107-$F$59)*$B$75</f>
        <v>-37.3675751592436</v>
      </c>
      <c r="OZ108" s="0" t="n">
        <f aca="false">-(OZ107-$F$59)*$B$75</f>
        <v>-122.272764189971</v>
      </c>
      <c r="PA108" s="0" t="n">
        <f aca="false">-(PA107-$F$59)*$B$75</f>
        <v>155.014043309165</v>
      </c>
      <c r="PB108" s="0" t="n">
        <f aca="false">-(PB107-$F$59)*$B$75</f>
        <v>-38.9946714218868</v>
      </c>
      <c r="PC108" s="0" t="n">
        <f aca="false">-(PC107-$F$59)*$B$75</f>
        <v>-66.9202408337533</v>
      </c>
      <c r="PD108" s="0" t="n">
        <f aca="false">-(PD107-$F$59)*$B$75</f>
        <v>60.0148989016007</v>
      </c>
      <c r="PE108" s="0" t="n">
        <f aca="false">-(PE107-$F$59)*$B$75</f>
        <v>-40.8773847142469</v>
      </c>
      <c r="PF108" s="0" t="n">
        <f aca="false">-(PF107-$F$59)*$B$75</f>
        <v>-12.7941931750985</v>
      </c>
      <c r="PG108" s="0" t="n">
        <f aca="false">-(PG107-$F$59)*$B$75</f>
        <v>-53.7946533021453</v>
      </c>
      <c r="PH108" s="0" t="n">
        <f aca="false">-(PH107-$F$59)*$B$75</f>
        <v>-1.14279266403928</v>
      </c>
      <c r="PI108" s="0" t="n">
        <f aca="false">-(PI107-$F$59)*$B$75</f>
        <v>78.8017982247728</v>
      </c>
      <c r="PJ108" s="0" t="n">
        <f aca="false">-(PJ107-$F$59)*$B$75</f>
        <v>71.1561330751573</v>
      </c>
      <c r="PK108" s="0" t="n">
        <f aca="false">-(PK107-$F$59)*$B$75</f>
        <v>-61.4495883628588</v>
      </c>
      <c r="PL108" s="0" t="n">
        <f aca="false">-(PL107-$F$59)*$B$75</f>
        <v>-49.7024254602446</v>
      </c>
      <c r="PM108" s="0" t="n">
        <f aca="false">-(PM107-$F$59)*$B$75</f>
        <v>38.7690154786776</v>
      </c>
      <c r="PN108" s="0" t="n">
        <f aca="false">-(PN107-$F$59)*$B$75</f>
        <v>-135.073589842932</v>
      </c>
      <c r="PO108" s="0" t="n">
        <f aca="false">-(PO107-$F$59)*$B$75</f>
        <v>-35.7389850299631</v>
      </c>
      <c r="PP108" s="0" t="n">
        <f aca="false">-(PP107-$F$59)*$B$75</f>
        <v>24.6039239193598</v>
      </c>
      <c r="PQ108" s="0" t="n">
        <f aca="false">-(PQ107-$F$59)*$B$75</f>
        <v>-54.6178921026742</v>
      </c>
      <c r="PR108" s="0" t="n">
        <f aca="false">-(PR107-$F$59)*$B$75</f>
        <v>-79.1627584466653</v>
      </c>
      <c r="PS108" s="0" t="n">
        <f aca="false">-(PS107-$F$59)*$B$75</f>
        <v>-162.782861229963</v>
      </c>
      <c r="PT108" s="0" t="n">
        <f aca="false">-(PT107-$F$59)*$B$75</f>
        <v>27.143248510489</v>
      </c>
      <c r="PU108" s="0" t="n">
        <f aca="false">-(PU107-$F$59)*$B$75</f>
        <v>-31.4475950114618</v>
      </c>
      <c r="PV108" s="0" t="n">
        <f aca="false">-(PV107-$F$59)*$B$75</f>
        <v>-30.4873210981714</v>
      </c>
      <c r="PW108" s="0" t="n">
        <f aca="false">-(PW107-$F$59)*$B$75</f>
        <v>72.0684537408987</v>
      </c>
      <c r="PX108" s="0" t="n">
        <f aca="false">-(PX107-$F$59)*$B$75</f>
        <v>-126.210695597855</v>
      </c>
      <c r="PY108" s="0" t="n">
        <f aca="false">-(PY107-$F$59)*$B$75</f>
        <v>118.837505749153</v>
      </c>
      <c r="PZ108" s="0" t="n">
        <f aca="false">-(PZ107-$F$59)*$B$75</f>
        <v>102.928638775347</v>
      </c>
      <c r="QA108" s="0" t="n">
        <f aca="false">-(QA107-$F$59)*$B$75</f>
        <v>-16.8366855440859</v>
      </c>
      <c r="QB108" s="0" t="n">
        <f aca="false">-(QB107-$F$59)*$B$75</f>
        <v>64.64415023188</v>
      </c>
      <c r="QC108" s="0" t="n">
        <f aca="false">-(QC107-$F$59)*$B$75</f>
        <v>-72.713185391431</v>
      </c>
      <c r="QD108" s="0" t="n">
        <f aca="false">-(QD107-$F$59)*$B$75</f>
        <v>18.203457401605</v>
      </c>
      <c r="QE108" s="0" t="n">
        <f aca="false">-(QE107-$F$59)*$B$75</f>
        <v>-45.8905804670032</v>
      </c>
      <c r="QF108" s="0" t="n">
        <f aca="false">-(QF107-$F$59)*$B$75</f>
        <v>-105.063488702503</v>
      </c>
      <c r="QG108" s="0" t="n">
        <f aca="false">-(QG107-$F$59)*$B$75</f>
        <v>-48.8962631551622</v>
      </c>
      <c r="QH108" s="0" t="n">
        <f aca="false">-(QH107-$F$59)*$B$75</f>
        <v>40.3330960099317</v>
      </c>
      <c r="QI108" s="0" t="n">
        <f aca="false">-(QI107-$F$59)*$B$75</f>
        <v>17.0450870089191</v>
      </c>
      <c r="QJ108" s="0" t="n">
        <f aca="false">-(QJ107-$F$59)*$B$75</f>
        <v>91.3896376553708</v>
      </c>
      <c r="QK108" s="0" t="n">
        <f aca="false">-(QK107-$F$59)*$B$75</f>
        <v>15.1549836255739</v>
      </c>
      <c r="QL108" s="0" t="n">
        <f aca="false">-(QL107-$F$59)*$B$75</f>
        <v>128.747923721097</v>
      </c>
      <c r="QM108" s="0" t="n">
        <f aca="false">-(QM107-$F$59)*$B$75</f>
        <v>6.99048640286528</v>
      </c>
      <c r="QN108" s="0" t="n">
        <f aca="false">-(QN107-$F$59)*$B$75</f>
        <v>-23.2917306584446</v>
      </c>
      <c r="QO108" s="0" t="n">
        <f aca="false">-(QO107-$F$59)*$B$75</f>
        <v>3.79651104857166</v>
      </c>
      <c r="QP108" s="0" t="n">
        <f aca="false">-(QP107-$F$59)*$B$75</f>
        <v>123.088106763232</v>
      </c>
      <c r="QQ108" s="0" t="n">
        <f aca="false">-(QQ107-$F$59)*$B$75</f>
        <v>-11.7820659004449</v>
      </c>
      <c r="QR108" s="0" t="n">
        <f aca="false">-(QR107-$F$59)*$B$75</f>
        <v>54.635808610741</v>
      </c>
      <c r="QS108" s="0" t="n">
        <f aca="false">-(QS107-$F$59)*$B$75</f>
        <v>116.407445262268</v>
      </c>
      <c r="QT108" s="0" t="n">
        <f aca="false">-(QT107-$F$59)*$B$75</f>
        <v>75.328970707679</v>
      </c>
      <c r="QU108" s="0" t="n">
        <f aca="false">-(QU107-$F$59)*$B$75</f>
        <v>-1.3421079089364</v>
      </c>
      <c r="QV108" s="0" t="n">
        <f aca="false">-(QV107-$F$59)*$B$75</f>
        <v>-21.3842029787436</v>
      </c>
      <c r="QW108" s="0" t="n">
        <f aca="false">-(QW107-$F$59)*$B$75</f>
        <v>-81.0359140806901</v>
      </c>
      <c r="QX108" s="0" t="n">
        <f aca="false">-(QX107-$F$59)*$B$75</f>
        <v>-242.766773753156</v>
      </c>
      <c r="QY108" s="0" t="n">
        <f aca="false">-(QY107-$F$59)*$B$75</f>
        <v>-91.215668832815</v>
      </c>
      <c r="QZ108" s="0" t="n">
        <f aca="false">-(QZ107-$F$59)*$B$75</f>
        <v>19.5125024950718</v>
      </c>
      <c r="RA108" s="0" t="n">
        <f aca="false">-(RA107-$F$59)*$B$75</f>
        <v>-77.7973733282299</v>
      </c>
      <c r="RB108" s="0" t="n">
        <f aca="false">-(RB107-$F$59)*$B$75</f>
        <v>7.77960869665085</v>
      </c>
      <c r="RC108" s="0" t="n">
        <f aca="false">-(RC107-$F$59)*$B$75</f>
        <v>62.0413860204018</v>
      </c>
      <c r="RD108" s="0" t="n">
        <f aca="false">-(RD107-$F$59)*$B$75</f>
        <v>88.1632189531464</v>
      </c>
      <c r="RE108" s="0" t="n">
        <f aca="false">-(RE107-$F$59)*$B$75</f>
        <v>59.1246845004277</v>
      </c>
      <c r="RF108" s="0" t="n">
        <f aca="false">-(RF107-$F$59)*$B$75</f>
        <v>40.8656573312715</v>
      </c>
      <c r="RG108" s="0" t="n">
        <f aca="false">-(RG107-$F$59)*$B$75</f>
        <v>76.9613835260951</v>
      </c>
      <c r="RH108" s="0" t="n">
        <f aca="false">-(RH107-$F$59)*$B$75</f>
        <v>32.073182081998</v>
      </c>
      <c r="RI108" s="0" t="n">
        <f aca="false">-(RI107-$F$59)*$B$75</f>
        <v>66.3284074476116</v>
      </c>
      <c r="RJ108" s="0" t="n">
        <f aca="false">-(RJ107-$F$59)*$B$75</f>
        <v>87.8615622257851</v>
      </c>
      <c r="RK108" s="0" t="n">
        <f aca="false">-(RK107-$F$59)*$B$75</f>
        <v>-124.202456141643</v>
      </c>
      <c r="RL108" s="0" t="n">
        <f aca="false">-(RL107-$F$59)*$B$75</f>
        <v>-132.689461947679</v>
      </c>
      <c r="RM108" s="0" t="n">
        <f aca="false">-(RM107-$F$59)*$B$75</f>
        <v>120.256354252568</v>
      </c>
      <c r="RN108" s="0" t="n">
        <f aca="false">-(RN107-$F$59)*$B$75</f>
        <v>43.1701815422958</v>
      </c>
      <c r="RO108" s="0" t="n">
        <f aca="false">-(RO107-$F$59)*$B$75</f>
        <v>-112.940328881916</v>
      </c>
      <c r="RP108" s="0" t="n">
        <f aca="false">-(RP107-$F$59)*$B$75</f>
        <v>31.8656512792791</v>
      </c>
      <c r="RQ108" s="0" t="n">
        <f aca="false">-(RQ107-$F$59)*$B$75</f>
        <v>-43.268261587091</v>
      </c>
      <c r="RR108" s="0" t="n">
        <f aca="false">-(RR107-$F$59)*$B$75</f>
        <v>-91.4202334051941</v>
      </c>
      <c r="RS108" s="0" t="n">
        <f aca="false">-(RS107-$F$59)*$B$75</f>
        <v>2.9930058887021</v>
      </c>
      <c r="RT108" s="0" t="n">
        <f aca="false">-(RT107-$F$59)*$B$75</f>
        <v>43.7566827435802</v>
      </c>
      <c r="RU108" s="0" t="n">
        <f aca="false">-(RU107-$F$59)*$B$75</f>
        <v>-70.3254234380715</v>
      </c>
      <c r="RV108" s="0" t="n">
        <f aca="false">-(RV107-$F$59)*$B$75</f>
        <v>-123.33724206172</v>
      </c>
      <c r="RW108" s="0" t="n">
        <f aca="false">-(RW107-$F$59)*$B$75</f>
        <v>-16.6698097441666</v>
      </c>
      <c r="RX108" s="0" t="n">
        <f aca="false">-(RX107-$F$59)*$B$75</f>
        <v>-70.7198785407451</v>
      </c>
      <c r="RY108" s="0" t="n">
        <f aca="false">-(RY107-$F$59)*$B$75</f>
        <v>39.8255356897439</v>
      </c>
      <c r="RZ108" s="0" t="n">
        <f aca="false">-(RZ107-$F$59)*$B$75</f>
        <v>22.8460104879761</v>
      </c>
      <c r="SA108" s="0" t="n">
        <f aca="false">-(SA107-$F$59)*$B$75</f>
        <v>-56.8511788550255</v>
      </c>
      <c r="SB108" s="0" t="n">
        <f aca="false">-(SB107-$F$59)*$B$75</f>
        <v>11.8633923590852</v>
      </c>
      <c r="SC108" s="0" t="n">
        <f aca="false">-(SC107-$F$59)*$B$75</f>
        <v>-107.296962339919</v>
      </c>
      <c r="SD108" s="0" t="n">
        <f aca="false">-(SD107-$F$59)*$B$75</f>
        <v>75.9280969028593</v>
      </c>
      <c r="SE108" s="0" t="n">
        <f aca="false">-(SE107-$F$59)*$B$75</f>
        <v>38.3170442569413</v>
      </c>
      <c r="SF108" s="0" t="n">
        <f aca="false">-(SF107-$F$59)*$B$75</f>
        <v>-1.66991860163071</v>
      </c>
      <c r="SG108" s="0" t="n">
        <f aca="false">-(SG107-$F$59)*$B$75</f>
        <v>22.924347911641</v>
      </c>
      <c r="SH108" s="0" t="n">
        <f aca="false">-(SH107-$F$59)*$B$75</f>
        <v>-78.9159852418799</v>
      </c>
      <c r="SI108" s="0" t="n">
        <f aca="false">-(SI107-$F$59)*$B$75</f>
        <v>10.6394033007288</v>
      </c>
      <c r="SJ108" s="0" t="n">
        <f aca="false">-(SJ107-$F$59)*$B$75</f>
        <v>-84.4601216069699</v>
      </c>
      <c r="SK108" s="0" t="n">
        <f aca="false">-(SK107-$F$59)*$B$75</f>
        <v>59.5264072713586</v>
      </c>
      <c r="SL108" s="0" t="n">
        <f aca="false">-(SL107-$F$59)*$B$75</f>
        <v>22.5792034661159</v>
      </c>
      <c r="SM108" s="0" t="n">
        <f aca="false">-(SM107-$F$59)*$B$75</f>
        <v>-12.4794444664911</v>
      </c>
      <c r="SN108" s="0" t="n">
        <f aca="false">-(SN107-$F$59)*$B$75</f>
        <v>135.717745252718</v>
      </c>
      <c r="SO108" s="0" t="n">
        <f aca="false">-(SO107-$F$59)*$B$75</f>
        <v>46.3006898305282</v>
      </c>
      <c r="SP108" s="0" t="n">
        <f aca="false">-(SP107-$F$59)*$B$75</f>
        <v>55.5833766340533</v>
      </c>
      <c r="SQ108" s="0" t="n">
        <f aca="false">-(SQ107-$F$59)*$B$75</f>
        <v>-48.8331004740154</v>
      </c>
      <c r="SR108" s="0" t="n">
        <f aca="false">-(SR107-$F$59)*$B$75</f>
        <v>72.2111513761363</v>
      </c>
      <c r="SS108" s="0" t="n">
        <f aca="false">-(SS107-$F$59)*$B$75</f>
        <v>-29.6079947984239</v>
      </c>
      <c r="ST108" s="0" t="n">
        <f aca="false">-(ST107-$F$59)*$B$75</f>
        <v>-8.48583039689456</v>
      </c>
      <c r="SU108" s="0" t="n">
        <f aca="false">-(SU107-$F$59)*$B$75</f>
        <v>100.785571751728</v>
      </c>
      <c r="SV108" s="0" t="n">
        <f aca="false">-(SV107-$F$59)*$B$75</f>
        <v>69.9244123765419</v>
      </c>
      <c r="SW108" s="0" t="n">
        <f aca="false">-(SW107-$F$59)*$B$75</f>
        <v>-124.937038202072</v>
      </c>
      <c r="SX108" s="0" t="n">
        <f aca="false">-(SX107-$F$59)*$B$75</f>
        <v>-77.9210868718783</v>
      </c>
      <c r="SY108" s="0" t="n">
        <f aca="false">-(SY107-$F$59)*$B$75</f>
        <v>-48.0300346315244</v>
      </c>
      <c r="SZ108" s="0" t="n">
        <f aca="false">-(SZ107-$F$59)*$B$75</f>
        <v>-104.313298616312</v>
      </c>
      <c r="TA108" s="0" t="n">
        <f aca="false">-(TA107-$F$59)*$B$75</f>
        <v>86.0430864207146</v>
      </c>
      <c r="TB108" s="0" t="n">
        <f aca="false">-(TB107-$F$59)*$B$75</f>
        <v>-7.0419987949047</v>
      </c>
      <c r="TC108" s="0" t="n">
        <f aca="false">-(TC107-$F$59)*$B$75</f>
        <v>56.2738806023446</v>
      </c>
      <c r="TD108" s="0" t="n">
        <f aca="false">-(TD107-$F$59)*$B$75</f>
        <v>-120.359087888559</v>
      </c>
      <c r="TE108" s="0" t="n">
        <f aca="false">-(TE107-$F$59)*$B$75</f>
        <v>171.961279087856</v>
      </c>
      <c r="TF108" s="0" t="n">
        <f aca="false">-(TF107-$F$59)*$B$75</f>
        <v>-10.8885856923631</v>
      </c>
      <c r="TG108" s="0" t="n">
        <f aca="false">-(TG107-$F$59)*$B$75</f>
        <v>6.33574932161446</v>
      </c>
      <c r="TH108" s="0" t="n">
        <f aca="false">-(TH107-$F$59)*$B$75</f>
        <v>30.8204130559527</v>
      </c>
      <c r="TI108" s="0" t="n">
        <f aca="false">-(TI107-$F$59)*$B$75</f>
        <v>-120.411232458877</v>
      </c>
      <c r="TJ108" s="0" t="n">
        <f aca="false">-(TJ107-$F$59)*$B$75</f>
        <v>113.722609019976</v>
      </c>
      <c r="TK108" s="0" t="n">
        <f aca="false">-(TK107-$F$59)*$B$75</f>
        <v>-65.0870194291107</v>
      </c>
      <c r="TL108" s="0" t="n">
        <f aca="false">-(TL107-$F$59)*$B$75</f>
        <v>187.67882375147</v>
      </c>
      <c r="TM108" s="0" t="n">
        <f aca="false">-(TM107-$F$59)*$B$75</f>
        <v>-50.4742428468482</v>
      </c>
      <c r="TN108" s="0" t="n">
        <f aca="false">-(TN107-$F$59)*$B$75</f>
        <v>-16.5666387440207</v>
      </c>
      <c r="TO108" s="0" t="n">
        <f aca="false">-(TO107-$F$59)*$B$75</f>
        <v>-38.1713012839044</v>
      </c>
      <c r="TP108" s="0" t="n">
        <f aca="false">-(TP107-$F$59)*$B$75</f>
        <v>35.4330694399111</v>
      </c>
      <c r="TQ108" s="0" t="n">
        <f aca="false">-(TQ107-$F$59)*$B$75</f>
        <v>151.065200335284</v>
      </c>
      <c r="TR108" s="0" t="n">
        <f aca="false">-(TR107-$F$59)*$B$75</f>
        <v>-143.515148510432</v>
      </c>
      <c r="TS108" s="0" t="n">
        <f aca="false">-(TS107-$F$59)*$B$75</f>
        <v>-100.037743455719</v>
      </c>
      <c r="TT108" s="0" t="n">
        <f aca="false">-(TT107-$F$59)*$B$75</f>
        <v>20.1223808285728</v>
      </c>
      <c r="TU108" s="0" t="n">
        <f aca="false">-(TU107-$F$59)*$B$75</f>
        <v>-29.3051864947278</v>
      </c>
      <c r="TV108" s="0" t="n">
        <f aca="false">-(TV107-$F$59)*$B$75</f>
        <v>-19.7416940762185</v>
      </c>
      <c r="TW108" s="0" t="n">
        <f aca="false">-(TW107-$F$59)*$B$75</f>
        <v>-44.1540300319264</v>
      </c>
      <c r="TX108" s="0" t="n">
        <f aca="false">-(TX107-$F$59)*$B$75</f>
        <v>-55.3586173807089</v>
      </c>
      <c r="TY108" s="0" t="n">
        <f aca="false">-(TY107-$F$59)*$B$75</f>
        <v>-173.220074976153</v>
      </c>
      <c r="TZ108" s="0" t="n">
        <f aca="false">-(TZ107-$F$59)*$B$75</f>
        <v>44.0353857849326</v>
      </c>
      <c r="UA108" s="0" t="n">
        <f aca="false">-(UA107-$F$59)*$B$75</f>
        <v>20.2368784259276</v>
      </c>
      <c r="UB108" s="0" t="n">
        <f aca="false">-(UB107-$F$59)*$B$75</f>
        <v>-63.7877035361704</v>
      </c>
      <c r="UC108" s="0" t="n">
        <f aca="false">-(UC107-$F$59)*$B$75</f>
        <v>114.619203352344</v>
      </c>
      <c r="UD108" s="0" t="n">
        <f aca="false">-(UD107-$F$59)*$B$75</f>
        <v>97.1685080908091</v>
      </c>
      <c r="UE108" s="0" t="n">
        <f aca="false">-(UE107-$F$59)*$B$75</f>
        <v>-0.930455565964712</v>
      </c>
      <c r="UF108" s="0" t="n">
        <f aca="false">-(UF107-$F$59)*$B$75</f>
        <v>13.6510784055271</v>
      </c>
      <c r="UG108" s="0" t="n">
        <f aca="false">-(UG107-$F$59)*$B$75</f>
        <v>-0.658898457007581</v>
      </c>
      <c r="UH108" s="0" t="n">
        <f aca="false">-(UH107-$F$59)*$B$75</f>
        <v>13.6324849745545</v>
      </c>
      <c r="UI108" s="0" t="n">
        <f aca="false">-(UI107-$F$59)*$B$75</f>
        <v>-13.8025504820496</v>
      </c>
      <c r="UJ108" s="0" t="n">
        <f aca="false">-(UJ107-$F$59)*$B$75</f>
        <v>22.1905009621096</v>
      </c>
      <c r="UK108" s="0" t="n">
        <f aca="false">-(UK107-$F$59)*$B$75</f>
        <v>-58.7278438961188</v>
      </c>
      <c r="UL108" s="0" t="n">
        <f aca="false">-(UL107-$F$59)*$B$75</f>
        <v>45.5064054852806</v>
      </c>
      <c r="UM108" s="0" t="n">
        <f aca="false">-(UM107-$F$59)*$B$75</f>
        <v>131.68438751513</v>
      </c>
      <c r="UN108" s="0" t="n">
        <f aca="false">-(UN107-$F$59)*$B$75</f>
        <v>23.5249086860774</v>
      </c>
      <c r="UO108" s="0" t="n">
        <f aca="false">-(UO107-$F$59)*$B$75</f>
        <v>-52.6939668119543</v>
      </c>
      <c r="UP108" s="0" t="n">
        <f aca="false">-(UP107-$F$59)*$B$75</f>
        <v>58.2167590081328</v>
      </c>
      <c r="UQ108" s="0" t="n">
        <f aca="false">-(UQ107-$F$59)*$B$75</f>
        <v>-131.731570678027</v>
      </c>
      <c r="UR108" s="0" t="n">
        <f aca="false">-(UR107-$F$59)*$B$75</f>
        <v>11.6712467917458</v>
      </c>
      <c r="US108" s="0" t="n">
        <f aca="false">-(US107-$F$59)*$B$75</f>
        <v>-41.5884453664432</v>
      </c>
      <c r="UT108" s="0" t="n">
        <f aca="false">-(UT107-$F$59)*$B$75</f>
        <v>-2.40074558887618</v>
      </c>
      <c r="UU108" s="0" t="n">
        <f aca="false">-(UU107-$F$59)*$B$75</f>
        <v>32.5322086181612</v>
      </c>
      <c r="UV108" s="0" t="n">
        <f aca="false">-(UV107-$F$59)*$B$75</f>
        <v>-91.1167812826829</v>
      </c>
      <c r="UW108" s="0" t="n">
        <f aca="false">-(UW107-$F$59)*$B$75</f>
        <v>-66.6500696392002</v>
      </c>
      <c r="UX108" s="0" t="n">
        <f aca="false">-(UX107-$F$59)*$B$75</f>
        <v>31.4844765608711</v>
      </c>
      <c r="UY108" s="0" t="n">
        <f aca="false">-(UY107-$F$59)*$B$75</f>
        <v>206.612243166746</v>
      </c>
      <c r="UZ108" s="0" t="n">
        <f aca="false">-(UZ107-$F$59)*$B$75</f>
        <v>115.533534133185</v>
      </c>
      <c r="VA108" s="0" t="n">
        <f aca="false">-(VA107-$F$59)*$B$75</f>
        <v>54.1709979038653</v>
      </c>
      <c r="VB108" s="0" t="n">
        <f aca="false">-(VB107-$F$59)*$B$75</f>
        <v>126.140779797141</v>
      </c>
      <c r="VC108" s="0" t="n">
        <f aca="false">-(VC107-$F$59)*$B$75</f>
        <v>52.5226340152748</v>
      </c>
      <c r="VD108" s="0" t="n">
        <f aca="false">-(VD107-$F$59)*$B$75</f>
        <v>-30.3723624842854</v>
      </c>
      <c r="VE108" s="0" t="n">
        <f aca="false">-(VE107-$F$59)*$B$75</f>
        <v>42.0300896445541</v>
      </c>
      <c r="VF108" s="0" t="n">
        <f aca="false">-(VF107-$F$59)*$B$75</f>
        <v>-85.9998184025495</v>
      </c>
      <c r="VG108" s="0" t="n">
        <f aca="false">-(VG107-$F$59)*$B$75</f>
        <v>-56.4556896416125</v>
      </c>
      <c r="VH108" s="0" t="n">
        <f aca="false">-(VH107-$F$59)*$B$75</f>
        <v>-146.914882800236</v>
      </c>
      <c r="VI108" s="0" t="n">
        <f aca="false">-(VI107-$F$59)*$B$75</f>
        <v>101.223610015506</v>
      </c>
      <c r="VJ108" s="0" t="n">
        <f aca="false">-(VJ107-$F$59)*$B$75</f>
        <v>-124.181160389822</v>
      </c>
      <c r="VK108" s="0" t="n">
        <f aca="false">-(VK107-$F$59)*$B$75</f>
        <v>-33.7905826467913</v>
      </c>
      <c r="VL108" s="0" t="n">
        <f aca="false">-(VL107-$F$59)*$B$75</f>
        <v>-21.7616042343912</v>
      </c>
      <c r="VM108" s="0" t="n">
        <f aca="false">-(VM107-$F$59)*$B$75</f>
        <v>6.38181596578361</v>
      </c>
      <c r="VN108" s="0" t="n">
        <f aca="false">-(VN107-$F$59)*$B$75</f>
        <v>-33.066608304293</v>
      </c>
      <c r="VO108" s="0" t="n">
        <f aca="false">-(VO107-$F$59)*$B$75</f>
        <v>117.116029054859</v>
      </c>
      <c r="VP108" s="0" t="n">
        <f aca="false">-(VP107-$F$59)*$B$75</f>
        <v>31.4324390895898</v>
      </c>
      <c r="VQ108" s="0" t="n">
        <f aca="false">-(VQ107-$F$59)*$B$75</f>
        <v>103.835388742658</v>
      </c>
      <c r="VR108" s="0" t="n">
        <f aca="false">-(VR107-$F$59)*$B$75</f>
        <v>44.6045163256064</v>
      </c>
      <c r="VS108" s="0" t="n">
        <f aca="false">-(VS107-$F$59)*$B$75</f>
        <v>-1.89109446018611</v>
      </c>
      <c r="VT108" s="0" t="n">
        <f aca="false">-(VT107-$F$59)*$B$75</f>
        <v>-29.0150869398594</v>
      </c>
      <c r="VU108" s="0" t="n">
        <f aca="false">-(VU107-$F$59)*$B$75</f>
        <v>-36.8367883097484</v>
      </c>
      <c r="VV108" s="0" t="n">
        <f aca="false">-(VV107-$F$59)*$B$75</f>
        <v>-160.613818335156</v>
      </c>
      <c r="VW108" s="0" t="n">
        <f aca="false">-(VW107-$F$59)*$B$75</f>
        <v>38.1228806227491</v>
      </c>
      <c r="VX108" s="0" t="n">
        <f aca="false">-(VX107-$F$59)*$B$75</f>
        <v>-90.2119785913759</v>
      </c>
      <c r="VY108" s="0" t="n">
        <f aca="false">-(VY107-$F$59)*$B$75</f>
        <v>0.215073076719636</v>
      </c>
      <c r="VZ108" s="0" t="n">
        <f aca="false">-(VZ107-$F$59)*$B$75</f>
        <v>52.0915488493106</v>
      </c>
      <c r="WA108" s="0" t="n">
        <f aca="false">-(WA107-$F$59)*$B$75</f>
        <v>-185.798479744863</v>
      </c>
      <c r="WB108" s="0" t="n">
        <f aca="false">-(WB107-$F$59)*$B$75</f>
        <v>37.9003240199724</v>
      </c>
      <c r="WC108" s="0" t="n">
        <f aca="false">-(WC107-$F$59)*$B$75</f>
        <v>63.9313111208641</v>
      </c>
      <c r="WD108" s="0" t="n">
        <f aca="false">-(WD107-$F$59)*$B$75</f>
        <v>36.0807034490632</v>
      </c>
      <c r="WE108" s="0" t="n">
        <f aca="false">-(WE107-$F$59)*$B$75</f>
        <v>-32.8270129786148</v>
      </c>
      <c r="WF108" s="0" t="n">
        <f aca="false">-(WF107-$F$59)*$B$75</f>
        <v>111.052406509507</v>
      </c>
      <c r="WG108" s="0" t="n">
        <f aca="false">-(WG107-$F$59)*$B$75</f>
        <v>-51.1887886504943</v>
      </c>
      <c r="WH108" s="0" t="n">
        <f aca="false">-(WH107-$F$59)*$B$75</f>
        <v>-27.7726113560631</v>
      </c>
      <c r="WI108" s="0" t="n">
        <f aca="false">-(WI107-$F$59)*$B$75</f>
        <v>59.0537912431842</v>
      </c>
      <c r="WJ108" s="0" t="n">
        <f aca="false">-(WJ107-$F$59)*$B$75</f>
        <v>34.7793409346871</v>
      </c>
      <c r="WK108" s="0" t="n">
        <f aca="false">-(WK107-$F$59)*$B$75</f>
        <v>-119.355529167714</v>
      </c>
      <c r="WL108" s="0" t="n">
        <f aca="false">-(WL107-$F$59)*$B$75</f>
        <v>-74.9615171891855</v>
      </c>
      <c r="WM108" s="0" t="n">
        <f aca="false">-(WM107-$F$59)*$B$75</f>
        <v>-26.7775453321625</v>
      </c>
      <c r="WN108" s="0" t="n">
        <f aca="false">-(WN107-$F$59)*$B$75</f>
        <v>-109.069703503231</v>
      </c>
      <c r="WO108" s="0" t="n">
        <f aca="false">-(WO107-$F$59)*$B$75</f>
        <v>-22.1716185927715</v>
      </c>
      <c r="WP108" s="0" t="n">
        <f aca="false">-(WP107-$F$59)*$B$75</f>
        <v>19.937798277318</v>
      </c>
      <c r="WQ108" s="0" t="n">
        <f aca="false">-(WQ107-$F$59)*$B$75</f>
        <v>-109.833475167147</v>
      </c>
      <c r="WR108" s="0" t="n">
        <f aca="false">-(WR107-$F$59)*$B$75</f>
        <v>-41.7744371156232</v>
      </c>
      <c r="WS108" s="0" t="n">
        <f aca="false">-(WS107-$F$59)*$B$75</f>
        <v>205.046779362593</v>
      </c>
      <c r="WT108" s="0" t="n">
        <f aca="false">-(WT107-$F$59)*$B$75</f>
        <v>-32.3778776134492</v>
      </c>
      <c r="WU108" s="0" t="n">
        <f aca="false">-(WU107-$F$59)*$B$75</f>
        <v>38.5932991895041</v>
      </c>
      <c r="WV108" s="0" t="n">
        <f aca="false">-(WV107-$F$59)*$B$75</f>
        <v>19.5529137913391</v>
      </c>
      <c r="WW108" s="0" t="n">
        <f aca="false">-(WW107-$F$59)*$B$75</f>
        <v>73.9956955328409</v>
      </c>
      <c r="WX108" s="0" t="n">
        <f aca="false">-(WX107-$F$59)*$B$75</f>
        <v>-21.9971156256155</v>
      </c>
      <c r="WY108" s="0" t="n">
        <f aca="false">-(WY107-$F$59)*$B$75</f>
        <v>31.8101322152935</v>
      </c>
      <c r="WZ108" s="0" t="n">
        <f aca="false">-(WZ107-$F$59)*$B$75</f>
        <v>3.96038756422595</v>
      </c>
      <c r="XA108" s="0" t="n">
        <f aca="false">-(XA107-$F$59)*$B$75</f>
        <v>22.4403358273642</v>
      </c>
      <c r="XB108" s="0" t="n">
        <f aca="false">-(XB107-$F$59)*$B$75</f>
        <v>85.4701813167293</v>
      </c>
      <c r="XC108" s="0" t="n">
        <f aca="false">-(XC107-$F$59)*$B$75</f>
        <v>-88.146484375963</v>
      </c>
      <c r="XD108" s="0" t="n">
        <f aca="false">-(XD107-$F$59)*$B$75</f>
        <v>-0.997913513298681</v>
      </c>
      <c r="XE108" s="0" t="n">
        <f aca="false">-(XE107-$F$59)*$B$75</f>
        <v>88.2012826194145</v>
      </c>
      <c r="XF108" s="0" t="n">
        <f aca="false">-(XF107-$F$59)*$B$75</f>
        <v>-146.33718164266</v>
      </c>
      <c r="XG108" s="0" t="n">
        <f aca="false">-(XG107-$F$59)*$B$75</f>
        <v>-28.2963681657353</v>
      </c>
      <c r="XH108" s="0" t="n">
        <f aca="false">-(XH107-$F$59)*$B$75</f>
        <v>-60.9338392015645</v>
      </c>
      <c r="XI108" s="0" t="n">
        <f aca="false">-(XI107-$F$59)*$B$75</f>
        <v>119.771860742177</v>
      </c>
      <c r="XJ108" s="0" t="n">
        <f aca="false">-(XJ107-$F$59)*$B$75</f>
        <v>-50.6021387578967</v>
      </c>
      <c r="XK108" s="0" t="n">
        <f aca="false">-(XK107-$F$59)*$B$75</f>
        <v>-4.48708692649152</v>
      </c>
      <c r="XL108" s="0" t="n">
        <f aca="false">-(XL107-$F$59)*$B$75</f>
        <v>-13.2858027391056</v>
      </c>
      <c r="XM108" s="0" t="n">
        <f aca="false">-(XM107-$F$59)*$B$75</f>
        <v>97.3408267949901</v>
      </c>
      <c r="XN108" s="0" t="n">
        <f aca="false">-(XN107-$F$59)*$B$75</f>
        <v>34.5754779291626</v>
      </c>
      <c r="XO108" s="0" t="n">
        <f aca="false">-(XO107-$F$59)*$B$75</f>
        <v>19.9452021149907</v>
      </c>
      <c r="XP108" s="0" t="n">
        <f aca="false">-(XP107-$F$59)*$B$75</f>
        <v>-135.328954857744</v>
      </c>
      <c r="XQ108" s="0" t="n">
        <f aca="false">-(XQ107-$F$59)*$B$75</f>
        <v>-29.7882514283205</v>
      </c>
      <c r="XR108" s="0" t="n">
        <f aca="false">-(XR107-$F$59)*$B$75</f>
        <v>-15.8305496610216</v>
      </c>
      <c r="XS108" s="0" t="n">
        <f aca="false">-(XS107-$F$59)*$B$75</f>
        <v>-75.73684919691</v>
      </c>
      <c r="XT108" s="0" t="n">
        <f aca="false">-(XT107-$F$59)*$B$75</f>
        <v>30.4550662930506</v>
      </c>
      <c r="XU108" s="0" t="n">
        <f aca="false">-(XU107-$F$59)*$B$75</f>
        <v>-119.548129928712</v>
      </c>
      <c r="XV108" s="0" t="n">
        <f aca="false">-(XV107-$F$59)*$B$75</f>
        <v>95.8459971259554</v>
      </c>
      <c r="XW108" s="0" t="n">
        <f aca="false">-(XW107-$F$59)*$B$75</f>
        <v>0.839387470126985</v>
      </c>
      <c r="XX108" s="0" t="n">
        <f aca="false">-(XX107-$F$59)*$B$75</f>
        <v>-68.2814932630425</v>
      </c>
      <c r="XY108" s="0" t="n">
        <f aca="false">-(XY107-$F$59)*$B$75</f>
        <v>-41.9640557199991</v>
      </c>
      <c r="XZ108" s="0" t="n">
        <f aca="false">-(XZ107-$F$59)*$B$75</f>
        <v>11.3725692069585</v>
      </c>
      <c r="YA108" s="0" t="n">
        <f aca="false">-(YA107-$F$59)*$B$75</f>
        <v>-62.8376986269388</v>
      </c>
      <c r="YB108" s="0" t="n">
        <f aca="false">-(YB107-$F$59)*$B$75</f>
        <v>-38.0856465177998</v>
      </c>
      <c r="YC108" s="0" t="n">
        <f aca="false">-(YC107-$F$59)*$B$75</f>
        <v>-9.94798538755395</v>
      </c>
      <c r="YD108" s="0" t="n">
        <f aca="false">-(YD107-$F$59)*$B$75</f>
        <v>216.846700960807</v>
      </c>
      <c r="YE108" s="0" t="n">
        <f aca="false">-(YE107-$F$59)*$B$75</f>
        <v>179.006969146647</v>
      </c>
      <c r="YF108" s="0" t="n">
        <f aca="false">-(YF107-$F$59)*$B$75</f>
        <v>-62.8401542000693</v>
      </c>
      <c r="YG108" s="0" t="n">
        <f aca="false">-(YG107-$F$59)*$B$75</f>
        <v>119.353652689792</v>
      </c>
      <c r="YH108" s="0" t="n">
        <f aca="false">-(YH107-$F$59)*$B$75</f>
        <v>-246.097028481854</v>
      </c>
      <c r="YI108" s="0" t="n">
        <f aca="false">-(YI107-$F$59)*$B$75</f>
        <v>44.2534840725137</v>
      </c>
      <c r="YJ108" s="0" t="n">
        <f aca="false">-(YJ107-$F$59)*$B$75</f>
        <v>122.649928099363</v>
      </c>
      <c r="YK108" s="0" t="n">
        <f aca="false">-(YK107-$F$59)*$B$75</f>
        <v>-36.1139823411701</v>
      </c>
      <c r="YL108" s="0" t="n">
        <f aca="false">-(YL107-$F$59)*$B$75</f>
        <v>-135.440091200975</v>
      </c>
      <c r="YM108" s="0" t="n">
        <f aca="false">-(YM107-$F$59)*$B$75</f>
        <v>0.949603015054254</v>
      </c>
      <c r="YN108" s="0" t="n">
        <f aca="false">-(YN107-$F$59)*$B$75</f>
        <v>67.8995770387239</v>
      </c>
      <c r="YO108" s="0" t="n">
        <f aca="false">-(YO107-$F$59)*$B$75</f>
        <v>47.5280917910529</v>
      </c>
      <c r="YP108" s="0" t="n">
        <f aca="false">-(YP107-$F$59)*$B$75</f>
        <v>-159.869878944761</v>
      </c>
      <c r="YQ108" s="0" t="n">
        <f aca="false">-(YQ107-$F$59)*$B$75</f>
        <v>-23.6888823536288</v>
      </c>
      <c r="YR108" s="0" t="n">
        <f aca="false">-(YR107-$F$59)*$B$75</f>
        <v>-95.647576456837</v>
      </c>
      <c r="YS108" s="0" t="n">
        <f aca="false">-(YS107-$F$59)*$B$75</f>
        <v>40.4328727478101</v>
      </c>
      <c r="YT108" s="0" t="n">
        <f aca="false">-(YT107-$F$59)*$B$75</f>
        <v>73.3969515905683</v>
      </c>
      <c r="YU108" s="0" t="n">
        <f aca="false">-(YU107-$F$59)*$B$75</f>
        <v>-10.7858494656319</v>
      </c>
      <c r="YV108" s="0" t="n">
        <f aca="false">-(YV107-$F$59)*$B$75</f>
        <v>20.0083538754706</v>
      </c>
      <c r="YW108" s="0" t="n">
        <f aca="false">-(YW107-$F$59)*$B$75</f>
        <v>-83.112973914945</v>
      </c>
      <c r="YX108" s="0" t="n">
        <f aca="false">-(YX107-$F$59)*$B$75</f>
        <v>6.78722175760013</v>
      </c>
      <c r="YY108" s="0" t="n">
        <f aca="false">-(YY107-$F$59)*$B$75</f>
        <v>61.9481129805045</v>
      </c>
      <c r="YZ108" s="0" t="n">
        <f aca="false">-(YZ107-$F$59)*$B$75</f>
        <v>37.8821085952873</v>
      </c>
      <c r="ZA108" s="0" t="n">
        <f aca="false">-(ZA107-$F$59)*$B$75</f>
        <v>139.816121644647</v>
      </c>
      <c r="ZB108" s="0" t="n">
        <f aca="false">-(ZB107-$F$59)*$B$75</f>
        <v>92.3226538596902</v>
      </c>
      <c r="ZC108" s="0" t="n">
        <f aca="false">-(ZC107-$F$59)*$B$75</f>
        <v>-76.4812534403996</v>
      </c>
      <c r="ZD108" s="0" t="n">
        <f aca="false">-(ZD107-$F$59)*$B$75</f>
        <v>-115.285021376381</v>
      </c>
      <c r="ZE108" s="0" t="n">
        <f aca="false">-(ZE107-$F$59)*$B$75</f>
        <v>-5.39790931358066</v>
      </c>
      <c r="ZF108" s="0" t="n">
        <f aca="false">-(ZF107-$F$59)*$B$75</f>
        <v>47.4200970648049</v>
      </c>
      <c r="ZG108" s="0" t="n">
        <f aca="false">-(ZG107-$F$59)*$B$75</f>
        <v>11.1707944141846</v>
      </c>
      <c r="ZH108" s="0" t="n">
        <f aca="false">-(ZH107-$F$59)*$B$75</f>
        <v>-127.032543954659</v>
      </c>
      <c r="ZI108" s="0" t="n">
        <f aca="false">-(ZI107-$F$59)*$B$75</f>
        <v>-26.3888404648018</v>
      </c>
      <c r="ZJ108" s="0" t="n">
        <f aca="false">-(ZJ107-$F$59)*$B$75</f>
        <v>31.7292149090675</v>
      </c>
      <c r="ZK108" s="0" t="n">
        <f aca="false">-(ZK107-$F$59)*$B$75</f>
        <v>55.439363319592</v>
      </c>
      <c r="ZL108" s="0" t="n">
        <f aca="false">-(ZL107-$F$59)*$B$75</f>
        <v>29.3274701431141</v>
      </c>
      <c r="ZM108" s="0" t="n">
        <f aca="false">-(ZM107-$F$59)*$B$75</f>
        <v>90.8460604976242</v>
      </c>
      <c r="ZN108" s="0" t="n">
        <f aca="false">-(ZN107-$F$59)*$B$75</f>
        <v>150.019475898345</v>
      </c>
      <c r="ZO108" s="0" t="n">
        <f aca="false">-(ZO107-$F$59)*$B$75</f>
        <v>63.7963281991178</v>
      </c>
      <c r="ZP108" s="0" t="n">
        <f aca="false">-(ZP107-$F$59)*$B$75</f>
        <v>166.629956565404</v>
      </c>
      <c r="ZQ108" s="0" t="n">
        <f aca="false">-(ZQ107-$F$59)*$B$75</f>
        <v>-10.7724584968108</v>
      </c>
      <c r="ZR108" s="0" t="n">
        <f aca="false">-(ZR107-$F$59)*$B$75</f>
        <v>101.822162790701</v>
      </c>
      <c r="ZS108" s="0" t="n">
        <f aca="false">-(ZS107-$F$59)*$B$75</f>
        <v>-182.990223942338</v>
      </c>
      <c r="ZT108" s="0" t="n">
        <f aca="false">-(ZT107-$F$59)*$B$75</f>
        <v>-38.6309359165942</v>
      </c>
      <c r="ZU108" s="0" t="n">
        <f aca="false">-(ZU107-$F$59)*$B$75</f>
        <v>43.9779148603033</v>
      </c>
      <c r="ZV108" s="0" t="n">
        <f aca="false">-(ZV107-$F$59)*$B$75</f>
        <v>-5.74579753477892</v>
      </c>
      <c r="ZW108" s="0" t="n">
        <f aca="false">-(ZW107-$F$59)*$B$75</f>
        <v>-22.0521886488292</v>
      </c>
      <c r="ZX108" s="0" t="n">
        <f aca="false">-(ZX107-$F$59)*$B$75</f>
        <v>-163.512322063755</v>
      </c>
      <c r="ZY108" s="0" t="n">
        <f aca="false">-(ZY107-$F$59)*$B$75</f>
        <v>107.170163100512</v>
      </c>
      <c r="ZZ108" s="0" t="n">
        <f aca="false">-(ZZ107-$F$59)*$B$75</f>
        <v>-19.5824305785724</v>
      </c>
      <c r="AAA108" s="0" t="n">
        <f aca="false">-(AAA107-$F$59)*$B$75</f>
        <v>40.139739107238</v>
      </c>
      <c r="AAB108" s="0" t="n">
        <f aca="false">-(AAB107-$F$59)*$B$75</f>
        <v>-3.50993542246042</v>
      </c>
      <c r="AAC108" s="0" t="n">
        <f aca="false">-(AAC107-$F$59)*$B$75</f>
        <v>156.924269892034</v>
      </c>
      <c r="AAD108" s="0" t="n">
        <f aca="false">-(AAD107-$F$59)*$B$75</f>
        <v>-68.5609562841972</v>
      </c>
      <c r="AAE108" s="0" t="n">
        <f aca="false">-(AAE107-$F$59)*$B$75</f>
        <v>40.2781560784732</v>
      </c>
      <c r="AAF108" s="0" t="n">
        <f aca="false">-(AAF107-$F$59)*$B$75</f>
        <v>-21.6598566264236</v>
      </c>
      <c r="AAG108" s="0" t="n">
        <f aca="false">-(AAG107-$F$59)*$B$75</f>
        <v>24.2738140333452</v>
      </c>
      <c r="AAH108" s="0" t="n">
        <f aca="false">-(AAH107-$F$59)*$B$75</f>
        <v>-91.9477931234209</v>
      </c>
      <c r="AAI108" s="0" t="n">
        <f aca="false">-(AAI107-$F$59)*$B$75</f>
        <v>82.6461207368174</v>
      </c>
      <c r="AAJ108" s="0" t="n">
        <f aca="false">-(AAJ107-$F$59)*$B$75</f>
        <v>-10.1747475737249</v>
      </c>
      <c r="AAK108" s="0" t="n">
        <f aca="false">-(AAK107-$F$59)*$B$75</f>
        <v>-110.485323323539</v>
      </c>
      <c r="AAL108" s="0" t="n">
        <f aca="false">-(AAL107-$F$59)*$B$75</f>
        <v>-40.6348179625886</v>
      </c>
      <c r="AAM108" s="0" t="n">
        <f aca="false">-(AAM107-$F$59)*$B$75</f>
        <v>67.8652537378179</v>
      </c>
      <c r="AAN108" s="0" t="n">
        <f aca="false">-(AAN107-$F$59)*$B$75</f>
        <v>97.1886120440985</v>
      </c>
      <c r="AAO108" s="0" t="n">
        <f aca="false">-(AAO107-$F$59)*$B$75</f>
        <v>-5.38016619426398</v>
      </c>
      <c r="AAP108" s="0" t="n">
        <f aca="false">-(AAP107-$F$59)*$B$75</f>
        <v>105.905813734737</v>
      </c>
      <c r="AAQ108" s="0" t="n">
        <f aca="false">-(AAQ107-$F$59)*$B$75</f>
        <v>0.260727318932913</v>
      </c>
      <c r="AAR108" s="0" t="n">
        <f aca="false">-(AAR107-$F$59)*$B$75</f>
        <v>-161.74712071093</v>
      </c>
      <c r="AAS108" s="0" t="n">
        <f aca="false">-(AAS107-$F$59)*$B$75</f>
        <v>-6.85795189538494</v>
      </c>
      <c r="AAT108" s="0" t="n">
        <f aca="false">-(AAT107-$F$59)*$B$75</f>
        <v>85.5803829597013</v>
      </c>
      <c r="AAU108" s="0" t="n">
        <f aca="false">-(AAU107-$F$59)*$B$75</f>
        <v>92.1044258640827</v>
      </c>
      <c r="AAV108" s="0" t="n">
        <f aca="false">-(AAV107-$F$59)*$B$75</f>
        <v>-38.3030439769429</v>
      </c>
      <c r="AAW108" s="0" t="n">
        <f aca="false">-(AAW107-$F$59)*$B$75</f>
        <v>-14.8741372343588</v>
      </c>
      <c r="AAX108" s="0" t="n">
        <f aca="false">-(AAX107-$F$59)*$B$75</f>
        <v>25.0966879530002</v>
      </c>
      <c r="AAY108" s="0" t="n">
        <f aca="false">-(AAY107-$F$59)*$B$75</f>
        <v>-11.9821122680375</v>
      </c>
      <c r="AAZ108" s="0" t="n">
        <f aca="false">-(AAZ107-$F$59)*$B$75</f>
        <v>-44.277269609116</v>
      </c>
      <c r="ABA108" s="0" t="n">
        <f aca="false">-(ABA107-$F$59)*$B$75</f>
        <v>-15.4298265659273</v>
      </c>
      <c r="ABB108" s="0" t="n">
        <f aca="false">-(ABB107-$F$59)*$B$75</f>
        <v>-49.4940581675332</v>
      </c>
      <c r="ABC108" s="0" t="n">
        <f aca="false">-(ABC107-$F$59)*$B$75</f>
        <v>-75.5568018797267</v>
      </c>
      <c r="ABD108" s="0" t="n">
        <f aca="false">-(ABD107-$F$59)*$B$75</f>
        <v>70.558229816445</v>
      </c>
      <c r="ABE108" s="0" t="n">
        <f aca="false">-(ABE107-$F$59)*$B$75</f>
        <v>-35.8374310630083</v>
      </c>
      <c r="ABF108" s="0" t="n">
        <f aca="false">-(ABF107-$F$59)*$B$75</f>
        <v>43.1625783868431</v>
      </c>
      <c r="ABG108" s="0" t="n">
        <f aca="false">-(ABG107-$F$59)*$B$75</f>
        <v>64.3171584466759</v>
      </c>
      <c r="ABH108" s="0" t="n">
        <f aca="false">-(ABH107-$F$59)*$B$75</f>
        <v>44.8382268188187</v>
      </c>
      <c r="ABI108" s="0" t="n">
        <f aca="false">-(ABI107-$F$59)*$B$75</f>
        <v>100.489106549448</v>
      </c>
      <c r="ABJ108" s="0" t="n">
        <f aca="false">-(ABJ107-$F$59)*$B$75</f>
        <v>-8.85696261029361</v>
      </c>
      <c r="ABK108" s="0" t="n">
        <f aca="false">-(ABK107-$F$59)*$B$75</f>
        <v>22.8632503685295</v>
      </c>
      <c r="ABL108" s="0" t="n">
        <f aca="false">-(ABL107-$F$59)*$B$75</f>
        <v>-23.1858146210594</v>
      </c>
      <c r="ABM108" s="0" t="n">
        <f aca="false">-(ABM107-$F$59)*$B$75</f>
        <v>-19.1803276880322</v>
      </c>
      <c r="ABN108" s="0" t="n">
        <f aca="false">-(ABN107-$F$59)*$B$75</f>
        <v>25.0718613533795</v>
      </c>
      <c r="ABO108" s="0" t="n">
        <f aca="false">-(ABO107-$F$59)*$B$75</f>
        <v>102.061676696542</v>
      </c>
      <c r="ABP108" s="0" t="n">
        <f aca="false">-(ABP107-$F$59)*$B$75</f>
        <v>-3.05932547434068</v>
      </c>
      <c r="ABQ108" s="0" t="n">
        <f aca="false">-(ABQ107-$F$59)*$B$75</f>
        <v>33.2298369029092</v>
      </c>
      <c r="ABR108" s="0" t="n">
        <f aca="false">-(ABR107-$F$59)*$B$75</f>
        <v>20.0323746474874</v>
      </c>
      <c r="ABS108" s="0" t="n">
        <f aca="false">-(ABS107-$F$59)*$B$75</f>
        <v>153.636141271886</v>
      </c>
      <c r="ABT108" s="0" t="n">
        <f aca="false">-(ABT107-$F$59)*$B$75</f>
        <v>154.362085016393</v>
      </c>
      <c r="ABU108" s="0" t="n">
        <f aca="false">-(ABU107-$F$59)*$B$75</f>
        <v>49.2734357679618</v>
      </c>
      <c r="ABV108" s="0" t="n">
        <f aca="false">-(ABV107-$F$59)*$B$75</f>
        <v>120.593631941329</v>
      </c>
      <c r="ABW108" s="0" t="n">
        <f aca="false">-(ABW107-$F$59)*$B$75</f>
        <v>-30.7712710950829</v>
      </c>
      <c r="ABX108" s="0" t="n">
        <f aca="false">-(ABX107-$F$59)*$B$75</f>
        <v>175.26905405805</v>
      </c>
      <c r="ABY108" s="0" t="n">
        <f aca="false">-(ABY107-$F$59)*$B$75</f>
        <v>-3.15054892421767</v>
      </c>
      <c r="ABZ108" s="0" t="n">
        <f aca="false">-(ABZ107-$F$59)*$B$75</f>
        <v>-20.2199692114877</v>
      </c>
      <c r="ACA108" s="0" t="n">
        <f aca="false">-(ACA107-$F$59)*$B$75</f>
        <v>48.6873556810257</v>
      </c>
      <c r="ACB108" s="0" t="n">
        <f aca="false">-(ACB107-$F$59)*$B$75</f>
        <v>64.612649044969</v>
      </c>
      <c r="ACC108" s="0" t="n">
        <f aca="false">-(ACC107-$F$59)*$B$75</f>
        <v>-14.9785772815954</v>
      </c>
      <c r="ACD108" s="0" t="n">
        <f aca="false">-(ACD107-$F$59)*$B$75</f>
        <v>-0.604040814013661</v>
      </c>
      <c r="ACE108" s="0" t="n">
        <f aca="false">-(ACE107-$F$59)*$B$75</f>
        <v>-10.7142426309074</v>
      </c>
      <c r="ACF108" s="0" t="n">
        <f aca="false">-(ACF107-$F$59)*$B$75</f>
        <v>-119.209966238824</v>
      </c>
      <c r="ACG108" s="0" t="n">
        <f aca="false">-(ACG107-$F$59)*$B$75</f>
        <v>-78.6913507243988</v>
      </c>
      <c r="ACH108" s="0" t="n">
        <f aca="false">-(ACH107-$F$59)*$B$75</f>
        <v>69.609894737641</v>
      </c>
      <c r="ACI108" s="0" t="n">
        <f aca="false">-(ACI107-$F$59)*$B$75</f>
        <v>-64.6703083026681</v>
      </c>
      <c r="ACJ108" s="0" t="n">
        <f aca="false">-(ACJ107-$F$59)*$B$75</f>
        <v>-24.2603573363092</v>
      </c>
      <c r="ACK108" s="0" t="n">
        <f aca="false">-(ACK107-$F$59)*$B$75</f>
        <v>33.1412306458432</v>
      </c>
      <c r="ACL108" s="0" t="n">
        <f aca="false">-(ACL107-$F$59)*$B$75</f>
        <v>-158.336319393045</v>
      </c>
      <c r="ACM108" s="0" t="n">
        <f aca="false">-(ACM107-$F$59)*$B$75</f>
        <v>18.590336255588</v>
      </c>
      <c r="ACN108" s="0" t="n">
        <f aca="false">-(ACN107-$F$59)*$B$75</f>
        <v>72.6653893738609</v>
      </c>
      <c r="ACO108" s="0" t="n">
        <f aca="false">-(ACO107-$F$59)*$B$75</f>
        <v>50.700536422438</v>
      </c>
      <c r="ACP108" s="0" t="n">
        <f aca="false">-(ACP107-$F$59)*$B$75</f>
        <v>-50.7260419370556</v>
      </c>
      <c r="ACQ108" s="0" t="n">
        <f aca="false">-(ACQ107-$F$59)*$B$75</f>
        <v>82.4884782217253</v>
      </c>
      <c r="ACR108" s="0" t="n">
        <f aca="false">-(ACR107-$F$59)*$B$75</f>
        <v>7.40188134196387</v>
      </c>
      <c r="ACS108" s="0" t="n">
        <f aca="false">-(ACS107-$F$59)*$B$75</f>
        <v>-8.56915547331528</v>
      </c>
      <c r="ACT108" s="0" t="n">
        <f aca="false">-(ACT107-$F$59)*$B$75</f>
        <v>-2.16709011241292</v>
      </c>
      <c r="ACU108" s="0" t="n">
        <f aca="false">-(ACU107-$F$59)*$B$75</f>
        <v>40.7987893017687</v>
      </c>
      <c r="ACV108" s="0" t="n">
        <f aca="false">-(ACV107-$F$59)*$B$75</f>
        <v>60.6965099971289</v>
      </c>
      <c r="ACW108" s="0" t="n">
        <f aca="false">-(ACW107-$F$59)*$B$75</f>
        <v>-58.5182843317572</v>
      </c>
      <c r="ACX108" s="0" t="n">
        <f aca="false">-(ACX107-$F$59)*$B$75</f>
        <v>-4.22482013961408</v>
      </c>
      <c r="ACY108" s="0" t="n">
        <f aca="false">-(ACY107-$F$59)*$B$75</f>
        <v>-159.803094673925</v>
      </c>
      <c r="ACZ108" s="0" t="n">
        <f aca="false">-(ACZ107-$F$59)*$B$75</f>
        <v>-47.3277669766705</v>
      </c>
      <c r="ADA108" s="0" t="n">
        <f aca="false">-(ADA107-$F$59)*$B$75</f>
        <v>45.2896294928864</v>
      </c>
      <c r="ADB108" s="0" t="n">
        <f aca="false">-(ADB107-$F$59)*$B$75</f>
        <v>-74.1628840492689</v>
      </c>
      <c r="ADC108" s="0" t="n">
        <f aca="false">-(ADC107-$F$59)*$B$75</f>
        <v>40.2575626112982</v>
      </c>
      <c r="ADD108" s="0" t="n">
        <f aca="false">-(ADD107-$F$59)*$B$75</f>
        <v>-47.8027435317232</v>
      </c>
      <c r="ADE108" s="0" t="n">
        <f aca="false">-(ADE107-$F$59)*$B$75</f>
        <v>-111.675650127888</v>
      </c>
      <c r="ADF108" s="0" t="n">
        <f aca="false">-(ADF107-$F$59)*$B$75</f>
        <v>58.3359490144679</v>
      </c>
      <c r="ADG108" s="0" t="n">
        <f aca="false">-(ADG107-$F$59)*$B$75</f>
        <v>134.357663898296</v>
      </c>
      <c r="ADH108" s="0" t="n">
        <f aca="false">-(ADH107-$F$59)*$B$75</f>
        <v>7.10580083582454</v>
      </c>
      <c r="ADI108" s="0" t="n">
        <f aca="false">-(ADI107-$F$59)*$B$75</f>
        <v>85.0855684326336</v>
      </c>
      <c r="ADJ108" s="0" t="n">
        <f aca="false">-(ADJ107-$F$59)*$B$75</f>
        <v>114.19002812496</v>
      </c>
      <c r="ADK108" s="0" t="n">
        <f aca="false">-(ADK107-$F$59)*$B$75</f>
        <v>18.7419316409649</v>
      </c>
      <c r="ADL108" s="0" t="n">
        <f aca="false">-(ADL107-$F$59)*$B$75</f>
        <v>224.817263157104</v>
      </c>
      <c r="ADM108" s="0" t="n">
        <f aca="false">-(ADM107-$F$59)*$B$75</f>
        <v>16.7131137635629</v>
      </c>
      <c r="ADN108" s="0" t="n">
        <f aca="false">-(ADN107-$F$59)*$B$75</f>
        <v>-60.0642671783977</v>
      </c>
      <c r="ADO108" s="0" t="n">
        <f aca="false">-(ADO107-$F$59)*$B$75</f>
        <v>-68.5625964191733</v>
      </c>
      <c r="ADP108" s="0" t="n">
        <f aca="false">-(ADP107-$F$59)*$B$75</f>
        <v>-16.7637081950656</v>
      </c>
      <c r="ADQ108" s="0" t="n">
        <f aca="false">-(ADQ107-$F$59)*$B$75</f>
        <v>36.6931896621301</v>
      </c>
      <c r="ADR108" s="0" t="n">
        <f aca="false">-(ADR107-$F$59)*$B$75</f>
        <v>114.379092028689</v>
      </c>
      <c r="ADS108" s="0" t="n">
        <f aca="false">-(ADS107-$F$59)*$B$75</f>
        <v>82.3302780591557</v>
      </c>
      <c r="ADT108" s="0" t="n">
        <f aca="false">-(ADT107-$F$59)*$B$75</f>
        <v>125.054536716476</v>
      </c>
      <c r="ADU108" s="0" t="n">
        <f aca="false">-(ADU107-$F$59)*$B$75</f>
        <v>-9.50066504393253</v>
      </c>
      <c r="ADV108" s="0" t="n">
        <f aca="false">-(ADV107-$F$59)*$B$75</f>
        <v>-37.0421187831129</v>
      </c>
      <c r="ADW108" s="0" t="n">
        <f aca="false">-(ADW107-$F$59)*$B$75</f>
        <v>-102.596440350616</v>
      </c>
      <c r="ADX108" s="0" t="n">
        <f aca="false">-(ADX107-$F$59)*$B$75</f>
        <v>-145.984174743414</v>
      </c>
      <c r="ADY108" s="0" t="n">
        <f aca="false">-(ADY107-$F$59)*$B$75</f>
        <v>157.678933760748</v>
      </c>
      <c r="ADZ108" s="0" t="n">
        <f aca="false">-(ADZ107-$F$59)*$B$75</f>
        <v>91.4234703900685</v>
      </c>
      <c r="AEA108" s="0" t="n">
        <f aca="false">-(AEA107-$F$59)*$B$75</f>
        <v>8.5092561349451</v>
      </c>
      <c r="AEB108" s="0" t="n">
        <f aca="false">-(AEB107-$F$59)*$B$75</f>
        <v>-44.8184299141118</v>
      </c>
      <c r="AEC108" s="0" t="n">
        <f aca="false">-(AEC107-$F$59)*$B$75</f>
        <v>18.5795579408872</v>
      </c>
      <c r="AED108" s="0" t="n">
        <f aca="false">-(AED107-$F$59)*$B$75</f>
        <v>-2.86483689090592</v>
      </c>
      <c r="AEE108" s="0" t="n">
        <f aca="false">-(AEE107-$F$59)*$B$75</f>
        <v>-20.9871294681905</v>
      </c>
      <c r="AEF108" s="0" t="n">
        <f aca="false">-(AEF107-$F$59)*$B$75</f>
        <v>83.8633676731062</v>
      </c>
      <c r="AEG108" s="0" t="n">
        <f aca="false">-(AEG107-$F$59)*$B$75</f>
        <v>142.85481277949</v>
      </c>
      <c r="AEH108" s="0" t="n">
        <f aca="false">-(AEH107-$F$59)*$B$75</f>
        <v>5.64449383596539</v>
      </c>
      <c r="AEI108" s="0" t="n">
        <f aca="false">-(AEI107-$F$59)*$B$75</f>
        <v>-72.5816320107335</v>
      </c>
      <c r="AEJ108" s="0" t="n">
        <f aca="false">-(AEJ107-$F$59)*$B$75</f>
        <v>-18.3695187200551</v>
      </c>
      <c r="AEK108" s="0" t="n">
        <f aca="false">-(AEK107-$F$59)*$B$75</f>
        <v>109.208068894799</v>
      </c>
      <c r="AEL108" s="0" t="n">
        <f aca="false">-(AEL107-$F$59)*$B$75</f>
        <v>0.434101511646077</v>
      </c>
      <c r="AEM108" s="0" t="n">
        <f aca="false">-(AEM107-$F$59)*$B$75</f>
        <v>28.2862321616512</v>
      </c>
      <c r="AEN108" s="0" t="n">
        <f aca="false">-(AEN107-$F$59)*$B$75</f>
        <v>-132.709154824902</v>
      </c>
      <c r="AEO108" s="0" t="n">
        <f aca="false">-(AEO107-$F$59)*$B$75</f>
        <v>22.3727533269881</v>
      </c>
      <c r="AEP108" s="0" t="n">
        <f aca="false">-(AEP107-$F$59)*$B$75</f>
        <v>66.8684168243282</v>
      </c>
      <c r="AEQ108" s="0" t="n">
        <f aca="false">-(AEQ107-$F$59)*$B$75</f>
        <v>11.2690843027937</v>
      </c>
      <c r="AER108" s="0" t="n">
        <f aca="false">-(AER107-$F$59)*$B$75</f>
        <v>-114.453279682458</v>
      </c>
      <c r="AES108" s="0" t="n">
        <f aca="false">-(AES107-$F$59)*$B$75</f>
        <v>136.642127254709</v>
      </c>
      <c r="AET108" s="0" t="n">
        <f aca="false">-(AET107-$F$59)*$B$75</f>
        <v>0.398559731256773</v>
      </c>
      <c r="AEU108" s="0" t="n">
        <f aca="false">-(AEU107-$F$59)*$B$75</f>
        <v>106.331346675386</v>
      </c>
      <c r="AEV108" s="0" t="n">
        <f aca="false">-(AEV107-$F$59)*$B$75</f>
        <v>111.523455796473</v>
      </c>
      <c r="AEW108" s="0" t="n">
        <f aca="false">-(AEW107-$F$59)*$B$75</f>
        <v>151.947186518136</v>
      </c>
      <c r="AEX108" s="0" t="n">
        <f aca="false">-(AEX107-$F$59)*$B$75</f>
        <v>166.569272949946</v>
      </c>
      <c r="AEY108" s="0" t="n">
        <f aca="false">-(AEY107-$F$59)*$B$75</f>
        <v>-85.273213518445</v>
      </c>
      <c r="AEZ108" s="0" t="n">
        <f aca="false">-(AEZ107-$F$59)*$B$75</f>
        <v>69.3916976198283</v>
      </c>
      <c r="AFA108" s="0" t="n">
        <f aca="false">-(AFA107-$F$59)*$B$75</f>
        <v>-61.6286990943841</v>
      </c>
      <c r="AFB108" s="0" t="n">
        <f aca="false">-(AFB107-$F$59)*$B$75</f>
        <v>-5.86895230752389</v>
      </c>
      <c r="AFC108" s="0" t="n">
        <f aca="false">-(AFC107-$F$59)*$B$75</f>
        <v>-14.1459308924219</v>
      </c>
      <c r="AFD108" s="0" t="n">
        <f aca="false">-(AFD107-$F$59)*$B$75</f>
        <v>58.0417491265463</v>
      </c>
      <c r="AFE108" s="0" t="n">
        <f aca="false">-(AFE107-$F$59)*$B$75</f>
        <v>-133.238089408949</v>
      </c>
      <c r="AFF108" s="0" t="n">
        <f aca="false">-(AFF107-$F$59)*$B$75</f>
        <v>27.3246287005926</v>
      </c>
      <c r="AFG108" s="0" t="n">
        <f aca="false">-(AFG107-$F$59)*$B$75</f>
        <v>-42.2722830780362</v>
      </c>
      <c r="AFH108" s="0" t="n">
        <f aca="false">-(AFH107-$F$59)*$B$75</f>
        <v>7.83033355911712</v>
      </c>
      <c r="AFI108" s="0" t="n">
        <f aca="false">-(AFI107-$F$59)*$B$75</f>
        <v>31.768649382829</v>
      </c>
      <c r="AFJ108" s="0" t="n">
        <f aca="false">-(AFJ107-$F$59)*$B$75</f>
        <v>-18.7473733377545</v>
      </c>
      <c r="AFK108" s="0" t="n">
        <f aca="false">-(AFK107-$F$59)*$B$75</f>
        <v>19.2591197021019</v>
      </c>
      <c r="AFL108" s="0" t="n">
        <f aca="false">-(AFL107-$F$59)*$B$75</f>
        <v>69.8109715496936</v>
      </c>
      <c r="AFM108" s="0" t="n">
        <f aca="false">-(AFM107-$F$59)*$B$75</f>
        <v>-89.7318683875268</v>
      </c>
      <c r="AFN108" s="0" t="n">
        <f aca="false">-(AFN107-$F$59)*$B$75</f>
        <v>25.1347636361369</v>
      </c>
      <c r="AFO108" s="0" t="n">
        <f aca="false">-(AFO107-$F$59)*$B$75</f>
        <v>39.9991299900908</v>
      </c>
      <c r="AFP108" s="0" t="n">
        <f aca="false">-(AFP107-$F$59)*$B$75</f>
        <v>10.015428088133</v>
      </c>
      <c r="AFQ108" s="0" t="n">
        <f aca="false">-(AFQ107-$F$59)*$B$75</f>
        <v>61.0263677675597</v>
      </c>
      <c r="AFR108" s="0" t="n">
        <f aca="false">-(AFR107-$F$59)*$B$75</f>
        <v>102.000123126844</v>
      </c>
      <c r="AFS108" s="0" t="n">
        <f aca="false">-(AFS107-$F$59)*$B$75</f>
        <v>-96.4285309856799</v>
      </c>
      <c r="AFT108" s="0" t="n">
        <f aca="false">-(AFT107-$F$59)*$B$75</f>
        <v>-133.710502399396</v>
      </c>
      <c r="AFU108" s="0" t="n">
        <f aca="false">-(AFU107-$F$59)*$B$75</f>
        <v>75.9926250500142</v>
      </c>
      <c r="AFV108" s="0" t="n">
        <f aca="false">-(AFV107-$F$59)*$B$75</f>
        <v>-89.1453494299472</v>
      </c>
      <c r="AFW108" s="0" t="n">
        <f aca="false">-(AFW107-$F$59)*$B$75</f>
        <v>-13.8027813692352</v>
      </c>
      <c r="AFX108" s="0" t="n">
        <f aca="false">-(AFX107-$F$59)*$B$75</f>
        <v>-103.20136984408</v>
      </c>
      <c r="AFY108" s="0" t="n">
        <f aca="false">-(AFY107-$F$59)*$B$75</f>
        <v>5.9370243954414</v>
      </c>
      <c r="AFZ108" s="0" t="n">
        <f aca="false">-(AFZ107-$F$59)*$B$75</f>
        <v>-34.8029385798971</v>
      </c>
      <c r="AGA108" s="0" t="n">
        <f aca="false">-(AGA107-$F$59)*$B$75</f>
        <v>-52.180759304071</v>
      </c>
      <c r="AGB108" s="0" t="n">
        <f aca="false">-(AGB107-$F$59)*$B$75</f>
        <v>88.2644733769704</v>
      </c>
      <c r="AGC108" s="0" t="n">
        <f aca="false">-(AGC107-$F$59)*$B$75</f>
        <v>-9.95897756236491</v>
      </c>
      <c r="AGD108" s="0" t="n">
        <f aca="false">-(AGD107-$F$59)*$B$75</f>
        <v>190.82161076618</v>
      </c>
      <c r="AGE108" s="0" t="n">
        <f aca="false">-(AGE107-$F$59)*$B$75</f>
        <v>-105.508583689304</v>
      </c>
      <c r="AGF108" s="0" t="n">
        <f aca="false">-(AGF107-$F$59)*$B$75</f>
        <v>-24.6287207308975</v>
      </c>
      <c r="AGG108" s="0" t="n">
        <f aca="false">-(AGG107-$F$59)*$B$75</f>
        <v>-37.4582377222516</v>
      </c>
      <c r="AGH108" s="0" t="n">
        <f aca="false">-(AGH107-$F$59)*$B$75</f>
        <v>-54.7881330789705</v>
      </c>
      <c r="AGI108" s="0" t="n">
        <f aca="false">-(AGI107-$F$59)*$B$75</f>
        <v>-95.3711734062025</v>
      </c>
      <c r="AGJ108" s="0" t="n">
        <f aca="false">-(AGJ107-$F$59)*$B$75</f>
        <v>-106.084443505658</v>
      </c>
      <c r="AGK108" s="0" t="n">
        <f aca="false">-(AGK107-$F$59)*$B$75</f>
        <v>-37.3032738473146</v>
      </c>
      <c r="AGL108" s="0" t="n">
        <f aca="false">-(AGL107-$F$59)*$B$75</f>
        <v>-87.8292925305686</v>
      </c>
      <c r="AGM108" s="0" t="n">
        <f aca="false">-(AGM107-$F$59)*$B$75</f>
        <v>78.5134040925225</v>
      </c>
      <c r="AGN108" s="0" t="n">
        <f aca="false">-(AGN107-$F$59)*$B$75</f>
        <v>0.421805819868587</v>
      </c>
      <c r="AGO108" s="0" t="n">
        <f aca="false">-(AGO107-$F$59)*$B$75</f>
        <v>-51.5662489581269</v>
      </c>
      <c r="AGP108" s="0" t="n">
        <f aca="false">-(AGP107-$F$59)*$B$75</f>
        <v>-56.7221376716188</v>
      </c>
      <c r="AGQ108" s="0" t="n">
        <f aca="false">-(AGQ107-$F$59)*$B$75</f>
        <v>99.6552647833055</v>
      </c>
      <c r="AGR108" s="0" t="n">
        <f aca="false">-(AGR107-$F$59)*$B$75</f>
        <v>-11.0720704269872</v>
      </c>
      <c r="AGS108" s="0" t="n">
        <f aca="false">-(AGS107-$F$59)*$B$75</f>
        <v>67.1311016794711</v>
      </c>
      <c r="AGT108" s="0" t="n">
        <f aca="false">-(AGT107-$F$59)*$B$75</f>
        <v>-102.08805749304</v>
      </c>
      <c r="AGU108" s="0" t="n">
        <f aca="false">-(AGU107-$F$59)*$B$75</f>
        <v>30.4075198788509</v>
      </c>
      <c r="AGV108" s="0" t="n">
        <f aca="false">-(AGV107-$F$59)*$B$75</f>
        <v>83.4984545327247</v>
      </c>
      <c r="AGW108" s="0" t="n">
        <f aca="false">-(AGW107-$F$59)*$B$75</f>
        <v>-77.1977154838738</v>
      </c>
      <c r="AGX108" s="0" t="n">
        <f aca="false">-(AGX107-$F$59)*$B$75</f>
        <v>-76.0009078143205</v>
      </c>
      <c r="AGY108" s="0" t="n">
        <f aca="false">-(AGY107-$F$59)*$B$75</f>
        <v>8.34742345936447</v>
      </c>
      <c r="AGZ108" s="0" t="n">
        <f aca="false">-(AGZ107-$F$59)*$B$75</f>
        <v>-47.3852786177986</v>
      </c>
      <c r="AHA108" s="0" t="n">
        <f aca="false">-(AHA107-$F$59)*$B$75</f>
        <v>-184.071613857155</v>
      </c>
      <c r="AHB108" s="0" t="n">
        <f aca="false">-(AHB107-$F$59)*$B$75</f>
        <v>18.2890724381778</v>
      </c>
      <c r="AHC108" s="0" t="n">
        <f aca="false">-(AHC107-$F$59)*$B$75</f>
        <v>-124.922460691707</v>
      </c>
      <c r="AHD108" s="0" t="n">
        <f aca="false">-(AHD107-$F$59)*$B$75</f>
        <v>-27.7629728218413</v>
      </c>
      <c r="AHE108" s="0" t="n">
        <f aca="false">-(AHE107-$F$59)*$B$75</f>
        <v>41.1560540853645</v>
      </c>
      <c r="AHF108" s="0" t="n">
        <f aca="false">-(AHF107-$F$59)*$B$75</f>
        <v>-145.008031299466</v>
      </c>
      <c r="AHG108" s="0" t="n">
        <f aca="false">-(AHG107-$F$59)*$B$75</f>
        <v>60.7320737800078</v>
      </c>
      <c r="AHH108" s="0" t="n">
        <f aca="false">-(AHH107-$F$59)*$B$75</f>
        <v>127.212573227014</v>
      </c>
      <c r="AHI108" s="0" t="n">
        <f aca="false">-(AHI107-$F$59)*$B$75</f>
        <v>-64.7859973702365</v>
      </c>
      <c r="AHJ108" s="0" t="n">
        <f aca="false">-(AHJ107-$F$59)*$B$75</f>
        <v>50.0807305170152</v>
      </c>
      <c r="AHK108" s="0" t="n">
        <f aca="false">-(AHK107-$F$59)*$B$75</f>
        <v>-52.2842556343141</v>
      </c>
      <c r="AHL108" s="0" t="n">
        <f aca="false">-(AHL107-$F$59)*$B$75</f>
        <v>-40.1037393638939</v>
      </c>
      <c r="AHM108" s="0" t="n">
        <f aca="false">-(AHM107-$F$59)*$B$75</f>
        <v>9.80039803902264</v>
      </c>
      <c r="AHN108" s="0" t="n">
        <f aca="false">-(AHN107-$F$59)*$B$75</f>
        <v>-46.8389770055545</v>
      </c>
      <c r="AHO108" s="0" t="n">
        <f aca="false">-(AHO107-$F$59)*$B$75</f>
        <v>21.0507112258589</v>
      </c>
      <c r="AHP108" s="0" t="n">
        <f aca="false">-(AHP107-$F$59)*$B$75</f>
        <v>-172.014027856954</v>
      </c>
      <c r="AHQ108" s="0" t="n">
        <f aca="false">-(AHQ107-$F$59)*$B$75</f>
        <v>-17.7396946520907</v>
      </c>
      <c r="AHR108" s="0" t="n">
        <f aca="false">-(AHR107-$F$59)*$B$75</f>
        <v>-109.414684047714</v>
      </c>
      <c r="AHS108" s="0" t="n">
        <f aca="false">-(AHS107-$F$59)*$B$75</f>
        <v>64.947002449021</v>
      </c>
      <c r="AHT108" s="0" t="n">
        <f aca="false">-(AHT107-$F$59)*$B$75</f>
        <v>-17.2092018115603</v>
      </c>
      <c r="AHU108" s="0" t="n">
        <f aca="false">-(AHU107-$F$59)*$B$75</f>
        <v>14.6547813683786</v>
      </c>
      <c r="AHV108" s="0" t="n">
        <f aca="false">-(AHV107-$F$59)*$B$75</f>
        <v>56.9027390481579</v>
      </c>
      <c r="AHW108" s="0" t="n">
        <f aca="false">-(AHW107-$F$59)*$B$75</f>
        <v>68.7732621120396</v>
      </c>
      <c r="AHX108" s="0" t="n">
        <f aca="false">-(AHX107-$F$59)*$B$75</f>
        <v>-43.5532119655021</v>
      </c>
      <c r="AHY108" s="0" t="n">
        <f aca="false">-(AHY107-$F$59)*$B$75</f>
        <v>-35.5990082179576</v>
      </c>
      <c r="AHZ108" s="0" t="n">
        <f aca="false">-(AHZ107-$F$59)*$B$75</f>
        <v>147.036252818017</v>
      </c>
      <c r="AIA108" s="0" t="n">
        <f aca="false">-(AIA107-$F$59)*$B$75</f>
        <v>-22.4193485791406</v>
      </c>
      <c r="AIB108" s="0" t="n">
        <f aca="false">-(AIB107-$F$59)*$B$75</f>
        <v>55.5542649453732</v>
      </c>
      <c r="AIC108" s="0" t="n">
        <f aca="false">-(AIC107-$F$59)*$B$75</f>
        <v>27.060698434882</v>
      </c>
      <c r="AID108" s="0" t="n">
        <f aca="false">-(AID107-$F$59)*$B$75</f>
        <v>-122.235309382455</v>
      </c>
      <c r="AIE108" s="0" t="n">
        <f aca="false">-(AIE107-$F$59)*$B$75</f>
        <v>-18.7423026516017</v>
      </c>
      <c r="AIF108" s="0" t="n">
        <f aca="false">-(AIF107-$F$59)*$B$75</f>
        <v>84.8031988583158</v>
      </c>
      <c r="AIG108" s="0" t="n">
        <f aca="false">-(AIG107-$F$59)*$B$75</f>
        <v>28.7723225727505</v>
      </c>
      <c r="AIH108" s="0" t="n">
        <f aca="false">-(AIH107-$F$59)*$B$75</f>
        <v>133.574200385753</v>
      </c>
      <c r="AII108" s="0" t="n">
        <f aca="false">-(AII107-$F$59)*$B$75</f>
        <v>9.48821243094499</v>
      </c>
      <c r="AIJ108" s="0" t="n">
        <f aca="false">-(AIJ107-$F$59)*$B$75</f>
        <v>18.7222691254789</v>
      </c>
      <c r="AIK108" s="0" t="n">
        <f aca="false">-(AIK107-$F$59)*$B$75</f>
        <v>-72.0211175856646</v>
      </c>
      <c r="AIL108" s="0" t="n">
        <f aca="false">-(AIL107-$F$59)*$B$75</f>
        <v>4.56449941318188</v>
      </c>
      <c r="AIM108" s="0" t="n">
        <f aca="false">-(AIM107-$F$59)*$B$75</f>
        <v>41.5906992650318</v>
      </c>
      <c r="AIN108" s="0" t="n">
        <f aca="false">-(AIN107-$F$59)*$B$75</f>
        <v>20.3557731740663</v>
      </c>
      <c r="AIO108" s="0" t="n">
        <f aca="false">-(AIO107-$F$59)*$B$75</f>
        <v>-45.9185809971839</v>
      </c>
      <c r="AIP108" s="0" t="n">
        <f aca="false">-(AIP107-$F$59)*$B$75</f>
        <v>-92.5910152540739</v>
      </c>
      <c r="AIQ108" s="0" t="n">
        <f aca="false">-(AIQ107-$F$59)*$B$75</f>
        <v>-0.585352861718729</v>
      </c>
      <c r="AIR108" s="0" t="n">
        <f aca="false">-(AIR107-$F$59)*$B$75</f>
        <v>5.14900706146646</v>
      </c>
      <c r="AIS108" s="0" t="n">
        <f aca="false">-(AIS107-$F$59)*$B$75</f>
        <v>-75.5165446004017</v>
      </c>
      <c r="AIT108" s="0" t="n">
        <f aca="false">-(AIT107-$F$59)*$B$75</f>
        <v>-33.2769741866578</v>
      </c>
      <c r="AIU108" s="0" t="n">
        <f aca="false">-(AIU107-$F$59)*$B$75</f>
        <v>106.046525321066</v>
      </c>
      <c r="AIV108" s="0" t="n">
        <f aca="false">-(AIV107-$F$59)*$B$75</f>
        <v>-8.18621183094565</v>
      </c>
      <c r="AIW108" s="0" t="n">
        <f aca="false">-(AIW107-$F$59)*$B$75</f>
        <v>-250.581427792218</v>
      </c>
      <c r="AIX108" s="0" t="n">
        <f aca="false">-(AIX107-$F$59)*$B$75</f>
        <v>37.5016055179912</v>
      </c>
      <c r="AIY108" s="0" t="n">
        <f aca="false">-(AIY107-$F$59)*$B$75</f>
        <v>10.0159237709933</v>
      </c>
      <c r="AIZ108" s="0" t="n">
        <f aca="false">-(AIZ107-$F$59)*$B$75</f>
        <v>-29.4652019811665</v>
      </c>
      <c r="AJA108" s="0" t="n">
        <f aca="false">-(AJA107-$F$59)*$B$75</f>
        <v>-100.545132880006</v>
      </c>
      <c r="AJB108" s="0" t="n">
        <f aca="false">-(AJB107-$F$59)*$B$75</f>
        <v>-68.1180006198158</v>
      </c>
      <c r="AJC108" s="0" t="n">
        <f aca="false">-(AJC107-$F$59)*$B$75</f>
        <v>15.1632239423573</v>
      </c>
      <c r="AJD108" s="0" t="n">
        <f aca="false">-(AJD107-$F$59)*$B$75</f>
        <v>104.507225764397</v>
      </c>
      <c r="AJE108" s="0" t="n">
        <f aca="false">-(AJE107-$F$59)*$B$75</f>
        <v>-70.4725585447621</v>
      </c>
      <c r="AJF108" s="0" t="n">
        <f aca="false">-(AJF107-$F$59)*$B$75</f>
        <v>-58.463355739808</v>
      </c>
      <c r="AJG108" s="0" t="n">
        <f aca="false">-(AJG107-$F$59)*$B$75</f>
        <v>259.535600950542</v>
      </c>
      <c r="AJH108" s="0" t="n">
        <f aca="false">-(AJH107-$F$59)*$B$75</f>
        <v>27.8318007028635</v>
      </c>
      <c r="AJI108" s="0" t="n">
        <f aca="false">-(AJI107-$F$59)*$B$75</f>
        <v>-35.0021494279852</v>
      </c>
      <c r="AJJ108" s="0" t="n">
        <f aca="false">-(AJJ107-$F$59)*$B$75</f>
        <v>-16.5603054018132</v>
      </c>
      <c r="AJK108" s="0" t="n">
        <f aca="false">-(AJK107-$F$59)*$B$75</f>
        <v>-33.7826820965665</v>
      </c>
      <c r="AJL108" s="0" t="n">
        <f aca="false">-(AJL107-$F$59)*$B$75</f>
        <v>-52.6203158703373</v>
      </c>
      <c r="AJM108" s="0" t="n">
        <f aca="false">-(AJM107-$F$59)*$B$75</f>
        <v>-32.7544346912689</v>
      </c>
      <c r="AJN108" s="0" t="n">
        <f aca="false">-(AJN107-$F$59)*$B$75</f>
        <v>-70.0661269717357</v>
      </c>
      <c r="AJO108" s="0" t="n">
        <f aca="false">-(AJO107-$F$59)*$B$75</f>
        <v>-35.1687627341404</v>
      </c>
      <c r="AJP108" s="0" t="n">
        <f aca="false">-(AJP107-$F$59)*$B$75</f>
        <v>-109.68972839613</v>
      </c>
      <c r="AJQ108" s="0" t="n">
        <f aca="false">-(AJQ107-$F$59)*$B$75</f>
        <v>-1.74119245707807</v>
      </c>
      <c r="AJR108" s="0" t="n">
        <f aca="false">-(AJR107-$F$59)*$B$75</f>
        <v>55.4784336319074</v>
      </c>
      <c r="AJS108" s="0" t="n">
        <f aca="false">-(AJS107-$F$59)*$B$75</f>
        <v>16.8074771949645</v>
      </c>
      <c r="AJT108" s="0" t="n">
        <f aca="false">-(AJT107-$F$59)*$B$75</f>
        <v>76.2292725176192</v>
      </c>
      <c r="AJU108" s="0" t="n">
        <f aca="false">-(AJU107-$F$59)*$B$75</f>
        <v>-165.082505973613</v>
      </c>
      <c r="AJV108" s="0" t="n">
        <f aca="false">-(AJV107-$F$59)*$B$75</f>
        <v>44.1281820365402</v>
      </c>
      <c r="AJW108" s="0" t="n">
        <f aca="false">-(AJW107-$F$59)*$B$75</f>
        <v>-15.9879392992969</v>
      </c>
      <c r="AJX108" s="0" t="n">
        <f aca="false">-(AJX107-$F$59)*$B$75</f>
        <v>43.9007079512664</v>
      </c>
      <c r="AJY108" s="0" t="n">
        <f aca="false">-(AJY107-$F$59)*$B$75</f>
        <v>-26.342585507552</v>
      </c>
      <c r="AJZ108" s="0" t="n">
        <f aca="false">-(AJZ107-$F$59)*$B$75</f>
        <v>122.001048100563</v>
      </c>
      <c r="AKA108" s="0" t="n">
        <f aca="false">-(AKA107-$F$59)*$B$75</f>
        <v>-60.2804402425085</v>
      </c>
      <c r="AKB108" s="0" t="n">
        <f aca="false">-(AKB107-$F$59)*$B$75</f>
        <v>118.573665629612</v>
      </c>
      <c r="AKC108" s="0" t="n">
        <f aca="false">-(AKC107-$F$59)*$B$75</f>
        <v>-52.1097684783277</v>
      </c>
      <c r="AKD108" s="0" t="n">
        <f aca="false">-(AKD107-$F$59)*$B$75</f>
        <v>88.4559213089875</v>
      </c>
      <c r="AKE108" s="0" t="n">
        <f aca="false">-(AKE107-$F$59)*$B$75</f>
        <v>-51.4945388068583</v>
      </c>
      <c r="AKF108" s="0" t="n">
        <f aca="false">-(AKF107-$F$59)*$B$75</f>
        <v>-78.3352071523572</v>
      </c>
      <c r="AKG108" s="0" t="n">
        <f aca="false">-(AKG107-$F$59)*$B$75</f>
        <v>51.9549111847704</v>
      </c>
      <c r="AKH108" s="0" t="n">
        <f aca="false">-(AKH107-$F$59)*$B$75</f>
        <v>-66.9656590970042</v>
      </c>
      <c r="AKI108" s="0" t="n">
        <f aca="false">-(AKI107-$F$59)*$B$75</f>
        <v>102.602205033897</v>
      </c>
      <c r="AKJ108" s="0" t="n">
        <f aca="false">-(AKJ107-$F$59)*$B$75</f>
        <v>173.272522314166</v>
      </c>
      <c r="AKK108" s="0" t="n">
        <f aca="false">-(AKK107-$F$59)*$B$75</f>
        <v>113.377248670467</v>
      </c>
      <c r="AKL108" s="0" t="n">
        <f aca="false">-(AKL107-$F$59)*$B$75</f>
        <v>69.9394202115605</v>
      </c>
      <c r="AKM108" s="0" t="n">
        <f aca="false">-(AKM107-$F$59)*$B$75</f>
        <v>-33.12369199369</v>
      </c>
      <c r="AKN108" s="0" t="n">
        <f aca="false">-(AKN107-$F$59)*$B$75</f>
        <v>-31.8318559275534</v>
      </c>
      <c r="AKO108" s="0" t="n">
        <f aca="false">-(AKO107-$F$59)*$B$75</f>
        <v>-27.5054784075424</v>
      </c>
      <c r="AKP108" s="0" t="n">
        <f aca="false">-(AKP107-$F$59)*$B$75</f>
        <v>118.931608193971</v>
      </c>
      <c r="AKQ108" s="0" t="n">
        <f aca="false">-(AKQ107-$F$59)*$B$75</f>
        <v>-31.4911854046957</v>
      </c>
      <c r="AKR108" s="0" t="n">
        <f aca="false">-(AKR107-$F$59)*$B$75</f>
        <v>-15.5706619277144</v>
      </c>
      <c r="AKS108" s="0" t="n">
        <f aca="false">-(AKS107-$F$59)*$B$75</f>
        <v>21.1111031806262</v>
      </c>
      <c r="AKT108" s="0" t="n">
        <f aca="false">-(AKT107-$F$59)*$B$75</f>
        <v>-43.6042853228728</v>
      </c>
      <c r="AKU108" s="0" t="n">
        <f aca="false">-(AKU107-$F$59)*$B$75</f>
        <v>45.2674488463003</v>
      </c>
      <c r="AKV108" s="0" t="n">
        <f aca="false">-(AKV107-$F$59)*$B$75</f>
        <v>-26.9372192259525</v>
      </c>
      <c r="AKW108" s="0" t="n">
        <f aca="false">-(AKW107-$F$59)*$B$75</f>
        <v>-7.33630374152162</v>
      </c>
      <c r="AKX108" s="0" t="n">
        <f aca="false">-(AKX107-$F$59)*$B$75</f>
        <v>55.6558099290073</v>
      </c>
      <c r="AKY108" s="0" t="n">
        <f aca="false">-(AKY107-$F$59)*$B$75</f>
        <v>-146.027845347303</v>
      </c>
      <c r="AKZ108" s="0" t="n">
        <f aca="false">-(AKZ107-$F$59)*$B$75</f>
        <v>134.985254988709</v>
      </c>
      <c r="ALA108" s="0" t="n">
        <f aca="false">-(ALA107-$F$59)*$B$75</f>
        <v>-27.8374624812697</v>
      </c>
      <c r="ALB108" s="0" t="n">
        <f aca="false">-(ALB107-$F$59)*$B$75</f>
        <v>-73.6518094887268</v>
      </c>
      <c r="ALC108" s="0" t="n">
        <f aca="false">-(ALC107-$F$59)*$B$75</f>
        <v>-27.9045102497539</v>
      </c>
      <c r="ALD108" s="0" t="n">
        <f aca="false">-(ALD107-$F$59)*$B$75</f>
        <v>-5.85110416223934</v>
      </c>
      <c r="ALE108" s="0" t="n">
        <f aca="false">-(ALE107-$F$59)*$B$75</f>
        <v>61.419589962664</v>
      </c>
      <c r="ALF108" s="0" t="n">
        <f aca="false">-(ALF107-$F$59)*$B$75</f>
        <v>132.228845979053</v>
      </c>
      <c r="ALG108" s="0" t="n">
        <f aca="false">-(ALG107-$F$59)*$B$75</f>
        <v>-83.6651246868589</v>
      </c>
      <c r="ALH108" s="0" t="n">
        <f aca="false">-(ALH107-$F$59)*$B$75</f>
        <v>-122.243709123193</v>
      </c>
      <c r="ALI108" s="0" t="n">
        <f aca="false">-(ALI107-$F$59)*$B$75</f>
        <v>-21.545900088228</v>
      </c>
      <c r="ALJ108" s="0" t="n">
        <f aca="false">-(ALJ107-$F$59)*$B$75</f>
        <v>-39.3663399783147</v>
      </c>
      <c r="ALK108" s="0" t="n">
        <f aca="false">-(ALK107-$F$59)*$B$75</f>
        <v>30.945493029963</v>
      </c>
      <c r="ALL108" s="0" t="n">
        <f aca="false">-(ALL107-$F$59)*$B$75</f>
        <v>94.4445636597915</v>
      </c>
      <c r="ALM108" s="0" t="n">
        <f aca="false">-(ALM107-$F$59)*$B$75</f>
        <v>67.5849173866372</v>
      </c>
    </row>
    <row r="109" customFormat="false" ht="14.5" hidden="false" customHeight="false" outlineLevel="0" collapsed="false">
      <c r="A109" s="97" t="s">
        <v>99</v>
      </c>
      <c r="B109" s="0" t="n">
        <f aca="false">-B90</f>
        <v>4000</v>
      </c>
      <c r="C109" s="0" t="n">
        <f aca="false">-C90</f>
        <v>4000</v>
      </c>
      <c r="D109" s="0" t="n">
        <f aca="false">-D90</f>
        <v>4000</v>
      </c>
      <c r="E109" s="0" t="n">
        <f aca="false">-E90</f>
        <v>4000</v>
      </c>
      <c r="F109" s="0" t="n">
        <f aca="false">-F90</f>
        <v>4000</v>
      </c>
      <c r="G109" s="0" t="n">
        <f aca="false">-G90</f>
        <v>4000</v>
      </c>
      <c r="H109" s="0" t="n">
        <f aca="false">-H90</f>
        <v>4000</v>
      </c>
      <c r="I109" s="0" t="n">
        <f aca="false">-I90</f>
        <v>4000</v>
      </c>
      <c r="J109" s="0" t="n">
        <f aca="false">-J90</f>
        <v>4000</v>
      </c>
      <c r="K109" s="0" t="n">
        <f aca="false">-K90</f>
        <v>4000</v>
      </c>
      <c r="L109" s="0" t="n">
        <f aca="false">-L90</f>
        <v>4000</v>
      </c>
      <c r="M109" s="0" t="n">
        <f aca="false">-M90</f>
        <v>4000</v>
      </c>
      <c r="N109" s="0" t="n">
        <f aca="false">-N90</f>
        <v>4000</v>
      </c>
      <c r="O109" s="0" t="n">
        <f aca="false">-O90</f>
        <v>4000</v>
      </c>
      <c r="P109" s="0" t="n">
        <f aca="false">-P90</f>
        <v>4000</v>
      </c>
      <c r="Q109" s="0" t="n">
        <f aca="false">-Q90</f>
        <v>4000</v>
      </c>
      <c r="R109" s="0" t="n">
        <f aca="false">-R90</f>
        <v>4000</v>
      </c>
      <c r="S109" s="0" t="n">
        <f aca="false">-S90</f>
        <v>4000</v>
      </c>
      <c r="T109" s="0" t="n">
        <f aca="false">-T90</f>
        <v>4000</v>
      </c>
      <c r="U109" s="0" t="n">
        <f aca="false">-U90</f>
        <v>4000</v>
      </c>
      <c r="V109" s="0" t="n">
        <f aca="false">-V90</f>
        <v>4000</v>
      </c>
      <c r="W109" s="0" t="n">
        <f aca="false">-W90</f>
        <v>4000</v>
      </c>
      <c r="X109" s="0" t="n">
        <f aca="false">-X90</f>
        <v>4000</v>
      </c>
      <c r="Y109" s="0" t="n">
        <f aca="false">-Y90</f>
        <v>4000</v>
      </c>
      <c r="Z109" s="0" t="n">
        <f aca="false">-Z90</f>
        <v>4000</v>
      </c>
      <c r="AA109" s="0" t="n">
        <f aca="false">-AA90</f>
        <v>4000</v>
      </c>
      <c r="AB109" s="0" t="n">
        <f aca="false">-AB90</f>
        <v>4000</v>
      </c>
      <c r="AC109" s="0" t="n">
        <f aca="false">-AC90</f>
        <v>4000</v>
      </c>
      <c r="AD109" s="0" t="n">
        <f aca="false">-AD90</f>
        <v>4000</v>
      </c>
      <c r="AE109" s="0" t="n">
        <f aca="false">-AE90</f>
        <v>4000</v>
      </c>
      <c r="AF109" s="0" t="n">
        <f aca="false">-AF90</f>
        <v>4000</v>
      </c>
      <c r="AG109" s="0" t="n">
        <f aca="false">-AG90</f>
        <v>4000</v>
      </c>
      <c r="AH109" s="0" t="n">
        <f aca="false">-AH90</f>
        <v>4000</v>
      </c>
      <c r="AI109" s="0" t="n">
        <f aca="false">-AI90</f>
        <v>4000</v>
      </c>
      <c r="AJ109" s="0" t="n">
        <f aca="false">-AJ90</f>
        <v>4000</v>
      </c>
      <c r="AK109" s="0" t="n">
        <f aca="false">-AK90</f>
        <v>4000</v>
      </c>
      <c r="AL109" s="0" t="n">
        <f aca="false">-AL90</f>
        <v>4000</v>
      </c>
      <c r="AM109" s="0" t="n">
        <f aca="false">-AM90</f>
        <v>4000</v>
      </c>
      <c r="AN109" s="0" t="n">
        <f aca="false">-AN90</f>
        <v>4000</v>
      </c>
      <c r="AO109" s="0" t="n">
        <f aca="false">-AO90</f>
        <v>4000</v>
      </c>
      <c r="AP109" s="0" t="n">
        <f aca="false">-AP90</f>
        <v>4000</v>
      </c>
      <c r="AQ109" s="0" t="n">
        <f aca="false">-AQ90</f>
        <v>4000</v>
      </c>
      <c r="AR109" s="0" t="n">
        <f aca="false">-AR90</f>
        <v>4000</v>
      </c>
      <c r="AS109" s="0" t="n">
        <f aca="false">-AS90</f>
        <v>4000</v>
      </c>
      <c r="AT109" s="0" t="n">
        <f aca="false">-AT90</f>
        <v>4000</v>
      </c>
      <c r="AU109" s="0" t="n">
        <f aca="false">-AU90</f>
        <v>4000</v>
      </c>
      <c r="AV109" s="0" t="n">
        <f aca="false">-AV90</f>
        <v>4000</v>
      </c>
      <c r="AW109" s="0" t="n">
        <f aca="false">-AW90</f>
        <v>4000</v>
      </c>
      <c r="AX109" s="0" t="n">
        <f aca="false">-AX90</f>
        <v>4000</v>
      </c>
      <c r="AY109" s="0" t="n">
        <f aca="false">-AY90</f>
        <v>4000</v>
      </c>
      <c r="AZ109" s="0" t="n">
        <f aca="false">-AZ90</f>
        <v>4000</v>
      </c>
      <c r="BA109" s="0" t="n">
        <f aca="false">-BA90</f>
        <v>4000</v>
      </c>
      <c r="BB109" s="0" t="n">
        <f aca="false">-BB90</f>
        <v>4000</v>
      </c>
      <c r="BC109" s="0" t="n">
        <f aca="false">-BC90</f>
        <v>4000</v>
      </c>
      <c r="BD109" s="0" t="n">
        <f aca="false">-BD90</f>
        <v>4000</v>
      </c>
      <c r="BE109" s="0" t="n">
        <f aca="false">-BE90</f>
        <v>4000</v>
      </c>
      <c r="BF109" s="0" t="n">
        <f aca="false">-BF90</f>
        <v>4000</v>
      </c>
      <c r="BG109" s="0" t="n">
        <f aca="false">-BG90</f>
        <v>4000</v>
      </c>
      <c r="BH109" s="0" t="n">
        <f aca="false">-BH90</f>
        <v>4000</v>
      </c>
      <c r="BI109" s="0" t="n">
        <f aca="false">-BI90</f>
        <v>4000</v>
      </c>
      <c r="BJ109" s="0" t="n">
        <f aca="false">-BJ90</f>
        <v>4000</v>
      </c>
      <c r="BK109" s="0" t="n">
        <f aca="false">-BK90</f>
        <v>4000</v>
      </c>
      <c r="BL109" s="0" t="n">
        <f aca="false">-BL90</f>
        <v>4000</v>
      </c>
      <c r="BM109" s="0" t="n">
        <f aca="false">-BM90</f>
        <v>4000</v>
      </c>
      <c r="BN109" s="0" t="n">
        <f aca="false">-BN90</f>
        <v>4000</v>
      </c>
      <c r="BO109" s="0" t="n">
        <f aca="false">-BO90</f>
        <v>4000</v>
      </c>
      <c r="BP109" s="0" t="n">
        <f aca="false">-BP90</f>
        <v>4000</v>
      </c>
      <c r="BQ109" s="0" t="n">
        <f aca="false">-BQ90</f>
        <v>4000</v>
      </c>
      <c r="BR109" s="0" t="n">
        <f aca="false">-BR90</f>
        <v>4000</v>
      </c>
      <c r="BS109" s="0" t="n">
        <f aca="false">-BS90</f>
        <v>4000</v>
      </c>
      <c r="BT109" s="0" t="n">
        <f aca="false">-BT90</f>
        <v>4000</v>
      </c>
      <c r="BU109" s="0" t="n">
        <f aca="false">-BU90</f>
        <v>4000</v>
      </c>
      <c r="BV109" s="0" t="n">
        <f aca="false">-BV90</f>
        <v>4000</v>
      </c>
      <c r="BW109" s="0" t="n">
        <f aca="false">-BW90</f>
        <v>4000</v>
      </c>
      <c r="BX109" s="0" t="n">
        <f aca="false">-BX90</f>
        <v>4000</v>
      </c>
      <c r="BY109" s="0" t="n">
        <f aca="false">-BY90</f>
        <v>4000</v>
      </c>
      <c r="BZ109" s="0" t="n">
        <f aca="false">-BZ90</f>
        <v>4000</v>
      </c>
      <c r="CA109" s="0" t="n">
        <f aca="false">-CA90</f>
        <v>4000</v>
      </c>
      <c r="CB109" s="0" t="n">
        <f aca="false">-CB90</f>
        <v>4000</v>
      </c>
      <c r="CC109" s="0" t="n">
        <f aca="false">-CC90</f>
        <v>4000</v>
      </c>
      <c r="CD109" s="0" t="n">
        <f aca="false">-CD90</f>
        <v>4000</v>
      </c>
      <c r="CE109" s="0" t="n">
        <f aca="false">-CE90</f>
        <v>4000</v>
      </c>
      <c r="CF109" s="0" t="n">
        <f aca="false">-CF90</f>
        <v>4000</v>
      </c>
      <c r="CG109" s="0" t="n">
        <f aca="false">-CG90</f>
        <v>4000</v>
      </c>
      <c r="CH109" s="0" t="n">
        <f aca="false">-CH90</f>
        <v>4000</v>
      </c>
      <c r="CI109" s="0" t="n">
        <f aca="false">-CI90</f>
        <v>4000</v>
      </c>
      <c r="CJ109" s="0" t="n">
        <f aca="false">-CJ90</f>
        <v>4000</v>
      </c>
      <c r="CK109" s="0" t="n">
        <f aca="false">-CK90</f>
        <v>4000</v>
      </c>
      <c r="CL109" s="0" t="n">
        <f aca="false">-CL90</f>
        <v>4000</v>
      </c>
      <c r="CM109" s="0" t="n">
        <f aca="false">-CM90</f>
        <v>4000</v>
      </c>
      <c r="CN109" s="0" t="n">
        <f aca="false">-CN90</f>
        <v>4000</v>
      </c>
      <c r="CO109" s="0" t="n">
        <f aca="false">-CO90</f>
        <v>4000</v>
      </c>
      <c r="CP109" s="0" t="n">
        <f aca="false">-CP90</f>
        <v>4000</v>
      </c>
      <c r="CQ109" s="0" t="n">
        <f aca="false">-CQ90</f>
        <v>4000</v>
      </c>
      <c r="CR109" s="0" t="n">
        <f aca="false">-CR90</f>
        <v>4000</v>
      </c>
      <c r="CS109" s="0" t="n">
        <f aca="false">-CS90</f>
        <v>4000</v>
      </c>
      <c r="CT109" s="0" t="n">
        <f aca="false">-CT90</f>
        <v>4000</v>
      </c>
      <c r="CU109" s="0" t="n">
        <f aca="false">-CU90</f>
        <v>4000</v>
      </c>
      <c r="CV109" s="0" t="n">
        <f aca="false">-CV90</f>
        <v>4000</v>
      </c>
      <c r="CW109" s="0" t="n">
        <f aca="false">-CW90</f>
        <v>4000</v>
      </c>
      <c r="CX109" s="0" t="n">
        <f aca="false">-CX90</f>
        <v>4000</v>
      </c>
      <c r="CY109" s="0" t="n">
        <f aca="false">-CY90</f>
        <v>4000</v>
      </c>
      <c r="CZ109" s="0" t="n">
        <f aca="false">-CZ90</f>
        <v>4000</v>
      </c>
      <c r="DA109" s="0" t="n">
        <f aca="false">-DA90</f>
        <v>4000</v>
      </c>
      <c r="DB109" s="0" t="n">
        <f aca="false">-DB90</f>
        <v>4000</v>
      </c>
      <c r="DC109" s="0" t="n">
        <f aca="false">-DC90</f>
        <v>4000</v>
      </c>
      <c r="DD109" s="0" t="n">
        <f aca="false">-DD90</f>
        <v>4000</v>
      </c>
      <c r="DE109" s="0" t="n">
        <f aca="false">-DE90</f>
        <v>4000</v>
      </c>
      <c r="DF109" s="0" t="n">
        <f aca="false">-DF90</f>
        <v>4000</v>
      </c>
      <c r="DG109" s="0" t="n">
        <f aca="false">-DG90</f>
        <v>4000</v>
      </c>
      <c r="DH109" s="0" t="n">
        <f aca="false">-DH90</f>
        <v>4000</v>
      </c>
      <c r="DI109" s="0" t="n">
        <f aca="false">-DI90</f>
        <v>4000</v>
      </c>
      <c r="DJ109" s="0" t="n">
        <f aca="false">-DJ90</f>
        <v>4000</v>
      </c>
      <c r="DK109" s="0" t="n">
        <f aca="false">-DK90</f>
        <v>4000</v>
      </c>
      <c r="DL109" s="0" t="n">
        <f aca="false">-DL90</f>
        <v>4000</v>
      </c>
      <c r="DM109" s="0" t="n">
        <f aca="false">-DM90</f>
        <v>4000</v>
      </c>
      <c r="DN109" s="0" t="n">
        <f aca="false">-DN90</f>
        <v>4000</v>
      </c>
      <c r="DO109" s="0" t="n">
        <f aca="false">-DO90</f>
        <v>4000</v>
      </c>
      <c r="DP109" s="0" t="n">
        <f aca="false">-DP90</f>
        <v>4000</v>
      </c>
      <c r="DQ109" s="0" t="n">
        <f aca="false">-DQ90</f>
        <v>4000</v>
      </c>
      <c r="DR109" s="0" t="n">
        <f aca="false">-DR90</f>
        <v>4000</v>
      </c>
      <c r="DS109" s="0" t="n">
        <f aca="false">-DS90</f>
        <v>4000</v>
      </c>
      <c r="DT109" s="0" t="n">
        <f aca="false">-DT90</f>
        <v>4000</v>
      </c>
      <c r="DU109" s="0" t="n">
        <f aca="false">-DU90</f>
        <v>4000</v>
      </c>
      <c r="DV109" s="0" t="n">
        <f aca="false">-DV90</f>
        <v>4000</v>
      </c>
      <c r="DW109" s="0" t="n">
        <f aca="false">-DW90</f>
        <v>4000</v>
      </c>
      <c r="DX109" s="0" t="n">
        <f aca="false">-DX90</f>
        <v>4000</v>
      </c>
      <c r="DY109" s="0" t="n">
        <f aca="false">-DY90</f>
        <v>4000</v>
      </c>
      <c r="DZ109" s="0" t="n">
        <f aca="false">-DZ90</f>
        <v>4000</v>
      </c>
      <c r="EA109" s="0" t="n">
        <f aca="false">-EA90</f>
        <v>4000</v>
      </c>
      <c r="EB109" s="0" t="n">
        <f aca="false">-EB90</f>
        <v>4000</v>
      </c>
      <c r="EC109" s="0" t="n">
        <f aca="false">-EC90</f>
        <v>4000</v>
      </c>
      <c r="ED109" s="0" t="n">
        <f aca="false">-ED90</f>
        <v>4000</v>
      </c>
      <c r="EE109" s="0" t="n">
        <f aca="false">-EE90</f>
        <v>4000</v>
      </c>
      <c r="EF109" s="0" t="n">
        <f aca="false">-EF90</f>
        <v>4000</v>
      </c>
      <c r="EG109" s="0" t="n">
        <f aca="false">-EG90</f>
        <v>4000</v>
      </c>
      <c r="EH109" s="0" t="n">
        <f aca="false">-EH90</f>
        <v>4000</v>
      </c>
      <c r="EI109" s="0" t="n">
        <f aca="false">-EI90</f>
        <v>4000</v>
      </c>
      <c r="EJ109" s="0" t="n">
        <f aca="false">-EJ90</f>
        <v>4000</v>
      </c>
      <c r="EK109" s="0" t="n">
        <f aca="false">-EK90</f>
        <v>4000</v>
      </c>
      <c r="EL109" s="0" t="n">
        <f aca="false">-EL90</f>
        <v>4000</v>
      </c>
      <c r="EM109" s="0" t="n">
        <f aca="false">-EM90</f>
        <v>4000</v>
      </c>
      <c r="EN109" s="0" t="n">
        <f aca="false">-EN90</f>
        <v>4000</v>
      </c>
      <c r="EO109" s="0" t="n">
        <f aca="false">-EO90</f>
        <v>4000</v>
      </c>
      <c r="EP109" s="0" t="n">
        <f aca="false">-EP90</f>
        <v>4000</v>
      </c>
      <c r="EQ109" s="0" t="n">
        <f aca="false">-EQ90</f>
        <v>4000</v>
      </c>
      <c r="ER109" s="0" t="n">
        <f aca="false">-ER90</f>
        <v>4000</v>
      </c>
      <c r="ES109" s="0" t="n">
        <f aca="false">-ES90</f>
        <v>4000</v>
      </c>
      <c r="ET109" s="0" t="n">
        <f aca="false">-ET90</f>
        <v>4000</v>
      </c>
      <c r="EU109" s="0" t="n">
        <f aca="false">-EU90</f>
        <v>4000</v>
      </c>
      <c r="EV109" s="0" t="n">
        <f aca="false">-EV90</f>
        <v>4000</v>
      </c>
      <c r="EW109" s="0" t="n">
        <f aca="false">-EW90</f>
        <v>4000</v>
      </c>
      <c r="EX109" s="0" t="n">
        <f aca="false">-EX90</f>
        <v>4000</v>
      </c>
      <c r="EY109" s="0" t="n">
        <f aca="false">-EY90</f>
        <v>4000</v>
      </c>
      <c r="EZ109" s="0" t="n">
        <f aca="false">-EZ90</f>
        <v>4000</v>
      </c>
      <c r="FA109" s="0" t="n">
        <f aca="false">-FA90</f>
        <v>4000</v>
      </c>
      <c r="FB109" s="0" t="n">
        <f aca="false">-FB90</f>
        <v>4000</v>
      </c>
      <c r="FC109" s="0" t="n">
        <f aca="false">-FC90</f>
        <v>4000</v>
      </c>
      <c r="FD109" s="0" t="n">
        <f aca="false">-FD90</f>
        <v>4000</v>
      </c>
      <c r="FE109" s="0" t="n">
        <f aca="false">-FE90</f>
        <v>4000</v>
      </c>
      <c r="FF109" s="0" t="n">
        <f aca="false">-FF90</f>
        <v>4000</v>
      </c>
      <c r="FG109" s="0" t="n">
        <f aca="false">-FG90</f>
        <v>4000</v>
      </c>
      <c r="FH109" s="0" t="n">
        <f aca="false">-FH90</f>
        <v>4000</v>
      </c>
      <c r="FI109" s="0" t="n">
        <f aca="false">-FI90</f>
        <v>4000</v>
      </c>
      <c r="FJ109" s="0" t="n">
        <f aca="false">-FJ90</f>
        <v>4000</v>
      </c>
      <c r="FK109" s="0" t="n">
        <f aca="false">-FK90</f>
        <v>4000</v>
      </c>
      <c r="FL109" s="0" t="n">
        <f aca="false">-FL90</f>
        <v>4000</v>
      </c>
      <c r="FM109" s="0" t="n">
        <f aca="false">-FM90</f>
        <v>4000</v>
      </c>
      <c r="FN109" s="0" t="n">
        <f aca="false">-FN90</f>
        <v>4000</v>
      </c>
      <c r="FO109" s="0" t="n">
        <f aca="false">-FO90</f>
        <v>4000</v>
      </c>
      <c r="FP109" s="0" t="n">
        <f aca="false">-FP90</f>
        <v>4000</v>
      </c>
      <c r="FQ109" s="0" t="n">
        <f aca="false">-FQ90</f>
        <v>4000</v>
      </c>
      <c r="FR109" s="0" t="n">
        <f aca="false">-FR90</f>
        <v>4000</v>
      </c>
      <c r="FS109" s="0" t="n">
        <f aca="false">-FS90</f>
        <v>4000</v>
      </c>
      <c r="FT109" s="0" t="n">
        <f aca="false">-FT90</f>
        <v>4000</v>
      </c>
      <c r="FU109" s="0" t="n">
        <f aca="false">-FU90</f>
        <v>4000</v>
      </c>
      <c r="FV109" s="0" t="n">
        <f aca="false">-FV90</f>
        <v>4000</v>
      </c>
      <c r="FW109" s="0" t="n">
        <f aca="false">-FW90</f>
        <v>4000</v>
      </c>
      <c r="FX109" s="0" t="n">
        <f aca="false">-FX90</f>
        <v>4000</v>
      </c>
      <c r="FY109" s="0" t="n">
        <f aca="false">-FY90</f>
        <v>4000</v>
      </c>
      <c r="FZ109" s="0" t="n">
        <f aca="false">-FZ90</f>
        <v>4000</v>
      </c>
      <c r="GA109" s="0" t="n">
        <f aca="false">-GA90</f>
        <v>4000</v>
      </c>
      <c r="GB109" s="0" t="n">
        <f aca="false">-GB90</f>
        <v>4000</v>
      </c>
      <c r="GC109" s="0" t="n">
        <f aca="false">-GC90</f>
        <v>4000</v>
      </c>
      <c r="GD109" s="0" t="n">
        <f aca="false">-GD90</f>
        <v>4000</v>
      </c>
      <c r="GE109" s="0" t="n">
        <f aca="false">-GE90</f>
        <v>4000</v>
      </c>
      <c r="GF109" s="0" t="n">
        <f aca="false">-GF90</f>
        <v>4000</v>
      </c>
      <c r="GG109" s="0" t="n">
        <f aca="false">-GG90</f>
        <v>4000</v>
      </c>
      <c r="GH109" s="0" t="n">
        <f aca="false">-GH90</f>
        <v>4000</v>
      </c>
      <c r="GI109" s="0" t="n">
        <f aca="false">-GI90</f>
        <v>4000</v>
      </c>
      <c r="GJ109" s="0" t="n">
        <f aca="false">-GJ90</f>
        <v>4000</v>
      </c>
      <c r="GK109" s="0" t="n">
        <f aca="false">-GK90</f>
        <v>4000</v>
      </c>
      <c r="GL109" s="0" t="n">
        <f aca="false">-GL90</f>
        <v>4000</v>
      </c>
      <c r="GM109" s="0" t="n">
        <f aca="false">-GM90</f>
        <v>4000</v>
      </c>
      <c r="GN109" s="0" t="n">
        <f aca="false">-GN90</f>
        <v>4000</v>
      </c>
      <c r="GO109" s="0" t="n">
        <f aca="false">-GO90</f>
        <v>4000</v>
      </c>
      <c r="GP109" s="0" t="n">
        <f aca="false">-GP90</f>
        <v>4000</v>
      </c>
      <c r="GQ109" s="0" t="n">
        <f aca="false">-GQ90</f>
        <v>4000</v>
      </c>
      <c r="GR109" s="0" t="n">
        <f aca="false">-GR90</f>
        <v>4000</v>
      </c>
      <c r="GS109" s="0" t="n">
        <f aca="false">-GS90</f>
        <v>4000</v>
      </c>
      <c r="GT109" s="0" t="n">
        <f aca="false">-GT90</f>
        <v>4000</v>
      </c>
      <c r="GU109" s="0" t="n">
        <f aca="false">-GU90</f>
        <v>4000</v>
      </c>
      <c r="GV109" s="0" t="n">
        <f aca="false">-GV90</f>
        <v>4000</v>
      </c>
      <c r="GW109" s="0" t="n">
        <f aca="false">-GW90</f>
        <v>4000</v>
      </c>
      <c r="GX109" s="0" t="n">
        <f aca="false">-GX90</f>
        <v>4000</v>
      </c>
      <c r="GY109" s="0" t="n">
        <f aca="false">-GY90</f>
        <v>4000</v>
      </c>
      <c r="GZ109" s="0" t="n">
        <f aca="false">-GZ90</f>
        <v>4000</v>
      </c>
      <c r="HA109" s="0" t="n">
        <f aca="false">-HA90</f>
        <v>4000</v>
      </c>
      <c r="HB109" s="0" t="n">
        <f aca="false">-HB90</f>
        <v>4000</v>
      </c>
      <c r="HC109" s="0" t="n">
        <f aca="false">-HC90</f>
        <v>4000</v>
      </c>
      <c r="HD109" s="0" t="n">
        <f aca="false">-HD90</f>
        <v>4000</v>
      </c>
      <c r="HE109" s="0" t="n">
        <f aca="false">-HE90</f>
        <v>4000</v>
      </c>
      <c r="HF109" s="0" t="n">
        <f aca="false">-HF90</f>
        <v>4000</v>
      </c>
      <c r="HG109" s="0" t="n">
        <f aca="false">-HG90</f>
        <v>4000</v>
      </c>
      <c r="HH109" s="0" t="n">
        <f aca="false">-HH90</f>
        <v>4000</v>
      </c>
      <c r="HI109" s="0" t="n">
        <f aca="false">-HI90</f>
        <v>4000</v>
      </c>
      <c r="HJ109" s="0" t="n">
        <f aca="false">-HJ90</f>
        <v>4000</v>
      </c>
      <c r="HK109" s="0" t="n">
        <f aca="false">-HK90</f>
        <v>4000</v>
      </c>
      <c r="HL109" s="0" t="n">
        <f aca="false">-HL90</f>
        <v>4000</v>
      </c>
      <c r="HM109" s="0" t="n">
        <f aca="false">-HM90</f>
        <v>4000</v>
      </c>
      <c r="HN109" s="0" t="n">
        <f aca="false">-HN90</f>
        <v>4000</v>
      </c>
      <c r="HO109" s="0" t="n">
        <f aca="false">-HO90</f>
        <v>4000</v>
      </c>
      <c r="HP109" s="0" t="n">
        <f aca="false">-HP90</f>
        <v>4000</v>
      </c>
      <c r="HQ109" s="0" t="n">
        <f aca="false">-HQ90</f>
        <v>4000</v>
      </c>
      <c r="HR109" s="0" t="n">
        <f aca="false">-HR90</f>
        <v>4000</v>
      </c>
      <c r="HS109" s="0" t="n">
        <f aca="false">-HS90</f>
        <v>4000</v>
      </c>
      <c r="HT109" s="0" t="n">
        <f aca="false">-HT90</f>
        <v>4000</v>
      </c>
      <c r="HU109" s="0" t="n">
        <f aca="false">-HU90</f>
        <v>4000</v>
      </c>
      <c r="HV109" s="0" t="n">
        <f aca="false">-HV90</f>
        <v>4000</v>
      </c>
      <c r="HW109" s="0" t="n">
        <f aca="false">-HW90</f>
        <v>4000</v>
      </c>
      <c r="HX109" s="0" t="n">
        <f aca="false">-HX90</f>
        <v>4000</v>
      </c>
      <c r="HY109" s="0" t="n">
        <f aca="false">-HY90</f>
        <v>4000</v>
      </c>
      <c r="HZ109" s="0" t="n">
        <f aca="false">-HZ90</f>
        <v>4000</v>
      </c>
      <c r="IA109" s="0" t="n">
        <f aca="false">-IA90</f>
        <v>4000</v>
      </c>
      <c r="IB109" s="0" t="n">
        <f aca="false">-IB90</f>
        <v>4000</v>
      </c>
      <c r="IC109" s="0" t="n">
        <f aca="false">-IC90</f>
        <v>4000</v>
      </c>
      <c r="ID109" s="0" t="n">
        <f aca="false">-ID90</f>
        <v>4000</v>
      </c>
      <c r="IE109" s="0" t="n">
        <f aca="false">-IE90</f>
        <v>4000</v>
      </c>
      <c r="IF109" s="0" t="n">
        <f aca="false">-IF90</f>
        <v>4000</v>
      </c>
      <c r="IG109" s="0" t="n">
        <f aca="false">-IG90</f>
        <v>4000</v>
      </c>
      <c r="IH109" s="0" t="n">
        <f aca="false">-IH90</f>
        <v>4000</v>
      </c>
      <c r="II109" s="0" t="n">
        <f aca="false">-II90</f>
        <v>4000</v>
      </c>
      <c r="IJ109" s="0" t="n">
        <f aca="false">-IJ90</f>
        <v>4000</v>
      </c>
      <c r="IK109" s="0" t="n">
        <f aca="false">-IK90</f>
        <v>4000</v>
      </c>
      <c r="IL109" s="0" t="n">
        <f aca="false">-IL90</f>
        <v>4000</v>
      </c>
      <c r="IM109" s="0" t="n">
        <f aca="false">-IM90</f>
        <v>4000</v>
      </c>
      <c r="IN109" s="0" t="n">
        <f aca="false">-IN90</f>
        <v>4000</v>
      </c>
      <c r="IO109" s="0" t="n">
        <f aca="false">-IO90</f>
        <v>4000</v>
      </c>
      <c r="IP109" s="0" t="n">
        <f aca="false">-IP90</f>
        <v>4000</v>
      </c>
      <c r="IQ109" s="0" t="n">
        <f aca="false">-IQ90</f>
        <v>4000</v>
      </c>
      <c r="IR109" s="0" t="n">
        <f aca="false">-IR90</f>
        <v>4000</v>
      </c>
      <c r="IS109" s="0" t="n">
        <f aca="false">-IS90</f>
        <v>4000</v>
      </c>
      <c r="IT109" s="0" t="n">
        <f aca="false">-IT90</f>
        <v>4000</v>
      </c>
      <c r="IU109" s="0" t="n">
        <f aca="false">-IU90</f>
        <v>4000</v>
      </c>
      <c r="IV109" s="0" t="n">
        <f aca="false">-IV90</f>
        <v>4000</v>
      </c>
      <c r="IW109" s="0" t="n">
        <f aca="false">-IW90</f>
        <v>4000</v>
      </c>
      <c r="IX109" s="0" t="n">
        <f aca="false">-IX90</f>
        <v>4000</v>
      </c>
      <c r="IY109" s="0" t="n">
        <f aca="false">-IY90</f>
        <v>4000</v>
      </c>
      <c r="IZ109" s="0" t="n">
        <f aca="false">-IZ90</f>
        <v>4000</v>
      </c>
      <c r="JA109" s="0" t="n">
        <f aca="false">-JA90</f>
        <v>4000</v>
      </c>
      <c r="JB109" s="0" t="n">
        <f aca="false">-JB90</f>
        <v>4000</v>
      </c>
      <c r="JC109" s="0" t="n">
        <f aca="false">-JC90</f>
        <v>4000</v>
      </c>
      <c r="JD109" s="0" t="n">
        <f aca="false">-JD90</f>
        <v>4000</v>
      </c>
      <c r="JE109" s="0" t="n">
        <f aca="false">-JE90</f>
        <v>4000</v>
      </c>
      <c r="JF109" s="0" t="n">
        <f aca="false">-JF90</f>
        <v>4000</v>
      </c>
      <c r="JG109" s="0" t="n">
        <f aca="false">-JG90</f>
        <v>4000</v>
      </c>
      <c r="JH109" s="0" t="n">
        <f aca="false">-JH90</f>
        <v>4000</v>
      </c>
      <c r="JI109" s="0" t="n">
        <f aca="false">-JI90</f>
        <v>4000</v>
      </c>
      <c r="JJ109" s="0" t="n">
        <f aca="false">-JJ90</f>
        <v>4000</v>
      </c>
      <c r="JK109" s="0" t="n">
        <f aca="false">-JK90</f>
        <v>4000</v>
      </c>
      <c r="JL109" s="0" t="n">
        <f aca="false">-JL90</f>
        <v>4000</v>
      </c>
      <c r="JM109" s="0" t="n">
        <f aca="false">-JM90</f>
        <v>4000</v>
      </c>
      <c r="JN109" s="0" t="n">
        <f aca="false">-JN90</f>
        <v>4000</v>
      </c>
      <c r="JO109" s="0" t="n">
        <f aca="false">-JO90</f>
        <v>4000</v>
      </c>
      <c r="JP109" s="0" t="n">
        <f aca="false">-JP90</f>
        <v>4000</v>
      </c>
      <c r="JQ109" s="0" t="n">
        <f aca="false">-JQ90</f>
        <v>4000</v>
      </c>
      <c r="JR109" s="0" t="n">
        <f aca="false">-JR90</f>
        <v>4000</v>
      </c>
      <c r="JS109" s="0" t="n">
        <f aca="false">-JS90</f>
        <v>4000</v>
      </c>
      <c r="JT109" s="0" t="n">
        <f aca="false">-JT90</f>
        <v>4000</v>
      </c>
      <c r="JU109" s="0" t="n">
        <f aca="false">-JU90</f>
        <v>4000</v>
      </c>
      <c r="JV109" s="0" t="n">
        <f aca="false">-JV90</f>
        <v>4000</v>
      </c>
      <c r="JW109" s="0" t="n">
        <f aca="false">-JW90</f>
        <v>4000</v>
      </c>
      <c r="JX109" s="0" t="n">
        <f aca="false">-JX90</f>
        <v>4000</v>
      </c>
      <c r="JY109" s="0" t="n">
        <f aca="false">-JY90</f>
        <v>4000</v>
      </c>
      <c r="JZ109" s="0" t="n">
        <f aca="false">-JZ90</f>
        <v>4000</v>
      </c>
      <c r="KA109" s="0" t="n">
        <f aca="false">-KA90</f>
        <v>4000</v>
      </c>
      <c r="KB109" s="0" t="n">
        <f aca="false">-KB90</f>
        <v>4000</v>
      </c>
      <c r="KC109" s="0" t="n">
        <f aca="false">-KC90</f>
        <v>4000</v>
      </c>
      <c r="KD109" s="0" t="n">
        <f aca="false">-KD90</f>
        <v>4000</v>
      </c>
      <c r="KE109" s="0" t="n">
        <f aca="false">-KE90</f>
        <v>4000</v>
      </c>
      <c r="KF109" s="0" t="n">
        <f aca="false">-KF90</f>
        <v>4000</v>
      </c>
      <c r="KG109" s="0" t="n">
        <f aca="false">-KG90</f>
        <v>4000</v>
      </c>
      <c r="KH109" s="0" t="n">
        <f aca="false">-KH90</f>
        <v>4000</v>
      </c>
      <c r="KI109" s="0" t="n">
        <f aca="false">-KI90</f>
        <v>4000</v>
      </c>
      <c r="KJ109" s="0" t="n">
        <f aca="false">-KJ90</f>
        <v>4000</v>
      </c>
      <c r="KK109" s="0" t="n">
        <f aca="false">-KK90</f>
        <v>4000</v>
      </c>
      <c r="KL109" s="0" t="n">
        <f aca="false">-KL90</f>
        <v>4000</v>
      </c>
      <c r="KM109" s="0" t="n">
        <f aca="false">-KM90</f>
        <v>4000</v>
      </c>
      <c r="KN109" s="0" t="n">
        <f aca="false">-KN90</f>
        <v>4000</v>
      </c>
      <c r="KO109" s="0" t="n">
        <f aca="false">-KO90</f>
        <v>4000</v>
      </c>
      <c r="KP109" s="0" t="n">
        <f aca="false">-KP90</f>
        <v>4000</v>
      </c>
      <c r="KQ109" s="0" t="n">
        <f aca="false">-KQ90</f>
        <v>4000</v>
      </c>
      <c r="KR109" s="0" t="n">
        <f aca="false">-KR90</f>
        <v>4000</v>
      </c>
      <c r="KS109" s="0" t="n">
        <f aca="false">-KS90</f>
        <v>4000</v>
      </c>
      <c r="KT109" s="0" t="n">
        <f aca="false">-KT90</f>
        <v>4000</v>
      </c>
      <c r="KU109" s="0" t="n">
        <f aca="false">-KU90</f>
        <v>4000</v>
      </c>
      <c r="KV109" s="0" t="n">
        <f aca="false">-KV90</f>
        <v>4000</v>
      </c>
      <c r="KW109" s="0" t="n">
        <f aca="false">-KW90</f>
        <v>4000</v>
      </c>
      <c r="KX109" s="0" t="n">
        <f aca="false">-KX90</f>
        <v>4000</v>
      </c>
      <c r="KY109" s="0" t="n">
        <f aca="false">-KY90</f>
        <v>4000</v>
      </c>
      <c r="KZ109" s="0" t="n">
        <f aca="false">-KZ90</f>
        <v>4000</v>
      </c>
      <c r="LA109" s="0" t="n">
        <f aca="false">-LA90</f>
        <v>4000</v>
      </c>
      <c r="LB109" s="0" t="n">
        <f aca="false">-LB90</f>
        <v>4000</v>
      </c>
      <c r="LC109" s="0" t="n">
        <f aca="false">-LC90</f>
        <v>4000</v>
      </c>
      <c r="LD109" s="0" t="n">
        <f aca="false">-LD90</f>
        <v>4000</v>
      </c>
      <c r="LE109" s="0" t="n">
        <f aca="false">-LE90</f>
        <v>4000</v>
      </c>
      <c r="LF109" s="0" t="n">
        <f aca="false">-LF90</f>
        <v>4000</v>
      </c>
      <c r="LG109" s="0" t="n">
        <f aca="false">-LG90</f>
        <v>4000</v>
      </c>
      <c r="LH109" s="0" t="n">
        <f aca="false">-LH90</f>
        <v>4000</v>
      </c>
      <c r="LI109" s="0" t="n">
        <f aca="false">-LI90</f>
        <v>4000</v>
      </c>
      <c r="LJ109" s="0" t="n">
        <f aca="false">-LJ90</f>
        <v>4000</v>
      </c>
      <c r="LK109" s="0" t="n">
        <f aca="false">-LK90</f>
        <v>4000</v>
      </c>
      <c r="LL109" s="0" t="n">
        <f aca="false">-LL90</f>
        <v>4000</v>
      </c>
      <c r="LM109" s="0" t="n">
        <f aca="false">-LM90</f>
        <v>4000</v>
      </c>
      <c r="LN109" s="0" t="n">
        <f aca="false">-LN90</f>
        <v>4000</v>
      </c>
      <c r="LO109" s="0" t="n">
        <f aca="false">-LO90</f>
        <v>4000</v>
      </c>
      <c r="LP109" s="0" t="n">
        <f aca="false">-LP90</f>
        <v>4000</v>
      </c>
      <c r="LQ109" s="0" t="n">
        <f aca="false">-LQ90</f>
        <v>4000</v>
      </c>
      <c r="LR109" s="0" t="n">
        <f aca="false">-LR90</f>
        <v>4000</v>
      </c>
      <c r="LS109" s="0" t="n">
        <f aca="false">-LS90</f>
        <v>4000</v>
      </c>
      <c r="LT109" s="0" t="n">
        <f aca="false">-LT90</f>
        <v>4000</v>
      </c>
      <c r="LU109" s="0" t="n">
        <f aca="false">-LU90</f>
        <v>4000</v>
      </c>
      <c r="LV109" s="0" t="n">
        <f aca="false">-LV90</f>
        <v>4000</v>
      </c>
      <c r="LW109" s="0" t="n">
        <f aca="false">-LW90</f>
        <v>4000</v>
      </c>
      <c r="LX109" s="0" t="n">
        <f aca="false">-LX90</f>
        <v>4000</v>
      </c>
      <c r="LY109" s="0" t="n">
        <f aca="false">-LY90</f>
        <v>4000</v>
      </c>
      <c r="LZ109" s="0" t="n">
        <f aca="false">-LZ90</f>
        <v>4000</v>
      </c>
      <c r="MA109" s="0" t="n">
        <f aca="false">-MA90</f>
        <v>4000</v>
      </c>
      <c r="MB109" s="0" t="n">
        <f aca="false">-MB90</f>
        <v>4000</v>
      </c>
      <c r="MC109" s="0" t="n">
        <f aca="false">-MC90</f>
        <v>4000</v>
      </c>
      <c r="MD109" s="0" t="n">
        <f aca="false">-MD90</f>
        <v>4000</v>
      </c>
      <c r="ME109" s="0" t="n">
        <f aca="false">-ME90</f>
        <v>4000</v>
      </c>
      <c r="MF109" s="0" t="n">
        <f aca="false">-MF90</f>
        <v>4000</v>
      </c>
      <c r="MG109" s="0" t="n">
        <f aca="false">-MG90</f>
        <v>4000</v>
      </c>
      <c r="MH109" s="0" t="n">
        <f aca="false">-MH90</f>
        <v>4000</v>
      </c>
      <c r="MI109" s="0" t="n">
        <f aca="false">-MI90</f>
        <v>4000</v>
      </c>
      <c r="MJ109" s="0" t="n">
        <f aca="false">-MJ90</f>
        <v>4000</v>
      </c>
      <c r="MK109" s="0" t="n">
        <f aca="false">-MK90</f>
        <v>4000</v>
      </c>
      <c r="ML109" s="0" t="n">
        <f aca="false">-ML90</f>
        <v>4000</v>
      </c>
      <c r="MM109" s="0" t="n">
        <f aca="false">-MM90</f>
        <v>4000</v>
      </c>
      <c r="MN109" s="0" t="n">
        <f aca="false">-MN90</f>
        <v>4000</v>
      </c>
      <c r="MO109" s="0" t="n">
        <f aca="false">-MO90</f>
        <v>4000</v>
      </c>
      <c r="MP109" s="0" t="n">
        <f aca="false">-MP90</f>
        <v>4000</v>
      </c>
      <c r="MQ109" s="0" t="n">
        <f aca="false">-MQ90</f>
        <v>4000</v>
      </c>
      <c r="MR109" s="0" t="n">
        <f aca="false">-MR90</f>
        <v>4000</v>
      </c>
      <c r="MS109" s="0" t="n">
        <f aca="false">-MS90</f>
        <v>4000</v>
      </c>
      <c r="MT109" s="0" t="n">
        <f aca="false">-MT90</f>
        <v>4000</v>
      </c>
      <c r="MU109" s="0" t="n">
        <f aca="false">-MU90</f>
        <v>4000</v>
      </c>
      <c r="MV109" s="0" t="n">
        <f aca="false">-MV90</f>
        <v>4000</v>
      </c>
      <c r="MW109" s="0" t="n">
        <f aca="false">-MW90</f>
        <v>4000</v>
      </c>
      <c r="MX109" s="0" t="n">
        <f aca="false">-MX90</f>
        <v>4000</v>
      </c>
      <c r="MY109" s="0" t="n">
        <f aca="false">-MY90</f>
        <v>4000</v>
      </c>
      <c r="MZ109" s="0" t="n">
        <f aca="false">-MZ90</f>
        <v>4000</v>
      </c>
      <c r="NA109" s="0" t="n">
        <f aca="false">-NA90</f>
        <v>4000</v>
      </c>
      <c r="NB109" s="0" t="n">
        <f aca="false">-NB90</f>
        <v>4000</v>
      </c>
      <c r="NC109" s="0" t="n">
        <f aca="false">-NC90</f>
        <v>4000</v>
      </c>
      <c r="ND109" s="0" t="n">
        <f aca="false">-ND90</f>
        <v>4000</v>
      </c>
      <c r="NE109" s="0" t="n">
        <f aca="false">-NE90</f>
        <v>4000</v>
      </c>
      <c r="NF109" s="0" t="n">
        <f aca="false">-NF90</f>
        <v>4000</v>
      </c>
      <c r="NG109" s="0" t="n">
        <f aca="false">-NG90</f>
        <v>4000</v>
      </c>
      <c r="NH109" s="0" t="n">
        <f aca="false">-NH90</f>
        <v>4000</v>
      </c>
      <c r="NI109" s="0" t="n">
        <f aca="false">-NI90</f>
        <v>4000</v>
      </c>
      <c r="NJ109" s="0" t="n">
        <f aca="false">-NJ90</f>
        <v>4000</v>
      </c>
      <c r="NK109" s="0" t="n">
        <f aca="false">-NK90</f>
        <v>4000</v>
      </c>
      <c r="NL109" s="0" t="n">
        <f aca="false">-NL90</f>
        <v>4000</v>
      </c>
      <c r="NM109" s="0" t="n">
        <f aca="false">-NM90</f>
        <v>4000</v>
      </c>
      <c r="NN109" s="0" t="n">
        <f aca="false">-NN90</f>
        <v>4000</v>
      </c>
      <c r="NO109" s="0" t="n">
        <f aca="false">-NO90</f>
        <v>4000</v>
      </c>
      <c r="NP109" s="0" t="n">
        <f aca="false">-NP90</f>
        <v>4000</v>
      </c>
      <c r="NQ109" s="0" t="n">
        <f aca="false">-NQ90</f>
        <v>4000</v>
      </c>
      <c r="NR109" s="0" t="n">
        <f aca="false">-NR90</f>
        <v>4000</v>
      </c>
      <c r="NS109" s="0" t="n">
        <f aca="false">-NS90</f>
        <v>4000</v>
      </c>
      <c r="NT109" s="0" t="n">
        <f aca="false">-NT90</f>
        <v>4000</v>
      </c>
      <c r="NU109" s="0" t="n">
        <f aca="false">-NU90</f>
        <v>4000</v>
      </c>
      <c r="NV109" s="0" t="n">
        <f aca="false">-NV90</f>
        <v>4000</v>
      </c>
      <c r="NW109" s="0" t="n">
        <f aca="false">-NW90</f>
        <v>4000</v>
      </c>
      <c r="NX109" s="0" t="n">
        <f aca="false">-NX90</f>
        <v>4000</v>
      </c>
      <c r="NY109" s="0" t="n">
        <f aca="false">-NY90</f>
        <v>4000</v>
      </c>
      <c r="NZ109" s="0" t="n">
        <f aca="false">-NZ90</f>
        <v>4000</v>
      </c>
      <c r="OA109" s="0" t="n">
        <f aca="false">-OA90</f>
        <v>4000</v>
      </c>
      <c r="OB109" s="0" t="n">
        <f aca="false">-OB90</f>
        <v>4000</v>
      </c>
      <c r="OC109" s="0" t="n">
        <f aca="false">-OC90</f>
        <v>4000</v>
      </c>
      <c r="OD109" s="0" t="n">
        <f aca="false">-OD90</f>
        <v>4000</v>
      </c>
      <c r="OE109" s="0" t="n">
        <f aca="false">-OE90</f>
        <v>4000</v>
      </c>
      <c r="OF109" s="0" t="n">
        <f aca="false">-OF90</f>
        <v>4000</v>
      </c>
      <c r="OG109" s="0" t="n">
        <f aca="false">-OG90</f>
        <v>4000</v>
      </c>
      <c r="OH109" s="0" t="n">
        <f aca="false">-OH90</f>
        <v>4000</v>
      </c>
      <c r="OI109" s="0" t="n">
        <f aca="false">-OI90</f>
        <v>4000</v>
      </c>
      <c r="OJ109" s="0" t="n">
        <f aca="false">-OJ90</f>
        <v>4000</v>
      </c>
      <c r="OK109" s="0" t="n">
        <f aca="false">-OK90</f>
        <v>4000</v>
      </c>
      <c r="OL109" s="0" t="n">
        <f aca="false">-OL90</f>
        <v>4000</v>
      </c>
      <c r="OM109" s="0" t="n">
        <f aca="false">-OM90</f>
        <v>4000</v>
      </c>
      <c r="ON109" s="0" t="n">
        <f aca="false">-ON90</f>
        <v>4000</v>
      </c>
      <c r="OO109" s="0" t="n">
        <f aca="false">-OO90</f>
        <v>4000</v>
      </c>
      <c r="OP109" s="0" t="n">
        <f aca="false">-OP90</f>
        <v>4000</v>
      </c>
      <c r="OQ109" s="0" t="n">
        <f aca="false">-OQ90</f>
        <v>4000</v>
      </c>
      <c r="OR109" s="0" t="n">
        <f aca="false">-OR90</f>
        <v>4000</v>
      </c>
      <c r="OS109" s="0" t="n">
        <f aca="false">-OS90</f>
        <v>4000</v>
      </c>
      <c r="OT109" s="0" t="n">
        <f aca="false">-OT90</f>
        <v>4000</v>
      </c>
      <c r="OU109" s="0" t="n">
        <f aca="false">-OU90</f>
        <v>4000</v>
      </c>
      <c r="OV109" s="0" t="n">
        <f aca="false">-OV90</f>
        <v>4000</v>
      </c>
      <c r="OW109" s="0" t="n">
        <f aca="false">-OW90</f>
        <v>4000</v>
      </c>
      <c r="OX109" s="0" t="n">
        <f aca="false">-OX90</f>
        <v>4000</v>
      </c>
      <c r="OY109" s="0" t="n">
        <f aca="false">-OY90</f>
        <v>4000</v>
      </c>
      <c r="OZ109" s="0" t="n">
        <f aca="false">-OZ90</f>
        <v>4000</v>
      </c>
      <c r="PA109" s="0" t="n">
        <f aca="false">-PA90</f>
        <v>4000</v>
      </c>
      <c r="PB109" s="0" t="n">
        <f aca="false">-PB90</f>
        <v>4000</v>
      </c>
      <c r="PC109" s="0" t="n">
        <f aca="false">-PC90</f>
        <v>4000</v>
      </c>
      <c r="PD109" s="0" t="n">
        <f aca="false">-PD90</f>
        <v>4000</v>
      </c>
      <c r="PE109" s="0" t="n">
        <f aca="false">-PE90</f>
        <v>4000</v>
      </c>
      <c r="PF109" s="0" t="n">
        <f aca="false">-PF90</f>
        <v>4000</v>
      </c>
      <c r="PG109" s="0" t="n">
        <f aca="false">-PG90</f>
        <v>4000</v>
      </c>
      <c r="PH109" s="0" t="n">
        <f aca="false">-PH90</f>
        <v>4000</v>
      </c>
      <c r="PI109" s="0" t="n">
        <f aca="false">-PI90</f>
        <v>4000</v>
      </c>
      <c r="PJ109" s="0" t="n">
        <f aca="false">-PJ90</f>
        <v>4000</v>
      </c>
      <c r="PK109" s="0" t="n">
        <f aca="false">-PK90</f>
        <v>4000</v>
      </c>
      <c r="PL109" s="0" t="n">
        <f aca="false">-PL90</f>
        <v>4000</v>
      </c>
      <c r="PM109" s="0" t="n">
        <f aca="false">-PM90</f>
        <v>4000</v>
      </c>
      <c r="PN109" s="0" t="n">
        <f aca="false">-PN90</f>
        <v>4000</v>
      </c>
      <c r="PO109" s="0" t="n">
        <f aca="false">-PO90</f>
        <v>4000</v>
      </c>
      <c r="PP109" s="0" t="n">
        <f aca="false">-PP90</f>
        <v>4000</v>
      </c>
      <c r="PQ109" s="0" t="n">
        <f aca="false">-PQ90</f>
        <v>4000</v>
      </c>
      <c r="PR109" s="0" t="n">
        <f aca="false">-PR90</f>
        <v>4000</v>
      </c>
      <c r="PS109" s="0" t="n">
        <f aca="false">-PS90</f>
        <v>4000</v>
      </c>
      <c r="PT109" s="0" t="n">
        <f aca="false">-PT90</f>
        <v>4000</v>
      </c>
      <c r="PU109" s="0" t="n">
        <f aca="false">-PU90</f>
        <v>4000</v>
      </c>
      <c r="PV109" s="0" t="n">
        <f aca="false">-PV90</f>
        <v>4000</v>
      </c>
      <c r="PW109" s="0" t="n">
        <f aca="false">-PW90</f>
        <v>4000</v>
      </c>
      <c r="PX109" s="0" t="n">
        <f aca="false">-PX90</f>
        <v>4000</v>
      </c>
      <c r="PY109" s="0" t="n">
        <f aca="false">-PY90</f>
        <v>4000</v>
      </c>
      <c r="PZ109" s="0" t="n">
        <f aca="false">-PZ90</f>
        <v>4000</v>
      </c>
      <c r="QA109" s="0" t="n">
        <f aca="false">-QA90</f>
        <v>4000</v>
      </c>
      <c r="QB109" s="0" t="n">
        <f aca="false">-QB90</f>
        <v>4000</v>
      </c>
      <c r="QC109" s="0" t="n">
        <f aca="false">-QC90</f>
        <v>4000</v>
      </c>
      <c r="QD109" s="0" t="n">
        <f aca="false">-QD90</f>
        <v>4000</v>
      </c>
      <c r="QE109" s="0" t="n">
        <f aca="false">-QE90</f>
        <v>4000</v>
      </c>
      <c r="QF109" s="0" t="n">
        <f aca="false">-QF90</f>
        <v>4000</v>
      </c>
      <c r="QG109" s="0" t="n">
        <f aca="false">-QG90</f>
        <v>4000</v>
      </c>
      <c r="QH109" s="0" t="n">
        <f aca="false">-QH90</f>
        <v>4000</v>
      </c>
      <c r="QI109" s="0" t="n">
        <f aca="false">-QI90</f>
        <v>4000</v>
      </c>
      <c r="QJ109" s="0" t="n">
        <f aca="false">-QJ90</f>
        <v>4000</v>
      </c>
      <c r="QK109" s="0" t="n">
        <f aca="false">-QK90</f>
        <v>4000</v>
      </c>
      <c r="QL109" s="0" t="n">
        <f aca="false">-QL90</f>
        <v>4000</v>
      </c>
      <c r="QM109" s="0" t="n">
        <f aca="false">-QM90</f>
        <v>4000</v>
      </c>
      <c r="QN109" s="0" t="n">
        <f aca="false">-QN90</f>
        <v>4000</v>
      </c>
      <c r="QO109" s="0" t="n">
        <f aca="false">-QO90</f>
        <v>4000</v>
      </c>
      <c r="QP109" s="0" t="n">
        <f aca="false">-QP90</f>
        <v>4000</v>
      </c>
      <c r="QQ109" s="0" t="n">
        <f aca="false">-QQ90</f>
        <v>4000</v>
      </c>
      <c r="QR109" s="0" t="n">
        <f aca="false">-QR90</f>
        <v>4000</v>
      </c>
      <c r="QS109" s="0" t="n">
        <f aca="false">-QS90</f>
        <v>4000</v>
      </c>
      <c r="QT109" s="0" t="n">
        <f aca="false">-QT90</f>
        <v>4000</v>
      </c>
      <c r="QU109" s="0" t="n">
        <f aca="false">-QU90</f>
        <v>4000</v>
      </c>
      <c r="QV109" s="0" t="n">
        <f aca="false">-QV90</f>
        <v>4000</v>
      </c>
      <c r="QW109" s="0" t="n">
        <f aca="false">-QW90</f>
        <v>4000</v>
      </c>
      <c r="QX109" s="0" t="n">
        <f aca="false">-QX90</f>
        <v>4000</v>
      </c>
      <c r="QY109" s="0" t="n">
        <f aca="false">-QY90</f>
        <v>4000</v>
      </c>
      <c r="QZ109" s="0" t="n">
        <f aca="false">-QZ90</f>
        <v>4000</v>
      </c>
      <c r="RA109" s="0" t="n">
        <f aca="false">-RA90</f>
        <v>4000</v>
      </c>
      <c r="RB109" s="0" t="n">
        <f aca="false">-RB90</f>
        <v>4000</v>
      </c>
      <c r="RC109" s="0" t="n">
        <f aca="false">-RC90</f>
        <v>4000</v>
      </c>
      <c r="RD109" s="0" t="n">
        <f aca="false">-RD90</f>
        <v>4000</v>
      </c>
      <c r="RE109" s="0" t="n">
        <f aca="false">-RE90</f>
        <v>4000</v>
      </c>
      <c r="RF109" s="0" t="n">
        <f aca="false">-RF90</f>
        <v>4000</v>
      </c>
      <c r="RG109" s="0" t="n">
        <f aca="false">-RG90</f>
        <v>4000</v>
      </c>
      <c r="RH109" s="0" t="n">
        <f aca="false">-RH90</f>
        <v>4000</v>
      </c>
      <c r="RI109" s="0" t="n">
        <f aca="false">-RI90</f>
        <v>4000</v>
      </c>
      <c r="RJ109" s="0" t="n">
        <f aca="false">-RJ90</f>
        <v>4000</v>
      </c>
      <c r="RK109" s="0" t="n">
        <f aca="false">-RK90</f>
        <v>4000</v>
      </c>
      <c r="RL109" s="0" t="n">
        <f aca="false">-RL90</f>
        <v>4000</v>
      </c>
      <c r="RM109" s="0" t="n">
        <f aca="false">-RM90</f>
        <v>4000</v>
      </c>
      <c r="RN109" s="0" t="n">
        <f aca="false">-RN90</f>
        <v>4000</v>
      </c>
      <c r="RO109" s="0" t="n">
        <f aca="false">-RO90</f>
        <v>4000</v>
      </c>
      <c r="RP109" s="0" t="n">
        <f aca="false">-RP90</f>
        <v>4000</v>
      </c>
      <c r="RQ109" s="0" t="n">
        <f aca="false">-RQ90</f>
        <v>4000</v>
      </c>
      <c r="RR109" s="0" t="n">
        <f aca="false">-RR90</f>
        <v>4000</v>
      </c>
      <c r="RS109" s="0" t="n">
        <f aca="false">-RS90</f>
        <v>4000</v>
      </c>
      <c r="RT109" s="0" t="n">
        <f aca="false">-RT90</f>
        <v>4000</v>
      </c>
      <c r="RU109" s="0" t="n">
        <f aca="false">-RU90</f>
        <v>4000</v>
      </c>
      <c r="RV109" s="0" t="n">
        <f aca="false">-RV90</f>
        <v>4000</v>
      </c>
      <c r="RW109" s="0" t="n">
        <f aca="false">-RW90</f>
        <v>4000</v>
      </c>
      <c r="RX109" s="0" t="n">
        <f aca="false">-RX90</f>
        <v>4000</v>
      </c>
      <c r="RY109" s="0" t="n">
        <f aca="false">-RY90</f>
        <v>4000</v>
      </c>
      <c r="RZ109" s="0" t="n">
        <f aca="false">-RZ90</f>
        <v>4000</v>
      </c>
      <c r="SA109" s="0" t="n">
        <f aca="false">-SA90</f>
        <v>4000</v>
      </c>
      <c r="SB109" s="0" t="n">
        <f aca="false">-SB90</f>
        <v>4000</v>
      </c>
      <c r="SC109" s="0" t="n">
        <f aca="false">-SC90</f>
        <v>4000</v>
      </c>
      <c r="SD109" s="0" t="n">
        <f aca="false">-SD90</f>
        <v>4000</v>
      </c>
      <c r="SE109" s="0" t="n">
        <f aca="false">-SE90</f>
        <v>4000</v>
      </c>
      <c r="SF109" s="0" t="n">
        <f aca="false">-SF90</f>
        <v>4000</v>
      </c>
      <c r="SG109" s="0" t="n">
        <f aca="false">-SG90</f>
        <v>4000</v>
      </c>
      <c r="SH109" s="0" t="n">
        <f aca="false">-SH90</f>
        <v>4000</v>
      </c>
      <c r="SI109" s="0" t="n">
        <f aca="false">-SI90</f>
        <v>4000</v>
      </c>
      <c r="SJ109" s="0" t="n">
        <f aca="false">-SJ90</f>
        <v>4000</v>
      </c>
      <c r="SK109" s="0" t="n">
        <f aca="false">-SK90</f>
        <v>4000</v>
      </c>
      <c r="SL109" s="0" t="n">
        <f aca="false">-SL90</f>
        <v>4000</v>
      </c>
      <c r="SM109" s="0" t="n">
        <f aca="false">-SM90</f>
        <v>4000</v>
      </c>
      <c r="SN109" s="0" t="n">
        <f aca="false">-SN90</f>
        <v>4000</v>
      </c>
      <c r="SO109" s="0" t="n">
        <f aca="false">-SO90</f>
        <v>4000</v>
      </c>
      <c r="SP109" s="0" t="n">
        <f aca="false">-SP90</f>
        <v>4000</v>
      </c>
      <c r="SQ109" s="0" t="n">
        <f aca="false">-SQ90</f>
        <v>4000</v>
      </c>
      <c r="SR109" s="0" t="n">
        <f aca="false">-SR90</f>
        <v>4000</v>
      </c>
      <c r="SS109" s="0" t="n">
        <f aca="false">-SS90</f>
        <v>4000</v>
      </c>
      <c r="ST109" s="0" t="n">
        <f aca="false">-ST90</f>
        <v>4000</v>
      </c>
      <c r="SU109" s="0" t="n">
        <f aca="false">-SU90</f>
        <v>4000</v>
      </c>
      <c r="SV109" s="0" t="n">
        <f aca="false">-SV90</f>
        <v>4000</v>
      </c>
      <c r="SW109" s="0" t="n">
        <f aca="false">-SW90</f>
        <v>4000</v>
      </c>
      <c r="SX109" s="0" t="n">
        <f aca="false">-SX90</f>
        <v>4000</v>
      </c>
      <c r="SY109" s="0" t="n">
        <f aca="false">-SY90</f>
        <v>4000</v>
      </c>
      <c r="SZ109" s="0" t="n">
        <f aca="false">-SZ90</f>
        <v>4000</v>
      </c>
      <c r="TA109" s="0" t="n">
        <f aca="false">-TA90</f>
        <v>4000</v>
      </c>
      <c r="TB109" s="0" t="n">
        <f aca="false">-TB90</f>
        <v>4000</v>
      </c>
      <c r="TC109" s="0" t="n">
        <f aca="false">-TC90</f>
        <v>4000</v>
      </c>
      <c r="TD109" s="0" t="n">
        <f aca="false">-TD90</f>
        <v>4000</v>
      </c>
      <c r="TE109" s="0" t="n">
        <f aca="false">-TE90</f>
        <v>4000</v>
      </c>
      <c r="TF109" s="0" t="n">
        <f aca="false">-TF90</f>
        <v>4000</v>
      </c>
      <c r="TG109" s="0" t="n">
        <f aca="false">-TG90</f>
        <v>4000</v>
      </c>
      <c r="TH109" s="0" t="n">
        <f aca="false">-TH90</f>
        <v>4000</v>
      </c>
      <c r="TI109" s="0" t="n">
        <f aca="false">-TI90</f>
        <v>4000</v>
      </c>
      <c r="TJ109" s="0" t="n">
        <f aca="false">-TJ90</f>
        <v>4000</v>
      </c>
      <c r="TK109" s="0" t="n">
        <f aca="false">-TK90</f>
        <v>4000</v>
      </c>
      <c r="TL109" s="0" t="n">
        <f aca="false">-TL90</f>
        <v>4000</v>
      </c>
      <c r="TM109" s="0" t="n">
        <f aca="false">-TM90</f>
        <v>4000</v>
      </c>
      <c r="TN109" s="0" t="n">
        <f aca="false">-TN90</f>
        <v>4000</v>
      </c>
      <c r="TO109" s="0" t="n">
        <f aca="false">-TO90</f>
        <v>4000</v>
      </c>
      <c r="TP109" s="0" t="n">
        <f aca="false">-TP90</f>
        <v>4000</v>
      </c>
      <c r="TQ109" s="0" t="n">
        <f aca="false">-TQ90</f>
        <v>4000</v>
      </c>
      <c r="TR109" s="0" t="n">
        <f aca="false">-TR90</f>
        <v>4000</v>
      </c>
      <c r="TS109" s="0" t="n">
        <f aca="false">-TS90</f>
        <v>4000</v>
      </c>
      <c r="TT109" s="0" t="n">
        <f aca="false">-TT90</f>
        <v>4000</v>
      </c>
      <c r="TU109" s="0" t="n">
        <f aca="false">-TU90</f>
        <v>4000</v>
      </c>
      <c r="TV109" s="0" t="n">
        <f aca="false">-TV90</f>
        <v>4000</v>
      </c>
      <c r="TW109" s="0" t="n">
        <f aca="false">-TW90</f>
        <v>4000</v>
      </c>
      <c r="TX109" s="0" t="n">
        <f aca="false">-TX90</f>
        <v>4000</v>
      </c>
      <c r="TY109" s="0" t="n">
        <f aca="false">-TY90</f>
        <v>4000</v>
      </c>
      <c r="TZ109" s="0" t="n">
        <f aca="false">-TZ90</f>
        <v>4000</v>
      </c>
      <c r="UA109" s="0" t="n">
        <f aca="false">-UA90</f>
        <v>4000</v>
      </c>
      <c r="UB109" s="0" t="n">
        <f aca="false">-UB90</f>
        <v>4000</v>
      </c>
      <c r="UC109" s="0" t="n">
        <f aca="false">-UC90</f>
        <v>4000</v>
      </c>
      <c r="UD109" s="0" t="n">
        <f aca="false">-UD90</f>
        <v>4000</v>
      </c>
      <c r="UE109" s="0" t="n">
        <f aca="false">-UE90</f>
        <v>4000</v>
      </c>
      <c r="UF109" s="0" t="n">
        <f aca="false">-UF90</f>
        <v>4000</v>
      </c>
      <c r="UG109" s="0" t="n">
        <f aca="false">-UG90</f>
        <v>4000</v>
      </c>
      <c r="UH109" s="0" t="n">
        <f aca="false">-UH90</f>
        <v>4000</v>
      </c>
      <c r="UI109" s="0" t="n">
        <f aca="false">-UI90</f>
        <v>4000</v>
      </c>
      <c r="UJ109" s="0" t="n">
        <f aca="false">-UJ90</f>
        <v>4000</v>
      </c>
      <c r="UK109" s="0" t="n">
        <f aca="false">-UK90</f>
        <v>4000</v>
      </c>
      <c r="UL109" s="0" t="n">
        <f aca="false">-UL90</f>
        <v>4000</v>
      </c>
      <c r="UM109" s="0" t="n">
        <f aca="false">-UM90</f>
        <v>4000</v>
      </c>
      <c r="UN109" s="0" t="n">
        <f aca="false">-UN90</f>
        <v>4000</v>
      </c>
      <c r="UO109" s="0" t="n">
        <f aca="false">-UO90</f>
        <v>4000</v>
      </c>
      <c r="UP109" s="0" t="n">
        <f aca="false">-UP90</f>
        <v>4000</v>
      </c>
      <c r="UQ109" s="0" t="n">
        <f aca="false">-UQ90</f>
        <v>4000</v>
      </c>
      <c r="UR109" s="0" t="n">
        <f aca="false">-UR90</f>
        <v>4000</v>
      </c>
      <c r="US109" s="0" t="n">
        <f aca="false">-US90</f>
        <v>4000</v>
      </c>
      <c r="UT109" s="0" t="n">
        <f aca="false">-UT90</f>
        <v>4000</v>
      </c>
      <c r="UU109" s="0" t="n">
        <f aca="false">-UU90</f>
        <v>4000</v>
      </c>
      <c r="UV109" s="0" t="n">
        <f aca="false">-UV90</f>
        <v>4000</v>
      </c>
      <c r="UW109" s="0" t="n">
        <f aca="false">-UW90</f>
        <v>4000</v>
      </c>
      <c r="UX109" s="0" t="n">
        <f aca="false">-UX90</f>
        <v>4000</v>
      </c>
      <c r="UY109" s="0" t="n">
        <f aca="false">-UY90</f>
        <v>4000</v>
      </c>
      <c r="UZ109" s="0" t="n">
        <f aca="false">-UZ90</f>
        <v>4000</v>
      </c>
      <c r="VA109" s="0" t="n">
        <f aca="false">-VA90</f>
        <v>4000</v>
      </c>
      <c r="VB109" s="0" t="n">
        <f aca="false">-VB90</f>
        <v>4000</v>
      </c>
      <c r="VC109" s="0" t="n">
        <f aca="false">-VC90</f>
        <v>4000</v>
      </c>
      <c r="VD109" s="0" t="n">
        <f aca="false">-VD90</f>
        <v>4000</v>
      </c>
      <c r="VE109" s="0" t="n">
        <f aca="false">-VE90</f>
        <v>4000</v>
      </c>
      <c r="VF109" s="0" t="n">
        <f aca="false">-VF90</f>
        <v>4000</v>
      </c>
      <c r="VG109" s="0" t="n">
        <f aca="false">-VG90</f>
        <v>4000</v>
      </c>
      <c r="VH109" s="0" t="n">
        <f aca="false">-VH90</f>
        <v>4000</v>
      </c>
      <c r="VI109" s="0" t="n">
        <f aca="false">-VI90</f>
        <v>4000</v>
      </c>
      <c r="VJ109" s="0" t="n">
        <f aca="false">-VJ90</f>
        <v>4000</v>
      </c>
      <c r="VK109" s="0" t="n">
        <f aca="false">-VK90</f>
        <v>4000</v>
      </c>
      <c r="VL109" s="0" t="n">
        <f aca="false">-VL90</f>
        <v>4000</v>
      </c>
      <c r="VM109" s="0" t="n">
        <f aca="false">-VM90</f>
        <v>4000</v>
      </c>
      <c r="VN109" s="0" t="n">
        <f aca="false">-VN90</f>
        <v>4000</v>
      </c>
      <c r="VO109" s="0" t="n">
        <f aca="false">-VO90</f>
        <v>4000</v>
      </c>
      <c r="VP109" s="0" t="n">
        <f aca="false">-VP90</f>
        <v>4000</v>
      </c>
      <c r="VQ109" s="0" t="n">
        <f aca="false">-VQ90</f>
        <v>4000</v>
      </c>
      <c r="VR109" s="0" t="n">
        <f aca="false">-VR90</f>
        <v>4000</v>
      </c>
      <c r="VS109" s="0" t="n">
        <f aca="false">-VS90</f>
        <v>4000</v>
      </c>
      <c r="VT109" s="0" t="n">
        <f aca="false">-VT90</f>
        <v>4000</v>
      </c>
      <c r="VU109" s="0" t="n">
        <f aca="false">-VU90</f>
        <v>4000</v>
      </c>
      <c r="VV109" s="0" t="n">
        <f aca="false">-VV90</f>
        <v>4000</v>
      </c>
      <c r="VW109" s="0" t="n">
        <f aca="false">-VW90</f>
        <v>4000</v>
      </c>
      <c r="VX109" s="0" t="n">
        <f aca="false">-VX90</f>
        <v>4000</v>
      </c>
      <c r="VY109" s="0" t="n">
        <f aca="false">-VY90</f>
        <v>4000</v>
      </c>
      <c r="VZ109" s="0" t="n">
        <f aca="false">-VZ90</f>
        <v>4000</v>
      </c>
      <c r="WA109" s="0" t="n">
        <f aca="false">-WA90</f>
        <v>4000</v>
      </c>
      <c r="WB109" s="0" t="n">
        <f aca="false">-WB90</f>
        <v>4000</v>
      </c>
      <c r="WC109" s="0" t="n">
        <f aca="false">-WC90</f>
        <v>4000</v>
      </c>
      <c r="WD109" s="0" t="n">
        <f aca="false">-WD90</f>
        <v>4000</v>
      </c>
      <c r="WE109" s="0" t="n">
        <f aca="false">-WE90</f>
        <v>4000</v>
      </c>
      <c r="WF109" s="0" t="n">
        <f aca="false">-WF90</f>
        <v>4000</v>
      </c>
      <c r="WG109" s="0" t="n">
        <f aca="false">-WG90</f>
        <v>4000</v>
      </c>
      <c r="WH109" s="0" t="n">
        <f aca="false">-WH90</f>
        <v>4000</v>
      </c>
      <c r="WI109" s="0" t="n">
        <f aca="false">-WI90</f>
        <v>4000</v>
      </c>
      <c r="WJ109" s="0" t="n">
        <f aca="false">-WJ90</f>
        <v>4000</v>
      </c>
      <c r="WK109" s="0" t="n">
        <f aca="false">-WK90</f>
        <v>4000</v>
      </c>
      <c r="WL109" s="0" t="n">
        <f aca="false">-WL90</f>
        <v>4000</v>
      </c>
      <c r="WM109" s="0" t="n">
        <f aca="false">-WM90</f>
        <v>4000</v>
      </c>
      <c r="WN109" s="0" t="n">
        <f aca="false">-WN90</f>
        <v>4000</v>
      </c>
      <c r="WO109" s="0" t="n">
        <f aca="false">-WO90</f>
        <v>4000</v>
      </c>
      <c r="WP109" s="0" t="n">
        <f aca="false">-WP90</f>
        <v>4000</v>
      </c>
      <c r="WQ109" s="0" t="n">
        <f aca="false">-WQ90</f>
        <v>4000</v>
      </c>
      <c r="WR109" s="0" t="n">
        <f aca="false">-WR90</f>
        <v>4000</v>
      </c>
      <c r="WS109" s="0" t="n">
        <f aca="false">-WS90</f>
        <v>4000</v>
      </c>
      <c r="WT109" s="0" t="n">
        <f aca="false">-WT90</f>
        <v>4000</v>
      </c>
      <c r="WU109" s="0" t="n">
        <f aca="false">-WU90</f>
        <v>4000</v>
      </c>
      <c r="WV109" s="0" t="n">
        <f aca="false">-WV90</f>
        <v>4000</v>
      </c>
      <c r="WW109" s="0" t="n">
        <f aca="false">-WW90</f>
        <v>4000</v>
      </c>
      <c r="WX109" s="0" t="n">
        <f aca="false">-WX90</f>
        <v>4000</v>
      </c>
      <c r="WY109" s="0" t="n">
        <f aca="false">-WY90</f>
        <v>4000</v>
      </c>
      <c r="WZ109" s="0" t="n">
        <f aca="false">-WZ90</f>
        <v>4000</v>
      </c>
      <c r="XA109" s="0" t="n">
        <f aca="false">-XA90</f>
        <v>4000</v>
      </c>
      <c r="XB109" s="0" t="n">
        <f aca="false">-XB90</f>
        <v>4000</v>
      </c>
      <c r="XC109" s="0" t="n">
        <f aca="false">-XC90</f>
        <v>4000</v>
      </c>
      <c r="XD109" s="0" t="n">
        <f aca="false">-XD90</f>
        <v>4000</v>
      </c>
      <c r="XE109" s="0" t="n">
        <f aca="false">-XE90</f>
        <v>4000</v>
      </c>
      <c r="XF109" s="0" t="n">
        <f aca="false">-XF90</f>
        <v>4000</v>
      </c>
      <c r="XG109" s="0" t="n">
        <f aca="false">-XG90</f>
        <v>4000</v>
      </c>
      <c r="XH109" s="0" t="n">
        <f aca="false">-XH90</f>
        <v>4000</v>
      </c>
      <c r="XI109" s="0" t="n">
        <f aca="false">-XI90</f>
        <v>4000</v>
      </c>
      <c r="XJ109" s="0" t="n">
        <f aca="false">-XJ90</f>
        <v>4000</v>
      </c>
      <c r="XK109" s="0" t="n">
        <f aca="false">-XK90</f>
        <v>4000</v>
      </c>
      <c r="XL109" s="0" t="n">
        <f aca="false">-XL90</f>
        <v>4000</v>
      </c>
      <c r="XM109" s="0" t="n">
        <f aca="false">-XM90</f>
        <v>4000</v>
      </c>
      <c r="XN109" s="0" t="n">
        <f aca="false">-XN90</f>
        <v>4000</v>
      </c>
      <c r="XO109" s="0" t="n">
        <f aca="false">-XO90</f>
        <v>4000</v>
      </c>
      <c r="XP109" s="0" t="n">
        <f aca="false">-XP90</f>
        <v>4000</v>
      </c>
      <c r="XQ109" s="0" t="n">
        <f aca="false">-XQ90</f>
        <v>4000</v>
      </c>
      <c r="XR109" s="0" t="n">
        <f aca="false">-XR90</f>
        <v>4000</v>
      </c>
      <c r="XS109" s="0" t="n">
        <f aca="false">-XS90</f>
        <v>4000</v>
      </c>
      <c r="XT109" s="0" t="n">
        <f aca="false">-XT90</f>
        <v>4000</v>
      </c>
      <c r="XU109" s="0" t="n">
        <f aca="false">-XU90</f>
        <v>4000</v>
      </c>
      <c r="XV109" s="0" t="n">
        <f aca="false">-XV90</f>
        <v>4000</v>
      </c>
      <c r="XW109" s="0" t="n">
        <f aca="false">-XW90</f>
        <v>4000</v>
      </c>
      <c r="XX109" s="0" t="n">
        <f aca="false">-XX90</f>
        <v>4000</v>
      </c>
      <c r="XY109" s="0" t="n">
        <f aca="false">-XY90</f>
        <v>4000</v>
      </c>
      <c r="XZ109" s="0" t="n">
        <f aca="false">-XZ90</f>
        <v>4000</v>
      </c>
      <c r="YA109" s="0" t="n">
        <f aca="false">-YA90</f>
        <v>4000</v>
      </c>
      <c r="YB109" s="0" t="n">
        <f aca="false">-YB90</f>
        <v>4000</v>
      </c>
      <c r="YC109" s="0" t="n">
        <f aca="false">-YC90</f>
        <v>4000</v>
      </c>
      <c r="YD109" s="0" t="n">
        <f aca="false">-YD90</f>
        <v>4000</v>
      </c>
      <c r="YE109" s="0" t="n">
        <f aca="false">-YE90</f>
        <v>4000</v>
      </c>
      <c r="YF109" s="0" t="n">
        <f aca="false">-YF90</f>
        <v>4000</v>
      </c>
      <c r="YG109" s="0" t="n">
        <f aca="false">-YG90</f>
        <v>4000</v>
      </c>
      <c r="YH109" s="0" t="n">
        <f aca="false">-YH90</f>
        <v>4000</v>
      </c>
      <c r="YI109" s="0" t="n">
        <f aca="false">-YI90</f>
        <v>4000</v>
      </c>
      <c r="YJ109" s="0" t="n">
        <f aca="false">-YJ90</f>
        <v>4000</v>
      </c>
      <c r="YK109" s="0" t="n">
        <f aca="false">-YK90</f>
        <v>4000</v>
      </c>
      <c r="YL109" s="0" t="n">
        <f aca="false">-YL90</f>
        <v>4000</v>
      </c>
      <c r="YM109" s="0" t="n">
        <f aca="false">-YM90</f>
        <v>4000</v>
      </c>
      <c r="YN109" s="0" t="n">
        <f aca="false">-YN90</f>
        <v>4000</v>
      </c>
      <c r="YO109" s="0" t="n">
        <f aca="false">-YO90</f>
        <v>4000</v>
      </c>
      <c r="YP109" s="0" t="n">
        <f aca="false">-YP90</f>
        <v>4000</v>
      </c>
      <c r="YQ109" s="0" t="n">
        <f aca="false">-YQ90</f>
        <v>4000</v>
      </c>
      <c r="YR109" s="0" t="n">
        <f aca="false">-YR90</f>
        <v>4000</v>
      </c>
      <c r="YS109" s="0" t="n">
        <f aca="false">-YS90</f>
        <v>4000</v>
      </c>
      <c r="YT109" s="0" t="n">
        <f aca="false">-YT90</f>
        <v>4000</v>
      </c>
      <c r="YU109" s="0" t="n">
        <f aca="false">-YU90</f>
        <v>4000</v>
      </c>
      <c r="YV109" s="0" t="n">
        <f aca="false">-YV90</f>
        <v>4000</v>
      </c>
      <c r="YW109" s="0" t="n">
        <f aca="false">-YW90</f>
        <v>4000</v>
      </c>
      <c r="YX109" s="0" t="n">
        <f aca="false">-YX90</f>
        <v>4000</v>
      </c>
      <c r="YY109" s="0" t="n">
        <f aca="false">-YY90</f>
        <v>4000</v>
      </c>
      <c r="YZ109" s="0" t="n">
        <f aca="false">-YZ90</f>
        <v>4000</v>
      </c>
      <c r="ZA109" s="0" t="n">
        <f aca="false">-ZA90</f>
        <v>4000</v>
      </c>
      <c r="ZB109" s="0" t="n">
        <f aca="false">-ZB90</f>
        <v>4000</v>
      </c>
      <c r="ZC109" s="0" t="n">
        <f aca="false">-ZC90</f>
        <v>4000</v>
      </c>
      <c r="ZD109" s="0" t="n">
        <f aca="false">-ZD90</f>
        <v>4000</v>
      </c>
      <c r="ZE109" s="0" t="n">
        <f aca="false">-ZE90</f>
        <v>4000</v>
      </c>
      <c r="ZF109" s="0" t="n">
        <f aca="false">-ZF90</f>
        <v>4000</v>
      </c>
      <c r="ZG109" s="0" t="n">
        <f aca="false">-ZG90</f>
        <v>4000</v>
      </c>
      <c r="ZH109" s="0" t="n">
        <f aca="false">-ZH90</f>
        <v>4000</v>
      </c>
      <c r="ZI109" s="0" t="n">
        <f aca="false">-ZI90</f>
        <v>4000</v>
      </c>
      <c r="ZJ109" s="0" t="n">
        <f aca="false">-ZJ90</f>
        <v>4000</v>
      </c>
      <c r="ZK109" s="0" t="n">
        <f aca="false">-ZK90</f>
        <v>4000</v>
      </c>
      <c r="ZL109" s="0" t="n">
        <f aca="false">-ZL90</f>
        <v>4000</v>
      </c>
      <c r="ZM109" s="0" t="n">
        <f aca="false">-ZM90</f>
        <v>4000</v>
      </c>
      <c r="ZN109" s="0" t="n">
        <f aca="false">-ZN90</f>
        <v>4000</v>
      </c>
      <c r="ZO109" s="0" t="n">
        <f aca="false">-ZO90</f>
        <v>4000</v>
      </c>
      <c r="ZP109" s="0" t="n">
        <f aca="false">-ZP90</f>
        <v>4000</v>
      </c>
      <c r="ZQ109" s="0" t="n">
        <f aca="false">-ZQ90</f>
        <v>4000</v>
      </c>
      <c r="ZR109" s="0" t="n">
        <f aca="false">-ZR90</f>
        <v>4000</v>
      </c>
      <c r="ZS109" s="0" t="n">
        <f aca="false">-ZS90</f>
        <v>4000</v>
      </c>
      <c r="ZT109" s="0" t="n">
        <f aca="false">-ZT90</f>
        <v>4000</v>
      </c>
      <c r="ZU109" s="0" t="n">
        <f aca="false">-ZU90</f>
        <v>4000</v>
      </c>
      <c r="ZV109" s="0" t="n">
        <f aca="false">-ZV90</f>
        <v>4000</v>
      </c>
      <c r="ZW109" s="0" t="n">
        <f aca="false">-ZW90</f>
        <v>4000</v>
      </c>
      <c r="ZX109" s="0" t="n">
        <f aca="false">-ZX90</f>
        <v>4000</v>
      </c>
      <c r="ZY109" s="0" t="n">
        <f aca="false">-ZY90</f>
        <v>4000</v>
      </c>
      <c r="ZZ109" s="0" t="n">
        <f aca="false">-ZZ90</f>
        <v>4000</v>
      </c>
      <c r="AAA109" s="0" t="n">
        <f aca="false">-AAA90</f>
        <v>4000</v>
      </c>
      <c r="AAB109" s="0" t="n">
        <f aca="false">-AAB90</f>
        <v>4000</v>
      </c>
      <c r="AAC109" s="0" t="n">
        <f aca="false">-AAC90</f>
        <v>4000</v>
      </c>
      <c r="AAD109" s="0" t="n">
        <f aca="false">-AAD90</f>
        <v>4000</v>
      </c>
      <c r="AAE109" s="0" t="n">
        <f aca="false">-AAE90</f>
        <v>4000</v>
      </c>
      <c r="AAF109" s="0" t="n">
        <f aca="false">-AAF90</f>
        <v>4000</v>
      </c>
      <c r="AAG109" s="0" t="n">
        <f aca="false">-AAG90</f>
        <v>4000</v>
      </c>
      <c r="AAH109" s="0" t="n">
        <f aca="false">-AAH90</f>
        <v>4000</v>
      </c>
      <c r="AAI109" s="0" t="n">
        <f aca="false">-AAI90</f>
        <v>4000</v>
      </c>
      <c r="AAJ109" s="0" t="n">
        <f aca="false">-AAJ90</f>
        <v>4000</v>
      </c>
      <c r="AAK109" s="0" t="n">
        <f aca="false">-AAK90</f>
        <v>4000</v>
      </c>
      <c r="AAL109" s="0" t="n">
        <f aca="false">-AAL90</f>
        <v>4000</v>
      </c>
      <c r="AAM109" s="0" t="n">
        <f aca="false">-AAM90</f>
        <v>4000</v>
      </c>
      <c r="AAN109" s="0" t="n">
        <f aca="false">-AAN90</f>
        <v>4000</v>
      </c>
      <c r="AAO109" s="0" t="n">
        <f aca="false">-AAO90</f>
        <v>4000</v>
      </c>
      <c r="AAP109" s="0" t="n">
        <f aca="false">-AAP90</f>
        <v>4000</v>
      </c>
      <c r="AAQ109" s="0" t="n">
        <f aca="false">-AAQ90</f>
        <v>4000</v>
      </c>
      <c r="AAR109" s="0" t="n">
        <f aca="false">-AAR90</f>
        <v>4000</v>
      </c>
      <c r="AAS109" s="0" t="n">
        <f aca="false">-AAS90</f>
        <v>4000</v>
      </c>
      <c r="AAT109" s="0" t="n">
        <f aca="false">-AAT90</f>
        <v>4000</v>
      </c>
      <c r="AAU109" s="0" t="n">
        <f aca="false">-AAU90</f>
        <v>4000</v>
      </c>
      <c r="AAV109" s="0" t="n">
        <f aca="false">-AAV90</f>
        <v>4000</v>
      </c>
      <c r="AAW109" s="0" t="n">
        <f aca="false">-AAW90</f>
        <v>4000</v>
      </c>
      <c r="AAX109" s="0" t="n">
        <f aca="false">-AAX90</f>
        <v>4000</v>
      </c>
      <c r="AAY109" s="0" t="n">
        <f aca="false">-AAY90</f>
        <v>4000</v>
      </c>
      <c r="AAZ109" s="0" t="n">
        <f aca="false">-AAZ90</f>
        <v>4000</v>
      </c>
      <c r="ABA109" s="0" t="n">
        <f aca="false">-ABA90</f>
        <v>4000</v>
      </c>
      <c r="ABB109" s="0" t="n">
        <f aca="false">-ABB90</f>
        <v>4000</v>
      </c>
      <c r="ABC109" s="0" t="n">
        <f aca="false">-ABC90</f>
        <v>4000</v>
      </c>
      <c r="ABD109" s="0" t="n">
        <f aca="false">-ABD90</f>
        <v>4000</v>
      </c>
      <c r="ABE109" s="0" t="n">
        <f aca="false">-ABE90</f>
        <v>4000</v>
      </c>
      <c r="ABF109" s="0" t="n">
        <f aca="false">-ABF90</f>
        <v>4000</v>
      </c>
      <c r="ABG109" s="0" t="n">
        <f aca="false">-ABG90</f>
        <v>4000</v>
      </c>
      <c r="ABH109" s="0" t="n">
        <f aca="false">-ABH90</f>
        <v>4000</v>
      </c>
      <c r="ABI109" s="0" t="n">
        <f aca="false">-ABI90</f>
        <v>4000</v>
      </c>
      <c r="ABJ109" s="0" t="n">
        <f aca="false">-ABJ90</f>
        <v>4000</v>
      </c>
      <c r="ABK109" s="0" t="n">
        <f aca="false">-ABK90</f>
        <v>4000</v>
      </c>
      <c r="ABL109" s="0" t="n">
        <f aca="false">-ABL90</f>
        <v>4000</v>
      </c>
      <c r="ABM109" s="0" t="n">
        <f aca="false">-ABM90</f>
        <v>4000</v>
      </c>
      <c r="ABN109" s="0" t="n">
        <f aca="false">-ABN90</f>
        <v>4000</v>
      </c>
      <c r="ABO109" s="0" t="n">
        <f aca="false">-ABO90</f>
        <v>4000</v>
      </c>
      <c r="ABP109" s="0" t="n">
        <f aca="false">-ABP90</f>
        <v>4000</v>
      </c>
      <c r="ABQ109" s="0" t="n">
        <f aca="false">-ABQ90</f>
        <v>4000</v>
      </c>
      <c r="ABR109" s="0" t="n">
        <f aca="false">-ABR90</f>
        <v>4000</v>
      </c>
      <c r="ABS109" s="0" t="n">
        <f aca="false">-ABS90</f>
        <v>4000</v>
      </c>
      <c r="ABT109" s="0" t="n">
        <f aca="false">-ABT90</f>
        <v>4000</v>
      </c>
      <c r="ABU109" s="0" t="n">
        <f aca="false">-ABU90</f>
        <v>4000</v>
      </c>
      <c r="ABV109" s="0" t="n">
        <f aca="false">-ABV90</f>
        <v>4000</v>
      </c>
      <c r="ABW109" s="0" t="n">
        <f aca="false">-ABW90</f>
        <v>4000</v>
      </c>
      <c r="ABX109" s="0" t="n">
        <f aca="false">-ABX90</f>
        <v>4000</v>
      </c>
      <c r="ABY109" s="0" t="n">
        <f aca="false">-ABY90</f>
        <v>4000</v>
      </c>
      <c r="ABZ109" s="0" t="n">
        <f aca="false">-ABZ90</f>
        <v>4000</v>
      </c>
      <c r="ACA109" s="0" t="n">
        <f aca="false">-ACA90</f>
        <v>4000</v>
      </c>
      <c r="ACB109" s="0" t="n">
        <f aca="false">-ACB90</f>
        <v>4000</v>
      </c>
      <c r="ACC109" s="0" t="n">
        <f aca="false">-ACC90</f>
        <v>4000</v>
      </c>
      <c r="ACD109" s="0" t="n">
        <f aca="false">-ACD90</f>
        <v>4000</v>
      </c>
      <c r="ACE109" s="0" t="n">
        <f aca="false">-ACE90</f>
        <v>4000</v>
      </c>
      <c r="ACF109" s="0" t="n">
        <f aca="false">-ACF90</f>
        <v>4000</v>
      </c>
      <c r="ACG109" s="0" t="n">
        <f aca="false">-ACG90</f>
        <v>4000</v>
      </c>
      <c r="ACH109" s="0" t="n">
        <f aca="false">-ACH90</f>
        <v>4000</v>
      </c>
      <c r="ACI109" s="0" t="n">
        <f aca="false">-ACI90</f>
        <v>4000</v>
      </c>
      <c r="ACJ109" s="0" t="n">
        <f aca="false">-ACJ90</f>
        <v>4000</v>
      </c>
      <c r="ACK109" s="0" t="n">
        <f aca="false">-ACK90</f>
        <v>4000</v>
      </c>
      <c r="ACL109" s="0" t="n">
        <f aca="false">-ACL90</f>
        <v>4000</v>
      </c>
      <c r="ACM109" s="0" t="n">
        <f aca="false">-ACM90</f>
        <v>4000</v>
      </c>
      <c r="ACN109" s="0" t="n">
        <f aca="false">-ACN90</f>
        <v>4000</v>
      </c>
      <c r="ACO109" s="0" t="n">
        <f aca="false">-ACO90</f>
        <v>4000</v>
      </c>
      <c r="ACP109" s="0" t="n">
        <f aca="false">-ACP90</f>
        <v>4000</v>
      </c>
      <c r="ACQ109" s="0" t="n">
        <f aca="false">-ACQ90</f>
        <v>4000</v>
      </c>
      <c r="ACR109" s="0" t="n">
        <f aca="false">-ACR90</f>
        <v>4000</v>
      </c>
      <c r="ACS109" s="0" t="n">
        <f aca="false">-ACS90</f>
        <v>4000</v>
      </c>
      <c r="ACT109" s="0" t="n">
        <f aca="false">-ACT90</f>
        <v>4000</v>
      </c>
      <c r="ACU109" s="0" t="n">
        <f aca="false">-ACU90</f>
        <v>4000</v>
      </c>
      <c r="ACV109" s="0" t="n">
        <f aca="false">-ACV90</f>
        <v>4000</v>
      </c>
      <c r="ACW109" s="0" t="n">
        <f aca="false">-ACW90</f>
        <v>4000</v>
      </c>
      <c r="ACX109" s="0" t="n">
        <f aca="false">-ACX90</f>
        <v>4000</v>
      </c>
      <c r="ACY109" s="0" t="n">
        <f aca="false">-ACY90</f>
        <v>4000</v>
      </c>
      <c r="ACZ109" s="0" t="n">
        <f aca="false">-ACZ90</f>
        <v>4000</v>
      </c>
      <c r="ADA109" s="0" t="n">
        <f aca="false">-ADA90</f>
        <v>4000</v>
      </c>
      <c r="ADB109" s="0" t="n">
        <f aca="false">-ADB90</f>
        <v>4000</v>
      </c>
      <c r="ADC109" s="0" t="n">
        <f aca="false">-ADC90</f>
        <v>4000</v>
      </c>
      <c r="ADD109" s="0" t="n">
        <f aca="false">-ADD90</f>
        <v>4000</v>
      </c>
      <c r="ADE109" s="0" t="n">
        <f aca="false">-ADE90</f>
        <v>4000</v>
      </c>
      <c r="ADF109" s="0" t="n">
        <f aca="false">-ADF90</f>
        <v>4000</v>
      </c>
      <c r="ADG109" s="0" t="n">
        <f aca="false">-ADG90</f>
        <v>4000</v>
      </c>
      <c r="ADH109" s="0" t="n">
        <f aca="false">-ADH90</f>
        <v>4000</v>
      </c>
      <c r="ADI109" s="0" t="n">
        <f aca="false">-ADI90</f>
        <v>4000</v>
      </c>
      <c r="ADJ109" s="0" t="n">
        <f aca="false">-ADJ90</f>
        <v>4000</v>
      </c>
      <c r="ADK109" s="0" t="n">
        <f aca="false">-ADK90</f>
        <v>4000</v>
      </c>
      <c r="ADL109" s="0" t="n">
        <f aca="false">-ADL90</f>
        <v>4000</v>
      </c>
      <c r="ADM109" s="0" t="n">
        <f aca="false">-ADM90</f>
        <v>4000</v>
      </c>
      <c r="ADN109" s="0" t="n">
        <f aca="false">-ADN90</f>
        <v>4000</v>
      </c>
      <c r="ADO109" s="0" t="n">
        <f aca="false">-ADO90</f>
        <v>4000</v>
      </c>
      <c r="ADP109" s="0" t="n">
        <f aca="false">-ADP90</f>
        <v>4000</v>
      </c>
      <c r="ADQ109" s="0" t="n">
        <f aca="false">-ADQ90</f>
        <v>4000</v>
      </c>
      <c r="ADR109" s="0" t="n">
        <f aca="false">-ADR90</f>
        <v>4000</v>
      </c>
      <c r="ADS109" s="0" t="n">
        <f aca="false">-ADS90</f>
        <v>4000</v>
      </c>
      <c r="ADT109" s="0" t="n">
        <f aca="false">-ADT90</f>
        <v>4000</v>
      </c>
      <c r="ADU109" s="0" t="n">
        <f aca="false">-ADU90</f>
        <v>4000</v>
      </c>
      <c r="ADV109" s="0" t="n">
        <f aca="false">-ADV90</f>
        <v>4000</v>
      </c>
      <c r="ADW109" s="0" t="n">
        <f aca="false">-ADW90</f>
        <v>4000</v>
      </c>
      <c r="ADX109" s="0" t="n">
        <f aca="false">-ADX90</f>
        <v>4000</v>
      </c>
      <c r="ADY109" s="0" t="n">
        <f aca="false">-ADY90</f>
        <v>4000</v>
      </c>
      <c r="ADZ109" s="0" t="n">
        <f aca="false">-ADZ90</f>
        <v>4000</v>
      </c>
      <c r="AEA109" s="0" t="n">
        <f aca="false">-AEA90</f>
        <v>4000</v>
      </c>
      <c r="AEB109" s="0" t="n">
        <f aca="false">-AEB90</f>
        <v>4000</v>
      </c>
      <c r="AEC109" s="0" t="n">
        <f aca="false">-AEC90</f>
        <v>4000</v>
      </c>
      <c r="AED109" s="0" t="n">
        <f aca="false">-AED90</f>
        <v>4000</v>
      </c>
      <c r="AEE109" s="0" t="n">
        <f aca="false">-AEE90</f>
        <v>4000</v>
      </c>
      <c r="AEF109" s="0" t="n">
        <f aca="false">-AEF90</f>
        <v>4000</v>
      </c>
      <c r="AEG109" s="0" t="n">
        <f aca="false">-AEG90</f>
        <v>4000</v>
      </c>
      <c r="AEH109" s="0" t="n">
        <f aca="false">-AEH90</f>
        <v>4000</v>
      </c>
      <c r="AEI109" s="0" t="n">
        <f aca="false">-AEI90</f>
        <v>4000</v>
      </c>
      <c r="AEJ109" s="0" t="n">
        <f aca="false">-AEJ90</f>
        <v>4000</v>
      </c>
      <c r="AEK109" s="0" t="n">
        <f aca="false">-AEK90</f>
        <v>4000</v>
      </c>
      <c r="AEL109" s="0" t="n">
        <f aca="false">-AEL90</f>
        <v>4000</v>
      </c>
      <c r="AEM109" s="0" t="n">
        <f aca="false">-AEM90</f>
        <v>4000</v>
      </c>
      <c r="AEN109" s="0" t="n">
        <f aca="false">-AEN90</f>
        <v>4000</v>
      </c>
      <c r="AEO109" s="0" t="n">
        <f aca="false">-AEO90</f>
        <v>4000</v>
      </c>
      <c r="AEP109" s="0" t="n">
        <f aca="false">-AEP90</f>
        <v>4000</v>
      </c>
      <c r="AEQ109" s="0" t="n">
        <f aca="false">-AEQ90</f>
        <v>4000</v>
      </c>
      <c r="AER109" s="0" t="n">
        <f aca="false">-AER90</f>
        <v>4000</v>
      </c>
      <c r="AES109" s="0" t="n">
        <f aca="false">-AES90</f>
        <v>4000</v>
      </c>
      <c r="AET109" s="0" t="n">
        <f aca="false">-AET90</f>
        <v>4000</v>
      </c>
      <c r="AEU109" s="0" t="n">
        <f aca="false">-AEU90</f>
        <v>4000</v>
      </c>
      <c r="AEV109" s="0" t="n">
        <f aca="false">-AEV90</f>
        <v>4000</v>
      </c>
      <c r="AEW109" s="0" t="n">
        <f aca="false">-AEW90</f>
        <v>4000</v>
      </c>
      <c r="AEX109" s="0" t="n">
        <f aca="false">-AEX90</f>
        <v>4000</v>
      </c>
      <c r="AEY109" s="0" t="n">
        <f aca="false">-AEY90</f>
        <v>4000</v>
      </c>
      <c r="AEZ109" s="0" t="n">
        <f aca="false">-AEZ90</f>
        <v>4000</v>
      </c>
      <c r="AFA109" s="0" t="n">
        <f aca="false">-AFA90</f>
        <v>4000</v>
      </c>
      <c r="AFB109" s="0" t="n">
        <f aca="false">-AFB90</f>
        <v>4000</v>
      </c>
      <c r="AFC109" s="0" t="n">
        <f aca="false">-AFC90</f>
        <v>4000</v>
      </c>
      <c r="AFD109" s="0" t="n">
        <f aca="false">-AFD90</f>
        <v>4000</v>
      </c>
      <c r="AFE109" s="0" t="n">
        <f aca="false">-AFE90</f>
        <v>4000</v>
      </c>
      <c r="AFF109" s="0" t="n">
        <f aca="false">-AFF90</f>
        <v>4000</v>
      </c>
      <c r="AFG109" s="0" t="n">
        <f aca="false">-AFG90</f>
        <v>4000</v>
      </c>
      <c r="AFH109" s="0" t="n">
        <f aca="false">-AFH90</f>
        <v>4000</v>
      </c>
      <c r="AFI109" s="0" t="n">
        <f aca="false">-AFI90</f>
        <v>4000</v>
      </c>
      <c r="AFJ109" s="0" t="n">
        <f aca="false">-AFJ90</f>
        <v>4000</v>
      </c>
      <c r="AFK109" s="0" t="n">
        <f aca="false">-AFK90</f>
        <v>4000</v>
      </c>
      <c r="AFL109" s="0" t="n">
        <f aca="false">-AFL90</f>
        <v>4000</v>
      </c>
      <c r="AFM109" s="0" t="n">
        <f aca="false">-AFM90</f>
        <v>4000</v>
      </c>
      <c r="AFN109" s="0" t="n">
        <f aca="false">-AFN90</f>
        <v>4000</v>
      </c>
      <c r="AFO109" s="0" t="n">
        <f aca="false">-AFO90</f>
        <v>4000</v>
      </c>
      <c r="AFP109" s="0" t="n">
        <f aca="false">-AFP90</f>
        <v>4000</v>
      </c>
      <c r="AFQ109" s="0" t="n">
        <f aca="false">-AFQ90</f>
        <v>4000</v>
      </c>
      <c r="AFR109" s="0" t="n">
        <f aca="false">-AFR90</f>
        <v>4000</v>
      </c>
      <c r="AFS109" s="0" t="n">
        <f aca="false">-AFS90</f>
        <v>4000</v>
      </c>
      <c r="AFT109" s="0" t="n">
        <f aca="false">-AFT90</f>
        <v>4000</v>
      </c>
      <c r="AFU109" s="0" t="n">
        <f aca="false">-AFU90</f>
        <v>4000</v>
      </c>
      <c r="AFV109" s="0" t="n">
        <f aca="false">-AFV90</f>
        <v>4000</v>
      </c>
      <c r="AFW109" s="0" t="n">
        <f aca="false">-AFW90</f>
        <v>4000</v>
      </c>
      <c r="AFX109" s="0" t="n">
        <f aca="false">-AFX90</f>
        <v>4000</v>
      </c>
      <c r="AFY109" s="0" t="n">
        <f aca="false">-AFY90</f>
        <v>4000</v>
      </c>
      <c r="AFZ109" s="0" t="n">
        <f aca="false">-AFZ90</f>
        <v>4000</v>
      </c>
      <c r="AGA109" s="0" t="n">
        <f aca="false">-AGA90</f>
        <v>4000</v>
      </c>
      <c r="AGB109" s="0" t="n">
        <f aca="false">-AGB90</f>
        <v>4000</v>
      </c>
      <c r="AGC109" s="0" t="n">
        <f aca="false">-AGC90</f>
        <v>4000</v>
      </c>
      <c r="AGD109" s="0" t="n">
        <f aca="false">-AGD90</f>
        <v>4000</v>
      </c>
      <c r="AGE109" s="0" t="n">
        <f aca="false">-AGE90</f>
        <v>4000</v>
      </c>
      <c r="AGF109" s="0" t="n">
        <f aca="false">-AGF90</f>
        <v>4000</v>
      </c>
      <c r="AGG109" s="0" t="n">
        <f aca="false">-AGG90</f>
        <v>4000</v>
      </c>
      <c r="AGH109" s="0" t="n">
        <f aca="false">-AGH90</f>
        <v>4000</v>
      </c>
      <c r="AGI109" s="0" t="n">
        <f aca="false">-AGI90</f>
        <v>4000</v>
      </c>
      <c r="AGJ109" s="0" t="n">
        <f aca="false">-AGJ90</f>
        <v>4000</v>
      </c>
      <c r="AGK109" s="0" t="n">
        <f aca="false">-AGK90</f>
        <v>4000</v>
      </c>
      <c r="AGL109" s="0" t="n">
        <f aca="false">-AGL90</f>
        <v>4000</v>
      </c>
      <c r="AGM109" s="0" t="n">
        <f aca="false">-AGM90</f>
        <v>4000</v>
      </c>
      <c r="AGN109" s="0" t="n">
        <f aca="false">-AGN90</f>
        <v>4000</v>
      </c>
      <c r="AGO109" s="0" t="n">
        <f aca="false">-AGO90</f>
        <v>4000</v>
      </c>
      <c r="AGP109" s="0" t="n">
        <f aca="false">-AGP90</f>
        <v>4000</v>
      </c>
      <c r="AGQ109" s="0" t="n">
        <f aca="false">-AGQ90</f>
        <v>4000</v>
      </c>
      <c r="AGR109" s="0" t="n">
        <f aca="false">-AGR90</f>
        <v>4000</v>
      </c>
      <c r="AGS109" s="0" t="n">
        <f aca="false">-AGS90</f>
        <v>4000</v>
      </c>
      <c r="AGT109" s="0" t="n">
        <f aca="false">-AGT90</f>
        <v>4000</v>
      </c>
      <c r="AGU109" s="0" t="n">
        <f aca="false">-AGU90</f>
        <v>4000</v>
      </c>
      <c r="AGV109" s="0" t="n">
        <f aca="false">-AGV90</f>
        <v>4000</v>
      </c>
      <c r="AGW109" s="0" t="n">
        <f aca="false">-AGW90</f>
        <v>4000</v>
      </c>
      <c r="AGX109" s="0" t="n">
        <f aca="false">-AGX90</f>
        <v>4000</v>
      </c>
      <c r="AGY109" s="0" t="n">
        <f aca="false">-AGY90</f>
        <v>4000</v>
      </c>
      <c r="AGZ109" s="0" t="n">
        <f aca="false">-AGZ90</f>
        <v>4000</v>
      </c>
      <c r="AHA109" s="0" t="n">
        <f aca="false">-AHA90</f>
        <v>4000</v>
      </c>
      <c r="AHB109" s="0" t="n">
        <f aca="false">-AHB90</f>
        <v>4000</v>
      </c>
      <c r="AHC109" s="0" t="n">
        <f aca="false">-AHC90</f>
        <v>4000</v>
      </c>
      <c r="AHD109" s="0" t="n">
        <f aca="false">-AHD90</f>
        <v>4000</v>
      </c>
      <c r="AHE109" s="0" t="n">
        <f aca="false">-AHE90</f>
        <v>4000</v>
      </c>
      <c r="AHF109" s="0" t="n">
        <f aca="false">-AHF90</f>
        <v>4000</v>
      </c>
      <c r="AHG109" s="0" t="n">
        <f aca="false">-AHG90</f>
        <v>4000</v>
      </c>
      <c r="AHH109" s="0" t="n">
        <f aca="false">-AHH90</f>
        <v>4000</v>
      </c>
      <c r="AHI109" s="0" t="n">
        <f aca="false">-AHI90</f>
        <v>4000</v>
      </c>
      <c r="AHJ109" s="0" t="n">
        <f aca="false">-AHJ90</f>
        <v>4000</v>
      </c>
      <c r="AHK109" s="0" t="n">
        <f aca="false">-AHK90</f>
        <v>4000</v>
      </c>
      <c r="AHL109" s="0" t="n">
        <f aca="false">-AHL90</f>
        <v>4000</v>
      </c>
      <c r="AHM109" s="0" t="n">
        <f aca="false">-AHM90</f>
        <v>4000</v>
      </c>
      <c r="AHN109" s="0" t="n">
        <f aca="false">-AHN90</f>
        <v>4000</v>
      </c>
      <c r="AHO109" s="0" t="n">
        <f aca="false">-AHO90</f>
        <v>4000</v>
      </c>
      <c r="AHP109" s="0" t="n">
        <f aca="false">-AHP90</f>
        <v>4000</v>
      </c>
      <c r="AHQ109" s="0" t="n">
        <f aca="false">-AHQ90</f>
        <v>4000</v>
      </c>
      <c r="AHR109" s="0" t="n">
        <f aca="false">-AHR90</f>
        <v>4000</v>
      </c>
      <c r="AHS109" s="0" t="n">
        <f aca="false">-AHS90</f>
        <v>4000</v>
      </c>
      <c r="AHT109" s="0" t="n">
        <f aca="false">-AHT90</f>
        <v>4000</v>
      </c>
      <c r="AHU109" s="0" t="n">
        <f aca="false">-AHU90</f>
        <v>4000</v>
      </c>
      <c r="AHV109" s="0" t="n">
        <f aca="false">-AHV90</f>
        <v>4000</v>
      </c>
      <c r="AHW109" s="0" t="n">
        <f aca="false">-AHW90</f>
        <v>4000</v>
      </c>
      <c r="AHX109" s="0" t="n">
        <f aca="false">-AHX90</f>
        <v>4000</v>
      </c>
      <c r="AHY109" s="0" t="n">
        <f aca="false">-AHY90</f>
        <v>4000</v>
      </c>
      <c r="AHZ109" s="0" t="n">
        <f aca="false">-AHZ90</f>
        <v>4000</v>
      </c>
      <c r="AIA109" s="0" t="n">
        <f aca="false">-AIA90</f>
        <v>4000</v>
      </c>
      <c r="AIB109" s="0" t="n">
        <f aca="false">-AIB90</f>
        <v>4000</v>
      </c>
      <c r="AIC109" s="0" t="n">
        <f aca="false">-AIC90</f>
        <v>4000</v>
      </c>
      <c r="AID109" s="0" t="n">
        <f aca="false">-AID90</f>
        <v>4000</v>
      </c>
      <c r="AIE109" s="0" t="n">
        <f aca="false">-AIE90</f>
        <v>4000</v>
      </c>
      <c r="AIF109" s="0" t="n">
        <f aca="false">-AIF90</f>
        <v>4000</v>
      </c>
      <c r="AIG109" s="0" t="n">
        <f aca="false">-AIG90</f>
        <v>4000</v>
      </c>
      <c r="AIH109" s="0" t="n">
        <f aca="false">-AIH90</f>
        <v>4000</v>
      </c>
      <c r="AII109" s="0" t="n">
        <f aca="false">-AII90</f>
        <v>4000</v>
      </c>
      <c r="AIJ109" s="0" t="n">
        <f aca="false">-AIJ90</f>
        <v>4000</v>
      </c>
      <c r="AIK109" s="0" t="n">
        <f aca="false">-AIK90</f>
        <v>4000</v>
      </c>
      <c r="AIL109" s="0" t="n">
        <f aca="false">-AIL90</f>
        <v>4000</v>
      </c>
      <c r="AIM109" s="0" t="n">
        <f aca="false">-AIM90</f>
        <v>4000</v>
      </c>
      <c r="AIN109" s="0" t="n">
        <f aca="false">-AIN90</f>
        <v>4000</v>
      </c>
      <c r="AIO109" s="0" t="n">
        <f aca="false">-AIO90</f>
        <v>4000</v>
      </c>
      <c r="AIP109" s="0" t="n">
        <f aca="false">-AIP90</f>
        <v>4000</v>
      </c>
      <c r="AIQ109" s="0" t="n">
        <f aca="false">-AIQ90</f>
        <v>4000</v>
      </c>
      <c r="AIR109" s="0" t="n">
        <f aca="false">-AIR90</f>
        <v>4000</v>
      </c>
      <c r="AIS109" s="0" t="n">
        <f aca="false">-AIS90</f>
        <v>4000</v>
      </c>
      <c r="AIT109" s="0" t="n">
        <f aca="false">-AIT90</f>
        <v>4000</v>
      </c>
      <c r="AIU109" s="0" t="n">
        <f aca="false">-AIU90</f>
        <v>4000</v>
      </c>
      <c r="AIV109" s="0" t="n">
        <f aca="false">-AIV90</f>
        <v>4000</v>
      </c>
      <c r="AIW109" s="0" t="n">
        <f aca="false">-AIW90</f>
        <v>4000</v>
      </c>
      <c r="AIX109" s="0" t="n">
        <f aca="false">-AIX90</f>
        <v>4000</v>
      </c>
      <c r="AIY109" s="0" t="n">
        <f aca="false">-AIY90</f>
        <v>4000</v>
      </c>
      <c r="AIZ109" s="0" t="n">
        <f aca="false">-AIZ90</f>
        <v>4000</v>
      </c>
      <c r="AJA109" s="0" t="n">
        <f aca="false">-AJA90</f>
        <v>4000</v>
      </c>
      <c r="AJB109" s="0" t="n">
        <f aca="false">-AJB90</f>
        <v>4000</v>
      </c>
      <c r="AJC109" s="0" t="n">
        <f aca="false">-AJC90</f>
        <v>4000</v>
      </c>
      <c r="AJD109" s="0" t="n">
        <f aca="false">-AJD90</f>
        <v>4000</v>
      </c>
      <c r="AJE109" s="0" t="n">
        <f aca="false">-AJE90</f>
        <v>4000</v>
      </c>
      <c r="AJF109" s="0" t="n">
        <f aca="false">-AJF90</f>
        <v>4000</v>
      </c>
      <c r="AJG109" s="0" t="n">
        <f aca="false">-AJG90</f>
        <v>4000</v>
      </c>
      <c r="AJH109" s="0" t="n">
        <f aca="false">-AJH90</f>
        <v>4000</v>
      </c>
      <c r="AJI109" s="0" t="n">
        <f aca="false">-AJI90</f>
        <v>4000</v>
      </c>
      <c r="AJJ109" s="0" t="n">
        <f aca="false">-AJJ90</f>
        <v>4000</v>
      </c>
      <c r="AJK109" s="0" t="n">
        <f aca="false">-AJK90</f>
        <v>4000</v>
      </c>
      <c r="AJL109" s="0" t="n">
        <f aca="false">-AJL90</f>
        <v>4000</v>
      </c>
      <c r="AJM109" s="0" t="n">
        <f aca="false">-AJM90</f>
        <v>4000</v>
      </c>
      <c r="AJN109" s="0" t="n">
        <f aca="false">-AJN90</f>
        <v>4000</v>
      </c>
      <c r="AJO109" s="0" t="n">
        <f aca="false">-AJO90</f>
        <v>4000</v>
      </c>
      <c r="AJP109" s="0" t="n">
        <f aca="false">-AJP90</f>
        <v>4000</v>
      </c>
      <c r="AJQ109" s="0" t="n">
        <f aca="false">-AJQ90</f>
        <v>4000</v>
      </c>
      <c r="AJR109" s="0" t="n">
        <f aca="false">-AJR90</f>
        <v>4000</v>
      </c>
      <c r="AJS109" s="0" t="n">
        <f aca="false">-AJS90</f>
        <v>4000</v>
      </c>
      <c r="AJT109" s="0" t="n">
        <f aca="false">-AJT90</f>
        <v>4000</v>
      </c>
      <c r="AJU109" s="0" t="n">
        <f aca="false">-AJU90</f>
        <v>4000</v>
      </c>
      <c r="AJV109" s="0" t="n">
        <f aca="false">-AJV90</f>
        <v>4000</v>
      </c>
      <c r="AJW109" s="0" t="n">
        <f aca="false">-AJW90</f>
        <v>4000</v>
      </c>
      <c r="AJX109" s="0" t="n">
        <f aca="false">-AJX90</f>
        <v>4000</v>
      </c>
      <c r="AJY109" s="0" t="n">
        <f aca="false">-AJY90</f>
        <v>4000</v>
      </c>
      <c r="AJZ109" s="0" t="n">
        <f aca="false">-AJZ90</f>
        <v>4000</v>
      </c>
      <c r="AKA109" s="0" t="n">
        <f aca="false">-AKA90</f>
        <v>4000</v>
      </c>
      <c r="AKB109" s="0" t="n">
        <f aca="false">-AKB90</f>
        <v>4000</v>
      </c>
      <c r="AKC109" s="0" t="n">
        <f aca="false">-AKC90</f>
        <v>4000</v>
      </c>
      <c r="AKD109" s="0" t="n">
        <f aca="false">-AKD90</f>
        <v>4000</v>
      </c>
      <c r="AKE109" s="0" t="n">
        <f aca="false">-AKE90</f>
        <v>4000</v>
      </c>
      <c r="AKF109" s="0" t="n">
        <f aca="false">-AKF90</f>
        <v>4000</v>
      </c>
      <c r="AKG109" s="0" t="n">
        <f aca="false">-AKG90</f>
        <v>4000</v>
      </c>
      <c r="AKH109" s="0" t="n">
        <f aca="false">-AKH90</f>
        <v>4000</v>
      </c>
      <c r="AKI109" s="0" t="n">
        <f aca="false">-AKI90</f>
        <v>4000</v>
      </c>
      <c r="AKJ109" s="0" t="n">
        <f aca="false">-AKJ90</f>
        <v>4000</v>
      </c>
      <c r="AKK109" s="0" t="n">
        <f aca="false">-AKK90</f>
        <v>4000</v>
      </c>
      <c r="AKL109" s="0" t="n">
        <f aca="false">-AKL90</f>
        <v>4000</v>
      </c>
      <c r="AKM109" s="0" t="n">
        <f aca="false">-AKM90</f>
        <v>4000</v>
      </c>
      <c r="AKN109" s="0" t="n">
        <f aca="false">-AKN90</f>
        <v>4000</v>
      </c>
      <c r="AKO109" s="0" t="n">
        <f aca="false">-AKO90</f>
        <v>4000</v>
      </c>
      <c r="AKP109" s="0" t="n">
        <f aca="false">-AKP90</f>
        <v>4000</v>
      </c>
      <c r="AKQ109" s="0" t="n">
        <f aca="false">-AKQ90</f>
        <v>4000</v>
      </c>
      <c r="AKR109" s="0" t="n">
        <f aca="false">-AKR90</f>
        <v>4000</v>
      </c>
      <c r="AKS109" s="0" t="n">
        <f aca="false">-AKS90</f>
        <v>4000</v>
      </c>
      <c r="AKT109" s="0" t="n">
        <f aca="false">-AKT90</f>
        <v>4000</v>
      </c>
      <c r="AKU109" s="0" t="n">
        <f aca="false">-AKU90</f>
        <v>4000</v>
      </c>
      <c r="AKV109" s="0" t="n">
        <f aca="false">-AKV90</f>
        <v>4000</v>
      </c>
      <c r="AKW109" s="0" t="n">
        <f aca="false">-AKW90</f>
        <v>4000</v>
      </c>
      <c r="AKX109" s="0" t="n">
        <f aca="false">-AKX90</f>
        <v>4000</v>
      </c>
      <c r="AKY109" s="0" t="n">
        <f aca="false">-AKY90</f>
        <v>4000</v>
      </c>
      <c r="AKZ109" s="0" t="n">
        <f aca="false">-AKZ90</f>
        <v>4000</v>
      </c>
      <c r="ALA109" s="0" t="n">
        <f aca="false">-ALA90</f>
        <v>4000</v>
      </c>
      <c r="ALB109" s="0" t="n">
        <f aca="false">-ALB90</f>
        <v>4000</v>
      </c>
      <c r="ALC109" s="0" t="n">
        <f aca="false">-ALC90</f>
        <v>4000</v>
      </c>
      <c r="ALD109" s="0" t="n">
        <f aca="false">-ALD90</f>
        <v>4000</v>
      </c>
      <c r="ALE109" s="0" t="n">
        <f aca="false">-ALE90</f>
        <v>4000</v>
      </c>
      <c r="ALF109" s="0" t="n">
        <f aca="false">-ALF90</f>
        <v>4000</v>
      </c>
      <c r="ALG109" s="0" t="n">
        <f aca="false">-ALG90</f>
        <v>4000</v>
      </c>
      <c r="ALH109" s="0" t="n">
        <f aca="false">-ALH90</f>
        <v>4000</v>
      </c>
      <c r="ALI109" s="0" t="n">
        <f aca="false">-ALI90</f>
        <v>4000</v>
      </c>
      <c r="ALJ109" s="0" t="n">
        <f aca="false">-ALJ90</f>
        <v>4000</v>
      </c>
      <c r="ALK109" s="0" t="n">
        <f aca="false">-ALK90</f>
        <v>4000</v>
      </c>
      <c r="ALL109" s="0" t="n">
        <f aca="false">-ALL90</f>
        <v>4000</v>
      </c>
      <c r="ALM109" s="0" t="n">
        <f aca="false">-ALM90</f>
        <v>4000</v>
      </c>
    </row>
    <row r="110" customFormat="false" ht="14.5" hidden="false" customHeight="false" outlineLevel="0" collapsed="false">
      <c r="A110" s="20" t="s">
        <v>100</v>
      </c>
      <c r="B110" s="0" t="n">
        <f aca="false">B107+B108+B109</f>
        <v>6056.09112792916</v>
      </c>
      <c r="C110" s="0" t="n">
        <f aca="false">C107+C108+C109</f>
        <v>6018.41272614495</v>
      </c>
      <c r="D110" s="0" t="n">
        <f aca="false">D107+D108+D109</f>
        <v>6125.27481011414</v>
      </c>
      <c r="E110" s="0" t="n">
        <f aca="false">E107+E108+E109</f>
        <v>6072.95480192632</v>
      </c>
      <c r="F110" s="0" t="n">
        <f aca="false">F107+F108+F109</f>
        <v>6020.75471525055</v>
      </c>
      <c r="G110" s="0" t="n">
        <f aca="false">G107+G108+G109</f>
        <v>6109.27362184378</v>
      </c>
      <c r="H110" s="0" t="n">
        <f aca="false">H107+H108+H109</f>
        <v>5964.91931559703</v>
      </c>
      <c r="I110" s="0" t="n">
        <f aca="false">I107+I108+I109</f>
        <v>6147.47415228154</v>
      </c>
      <c r="J110" s="0" t="n">
        <f aca="false">J107+J108+J109</f>
        <v>6042.37939529813</v>
      </c>
      <c r="K110" s="0" t="n">
        <f aca="false">K107+K108+K109</f>
        <v>5856.93727260166</v>
      </c>
      <c r="L110" s="0" t="n">
        <f aca="false">L107+L108+L109</f>
        <v>5994.88555405443</v>
      </c>
      <c r="M110" s="0" t="n">
        <f aca="false">M107+M108+M109</f>
        <v>6055.69868534767</v>
      </c>
      <c r="N110" s="0" t="n">
        <f aca="false">N107+N108+N109</f>
        <v>5921.87354771527</v>
      </c>
      <c r="O110" s="0" t="n">
        <f aca="false">O107+O108+O109</f>
        <v>5905.58195810991</v>
      </c>
      <c r="P110" s="0" t="n">
        <f aca="false">P107+P108+P109</f>
        <v>6095.88100916488</v>
      </c>
      <c r="Q110" s="0" t="n">
        <f aca="false">Q107+Q108+Q109</f>
        <v>5801.99445740481</v>
      </c>
      <c r="R110" s="0" t="n">
        <f aca="false">R107+R108+R109</f>
        <v>5844.77729821391</v>
      </c>
      <c r="S110" s="0" t="n">
        <f aca="false">S107+S108+S109</f>
        <v>5826.22176514137</v>
      </c>
      <c r="T110" s="0" t="n">
        <f aca="false">T107+T108+T109</f>
        <v>5926.41513849262</v>
      </c>
      <c r="U110" s="0" t="n">
        <f aca="false">U107+U108+U109</f>
        <v>5765.27254593402</v>
      </c>
      <c r="V110" s="0" t="n">
        <f aca="false">V107+V108+V109</f>
        <v>5944.07637351012</v>
      </c>
      <c r="W110" s="0" t="n">
        <f aca="false">W107+W108+W109</f>
        <v>6048.23494792855</v>
      </c>
      <c r="X110" s="0" t="n">
        <f aca="false">X107+X108+X109</f>
        <v>6095.85304171146</v>
      </c>
      <c r="Y110" s="0" t="n">
        <f aca="false">Y107+Y108+Y109</f>
        <v>5994.27863091757</v>
      </c>
      <c r="Z110" s="0" t="n">
        <f aca="false">Z107+Z108+Z109</f>
        <v>6165.18081774715</v>
      </c>
      <c r="AA110" s="0" t="n">
        <f aca="false">AA107+AA108+AA109</f>
        <v>6188.10973559416</v>
      </c>
      <c r="AB110" s="0" t="n">
        <f aca="false">AB107+AB108+AB109</f>
        <v>6224.09402515895</v>
      </c>
      <c r="AC110" s="0" t="n">
        <f aca="false">AC107+AC108+AC109</f>
        <v>5818.30123276465</v>
      </c>
      <c r="AD110" s="0" t="n">
        <f aca="false">AD107+AD108+AD109</f>
        <v>6081.61423439773</v>
      </c>
      <c r="AE110" s="0" t="n">
        <f aca="false">AE107+AE108+AE109</f>
        <v>5977.55212515509</v>
      </c>
      <c r="AF110" s="0" t="n">
        <f aca="false">AF107+AF108+AF109</f>
        <v>5807.7299312185</v>
      </c>
      <c r="AG110" s="0" t="n">
        <f aca="false">AG107+AG108+AG109</f>
        <v>6097.47287893218</v>
      </c>
      <c r="AH110" s="0" t="n">
        <f aca="false">AH107+AH108+AH109</f>
        <v>5967.95701036546</v>
      </c>
      <c r="AI110" s="0" t="n">
        <f aca="false">AI107+AI108+AI109</f>
        <v>5917.81139715576</v>
      </c>
      <c r="AJ110" s="0" t="n">
        <f aca="false">AJ107+AJ108+AJ109</f>
        <v>6192.88389757743</v>
      </c>
      <c r="AK110" s="0" t="n">
        <f aca="false">AK107+AK108+AK109</f>
        <v>6087.0938365955</v>
      </c>
      <c r="AL110" s="0" t="n">
        <f aca="false">AL107+AL108+AL109</f>
        <v>6118.14222517171</v>
      </c>
      <c r="AM110" s="0" t="n">
        <f aca="false">AM107+AM108+AM109</f>
        <v>6112.6626086173</v>
      </c>
      <c r="AN110" s="0" t="n">
        <f aca="false">AN107+AN108+AN109</f>
        <v>6020.69138087571</v>
      </c>
      <c r="AO110" s="0" t="n">
        <f aca="false">AO107+AO108+AO109</f>
        <v>5774.36218489216</v>
      </c>
      <c r="AP110" s="0" t="n">
        <f aca="false">AP107+AP108+AP109</f>
        <v>5951.26116203775</v>
      </c>
      <c r="AQ110" s="0" t="n">
        <f aca="false">AQ107+AQ108+AQ109</f>
        <v>6075.17785183253</v>
      </c>
      <c r="AR110" s="0" t="n">
        <f aca="false">AR107+AR108+AR109</f>
        <v>5929.54493163066</v>
      </c>
      <c r="AS110" s="0" t="n">
        <f aca="false">AS107+AS108+AS109</f>
        <v>5914.9165380691</v>
      </c>
      <c r="AT110" s="0" t="n">
        <f aca="false">AT107+AT108+AT109</f>
        <v>6019.01324922913</v>
      </c>
      <c r="AU110" s="0" t="n">
        <f aca="false">AU107+AU108+AU109</f>
        <v>5958.04794797597</v>
      </c>
      <c r="AV110" s="0" t="n">
        <f aca="false">AV107+AV108+AV109</f>
        <v>6201.7411583098</v>
      </c>
      <c r="AW110" s="0" t="n">
        <f aca="false">AW107+AW108+AW109</f>
        <v>5997.53074122687</v>
      </c>
      <c r="AX110" s="0" t="n">
        <f aca="false">AX107+AX108+AX109</f>
        <v>5832.66773342677</v>
      </c>
      <c r="AY110" s="0" t="n">
        <f aca="false">AY107+AY108+AY109</f>
        <v>6122.33232421746</v>
      </c>
      <c r="AZ110" s="0" t="n">
        <f aca="false">AZ107+AZ108+AZ109</f>
        <v>6192.79856452792</v>
      </c>
      <c r="BA110" s="0" t="n">
        <f aca="false">BA107+BA108+BA109</f>
        <v>6011.27797913774</v>
      </c>
      <c r="BB110" s="0" t="n">
        <f aca="false">BB107+BB108+BB109</f>
        <v>5850.56115349707</v>
      </c>
      <c r="BC110" s="0" t="n">
        <f aca="false">BC107+BC108+BC109</f>
        <v>6109.45178936597</v>
      </c>
      <c r="BD110" s="0" t="n">
        <f aca="false">BD107+BD108+BD109</f>
        <v>5852.92552211099</v>
      </c>
      <c r="BE110" s="0" t="n">
        <f aca="false">BE107+BE108+BE109</f>
        <v>5939.70963962176</v>
      </c>
      <c r="BF110" s="0" t="n">
        <f aca="false">BF107+BF108+BF109</f>
        <v>5779.07329958483</v>
      </c>
      <c r="BG110" s="0" t="n">
        <f aca="false">BG107+BG108+BG109</f>
        <v>6054.91177054667</v>
      </c>
      <c r="BH110" s="0" t="n">
        <f aca="false">BH107+BH108+BH109</f>
        <v>5959.70338815831</v>
      </c>
      <c r="BI110" s="0" t="n">
        <f aca="false">BI107+BI108+BI109</f>
        <v>6247.91506874888</v>
      </c>
      <c r="BJ110" s="0" t="n">
        <f aca="false">BJ107+BJ108+BJ109</f>
        <v>6091.51898522314</v>
      </c>
      <c r="BK110" s="0" t="n">
        <f aca="false">BK107+BK108+BK109</f>
        <v>6115.93307390433</v>
      </c>
      <c r="BL110" s="0" t="n">
        <f aca="false">BL107+BL108+BL109</f>
        <v>6071.62467671196</v>
      </c>
      <c r="BM110" s="0" t="n">
        <f aca="false">BM107+BM108+BM109</f>
        <v>5957.65612418806</v>
      </c>
      <c r="BN110" s="0" t="n">
        <f aca="false">BN107+BN108+BN109</f>
        <v>5896.37768502393</v>
      </c>
      <c r="BO110" s="0" t="n">
        <f aca="false">BO107+BO108+BO109</f>
        <v>5999.45363638617</v>
      </c>
      <c r="BP110" s="0" t="n">
        <f aca="false">BP107+BP108+BP109</f>
        <v>6060.21044180731</v>
      </c>
      <c r="BQ110" s="0" t="n">
        <f aca="false">BQ107+BQ108+BQ109</f>
        <v>5943.6615850162</v>
      </c>
      <c r="BR110" s="0" t="n">
        <f aca="false">BR107+BR108+BR109</f>
        <v>6073.55832977819</v>
      </c>
      <c r="BS110" s="0" t="n">
        <f aca="false">BS107+BS108+BS109</f>
        <v>5832.35597741817</v>
      </c>
      <c r="BT110" s="0" t="n">
        <f aca="false">BT107+BT108+BT109</f>
        <v>6015.79970840138</v>
      </c>
      <c r="BU110" s="0" t="n">
        <f aca="false">BU107+BU108+BU109</f>
        <v>5787.92479781783</v>
      </c>
      <c r="BV110" s="0" t="n">
        <f aca="false">BV107+BV108+BV109</f>
        <v>5953.01171445305</v>
      </c>
      <c r="BW110" s="0" t="n">
        <f aca="false">BW107+BW108+BW109</f>
        <v>5882.10530631385</v>
      </c>
      <c r="BX110" s="0" t="n">
        <f aca="false">BX107+BX108+BX109</f>
        <v>5855.16803287822</v>
      </c>
      <c r="BY110" s="0" t="n">
        <f aca="false">BY107+BY108+BY109</f>
        <v>5868.50295697899</v>
      </c>
      <c r="BZ110" s="0" t="n">
        <f aca="false">BZ107+BZ108+BZ109</f>
        <v>6133.3715882865</v>
      </c>
      <c r="CA110" s="0" t="n">
        <f aca="false">CA107+CA108+CA109</f>
        <v>6073.67345367207</v>
      </c>
      <c r="CB110" s="0" t="n">
        <f aca="false">CB107+CB108+CB109</f>
        <v>5876.93324810541</v>
      </c>
      <c r="CC110" s="0" t="n">
        <f aca="false">CC107+CC108+CC109</f>
        <v>6164.21243702547</v>
      </c>
      <c r="CD110" s="0" t="n">
        <f aca="false">CD107+CD108+CD109</f>
        <v>6314.09156896499</v>
      </c>
      <c r="CE110" s="0" t="n">
        <f aca="false">CE107+CE108+CE109</f>
        <v>6101.08544811547</v>
      </c>
      <c r="CF110" s="0" t="n">
        <f aca="false">CF107+CF108+CF109</f>
        <v>6087.14753509082</v>
      </c>
      <c r="CG110" s="0" t="n">
        <f aca="false">CG107+CG108+CG109</f>
        <v>5827.21261903564</v>
      </c>
      <c r="CH110" s="0" t="n">
        <f aca="false">CH107+CH108+CH109</f>
        <v>6055.71199385072</v>
      </c>
      <c r="CI110" s="0" t="n">
        <f aca="false">CI107+CI108+CI109</f>
        <v>6112.19734393501</v>
      </c>
      <c r="CJ110" s="0" t="n">
        <f aca="false">CJ107+CJ108+CJ109</f>
        <v>6243.01266074663</v>
      </c>
      <c r="CK110" s="0" t="n">
        <f aca="false">CK107+CK108+CK109</f>
        <v>5975.76467309488</v>
      </c>
      <c r="CL110" s="0" t="n">
        <f aca="false">CL107+CL108+CL109</f>
        <v>5934.11159141449</v>
      </c>
      <c r="CM110" s="0" t="n">
        <f aca="false">CM107+CM108+CM109</f>
        <v>6145.95496739739</v>
      </c>
      <c r="CN110" s="0" t="n">
        <f aca="false">CN107+CN108+CN109</f>
        <v>6078.60752486675</v>
      </c>
      <c r="CO110" s="0" t="n">
        <f aca="false">CO107+CO108+CO109</f>
        <v>6115.25225058926</v>
      </c>
      <c r="CP110" s="0" t="n">
        <f aca="false">CP107+CP108+CP109</f>
        <v>5948.00352517889</v>
      </c>
      <c r="CQ110" s="0" t="n">
        <f aca="false">CQ107+CQ108+CQ109</f>
        <v>5944.4096116717</v>
      </c>
      <c r="CR110" s="0" t="n">
        <f aca="false">CR107+CR108+CR109</f>
        <v>6050.71827954371</v>
      </c>
      <c r="CS110" s="0" t="n">
        <f aca="false">CS107+CS108+CS109</f>
        <v>5949.41056824226</v>
      </c>
      <c r="CT110" s="0" t="n">
        <f aca="false">CT107+CT108+CT109</f>
        <v>5801.8519527503</v>
      </c>
      <c r="CU110" s="0" t="n">
        <f aca="false">CU107+CU108+CU109</f>
        <v>5875.23789176834</v>
      </c>
      <c r="CV110" s="0" t="n">
        <f aca="false">CV107+CV108+CV109</f>
        <v>5841.76410634259</v>
      </c>
      <c r="CW110" s="0" t="n">
        <f aca="false">CW107+CW108+CW109</f>
        <v>6003.77530017867</v>
      </c>
      <c r="CX110" s="0" t="n">
        <f aca="false">CX107+CX108+CX109</f>
        <v>6050.35815280001</v>
      </c>
      <c r="CY110" s="0" t="n">
        <f aca="false">CY107+CY108+CY109</f>
        <v>5987.53805392841</v>
      </c>
      <c r="CZ110" s="0" t="n">
        <f aca="false">CZ107+CZ108+CZ109</f>
        <v>6005.03063548337</v>
      </c>
      <c r="DA110" s="0" t="n">
        <f aca="false">DA107+DA108+DA109</f>
        <v>5774.08426356043</v>
      </c>
      <c r="DB110" s="0" t="n">
        <f aca="false">DB107+DB108+DB109</f>
        <v>5622.84818073534</v>
      </c>
      <c r="DC110" s="0" t="n">
        <f aca="false">DC107+DC108+DC109</f>
        <v>6183.31880388596</v>
      </c>
      <c r="DD110" s="0" t="n">
        <f aca="false">DD107+DD108+DD109</f>
        <v>5922.53718535673</v>
      </c>
      <c r="DE110" s="0" t="n">
        <f aca="false">DE107+DE108+DE109</f>
        <v>6024.62139929302</v>
      </c>
      <c r="DF110" s="0" t="n">
        <f aca="false">DF107+DF108+DF109</f>
        <v>5875.96362758214</v>
      </c>
      <c r="DG110" s="0" t="n">
        <f aca="false">DG107+DG108+DG109</f>
        <v>6027.22198326652</v>
      </c>
      <c r="DH110" s="0" t="n">
        <f aca="false">DH107+DH108+DH109</f>
        <v>6023.33390195715</v>
      </c>
      <c r="DI110" s="0" t="n">
        <f aca="false">DI107+DI108+DI109</f>
        <v>5876.76768832264</v>
      </c>
      <c r="DJ110" s="0" t="n">
        <f aca="false">DJ107+DJ108+DJ109</f>
        <v>5984.35719768339</v>
      </c>
      <c r="DK110" s="0" t="n">
        <f aca="false">DK107+DK108+DK109</f>
        <v>6004.5898640836</v>
      </c>
      <c r="DL110" s="0" t="n">
        <f aca="false">DL107+DL108+DL109</f>
        <v>6117.27762358226</v>
      </c>
      <c r="DM110" s="0" t="n">
        <f aca="false">DM107+DM108+DM109</f>
        <v>6096.50138749226</v>
      </c>
      <c r="DN110" s="0" t="n">
        <f aca="false">DN107+DN108+DN109</f>
        <v>6210.43185411301</v>
      </c>
      <c r="DO110" s="0" t="n">
        <f aca="false">DO107+DO108+DO109</f>
        <v>6269.83481260973</v>
      </c>
      <c r="DP110" s="0" t="n">
        <f aca="false">DP107+DP108+DP109</f>
        <v>6171.69006757791</v>
      </c>
      <c r="DQ110" s="0" t="n">
        <f aca="false">DQ107+DQ108+DQ109</f>
        <v>6055.52673512428</v>
      </c>
      <c r="DR110" s="0" t="n">
        <f aca="false">DR107+DR108+DR109</f>
        <v>5749.10762242033</v>
      </c>
      <c r="DS110" s="0" t="n">
        <f aca="false">DS107+DS108+DS109</f>
        <v>5906.34337702661</v>
      </c>
      <c r="DT110" s="0" t="n">
        <f aca="false">DT107+DT108+DT109</f>
        <v>6209.79308415542</v>
      </c>
      <c r="DU110" s="0" t="n">
        <f aca="false">DU107+DU108+DU109</f>
        <v>6102.82267918928</v>
      </c>
      <c r="DV110" s="0" t="n">
        <f aca="false">DV107+DV108+DV109</f>
        <v>6087.37522243817</v>
      </c>
      <c r="DW110" s="0" t="n">
        <f aca="false">DW107+DW108+DW109</f>
        <v>5946.02165507273</v>
      </c>
      <c r="DX110" s="0" t="n">
        <f aca="false">DX107+DX108+DX109</f>
        <v>5980.33637605623</v>
      </c>
      <c r="DY110" s="0" t="n">
        <f aca="false">DY107+DY108+DY109</f>
        <v>6082.09985851796</v>
      </c>
      <c r="DZ110" s="0" t="n">
        <f aca="false">DZ107+DZ108+DZ109</f>
        <v>5846.22037256792</v>
      </c>
      <c r="EA110" s="0" t="n">
        <f aca="false">EA107+EA108+EA109</f>
        <v>5715.21809595384</v>
      </c>
      <c r="EB110" s="0" t="n">
        <f aca="false">EB107+EB108+EB109</f>
        <v>5959.31707683606</v>
      </c>
      <c r="EC110" s="0" t="n">
        <f aca="false">EC107+EC108+EC109</f>
        <v>5984.95344521322</v>
      </c>
      <c r="ED110" s="0" t="n">
        <f aca="false">ED107+ED108+ED109</f>
        <v>5999.10040430043</v>
      </c>
      <c r="EE110" s="0" t="n">
        <f aca="false">EE107+EE108+EE109</f>
        <v>6106.88513268452</v>
      </c>
      <c r="EF110" s="0" t="n">
        <f aca="false">EF107+EF108+EF109</f>
        <v>6024.94794119317</v>
      </c>
      <c r="EG110" s="0" t="n">
        <f aca="false">EG107+EG108+EG109</f>
        <v>5967.55197767581</v>
      </c>
      <c r="EH110" s="0" t="n">
        <f aca="false">EH107+EH108+EH109</f>
        <v>5954.85516563901</v>
      </c>
      <c r="EI110" s="0" t="n">
        <f aca="false">EI107+EI108+EI109</f>
        <v>5829.87395508703</v>
      </c>
      <c r="EJ110" s="0" t="n">
        <f aca="false">EJ107+EJ108+EJ109</f>
        <v>6099.17760004597</v>
      </c>
      <c r="EK110" s="0" t="n">
        <f aca="false">EK107+EK108+EK109</f>
        <v>6071.16274214605</v>
      </c>
      <c r="EL110" s="0" t="n">
        <f aca="false">EL107+EL108+EL109</f>
        <v>6133.1068353996</v>
      </c>
      <c r="EM110" s="0" t="n">
        <f aca="false">EM107+EM108+EM109</f>
        <v>6003.41363924813</v>
      </c>
      <c r="EN110" s="0" t="n">
        <f aca="false">EN107+EN108+EN109</f>
        <v>6115.98193347455</v>
      </c>
      <c r="EO110" s="0" t="n">
        <f aca="false">EO107+EO108+EO109</f>
        <v>5992.26217664452</v>
      </c>
      <c r="EP110" s="0" t="n">
        <f aca="false">EP107+EP108+EP109</f>
        <v>6017.11512573993</v>
      </c>
      <c r="EQ110" s="0" t="n">
        <f aca="false">EQ107+EQ108+EQ109</f>
        <v>6047.52022313411</v>
      </c>
      <c r="ER110" s="0" t="n">
        <f aca="false">ER107+ER108+ER109</f>
        <v>6042.87108098701</v>
      </c>
      <c r="ES110" s="0" t="n">
        <f aca="false">ES107+ES108+ES109</f>
        <v>6098.02389927596</v>
      </c>
      <c r="ET110" s="0" t="n">
        <f aca="false">ET107+ET108+ET109</f>
        <v>6075.07224459547</v>
      </c>
      <c r="EU110" s="0" t="n">
        <f aca="false">EU107+EU108+EU109</f>
        <v>6158.60058491951</v>
      </c>
      <c r="EV110" s="0" t="n">
        <f aca="false">EV107+EV108+EV109</f>
        <v>6083.58219714792</v>
      </c>
      <c r="EW110" s="0" t="n">
        <f aca="false">EW107+EW108+EW109</f>
        <v>5875.82811384246</v>
      </c>
      <c r="EX110" s="0" t="n">
        <f aca="false">EX107+EX108+EX109</f>
        <v>5794.78616027739</v>
      </c>
      <c r="EY110" s="0" t="n">
        <f aca="false">EY107+EY108+EY109</f>
        <v>6320.17764430239</v>
      </c>
      <c r="EZ110" s="0" t="n">
        <f aca="false">EZ107+EZ108+EZ109</f>
        <v>5939.46675203669</v>
      </c>
      <c r="FA110" s="0" t="n">
        <f aca="false">FA107+FA108+FA109</f>
        <v>6173.12325796607</v>
      </c>
      <c r="FB110" s="0" t="n">
        <f aca="false">FB107+FB108+FB109</f>
        <v>6056.8387319762</v>
      </c>
      <c r="FC110" s="0" t="n">
        <f aca="false">FC107+FC108+FC109</f>
        <v>6028.63571978077</v>
      </c>
      <c r="FD110" s="0" t="n">
        <f aca="false">FD107+FD108+FD109</f>
        <v>6189.33638661022</v>
      </c>
      <c r="FE110" s="0" t="n">
        <f aca="false">FE107+FE108+FE109</f>
        <v>5825.60479621273</v>
      </c>
      <c r="FF110" s="0" t="n">
        <f aca="false">FF107+FF108+FF109</f>
        <v>5843.74878098032</v>
      </c>
      <c r="FG110" s="0" t="n">
        <f aca="false">FG107+FG108+FG109</f>
        <v>6011.95404869906</v>
      </c>
      <c r="FH110" s="0" t="n">
        <f aca="false">FH107+FH108+FH109</f>
        <v>6025.61665134112</v>
      </c>
      <c r="FI110" s="0" t="n">
        <f aca="false">FI107+FI108+FI109</f>
        <v>5789.09251892975</v>
      </c>
      <c r="FJ110" s="0" t="n">
        <f aca="false">FJ107+FJ108+FJ109</f>
        <v>5985.90680584202</v>
      </c>
      <c r="FK110" s="0" t="n">
        <f aca="false">FK107+FK108+FK109</f>
        <v>6194.59166881178</v>
      </c>
      <c r="FL110" s="0" t="n">
        <f aca="false">FL107+FL108+FL109</f>
        <v>5825.14828852116</v>
      </c>
      <c r="FM110" s="0" t="n">
        <f aca="false">FM107+FM108+FM109</f>
        <v>6231.80448366159</v>
      </c>
      <c r="FN110" s="0" t="n">
        <f aca="false">FN107+FN108+FN109</f>
        <v>6109.22448009262</v>
      </c>
      <c r="FO110" s="0" t="n">
        <f aca="false">FO107+FO108+FO109</f>
        <v>5938.92192022751</v>
      </c>
      <c r="FP110" s="0" t="n">
        <f aca="false">FP107+FP108+FP109</f>
        <v>5930.49862318084</v>
      </c>
      <c r="FQ110" s="0" t="n">
        <f aca="false">FQ107+FQ108+FQ109</f>
        <v>5862.13687809261</v>
      </c>
      <c r="FR110" s="0" t="n">
        <f aca="false">FR107+FR108+FR109</f>
        <v>5989.43268812836</v>
      </c>
      <c r="FS110" s="0" t="n">
        <f aca="false">FS107+FS108+FS109</f>
        <v>5790.55514754638</v>
      </c>
      <c r="FT110" s="0" t="n">
        <f aca="false">FT107+FT108+FT109</f>
        <v>5982.90423068462</v>
      </c>
      <c r="FU110" s="0" t="n">
        <f aca="false">FU107+FU108+FU109</f>
        <v>6071.33613965807</v>
      </c>
      <c r="FV110" s="0" t="n">
        <f aca="false">FV107+FV108+FV109</f>
        <v>6064.19673584214</v>
      </c>
      <c r="FW110" s="0" t="n">
        <f aca="false">FW107+FW108+FW109</f>
        <v>6126.37873015235</v>
      </c>
      <c r="FX110" s="0" t="n">
        <f aca="false">FX107+FX108+FX109</f>
        <v>5974.75959799508</v>
      </c>
      <c r="FY110" s="0" t="n">
        <f aca="false">FY107+FY108+FY109</f>
        <v>6050.53757123907</v>
      </c>
      <c r="FZ110" s="0" t="n">
        <f aca="false">FZ107+FZ108+FZ109</f>
        <v>5786.46656130672</v>
      </c>
      <c r="GA110" s="0" t="n">
        <f aca="false">GA107+GA108+GA109</f>
        <v>5918.51532587804</v>
      </c>
      <c r="GB110" s="0" t="n">
        <f aca="false">GB107+GB108+GB109</f>
        <v>5974.66491654065</v>
      </c>
      <c r="GC110" s="0" t="n">
        <f aca="false">GC107+GC108+GC109</f>
        <v>5930.43286855461</v>
      </c>
      <c r="GD110" s="0" t="n">
        <f aca="false">GD107+GD108+GD109</f>
        <v>5883.24501112075</v>
      </c>
      <c r="GE110" s="0" t="n">
        <f aca="false">GE107+GE108+GE109</f>
        <v>6025.13176026702</v>
      </c>
      <c r="GF110" s="0" t="n">
        <f aca="false">GF107+GF108+GF109</f>
        <v>5967.65334028951</v>
      </c>
      <c r="GG110" s="0" t="n">
        <f aca="false">GG107+GG108+GG109</f>
        <v>5958.68608228266</v>
      </c>
      <c r="GH110" s="0" t="n">
        <f aca="false">GH107+GH108+GH109</f>
        <v>6035.57009866366</v>
      </c>
      <c r="GI110" s="0" t="n">
        <f aca="false">GI107+GI108+GI109</f>
        <v>6131.26668252726</v>
      </c>
      <c r="GJ110" s="0" t="n">
        <f aca="false">GJ107+GJ108+GJ109</f>
        <v>5904.89684611254</v>
      </c>
      <c r="GK110" s="0" t="n">
        <f aca="false">GK107+GK108+GK109</f>
        <v>5885.21143099257</v>
      </c>
      <c r="GL110" s="0" t="n">
        <f aca="false">GL107+GL108+GL109</f>
        <v>5976.06402560165</v>
      </c>
      <c r="GM110" s="0" t="n">
        <f aca="false">GM107+GM108+GM109</f>
        <v>5942.14292918784</v>
      </c>
      <c r="GN110" s="0" t="n">
        <f aca="false">GN107+GN108+GN109</f>
        <v>6047.84701413371</v>
      </c>
      <c r="GO110" s="0" t="n">
        <f aca="false">GO107+GO108+GO109</f>
        <v>5869.43420952062</v>
      </c>
      <c r="GP110" s="0" t="n">
        <f aca="false">GP107+GP108+GP109</f>
        <v>6081.70852400419</v>
      </c>
      <c r="GQ110" s="0" t="n">
        <f aca="false">GQ107+GQ108+GQ109</f>
        <v>5766.15205490685</v>
      </c>
      <c r="GR110" s="0" t="n">
        <f aca="false">GR107+GR108+GR109</f>
        <v>6191.63743416247</v>
      </c>
      <c r="GS110" s="0" t="n">
        <f aca="false">GS107+GS108+GS109</f>
        <v>5977.32705663641</v>
      </c>
      <c r="GT110" s="0" t="n">
        <f aca="false">GT107+GT108+GT109</f>
        <v>6063.85807183429</v>
      </c>
      <c r="GU110" s="0" t="n">
        <f aca="false">GU107+GU108+GU109</f>
        <v>5921.46392445078</v>
      </c>
      <c r="GV110" s="0" t="n">
        <f aca="false">GV107+GV108+GV109</f>
        <v>6014.18740127658</v>
      </c>
      <c r="GW110" s="0" t="n">
        <f aca="false">GW107+GW108+GW109</f>
        <v>6025.18225929013</v>
      </c>
      <c r="GX110" s="0" t="n">
        <f aca="false">GX107+GX108+GX109</f>
        <v>5915.63539515684</v>
      </c>
      <c r="GY110" s="0" t="n">
        <f aca="false">GY107+GY108+GY109</f>
        <v>5948.22467248717</v>
      </c>
      <c r="GZ110" s="0" t="n">
        <f aca="false">GZ107+GZ108+GZ109</f>
        <v>6144.35973948341</v>
      </c>
      <c r="HA110" s="0" t="n">
        <f aca="false">HA107+HA108+HA109</f>
        <v>6028.71012518937</v>
      </c>
      <c r="HB110" s="0" t="n">
        <f aca="false">HB107+HB108+HB109</f>
        <v>5959.4613210589</v>
      </c>
      <c r="HC110" s="0" t="n">
        <f aca="false">HC107+HC108+HC109</f>
        <v>5929.64896920596</v>
      </c>
      <c r="HD110" s="0" t="n">
        <f aca="false">HD107+HD108+HD109</f>
        <v>6199.01586824697</v>
      </c>
      <c r="HE110" s="0" t="n">
        <f aca="false">HE107+HE108+HE109</f>
        <v>6141.12427851143</v>
      </c>
      <c r="HF110" s="0" t="n">
        <f aca="false">HF107+HF108+HF109</f>
        <v>5825.42526190464</v>
      </c>
      <c r="HG110" s="0" t="n">
        <f aca="false">HG107+HG108+HG109</f>
        <v>6125.40390379538</v>
      </c>
      <c r="HH110" s="0" t="n">
        <f aca="false">HH107+HH108+HH109</f>
        <v>6099.7878655034</v>
      </c>
      <c r="HI110" s="0" t="n">
        <f aca="false">HI107+HI108+HI109</f>
        <v>6081.77510552937</v>
      </c>
      <c r="HJ110" s="0" t="n">
        <f aca="false">HJ107+HJ108+HJ109</f>
        <v>5936.51559085264</v>
      </c>
      <c r="HK110" s="0" t="n">
        <f aca="false">HK107+HK108+HK109</f>
        <v>5963.30477906866</v>
      </c>
      <c r="HL110" s="0" t="n">
        <f aca="false">HL107+HL108+HL109</f>
        <v>6199.14465471951</v>
      </c>
      <c r="HM110" s="0" t="n">
        <f aca="false">HM107+HM108+HM109</f>
        <v>5909.70177010297</v>
      </c>
      <c r="HN110" s="0" t="n">
        <f aca="false">HN107+HN108+HN109</f>
        <v>5933.37105257555</v>
      </c>
      <c r="HO110" s="0" t="n">
        <f aca="false">HO107+HO108+HO109</f>
        <v>5929.42076625428</v>
      </c>
      <c r="HP110" s="0" t="n">
        <f aca="false">HP107+HP108+HP109</f>
        <v>5772.12006933421</v>
      </c>
      <c r="HQ110" s="0" t="n">
        <f aca="false">HQ107+HQ108+HQ109</f>
        <v>6016.2100673428</v>
      </c>
      <c r="HR110" s="0" t="n">
        <f aca="false">HR107+HR108+HR109</f>
        <v>5961.47616151392</v>
      </c>
      <c r="HS110" s="0" t="n">
        <f aca="false">HS107+HS108+HS109</f>
        <v>5982.50755770702</v>
      </c>
      <c r="HT110" s="0" t="n">
        <f aca="false">HT107+HT108+HT109</f>
        <v>6332.03265502424</v>
      </c>
      <c r="HU110" s="0" t="n">
        <f aca="false">HU107+HU108+HU109</f>
        <v>5889.23081841818</v>
      </c>
      <c r="HV110" s="0" t="n">
        <f aca="false">HV107+HV108+HV109</f>
        <v>5980.37696617623</v>
      </c>
      <c r="HW110" s="0" t="n">
        <f aca="false">HW107+HW108+HW109</f>
        <v>5924.90803786661</v>
      </c>
      <c r="HX110" s="0" t="n">
        <f aca="false">HX107+HX108+HX109</f>
        <v>6147.58621947773</v>
      </c>
      <c r="HY110" s="0" t="n">
        <f aca="false">HY107+HY108+HY109</f>
        <v>5900.53645781682</v>
      </c>
      <c r="HZ110" s="0" t="n">
        <f aca="false">HZ107+HZ108+HZ109</f>
        <v>5928.51020871945</v>
      </c>
      <c r="IA110" s="0" t="n">
        <f aca="false">IA107+IA108+IA109</f>
        <v>6207.95766977228</v>
      </c>
      <c r="IB110" s="0" t="n">
        <f aca="false">IB107+IB108+IB109</f>
        <v>5829.86565310218</v>
      </c>
      <c r="IC110" s="0" t="n">
        <f aca="false">IC107+IC108+IC109</f>
        <v>5904.92174317178</v>
      </c>
      <c r="ID110" s="0" t="n">
        <f aca="false">ID107+ID108+ID109</f>
        <v>5825.76632261096</v>
      </c>
      <c r="IE110" s="0" t="n">
        <f aca="false">IE107+IE108+IE109</f>
        <v>6198.67329054616</v>
      </c>
      <c r="IF110" s="0" t="n">
        <f aca="false">IF107+IF108+IF109</f>
        <v>5841.07473678645</v>
      </c>
      <c r="IG110" s="0" t="n">
        <f aca="false">IG107+IG108+IG109</f>
        <v>5880.30668713626</v>
      </c>
      <c r="IH110" s="0" t="n">
        <f aca="false">IH107+IH108+IH109</f>
        <v>6001.11610139863</v>
      </c>
      <c r="II110" s="0" t="n">
        <f aca="false">II107+II108+II109</f>
        <v>6075.29581448155</v>
      </c>
      <c r="IJ110" s="0" t="n">
        <f aca="false">IJ107+IJ108+IJ109</f>
        <v>5941.75154868358</v>
      </c>
      <c r="IK110" s="0" t="n">
        <f aca="false">IK107+IK108+IK109</f>
        <v>6297.31328955174</v>
      </c>
      <c r="IL110" s="0" t="n">
        <f aca="false">IL107+IL108+IL109</f>
        <v>6172.80387014158</v>
      </c>
      <c r="IM110" s="0" t="n">
        <f aca="false">IM107+IM108+IM109</f>
        <v>5992.34369108795</v>
      </c>
      <c r="IN110" s="0" t="n">
        <f aca="false">IN107+IN108+IN109</f>
        <v>5885.24841008791</v>
      </c>
      <c r="IO110" s="0" t="n">
        <f aca="false">IO107+IO108+IO109</f>
        <v>6056.54103872339</v>
      </c>
      <c r="IP110" s="0" t="n">
        <f aca="false">IP107+IP108+IP109</f>
        <v>6091.42172037056</v>
      </c>
      <c r="IQ110" s="0" t="n">
        <f aca="false">IQ107+IQ108+IQ109</f>
        <v>6038.37566672197</v>
      </c>
      <c r="IR110" s="0" t="n">
        <f aca="false">IR107+IR108+IR109</f>
        <v>5853.01335769337</v>
      </c>
      <c r="IS110" s="0" t="n">
        <f aca="false">IS107+IS108+IS109</f>
        <v>5992.81725776753</v>
      </c>
      <c r="IT110" s="0" t="n">
        <f aca="false">IT107+IT108+IT109</f>
        <v>6121.10170772679</v>
      </c>
      <c r="IU110" s="0" t="n">
        <f aca="false">IU107+IU108+IU109</f>
        <v>5936.22354004423</v>
      </c>
      <c r="IV110" s="0" t="n">
        <f aca="false">IV107+IV108+IV109</f>
        <v>6082.00175856191</v>
      </c>
      <c r="IW110" s="0" t="n">
        <f aca="false">IW107+IW108+IW109</f>
        <v>5971.90792203534</v>
      </c>
      <c r="IX110" s="0" t="n">
        <f aca="false">IX107+IX108+IX109</f>
        <v>5941.23605848609</v>
      </c>
      <c r="IY110" s="0" t="n">
        <f aca="false">IY107+IY108+IY109</f>
        <v>6109.7124197283</v>
      </c>
      <c r="IZ110" s="0" t="n">
        <f aca="false">IZ107+IZ108+IZ109</f>
        <v>6057.04629590763</v>
      </c>
      <c r="JA110" s="0" t="n">
        <f aca="false">JA107+JA108+JA109</f>
        <v>5797.41280017599</v>
      </c>
      <c r="JB110" s="0" t="n">
        <f aca="false">JB107+JB108+JB109</f>
        <v>5965.29278333523</v>
      </c>
      <c r="JC110" s="0" t="n">
        <f aca="false">JC107+JC108+JC109</f>
        <v>5854.70565101226</v>
      </c>
      <c r="JD110" s="0" t="n">
        <f aca="false">JD107+JD108+JD109</f>
        <v>5899.22954457585</v>
      </c>
      <c r="JE110" s="0" t="n">
        <f aca="false">JE107+JE108+JE109</f>
        <v>5992.72522128771</v>
      </c>
      <c r="JF110" s="0" t="n">
        <f aca="false">JF107+JF108+JF109</f>
        <v>6080.95689286157</v>
      </c>
      <c r="JG110" s="0" t="n">
        <f aca="false">JG107+JG108+JG109</f>
        <v>6098.36126214061</v>
      </c>
      <c r="JH110" s="0" t="n">
        <f aca="false">JH107+JH108+JH109</f>
        <v>5874.8325453116</v>
      </c>
      <c r="JI110" s="0" t="n">
        <f aca="false">JI107+JI108+JI109</f>
        <v>5985.78758698579</v>
      </c>
      <c r="JJ110" s="0" t="n">
        <f aca="false">JJ107+JJ108+JJ109</f>
        <v>5942.26396164864</v>
      </c>
      <c r="JK110" s="0" t="n">
        <f aca="false">JK107+JK108+JK109</f>
        <v>5867.99136992795</v>
      </c>
      <c r="JL110" s="0" t="n">
        <f aca="false">JL107+JL108+JL109</f>
        <v>5988.48770840687</v>
      </c>
      <c r="JM110" s="0" t="n">
        <f aca="false">JM107+JM108+JM109</f>
        <v>6017.42113390818</v>
      </c>
      <c r="JN110" s="0" t="n">
        <f aca="false">JN107+JN108+JN109</f>
        <v>5985.3021149206</v>
      </c>
      <c r="JO110" s="0" t="n">
        <f aca="false">JO107+JO108+JO109</f>
        <v>5954.28199684721</v>
      </c>
      <c r="JP110" s="0" t="n">
        <f aca="false">JP107+JP108+JP109</f>
        <v>5986.98077558605</v>
      </c>
      <c r="JQ110" s="0" t="n">
        <f aca="false">JQ107+JQ108+JQ109</f>
        <v>5844.125618809</v>
      </c>
      <c r="JR110" s="0" t="n">
        <f aca="false">JR107+JR108+JR109</f>
        <v>5770.04882018256</v>
      </c>
      <c r="JS110" s="0" t="n">
        <f aca="false">JS107+JS108+JS109</f>
        <v>5815.19987252912</v>
      </c>
      <c r="JT110" s="0" t="n">
        <f aca="false">JT107+JT108+JT109</f>
        <v>5929.90805236035</v>
      </c>
      <c r="JU110" s="0" t="n">
        <f aca="false">JU107+JU108+JU109</f>
        <v>5911.35533469473</v>
      </c>
      <c r="JV110" s="0" t="n">
        <f aca="false">JV107+JV108+JV109</f>
        <v>6060.14487992429</v>
      </c>
      <c r="JW110" s="0" t="n">
        <f aca="false">JW107+JW108+JW109</f>
        <v>6244.33363883513</v>
      </c>
      <c r="JX110" s="0" t="n">
        <f aca="false">JX107+JX108+JX109</f>
        <v>5849.11473761077</v>
      </c>
      <c r="JY110" s="0" t="n">
        <f aca="false">JY107+JY108+JY109</f>
        <v>6015.07954162203</v>
      </c>
      <c r="JZ110" s="0" t="n">
        <f aca="false">JZ107+JZ108+JZ109</f>
        <v>5978.41842763384</v>
      </c>
      <c r="KA110" s="0" t="n">
        <f aca="false">KA107+KA108+KA109</f>
        <v>5997.04108352264</v>
      </c>
      <c r="KB110" s="0" t="n">
        <f aca="false">KB107+KB108+KB109</f>
        <v>6079.66398773325</v>
      </c>
      <c r="KC110" s="0" t="n">
        <f aca="false">KC107+KC108+KC109</f>
        <v>5974.74983157562</v>
      </c>
      <c r="KD110" s="0" t="n">
        <f aca="false">KD107+KD108+KD109</f>
        <v>5942.43365383581</v>
      </c>
      <c r="KE110" s="0" t="n">
        <f aca="false">KE107+KE108+KE109</f>
        <v>5954.12128117884</v>
      </c>
      <c r="KF110" s="0" t="n">
        <f aca="false">KF107+KF108+KF109</f>
        <v>6018.8333185167</v>
      </c>
      <c r="KG110" s="0" t="n">
        <f aca="false">KG107+KG108+KG109</f>
        <v>6291.95204930768</v>
      </c>
      <c r="KH110" s="0" t="n">
        <f aca="false">KH107+KH108+KH109</f>
        <v>5981.90271175578</v>
      </c>
      <c r="KI110" s="0" t="n">
        <f aca="false">KI107+KI108+KI109</f>
        <v>5893.31873884891</v>
      </c>
      <c r="KJ110" s="0" t="n">
        <f aca="false">KJ107+KJ108+KJ109</f>
        <v>6079.61529048151</v>
      </c>
      <c r="KK110" s="0" t="n">
        <f aca="false">KK107+KK108+KK109</f>
        <v>5945.53631864505</v>
      </c>
      <c r="KL110" s="0" t="n">
        <f aca="false">KL107+KL108+KL109</f>
        <v>6096.70562905073</v>
      </c>
      <c r="KM110" s="0" t="n">
        <f aca="false">KM107+KM108+KM109</f>
        <v>6025.1722163656</v>
      </c>
      <c r="KN110" s="0" t="n">
        <f aca="false">KN107+KN108+KN109</f>
        <v>5946.5293605156</v>
      </c>
      <c r="KO110" s="0" t="n">
        <f aca="false">KO107+KO108+KO109</f>
        <v>6097.98684988356</v>
      </c>
      <c r="KP110" s="0" t="n">
        <f aca="false">KP107+KP108+KP109</f>
        <v>5889.51822561465</v>
      </c>
      <c r="KQ110" s="0" t="n">
        <f aca="false">KQ107+KQ108+KQ109</f>
        <v>5939.35412253247</v>
      </c>
      <c r="KR110" s="0" t="n">
        <f aca="false">KR107+KR108+KR109</f>
        <v>5924.85773294224</v>
      </c>
      <c r="KS110" s="0" t="n">
        <f aca="false">KS107+KS108+KS109</f>
        <v>5867.39355287282</v>
      </c>
      <c r="KT110" s="0" t="n">
        <f aca="false">KT107+KT108+KT109</f>
        <v>5936.72998948314</v>
      </c>
      <c r="KU110" s="0" t="n">
        <f aca="false">KU107+KU108+KU109</f>
        <v>5945.29222275454</v>
      </c>
      <c r="KV110" s="0" t="n">
        <f aca="false">KV107+KV108+KV109</f>
        <v>5963.35794721748</v>
      </c>
      <c r="KW110" s="0" t="n">
        <f aca="false">KW107+KW108+KW109</f>
        <v>5895.79489206213</v>
      </c>
      <c r="KX110" s="0" t="n">
        <f aca="false">KX107+KX108+KX109</f>
        <v>6060.09274238329</v>
      </c>
      <c r="KY110" s="0" t="n">
        <f aca="false">KY107+KY108+KY109</f>
        <v>6065.33439041454</v>
      </c>
      <c r="KZ110" s="0" t="n">
        <f aca="false">KZ107+KZ108+KZ109</f>
        <v>5876.70077737329</v>
      </c>
      <c r="LA110" s="0" t="n">
        <f aca="false">LA107+LA108+LA109</f>
        <v>6088.19207156425</v>
      </c>
      <c r="LB110" s="0" t="n">
        <f aca="false">LB107+LB108+LB109</f>
        <v>6258.55660134274</v>
      </c>
      <c r="LC110" s="0" t="n">
        <f aca="false">LC107+LC108+LC109</f>
        <v>6066.13253410229</v>
      </c>
      <c r="LD110" s="0" t="n">
        <f aca="false">LD107+LD108+LD109</f>
        <v>5780.34588236311</v>
      </c>
      <c r="LE110" s="0" t="n">
        <f aca="false">LE107+LE108+LE109</f>
        <v>5917.21814303197</v>
      </c>
      <c r="LF110" s="0" t="n">
        <f aca="false">LF107+LF108+LF109</f>
        <v>5869.43127278074</v>
      </c>
      <c r="LG110" s="0" t="n">
        <f aca="false">LG107+LG108+LG109</f>
        <v>6065.76159246483</v>
      </c>
      <c r="LH110" s="0" t="n">
        <f aca="false">LH107+LH108+LH109</f>
        <v>5833.48872623395</v>
      </c>
      <c r="LI110" s="0" t="n">
        <f aca="false">LI107+LI108+LI109</f>
        <v>6077.83523673302</v>
      </c>
      <c r="LJ110" s="0" t="n">
        <f aca="false">LJ107+LJ108+LJ109</f>
        <v>5801.00472995096</v>
      </c>
      <c r="LK110" s="0" t="n">
        <f aca="false">LK107+LK108+LK109</f>
        <v>6086.97582351871</v>
      </c>
      <c r="LL110" s="0" t="n">
        <f aca="false">LL107+LL108+LL109</f>
        <v>6037.04338678295</v>
      </c>
      <c r="LM110" s="0" t="n">
        <f aca="false">LM107+LM108+LM109</f>
        <v>5994.84094467757</v>
      </c>
      <c r="LN110" s="0" t="n">
        <f aca="false">LN107+LN108+LN109</f>
        <v>6116.97989015199</v>
      </c>
      <c r="LO110" s="0" t="n">
        <f aca="false">LO107+LO108+LO109</f>
        <v>5949.93844116425</v>
      </c>
      <c r="LP110" s="0" t="n">
        <f aca="false">LP107+LP108+LP109</f>
        <v>6073.93254129675</v>
      </c>
      <c r="LQ110" s="0" t="n">
        <f aca="false">LQ107+LQ108+LQ109</f>
        <v>5964.58286147332</v>
      </c>
      <c r="LR110" s="0" t="n">
        <f aca="false">LR107+LR108+LR109</f>
        <v>5846.88922947188</v>
      </c>
      <c r="LS110" s="0" t="n">
        <f aca="false">LS107+LS108+LS109</f>
        <v>5986.70212313356</v>
      </c>
      <c r="LT110" s="0" t="n">
        <f aca="false">LT107+LT108+LT109</f>
        <v>6104.45262788109</v>
      </c>
      <c r="LU110" s="0" t="n">
        <f aca="false">LU107+LU108+LU109</f>
        <v>6034.05861814956</v>
      </c>
      <c r="LV110" s="0" t="n">
        <f aca="false">LV107+LV108+LV109</f>
        <v>5858.65433698387</v>
      </c>
      <c r="LW110" s="0" t="n">
        <f aca="false">LW107+LW108+LW109</f>
        <v>6067.47123543129</v>
      </c>
      <c r="LX110" s="0" t="n">
        <f aca="false">LX107+LX108+LX109</f>
        <v>5990.69958678696</v>
      </c>
      <c r="LY110" s="0" t="n">
        <f aca="false">LY107+LY108+LY109</f>
        <v>5964.03283779894</v>
      </c>
      <c r="LZ110" s="0" t="n">
        <f aca="false">LZ107+LZ108+LZ109</f>
        <v>5952.84931987164</v>
      </c>
      <c r="MA110" s="0" t="n">
        <f aca="false">MA107+MA108+MA109</f>
        <v>6000.29478552819</v>
      </c>
      <c r="MB110" s="0" t="n">
        <f aca="false">MB107+MB108+MB109</f>
        <v>6161.37652537561</v>
      </c>
      <c r="MC110" s="0" t="n">
        <f aca="false">MC107+MC108+MC109</f>
        <v>6047.06169007161</v>
      </c>
      <c r="MD110" s="0" t="n">
        <f aca="false">MD107+MD108+MD109</f>
        <v>6423.87523753131</v>
      </c>
      <c r="ME110" s="0" t="n">
        <f aca="false">ME107+ME108+ME109</f>
        <v>6084.44222128046</v>
      </c>
      <c r="MF110" s="0" t="n">
        <f aca="false">MF107+MF108+MF109</f>
        <v>5931.69199744525</v>
      </c>
      <c r="MG110" s="0" t="n">
        <f aca="false">MG107+MG108+MG109</f>
        <v>5845.696825657</v>
      </c>
      <c r="MH110" s="0" t="n">
        <f aca="false">MH107+MH108+MH109</f>
        <v>5972.39144731193</v>
      </c>
      <c r="MI110" s="0" t="n">
        <f aca="false">MI107+MI108+MI109</f>
        <v>5971.82117454899</v>
      </c>
      <c r="MJ110" s="0" t="n">
        <f aca="false">MJ107+MJ108+MJ109</f>
        <v>6059.69817141398</v>
      </c>
      <c r="MK110" s="0" t="n">
        <f aca="false">MK107+MK108+MK109</f>
        <v>6104.41260723517</v>
      </c>
      <c r="ML110" s="0" t="n">
        <f aca="false">ML107+ML108+ML109</f>
        <v>6094.24375229911</v>
      </c>
      <c r="MM110" s="0" t="n">
        <f aca="false">MM107+MM108+MM109</f>
        <v>5893.34882471091</v>
      </c>
      <c r="MN110" s="0" t="n">
        <f aca="false">MN107+MN108+MN109</f>
        <v>6094.84145720865</v>
      </c>
      <c r="MO110" s="0" t="n">
        <f aca="false">MO107+MO108+MO109</f>
        <v>6121.74592995879</v>
      </c>
      <c r="MP110" s="0" t="n">
        <f aca="false">MP107+MP108+MP109</f>
        <v>6155.55297419352</v>
      </c>
      <c r="MQ110" s="0" t="n">
        <f aca="false">MQ107+MQ108+MQ109</f>
        <v>5768.64254211231</v>
      </c>
      <c r="MR110" s="0" t="n">
        <f aca="false">MR107+MR108+MR109</f>
        <v>6026.64564208122</v>
      </c>
      <c r="MS110" s="0" t="n">
        <f aca="false">MS107+MS108+MS109</f>
        <v>6084.90397373986</v>
      </c>
      <c r="MT110" s="0" t="n">
        <f aca="false">MT107+MT108+MT109</f>
        <v>5993.28414004378</v>
      </c>
      <c r="MU110" s="0" t="n">
        <f aca="false">MU107+MU108+MU109</f>
        <v>5966.40529441947</v>
      </c>
      <c r="MV110" s="0" t="n">
        <f aca="false">MV107+MV108+MV109</f>
        <v>6181.08425275122</v>
      </c>
      <c r="MW110" s="0" t="n">
        <f aca="false">MW107+MW108+MW109</f>
        <v>5972.05650093985</v>
      </c>
      <c r="MX110" s="0" t="n">
        <f aca="false">MX107+MX108+MX109</f>
        <v>5862.71439378936</v>
      </c>
      <c r="MY110" s="0" t="n">
        <f aca="false">MY107+MY108+MY109</f>
        <v>6041.08308909738</v>
      </c>
      <c r="MZ110" s="0" t="n">
        <f aca="false">MZ107+MZ108+MZ109</f>
        <v>6014.76208736402</v>
      </c>
      <c r="NA110" s="0" t="n">
        <f aca="false">NA107+NA108+NA109</f>
        <v>6184.09485848916</v>
      </c>
      <c r="NB110" s="0" t="n">
        <f aca="false">NB107+NB108+NB109</f>
        <v>6170.37365207503</v>
      </c>
      <c r="NC110" s="0" t="n">
        <f aca="false">NC107+NC108+NC109</f>
        <v>6074.7188660519</v>
      </c>
      <c r="ND110" s="0" t="n">
        <f aca="false">ND107+ND108+ND109</f>
        <v>6073.59314230765</v>
      </c>
      <c r="NE110" s="0" t="n">
        <f aca="false">NE107+NE108+NE109</f>
        <v>6254.52519244737</v>
      </c>
      <c r="NF110" s="0" t="n">
        <f aca="false">NF107+NF108+NF109</f>
        <v>6016.68181145674</v>
      </c>
      <c r="NG110" s="0" t="n">
        <f aca="false">NG107+NG108+NG109</f>
        <v>5933.57966716668</v>
      </c>
      <c r="NH110" s="0" t="n">
        <f aca="false">NH107+NH108+NH109</f>
        <v>5970.30921808876</v>
      </c>
      <c r="NI110" s="0" t="n">
        <f aca="false">NI107+NI108+NI109</f>
        <v>5801.35586585185</v>
      </c>
      <c r="NJ110" s="0" t="n">
        <f aca="false">NJ107+NJ108+NJ109</f>
        <v>5973.76077551793</v>
      </c>
      <c r="NK110" s="0" t="n">
        <f aca="false">NK107+NK108+NK109</f>
        <v>6078.23734270489</v>
      </c>
      <c r="NL110" s="0" t="n">
        <f aca="false">NL107+NL108+NL109</f>
        <v>6103.56562617353</v>
      </c>
      <c r="NM110" s="0" t="n">
        <f aca="false">NM107+NM108+NM109</f>
        <v>6153.37844213409</v>
      </c>
      <c r="NN110" s="0" t="n">
        <f aca="false">NN107+NN108+NN109</f>
        <v>6153.63149733034</v>
      </c>
      <c r="NO110" s="0" t="n">
        <f aca="false">NO107+NO108+NO109</f>
        <v>5850.90037974614</v>
      </c>
      <c r="NP110" s="0" t="n">
        <f aca="false">NP107+NP108+NP109</f>
        <v>6091.96947245779</v>
      </c>
      <c r="NQ110" s="0" t="n">
        <f aca="false">NQ107+NQ108+NQ109</f>
        <v>5950.60592754615</v>
      </c>
      <c r="NR110" s="0" t="n">
        <f aca="false">NR107+NR108+NR109</f>
        <v>6070.70610818821</v>
      </c>
      <c r="NS110" s="0" t="n">
        <f aca="false">NS107+NS108+NS109</f>
        <v>5883.88382133705</v>
      </c>
      <c r="NT110" s="0" t="n">
        <f aca="false">NT107+NT108+NT109</f>
        <v>5687.89110970898</v>
      </c>
      <c r="NU110" s="0" t="n">
        <f aca="false">NU107+NU108+NU109</f>
        <v>5824.23077269951</v>
      </c>
      <c r="NV110" s="0" t="n">
        <f aca="false">NV107+NV108+NV109</f>
        <v>5970.07372023217</v>
      </c>
      <c r="NW110" s="0" t="n">
        <f aca="false">NW107+NW108+NW109</f>
        <v>5924.32925855842</v>
      </c>
      <c r="NX110" s="0" t="n">
        <f aca="false">NX107+NX108+NX109</f>
        <v>5970.87524313835</v>
      </c>
      <c r="NY110" s="0" t="n">
        <f aca="false">NY107+NY108+NY109</f>
        <v>6008.12156342555</v>
      </c>
      <c r="NZ110" s="0" t="n">
        <f aca="false">NZ107+NZ108+NZ109</f>
        <v>6067.96178412861</v>
      </c>
      <c r="OA110" s="0" t="n">
        <f aca="false">OA107+OA108+OA109</f>
        <v>6075.67875117058</v>
      </c>
      <c r="OB110" s="0" t="n">
        <f aca="false">OB107+OB108+OB109</f>
        <v>6016.57032863725</v>
      </c>
      <c r="OC110" s="0" t="n">
        <f aca="false">OC107+OC108+OC109</f>
        <v>6025.21950611694</v>
      </c>
      <c r="OD110" s="0" t="n">
        <f aca="false">OD107+OD108+OD109</f>
        <v>6027.13227663265</v>
      </c>
      <c r="OE110" s="0" t="n">
        <f aca="false">OE107+OE108+OE109</f>
        <v>5968.70351210862</v>
      </c>
      <c r="OF110" s="0" t="n">
        <f aca="false">OF107+OF108+OF109</f>
        <v>6040.3747091438</v>
      </c>
      <c r="OG110" s="0" t="n">
        <f aca="false">OG107+OG108+OG109</f>
        <v>6139.20575637303</v>
      </c>
      <c r="OH110" s="0" t="n">
        <f aca="false">OH107+OH108+OH109</f>
        <v>5952.80523062283</v>
      </c>
      <c r="OI110" s="0" t="n">
        <f aca="false">OI107+OI108+OI109</f>
        <v>5986.64676091348</v>
      </c>
      <c r="OJ110" s="0" t="n">
        <f aca="false">OJ107+OJ108+OJ109</f>
        <v>5782.45654532375</v>
      </c>
      <c r="OK110" s="0" t="n">
        <f aca="false">OK107+OK108+OK109</f>
        <v>6020.808524479</v>
      </c>
      <c r="OL110" s="0" t="n">
        <f aca="false">OL107+OL108+OL109</f>
        <v>6039.7358550884</v>
      </c>
      <c r="OM110" s="0" t="n">
        <f aca="false">OM107+OM108+OM109</f>
        <v>5927.95974665894</v>
      </c>
      <c r="ON110" s="0" t="n">
        <f aca="false">ON107+ON108+ON109</f>
        <v>6091.56582430117</v>
      </c>
      <c r="OO110" s="0" t="n">
        <f aca="false">OO107+OO108+OO109</f>
        <v>6209.2447289832</v>
      </c>
      <c r="OP110" s="0" t="n">
        <f aca="false">OP107+OP108+OP109</f>
        <v>5960.52383230194</v>
      </c>
      <c r="OQ110" s="0" t="n">
        <f aca="false">OQ107+OQ108+OQ109</f>
        <v>6062.15087117987</v>
      </c>
      <c r="OR110" s="0" t="n">
        <f aca="false">OR107+OR108+OR109</f>
        <v>5979.10163034797</v>
      </c>
      <c r="OS110" s="0" t="n">
        <f aca="false">OS107+OS108+OS109</f>
        <v>5815.51054907115</v>
      </c>
      <c r="OT110" s="0" t="n">
        <f aca="false">OT107+OT108+OT109</f>
        <v>6178.08970900321</v>
      </c>
      <c r="OU110" s="0" t="n">
        <f aca="false">OU107+OU108+OU109</f>
        <v>5999.6517737644</v>
      </c>
      <c r="OV110" s="0" t="n">
        <f aca="false">OV107+OV108+OV109</f>
        <v>5940.46435064905</v>
      </c>
      <c r="OW110" s="0" t="n">
        <f aca="false">OW107+OW108+OW109</f>
        <v>5984.68092331226</v>
      </c>
      <c r="OX110" s="0" t="n">
        <f aca="false">OX107+OX108+OX109</f>
        <v>5901.28783344369</v>
      </c>
      <c r="OY110" s="0" t="n">
        <f aca="false">OY107+OY108+OY109</f>
        <v>6056.05136273887</v>
      </c>
      <c r="OZ110" s="0" t="n">
        <f aca="false">OZ107+OZ108+OZ109</f>
        <v>6183.40914628496</v>
      </c>
      <c r="PA110" s="0" t="n">
        <f aca="false">PA107+PA108+PA109</f>
        <v>5767.47893503625</v>
      </c>
      <c r="PB110" s="0" t="n">
        <f aca="false">PB107+PB108+PB109</f>
        <v>6058.49200713283</v>
      </c>
      <c r="PC110" s="0" t="n">
        <f aca="false">PC107+PC108+PC109</f>
        <v>6100.38036125063</v>
      </c>
      <c r="PD110" s="0" t="n">
        <f aca="false">PD107+PD108+PD109</f>
        <v>5909.9776516476</v>
      </c>
      <c r="PE110" s="0" t="n">
        <f aca="false">PE107+PE108+PE109</f>
        <v>6061.31607707137</v>
      </c>
      <c r="PF110" s="0" t="n">
        <f aca="false">PF107+PF108+PF109</f>
        <v>6019.19128976265</v>
      </c>
      <c r="PG110" s="0" t="n">
        <f aca="false">PG107+PG108+PG109</f>
        <v>6080.69197995322</v>
      </c>
      <c r="PH110" s="0" t="n">
        <f aca="false">PH107+PH108+PH109</f>
        <v>6001.71418899606</v>
      </c>
      <c r="PI110" s="0" t="n">
        <f aca="false">PI107+PI108+PI109</f>
        <v>5881.79730266284</v>
      </c>
      <c r="PJ110" s="0" t="n">
        <f aca="false">PJ107+PJ108+PJ109</f>
        <v>5893.26580038726</v>
      </c>
      <c r="PK110" s="0" t="n">
        <f aca="false">PK107+PK108+PK109</f>
        <v>6092.17438254429</v>
      </c>
      <c r="PL110" s="0" t="n">
        <f aca="false">PL107+PL108+PL109</f>
        <v>6074.55363819037</v>
      </c>
      <c r="PM110" s="0" t="n">
        <f aca="false">PM107+PM108+PM109</f>
        <v>5941.84647678198</v>
      </c>
      <c r="PN110" s="0" t="n">
        <f aca="false">PN107+PN108+PN109</f>
        <v>6202.6103847644</v>
      </c>
      <c r="PO110" s="0" t="n">
        <f aca="false">PO107+PO108+PO109</f>
        <v>6053.60847754494</v>
      </c>
      <c r="PP110" s="0" t="n">
        <f aca="false">PP107+PP108+PP109</f>
        <v>5963.09411412096</v>
      </c>
      <c r="PQ110" s="0" t="n">
        <f aca="false">PQ107+PQ108+PQ109</f>
        <v>6081.92683815401</v>
      </c>
      <c r="PR110" s="0" t="n">
        <f aca="false">PR107+PR108+PR109</f>
        <v>6118.74413767</v>
      </c>
      <c r="PS110" s="0" t="n">
        <f aca="false">PS107+PS108+PS109</f>
        <v>6244.17429184494</v>
      </c>
      <c r="PT110" s="0" t="n">
        <f aca="false">PT107+PT108+PT109</f>
        <v>5959.28512723427</v>
      </c>
      <c r="PU110" s="0" t="n">
        <f aca="false">PU107+PU108+PU109</f>
        <v>6047.17139251719</v>
      </c>
      <c r="PV110" s="0" t="n">
        <f aca="false">PV107+PV108+PV109</f>
        <v>6045.73098164726</v>
      </c>
      <c r="PW110" s="0" t="n">
        <f aca="false">PW107+PW108+PW109</f>
        <v>5891.89731938865</v>
      </c>
      <c r="PX110" s="0" t="n">
        <f aca="false">PX107+PX108+PX109</f>
        <v>6189.31604339678</v>
      </c>
      <c r="PY110" s="0" t="n">
        <f aca="false">PY107+PY108+PY109</f>
        <v>5821.74374137627</v>
      </c>
      <c r="PZ110" s="0" t="n">
        <f aca="false">PZ107+PZ108+PZ109</f>
        <v>5845.60704183698</v>
      </c>
      <c r="QA110" s="0" t="n">
        <f aca="false">QA107+QA108+QA109</f>
        <v>6025.25502831613</v>
      </c>
      <c r="QB110" s="0" t="n">
        <f aca="false">QB107+QB108+QB109</f>
        <v>5903.03377465218</v>
      </c>
      <c r="QC110" s="0" t="n">
        <f aca="false">QC107+QC108+QC109</f>
        <v>6109.06977808715</v>
      </c>
      <c r="QD110" s="0" t="n">
        <f aca="false">QD107+QD108+QD109</f>
        <v>5972.69481389759</v>
      </c>
      <c r="QE110" s="0" t="n">
        <f aca="false">QE107+QE108+QE109</f>
        <v>6068.8358707005</v>
      </c>
      <c r="QF110" s="0" t="n">
        <f aca="false">QF107+QF108+QF109</f>
        <v>6157.59523305375</v>
      </c>
      <c r="QG110" s="0" t="n">
        <f aca="false">QG107+QG108+QG109</f>
        <v>6073.34439473274</v>
      </c>
      <c r="QH110" s="0" t="n">
        <f aca="false">QH107+QH108+QH109</f>
        <v>5939.5003559851</v>
      </c>
      <c r="QI110" s="0" t="n">
        <f aca="false">QI107+QI108+QI109</f>
        <v>5974.43236948662</v>
      </c>
      <c r="QJ110" s="0" t="n">
        <f aca="false">QJ107+QJ108+QJ109</f>
        <v>5862.91554351694</v>
      </c>
      <c r="QK110" s="0" t="n">
        <f aca="false">QK107+QK108+QK109</f>
        <v>5977.26752456164</v>
      </c>
      <c r="QL110" s="0" t="n">
        <f aca="false">QL107+QL108+QL109</f>
        <v>5806.87811441836</v>
      </c>
      <c r="QM110" s="0" t="n">
        <f aca="false">QM107+QM108+QM109</f>
        <v>5989.5142703957</v>
      </c>
      <c r="QN110" s="0" t="n">
        <f aca="false">QN107+QN108+QN109</f>
        <v>6034.93759598767</v>
      </c>
      <c r="QO110" s="0" t="n">
        <f aca="false">QO107+QO108+QO109</f>
        <v>5994.30523342714</v>
      </c>
      <c r="QP110" s="0" t="n">
        <f aca="false">QP107+QP108+QP109</f>
        <v>5815.36783985515</v>
      </c>
      <c r="QQ110" s="0" t="n">
        <f aca="false">QQ107+QQ108+QQ109</f>
        <v>6017.67309885067</v>
      </c>
      <c r="QR110" s="0" t="n">
        <f aca="false">QR107+QR108+QR109</f>
        <v>5918.04628708389</v>
      </c>
      <c r="QS110" s="0" t="n">
        <f aca="false">QS107+QS108+QS109</f>
        <v>5825.3888321066</v>
      </c>
      <c r="QT110" s="0" t="n">
        <f aca="false">QT107+QT108+QT109</f>
        <v>5887.00654393848</v>
      </c>
      <c r="QU110" s="0" t="n">
        <f aca="false">QU107+QU108+QU109</f>
        <v>6002.0131618634</v>
      </c>
      <c r="QV110" s="0" t="n">
        <f aca="false">QV107+QV108+QV109</f>
        <v>6032.07630446812</v>
      </c>
      <c r="QW110" s="0" t="n">
        <f aca="false">QW107+QW108+QW109</f>
        <v>6121.55387112104</v>
      </c>
      <c r="QX110" s="0" t="n">
        <f aca="false">QX107+QX108+QX109</f>
        <v>6364.15016062973</v>
      </c>
      <c r="QY110" s="0" t="n">
        <f aca="false">QY107+QY108+QY109</f>
        <v>6136.82350324922</v>
      </c>
      <c r="QZ110" s="0" t="n">
        <f aca="false">QZ107+QZ108+QZ109</f>
        <v>5970.73124625739</v>
      </c>
      <c r="RA110" s="0" t="n">
        <f aca="false">RA107+RA108+RA109</f>
        <v>6116.69605999234</v>
      </c>
      <c r="RB110" s="0" t="n">
        <f aca="false">RB107+RB108+RB109</f>
        <v>5988.33058695502</v>
      </c>
      <c r="RC110" s="0" t="n">
        <f aca="false">RC107+RC108+RC109</f>
        <v>5906.9379209694</v>
      </c>
      <c r="RD110" s="0" t="n">
        <f aca="false">RD107+RD108+RD109</f>
        <v>5867.75517157028</v>
      </c>
      <c r="RE110" s="0" t="n">
        <f aca="false">RE107+RE108+RE109</f>
        <v>5911.31297324936</v>
      </c>
      <c r="RF110" s="0" t="n">
        <f aca="false">RF107+RF108+RF109</f>
        <v>5938.70151400309</v>
      </c>
      <c r="RG110" s="0" t="n">
        <f aca="false">RG107+RG108+RG109</f>
        <v>5884.55792471086</v>
      </c>
      <c r="RH110" s="0" t="n">
        <f aca="false">RH107+RH108+RH109</f>
        <v>5951.890226877</v>
      </c>
      <c r="RI110" s="0" t="n">
        <f aca="false">RI107+RI108+RI109</f>
        <v>5900.50738882858</v>
      </c>
      <c r="RJ110" s="0" t="n">
        <f aca="false">RJ107+RJ108+RJ109</f>
        <v>5868.20765666132</v>
      </c>
      <c r="RK110" s="0" t="n">
        <f aca="false">RK107+RK108+RK109</f>
        <v>6186.30368421246</v>
      </c>
      <c r="RL110" s="0" t="n">
        <f aca="false">RL107+RL108+RL109</f>
        <v>6199.03419292152</v>
      </c>
      <c r="RM110" s="0" t="n">
        <f aca="false">RM107+RM108+RM109</f>
        <v>5819.61546862115</v>
      </c>
      <c r="RN110" s="0" t="n">
        <f aca="false">RN107+RN108+RN109</f>
        <v>5935.24472768656</v>
      </c>
      <c r="RO110" s="0" t="n">
        <f aca="false">RO107+RO108+RO109</f>
        <v>6169.41049332287</v>
      </c>
      <c r="RP110" s="0" t="n">
        <f aca="false">RP107+RP108+RP109</f>
        <v>5952.20152308108</v>
      </c>
      <c r="RQ110" s="0" t="n">
        <f aca="false">RQ107+RQ108+RQ109</f>
        <v>6064.90239238064</v>
      </c>
      <c r="RR110" s="0" t="n">
        <f aca="false">RR107+RR108+RR109</f>
        <v>6137.13035010779</v>
      </c>
      <c r="RS110" s="0" t="n">
        <f aca="false">RS107+RS108+RS109</f>
        <v>5995.51049116695</v>
      </c>
      <c r="RT110" s="0" t="n">
        <f aca="false">RT107+RT108+RT109</f>
        <v>5934.36497588463</v>
      </c>
      <c r="RU110" s="0" t="n">
        <f aca="false">RU107+RU108+RU109</f>
        <v>6105.48813515711</v>
      </c>
      <c r="RV110" s="0" t="n">
        <f aca="false">RV107+RV108+RV109</f>
        <v>6185.00586309258</v>
      </c>
      <c r="RW110" s="0" t="n">
        <f aca="false">RW107+RW108+RW109</f>
        <v>6025.00471461625</v>
      </c>
      <c r="RX110" s="0" t="n">
        <f aca="false">RX107+RX108+RX109</f>
        <v>6106.07981781112</v>
      </c>
      <c r="RY110" s="0" t="n">
        <f aca="false">RY107+RY108+RY109</f>
        <v>5940.26169646538</v>
      </c>
      <c r="RZ110" s="0" t="n">
        <f aca="false">RZ107+RZ108+RZ109</f>
        <v>5965.73098426804</v>
      </c>
      <c r="SA110" s="0" t="n">
        <f aca="false">SA107+SA108+SA109</f>
        <v>6085.27676828254</v>
      </c>
      <c r="SB110" s="0" t="n">
        <f aca="false">SB107+SB108+SB109</f>
        <v>5982.20491146137</v>
      </c>
      <c r="SC110" s="0" t="n">
        <f aca="false">SC107+SC108+SC109</f>
        <v>6160.94544350988</v>
      </c>
      <c r="SD110" s="0" t="n">
        <f aca="false">SD107+SD108+SD109</f>
        <v>5886.10785464571</v>
      </c>
      <c r="SE110" s="0" t="n">
        <f aca="false">SE107+SE108+SE109</f>
        <v>5942.52443361459</v>
      </c>
      <c r="SF110" s="0" t="n">
        <f aca="false">SF107+SF108+SF109</f>
        <v>6002.50487790245</v>
      </c>
      <c r="SG110" s="0" t="n">
        <f aca="false">SG107+SG108+SG109</f>
        <v>5965.61347813254</v>
      </c>
      <c r="SH110" s="0" t="n">
        <f aca="false">SH107+SH108+SH109</f>
        <v>6118.37397786282</v>
      </c>
      <c r="SI110" s="0" t="n">
        <f aca="false">SI107+SI108+SI109</f>
        <v>5984.04089504891</v>
      </c>
      <c r="SJ110" s="0" t="n">
        <f aca="false">SJ107+SJ108+SJ109</f>
        <v>6126.69018241046</v>
      </c>
      <c r="SK110" s="0" t="n">
        <f aca="false">SK107+SK108+SK109</f>
        <v>5910.71038909296</v>
      </c>
      <c r="SL110" s="0" t="n">
        <f aca="false">SL107+SL108+SL109</f>
        <v>5966.13119480083</v>
      </c>
      <c r="SM110" s="0" t="n">
        <f aca="false">SM107+SM108+SM109</f>
        <v>6018.71916669974</v>
      </c>
      <c r="SN110" s="0" t="n">
        <f aca="false">SN107+SN108+SN109</f>
        <v>5796.42338212092</v>
      </c>
      <c r="SO110" s="0" t="n">
        <f aca="false">SO107+SO108+SO109</f>
        <v>5930.54896525421</v>
      </c>
      <c r="SP110" s="0" t="n">
        <f aca="false">SP107+SP108+SP109</f>
        <v>5916.62493504892</v>
      </c>
      <c r="SQ110" s="0" t="n">
        <f aca="false">SQ107+SQ108+SQ109</f>
        <v>6073.24965071102</v>
      </c>
      <c r="SR110" s="0" t="n">
        <f aca="false">SR107+SR108+SR109</f>
        <v>5891.6832729358</v>
      </c>
      <c r="SS110" s="0" t="n">
        <f aca="false">SS107+SS108+SS109</f>
        <v>6044.41199219764</v>
      </c>
      <c r="ST110" s="0" t="n">
        <f aca="false">ST107+ST108+ST109</f>
        <v>6012.72874559534</v>
      </c>
      <c r="SU110" s="0" t="n">
        <f aca="false">SU107+SU108+SU109</f>
        <v>5848.82164237241</v>
      </c>
      <c r="SV110" s="0" t="n">
        <f aca="false">SV107+SV108+SV109</f>
        <v>5895.11338143519</v>
      </c>
      <c r="SW110" s="0" t="n">
        <f aca="false">SW107+SW108+SW109</f>
        <v>6187.40555730311</v>
      </c>
      <c r="SX110" s="0" t="n">
        <f aca="false">SX107+SX108+SX109</f>
        <v>6116.88163030782</v>
      </c>
      <c r="SY110" s="0" t="n">
        <f aca="false">SY107+SY108+SY109</f>
        <v>6072.04505194729</v>
      </c>
      <c r="SZ110" s="0" t="n">
        <f aca="false">SZ107+SZ108+SZ109</f>
        <v>6156.46994792447</v>
      </c>
      <c r="TA110" s="0" t="n">
        <f aca="false">TA107+TA108+TA109</f>
        <v>5870.93537036893</v>
      </c>
      <c r="TB110" s="0" t="n">
        <f aca="false">TB107+TB108+TB109</f>
        <v>6010.56299819236</v>
      </c>
      <c r="TC110" s="0" t="n">
        <f aca="false">TC107+TC108+TC109</f>
        <v>5915.58917909648</v>
      </c>
      <c r="TD110" s="0" t="n">
        <f aca="false">TD107+TD108+TD109</f>
        <v>6180.53863183284</v>
      </c>
      <c r="TE110" s="0" t="n">
        <f aca="false">TE107+TE108+TE109</f>
        <v>5742.05808136822</v>
      </c>
      <c r="TF110" s="0" t="n">
        <f aca="false">TF107+TF108+TF109</f>
        <v>6016.33287853854</v>
      </c>
      <c r="TG110" s="0" t="n">
        <f aca="false">TG107+TG108+TG109</f>
        <v>5990.49637601758</v>
      </c>
      <c r="TH110" s="0" t="n">
        <f aca="false">TH107+TH108+TH109</f>
        <v>5953.76938041607</v>
      </c>
      <c r="TI110" s="0" t="n">
        <f aca="false">TI107+TI108+TI109</f>
        <v>6180.61684868832</v>
      </c>
      <c r="TJ110" s="0" t="n">
        <f aca="false">TJ107+TJ108+TJ109</f>
        <v>5829.41608647004</v>
      </c>
      <c r="TK110" s="0" t="n">
        <f aca="false">TK107+TK108+TK109</f>
        <v>6097.63052914367</v>
      </c>
      <c r="TL110" s="0" t="n">
        <f aca="false">TL107+TL108+TL109</f>
        <v>5718.4817643728</v>
      </c>
      <c r="TM110" s="0" t="n">
        <f aca="false">TM107+TM108+TM109</f>
        <v>6075.71136427027</v>
      </c>
      <c r="TN110" s="0" t="n">
        <f aca="false">TN107+TN108+TN109</f>
        <v>6024.84995811603</v>
      </c>
      <c r="TO110" s="0" t="n">
        <f aca="false">TO107+TO108+TO109</f>
        <v>6057.25695192586</v>
      </c>
      <c r="TP110" s="0" t="n">
        <f aca="false">TP107+TP108+TP109</f>
        <v>5946.85039584013</v>
      </c>
      <c r="TQ110" s="0" t="n">
        <f aca="false">TQ107+TQ108+TQ109</f>
        <v>5773.40219949707</v>
      </c>
      <c r="TR110" s="0" t="n">
        <f aca="false">TR107+TR108+TR109</f>
        <v>6215.27272276565</v>
      </c>
      <c r="TS110" s="0" t="n">
        <f aca="false">TS107+TS108+TS109</f>
        <v>6150.05661518358</v>
      </c>
      <c r="TT110" s="0" t="n">
        <f aca="false">TT107+TT108+TT109</f>
        <v>5969.81642875714</v>
      </c>
      <c r="TU110" s="0" t="n">
        <f aca="false">TU107+TU108+TU109</f>
        <v>6043.95777974209</v>
      </c>
      <c r="TV110" s="0" t="n">
        <f aca="false">TV107+TV108+TV109</f>
        <v>6029.61254111433</v>
      </c>
      <c r="TW110" s="0" t="n">
        <f aca="false">TW107+TW108+TW109</f>
        <v>6066.23104504789</v>
      </c>
      <c r="TX110" s="0" t="n">
        <f aca="false">TX107+TX108+TX109</f>
        <v>6083.03792607106</v>
      </c>
      <c r="TY110" s="0" t="n">
        <f aca="false">TY107+TY108+TY109</f>
        <v>6259.83011246423</v>
      </c>
      <c r="TZ110" s="0" t="n">
        <f aca="false">TZ107+TZ108+TZ109</f>
        <v>5933.9469213226</v>
      </c>
      <c r="UA110" s="0" t="n">
        <f aca="false">UA107+UA108+UA109</f>
        <v>5969.64468236111</v>
      </c>
      <c r="UB110" s="0" t="n">
        <f aca="false">UB107+UB108+UB109</f>
        <v>6095.68155530426</v>
      </c>
      <c r="UC110" s="0" t="n">
        <f aca="false">UC107+UC108+UC109</f>
        <v>5828.07119497148</v>
      </c>
      <c r="UD110" s="0" t="n">
        <f aca="false">UD107+UD108+UD109</f>
        <v>5854.24723786379</v>
      </c>
      <c r="UE110" s="0" t="n">
        <f aca="false">UE107+UE108+UE109</f>
        <v>6001.39568334895</v>
      </c>
      <c r="UF110" s="0" t="n">
        <f aca="false">UF107+UF108+UF109</f>
        <v>5979.52338239171</v>
      </c>
      <c r="UG110" s="0" t="n">
        <f aca="false">UG107+UG108+UG109</f>
        <v>6000.98834768551</v>
      </c>
      <c r="UH110" s="0" t="n">
        <f aca="false">UH107+UH108+UH109</f>
        <v>5979.55127253817</v>
      </c>
      <c r="UI110" s="0" t="n">
        <f aca="false">UI107+UI108+UI109</f>
        <v>6020.70382572307</v>
      </c>
      <c r="UJ110" s="0" t="n">
        <f aca="false">UJ107+UJ108+UJ109</f>
        <v>5966.71424855684</v>
      </c>
      <c r="UK110" s="0" t="n">
        <f aca="false">UK107+UK108+UK109</f>
        <v>6088.09176584418</v>
      </c>
      <c r="UL110" s="0" t="n">
        <f aca="false">UL107+UL108+UL109</f>
        <v>5931.74039177208</v>
      </c>
      <c r="UM110" s="0" t="n">
        <f aca="false">UM107+UM108+UM109</f>
        <v>5802.47341872731</v>
      </c>
      <c r="UN110" s="0" t="n">
        <f aca="false">UN107+UN108+UN109</f>
        <v>5964.71263697088</v>
      </c>
      <c r="UO110" s="0" t="n">
        <f aca="false">UO107+UO108+UO109</f>
        <v>6079.04095021793</v>
      </c>
      <c r="UP110" s="0" t="n">
        <f aca="false">UP107+UP108+UP109</f>
        <v>5912.6748614878</v>
      </c>
      <c r="UQ110" s="0" t="n">
        <f aca="false">UQ107+UQ108+UQ109</f>
        <v>6197.59735601704</v>
      </c>
      <c r="UR110" s="0" t="n">
        <f aca="false">UR107+UR108+UR109</f>
        <v>5982.49312981238</v>
      </c>
      <c r="US110" s="0" t="n">
        <f aca="false">US107+US108+US109</f>
        <v>6062.38266804967</v>
      </c>
      <c r="UT110" s="0" t="n">
        <f aca="false">UT107+UT108+UT109</f>
        <v>6003.60111838331</v>
      </c>
      <c r="UU110" s="0" t="n">
        <f aca="false">UU107+UU108+UU109</f>
        <v>5951.20168707276</v>
      </c>
      <c r="UV110" s="0" t="n">
        <f aca="false">UV107+UV108+UV109</f>
        <v>6136.67517192402</v>
      </c>
      <c r="UW110" s="0" t="n">
        <f aca="false">UW107+UW108+UW109</f>
        <v>6099.9751044588</v>
      </c>
      <c r="UX110" s="0" t="n">
        <f aca="false">UX107+UX108+UX109</f>
        <v>5952.77328515869</v>
      </c>
      <c r="UY110" s="0" t="n">
        <f aca="false">UY107+UY108+UY109</f>
        <v>5690.08163524988</v>
      </c>
      <c r="UZ110" s="0" t="n">
        <f aca="false">UZ107+UZ108+UZ109</f>
        <v>5826.69969880022</v>
      </c>
      <c r="VA110" s="0" t="n">
        <f aca="false">VA107+VA108+VA109</f>
        <v>5918.7435031442</v>
      </c>
      <c r="VB110" s="0" t="n">
        <f aca="false">VB107+VB108+VB109</f>
        <v>5810.78883030429</v>
      </c>
      <c r="VC110" s="0" t="n">
        <f aca="false">VC107+VC108+VC109</f>
        <v>5921.21604897709</v>
      </c>
      <c r="VD110" s="0" t="n">
        <f aca="false">VD107+VD108+VD109</f>
        <v>6045.55854372643</v>
      </c>
      <c r="VE110" s="0" t="n">
        <f aca="false">VE107+VE108+VE109</f>
        <v>5936.95486553317</v>
      </c>
      <c r="VF110" s="0" t="n">
        <f aca="false">VF107+VF108+VF109</f>
        <v>6128.99972760382</v>
      </c>
      <c r="VG110" s="0" t="n">
        <f aca="false">VG107+VG108+VG109</f>
        <v>6084.68353446242</v>
      </c>
      <c r="VH110" s="0" t="n">
        <f aca="false">VH107+VH108+VH109</f>
        <v>6220.37232420035</v>
      </c>
      <c r="VI110" s="0" t="n">
        <f aca="false">VI107+VI108+VI109</f>
        <v>5848.16458497674</v>
      </c>
      <c r="VJ110" s="0" t="n">
        <f aca="false">VJ107+VJ108+VJ109</f>
        <v>6186.27174058473</v>
      </c>
      <c r="VK110" s="0" t="n">
        <f aca="false">VK107+VK108+VK109</f>
        <v>6050.68587397019</v>
      </c>
      <c r="VL110" s="0" t="n">
        <f aca="false">VL107+VL108+VL109</f>
        <v>6032.64240635159</v>
      </c>
      <c r="VM110" s="0" t="n">
        <f aca="false">VM107+VM108+VM109</f>
        <v>5990.42727605133</v>
      </c>
      <c r="VN110" s="0" t="n">
        <f aca="false">VN107+VN108+VN109</f>
        <v>6049.59991245644</v>
      </c>
      <c r="VO110" s="0" t="n">
        <f aca="false">VO107+VO108+VO109</f>
        <v>5824.32595641771</v>
      </c>
      <c r="VP110" s="0" t="n">
        <f aca="false">VP107+VP108+VP109</f>
        <v>5952.85134136562</v>
      </c>
      <c r="VQ110" s="0" t="n">
        <f aca="false">VQ107+VQ108+VQ109</f>
        <v>5844.24691688601</v>
      </c>
      <c r="VR110" s="0" t="n">
        <f aca="false">VR107+VR108+VR109</f>
        <v>5933.09322551159</v>
      </c>
      <c r="VS110" s="0" t="n">
        <f aca="false">VS107+VS108+VS109</f>
        <v>6002.83664169028</v>
      </c>
      <c r="VT110" s="0" t="n">
        <f aca="false">VT107+VT108+VT109</f>
        <v>6043.52263040979</v>
      </c>
      <c r="VU110" s="0" t="n">
        <f aca="false">VU107+VU108+VU109</f>
        <v>6055.25518246462</v>
      </c>
      <c r="VV110" s="0" t="n">
        <f aca="false">VV107+VV108+VV109</f>
        <v>6240.92072750273</v>
      </c>
      <c r="VW110" s="0" t="n">
        <f aca="false">VW107+VW108+VW109</f>
        <v>5942.81567906588</v>
      </c>
      <c r="VX110" s="0" t="n">
        <f aca="false">VX107+VX108+VX109</f>
        <v>6135.31796788706</v>
      </c>
      <c r="VY110" s="0" t="n">
        <f aca="false">VY107+VY108+VY109</f>
        <v>5999.67739038492</v>
      </c>
      <c r="VZ110" s="0" t="n">
        <f aca="false">VZ107+VZ108+VZ109</f>
        <v>5921.86267672603</v>
      </c>
      <c r="WA110" s="0" t="n">
        <f aca="false">WA107+WA108+WA109</f>
        <v>6278.6977196173</v>
      </c>
      <c r="WB110" s="0" t="n">
        <f aca="false">WB107+WB108+WB109</f>
        <v>5943.14951397004</v>
      </c>
      <c r="WC110" s="0" t="n">
        <f aca="false">WC107+WC108+WC109</f>
        <v>5904.1030333187</v>
      </c>
      <c r="WD110" s="0" t="n">
        <f aca="false">WD107+WD108+WD109</f>
        <v>5945.87894482641</v>
      </c>
      <c r="WE110" s="0" t="n">
        <f aca="false">WE107+WE108+WE109</f>
        <v>6049.24051946792</v>
      </c>
      <c r="WF110" s="0" t="n">
        <f aca="false">WF107+WF108+WF109</f>
        <v>5833.42139023574</v>
      </c>
      <c r="WG110" s="0" t="n">
        <f aca="false">WG107+WG108+WG109</f>
        <v>6076.78318297574</v>
      </c>
      <c r="WH110" s="0" t="n">
        <f aca="false">WH107+WH108+WH109</f>
        <v>6041.6589170341</v>
      </c>
      <c r="WI110" s="0" t="n">
        <f aca="false">WI107+WI108+WI109</f>
        <v>5911.41931313522</v>
      </c>
      <c r="WJ110" s="0" t="n">
        <f aca="false">WJ107+WJ108+WJ109</f>
        <v>5947.83098859797</v>
      </c>
      <c r="WK110" s="0" t="n">
        <f aca="false">WK107+WK108+WK109</f>
        <v>6179.03329375157</v>
      </c>
      <c r="WL110" s="0" t="n">
        <f aca="false">WL107+WL108+WL109</f>
        <v>6112.44227578378</v>
      </c>
      <c r="WM110" s="0" t="n">
        <f aca="false">WM107+WM108+WM109</f>
        <v>6040.16631799824</v>
      </c>
      <c r="WN110" s="0" t="n">
        <f aca="false">WN107+WN108+WN109</f>
        <v>6163.60455525485</v>
      </c>
      <c r="WO110" s="0" t="n">
        <f aca="false">WO107+WO108+WO109</f>
        <v>6033.25742788916</v>
      </c>
      <c r="WP110" s="0" t="n">
        <f aca="false">WP107+WP108+WP109</f>
        <v>5970.09330258402</v>
      </c>
      <c r="WQ110" s="0" t="n">
        <f aca="false">WQ107+WQ108+WQ109</f>
        <v>6164.75021275072</v>
      </c>
      <c r="WR110" s="0" t="n">
        <f aca="false">WR107+WR108+WR109</f>
        <v>6062.66165567344</v>
      </c>
      <c r="WS110" s="0" t="n">
        <f aca="false">WS107+WS108+WS109</f>
        <v>5692.42983095611</v>
      </c>
      <c r="WT110" s="0" t="n">
        <f aca="false">WT107+WT108+WT109</f>
        <v>6048.56681642017</v>
      </c>
      <c r="WU110" s="0" t="n">
        <f aca="false">WU107+WU108+WU109</f>
        <v>5942.11005121574</v>
      </c>
      <c r="WV110" s="0" t="n">
        <f aca="false">WV107+WV108+WV109</f>
        <v>5970.67062931299</v>
      </c>
      <c r="WW110" s="0" t="n">
        <f aca="false">WW107+WW108+WW109</f>
        <v>5889.00645670074</v>
      </c>
      <c r="WX110" s="0" t="n">
        <f aca="false">WX107+WX108+WX109</f>
        <v>6032.99567343842</v>
      </c>
      <c r="WY110" s="0" t="n">
        <f aca="false">WY107+WY108+WY109</f>
        <v>5952.28480167706</v>
      </c>
      <c r="WZ110" s="0" t="n">
        <f aca="false">WZ107+WZ108+WZ109</f>
        <v>5994.05941865366</v>
      </c>
      <c r="XA110" s="0" t="n">
        <f aca="false">XA107+XA108+XA109</f>
        <v>5966.33949625895</v>
      </c>
      <c r="XB110" s="0" t="n">
        <f aca="false">XB107+XB108+XB109</f>
        <v>5871.79472802491</v>
      </c>
      <c r="XC110" s="0" t="n">
        <f aca="false">XC107+XC108+XC109</f>
        <v>6132.21972656394</v>
      </c>
      <c r="XD110" s="0" t="n">
        <f aca="false">XD107+XD108+XD109</f>
        <v>6001.49687026995</v>
      </c>
      <c r="XE110" s="0" t="n">
        <f aca="false">XE107+XE108+XE109</f>
        <v>5867.69807607088</v>
      </c>
      <c r="XF110" s="0" t="n">
        <f aca="false">XF107+XF108+XF109</f>
        <v>6219.50577246399</v>
      </c>
      <c r="XG110" s="0" t="n">
        <f aca="false">XG107+XG108+XG109</f>
        <v>6042.4445522486</v>
      </c>
      <c r="XH110" s="0" t="n">
        <f aca="false">XH107+XH108+XH109</f>
        <v>6091.40075880235</v>
      </c>
      <c r="XI110" s="0" t="n">
        <f aca="false">XI107+XI108+XI109</f>
        <v>5820.34220888674</v>
      </c>
      <c r="XJ110" s="0" t="n">
        <f aca="false">XJ107+XJ108+XJ109</f>
        <v>6075.90320813685</v>
      </c>
      <c r="XK110" s="0" t="n">
        <f aca="false">XK107+XK108+XK109</f>
        <v>6006.73063038974</v>
      </c>
      <c r="XL110" s="0" t="n">
        <f aca="false">XL107+XL108+XL109</f>
        <v>6019.92870410866</v>
      </c>
      <c r="XM110" s="0" t="n">
        <f aca="false">XM107+XM108+XM109</f>
        <v>5853.98875980752</v>
      </c>
      <c r="XN110" s="0" t="n">
        <f aca="false">XN107+XN108+XN109</f>
        <v>5948.13678310626</v>
      </c>
      <c r="XO110" s="0" t="n">
        <f aca="false">XO107+XO108+XO109</f>
        <v>5970.08219682751</v>
      </c>
      <c r="XP110" s="0" t="n">
        <f aca="false">XP107+XP108+XP109</f>
        <v>6202.99343228662</v>
      </c>
      <c r="XQ110" s="0" t="n">
        <f aca="false">XQ107+XQ108+XQ109</f>
        <v>6044.68237714248</v>
      </c>
      <c r="XR110" s="0" t="n">
        <f aca="false">XR107+XR108+XR109</f>
        <v>6023.74582449153</v>
      </c>
      <c r="XS110" s="0" t="n">
        <f aca="false">XS107+XS108+XS109</f>
        <v>6113.60527379537</v>
      </c>
      <c r="XT110" s="0" t="n">
        <f aca="false">XT107+XT108+XT109</f>
        <v>5954.31740056042</v>
      </c>
      <c r="XU110" s="0" t="n">
        <f aca="false">XU107+XU108+XU109</f>
        <v>6179.32219489307</v>
      </c>
      <c r="XV110" s="0" t="n">
        <f aca="false">XV107+XV108+XV109</f>
        <v>5856.23100431107</v>
      </c>
      <c r="XW110" s="0" t="n">
        <f aca="false">XW107+XW108+XW109</f>
        <v>5998.74091879481</v>
      </c>
      <c r="XX110" s="0" t="n">
        <f aca="false">XX107+XX108+XX109</f>
        <v>6102.42223989456</v>
      </c>
      <c r="XY110" s="0" t="n">
        <f aca="false">XY107+XY108+XY109</f>
        <v>6062.94608358</v>
      </c>
      <c r="XZ110" s="0" t="n">
        <f aca="false">XZ107+XZ108+XZ109</f>
        <v>5982.94114618956</v>
      </c>
      <c r="YA110" s="0" t="n">
        <f aca="false">YA107+YA108+YA109</f>
        <v>6094.25654794041</v>
      </c>
      <c r="YB110" s="0" t="n">
        <f aca="false">YB107+YB108+YB109</f>
        <v>6057.1284697767</v>
      </c>
      <c r="YC110" s="0" t="n">
        <f aca="false">YC107+YC108+YC109</f>
        <v>6014.92197808133</v>
      </c>
      <c r="YD110" s="0" t="n">
        <f aca="false">YD107+YD108+YD109</f>
        <v>5674.72994855879</v>
      </c>
      <c r="YE110" s="0" t="n">
        <f aca="false">YE107+YE108+YE109</f>
        <v>5731.48954628003</v>
      </c>
      <c r="YF110" s="0" t="n">
        <f aca="false">YF107+YF108+YF109</f>
        <v>6094.2602313001</v>
      </c>
      <c r="YG110" s="0" t="n">
        <f aca="false">YG107+YG108+YG109</f>
        <v>5820.96952096531</v>
      </c>
      <c r="YH110" s="0" t="n">
        <f aca="false">YH107+YH108+YH109</f>
        <v>6369.14554272278</v>
      </c>
      <c r="YI110" s="0" t="n">
        <f aca="false">YI107+YI108+YI109</f>
        <v>5933.61977389123</v>
      </c>
      <c r="YJ110" s="0" t="n">
        <f aca="false">YJ107+YJ108+YJ109</f>
        <v>5816.02510785096</v>
      </c>
      <c r="YK110" s="0" t="n">
        <f aca="false">YK107+YK108+YK109</f>
        <v>6054.17097351176</v>
      </c>
      <c r="YL110" s="0" t="n">
        <f aca="false">YL107+YL108+YL109</f>
        <v>6203.16013680146</v>
      </c>
      <c r="YM110" s="0" t="n">
        <f aca="false">YM107+YM108+YM109</f>
        <v>5998.57559547742</v>
      </c>
      <c r="YN110" s="0" t="n">
        <f aca="false">YN107+YN108+YN109</f>
        <v>5898.15063444191</v>
      </c>
      <c r="YO110" s="0" t="n">
        <f aca="false">YO107+YO108+YO109</f>
        <v>5928.70786231342</v>
      </c>
      <c r="YP110" s="0" t="n">
        <f aca="false">YP107+YP108+YP109</f>
        <v>6239.80481841714</v>
      </c>
      <c r="YQ110" s="0" t="n">
        <f aca="false">YQ107+YQ108+YQ109</f>
        <v>6035.53332353044</v>
      </c>
      <c r="YR110" s="0" t="n">
        <f aca="false">YR107+YR108+YR109</f>
        <v>6143.47136468526</v>
      </c>
      <c r="YS110" s="0" t="n">
        <f aca="false">YS107+YS108+YS109</f>
        <v>5939.35069087828</v>
      </c>
      <c r="YT110" s="0" t="n">
        <f aca="false">YT107+YT108+YT109</f>
        <v>5889.90457261415</v>
      </c>
      <c r="YU110" s="0" t="n">
        <f aca="false">YU107+YU108+YU109</f>
        <v>6016.17877419845</v>
      </c>
      <c r="YV110" s="0" t="n">
        <f aca="false">YV107+YV108+YV109</f>
        <v>5969.98746918679</v>
      </c>
      <c r="YW110" s="0" t="n">
        <f aca="false">YW107+YW108+YW109</f>
        <v>6124.66946087242</v>
      </c>
      <c r="YX110" s="0" t="n">
        <f aca="false">YX107+YX108+YX109</f>
        <v>5989.8191673636</v>
      </c>
      <c r="YY110" s="0" t="n">
        <f aca="false">YY107+YY108+YY109</f>
        <v>5907.07783052924</v>
      </c>
      <c r="YZ110" s="0" t="n">
        <f aca="false">YZ107+YZ108+YZ109</f>
        <v>5943.17683710707</v>
      </c>
      <c r="ZA110" s="0" t="n">
        <f aca="false">ZA107+ZA108+ZA109</f>
        <v>5790.27581753303</v>
      </c>
      <c r="ZB110" s="0" t="n">
        <f aca="false">ZB107+ZB108+ZB109</f>
        <v>5861.51601921047</v>
      </c>
      <c r="ZC110" s="0" t="n">
        <f aca="false">ZC107+ZC108+ZC109</f>
        <v>6114.7218801606</v>
      </c>
      <c r="ZD110" s="0" t="n">
        <f aca="false">ZD107+ZD108+ZD109</f>
        <v>6172.92753206457</v>
      </c>
      <c r="ZE110" s="0" t="n">
        <f aca="false">ZE107+ZE108+ZE109</f>
        <v>6008.09686397037</v>
      </c>
      <c r="ZF110" s="0" t="n">
        <f aca="false">ZF107+ZF108+ZF109</f>
        <v>5928.86985440279</v>
      </c>
      <c r="ZG110" s="0" t="n">
        <f aca="false">ZG107+ZG108+ZG109</f>
        <v>5983.24380837872</v>
      </c>
      <c r="ZH110" s="0" t="n">
        <f aca="false">ZH107+ZH108+ZH109</f>
        <v>6190.54881593199</v>
      </c>
      <c r="ZI110" s="0" t="n">
        <f aca="false">ZI107+ZI108+ZI109</f>
        <v>6039.5832606972</v>
      </c>
      <c r="ZJ110" s="0" t="n">
        <f aca="false">ZJ107+ZJ108+ZJ109</f>
        <v>5952.4061776364</v>
      </c>
      <c r="ZK110" s="0" t="n">
        <f aca="false">ZK107+ZK108+ZK109</f>
        <v>5916.84095502061</v>
      </c>
      <c r="ZL110" s="0" t="n">
        <f aca="false">ZL107+ZL108+ZL109</f>
        <v>5956.00879478533</v>
      </c>
      <c r="ZM110" s="0" t="n">
        <f aca="false">ZM107+ZM108+ZM109</f>
        <v>5863.73090925356</v>
      </c>
      <c r="ZN110" s="0" t="n">
        <f aca="false">ZN107+ZN108+ZN109</f>
        <v>5774.97078615248</v>
      </c>
      <c r="ZO110" s="0" t="n">
        <f aca="false">ZO107+ZO108+ZO109</f>
        <v>5904.30550770132</v>
      </c>
      <c r="ZP110" s="0" t="n">
        <f aca="false">ZP107+ZP108+ZP109</f>
        <v>5750.05506515189</v>
      </c>
      <c r="ZQ110" s="0" t="n">
        <f aca="false">ZQ107+ZQ108+ZQ109</f>
        <v>6016.15868774522</v>
      </c>
      <c r="ZR110" s="0" t="n">
        <f aca="false">ZR107+ZR108+ZR109</f>
        <v>5847.26675581395</v>
      </c>
      <c r="ZS110" s="0" t="n">
        <f aca="false">ZS107+ZS108+ZS109</f>
        <v>6274.48533591351</v>
      </c>
      <c r="ZT110" s="0" t="n">
        <f aca="false">ZT107+ZT108+ZT109</f>
        <v>6057.94640387489</v>
      </c>
      <c r="ZU110" s="0" t="n">
        <f aca="false">ZU107+ZU108+ZU109</f>
        <v>5934.03312770954</v>
      </c>
      <c r="ZV110" s="0" t="n">
        <f aca="false">ZV107+ZV108+ZV109</f>
        <v>6008.61869630217</v>
      </c>
      <c r="ZW110" s="0" t="n">
        <f aca="false">ZW107+ZW108+ZW109</f>
        <v>6033.07828297324</v>
      </c>
      <c r="ZX110" s="0" t="n">
        <f aca="false">ZX107+ZX108+ZX109</f>
        <v>6245.26848309563</v>
      </c>
      <c r="ZY110" s="0" t="n">
        <f aca="false">ZY107+ZY108+ZY109</f>
        <v>5839.24475534923</v>
      </c>
      <c r="ZZ110" s="0" t="n">
        <f aca="false">ZZ107+ZZ108+ZZ109</f>
        <v>6029.37364586786</v>
      </c>
      <c r="AAA110" s="0" t="n">
        <f aca="false">AAA107+AAA108+AAA109</f>
        <v>5939.79039133914</v>
      </c>
      <c r="AAB110" s="0" t="n">
        <f aca="false">AAB107+AAB108+AAB109</f>
        <v>6005.26490313369</v>
      </c>
      <c r="AAC110" s="0" t="n">
        <f aca="false">AAC107+AAC108+AAC109</f>
        <v>5764.61359516195</v>
      </c>
      <c r="AAD110" s="0" t="n">
        <f aca="false">AAD107+AAD108+AAD109</f>
        <v>6102.8414344263</v>
      </c>
      <c r="AAE110" s="0" t="n">
        <f aca="false">AAE107+AAE108+AAE109</f>
        <v>5939.58276588229</v>
      </c>
      <c r="AAF110" s="0" t="n">
        <f aca="false">AAF107+AAF108+AAF109</f>
        <v>6032.48978493964</v>
      </c>
      <c r="AAG110" s="0" t="n">
        <f aca="false">AAG107+AAG108+AAG109</f>
        <v>5963.58927894998</v>
      </c>
      <c r="AAH110" s="0" t="n">
        <f aca="false">AAH107+AAH108+AAH109</f>
        <v>6137.92168968513</v>
      </c>
      <c r="AAI110" s="0" t="n">
        <f aca="false">AAI107+AAI108+AAI109</f>
        <v>5876.03081889477</v>
      </c>
      <c r="AAJ110" s="0" t="n">
        <f aca="false">AAJ107+AAJ108+AAJ109</f>
        <v>6015.26212136059</v>
      </c>
      <c r="AAK110" s="0" t="n">
        <f aca="false">AAK107+AAK108+AAK109</f>
        <v>6165.72798498531</v>
      </c>
      <c r="AAL110" s="0" t="n">
        <f aca="false">AAL107+AAL108+AAL109</f>
        <v>6060.95222694388</v>
      </c>
      <c r="AAM110" s="0" t="n">
        <f aca="false">AAM107+AAM108+AAM109</f>
        <v>5898.20211939327</v>
      </c>
      <c r="AAN110" s="0" t="n">
        <f aca="false">AAN107+AAN108+AAN109</f>
        <v>5854.21708193385</v>
      </c>
      <c r="AAO110" s="0" t="n">
        <f aca="false">AAO107+AAO108+AAO109</f>
        <v>6008.0702492914</v>
      </c>
      <c r="AAP110" s="0" t="n">
        <f aca="false">AAP107+AAP108+AAP109</f>
        <v>5841.14127939789</v>
      </c>
      <c r="AAQ110" s="0" t="n">
        <f aca="false">AAQ107+AAQ108+AAQ109</f>
        <v>5999.6089090216</v>
      </c>
      <c r="AAR110" s="0" t="n">
        <f aca="false">AAR107+AAR108+AAR109</f>
        <v>6242.6206810664</v>
      </c>
      <c r="AAS110" s="0" t="n">
        <f aca="false">AAS107+AAS108+AAS109</f>
        <v>6010.28692784308</v>
      </c>
      <c r="AAT110" s="0" t="n">
        <f aca="false">AAT107+AAT108+AAT109</f>
        <v>5871.62942556045</v>
      </c>
      <c r="AAU110" s="0" t="n">
        <f aca="false">AAU107+AAU108+AAU109</f>
        <v>5861.84336120388</v>
      </c>
      <c r="AAV110" s="0" t="n">
        <f aca="false">AAV107+AAV108+AAV109</f>
        <v>6057.45456596541</v>
      </c>
      <c r="AAW110" s="0" t="n">
        <f aca="false">AAW107+AAW108+AAW109</f>
        <v>6022.31120585154</v>
      </c>
      <c r="AAX110" s="0" t="n">
        <f aca="false">AAX107+AAX108+AAX109</f>
        <v>5962.3549680705</v>
      </c>
      <c r="AAY110" s="0" t="n">
        <f aca="false">AAY107+AAY108+AAY109</f>
        <v>6017.97316840206</v>
      </c>
      <c r="AAZ110" s="0" t="n">
        <f aca="false">AAZ107+AAZ108+AAZ109</f>
        <v>6066.41590441367</v>
      </c>
      <c r="ABA110" s="0" t="n">
        <f aca="false">ABA107+ABA108+ABA109</f>
        <v>6023.14473984889</v>
      </c>
      <c r="ABB110" s="0" t="n">
        <f aca="false">ABB107+ABB108+ABB109</f>
        <v>6074.2410872513</v>
      </c>
      <c r="ABC110" s="0" t="n">
        <f aca="false">ABC107+ABC108+ABC109</f>
        <v>6113.33520281959</v>
      </c>
      <c r="ABD110" s="0" t="n">
        <f aca="false">ABD107+ABD108+ABD109</f>
        <v>5894.16265527533</v>
      </c>
      <c r="ABE110" s="0" t="n">
        <f aca="false">ABE107+ABE108+ABE109</f>
        <v>6053.75614659451</v>
      </c>
      <c r="ABF110" s="0" t="n">
        <f aca="false">ABF107+ABF108+ABF109</f>
        <v>5935.25613241974</v>
      </c>
      <c r="ABG110" s="0" t="n">
        <f aca="false">ABG107+ABG108+ABG109</f>
        <v>5903.52426232999</v>
      </c>
      <c r="ABH110" s="0" t="n">
        <f aca="false">ABH107+ABH108+ABH109</f>
        <v>5932.74265977177</v>
      </c>
      <c r="ABI110" s="0" t="n">
        <f aca="false">ABI107+ABI108+ABI109</f>
        <v>5849.26634017583</v>
      </c>
      <c r="ABJ110" s="0" t="n">
        <f aca="false">ABJ107+ABJ108+ABJ109</f>
        <v>6013.28544391544</v>
      </c>
      <c r="ABK110" s="0" t="n">
        <f aca="false">ABK107+ABK108+ABK109</f>
        <v>5965.70512444721</v>
      </c>
      <c r="ABL110" s="0" t="n">
        <f aca="false">ABL107+ABL108+ABL109</f>
        <v>6034.77872193159</v>
      </c>
      <c r="ABM110" s="0" t="n">
        <f aca="false">ABM107+ABM108+ABM109</f>
        <v>6028.77049153205</v>
      </c>
      <c r="ABN110" s="0" t="n">
        <f aca="false">ABN107+ABN108+ABN109</f>
        <v>5962.39220796993</v>
      </c>
      <c r="ABO110" s="0" t="n">
        <f aca="false">ABO107+ABO108+ABO109</f>
        <v>5846.90748495519</v>
      </c>
      <c r="ABP110" s="0" t="n">
        <f aca="false">ABP107+ABP108+ABP109</f>
        <v>6004.58898821151</v>
      </c>
      <c r="ABQ110" s="0" t="n">
        <f aca="false">ABQ107+ABQ108+ABQ109</f>
        <v>5950.15524464564</v>
      </c>
      <c r="ABR110" s="0" t="n">
        <f aca="false">ABR107+ABR108+ABR109</f>
        <v>5969.95143802877</v>
      </c>
      <c r="ABS110" s="0" t="n">
        <f aca="false">ABS107+ABS108+ABS109</f>
        <v>5769.54578809217</v>
      </c>
      <c r="ABT110" s="0" t="n">
        <f aca="false">ABT107+ABT108+ABT109</f>
        <v>5768.45687247541</v>
      </c>
      <c r="ABU110" s="0" t="n">
        <f aca="false">ABU107+ABU108+ABU109</f>
        <v>5926.08984634806</v>
      </c>
      <c r="ABV110" s="0" t="n">
        <f aca="false">ABV107+ABV108+ABV109</f>
        <v>5819.10955208801</v>
      </c>
      <c r="ABW110" s="0" t="n">
        <f aca="false">ABW107+ABW108+ABW109</f>
        <v>6046.15690664263</v>
      </c>
      <c r="ABX110" s="0" t="n">
        <f aca="false">ABX107+ABX108+ABX109</f>
        <v>5737.09641891292</v>
      </c>
      <c r="ABY110" s="0" t="n">
        <f aca="false">ABY107+ABY108+ABY109</f>
        <v>6004.72582338633</v>
      </c>
      <c r="ABZ110" s="0" t="n">
        <f aca="false">ABZ107+ABZ108+ABZ109</f>
        <v>6030.32995381723</v>
      </c>
      <c r="ACA110" s="0" t="n">
        <f aca="false">ACA107+ACA108+ACA109</f>
        <v>5926.96896647846</v>
      </c>
      <c r="ACB110" s="0" t="n">
        <f aca="false">ACB107+ACB108+ACB109</f>
        <v>5903.08102643255</v>
      </c>
      <c r="ACC110" s="0" t="n">
        <f aca="false">ACC107+ACC108+ACC109</f>
        <v>6022.46786592239</v>
      </c>
      <c r="ACD110" s="0" t="n">
        <f aca="false">ACD107+ACD108+ACD109</f>
        <v>6000.90606122102</v>
      </c>
      <c r="ACE110" s="0" t="n">
        <f aca="false">ACE107+ACE108+ACE109</f>
        <v>6016.07136394636</v>
      </c>
      <c r="ACF110" s="0" t="n">
        <f aca="false">ACF107+ACF108+ACF109</f>
        <v>6178.81494935824</v>
      </c>
      <c r="ACG110" s="0" t="n">
        <f aca="false">ACG107+ACG108+ACG109</f>
        <v>6118.0370260866</v>
      </c>
      <c r="ACH110" s="0" t="n">
        <f aca="false">ACH107+ACH108+ACH109</f>
        <v>5895.58515789354</v>
      </c>
      <c r="ACI110" s="0" t="n">
        <f aca="false">ACI107+ACI108+ACI109</f>
        <v>6097.005462454</v>
      </c>
      <c r="ACJ110" s="0" t="n">
        <f aca="false">ACJ107+ACJ108+ACJ109</f>
        <v>6036.39053600446</v>
      </c>
      <c r="ACK110" s="0" t="n">
        <f aca="false">ACK107+ACK108+ACK109</f>
        <v>5950.28815403124</v>
      </c>
      <c r="ACL110" s="0" t="n">
        <f aca="false">ACL107+ACL108+ACL109</f>
        <v>6237.50447908957</v>
      </c>
      <c r="ACM110" s="0" t="n">
        <f aca="false">ACM107+ACM108+ACM109</f>
        <v>5972.11449561662</v>
      </c>
      <c r="ACN110" s="0" t="n">
        <f aca="false">ACN107+ACN108+ACN109</f>
        <v>5891.00191593921</v>
      </c>
      <c r="ACO110" s="0" t="n">
        <f aca="false">ACO107+ACO108+ACO109</f>
        <v>5923.94919536634</v>
      </c>
      <c r="ACP110" s="0" t="n">
        <f aca="false">ACP107+ACP108+ACP109</f>
        <v>6076.08906290558</v>
      </c>
      <c r="ACQ110" s="0" t="n">
        <f aca="false">ACQ107+ACQ108+ACQ109</f>
        <v>5876.26728266741</v>
      </c>
      <c r="ACR110" s="0" t="n">
        <f aca="false">ACR107+ACR108+ACR109</f>
        <v>5988.89717798705</v>
      </c>
      <c r="ACS110" s="0" t="n">
        <f aca="false">ACS107+ACS108+ACS109</f>
        <v>6012.85373320997</v>
      </c>
      <c r="ACT110" s="0" t="n">
        <f aca="false">ACT107+ACT108+ACT109</f>
        <v>6003.25063516862</v>
      </c>
      <c r="ACU110" s="0" t="n">
        <f aca="false">ACU107+ACU108+ACU109</f>
        <v>5938.80181604735</v>
      </c>
      <c r="ACV110" s="0" t="n">
        <f aca="false">ACV107+ACV108+ACV109</f>
        <v>5908.95523500431</v>
      </c>
      <c r="ACW110" s="0" t="n">
        <f aca="false">ACW107+ACW108+ACW109</f>
        <v>6087.77742649764</v>
      </c>
      <c r="ACX110" s="0" t="n">
        <f aca="false">ACX107+ACX108+ACX109</f>
        <v>6006.33723020942</v>
      </c>
      <c r="ACY110" s="0" t="n">
        <f aca="false">ACY107+ACY108+ACY109</f>
        <v>6239.70464201089</v>
      </c>
      <c r="ACZ110" s="0" t="n">
        <f aca="false">ACZ107+ACZ108+ACZ109</f>
        <v>6070.99165046501</v>
      </c>
      <c r="ADA110" s="0" t="n">
        <f aca="false">ADA107+ADA108+ADA109</f>
        <v>5932.06555576067</v>
      </c>
      <c r="ADB110" s="0" t="n">
        <f aca="false">ADB107+ADB108+ADB109</f>
        <v>6111.2443260739</v>
      </c>
      <c r="ADC110" s="0" t="n">
        <f aca="false">ADC107+ADC108+ADC109</f>
        <v>5939.61365608305</v>
      </c>
      <c r="ADD110" s="0" t="n">
        <f aca="false">ADD107+ADD108+ADD109</f>
        <v>6071.70411529759</v>
      </c>
      <c r="ADE110" s="0" t="n">
        <f aca="false">ADE107+ADE108+ADE109</f>
        <v>6167.51347519183</v>
      </c>
      <c r="ADF110" s="0" t="n">
        <f aca="false">ADF107+ADF108+ADF109</f>
        <v>5912.4960764783</v>
      </c>
      <c r="ADG110" s="0" t="n">
        <f aca="false">ADG107+ADG108+ADG109</f>
        <v>5798.46350415256</v>
      </c>
      <c r="ADH110" s="0" t="n">
        <f aca="false">ADH107+ADH108+ADH109</f>
        <v>5989.34129874626</v>
      </c>
      <c r="ADI110" s="0" t="n">
        <f aca="false">ADI107+ADI108+ADI109</f>
        <v>5872.37164735105</v>
      </c>
      <c r="ADJ110" s="0" t="n">
        <f aca="false">ADJ107+ADJ108+ADJ109</f>
        <v>5828.71495781256</v>
      </c>
      <c r="ADK110" s="0" t="n">
        <f aca="false">ADK107+ADK108+ADK109</f>
        <v>5971.88710253855</v>
      </c>
      <c r="ADL110" s="0" t="n">
        <f aca="false">ADL107+ADL108+ADL109</f>
        <v>5662.77410526434</v>
      </c>
      <c r="ADM110" s="0" t="n">
        <f aca="false">ADM107+ADM108+ADM109</f>
        <v>5974.93032935466</v>
      </c>
      <c r="ADN110" s="0" t="n">
        <f aca="false">ADN107+ADN108+ADN109</f>
        <v>6090.0964007676</v>
      </c>
      <c r="ADO110" s="0" t="n">
        <f aca="false">ADO107+ADO108+ADO109</f>
        <v>6102.84389462876</v>
      </c>
      <c r="ADP110" s="0" t="n">
        <f aca="false">ADP107+ADP108+ADP109</f>
        <v>6025.1455622926</v>
      </c>
      <c r="ADQ110" s="0" t="n">
        <f aca="false">ADQ107+ADQ108+ADQ109</f>
        <v>5944.96021550681</v>
      </c>
      <c r="ADR110" s="0" t="n">
        <f aca="false">ADR107+ADR108+ADR109</f>
        <v>5828.43136195697</v>
      </c>
      <c r="ADS110" s="0" t="n">
        <f aca="false">ADS107+ADS108+ADS109</f>
        <v>5876.50458291127</v>
      </c>
      <c r="ADT110" s="0" t="n">
        <f aca="false">ADT107+ADT108+ADT109</f>
        <v>5812.41819492529</v>
      </c>
      <c r="ADU110" s="0" t="n">
        <f aca="false">ADU107+ADU108+ADU109</f>
        <v>6014.2509975659</v>
      </c>
      <c r="ADV110" s="0" t="n">
        <f aca="false">ADV107+ADV108+ADV109</f>
        <v>6055.56317817467</v>
      </c>
      <c r="ADW110" s="0" t="n">
        <f aca="false">ADW107+ADW108+ADW109</f>
        <v>6153.89466052592</v>
      </c>
      <c r="ADX110" s="0" t="n">
        <f aca="false">ADX107+ADX108+ADX109</f>
        <v>6218.97626211512</v>
      </c>
      <c r="ADY110" s="0" t="n">
        <f aca="false">ADY107+ADY108+ADY109</f>
        <v>5763.48159935888</v>
      </c>
      <c r="ADZ110" s="0" t="n">
        <f aca="false">ADZ107+ADZ108+ADZ109</f>
        <v>5862.8647944149</v>
      </c>
      <c r="AEA110" s="0" t="n">
        <f aca="false">AEA107+AEA108+AEA109</f>
        <v>5987.23611579758</v>
      </c>
      <c r="AEB110" s="0" t="n">
        <f aca="false">AEB107+AEB108+AEB109</f>
        <v>6067.22764487117</v>
      </c>
      <c r="AEC110" s="0" t="n">
        <f aca="false">AEC107+AEC108+AEC109</f>
        <v>5972.13066308867</v>
      </c>
      <c r="AED110" s="0" t="n">
        <f aca="false">AED107+AED108+AED109</f>
        <v>6004.29725533636</v>
      </c>
      <c r="AEE110" s="0" t="n">
        <f aca="false">AEE107+AEE108+AEE109</f>
        <v>6031.48069420229</v>
      </c>
      <c r="AEF110" s="0" t="n">
        <f aca="false">AEF107+AEF108+AEF109</f>
        <v>5874.20494849034</v>
      </c>
      <c r="AEG110" s="0" t="n">
        <f aca="false">AEG107+AEG108+AEG109</f>
        <v>5785.71778083076</v>
      </c>
      <c r="AEH110" s="0" t="n">
        <f aca="false">AEH107+AEH108+AEH109</f>
        <v>5991.53325924605</v>
      </c>
      <c r="AEI110" s="0" t="n">
        <f aca="false">AEI107+AEI108+AEI109</f>
        <v>6108.8724480161</v>
      </c>
      <c r="AEJ110" s="0" t="n">
        <f aca="false">AEJ107+AEJ108+AEJ109</f>
        <v>6027.55427808008</v>
      </c>
      <c r="AEK110" s="0" t="n">
        <f aca="false">AEK107+AEK108+AEK109</f>
        <v>5836.1878966578</v>
      </c>
      <c r="AEL110" s="0" t="n">
        <f aca="false">AEL107+AEL108+AEL109</f>
        <v>5999.34884773253</v>
      </c>
      <c r="AEM110" s="0" t="n">
        <f aca="false">AEM107+AEM108+AEM109</f>
        <v>5957.57065175752</v>
      </c>
      <c r="AEN110" s="0" t="n">
        <f aca="false">AEN107+AEN108+AEN109</f>
        <v>6199.06373223735</v>
      </c>
      <c r="AEO110" s="0" t="n">
        <f aca="false">AEO107+AEO108+AEO109</f>
        <v>5966.44087000952</v>
      </c>
      <c r="AEP110" s="0" t="n">
        <f aca="false">AEP107+AEP108+AEP109</f>
        <v>5899.69737476351</v>
      </c>
      <c r="AEQ110" s="0" t="n">
        <f aca="false">AEQ107+AEQ108+AEQ109</f>
        <v>5983.09637354581</v>
      </c>
      <c r="AER110" s="0" t="n">
        <f aca="false">AER107+AER108+AER109</f>
        <v>6171.67991952369</v>
      </c>
      <c r="AES110" s="0" t="n">
        <f aca="false">AES107+AES108+AES109</f>
        <v>5795.03680911794</v>
      </c>
      <c r="AET110" s="0" t="n">
        <f aca="false">AET107+AET108+AET109</f>
        <v>5999.40216040312</v>
      </c>
      <c r="AEU110" s="0" t="n">
        <f aca="false">AEU107+AEU108+AEU109</f>
        <v>5840.50297998692</v>
      </c>
      <c r="AEV110" s="0" t="n">
        <f aca="false">AEV107+AEV108+AEV109</f>
        <v>5832.71481630529</v>
      </c>
      <c r="AEW110" s="0" t="n">
        <f aca="false">AEW107+AEW108+AEW109</f>
        <v>5772.0792202228</v>
      </c>
      <c r="AEX110" s="0" t="n">
        <f aca="false">AEX107+AEX108+AEX109</f>
        <v>5750.14609057508</v>
      </c>
      <c r="AEY110" s="0" t="n">
        <f aca="false">AEY107+AEY108+AEY109</f>
        <v>6127.90982027767</v>
      </c>
      <c r="AEZ110" s="0" t="n">
        <f aca="false">AEZ107+AEZ108+AEZ109</f>
        <v>5895.91245357026</v>
      </c>
      <c r="AFA110" s="0" t="n">
        <f aca="false">AFA107+AFA108+AFA109</f>
        <v>6092.44304864158</v>
      </c>
      <c r="AFB110" s="0" t="n">
        <f aca="false">AFB107+AFB108+AFB109</f>
        <v>6008.80342846129</v>
      </c>
      <c r="AFC110" s="0" t="n">
        <f aca="false">AFC107+AFC108+AFC109</f>
        <v>6021.21889633863</v>
      </c>
      <c r="AFD110" s="0" t="n">
        <f aca="false">AFD107+AFD108+AFD109</f>
        <v>5912.93737631018</v>
      </c>
      <c r="AFE110" s="0" t="n">
        <f aca="false">AFE107+AFE108+AFE109</f>
        <v>6199.85713411342</v>
      </c>
      <c r="AFF110" s="0" t="n">
        <f aca="false">AFF107+AFF108+AFF109</f>
        <v>5959.01305694911</v>
      </c>
      <c r="AFG110" s="0" t="n">
        <f aca="false">AFG107+AFG108+AFG109</f>
        <v>6063.40842461705</v>
      </c>
      <c r="AFH110" s="0" t="n">
        <f aca="false">AFH107+AFH108+AFH109</f>
        <v>5988.25449966132</v>
      </c>
      <c r="AFI110" s="0" t="n">
        <f aca="false">AFI107+AFI108+AFI109</f>
        <v>5952.34702592576</v>
      </c>
      <c r="AFJ110" s="0" t="n">
        <f aca="false">AFJ107+AFJ108+AFJ109</f>
        <v>6028.12106000663</v>
      </c>
      <c r="AFK110" s="0" t="n">
        <f aca="false">AFK107+AFK108+AFK109</f>
        <v>5971.11132044685</v>
      </c>
      <c r="AFL110" s="0" t="n">
        <f aca="false">AFL107+AFL108+AFL109</f>
        <v>5895.28354267546</v>
      </c>
      <c r="AFM110" s="0" t="n">
        <f aca="false">AFM107+AFM108+AFM109</f>
        <v>6134.59780258129</v>
      </c>
      <c r="AFN110" s="0" t="n">
        <f aca="false">AFN107+AFN108+AFN109</f>
        <v>5962.29785454579</v>
      </c>
      <c r="AFO110" s="0" t="n">
        <f aca="false">AFO107+AFO108+AFO109</f>
        <v>5940.00130501486</v>
      </c>
      <c r="AFP110" s="0" t="n">
        <f aca="false">AFP107+AFP108+AFP109</f>
        <v>5984.9768578678</v>
      </c>
      <c r="AFQ110" s="0" t="n">
        <f aca="false">AFQ107+AFQ108+AFQ109</f>
        <v>5908.46044834866</v>
      </c>
      <c r="AFR110" s="0" t="n">
        <f aca="false">AFR107+AFR108+AFR109</f>
        <v>5846.99981530973</v>
      </c>
      <c r="AFS110" s="0" t="n">
        <f aca="false">AFS107+AFS108+AFS109</f>
        <v>6144.64279647852</v>
      </c>
      <c r="AFT110" s="0" t="n">
        <f aca="false">AFT107+AFT108+AFT109</f>
        <v>6200.56575359909</v>
      </c>
      <c r="AFU110" s="0" t="n">
        <f aca="false">AFU107+AFU108+AFU109</f>
        <v>5886.01106242498</v>
      </c>
      <c r="AFV110" s="0" t="n">
        <f aca="false">AFV107+AFV108+AFV109</f>
        <v>6133.71802414492</v>
      </c>
      <c r="AFW110" s="0" t="n">
        <f aca="false">AFW107+AFW108+AFW109</f>
        <v>6020.70417205385</v>
      </c>
      <c r="AFX110" s="0" t="n">
        <f aca="false">AFX107+AFX108+AFX109</f>
        <v>6154.80205476612</v>
      </c>
      <c r="AFY110" s="0" t="n">
        <f aca="false">AFY107+AFY108+AFY109</f>
        <v>5991.09446340684</v>
      </c>
      <c r="AFZ110" s="0" t="n">
        <f aca="false">AFZ107+AFZ108+AFZ109</f>
        <v>6052.20440786985</v>
      </c>
      <c r="AGA110" s="0" t="n">
        <f aca="false">AGA107+AGA108+AGA109</f>
        <v>6078.27113895611</v>
      </c>
      <c r="AGB110" s="0" t="n">
        <f aca="false">AGB107+AGB108+AGB109</f>
        <v>5867.60328993455</v>
      </c>
      <c r="AGC110" s="0" t="n">
        <f aca="false">AGC107+AGC108+AGC109</f>
        <v>6014.93846634355</v>
      </c>
      <c r="AGD110" s="0" t="n">
        <f aca="false">AGD107+AGD108+AGD109</f>
        <v>5713.76758385073</v>
      </c>
      <c r="AGE110" s="0" t="n">
        <f aca="false">AGE107+AGE108+AGE109</f>
        <v>6158.26287553396</v>
      </c>
      <c r="AGF110" s="0" t="n">
        <f aca="false">AGF107+AGF108+AGF109</f>
        <v>6036.94308109635</v>
      </c>
      <c r="AGG110" s="0" t="n">
        <f aca="false">AGG107+AGG108+AGG109</f>
        <v>6056.18735658338</v>
      </c>
      <c r="AGH110" s="0" t="n">
        <f aca="false">AGH107+AGH108+AGH109</f>
        <v>6082.18219961846</v>
      </c>
      <c r="AGI110" s="0" t="n">
        <f aca="false">AGI107+AGI108+AGI109</f>
        <v>6143.0567601093</v>
      </c>
      <c r="AGJ110" s="0" t="n">
        <f aca="false">AGJ107+AGJ108+AGJ109</f>
        <v>6159.12666525849</v>
      </c>
      <c r="AGK110" s="0" t="n">
        <f aca="false">AGK107+AGK108+AGK109</f>
        <v>6055.95491077097</v>
      </c>
      <c r="AGL110" s="0" t="n">
        <f aca="false">AGL107+AGL108+AGL109</f>
        <v>6131.74393879585</v>
      </c>
      <c r="AGM110" s="0" t="n">
        <f aca="false">AGM107+AGM108+AGM109</f>
        <v>5882.22989386122</v>
      </c>
      <c r="AGN110" s="0" t="n">
        <f aca="false">AGN107+AGN108+AGN109</f>
        <v>5999.3672912702</v>
      </c>
      <c r="AGO110" s="0" t="n">
        <f aca="false">AGO107+AGO108+AGO109</f>
        <v>6077.34937343719</v>
      </c>
      <c r="AGP110" s="0" t="n">
        <f aca="false">AGP107+AGP108+AGP109</f>
        <v>6085.08320650743</v>
      </c>
      <c r="AGQ110" s="0" t="n">
        <f aca="false">AGQ107+AGQ108+AGQ109</f>
        <v>5850.51710282504</v>
      </c>
      <c r="AGR110" s="0" t="n">
        <f aca="false">AGR107+AGR108+AGR109</f>
        <v>6016.60810564048</v>
      </c>
      <c r="AGS110" s="0" t="n">
        <f aca="false">AGS107+AGS108+AGS109</f>
        <v>5899.30334748079</v>
      </c>
      <c r="AGT110" s="0" t="n">
        <f aca="false">AGT107+AGT108+AGT109</f>
        <v>6153.13208623956</v>
      </c>
      <c r="AGU110" s="0" t="n">
        <f aca="false">AGU107+AGU108+AGU109</f>
        <v>5954.38872018172</v>
      </c>
      <c r="AGV110" s="0" t="n">
        <f aca="false">AGV107+AGV108+AGV109</f>
        <v>5874.75231820091</v>
      </c>
      <c r="AGW110" s="0" t="n">
        <f aca="false">AGW107+AGW108+AGW109</f>
        <v>6115.79657322581</v>
      </c>
      <c r="AGX110" s="0" t="n">
        <f aca="false">AGX107+AGX108+AGX109</f>
        <v>6114.00136172148</v>
      </c>
      <c r="AGY110" s="0" t="n">
        <f aca="false">AGY107+AGY108+AGY109</f>
        <v>5987.47886481095</v>
      </c>
      <c r="AGZ110" s="0" t="n">
        <f aca="false">AGZ107+AGZ108+AGZ109</f>
        <v>6071.0779179267</v>
      </c>
      <c r="AHA110" s="0" t="n">
        <f aca="false">AHA107+AHA108+AHA109</f>
        <v>6276.10742078573</v>
      </c>
      <c r="AHB110" s="0" t="n">
        <f aca="false">AHB107+AHB108+AHB109</f>
        <v>5972.56639134273</v>
      </c>
      <c r="AHC110" s="0" t="n">
        <f aca="false">AHC107+AHC108+AHC109</f>
        <v>6187.38369103756</v>
      </c>
      <c r="AHD110" s="0" t="n">
        <f aca="false">AHD107+AHD108+AHD109</f>
        <v>6041.64445923276</v>
      </c>
      <c r="AHE110" s="0" t="n">
        <f aca="false">AHE107+AHE108+AHE109</f>
        <v>5938.26591887195</v>
      </c>
      <c r="AHF110" s="0" t="n">
        <f aca="false">AHF107+AHF108+AHF109</f>
        <v>6217.5120469492</v>
      </c>
      <c r="AHG110" s="0" t="n">
        <f aca="false">AHG107+AHG108+AHG109</f>
        <v>5908.90188932999</v>
      </c>
      <c r="AHH110" s="0" t="n">
        <f aca="false">AHH107+AHH108+AHH109</f>
        <v>5809.18114015948</v>
      </c>
      <c r="AHI110" s="0" t="n">
        <f aca="false">AHI107+AHI108+AHI109</f>
        <v>6097.17899605535</v>
      </c>
      <c r="AHJ110" s="0" t="n">
        <f aca="false">AHJ107+AHJ108+AHJ109</f>
        <v>5924.87890422448</v>
      </c>
      <c r="AHK110" s="0" t="n">
        <f aca="false">AHK107+AHK108+AHK109</f>
        <v>6078.42638345147</v>
      </c>
      <c r="AHL110" s="0" t="n">
        <f aca="false">AHL107+AHL108+AHL109</f>
        <v>6060.15560904584</v>
      </c>
      <c r="AHM110" s="0" t="n">
        <f aca="false">AHM107+AHM108+AHM109</f>
        <v>5985.29940294147</v>
      </c>
      <c r="AHN110" s="0" t="n">
        <f aca="false">AHN107+AHN108+AHN109</f>
        <v>6070.25846550833</v>
      </c>
      <c r="AHO110" s="0" t="n">
        <f aca="false">AHO107+AHO108+AHO109</f>
        <v>5968.42393316121</v>
      </c>
      <c r="AHP110" s="0" t="n">
        <f aca="false">AHP107+AHP108+AHP109</f>
        <v>6258.02104178543</v>
      </c>
      <c r="AHQ110" s="0" t="n">
        <f aca="false">AHQ107+AHQ108+AHQ109</f>
        <v>6026.60954197814</v>
      </c>
      <c r="AHR110" s="0" t="n">
        <f aca="false">AHR107+AHR108+AHR109</f>
        <v>6164.12202607157</v>
      </c>
      <c r="AHS110" s="0" t="n">
        <f aca="false">AHS107+AHS108+AHS109</f>
        <v>5902.57949632647</v>
      </c>
      <c r="AHT110" s="0" t="n">
        <f aca="false">AHT107+AHT108+AHT109</f>
        <v>6025.81380271734</v>
      </c>
      <c r="AHU110" s="0" t="n">
        <f aca="false">AHU107+AHU108+AHU109</f>
        <v>5978.01782794743</v>
      </c>
      <c r="AHV110" s="0" t="n">
        <f aca="false">AHV107+AHV108+AHV109</f>
        <v>5914.64589142776</v>
      </c>
      <c r="AHW110" s="0" t="n">
        <f aca="false">AHW107+AHW108+AHW109</f>
        <v>5896.84010683194</v>
      </c>
      <c r="AHX110" s="0" t="n">
        <f aca="false">AHX107+AHX108+AHX109</f>
        <v>6065.32981794825</v>
      </c>
      <c r="AHY110" s="0" t="n">
        <f aca="false">AHY107+AHY108+AHY109</f>
        <v>6053.39851232694</v>
      </c>
      <c r="AHZ110" s="0" t="n">
        <f aca="false">AHZ107+AHZ108+AHZ109</f>
        <v>5779.44562077298</v>
      </c>
      <c r="AIA110" s="0" t="n">
        <f aca="false">AIA107+AIA108+AIA109</f>
        <v>6033.62902286871</v>
      </c>
      <c r="AIB110" s="0" t="n">
        <f aca="false">AIB107+AIB108+AIB109</f>
        <v>5916.66860258194</v>
      </c>
      <c r="AIC110" s="0" t="n">
        <f aca="false">AIC107+AIC108+AIC109</f>
        <v>5959.40895234768</v>
      </c>
      <c r="AID110" s="0" t="n">
        <f aca="false">AID107+AID108+AID109</f>
        <v>6183.35296407368</v>
      </c>
      <c r="AIE110" s="0" t="n">
        <f aca="false">AIE107+AIE108+AIE109</f>
        <v>6028.1134539774</v>
      </c>
      <c r="AIF110" s="0" t="n">
        <f aca="false">AIF107+AIF108+AIF109</f>
        <v>5872.79520171253</v>
      </c>
      <c r="AIG110" s="0" t="n">
        <f aca="false">AIG107+AIG108+AIG109</f>
        <v>5956.84151614087</v>
      </c>
      <c r="AIH110" s="0" t="n">
        <f aca="false">AIH107+AIH108+AIH109</f>
        <v>5799.63869942137</v>
      </c>
      <c r="AII110" s="0" t="n">
        <f aca="false">AII107+AII108+AII109</f>
        <v>5985.76768135358</v>
      </c>
      <c r="AIJ110" s="0" t="n">
        <f aca="false">AIJ107+AIJ108+AIJ109</f>
        <v>5971.91659631178</v>
      </c>
      <c r="AIK110" s="0" t="n">
        <f aca="false">AIK107+AIK108+AIK109</f>
        <v>6108.0316763785</v>
      </c>
      <c r="AIL110" s="0" t="n">
        <f aca="false">AIL107+AIL108+AIL109</f>
        <v>5993.15325088023</v>
      </c>
      <c r="AIM110" s="0" t="n">
        <f aca="false">AIM107+AIM108+AIM109</f>
        <v>5937.61395110245</v>
      </c>
      <c r="AIN110" s="0" t="n">
        <f aca="false">AIN107+AIN108+AIN109</f>
        <v>5969.4663402389</v>
      </c>
      <c r="AIO110" s="0" t="n">
        <f aca="false">AIO107+AIO108+AIO109</f>
        <v>6068.87787149578</v>
      </c>
      <c r="AIP110" s="0" t="n">
        <f aca="false">AIP107+AIP108+AIP109</f>
        <v>6138.88652288111</v>
      </c>
      <c r="AIQ110" s="0" t="n">
        <f aca="false">AIQ107+AIQ108+AIQ109</f>
        <v>6000.87802929258</v>
      </c>
      <c r="AIR110" s="0" t="n">
        <f aca="false">AIR107+AIR108+AIR109</f>
        <v>5992.2764894078</v>
      </c>
      <c r="AIS110" s="0" t="n">
        <f aca="false">AIS107+AIS108+AIS109</f>
        <v>6113.2748169006</v>
      </c>
      <c r="AIT110" s="0" t="n">
        <f aca="false">AIT107+AIT108+AIT109</f>
        <v>6049.91546127999</v>
      </c>
      <c r="AIU110" s="0" t="n">
        <f aca="false">AIU107+AIU108+AIU109</f>
        <v>5840.9302120184</v>
      </c>
      <c r="AIV110" s="0" t="n">
        <f aca="false">AIV107+AIV108+AIV109</f>
        <v>6012.27931774642</v>
      </c>
      <c r="AIW110" s="0" t="n">
        <f aca="false">AIW107+AIW108+AIW109</f>
        <v>6375.87214168833</v>
      </c>
      <c r="AIX110" s="0" t="n">
        <f aca="false">AIX107+AIX108+AIX109</f>
        <v>5943.74759172301</v>
      </c>
      <c r="AIY110" s="0" t="n">
        <f aca="false">AIY107+AIY108+AIY109</f>
        <v>5984.97611434351</v>
      </c>
      <c r="AIZ110" s="0" t="n">
        <f aca="false">AIZ107+AIZ108+AIZ109</f>
        <v>6044.19780297175</v>
      </c>
      <c r="AJA110" s="0" t="n">
        <f aca="false">AJA107+AJA108+AJA109</f>
        <v>6150.81769932001</v>
      </c>
      <c r="AJB110" s="0" t="n">
        <f aca="false">AJB107+AJB108+AJB109</f>
        <v>6102.17700092972</v>
      </c>
      <c r="AJC110" s="0" t="n">
        <f aca="false">AJC107+AJC108+AJC109</f>
        <v>5977.25516408646</v>
      </c>
      <c r="AJD110" s="0" t="n">
        <f aca="false">AJD107+AJD108+AJD109</f>
        <v>5843.23916135341</v>
      </c>
      <c r="AJE110" s="0" t="n">
        <f aca="false">AJE107+AJE108+AJE109</f>
        <v>6105.70883781714</v>
      </c>
      <c r="AJF110" s="0" t="n">
        <f aca="false">AJF107+AJF108+AJF109</f>
        <v>6087.69503360971</v>
      </c>
      <c r="AJG110" s="0" t="n">
        <f aca="false">AJG107+AJG108+AJG109</f>
        <v>5610.69659857419</v>
      </c>
      <c r="AJH110" s="0" t="n">
        <f aca="false">AJH107+AJH108+AJH109</f>
        <v>5958.2522989457</v>
      </c>
      <c r="AJI110" s="0" t="n">
        <f aca="false">AJI107+AJI108+AJI109</f>
        <v>6052.50322414198</v>
      </c>
      <c r="AJJ110" s="0" t="n">
        <f aca="false">AJJ107+AJJ108+AJJ109</f>
        <v>6024.84045810272</v>
      </c>
      <c r="AJK110" s="0" t="n">
        <f aca="false">AJK107+AJK108+AJK109</f>
        <v>6050.67402314485</v>
      </c>
      <c r="AJL110" s="0" t="n">
        <f aca="false">AJL107+AJL108+AJL109</f>
        <v>6078.93047380551</v>
      </c>
      <c r="AJM110" s="0" t="n">
        <f aca="false">AJM107+AJM108+AJM109</f>
        <v>6049.1316520369</v>
      </c>
      <c r="AJN110" s="0" t="n">
        <f aca="false">AJN107+AJN108+AJN109</f>
        <v>6105.0991904576</v>
      </c>
      <c r="AJO110" s="0" t="n">
        <f aca="false">AJO107+AJO108+AJO109</f>
        <v>6052.75314410121</v>
      </c>
      <c r="AJP110" s="0" t="n">
        <f aca="false">AJP107+AJP108+AJP109</f>
        <v>6164.5345925942</v>
      </c>
      <c r="AJQ110" s="0" t="n">
        <f aca="false">AJQ107+AJQ108+AJQ109</f>
        <v>6002.61178868562</v>
      </c>
      <c r="AJR110" s="0" t="n">
        <f aca="false">AJR107+AJR108+AJR109</f>
        <v>5916.78234955214</v>
      </c>
      <c r="AJS110" s="0" t="n">
        <f aca="false">AJS107+AJS108+AJS109</f>
        <v>5974.78878420755</v>
      </c>
      <c r="AJT110" s="0" t="n">
        <f aca="false">AJT107+AJT108+AJT109</f>
        <v>5885.65609122357</v>
      </c>
      <c r="AJU110" s="0" t="n">
        <f aca="false">AJU107+AJU108+AJU109</f>
        <v>6247.62375896042</v>
      </c>
      <c r="AJV110" s="0" t="n">
        <f aca="false">AJV107+AJV108+AJV109</f>
        <v>5933.80772694519</v>
      </c>
      <c r="AJW110" s="0" t="n">
        <f aca="false">AJW107+AJW108+AJW109</f>
        <v>6023.98190894895</v>
      </c>
      <c r="AJX110" s="0" t="n">
        <f aca="false">AJX107+AJX108+AJX109</f>
        <v>5934.1489380731</v>
      </c>
      <c r="AJY110" s="0" t="n">
        <f aca="false">AJY107+AJY108+AJY109</f>
        <v>6039.51387826133</v>
      </c>
      <c r="AJZ110" s="0" t="n">
        <f aca="false">AJZ107+AJZ108+AJZ109</f>
        <v>5816.99842784916</v>
      </c>
      <c r="AKA110" s="0" t="n">
        <f aca="false">AKA107+AKA108+AKA109</f>
        <v>6090.42066036376</v>
      </c>
      <c r="AKB110" s="0" t="n">
        <f aca="false">AKB107+AKB108+AKB109</f>
        <v>5822.13950155558</v>
      </c>
      <c r="AKC110" s="0" t="n">
        <f aca="false">AKC107+AKC108+AKC109</f>
        <v>6078.16465271749</v>
      </c>
      <c r="AKD110" s="0" t="n">
        <f aca="false">AKD107+AKD108+AKD109</f>
        <v>5867.31611803652</v>
      </c>
      <c r="AKE110" s="0" t="n">
        <f aca="false">AKE107+AKE108+AKE109</f>
        <v>6077.24180821029</v>
      </c>
      <c r="AKF110" s="0" t="n">
        <f aca="false">AKF107+AKF108+AKF109</f>
        <v>6117.50281072854</v>
      </c>
      <c r="AKG110" s="0" t="n">
        <f aca="false">AKG107+AKG108+AKG109</f>
        <v>5922.06763322285</v>
      </c>
      <c r="AKH110" s="0" t="n">
        <f aca="false">AKH107+AKH108+AKH109</f>
        <v>6100.44848864551</v>
      </c>
      <c r="AKI110" s="0" t="n">
        <f aca="false">AKI107+AKI108+AKI109</f>
        <v>5846.09669244915</v>
      </c>
      <c r="AKJ110" s="0" t="n">
        <f aca="false">AKJ107+AKJ108+AKJ109</f>
        <v>5740.09121652875</v>
      </c>
      <c r="AKK110" s="0" t="n">
        <f aca="false">AKK107+AKK108+AKK109</f>
        <v>5829.9341269943</v>
      </c>
      <c r="AKL110" s="0" t="n">
        <f aca="false">AKL107+AKL108+AKL109</f>
        <v>5895.09086968266</v>
      </c>
      <c r="AKM110" s="0" t="n">
        <f aca="false">AKM107+AKM108+AKM109</f>
        <v>6049.68553799054</v>
      </c>
      <c r="AKN110" s="0" t="n">
        <f aca="false">AKN107+AKN108+AKN109</f>
        <v>6047.74778389133</v>
      </c>
      <c r="AKO110" s="0" t="n">
        <f aca="false">AKO107+AKO108+AKO109</f>
        <v>6041.25821761131</v>
      </c>
      <c r="AKP110" s="0" t="n">
        <f aca="false">AKP107+AKP108+AKP109</f>
        <v>5821.60258770904</v>
      </c>
      <c r="AKQ110" s="0" t="n">
        <f aca="false">AKQ107+AKQ108+AKQ109</f>
        <v>6047.23677810704</v>
      </c>
      <c r="AKR110" s="0" t="n">
        <f aca="false">AKR107+AKR108+AKR109</f>
        <v>6023.35599289157</v>
      </c>
      <c r="AKS110" s="0" t="n">
        <f aca="false">AKS107+AKS108+AKS109</f>
        <v>5968.33334522906</v>
      </c>
      <c r="AKT110" s="0" t="n">
        <f aca="false">AKT107+AKT108+AKT109</f>
        <v>6065.40642798431</v>
      </c>
      <c r="AKU110" s="0" t="n">
        <f aca="false">AKU107+AKU108+AKU109</f>
        <v>5932.09882673055</v>
      </c>
      <c r="AKV110" s="0" t="n">
        <f aca="false">AKV107+AKV108+AKV109</f>
        <v>6040.40582883893</v>
      </c>
      <c r="AKW110" s="0" t="n">
        <f aca="false">AKW107+AKW108+AKW109</f>
        <v>6011.00445561228</v>
      </c>
      <c r="AKX110" s="0" t="n">
        <f aca="false">AKX107+AKX108+AKX109</f>
        <v>5916.51628510649</v>
      </c>
      <c r="AKY110" s="0" t="n">
        <f aca="false">AKY107+AKY108+AKY109</f>
        <v>6219.04176802095</v>
      </c>
      <c r="AKZ110" s="0" t="n">
        <f aca="false">AKZ107+AKZ108+AKZ109</f>
        <v>5797.52211751694</v>
      </c>
      <c r="ALA110" s="0" t="n">
        <f aca="false">ALA107+ALA108+ALA109</f>
        <v>6041.7561937219</v>
      </c>
      <c r="ALB110" s="0" t="n">
        <f aca="false">ALB107+ALB108+ALB109</f>
        <v>6110.47771423309</v>
      </c>
      <c r="ALC110" s="0" t="n">
        <f aca="false">ALC107+ALC108+ALC109</f>
        <v>6041.85676537463</v>
      </c>
      <c r="ALD110" s="0" t="n">
        <f aca="false">ALD107+ALD108+ALD109</f>
        <v>6008.77665624336</v>
      </c>
      <c r="ALE110" s="0" t="n">
        <f aca="false">ALE107+ALE108+ALE109</f>
        <v>5907.870615056</v>
      </c>
      <c r="ALF110" s="0" t="n">
        <f aca="false">ALF107+ALF108+ALF109</f>
        <v>5801.65673103142</v>
      </c>
      <c r="ALG110" s="0" t="n">
        <f aca="false">ALG107+ALG108+ALG109</f>
        <v>6125.49768703029</v>
      </c>
      <c r="ALH110" s="0" t="n">
        <f aca="false">ALH107+ALH108+ALH109</f>
        <v>6183.36556368479</v>
      </c>
      <c r="ALI110" s="0" t="n">
        <f aca="false">ALI107+ALI108+ALI109</f>
        <v>6032.31885013234</v>
      </c>
      <c r="ALJ110" s="0" t="n">
        <f aca="false">ALJ107+ALJ108+ALJ109</f>
        <v>6059.04950996747</v>
      </c>
      <c r="ALK110" s="0" t="n">
        <f aca="false">ALK107+ALK108+ALK109</f>
        <v>5953.58176045506</v>
      </c>
      <c r="ALL110" s="0" t="n">
        <f aca="false">ALL107+ALL108+ALL109</f>
        <v>5858.33315451031</v>
      </c>
      <c r="ALM110" s="0" t="n">
        <f aca="false">ALM107+ALM108+ALM109</f>
        <v>5898.62262392004</v>
      </c>
    </row>
    <row r="111" customFormat="false" ht="14.5" hidden="false" customHeight="false" outlineLevel="0" collapsed="false">
      <c r="A111" s="10"/>
    </row>
    <row r="112" customFormat="false" ht="14.5" hidden="false" customHeight="false" outlineLevel="0" collapsed="false">
      <c r="A112" s="119" t="s">
        <v>45</v>
      </c>
      <c r="B112" s="120" t="n">
        <f aca="false">B91+PV($E$50,$F$15,-B104,-B110)</f>
        <v>4123.84552826141</v>
      </c>
      <c r="C112" s="120" t="n">
        <f aca="false">C91+PV($E$50,$F$15,-C104,-C110)</f>
        <v>3504.55276812893</v>
      </c>
      <c r="D112" s="120" t="n">
        <f aca="false">D91+PV($E$50,$F$15,-D104,-D110)</f>
        <v>243.58200254529</v>
      </c>
      <c r="E112" s="120" t="n">
        <f aca="false">E91+PV($E$50,$F$15,-E104,-E110)</f>
        <v>3128.45778857757</v>
      </c>
      <c r="F112" s="120" t="n">
        <f aca="false">F91+PV($E$50,$F$15,-F104,-F110)</f>
        <v>3806.23431158584</v>
      </c>
      <c r="G112" s="120" t="n">
        <f aca="false">G91+PV($E$50,$F$15,-G104,-G110)</f>
        <v>2936.31912722057</v>
      </c>
      <c r="H112" s="120" t="n">
        <f aca="false">H91+PV($E$50,$F$15,-H104,-H110)</f>
        <v>3102.9626573372</v>
      </c>
      <c r="I112" s="120" t="n">
        <f aca="false">I91+PV($E$50,$F$15,-I104,-I110)</f>
        <v>691.7419566235</v>
      </c>
      <c r="J112" s="120" t="n">
        <f aca="false">J91+PV($E$50,$F$15,-J104,-J110)</f>
        <v>3227.78013472131</v>
      </c>
      <c r="K112" s="120" t="n">
        <f aca="false">K91+PV($E$50,$F$15,-K104,-K110)</f>
        <v>4331.02700799944</v>
      </c>
      <c r="L112" s="120" t="n">
        <f aca="false">L91+PV($E$50,$F$15,-L104,-L110)</f>
        <v>3473.92325960019</v>
      </c>
      <c r="M112" s="120" t="n">
        <f aca="false">M91+PV($E$50,$F$15,-M104,-M110)</f>
        <v>2640.21704659094</v>
      </c>
      <c r="N112" s="120" t="n">
        <f aca="false">N91+PV($E$50,$F$15,-N104,-N110)</f>
        <v>4847.07521242237</v>
      </c>
      <c r="O112" s="120" t="n">
        <f aca="false">O91+PV($E$50,$F$15,-O104,-O110)</f>
        <v>5414.07480373957</v>
      </c>
      <c r="P112" s="120" t="n">
        <f aca="false">P91+PV($E$50,$F$15,-P104,-P110)</f>
        <v>2567.91220509935</v>
      </c>
      <c r="Q112" s="120" t="n">
        <f aca="false">Q91+PV($E$50,$F$15,-Q104,-Q110)</f>
        <v>4412.04921352426</v>
      </c>
      <c r="R112" s="120" t="n">
        <f aca="false">R91+PV($E$50,$F$15,-R104,-R110)</f>
        <v>5375.82958546357</v>
      </c>
      <c r="S112" s="120" t="n">
        <f aca="false">S91+PV($E$50,$F$15,-S104,-S110)</f>
        <v>4321.14822436754</v>
      </c>
      <c r="T112" s="120" t="n">
        <f aca="false">T91+PV($E$50,$F$15,-T104,-T110)</f>
        <v>4736.68151724647</v>
      </c>
      <c r="U112" s="120" t="n">
        <f aca="false">U91+PV($E$50,$F$15,-U104,-U110)</f>
        <v>5257.82707571292</v>
      </c>
      <c r="V112" s="120" t="n">
        <f aca="false">V91+PV($E$50,$F$15,-V104,-V110)</f>
        <v>4439.52003732661</v>
      </c>
      <c r="W112" s="120" t="n">
        <f aca="false">W91+PV($E$50,$F$15,-W104,-W110)</f>
        <v>2768.20437554747</v>
      </c>
      <c r="X112" s="120" t="n">
        <f aca="false">X91+PV($E$50,$F$15,-X104,-X110)</f>
        <v>2192.78775057872</v>
      </c>
      <c r="Y112" s="120" t="n">
        <f aca="false">Y91+PV($E$50,$F$15,-Y104,-Y110)</f>
        <v>3848.87783897626</v>
      </c>
      <c r="Z112" s="120" t="n">
        <f aca="false">Z91+PV($E$50,$F$15,-Z104,-Z110)</f>
        <v>-24.9164382442614</v>
      </c>
      <c r="AA112" s="120" t="n">
        <f aca="false">AA91+PV($E$50,$F$15,-AA104,-AA110)</f>
        <v>-106.566751311553</v>
      </c>
      <c r="AB112" s="120" t="n">
        <f aca="false">AB91+PV($E$50,$F$15,-AB104,-AB110)</f>
        <v>-1027.16263223582</v>
      </c>
      <c r="AC112" s="120" t="n">
        <f aca="false">AC91+PV($E$50,$F$15,-AC104,-AC110)</f>
        <v>5412.2260378368</v>
      </c>
      <c r="AD112" s="120" t="n">
        <f aca="false">AD91+PV($E$50,$F$15,-AD104,-AD110)</f>
        <v>1418.62732354575</v>
      </c>
      <c r="AE112" s="120" t="n">
        <f aca="false">AE91+PV($E$50,$F$15,-AE104,-AE110)</f>
        <v>3629.15512508913</v>
      </c>
      <c r="AF112" s="120" t="n">
        <f aca="false">AF91+PV($E$50,$F$15,-AF104,-AF110)</f>
        <v>3845.16479633932</v>
      </c>
      <c r="AG112" s="120" t="n">
        <f aca="false">AG91+PV($E$50,$F$15,-AG104,-AG110)</f>
        <v>2912.40807790702</v>
      </c>
      <c r="AH112" s="120" t="n">
        <f aca="false">AH91+PV($E$50,$F$15,-AH104,-AH110)</f>
        <v>3840.93032719709</v>
      </c>
      <c r="AI112" s="120" t="n">
        <f aca="false">AI91+PV($E$50,$F$15,-AI104,-AI110)</f>
        <v>4213.19496857587</v>
      </c>
      <c r="AJ112" s="120" t="n">
        <f aca="false">AJ91+PV($E$50,$F$15,-AJ104,-AJ110)</f>
        <v>1262.45801097322</v>
      </c>
      <c r="AK112" s="120" t="n">
        <f aca="false">AK91+PV($E$50,$F$15,-AK104,-AK110)</f>
        <v>2925.05828460636</v>
      </c>
      <c r="AL112" s="120" t="n">
        <f aca="false">AL91+PV($E$50,$F$15,-AL104,-AL110)</f>
        <v>1282.6528758999</v>
      </c>
      <c r="AM112" s="120" t="n">
        <f aca="false">AM91+PV($E$50,$F$15,-AM104,-AM110)</f>
        <v>1011.30212741523</v>
      </c>
      <c r="AN112" s="120" t="n">
        <f aca="false">AN91+PV($E$50,$F$15,-AN104,-AN110)</f>
        <v>3862.94632249776</v>
      </c>
      <c r="AO112" s="120" t="n">
        <f aca="false">AO91+PV($E$50,$F$15,-AO104,-AO110)</f>
        <v>5961.78103724444</v>
      </c>
      <c r="AP112" s="120" t="n">
        <f aca="false">AP91+PV($E$50,$F$15,-AP104,-AP110)</f>
        <v>4213.64100627299</v>
      </c>
      <c r="AQ112" s="120" t="n">
        <f aca="false">AQ91+PV($E$50,$F$15,-AQ104,-AQ110)</f>
        <v>3216.44568420637</v>
      </c>
      <c r="AR112" s="120" t="n">
        <f aca="false">AR91+PV($E$50,$F$15,-AR104,-AR110)</f>
        <v>5694.65370634275</v>
      </c>
      <c r="AS112" s="120" t="n">
        <f aca="false">AS91+PV($E$50,$F$15,-AS104,-AS110)</f>
        <v>3363.97768102841</v>
      </c>
      <c r="AT112" s="120" t="n">
        <f aca="false">AT91+PV($E$50,$F$15,-AT104,-AT110)</f>
        <v>3827.61522027959</v>
      </c>
      <c r="AU112" s="120" t="n">
        <f aca="false">AU91+PV($E$50,$F$15,-AU104,-AU110)</f>
        <v>3095.58153698771</v>
      </c>
      <c r="AV112" s="120" t="n">
        <f aca="false">AV91+PV($E$50,$F$15,-AV104,-AV110)</f>
        <v>1211.19104291052</v>
      </c>
      <c r="AW112" s="120" t="n">
        <f aca="false">AW91+PV($E$50,$F$15,-AW104,-AW110)</f>
        <v>3596.56229184319</v>
      </c>
      <c r="AX112" s="120" t="n">
        <f aca="false">AX91+PV($E$50,$F$15,-AX104,-AX110)</f>
        <v>5190.96645435659</v>
      </c>
      <c r="AY112" s="120" t="n">
        <f aca="false">AY91+PV($E$50,$F$15,-AY104,-AY110)</f>
        <v>3063.04178294652</v>
      </c>
      <c r="AZ112" s="120" t="n">
        <f aca="false">AZ91+PV($E$50,$F$15,-AZ104,-AZ110)</f>
        <v>-208.917548739977</v>
      </c>
      <c r="BA112" s="120" t="n">
        <f aca="false">BA91+PV($E$50,$F$15,-BA104,-BA110)</f>
        <v>3827.99360620234</v>
      </c>
      <c r="BB112" s="120" t="n">
        <f aca="false">BB91+PV($E$50,$F$15,-BB104,-BB110)</f>
        <v>5202.86800624647</v>
      </c>
      <c r="BC112" s="120" t="n">
        <f aca="false">BC91+PV($E$50,$F$15,-BC104,-BC110)</f>
        <v>2993.56779592254</v>
      </c>
      <c r="BD112" s="120" t="n">
        <f aca="false">BD91+PV($E$50,$F$15,-BD104,-BD110)</f>
        <v>4648.65511422213</v>
      </c>
      <c r="BE112" s="120" t="n">
        <f aca="false">BE91+PV($E$50,$F$15,-BE104,-BE110)</f>
        <v>3625.82206889757</v>
      </c>
      <c r="BF112" s="120" t="n">
        <f aca="false">BF91+PV($E$50,$F$15,-BF104,-BF110)</f>
        <v>4261.85171303632</v>
      </c>
      <c r="BG112" s="120" t="n">
        <f aca="false">BG91+PV($E$50,$F$15,-BG104,-BG110)</f>
        <v>1130.80117017461</v>
      </c>
      <c r="BH112" s="120" t="n">
        <f aca="false">BH91+PV($E$50,$F$15,-BH104,-BH110)</f>
        <v>4309.21346573944</v>
      </c>
      <c r="BI112" s="120" t="n">
        <f aca="false">BI91+PV($E$50,$F$15,-BI104,-BI110)</f>
        <v>-106.460494157611</v>
      </c>
      <c r="BJ112" s="120" t="n">
        <f aca="false">BJ91+PV($E$50,$F$15,-BJ104,-BJ110)</f>
        <v>2748.76114983403</v>
      </c>
      <c r="BK112" s="120" t="n">
        <f aca="false">BK91+PV($E$50,$F$15,-BK104,-BK110)</f>
        <v>2378.77359777167</v>
      </c>
      <c r="BL112" s="120" t="n">
        <f aca="false">BL91+PV($E$50,$F$15,-BL104,-BL110)</f>
        <v>2844.41948668078</v>
      </c>
      <c r="BM112" s="120" t="n">
        <f aca="false">BM91+PV($E$50,$F$15,-BM104,-BM110)</f>
        <v>5464.80883181977</v>
      </c>
      <c r="BN112" s="120" t="n">
        <f aca="false">BN91+PV($E$50,$F$15,-BN104,-BN110)</f>
        <v>5570.64661461007</v>
      </c>
      <c r="BO112" s="120" t="n">
        <f aca="false">BO91+PV($E$50,$F$15,-BO104,-BO110)</f>
        <v>4296.64614299545</v>
      </c>
      <c r="BP112" s="120" t="n">
        <f aca="false">BP91+PV($E$50,$F$15,-BP104,-BP110)</f>
        <v>3896.06151713911</v>
      </c>
      <c r="BQ112" s="120" t="n">
        <f aca="false">BQ91+PV($E$50,$F$15,-BQ104,-BQ110)</f>
        <v>4502.77265855199</v>
      </c>
      <c r="BR112" s="120" t="n">
        <f aca="false">BR91+PV($E$50,$F$15,-BR104,-BR110)</f>
        <v>3727.12875262937</v>
      </c>
      <c r="BS112" s="120" t="n">
        <f aca="false">BS91+PV($E$50,$F$15,-BS104,-BS110)</f>
        <v>4678.42529752314</v>
      </c>
      <c r="BT112" s="120" t="n">
        <f aca="false">BT91+PV($E$50,$F$15,-BT104,-BT110)</f>
        <v>2681.37047894448</v>
      </c>
      <c r="BU112" s="120" t="n">
        <f aca="false">BU91+PV($E$50,$F$15,-BU104,-BU110)</f>
        <v>5386.38725575928</v>
      </c>
      <c r="BV112" s="120" t="n">
        <f aca="false">BV91+PV($E$50,$F$15,-BV104,-BV110)</f>
        <v>2899.39551743236</v>
      </c>
      <c r="BW112" s="120" t="n">
        <f aca="false">BW91+PV($E$50,$F$15,-BW104,-BW110)</f>
        <v>4198.93930317377</v>
      </c>
      <c r="BX112" s="120" t="n">
        <f aca="false">BX91+PV($E$50,$F$15,-BX104,-BX110)</f>
        <v>4567.16254579139</v>
      </c>
      <c r="BY112" s="120" t="n">
        <f aca="false">BY91+PV($E$50,$F$15,-BY104,-BY110)</f>
        <v>4828.47683496479</v>
      </c>
      <c r="BZ112" s="120" t="n">
        <f aca="false">BZ91+PV($E$50,$F$15,-BZ104,-BZ110)</f>
        <v>1714.15672930049</v>
      </c>
      <c r="CA112" s="120" t="n">
        <f aca="false">CA91+PV($E$50,$F$15,-CA104,-CA110)</f>
        <v>2583.48232488779</v>
      </c>
      <c r="CB112" s="120" t="n">
        <f aca="false">CB91+PV($E$50,$F$15,-CB104,-CB110)</f>
        <v>5477.00483220206</v>
      </c>
      <c r="CC112" s="120" t="n">
        <f aca="false">CC91+PV($E$50,$F$15,-CC104,-CC110)</f>
        <v>-20.6890992574135</v>
      </c>
      <c r="CD112" s="120" t="n">
        <f aca="false">CD91+PV($E$50,$F$15,-CD104,-CD110)</f>
        <v>-2706.67945884825</v>
      </c>
      <c r="CE112" s="120" t="n">
        <f aca="false">CE91+PV($E$50,$F$15,-CE104,-CE110)</f>
        <v>1840.70861434174</v>
      </c>
      <c r="CF112" s="120" t="n">
        <f aca="false">CF91+PV($E$50,$F$15,-CF104,-CF110)</f>
        <v>1870.16897133113</v>
      </c>
      <c r="CG112" s="120" t="n">
        <f aca="false">CG91+PV($E$50,$F$15,-CG104,-CG110)</f>
        <v>6314.88450747649</v>
      </c>
      <c r="CH112" s="120" t="n">
        <f aca="false">CH91+PV($E$50,$F$15,-CH104,-CH110)</f>
        <v>4254.6282482284</v>
      </c>
      <c r="CI112" s="120" t="n">
        <f aca="false">CI91+PV($E$50,$F$15,-CI104,-CI110)</f>
        <v>1211.82537298257</v>
      </c>
      <c r="CJ112" s="120" t="n">
        <f aca="false">CJ91+PV($E$50,$F$15,-CJ104,-CJ110)</f>
        <v>-477.544196439208</v>
      </c>
      <c r="CK112" s="120" t="n">
        <f aca="false">CK91+PV($E$50,$F$15,-CK104,-CK110)</f>
        <v>4095.27825824876</v>
      </c>
      <c r="CL112" s="120" t="n">
        <f aca="false">CL91+PV($E$50,$F$15,-CL104,-CL110)</f>
        <v>4389.96926315856</v>
      </c>
      <c r="CM112" s="120" t="n">
        <f aca="false">CM91+PV($E$50,$F$15,-CM104,-CM110)</f>
        <v>1301.66031230203</v>
      </c>
      <c r="CN112" s="120" t="n">
        <f aca="false">CN91+PV($E$50,$F$15,-CN104,-CN110)</f>
        <v>2398.20887891378</v>
      </c>
      <c r="CO112" s="120" t="n">
        <f aca="false">CO91+PV($E$50,$F$15,-CO104,-CO110)</f>
        <v>2933.26679732951</v>
      </c>
      <c r="CP112" s="120" t="n">
        <f aca="false">CP91+PV($E$50,$F$15,-CP104,-CP110)</f>
        <v>5331.13834499469</v>
      </c>
      <c r="CQ112" s="120" t="n">
        <f aca="false">CQ91+PV($E$50,$F$15,-CQ104,-CQ110)</f>
        <v>3980.79899257165</v>
      </c>
      <c r="CR112" s="120" t="n">
        <f aca="false">CR91+PV($E$50,$F$15,-CR104,-CR110)</f>
        <v>3208.50509565565</v>
      </c>
      <c r="CS112" s="120" t="n">
        <f aca="false">CS91+PV($E$50,$F$15,-CS104,-CS110)</f>
        <v>3315.40241886519</v>
      </c>
      <c r="CT112" s="120" t="n">
        <f aca="false">CT91+PV($E$50,$F$15,-CT104,-CT110)</f>
        <v>5440.44136581444</v>
      </c>
      <c r="CU112" s="120" t="n">
        <f aca="false">CU91+PV($E$50,$F$15,-CU104,-CU110)</f>
        <v>4455.45566237828</v>
      </c>
      <c r="CV112" s="120" t="n">
        <f aca="false">CV91+PV($E$50,$F$15,-CV104,-CV110)</f>
        <v>5217.60250358457</v>
      </c>
      <c r="CW112" s="120" t="n">
        <f aca="false">CW91+PV($E$50,$F$15,-CW104,-CW110)</f>
        <v>3666.82526395042</v>
      </c>
      <c r="CX112" s="120" t="n">
        <f aca="false">CX91+PV($E$50,$F$15,-CX104,-CX110)</f>
        <v>3108.43358380038</v>
      </c>
      <c r="CY112" s="120" t="n">
        <f aca="false">CY91+PV($E$50,$F$15,-CY104,-CY110)</f>
        <v>3255.02945162571</v>
      </c>
      <c r="CZ112" s="120" t="n">
        <f aca="false">CZ91+PV($E$50,$F$15,-CZ104,-CZ110)</f>
        <v>3777.69207806605</v>
      </c>
      <c r="DA112" s="120" t="n">
        <f aca="false">DA91+PV($E$50,$F$15,-DA104,-DA110)</f>
        <v>5271.13973996184</v>
      </c>
      <c r="DB112" s="120" t="n">
        <f aca="false">DB91+PV($E$50,$F$15,-DB104,-DB110)</f>
        <v>4559.18176463615</v>
      </c>
      <c r="DC112" s="120" t="n">
        <f aca="false">DC91+PV($E$50,$F$15,-DC104,-DC110)</f>
        <v>642.039707662467</v>
      </c>
      <c r="DD112" s="120" t="n">
        <f aca="false">DD91+PV($E$50,$F$15,-DD104,-DD110)</f>
        <v>3395.39974054862</v>
      </c>
      <c r="DE112" s="120" t="n">
        <f aca="false">DE91+PV($E$50,$F$15,-DE104,-DE110)</f>
        <v>3889.86679810263</v>
      </c>
      <c r="DF112" s="120" t="n">
        <f aca="false">DF91+PV($E$50,$F$15,-DF104,-DF110)</f>
        <v>4092.43247668519</v>
      </c>
      <c r="DG112" s="120" t="n">
        <f aca="false">DG91+PV($E$50,$F$15,-DG104,-DG110)</f>
        <v>4305.94686363991</v>
      </c>
      <c r="DH112" s="120" t="n">
        <f aca="false">DH91+PV($E$50,$F$15,-DH104,-DH110)</f>
        <v>4482.71092973035</v>
      </c>
      <c r="DI112" s="120" t="n">
        <f aca="false">DI91+PV($E$50,$F$15,-DI104,-DI110)</f>
        <v>5086.19697795189</v>
      </c>
      <c r="DJ112" s="120" t="n">
        <f aca="false">DJ91+PV($E$50,$F$15,-DJ104,-DJ110)</f>
        <v>3618.09430807457</v>
      </c>
      <c r="DK112" s="120" t="n">
        <f aca="false">DK91+PV($E$50,$F$15,-DK104,-DK110)</f>
        <v>2699.02445784852</v>
      </c>
      <c r="DL112" s="120" t="n">
        <f aca="false">DL91+PV($E$50,$F$15,-DL104,-DL110)</f>
        <v>2209.12591416554</v>
      </c>
      <c r="DM112" s="120" t="n">
        <f aca="false">DM91+PV($E$50,$F$15,-DM104,-DM110)</f>
        <v>2490.8359924569</v>
      </c>
      <c r="DN112" s="120" t="n">
        <f aca="false">DN91+PV($E$50,$F$15,-DN104,-DN110)</f>
        <v>1533.42617793929</v>
      </c>
      <c r="DO112" s="120" t="n">
        <f aca="false">DO91+PV($E$50,$F$15,-DO104,-DO110)</f>
        <v>-1776.77133440751</v>
      </c>
      <c r="DP112" s="120" t="n">
        <f aca="false">DP91+PV($E$50,$F$15,-DP104,-DP110)</f>
        <v>1445.83012393352</v>
      </c>
      <c r="DQ112" s="120" t="n">
        <f aca="false">DQ91+PV($E$50,$F$15,-DQ104,-DQ110)</f>
        <v>4102.25681900877</v>
      </c>
      <c r="DR112" s="120" t="n">
        <f aca="false">DR91+PV($E$50,$F$15,-DR104,-DR110)</f>
        <v>2289.71260007695</v>
      </c>
      <c r="DS112" s="120" t="n">
        <f aca="false">DS91+PV($E$50,$F$15,-DS104,-DS110)</f>
        <v>5671.62201149566</v>
      </c>
      <c r="DT112" s="120" t="n">
        <f aca="false">DT91+PV($E$50,$F$15,-DT104,-DT110)</f>
        <v>1145.21182907825</v>
      </c>
      <c r="DU112" s="120" t="n">
        <f aca="false">DU91+PV($E$50,$F$15,-DU104,-DU110)</f>
        <v>2012.40275904762</v>
      </c>
      <c r="DV112" s="120" t="n">
        <f aca="false">DV91+PV($E$50,$F$15,-DV104,-DV110)</f>
        <v>2250.71088532724</v>
      </c>
      <c r="DW112" s="120" t="n">
        <f aca="false">DW91+PV($E$50,$F$15,-DW104,-DW110)</f>
        <v>5671.54152743629</v>
      </c>
      <c r="DX112" s="120" t="n">
        <f aca="false">DX91+PV($E$50,$F$15,-DX104,-DX110)</f>
        <v>4943.73950949993</v>
      </c>
      <c r="DY112" s="120" t="n">
        <f aca="false">DY91+PV($E$50,$F$15,-DY104,-DY110)</f>
        <v>3001.92435408669</v>
      </c>
      <c r="DZ112" s="120" t="n">
        <f aca="false">DZ91+PV($E$50,$F$15,-DZ104,-DZ110)</f>
        <v>5578.12009122841</v>
      </c>
      <c r="EA112" s="120" t="n">
        <f aca="false">EA91+PV($E$50,$F$15,-EA104,-EA110)</f>
        <v>4561.54380682443</v>
      </c>
      <c r="EB112" s="120" t="n">
        <f aca="false">EB91+PV($E$50,$F$15,-EB104,-EB110)</f>
        <v>4401.5117518339</v>
      </c>
      <c r="EC112" s="120" t="n">
        <f aca="false">EC91+PV($E$50,$F$15,-EC104,-EC110)</f>
        <v>3449.96098425429</v>
      </c>
      <c r="ED112" s="120" t="n">
        <f aca="false">ED91+PV($E$50,$F$15,-ED104,-ED110)</f>
        <v>5559.94400946726</v>
      </c>
      <c r="EE112" s="120" t="n">
        <f aca="false">EE91+PV($E$50,$F$15,-EE104,-EE110)</f>
        <v>1361.05208908773</v>
      </c>
      <c r="EF112" s="120" t="n">
        <f aca="false">EF91+PV($E$50,$F$15,-EF104,-EF110)</f>
        <v>3174.71771566947</v>
      </c>
      <c r="EG112" s="120" t="n">
        <f aca="false">EG91+PV($E$50,$F$15,-EG104,-EG110)</f>
        <v>4658.55880590357</v>
      </c>
      <c r="EH112" s="120" t="n">
        <f aca="false">EH91+PV($E$50,$F$15,-EH104,-EH110)</f>
        <v>3861.19656932841</v>
      </c>
      <c r="EI112" s="120" t="n">
        <f aca="false">EI91+PV($E$50,$F$15,-EI104,-EI110)</f>
        <v>5255.08089852928</v>
      </c>
      <c r="EJ112" s="120" t="n">
        <f aca="false">EJ91+PV($E$50,$F$15,-EJ104,-EJ110)</f>
        <v>2517.15807599295</v>
      </c>
      <c r="EK112" s="120" t="n">
        <f aca="false">EK91+PV($E$50,$F$15,-EK104,-EK110)</f>
        <v>3135.81708213699</v>
      </c>
      <c r="EL112" s="120" t="n">
        <f aca="false">EL91+PV($E$50,$F$15,-EL104,-EL110)</f>
        <v>1087.31249373316</v>
      </c>
      <c r="EM112" s="120" t="n">
        <f aca="false">EM91+PV($E$50,$F$15,-EM104,-EM110)</f>
        <v>3784.17263292424</v>
      </c>
      <c r="EN112" s="120" t="n">
        <f aca="false">EN91+PV($E$50,$F$15,-EN104,-EN110)</f>
        <v>1314.80754212836</v>
      </c>
      <c r="EO112" s="120" t="n">
        <f aca="false">EO91+PV($E$50,$F$15,-EO104,-EO110)</f>
        <v>3791.24095699673</v>
      </c>
      <c r="EP112" s="120" t="n">
        <f aca="false">EP91+PV($E$50,$F$15,-EP104,-EP110)</f>
        <v>4125.63310389115</v>
      </c>
      <c r="EQ112" s="120" t="n">
        <f aca="false">EQ91+PV($E$50,$F$15,-EQ104,-EQ110)</f>
        <v>4606.65641264245</v>
      </c>
      <c r="ER112" s="120" t="n">
        <f aca="false">ER91+PV($E$50,$F$15,-ER104,-ER110)</f>
        <v>2714.8478934396</v>
      </c>
      <c r="ES112" s="120" t="n">
        <f aca="false">ES91+PV($E$50,$F$15,-ES104,-ES110)</f>
        <v>2048.89635146798</v>
      </c>
      <c r="ET112" s="120" t="n">
        <f aca="false">ET91+PV($E$50,$F$15,-ET104,-ET110)</f>
        <v>3155.88431713155</v>
      </c>
      <c r="EU112" s="120" t="n">
        <f aca="false">EU91+PV($E$50,$F$15,-EU104,-EU110)</f>
        <v>577.812627811527</v>
      </c>
      <c r="EV112" s="120" t="n">
        <f aca="false">EV91+PV($E$50,$F$15,-EV104,-EV110)</f>
        <v>2257.69229611601</v>
      </c>
      <c r="EW112" s="120" t="n">
        <f aca="false">EW91+PV($E$50,$F$15,-EW104,-EW110)</f>
        <v>5217.88583057849</v>
      </c>
      <c r="EX112" s="120" t="n">
        <f aca="false">EX91+PV($E$50,$F$15,-EX104,-EX110)</f>
        <v>6582.52789148235</v>
      </c>
      <c r="EY112" s="120" t="n">
        <f aca="false">EY91+PV($E$50,$F$15,-EY104,-EY110)</f>
        <v>-2192.22517888071</v>
      </c>
      <c r="EZ112" s="120" t="n">
        <f aca="false">EZ91+PV($E$50,$F$15,-EZ104,-EZ110)</f>
        <v>3504.41035729264</v>
      </c>
      <c r="FA112" s="120" t="n">
        <f aca="false">FA91+PV($E$50,$F$15,-FA104,-FA110)</f>
        <v>832.178072887298</v>
      </c>
      <c r="FB112" s="120" t="n">
        <f aca="false">FB91+PV($E$50,$F$15,-FB104,-FB110)</f>
        <v>2698.93629813378</v>
      </c>
      <c r="FC112" s="120" t="n">
        <f aca="false">FC91+PV($E$50,$F$15,-FC104,-FC110)</f>
        <v>1758.37462026847</v>
      </c>
      <c r="FD112" s="120" t="n">
        <f aca="false">FD91+PV($E$50,$F$15,-FD104,-FD110)</f>
        <v>849.35187821601</v>
      </c>
      <c r="FE112" s="120" t="n">
        <f aca="false">FE91+PV($E$50,$F$15,-FE104,-FE110)</f>
        <v>6319.01895690035</v>
      </c>
      <c r="FF112" s="120" t="n">
        <f aca="false">FF91+PV($E$50,$F$15,-FF104,-FF110)</f>
        <v>4520.63167163025</v>
      </c>
      <c r="FG112" s="120" t="n">
        <f aca="false">FG91+PV($E$50,$F$15,-FG104,-FG110)</f>
        <v>3599.26086265939</v>
      </c>
      <c r="FH112" s="120" t="n">
        <f aca="false">FH91+PV($E$50,$F$15,-FH104,-FH110)</f>
        <v>3512.45806631953</v>
      </c>
      <c r="FI112" s="120" t="n">
        <f aca="false">FI91+PV($E$50,$F$15,-FI104,-FI110)</f>
        <v>3955.79006203742</v>
      </c>
      <c r="FJ112" s="120" t="n">
        <f aca="false">FJ91+PV($E$50,$F$15,-FJ104,-FJ110)</f>
        <v>2989.10237901786</v>
      </c>
      <c r="FK112" s="120" t="n">
        <f aca="false">FK91+PV($E$50,$F$15,-FK104,-FK110)</f>
        <v>456.160748732078</v>
      </c>
      <c r="FL112" s="120" t="n">
        <f aca="false">FL91+PV($E$50,$F$15,-FL104,-FL110)</f>
        <v>4237.36412650836</v>
      </c>
      <c r="FM112" s="120" t="n">
        <f aca="false">FM91+PV($E$50,$F$15,-FM104,-FM110)</f>
        <v>-414.529617404136</v>
      </c>
      <c r="FN112" s="120" t="n">
        <f aca="false">FN91+PV($E$50,$F$15,-FN104,-FN110)</f>
        <v>1332.6817620633</v>
      </c>
      <c r="FO112" s="120" t="n">
        <f aca="false">FO91+PV($E$50,$F$15,-FO104,-FO110)</f>
        <v>3461.36631318854</v>
      </c>
      <c r="FP112" s="120" t="n">
        <f aca="false">FP91+PV($E$50,$F$15,-FP104,-FP110)</f>
        <v>4488.54684446976</v>
      </c>
      <c r="FQ112" s="120" t="n">
        <f aca="false">FQ91+PV($E$50,$F$15,-FQ104,-FQ110)</f>
        <v>4066.58015661273</v>
      </c>
      <c r="FR112" s="120" t="n">
        <f aca="false">FR91+PV($E$50,$F$15,-FR104,-FR110)</f>
        <v>4563.20936649938</v>
      </c>
      <c r="FS112" s="120" t="n">
        <f aca="false">FS91+PV($E$50,$F$15,-FS104,-FS110)</f>
        <v>4014.22244556955</v>
      </c>
      <c r="FT112" s="120" t="n">
        <f aca="false">FT91+PV($E$50,$F$15,-FT104,-FT110)</f>
        <v>3180.71080898321</v>
      </c>
      <c r="FU112" s="120" t="n">
        <f aca="false">FU91+PV($E$50,$F$15,-FU104,-FU110)</f>
        <v>1322.96768560143</v>
      </c>
      <c r="FV112" s="120" t="n">
        <f aca="false">FV91+PV($E$50,$F$15,-FV104,-FV110)</f>
        <v>1510.22832981107</v>
      </c>
      <c r="FW112" s="120" t="n">
        <f aca="false">FW91+PV($E$50,$F$15,-FW104,-FW110)</f>
        <v>2059.48878771195</v>
      </c>
      <c r="FX112" s="120" t="n">
        <f aca="false">FX91+PV($E$50,$F$15,-FX104,-FX110)</f>
        <v>3339.90914428261</v>
      </c>
      <c r="FY112" s="120" t="n">
        <f aca="false">FY91+PV($E$50,$F$15,-FY104,-FY110)</f>
        <v>1737.60786361623</v>
      </c>
      <c r="FZ112" s="120" t="n">
        <f aca="false">FZ91+PV($E$50,$F$15,-FZ104,-FZ110)</f>
        <v>4876.89456867641</v>
      </c>
      <c r="GA112" s="120" t="n">
        <f aca="false">GA91+PV($E$50,$F$15,-GA104,-GA110)</f>
        <v>3873.8323704924</v>
      </c>
      <c r="GB112" s="120" t="n">
        <f aca="false">GB91+PV($E$50,$F$15,-GB104,-GB110)</f>
        <v>3551.59526832447</v>
      </c>
      <c r="GC112" s="120" t="n">
        <f aca="false">GC91+PV($E$50,$F$15,-GC104,-GC110)</f>
        <v>5624.75797786821</v>
      </c>
      <c r="GD112" s="120" t="n">
        <f aca="false">GD91+PV($E$50,$F$15,-GD104,-GD110)</f>
        <v>4120.31500519424</v>
      </c>
      <c r="GE112" s="120" t="n">
        <f aca="false">GE91+PV($E$50,$F$15,-GE104,-GE110)</f>
        <v>2691.54481552422</v>
      </c>
      <c r="GF112" s="120" t="n">
        <f aca="false">GF91+PV($E$50,$F$15,-GF104,-GF110)</f>
        <v>3144.40686744755</v>
      </c>
      <c r="GG112" s="120" t="n">
        <f aca="false">GG91+PV($E$50,$F$15,-GG104,-GG110)</f>
        <v>4246.17682175265</v>
      </c>
      <c r="GH112" s="120" t="n">
        <f aca="false">GH91+PV($E$50,$F$15,-GH104,-GH110)</f>
        <v>3456.26232865333</v>
      </c>
      <c r="GI112" s="120" t="n">
        <f aca="false">GI91+PV($E$50,$F$15,-GI104,-GI110)</f>
        <v>1289.41206320265</v>
      </c>
      <c r="GJ112" s="120" t="n">
        <f aca="false">GJ91+PV($E$50,$F$15,-GJ104,-GJ110)</f>
        <v>6246.65739337606</v>
      </c>
      <c r="GK112" s="120" t="n">
        <f aca="false">GK91+PV($E$50,$F$15,-GK104,-GK110)</f>
        <v>5371.40437618324</v>
      </c>
      <c r="GL112" s="120" t="n">
        <f aca="false">GL91+PV($E$50,$F$15,-GL104,-GL110)</f>
        <v>4266.43198949822</v>
      </c>
      <c r="GM112" s="120" t="n">
        <f aca="false">GM91+PV($E$50,$F$15,-GM104,-GM110)</f>
        <v>3370.33004936138</v>
      </c>
      <c r="GN112" s="120" t="n">
        <f aca="false">GN91+PV($E$50,$F$15,-GN104,-GN110)</f>
        <v>4047.9682881003</v>
      </c>
      <c r="GO112" s="120" t="n">
        <f aca="false">GO91+PV($E$50,$F$15,-GO104,-GO110)</f>
        <v>4970.47713717223</v>
      </c>
      <c r="GP112" s="120" t="n">
        <f aca="false">GP91+PV($E$50,$F$15,-GP104,-GP110)</f>
        <v>1865.12622510947</v>
      </c>
      <c r="GQ112" s="120" t="n">
        <f aca="false">GQ91+PV($E$50,$F$15,-GQ104,-GQ110)</f>
        <v>4992.54824403818</v>
      </c>
      <c r="GR112" s="120" t="n">
        <f aca="false">GR91+PV($E$50,$F$15,-GR104,-GR110)</f>
        <v>1011.19748942946</v>
      </c>
      <c r="GS112" s="120" t="n">
        <f aca="false">GS91+PV($E$50,$F$15,-GS104,-GS110)</f>
        <v>3470.06063933021</v>
      </c>
      <c r="GT112" s="120" t="n">
        <f aca="false">GT91+PV($E$50,$F$15,-GT104,-GT110)</f>
        <v>2737.95131939341</v>
      </c>
      <c r="GU112" s="120" t="n">
        <f aca="false">GU91+PV($E$50,$F$15,-GU104,-GU110)</f>
        <v>4936.62120450096</v>
      </c>
      <c r="GV112" s="120" t="n">
        <f aca="false">GV91+PV($E$50,$F$15,-GV104,-GV110)</f>
        <v>2186.49976088427</v>
      </c>
      <c r="GW112" s="120" t="n">
        <f aca="false">GW91+PV($E$50,$F$15,-GW104,-GW110)</f>
        <v>4692.86354049387</v>
      </c>
      <c r="GX112" s="120" t="n">
        <f aca="false">GX91+PV($E$50,$F$15,-GX104,-GX110)</f>
        <v>3708.84260186126</v>
      </c>
      <c r="GY112" s="120" t="n">
        <f aca="false">GY91+PV($E$50,$F$15,-GY104,-GY110)</f>
        <v>4252.29191382448</v>
      </c>
      <c r="GZ112" s="120" t="n">
        <f aca="false">GZ91+PV($E$50,$F$15,-GZ104,-GZ110)</f>
        <v>2073.08469295981</v>
      </c>
      <c r="HA112" s="120" t="n">
        <f aca="false">HA91+PV($E$50,$F$15,-HA104,-HA110)</f>
        <v>2963.89470479952</v>
      </c>
      <c r="HB112" s="120" t="n">
        <f aca="false">HB91+PV($E$50,$F$15,-HB104,-HB110)</f>
        <v>4329.04182541314</v>
      </c>
      <c r="HC112" s="120" t="n">
        <f aca="false">HC91+PV($E$50,$F$15,-HC104,-HC110)</f>
        <v>4826.96568693316</v>
      </c>
      <c r="HD112" s="120" t="n">
        <f aca="false">HD91+PV($E$50,$F$15,-HD104,-HD110)</f>
        <v>507.19300764368</v>
      </c>
      <c r="HE112" s="120" t="n">
        <f aca="false">HE91+PV($E$50,$F$15,-HE104,-HE110)</f>
        <v>1660.0779194353</v>
      </c>
      <c r="HF112" s="120" t="n">
        <f aca="false">HF91+PV($E$50,$F$15,-HF104,-HF110)</f>
        <v>3421.74105228099</v>
      </c>
      <c r="HG112" s="120" t="n">
        <f aca="false">HG91+PV($E$50,$F$15,-HG104,-HG110)</f>
        <v>1899.14257979424</v>
      </c>
      <c r="HH112" s="120" t="n">
        <f aca="false">HH91+PV($E$50,$F$15,-HH104,-HH110)</f>
        <v>1773.00702499585</v>
      </c>
      <c r="HI112" s="120" t="n">
        <f aca="false">HI91+PV($E$50,$F$15,-HI104,-HI110)</f>
        <v>2646.177268684</v>
      </c>
      <c r="HJ112" s="120" t="n">
        <f aca="false">HJ91+PV($E$50,$F$15,-HJ104,-HJ110)</f>
        <v>3985.70031884009</v>
      </c>
      <c r="HK112" s="120" t="n">
        <f aca="false">HK91+PV($E$50,$F$15,-HK104,-HK110)</f>
        <v>4894.91420221629</v>
      </c>
      <c r="HL112" s="120" t="n">
        <f aca="false">HL91+PV($E$50,$F$15,-HL104,-HL110)</f>
        <v>638.620197396824</v>
      </c>
      <c r="HM112" s="120" t="n">
        <f aca="false">HM91+PV($E$50,$F$15,-HM104,-HM110)</f>
        <v>5327.148246823</v>
      </c>
      <c r="HN112" s="120" t="n">
        <f aca="false">HN91+PV($E$50,$F$15,-HN104,-HN110)</f>
        <v>5293.23569422784</v>
      </c>
      <c r="HO112" s="120" t="n">
        <f aca="false">HO91+PV($E$50,$F$15,-HO104,-HO110)</f>
        <v>5992.16944930824</v>
      </c>
      <c r="HP112" s="120" t="n">
        <f aca="false">HP91+PV($E$50,$F$15,-HP104,-HP110)</f>
        <v>4761.11854117204</v>
      </c>
      <c r="HQ112" s="120" t="n">
        <f aca="false">HQ91+PV($E$50,$F$15,-HQ104,-HQ110)</f>
        <v>2783.25116173965</v>
      </c>
      <c r="HR112" s="120" t="n">
        <f aca="false">HR91+PV($E$50,$F$15,-HR104,-HR110)</f>
        <v>2990.87836860485</v>
      </c>
      <c r="HS112" s="120" t="n">
        <f aca="false">HS91+PV($E$50,$F$15,-HS104,-HS110)</f>
        <v>2688.14068297195</v>
      </c>
      <c r="HT112" s="120" t="n">
        <f aca="false">HT91+PV($E$50,$F$15,-HT104,-HT110)</f>
        <v>-1792.66420128134</v>
      </c>
      <c r="HU112" s="120" t="n">
        <f aca="false">HU91+PV($E$50,$F$15,-HU104,-HU110)</f>
        <v>5167.16492871649</v>
      </c>
      <c r="HV112" s="120" t="n">
        <f aca="false">HV91+PV($E$50,$F$15,-HV104,-HV110)</f>
        <v>2562.53103305665</v>
      </c>
      <c r="HW112" s="120" t="n">
        <f aca="false">HW91+PV($E$50,$F$15,-HW104,-HW110)</f>
        <v>4413.2978323652</v>
      </c>
      <c r="HX112" s="120" t="n">
        <f aca="false">HX91+PV($E$50,$F$15,-HX104,-HX110)</f>
        <v>1587.56364630205</v>
      </c>
      <c r="HY112" s="120" t="n">
        <f aca="false">HY91+PV($E$50,$F$15,-HY104,-HY110)</f>
        <v>4943.18600585682</v>
      </c>
      <c r="HZ112" s="120" t="n">
        <f aca="false">HZ91+PV($E$50,$F$15,-HZ104,-HZ110)</f>
        <v>4887.50231988329</v>
      </c>
      <c r="IA112" s="120" t="n">
        <f aca="false">IA91+PV($E$50,$F$15,-IA104,-IA110)</f>
        <v>782.323293838143</v>
      </c>
      <c r="IB112" s="120" t="n">
        <f aca="false">IB91+PV($E$50,$F$15,-IB104,-IB110)</f>
        <v>5438.41270074975</v>
      </c>
      <c r="IC112" s="120" t="n">
        <f aca="false">IC91+PV($E$50,$F$15,-IC104,-IC110)</f>
        <v>5231.44552129011</v>
      </c>
      <c r="ID112" s="120" t="n">
        <f aca="false">ID91+PV($E$50,$F$15,-ID104,-ID110)</f>
        <v>4677.43280425225</v>
      </c>
      <c r="IE112" s="120" t="n">
        <f aca="false">IE91+PV($E$50,$F$15,-IE104,-IE110)</f>
        <v>202.156366619647</v>
      </c>
      <c r="IF112" s="120" t="n">
        <f aca="false">IF91+PV($E$50,$F$15,-IF104,-IF110)</f>
        <v>4152.32852549465</v>
      </c>
      <c r="IG112" s="120" t="n">
        <f aca="false">IG91+PV($E$50,$F$15,-IG104,-IG110)</f>
        <v>4892.54426475632</v>
      </c>
      <c r="IH112" s="120" t="n">
        <f aca="false">IH91+PV($E$50,$F$15,-IH104,-IH110)</f>
        <v>3350.91341946726</v>
      </c>
      <c r="II112" s="120" t="n">
        <f aca="false">II91+PV($E$50,$F$15,-II104,-II110)</f>
        <v>3825.29847510526</v>
      </c>
      <c r="IJ112" s="120" t="n">
        <f aca="false">IJ91+PV($E$50,$F$15,-IJ104,-IJ110)</f>
        <v>4064.91348303561</v>
      </c>
      <c r="IK112" s="120" t="n">
        <f aca="false">IK91+PV($E$50,$F$15,-IK104,-IK110)</f>
        <v>-1517.15809307299</v>
      </c>
      <c r="IL112" s="120" t="n">
        <f aca="false">IL91+PV($E$50,$F$15,-IL104,-IL110)</f>
        <v>2591.18720354598</v>
      </c>
      <c r="IM112" s="120" t="n">
        <f aca="false">IM91+PV($E$50,$F$15,-IM104,-IM110)</f>
        <v>4539.44553614587</v>
      </c>
      <c r="IN112" s="120" t="n">
        <f aca="false">IN91+PV($E$50,$F$15,-IN104,-IN110)</f>
        <v>3571.22017511862</v>
      </c>
      <c r="IO112" s="120" t="n">
        <f aca="false">IO91+PV($E$50,$F$15,-IO104,-IO110)</f>
        <v>2655.70283791549</v>
      </c>
      <c r="IP112" s="120" t="n">
        <f aca="false">IP91+PV($E$50,$F$15,-IP104,-IP110)</f>
        <v>3372.51982444974</v>
      </c>
      <c r="IQ112" s="120" t="n">
        <f aca="false">IQ91+PV($E$50,$F$15,-IQ104,-IQ110)</f>
        <v>3666.24285205208</v>
      </c>
      <c r="IR112" s="120" t="n">
        <f aca="false">IR91+PV($E$50,$F$15,-IR104,-IR110)</f>
        <v>4773.46973019494</v>
      </c>
      <c r="IS112" s="120" t="n">
        <f aca="false">IS91+PV($E$50,$F$15,-IS104,-IS110)</f>
        <v>3243.87704441495</v>
      </c>
      <c r="IT112" s="120" t="n">
        <f aca="false">IT91+PV($E$50,$F$15,-IT104,-IT110)</f>
        <v>2644.24155503595</v>
      </c>
      <c r="IU112" s="120" t="n">
        <f aca="false">IU91+PV($E$50,$F$15,-IU104,-IU110)</f>
        <v>3983.63549064386</v>
      </c>
      <c r="IV112" s="120" t="n">
        <f aca="false">IV91+PV($E$50,$F$15,-IV104,-IV110)</f>
        <v>1982.31308137768</v>
      </c>
      <c r="IW112" s="120" t="n">
        <f aca="false">IW91+PV($E$50,$F$15,-IW104,-IW110)</f>
        <v>3736.84873758839</v>
      </c>
      <c r="IX112" s="120" t="n">
        <f aca="false">IX91+PV($E$50,$F$15,-IX104,-IX110)</f>
        <v>3455.74516389665</v>
      </c>
      <c r="IY112" s="120" t="n">
        <f aca="false">IY91+PV($E$50,$F$15,-IY104,-IY110)</f>
        <v>2675.27470641071</v>
      </c>
      <c r="IZ112" s="120" t="n">
        <f aca="false">IZ91+PV($E$50,$F$15,-IZ104,-IZ110)</f>
        <v>3068.39240431167</v>
      </c>
      <c r="JA112" s="120" t="n">
        <f aca="false">JA91+PV($E$50,$F$15,-JA104,-JA110)</f>
        <v>5576.45246944287</v>
      </c>
      <c r="JB112" s="120" t="n">
        <f aca="false">JB91+PV($E$50,$F$15,-JB104,-JB110)</f>
        <v>4102.88294807897</v>
      </c>
      <c r="JC112" s="120" t="n">
        <f aca="false">JC91+PV($E$50,$F$15,-JC104,-JC110)</f>
        <v>3932.61308415807</v>
      </c>
      <c r="JD112" s="120" t="n">
        <f aca="false">JD91+PV($E$50,$F$15,-JD104,-JD110)</f>
        <v>4241.22174709578</v>
      </c>
      <c r="JE112" s="120" t="n">
        <f aca="false">JE91+PV($E$50,$F$15,-JE104,-JE110)</f>
        <v>5246.86261232109</v>
      </c>
      <c r="JF112" s="120" t="n">
        <f aca="false">JF91+PV($E$50,$F$15,-JF104,-JF110)</f>
        <v>2712.02244722642</v>
      </c>
      <c r="JG112" s="120" t="n">
        <f aca="false">JG91+PV($E$50,$F$15,-JG104,-JG110)</f>
        <v>2167.37895341256</v>
      </c>
      <c r="JH112" s="120" t="n">
        <f aca="false">JH91+PV($E$50,$F$15,-JH104,-JH110)</f>
        <v>4436.69818938875</v>
      </c>
      <c r="JI112" s="120" t="n">
        <f aca="false">JI91+PV($E$50,$F$15,-JI104,-JI110)</f>
        <v>2572.78504088797</v>
      </c>
      <c r="JJ112" s="120" t="n">
        <f aca="false">JJ91+PV($E$50,$F$15,-JJ104,-JJ110)</f>
        <v>3893.22063537781</v>
      </c>
      <c r="JK112" s="120" t="n">
        <f aca="false">JK91+PV($E$50,$F$15,-JK104,-JK110)</f>
        <v>4647.61887296539</v>
      </c>
      <c r="JL112" s="120" t="n">
        <f aca="false">JL91+PV($E$50,$F$15,-JL104,-JL110)</f>
        <v>3525.10201246593</v>
      </c>
      <c r="JM112" s="120" t="n">
        <f aca="false">JM91+PV($E$50,$F$15,-JM104,-JM110)</f>
        <v>3889.21456299291</v>
      </c>
      <c r="JN112" s="120" t="n">
        <f aca="false">JN91+PV($E$50,$F$15,-JN104,-JN110)</f>
        <v>3329.60074303543</v>
      </c>
      <c r="JO112" s="120" t="n">
        <f aca="false">JO91+PV($E$50,$F$15,-JO104,-JO110)</f>
        <v>5760.25776817961</v>
      </c>
      <c r="JP112" s="120" t="n">
        <f aca="false">JP91+PV($E$50,$F$15,-JP104,-JP110)</f>
        <v>4037.46496876103</v>
      </c>
      <c r="JQ112" s="120" t="n">
        <f aca="false">JQ91+PV($E$50,$F$15,-JQ104,-JQ110)</f>
        <v>4292.67654428275</v>
      </c>
      <c r="JR112" s="120" t="n">
        <f aca="false">JR91+PV($E$50,$F$15,-JR104,-JR110)</f>
        <v>5012.33881779474</v>
      </c>
      <c r="JS112" s="120" t="n">
        <f aca="false">JS91+PV($E$50,$F$15,-JS104,-JS110)</f>
        <v>4106.09067757963</v>
      </c>
      <c r="JT112" s="120" t="n">
        <f aca="false">JT91+PV($E$50,$F$15,-JT104,-JT110)</f>
        <v>4060.07051235623</v>
      </c>
      <c r="JU112" s="120" t="n">
        <f aca="false">JU91+PV($E$50,$F$15,-JU104,-JU110)</f>
        <v>4014.9692945155</v>
      </c>
      <c r="JV112" s="120" t="n">
        <f aca="false">JV91+PV($E$50,$F$15,-JV104,-JV110)</f>
        <v>3482.86314537165</v>
      </c>
      <c r="JW112" s="120" t="n">
        <f aca="false">JW91+PV($E$50,$F$15,-JW104,-JW110)</f>
        <v>-325.937876300053</v>
      </c>
      <c r="JX112" s="120" t="n">
        <f aca="false">JX91+PV($E$50,$F$15,-JX104,-JX110)</f>
        <v>5527.96156597052</v>
      </c>
      <c r="JY112" s="120" t="n">
        <f aca="false">JY91+PV($E$50,$F$15,-JY104,-JY110)</f>
        <v>4006.76887636503</v>
      </c>
      <c r="JZ112" s="120" t="n">
        <f aca="false">JZ91+PV($E$50,$F$15,-JZ104,-JZ110)</f>
        <v>5560.66424416832</v>
      </c>
      <c r="KA112" s="120" t="n">
        <f aca="false">KA91+PV($E$50,$F$15,-KA104,-KA110)</f>
        <v>5013.93696188349</v>
      </c>
      <c r="KB112" s="120" t="n">
        <f aca="false">KB91+PV($E$50,$F$15,-KB104,-KB110)</f>
        <v>2174.56786524201</v>
      </c>
      <c r="KC112" s="120" t="n">
        <f aca="false">KC91+PV($E$50,$F$15,-KC104,-KC110)</f>
        <v>5392.45679435283</v>
      </c>
      <c r="KD112" s="120" t="n">
        <f aca="false">KD91+PV($E$50,$F$15,-KD104,-KD110)</f>
        <v>3713.01757887367</v>
      </c>
      <c r="KE112" s="120" t="n">
        <f aca="false">KE91+PV($E$50,$F$15,-KE104,-KE110)</f>
        <v>2923.78512637218</v>
      </c>
      <c r="KF112" s="120" t="n">
        <f aca="false">KF91+PV($E$50,$F$15,-KF104,-KF110)</f>
        <v>3401.75935601598</v>
      </c>
      <c r="KG112" s="120" t="n">
        <f aca="false">KG91+PV($E$50,$F$15,-KG104,-KG110)</f>
        <v>-558.935197405732</v>
      </c>
      <c r="KH112" s="120" t="n">
        <f aca="false">KH91+PV($E$50,$F$15,-KH104,-KH110)</f>
        <v>3525.48854692112</v>
      </c>
      <c r="KI112" s="120" t="n">
        <f aca="false">KI91+PV($E$50,$F$15,-KI104,-KI110)</f>
        <v>5175.66523061759</v>
      </c>
      <c r="KJ112" s="120" t="n">
        <f aca="false">KJ91+PV($E$50,$F$15,-KJ104,-KJ110)</f>
        <v>2525.3038276106</v>
      </c>
      <c r="KK112" s="120" t="n">
        <f aca="false">KK91+PV($E$50,$F$15,-KK104,-KK110)</f>
        <v>4815.02401340445</v>
      </c>
      <c r="KL112" s="120" t="n">
        <f aca="false">KL91+PV($E$50,$F$15,-KL104,-KL110)</f>
        <v>3039.66435551498</v>
      </c>
      <c r="KM112" s="120" t="n">
        <f aca="false">KM91+PV($E$50,$F$15,-KM104,-KM110)</f>
        <v>2924.65527375753</v>
      </c>
      <c r="KN112" s="120" t="n">
        <f aca="false">KN91+PV($E$50,$F$15,-KN104,-KN110)</f>
        <v>4116.13380977618</v>
      </c>
      <c r="KO112" s="120" t="n">
        <f aca="false">KO91+PV($E$50,$F$15,-KO104,-KO110)</f>
        <v>4112.59092095283</v>
      </c>
      <c r="KP112" s="120" t="n">
        <f aca="false">KP91+PV($E$50,$F$15,-KP104,-KP110)</f>
        <v>6190.33552411112</v>
      </c>
      <c r="KQ112" s="120" t="n">
        <f aca="false">KQ91+PV($E$50,$F$15,-KQ104,-KQ110)</f>
        <v>4017.02744173547</v>
      </c>
      <c r="KR112" s="120" t="n">
        <f aca="false">KR91+PV($E$50,$F$15,-KR104,-KR110)</f>
        <v>3527.3335807444</v>
      </c>
      <c r="KS112" s="120" t="n">
        <f aca="false">KS91+PV($E$50,$F$15,-KS104,-KS110)</f>
        <v>3874.86355873517</v>
      </c>
      <c r="KT112" s="120" t="n">
        <f aca="false">KT91+PV($E$50,$F$15,-KT104,-KT110)</f>
        <v>5125.35343293087</v>
      </c>
      <c r="KU112" s="120" t="n">
        <f aca="false">KU91+PV($E$50,$F$15,-KU104,-KU110)</f>
        <v>5214.03888295282</v>
      </c>
      <c r="KV112" s="120" t="n">
        <f aca="false">KV91+PV($E$50,$F$15,-KV104,-KV110)</f>
        <v>4170.20136598496</v>
      </c>
      <c r="KW112" s="120" t="n">
        <f aca="false">KW91+PV($E$50,$F$15,-KW104,-KW110)</f>
        <v>5958.79229737233</v>
      </c>
      <c r="KX112" s="120" t="n">
        <f aca="false">KX91+PV($E$50,$F$15,-KX104,-KX110)</f>
        <v>2822.93985998659</v>
      </c>
      <c r="KY112" s="120" t="n">
        <f aca="false">KY91+PV($E$50,$F$15,-KY104,-KY110)</f>
        <v>2886.86833785688</v>
      </c>
      <c r="KZ112" s="120" t="n">
        <f aca="false">KZ91+PV($E$50,$F$15,-KZ104,-KZ110)</f>
        <v>4849.52764489134</v>
      </c>
      <c r="LA112" s="120" t="n">
        <f aca="false">LA91+PV($E$50,$F$15,-LA104,-LA110)</f>
        <v>2195.95031953876</v>
      </c>
      <c r="LB112" s="120" t="n">
        <f aca="false">LB91+PV($E$50,$F$15,-LB104,-LB110)</f>
        <v>-1282.40029023464</v>
      </c>
      <c r="LC112" s="120" t="n">
        <f aca="false">LC91+PV($E$50,$F$15,-LC104,-LC110)</f>
        <v>2684.62894305666</v>
      </c>
      <c r="LD112" s="120" t="n">
        <f aca="false">LD91+PV($E$50,$F$15,-LD104,-LD110)</f>
        <v>4212.81436022758</v>
      </c>
      <c r="LE112" s="120" t="n">
        <f aca="false">LE91+PV($E$50,$F$15,-LE104,-LE110)</f>
        <v>5284.12817965559</v>
      </c>
      <c r="LF112" s="120" t="n">
        <f aca="false">LF91+PV($E$50,$F$15,-LF104,-LF110)</f>
        <v>4540.94889962874</v>
      </c>
      <c r="LG112" s="120" t="n">
        <f aca="false">LG91+PV($E$50,$F$15,-LG104,-LG110)</f>
        <v>2863.78800801542</v>
      </c>
      <c r="LH112" s="120" t="n">
        <f aca="false">LH91+PV($E$50,$F$15,-LH104,-LH110)</f>
        <v>5336.57478457925</v>
      </c>
      <c r="LI112" s="120" t="n">
        <f aca="false">LI91+PV($E$50,$F$15,-LI104,-LI110)</f>
        <v>2751.45313237864</v>
      </c>
      <c r="LJ112" s="120" t="n">
        <f aca="false">LJ91+PV($E$50,$F$15,-LJ104,-LJ110)</f>
        <v>3721.9968420659</v>
      </c>
      <c r="LK112" s="120" t="n">
        <f aca="false">LK91+PV($E$50,$F$15,-LK104,-LK110)</f>
        <v>2042.02076866482</v>
      </c>
      <c r="LL112" s="120" t="n">
        <f aca="false">LL91+PV($E$50,$F$15,-LL104,-LL110)</f>
        <v>4121.16928937069</v>
      </c>
      <c r="LM112" s="120" t="n">
        <f aca="false">LM91+PV($E$50,$F$15,-LM104,-LM110)</f>
        <v>3902.98874247829</v>
      </c>
      <c r="LN112" s="120" t="n">
        <f aca="false">LN91+PV($E$50,$F$15,-LN104,-LN110)</f>
        <v>972.088241457102</v>
      </c>
      <c r="LO112" s="120" t="n">
        <f aca="false">LO91+PV($E$50,$F$15,-LO104,-LO110)</f>
        <v>4420.98067178221</v>
      </c>
      <c r="LP112" s="120" t="n">
        <f aca="false">LP91+PV($E$50,$F$15,-LP104,-LP110)</f>
        <v>2030.92800948749</v>
      </c>
      <c r="LQ112" s="120" t="n">
        <f aca="false">LQ91+PV($E$50,$F$15,-LQ104,-LQ110)</f>
        <v>4519.33522170712</v>
      </c>
      <c r="LR112" s="120" t="n">
        <f aca="false">LR91+PV($E$50,$F$15,-LR104,-LR110)</f>
        <v>4939.29157599807</v>
      </c>
      <c r="LS112" s="120" t="n">
        <f aca="false">LS91+PV($E$50,$F$15,-LS104,-LS110)</f>
        <v>4272.75835782659</v>
      </c>
      <c r="LT112" s="120" t="n">
        <f aca="false">LT91+PV($E$50,$F$15,-LT104,-LT110)</f>
        <v>3618.53388889471</v>
      </c>
      <c r="LU112" s="120" t="n">
        <f aca="false">LU91+PV($E$50,$F$15,-LU104,-LU110)</f>
        <v>4034.66119123748</v>
      </c>
      <c r="LV112" s="120" t="n">
        <f aca="false">LV91+PV($E$50,$F$15,-LV104,-LV110)</f>
        <v>5108.18990681361</v>
      </c>
      <c r="LW112" s="120" t="n">
        <f aca="false">LW91+PV($E$50,$F$15,-LW104,-LW110)</f>
        <v>3552.12221248537</v>
      </c>
      <c r="LX112" s="120" t="n">
        <f aca="false">LX91+PV($E$50,$F$15,-LX104,-LX110)</f>
        <v>3638.4967280399</v>
      </c>
      <c r="LY112" s="120" t="n">
        <f aca="false">LY91+PV($E$50,$F$15,-LY104,-LY110)</f>
        <v>5080.31655441986</v>
      </c>
      <c r="LZ112" s="120" t="n">
        <f aca="false">LZ91+PV($E$50,$F$15,-LZ104,-LZ110)</f>
        <v>4769.89270381698</v>
      </c>
      <c r="MA112" s="120" t="n">
        <f aca="false">MA91+PV($E$50,$F$15,-MA104,-MA110)</f>
        <v>3236.69784521032</v>
      </c>
      <c r="MB112" s="120" t="n">
        <f aca="false">MB91+PV($E$50,$F$15,-MB104,-MB110)</f>
        <v>874.480502446757</v>
      </c>
      <c r="MC112" s="120" t="n">
        <f aca="false">MC91+PV($E$50,$F$15,-MC104,-MC110)</f>
        <v>2788.61015897238</v>
      </c>
      <c r="MD112" s="120" t="n">
        <f aca="false">MD91+PV($E$50,$F$15,-MD104,-MD110)</f>
        <v>-4207.96064595428</v>
      </c>
      <c r="ME112" s="120" t="n">
        <f aca="false">ME91+PV($E$50,$F$15,-ME104,-ME110)</f>
        <v>1639.46978883469</v>
      </c>
      <c r="MF112" s="120" t="n">
        <f aca="false">MF91+PV($E$50,$F$15,-MF104,-MF110)</f>
        <v>3674.86269074727</v>
      </c>
      <c r="MG112" s="120" t="n">
        <f aca="false">MG91+PV($E$50,$F$15,-MG104,-MG110)</f>
        <v>5375.01296315334</v>
      </c>
      <c r="MH112" s="120" t="n">
        <f aca="false">MH91+PV($E$50,$F$15,-MH104,-MH110)</f>
        <v>3644.36716020657</v>
      </c>
      <c r="MI112" s="120" t="n">
        <f aca="false">MI91+PV($E$50,$F$15,-MI104,-MI110)</f>
        <v>3025.3621189482</v>
      </c>
      <c r="MJ112" s="120" t="n">
        <f aca="false">MJ91+PV($E$50,$F$15,-MJ104,-MJ110)</f>
        <v>2090.90904980108</v>
      </c>
      <c r="MK112" s="120" t="n">
        <f aca="false">MK91+PV($E$50,$F$15,-MK104,-MK110)</f>
        <v>2489.17123442554</v>
      </c>
      <c r="ML112" s="120" t="n">
        <f aca="false">ML91+PV($E$50,$F$15,-ML104,-ML110)</f>
        <v>1328.38793257199</v>
      </c>
      <c r="MM112" s="120" t="n">
        <f aca="false">MM91+PV($E$50,$F$15,-MM104,-MM110)</f>
        <v>4174.19081873285</v>
      </c>
      <c r="MN112" s="120" t="n">
        <f aca="false">MN91+PV($E$50,$F$15,-MN104,-MN110)</f>
        <v>2501.60335411865</v>
      </c>
      <c r="MO112" s="120" t="n">
        <f aca="false">MO91+PV($E$50,$F$15,-MO104,-MO110)</f>
        <v>358.832163026134</v>
      </c>
      <c r="MP112" s="120" t="n">
        <f aca="false">MP91+PV($E$50,$F$15,-MP104,-MP110)</f>
        <v>598.002536211363</v>
      </c>
      <c r="MQ112" s="120" t="n">
        <f aca="false">MQ91+PV($E$50,$F$15,-MQ104,-MQ110)</f>
        <v>5505.24971921205</v>
      </c>
      <c r="MR112" s="120" t="n">
        <f aca="false">MR91+PV($E$50,$F$15,-MR104,-MR110)</f>
        <v>2602.909654772</v>
      </c>
      <c r="MS112" s="120" t="n">
        <f aca="false">MS91+PV($E$50,$F$15,-MS104,-MS110)</f>
        <v>2144.89368094992</v>
      </c>
      <c r="MT112" s="120" t="n">
        <f aca="false">MT91+PV($E$50,$F$15,-MT104,-MT110)</f>
        <v>4587.0025598182</v>
      </c>
      <c r="MU112" s="120" t="n">
        <f aca="false">MU91+PV($E$50,$F$15,-MU104,-MU110)</f>
        <v>4951.8247104658</v>
      </c>
      <c r="MV112" s="120" t="n">
        <f aca="false">MV91+PV($E$50,$F$15,-MV104,-MV110)</f>
        <v>1280.8130771936</v>
      </c>
      <c r="MW112" s="120" t="n">
        <f aca="false">MW91+PV($E$50,$F$15,-MW104,-MW110)</f>
        <v>3992.06917006438</v>
      </c>
      <c r="MX112" s="120" t="n">
        <f aca="false">MX91+PV($E$50,$F$15,-MX104,-MX110)</f>
        <v>5556.14122945011</v>
      </c>
      <c r="MY112" s="120" t="n">
        <f aca="false">MY91+PV($E$50,$F$15,-MY104,-MY110)</f>
        <v>2541.37876695302</v>
      </c>
      <c r="MZ112" s="120" t="n">
        <f aca="false">MZ91+PV($E$50,$F$15,-MZ104,-MZ110)</f>
        <v>2957.41116945621</v>
      </c>
      <c r="NA112" s="120" t="n">
        <f aca="false">NA91+PV($E$50,$F$15,-NA104,-NA110)</f>
        <v>2124.29204587017</v>
      </c>
      <c r="NB112" s="120" t="n">
        <f aca="false">NB91+PV($E$50,$F$15,-NB104,-NB110)</f>
        <v>1026.28641423076</v>
      </c>
      <c r="NC112" s="120" t="n">
        <f aca="false">NC91+PV($E$50,$F$15,-NC104,-NC110)</f>
        <v>3664.54554180387</v>
      </c>
      <c r="ND112" s="120" t="n">
        <f aca="false">ND91+PV($E$50,$F$15,-ND104,-ND110)</f>
        <v>4585.74570186472</v>
      </c>
      <c r="NE112" s="120" t="n">
        <f aca="false">NE91+PV($E$50,$F$15,-NE104,-NE110)</f>
        <v>-164.500837895081</v>
      </c>
      <c r="NF112" s="120" t="n">
        <f aca="false">NF91+PV($E$50,$F$15,-NF104,-NF110)</f>
        <v>3939.78062601431</v>
      </c>
      <c r="NG112" s="120" t="n">
        <f aca="false">NG91+PV($E$50,$F$15,-NG104,-NG110)</f>
        <v>3928.15698502909</v>
      </c>
      <c r="NH112" s="120" t="n">
        <f aca="false">NH91+PV($E$50,$F$15,-NH104,-NH110)</f>
        <v>4068.00184555427</v>
      </c>
      <c r="NI112" s="120" t="n">
        <f aca="false">NI91+PV($E$50,$F$15,-NI104,-NI110)</f>
        <v>3591.34262798649</v>
      </c>
      <c r="NJ112" s="120" t="n">
        <f aca="false">NJ91+PV($E$50,$F$15,-NJ104,-NJ110)</f>
        <v>4481.50078152499</v>
      </c>
      <c r="NK112" s="120" t="n">
        <f aca="false">NK91+PV($E$50,$F$15,-NK104,-NK110)</f>
        <v>2380.66581651262</v>
      </c>
      <c r="NL112" s="120" t="n">
        <f aca="false">NL91+PV($E$50,$F$15,-NL104,-NL110)</f>
        <v>3882.64976073577</v>
      </c>
      <c r="NM112" s="120" t="n">
        <f aca="false">NM91+PV($E$50,$F$15,-NM104,-NM110)</f>
        <v>588.888124165924</v>
      </c>
      <c r="NN112" s="120" t="n">
        <f aca="false">NN91+PV($E$50,$F$15,-NN104,-NN110)</f>
        <v>523.887434310931</v>
      </c>
      <c r="NO112" s="120" t="n">
        <f aca="false">NO91+PV($E$50,$F$15,-NO104,-NO110)</f>
        <v>5653.69055322267</v>
      </c>
      <c r="NP112" s="120" t="n">
        <f aca="false">NP91+PV($E$50,$F$15,-NP104,-NP110)</f>
        <v>3636.42887893092</v>
      </c>
      <c r="NQ112" s="120" t="n">
        <f aca="false">NQ91+PV($E$50,$F$15,-NQ104,-NQ110)</f>
        <v>3400.43179274927</v>
      </c>
      <c r="NR112" s="120" t="n">
        <f aca="false">NR91+PV($E$50,$F$15,-NR104,-NR110)</f>
        <v>4254.81590686445</v>
      </c>
      <c r="NS112" s="120" t="n">
        <f aca="false">NS91+PV($E$50,$F$15,-NS104,-NS110)</f>
        <v>3676.81448319491</v>
      </c>
      <c r="NT112" s="120" t="n">
        <f aca="false">NT91+PV($E$50,$F$15,-NT104,-NT110)</f>
        <v>4385.72815001855</v>
      </c>
      <c r="NU112" s="120" t="n">
        <f aca="false">NU91+PV($E$50,$F$15,-NU104,-NU110)</f>
        <v>5780.02143998193</v>
      </c>
      <c r="NV112" s="120" t="n">
        <f aca="false">NV91+PV($E$50,$F$15,-NV104,-NV110)</f>
        <v>4032.14216072191</v>
      </c>
      <c r="NW112" s="120" t="n">
        <f aca="false">NW91+PV($E$50,$F$15,-NW104,-NW110)</f>
        <v>3860.36396326151</v>
      </c>
      <c r="NX112" s="120" t="n">
        <f aca="false">NX91+PV($E$50,$F$15,-NX104,-NX110)</f>
        <v>3988.67310657483</v>
      </c>
      <c r="NY112" s="120" t="n">
        <f aca="false">NY91+PV($E$50,$F$15,-NY104,-NY110)</f>
        <v>3891.45919124974</v>
      </c>
      <c r="NZ112" s="120" t="n">
        <f aca="false">NZ91+PV($E$50,$F$15,-NZ104,-NZ110)</f>
        <v>1589.89696912851</v>
      </c>
      <c r="OA112" s="120" t="n">
        <f aca="false">OA91+PV($E$50,$F$15,-OA104,-OA110)</f>
        <v>3775.15501769191</v>
      </c>
      <c r="OB112" s="120" t="n">
        <f aca="false">OB91+PV($E$50,$F$15,-OB104,-OB110)</f>
        <v>3728.47837138124</v>
      </c>
      <c r="OC112" s="120" t="n">
        <f aca="false">OC91+PV($E$50,$F$15,-OC104,-OC110)</f>
        <v>3674.24308442292</v>
      </c>
      <c r="OD112" s="120" t="n">
        <f aca="false">OD91+PV($E$50,$F$15,-OD104,-OD110)</f>
        <v>2771.85361741289</v>
      </c>
      <c r="OE112" s="120" t="n">
        <f aca="false">OE91+PV($E$50,$F$15,-OE104,-OE110)</f>
        <v>3630.53554400111</v>
      </c>
      <c r="OF112" s="120" t="n">
        <f aca="false">OF91+PV($E$50,$F$15,-OF104,-OF110)</f>
        <v>3378.68898146314</v>
      </c>
      <c r="OG112" s="120" t="n">
        <f aca="false">OG91+PV($E$50,$F$15,-OG104,-OG110)</f>
        <v>2611.20416183651</v>
      </c>
      <c r="OH112" s="120" t="n">
        <f aca="false">OH91+PV($E$50,$F$15,-OH104,-OH110)</f>
        <v>3622.06712414837</v>
      </c>
      <c r="OI112" s="120" t="n">
        <f aca="false">OI91+PV($E$50,$F$15,-OI104,-OI110)</f>
        <v>3531.10351096014</v>
      </c>
      <c r="OJ112" s="120" t="n">
        <f aca="false">OJ91+PV($E$50,$F$15,-OJ104,-OJ110)</f>
        <v>5813.89125637957</v>
      </c>
      <c r="OK112" s="120" t="n">
        <f aca="false">OK91+PV($E$50,$F$15,-OK104,-OK110)</f>
        <v>2624.61382832939</v>
      </c>
      <c r="OL112" s="120" t="n">
        <f aca="false">OL91+PV($E$50,$F$15,-OL104,-OL110)</f>
        <v>4736.6620964379</v>
      </c>
      <c r="OM112" s="120" t="n">
        <f aca="false">OM91+PV($E$50,$F$15,-OM104,-OM110)</f>
        <v>2666.62303921566</v>
      </c>
      <c r="ON112" s="120" t="n">
        <f aca="false">ON91+PV($E$50,$F$15,-ON104,-ON110)</f>
        <v>1241.06305548506</v>
      </c>
      <c r="OO112" s="120" t="n">
        <f aca="false">OO91+PV($E$50,$F$15,-OO104,-OO110)</f>
        <v>-113.456076287464</v>
      </c>
      <c r="OP112" s="120" t="n">
        <f aca="false">OP91+PV($E$50,$F$15,-OP104,-OP110)</f>
        <v>4451.64811133034</v>
      </c>
      <c r="OQ112" s="120" t="n">
        <f aca="false">OQ91+PV($E$50,$F$15,-OQ104,-OQ110)</f>
        <v>3130.14766064201</v>
      </c>
      <c r="OR112" s="120" t="n">
        <f aca="false">OR91+PV($E$50,$F$15,-OR104,-OR110)</f>
        <v>3463.4473661531</v>
      </c>
      <c r="OS112" s="120" t="n">
        <f aca="false">OS91+PV($E$50,$F$15,-OS104,-OS110)</f>
        <v>4453.25475711205</v>
      </c>
      <c r="OT112" s="120" t="n">
        <f aca="false">OT91+PV($E$50,$F$15,-OT104,-OT110)</f>
        <v>1397.13331982432</v>
      </c>
      <c r="OU112" s="120" t="n">
        <f aca="false">OU91+PV($E$50,$F$15,-OU104,-OU110)</f>
        <v>4474.96707956092</v>
      </c>
      <c r="OV112" s="120" t="n">
        <f aca="false">OV91+PV($E$50,$F$15,-OV104,-OV110)</f>
        <v>3076.21834216439</v>
      </c>
      <c r="OW112" s="120" t="n">
        <f aca="false">OW91+PV($E$50,$F$15,-OW104,-OW110)</f>
        <v>3882.59418856399</v>
      </c>
      <c r="OX112" s="120" t="n">
        <f aca="false">OX91+PV($E$50,$F$15,-OX104,-OX110)</f>
        <v>5028.8072019477</v>
      </c>
      <c r="OY112" s="120" t="n">
        <f aca="false">OY91+PV($E$50,$F$15,-OY104,-OY110)</f>
        <v>2327.3256200136</v>
      </c>
      <c r="OZ112" s="120" t="n">
        <f aca="false">OZ91+PV($E$50,$F$15,-OZ104,-OZ110)</f>
        <v>441.122021635914</v>
      </c>
      <c r="PA112" s="120" t="n">
        <f aca="false">PA91+PV($E$50,$F$15,-PA104,-PA110)</f>
        <v>5137.99910166222</v>
      </c>
      <c r="PB112" s="120" t="n">
        <f aca="false">PB91+PV($E$50,$F$15,-PB104,-PB110)</f>
        <v>2394.73821219627</v>
      </c>
      <c r="PC112" s="120" t="n">
        <f aca="false">PC91+PV($E$50,$F$15,-PC104,-PC110)</f>
        <v>2287.59624774833</v>
      </c>
      <c r="PD112" s="120" t="n">
        <f aca="false">PD91+PV($E$50,$F$15,-PD104,-PD110)</f>
        <v>4375.11188165056</v>
      </c>
      <c r="PE112" s="120" t="n">
        <f aca="false">PE91+PV($E$50,$F$15,-PE104,-PE110)</f>
        <v>1658.36873709583</v>
      </c>
      <c r="PF112" s="120" t="n">
        <f aca="false">PF91+PV($E$50,$F$15,-PF104,-PF110)</f>
        <v>2883.57020303118</v>
      </c>
      <c r="PG112" s="120" t="n">
        <f aca="false">PG91+PV($E$50,$F$15,-PG104,-PG110)</f>
        <v>2283.23934319807</v>
      </c>
      <c r="PH112" s="120" t="n">
        <f aca="false">PH91+PV($E$50,$F$15,-PH104,-PH110)</f>
        <v>3803.86109313691</v>
      </c>
      <c r="PI112" s="120" t="n">
        <f aca="false">PI91+PV($E$50,$F$15,-PI104,-PI110)</f>
        <v>4397.34458010456</v>
      </c>
      <c r="PJ112" s="120" t="n">
        <f aca="false">PJ91+PV($E$50,$F$15,-PJ104,-PJ110)</f>
        <v>3319.71022017556</v>
      </c>
      <c r="PK112" s="120" t="n">
        <f aca="false">PK91+PV($E$50,$F$15,-PK104,-PK110)</f>
        <v>3105.67747196571</v>
      </c>
      <c r="PL112" s="120" t="n">
        <f aca="false">PL91+PV($E$50,$F$15,-PL104,-PL110)</f>
        <v>3458.71657448593</v>
      </c>
      <c r="PM112" s="120" t="n">
        <f aca="false">PM91+PV($E$50,$F$15,-PM104,-PM110)</f>
        <v>4163.03167009159</v>
      </c>
      <c r="PN112" s="120" t="n">
        <f aca="false">PN91+PV($E$50,$F$15,-PN104,-PN110)</f>
        <v>832.87096789962</v>
      </c>
      <c r="PO112" s="120" t="n">
        <f aca="false">PO91+PV($E$50,$F$15,-PO104,-PO110)</f>
        <v>2167.70800218623</v>
      </c>
      <c r="PP112" s="120" t="n">
        <f aca="false">PP91+PV($E$50,$F$15,-PP104,-PP110)</f>
        <v>4232.11151267535</v>
      </c>
      <c r="PQ112" s="120" t="n">
        <f aca="false">PQ91+PV($E$50,$F$15,-PQ104,-PQ110)</f>
        <v>2685.74543888563</v>
      </c>
      <c r="PR112" s="120" t="n">
        <f aca="false">PR91+PV($E$50,$F$15,-PR104,-PR110)</f>
        <v>2609.18967020409</v>
      </c>
      <c r="PS112" s="120" t="n">
        <f aca="false">PS91+PV($E$50,$F$15,-PS104,-PS110)</f>
        <v>-717.711281410748</v>
      </c>
      <c r="PT112" s="120" t="n">
        <f aca="false">PT91+PV($E$50,$F$15,-PT104,-PT110)</f>
        <v>3645.42067456992</v>
      </c>
      <c r="PU112" s="120" t="n">
        <f aca="false">PU91+PV($E$50,$F$15,-PU104,-PU110)</f>
        <v>2493.48104036267</v>
      </c>
      <c r="PV112" s="120" t="n">
        <f aca="false">PV91+PV($E$50,$F$15,-PV104,-PV110)</f>
        <v>3514.28196306436</v>
      </c>
      <c r="PW112" s="120" t="n">
        <f aca="false">PW91+PV($E$50,$F$15,-PW104,-PW110)</f>
        <v>4221.62962640298</v>
      </c>
      <c r="PX112" s="120" t="n">
        <f aca="false">PX91+PV($E$50,$F$15,-PX104,-PX110)</f>
        <v>-165.67463853438</v>
      </c>
      <c r="PY112" s="120" t="n">
        <f aca="false">PY91+PV($E$50,$F$15,-PY104,-PY110)</f>
        <v>5777.3953205633</v>
      </c>
      <c r="PZ112" s="120" t="n">
        <f aca="false">PZ91+PV($E$50,$F$15,-PZ104,-PZ110)</f>
        <v>5511.84556248912</v>
      </c>
      <c r="QA112" s="120" t="n">
        <f aca="false">QA91+PV($E$50,$F$15,-QA104,-QA110)</f>
        <v>2569.83121640311</v>
      </c>
      <c r="QB112" s="120" t="n">
        <f aca="false">QB91+PV($E$50,$F$15,-QB104,-QB110)</f>
        <v>5668.92607763149</v>
      </c>
      <c r="QC112" s="120" t="n">
        <f aca="false">QC91+PV($E$50,$F$15,-QC104,-QC110)</f>
        <v>1450.85085329642</v>
      </c>
      <c r="QD112" s="120" t="n">
        <f aca="false">QD91+PV($E$50,$F$15,-QD104,-QD110)</f>
        <v>4973.14165272166</v>
      </c>
      <c r="QE112" s="120" t="n">
        <f aca="false">QE91+PV($E$50,$F$15,-QE104,-QE110)</f>
        <v>2166.37385543851</v>
      </c>
      <c r="QF112" s="120" t="n">
        <f aca="false">QF91+PV($E$50,$F$15,-QF104,-QF110)</f>
        <v>-106.231656249078</v>
      </c>
      <c r="QG112" s="120" t="n">
        <f aca="false">QG91+PV($E$50,$F$15,-QG104,-QG110)</f>
        <v>2661.58689600203</v>
      </c>
      <c r="QH112" s="120" t="n">
        <f aca="false">QH91+PV($E$50,$F$15,-QH104,-QH110)</f>
        <v>4090.19123052244</v>
      </c>
      <c r="QI112" s="120" t="n">
        <f aca="false">QI91+PV($E$50,$F$15,-QI104,-QI110)</f>
        <v>2845.15045844186</v>
      </c>
      <c r="QJ112" s="120" t="n">
        <f aca="false">QJ91+PV($E$50,$F$15,-QJ104,-QJ110)</f>
        <v>5088.42645439092</v>
      </c>
      <c r="QK112" s="120" t="n">
        <f aca="false">QK91+PV($E$50,$F$15,-QK104,-QK110)</f>
        <v>4540.85462889122</v>
      </c>
      <c r="QL112" s="120" t="n">
        <f aca="false">QL91+PV($E$50,$F$15,-QL104,-QL110)</f>
        <v>4758.8423611639</v>
      </c>
      <c r="QM112" s="120" t="n">
        <f aca="false">QM91+PV($E$50,$F$15,-QM104,-QM110)</f>
        <v>2923.29663077673</v>
      </c>
      <c r="QN112" s="120" t="n">
        <f aca="false">QN91+PV($E$50,$F$15,-QN104,-QN110)</f>
        <v>3317.21613408889</v>
      </c>
      <c r="QO112" s="120" t="n">
        <f aca="false">QO91+PV($E$50,$F$15,-QO104,-QO110)</f>
        <v>2987.12773256922</v>
      </c>
      <c r="QP112" s="120" t="n">
        <f aca="false">QP91+PV($E$50,$F$15,-QP104,-QP110)</f>
        <v>4142.99153050385</v>
      </c>
      <c r="QQ112" s="120" t="n">
        <f aca="false">QQ91+PV($E$50,$F$15,-QQ104,-QQ110)</f>
        <v>3187.91227259441</v>
      </c>
      <c r="QR112" s="120" t="n">
        <f aca="false">QR91+PV($E$50,$F$15,-QR104,-QR110)</f>
        <v>4620.37398330164</v>
      </c>
      <c r="QS112" s="120" t="n">
        <f aca="false">QS91+PV($E$50,$F$15,-QS104,-QS110)</f>
        <v>3525.29144881373</v>
      </c>
      <c r="QT112" s="120" t="n">
        <f aca="false">QT91+PV($E$50,$F$15,-QT104,-QT110)</f>
        <v>6340.29041428864</v>
      </c>
      <c r="QU112" s="120" t="n">
        <f aca="false">QU91+PV($E$50,$F$15,-QU104,-QU110)</f>
        <v>3417.45721921855</v>
      </c>
      <c r="QV112" s="120" t="n">
        <f aca="false">QV91+PV($E$50,$F$15,-QV104,-QV110)</f>
        <v>4066.69383707885</v>
      </c>
      <c r="QW112" s="120" t="n">
        <f aca="false">QW91+PV($E$50,$F$15,-QW104,-QW110)</f>
        <v>754.626172209702</v>
      </c>
      <c r="QX112" s="120" t="n">
        <f aca="false">QX91+PV($E$50,$F$15,-QX104,-QX110)</f>
        <v>-2751.01862508405</v>
      </c>
      <c r="QY112" s="120" t="n">
        <f aca="false">QY91+PV($E$50,$F$15,-QY104,-QY110)</f>
        <v>1029.83338333561</v>
      </c>
      <c r="QZ112" s="120" t="n">
        <f aca="false">QZ91+PV($E$50,$F$15,-QZ104,-QZ110)</f>
        <v>3302.73499690217</v>
      </c>
      <c r="RA112" s="120" t="n">
        <f aca="false">RA91+PV($E$50,$F$15,-RA104,-RA110)</f>
        <v>2617.46277679443</v>
      </c>
      <c r="RB112" s="120" t="n">
        <f aca="false">RB91+PV($E$50,$F$15,-RB104,-RB110)</f>
        <v>5036.88675443028</v>
      </c>
      <c r="RC112" s="120" t="n">
        <f aca="false">RC91+PV($E$50,$F$15,-RC104,-RC110)</f>
        <v>4808.03688446971</v>
      </c>
      <c r="RD112" s="120" t="n">
        <f aca="false">RD91+PV($E$50,$F$15,-RD104,-RD110)</f>
        <v>5054.20816516447</v>
      </c>
      <c r="RE112" s="120" t="n">
        <f aca="false">RE91+PV($E$50,$F$15,-RE104,-RE110)</f>
        <v>4323.46738032879</v>
      </c>
      <c r="RF112" s="120" t="n">
        <f aca="false">RF91+PV($E$50,$F$15,-RF104,-RF110)</f>
        <v>5239.54718740652</v>
      </c>
      <c r="RG112" s="120" t="n">
        <f aca="false">RG91+PV($E$50,$F$15,-RG104,-RG110)</f>
        <v>4863.52696061457</v>
      </c>
      <c r="RH112" s="120" t="n">
        <f aca="false">RH91+PV($E$50,$F$15,-RH104,-RH110)</f>
        <v>4792.33614982877</v>
      </c>
      <c r="RI112" s="120" t="n">
        <f aca="false">RI91+PV($E$50,$F$15,-RI104,-RI110)</f>
        <v>4311.54833027344</v>
      </c>
      <c r="RJ112" s="120" t="n">
        <f aca="false">RJ91+PV($E$50,$F$15,-RJ104,-RJ110)</f>
        <v>3904.67080537028</v>
      </c>
      <c r="RK112" s="120" t="n">
        <f aca="false">RK91+PV($E$50,$F$15,-RK104,-RK110)</f>
        <v>-516.750629339891</v>
      </c>
      <c r="RL112" s="120" t="n">
        <f aca="false">RL91+PV($E$50,$F$15,-RL104,-RL110)</f>
        <v>1529.29766097734</v>
      </c>
      <c r="RM112" s="120" t="n">
        <f aca="false">RM91+PV($E$50,$F$15,-RM104,-RM110)</f>
        <v>5721.2202299492</v>
      </c>
      <c r="RN112" s="120" t="n">
        <f aca="false">RN91+PV($E$50,$F$15,-RN104,-RN110)</f>
        <v>3502.05923168891</v>
      </c>
      <c r="RO112" s="120" t="n">
        <f aca="false">RO91+PV($E$50,$F$15,-RO104,-RO110)</f>
        <v>64.1371532504218</v>
      </c>
      <c r="RP112" s="120" t="n">
        <f aca="false">RP91+PV($E$50,$F$15,-RP104,-RP110)</f>
        <v>6028.7395712107</v>
      </c>
      <c r="RQ112" s="120" t="n">
        <f aca="false">RQ91+PV($E$50,$F$15,-RQ104,-RQ110)</f>
        <v>1298.37878853701</v>
      </c>
      <c r="RR112" s="120" t="n">
        <f aca="false">RR91+PV($E$50,$F$15,-RR104,-RR110)</f>
        <v>1800.7656823519</v>
      </c>
      <c r="RS112" s="120" t="n">
        <f aca="false">RS91+PV($E$50,$F$15,-RS104,-RS110)</f>
        <v>3490.55689902616</v>
      </c>
      <c r="RT112" s="120" t="n">
        <f aca="false">RT91+PV($E$50,$F$15,-RT104,-RT110)</f>
        <v>4541.70171064443</v>
      </c>
      <c r="RU112" s="120" t="n">
        <f aca="false">RU91+PV($E$50,$F$15,-RU104,-RU110)</f>
        <v>1302.0631302188</v>
      </c>
      <c r="RV112" s="120" t="n">
        <f aca="false">RV91+PV($E$50,$F$15,-RV104,-RV110)</f>
        <v>599.868781866924</v>
      </c>
      <c r="RW112" s="120" t="n">
        <f aca="false">RW91+PV($E$50,$F$15,-RW104,-RW110)</f>
        <v>3797.13696300146</v>
      </c>
      <c r="RX112" s="120" t="n">
        <f aca="false">RX91+PV($E$50,$F$15,-RX104,-RX110)</f>
        <v>2703.02589165217</v>
      </c>
      <c r="RY112" s="120" t="n">
        <f aca="false">RY91+PV($E$50,$F$15,-RY104,-RY110)</f>
        <v>4771.54211015185</v>
      </c>
      <c r="RZ112" s="120" t="n">
        <f aca="false">RZ91+PV($E$50,$F$15,-RZ104,-RZ110)</f>
        <v>4693.60778489675</v>
      </c>
      <c r="SA112" s="120" t="n">
        <f aca="false">SA91+PV($E$50,$F$15,-SA104,-SA110)</f>
        <v>2447.23262894036</v>
      </c>
      <c r="SB112" s="120" t="n">
        <f aca="false">SB91+PV($E$50,$F$15,-SB104,-SB110)</f>
        <v>4468.24439320266</v>
      </c>
      <c r="SC112" s="120" t="n">
        <f aca="false">SC91+PV($E$50,$F$15,-SC104,-SC110)</f>
        <v>675.979800175483</v>
      </c>
      <c r="SD112" s="120" t="n">
        <f aca="false">SD91+PV($E$50,$F$15,-SD104,-SD110)</f>
        <v>5131.7266836426</v>
      </c>
      <c r="SE112" s="120" t="n">
        <f aca="false">SE91+PV($E$50,$F$15,-SE104,-SE110)</f>
        <v>3475.92335153083</v>
      </c>
      <c r="SF112" s="120" t="n">
        <f aca="false">SF91+PV($E$50,$F$15,-SF104,-SF110)</f>
        <v>2590.01707736406</v>
      </c>
      <c r="SG112" s="120" t="n">
        <f aca="false">SG91+PV($E$50,$F$15,-SG104,-SG110)</f>
        <v>4285.76950624361</v>
      </c>
      <c r="SH112" s="120" t="n">
        <f aca="false">SH91+PV($E$50,$F$15,-SH104,-SH110)</f>
        <v>1601.48790742407</v>
      </c>
      <c r="SI112" s="120" t="n">
        <f aca="false">SI91+PV($E$50,$F$15,-SI104,-SI110)</f>
        <v>3050.83738136497</v>
      </c>
      <c r="SJ112" s="120" t="n">
        <f aca="false">SJ91+PV($E$50,$F$15,-SJ104,-SJ110)</f>
        <v>-2.73233744038407</v>
      </c>
      <c r="SK112" s="120" t="n">
        <f aca="false">SK91+PV($E$50,$F$15,-SK104,-SK110)</f>
        <v>5237.83269730988</v>
      </c>
      <c r="SL112" s="120" t="n">
        <f aca="false">SL91+PV($E$50,$F$15,-SL104,-SL110)</f>
        <v>4150.30414258029</v>
      </c>
      <c r="SM112" s="120" t="n">
        <f aca="false">SM91+PV($E$50,$F$15,-SM104,-SM110)</f>
        <v>4069.33592279185</v>
      </c>
      <c r="SN112" s="120" t="n">
        <f aca="false">SN91+PV($E$50,$F$15,-SN104,-SN110)</f>
        <v>4835.00509983512</v>
      </c>
      <c r="SO112" s="120" t="n">
        <f aca="false">SO91+PV($E$50,$F$15,-SO104,-SO110)</f>
        <v>5067.28547080401</v>
      </c>
      <c r="SP112" s="120" t="n">
        <f aca="false">SP91+PV($E$50,$F$15,-SP104,-SP110)</f>
        <v>3763.9083339204</v>
      </c>
      <c r="SQ112" s="120" t="n">
        <f aca="false">SQ91+PV($E$50,$F$15,-SQ104,-SQ110)</f>
        <v>3711.83376693597</v>
      </c>
      <c r="SR112" s="120" t="n">
        <f aca="false">SR91+PV($E$50,$F$15,-SR104,-SR110)</f>
        <v>3837.18980055728</v>
      </c>
      <c r="SS112" s="120" t="n">
        <f aca="false">SS91+PV($E$50,$F$15,-SS104,-SS110)</f>
        <v>3836.39851272673</v>
      </c>
      <c r="ST112" s="120" t="n">
        <f aca="false">ST91+PV($E$50,$F$15,-ST104,-ST110)</f>
        <v>3454.96405550773</v>
      </c>
      <c r="SU112" s="120" t="n">
        <f aca="false">SU91+PV($E$50,$F$15,-SU104,-SU110)</f>
        <v>4457.58316460116</v>
      </c>
      <c r="SV112" s="120" t="n">
        <f aca="false">SV91+PV($E$50,$F$15,-SV104,-SV110)</f>
        <v>5203.6572455605</v>
      </c>
      <c r="SW112" s="120" t="n">
        <f aca="false">SW91+PV($E$50,$F$15,-SW104,-SW110)</f>
        <v>354.128661963105</v>
      </c>
      <c r="SX112" s="120" t="n">
        <f aca="false">SX91+PV($E$50,$F$15,-SX104,-SX110)</f>
        <v>735.64530345887</v>
      </c>
      <c r="SY112" s="120" t="n">
        <f aca="false">SY91+PV($E$50,$F$15,-SY104,-SY110)</f>
        <v>1659.66337247144</v>
      </c>
      <c r="SZ112" s="120" t="n">
        <f aca="false">SZ91+PV($E$50,$F$15,-SZ104,-SZ110)</f>
        <v>2382.80276149493</v>
      </c>
      <c r="TA112" s="120" t="n">
        <f aca="false">TA91+PV($E$50,$F$15,-TA104,-TA110)</f>
        <v>6163.08113293124</v>
      </c>
      <c r="TB112" s="120" t="n">
        <f aca="false">TB91+PV($E$50,$F$15,-TB104,-TB110)</f>
        <v>2462.77057454038</v>
      </c>
      <c r="TC112" s="120" t="n">
        <f aca="false">TC91+PV($E$50,$F$15,-TC104,-TC110)</f>
        <v>4832.62360790739</v>
      </c>
      <c r="TD112" s="120" t="n">
        <f aca="false">TD91+PV($E$50,$F$15,-TD104,-TD110)</f>
        <v>1209.08510006792</v>
      </c>
      <c r="TE112" s="120" t="n">
        <f aca="false">TE91+PV($E$50,$F$15,-TE104,-TE110)</f>
        <v>3217.3459808726</v>
      </c>
      <c r="TF112" s="120" t="n">
        <f aca="false">TF91+PV($E$50,$F$15,-TF104,-TF110)</f>
        <v>4299.63525471255</v>
      </c>
      <c r="TG112" s="120" t="n">
        <f aca="false">TG91+PV($E$50,$F$15,-TG104,-TG110)</f>
        <v>4626.58016704972</v>
      </c>
      <c r="TH112" s="120" t="n">
        <f aca="false">TH91+PV($E$50,$F$15,-TH104,-TH110)</f>
        <v>4189.56517878009</v>
      </c>
      <c r="TI112" s="120" t="n">
        <f aca="false">TI91+PV($E$50,$F$15,-TI104,-TI110)</f>
        <v>294.991062675605</v>
      </c>
      <c r="TJ112" s="120" t="n">
        <f aca="false">TJ91+PV($E$50,$F$15,-TJ104,-TJ110)</f>
        <v>4026.98924529559</v>
      </c>
      <c r="TK112" s="120" t="n">
        <f aca="false">TK91+PV($E$50,$F$15,-TK104,-TK110)</f>
        <v>2175.97752461925</v>
      </c>
      <c r="TL112" s="120" t="n">
        <f aca="false">TL91+PV($E$50,$F$15,-TL104,-TL110)</f>
        <v>4674.03411992115</v>
      </c>
      <c r="TM112" s="120" t="n">
        <f aca="false">TM91+PV($E$50,$F$15,-TM104,-TM110)</f>
        <v>1957.61442156697</v>
      </c>
      <c r="TN112" s="120" t="n">
        <f aca="false">TN91+PV($E$50,$F$15,-TN104,-TN110)</f>
        <v>2916.86104510034</v>
      </c>
      <c r="TO112" s="120" t="n">
        <f aca="false">TO91+PV($E$50,$F$15,-TO104,-TO110)</f>
        <v>3137.15222762889</v>
      </c>
      <c r="TP112" s="120" t="n">
        <f aca="false">TP91+PV($E$50,$F$15,-TP104,-TP110)</f>
        <v>4762.34261485168</v>
      </c>
      <c r="TQ112" s="120" t="n">
        <f aca="false">TQ91+PV($E$50,$F$15,-TQ104,-TQ110)</f>
        <v>4703.71350046744</v>
      </c>
      <c r="TR112" s="120" t="n">
        <f aca="false">TR91+PV($E$50,$F$15,-TR104,-TR110)</f>
        <v>-300.521133505661</v>
      </c>
      <c r="TS112" s="120" t="n">
        <f aca="false">TS91+PV($E$50,$F$15,-TS104,-TS110)</f>
        <v>3121.96881766608</v>
      </c>
      <c r="TT112" s="120" t="n">
        <f aca="false">TT91+PV($E$50,$F$15,-TT104,-TT110)</f>
        <v>3881.57169504652</v>
      </c>
      <c r="TU112" s="120" t="n">
        <f aca="false">TU91+PV($E$50,$F$15,-TU104,-TU110)</f>
        <v>2780.59250645929</v>
      </c>
      <c r="TV112" s="120" t="n">
        <f aca="false">TV91+PV($E$50,$F$15,-TV104,-TV110)</f>
        <v>3714.2483054013</v>
      </c>
      <c r="TW112" s="120" t="n">
        <f aca="false">TW91+PV($E$50,$F$15,-TW104,-TW110)</f>
        <v>2750.59328223432</v>
      </c>
      <c r="TX112" s="120" t="n">
        <f aca="false">TX91+PV($E$50,$F$15,-TX104,-TX110)</f>
        <v>2094.26978871203</v>
      </c>
      <c r="TY112" s="120" t="n">
        <f aca="false">TY91+PV($E$50,$F$15,-TY104,-TY110)</f>
        <v>-522.209110905111</v>
      </c>
      <c r="TZ112" s="120" t="n">
        <f aca="false">TZ91+PV($E$50,$F$15,-TZ104,-TZ110)</f>
        <v>4576.40650329814</v>
      </c>
      <c r="UA112" s="120" t="n">
        <f aca="false">UA91+PV($E$50,$F$15,-UA104,-UA110)</f>
        <v>3956.80987330059</v>
      </c>
      <c r="UB112" s="120" t="n">
        <f aca="false">UB91+PV($E$50,$F$15,-UB104,-UB110)</f>
        <v>3198.03039320014</v>
      </c>
      <c r="UC112" s="120" t="n">
        <f aca="false">UC91+PV($E$50,$F$15,-UC104,-UC110)</f>
        <v>3196.05717430131</v>
      </c>
      <c r="UD112" s="120" t="n">
        <f aca="false">UD91+PV($E$50,$F$15,-UD104,-UD110)</f>
        <v>4940.25814789539</v>
      </c>
      <c r="UE112" s="120" t="n">
        <f aca="false">UE91+PV($E$50,$F$15,-UE104,-UE110)</f>
        <v>4375.43645241483</v>
      </c>
      <c r="UF112" s="120" t="n">
        <f aca="false">UF91+PV($E$50,$F$15,-UF104,-UF110)</f>
        <v>4169.76400480481</v>
      </c>
      <c r="UG112" s="120" t="n">
        <f aca="false">UG91+PV($E$50,$F$15,-UG104,-UG110)</f>
        <v>2891.49705468032</v>
      </c>
      <c r="UH112" s="120" t="n">
        <f aca="false">UH91+PV($E$50,$F$15,-UH104,-UH110)</f>
        <v>3381.14504325369</v>
      </c>
      <c r="UI112" s="120" t="n">
        <f aca="false">UI91+PV($E$50,$F$15,-UI104,-UI110)</f>
        <v>4291.90228537774</v>
      </c>
      <c r="UJ112" s="120" t="n">
        <f aca="false">UJ91+PV($E$50,$F$15,-UJ104,-UJ110)</f>
        <v>3091.01254656353</v>
      </c>
      <c r="UK112" s="120" t="n">
        <f aca="false">UK91+PV($E$50,$F$15,-UK104,-UK110)</f>
        <v>3025.0674895186</v>
      </c>
      <c r="UL112" s="120" t="n">
        <f aca="false">UL91+PV($E$50,$F$15,-UL104,-UL110)</f>
        <v>4104.73840805136</v>
      </c>
      <c r="UM112" s="120" t="n">
        <f aca="false">UM91+PV($E$50,$F$15,-UM104,-UM110)</f>
        <v>6025.90647182138</v>
      </c>
      <c r="UN112" s="120" t="n">
        <f aca="false">UN91+PV($E$50,$F$15,-UN104,-UN110)</f>
        <v>5032.24000144018</v>
      </c>
      <c r="UO112" s="120" t="n">
        <f aca="false">UO91+PV($E$50,$F$15,-UO104,-UO110)</f>
        <v>3902.24077887754</v>
      </c>
      <c r="UP112" s="120" t="n">
        <f aca="false">UP91+PV($E$50,$F$15,-UP104,-UP110)</f>
        <v>3336.29433617373</v>
      </c>
      <c r="UQ112" s="120" t="n">
        <f aca="false">UQ91+PV($E$50,$F$15,-UQ104,-UQ110)</f>
        <v>1846.81504033375</v>
      </c>
      <c r="UR112" s="120" t="n">
        <f aca="false">UR91+PV($E$50,$F$15,-UR104,-UR110)</f>
        <v>3567.03280450676</v>
      </c>
      <c r="US112" s="120" t="n">
        <f aca="false">US91+PV($E$50,$F$15,-US104,-US110)</f>
        <v>3864.10524036633</v>
      </c>
      <c r="UT112" s="120" t="n">
        <f aca="false">UT91+PV($E$50,$F$15,-UT104,-UT110)</f>
        <v>2418.93565325762</v>
      </c>
      <c r="UU112" s="120" t="n">
        <f aca="false">UU91+PV($E$50,$F$15,-UU104,-UU110)</f>
        <v>2968.95047495907</v>
      </c>
      <c r="UV112" s="120" t="n">
        <f aca="false">UV91+PV($E$50,$F$15,-UV104,-UV110)</f>
        <v>969.895058640928</v>
      </c>
      <c r="UW112" s="120" t="n">
        <f aca="false">UW91+PV($E$50,$F$15,-UW104,-UW110)</f>
        <v>2545.54906863742</v>
      </c>
      <c r="UX112" s="120" t="n">
        <f aca="false">UX91+PV($E$50,$F$15,-UX104,-UX110)</f>
        <v>4478.40511688146</v>
      </c>
      <c r="UY112" s="120" t="n">
        <f aca="false">UY91+PV($E$50,$F$15,-UY104,-UY110)</f>
        <v>3509.49057371127</v>
      </c>
      <c r="UZ112" s="120" t="n">
        <f aca="false">UZ91+PV($E$50,$F$15,-UZ104,-UZ110)</f>
        <v>5681.67493699435</v>
      </c>
      <c r="VA112" s="120" t="n">
        <f aca="false">VA91+PV($E$50,$F$15,-VA104,-VA110)</f>
        <v>3231.58526374635</v>
      </c>
      <c r="VB112" s="120" t="n">
        <f aca="false">VB91+PV($E$50,$F$15,-VB104,-VB110)</f>
        <v>4749.53884098244</v>
      </c>
      <c r="VC112" s="120" t="n">
        <f aca="false">VC91+PV($E$50,$F$15,-VC104,-VC110)</f>
        <v>3246.26425007331</v>
      </c>
      <c r="VD112" s="120" t="n">
        <f aca="false">VD91+PV($E$50,$F$15,-VD104,-VD110)</f>
        <v>2592.34049563835</v>
      </c>
      <c r="VE112" s="120" t="n">
        <f aca="false">VE91+PV($E$50,$F$15,-VE104,-VE110)</f>
        <v>2774.16644780855</v>
      </c>
      <c r="VF112" s="120" t="n">
        <f aca="false">VF91+PV($E$50,$F$15,-VF104,-VF110)</f>
        <v>1727.87995279261</v>
      </c>
      <c r="VG112" s="120" t="n">
        <f aca="false">VG91+PV($E$50,$F$15,-VG104,-VG110)</f>
        <v>1027.94140930411</v>
      </c>
      <c r="VH112" s="120" t="n">
        <f aca="false">VH91+PV($E$50,$F$15,-VH104,-VH110)</f>
        <v>-234.552023750921</v>
      </c>
      <c r="VI112" s="120" t="n">
        <f aca="false">VI91+PV($E$50,$F$15,-VI104,-VI110)</f>
        <v>4442.49527696047</v>
      </c>
      <c r="VJ112" s="120" t="n">
        <f aca="false">VJ91+PV($E$50,$F$15,-VJ104,-VJ110)</f>
        <v>1875.25123719897</v>
      </c>
      <c r="VK112" s="120" t="n">
        <f aca="false">VK91+PV($E$50,$F$15,-VK104,-VK110)</f>
        <v>3542.09037613872</v>
      </c>
      <c r="VL112" s="120" t="n">
        <f aca="false">VL91+PV($E$50,$F$15,-VL104,-VL110)</f>
        <v>3583.90379118604</v>
      </c>
      <c r="VM112" s="120" t="n">
        <f aca="false">VM91+PV($E$50,$F$15,-VM104,-VM110)</f>
        <v>5538.67456029353</v>
      </c>
      <c r="VN112" s="120" t="n">
        <f aca="false">VN91+PV($E$50,$F$15,-VN104,-VN110)</f>
        <v>1991.14352992719</v>
      </c>
      <c r="VO112" s="120" t="n">
        <f aca="false">VO91+PV($E$50,$F$15,-VO104,-VO110)</f>
        <v>5302.09197172061</v>
      </c>
      <c r="VP112" s="120" t="n">
        <f aca="false">VP91+PV($E$50,$F$15,-VP104,-VP110)</f>
        <v>4463.3607635575</v>
      </c>
      <c r="VQ112" s="120" t="n">
        <f aca="false">VQ91+PV($E$50,$F$15,-VQ104,-VQ110)</f>
        <v>3812.37637182168</v>
      </c>
      <c r="VR112" s="120" t="n">
        <f aca="false">VR91+PV($E$50,$F$15,-VR104,-VR110)</f>
        <v>5477.47502328728</v>
      </c>
      <c r="VS112" s="120" t="n">
        <f aca="false">VS91+PV($E$50,$F$15,-VS104,-VS110)</f>
        <v>3721.54843183216</v>
      </c>
      <c r="VT112" s="120" t="n">
        <f aca="false">VT91+PV($E$50,$F$15,-VT104,-VT110)</f>
        <v>1774.78237677122</v>
      </c>
      <c r="VU112" s="120" t="n">
        <f aca="false">VU91+PV($E$50,$F$15,-VU104,-VU110)</f>
        <v>4207.15978473081</v>
      </c>
      <c r="VV112" s="120" t="n">
        <f aca="false">VV91+PV($E$50,$F$15,-VV104,-VV110)</f>
        <v>-270.41070608789</v>
      </c>
      <c r="VW112" s="120" t="n">
        <f aca="false">VW91+PV($E$50,$F$15,-VW104,-VW110)</f>
        <v>3942.26209564392</v>
      </c>
      <c r="VX112" s="120" t="n">
        <f aca="false">VX91+PV($E$50,$F$15,-VX104,-VX110)</f>
        <v>1238.6090549082</v>
      </c>
      <c r="VY112" s="120" t="n">
        <f aca="false">VY91+PV($E$50,$F$15,-VY104,-VY110)</f>
        <v>4636.14496485189</v>
      </c>
      <c r="VZ112" s="120" t="n">
        <f aca="false">VZ91+PV($E$50,$F$15,-VZ104,-VZ110)</f>
        <v>4759.59503166911</v>
      </c>
      <c r="WA112" s="120" t="n">
        <f aca="false">WA91+PV($E$50,$F$15,-WA104,-WA110)</f>
        <v>-2276.3629975561</v>
      </c>
      <c r="WB112" s="120" t="n">
        <f aca="false">WB91+PV($E$50,$F$15,-WB104,-WB110)</f>
        <v>4160.40090401008</v>
      </c>
      <c r="WC112" s="120" t="n">
        <f aca="false">WC91+PV($E$50,$F$15,-WC104,-WC110)</f>
        <v>4901.55326493777</v>
      </c>
      <c r="WD112" s="120" t="n">
        <f aca="false">WD91+PV($E$50,$F$15,-WD104,-WD110)</f>
        <v>2885.40002615922</v>
      </c>
      <c r="WE112" s="120" t="n">
        <f aca="false">WE91+PV($E$50,$F$15,-WE104,-WE110)</f>
        <v>3365.71982527577</v>
      </c>
      <c r="WF112" s="120" t="n">
        <f aca="false">WF91+PV($E$50,$F$15,-WF104,-WF110)</f>
        <v>4639.00341196105</v>
      </c>
      <c r="WG112" s="120" t="n">
        <f aca="false">WG91+PV($E$50,$F$15,-WG104,-WG110)</f>
        <v>2543.14695512884</v>
      </c>
      <c r="WH112" s="120" t="n">
        <f aca="false">WH91+PV($E$50,$F$15,-WH104,-WH110)</f>
        <v>2635.71631537072</v>
      </c>
      <c r="WI112" s="120" t="n">
        <f aca="false">WI91+PV($E$50,$F$15,-WI104,-WI110)</f>
        <v>5554.75250842471</v>
      </c>
      <c r="WJ112" s="120" t="n">
        <f aca="false">WJ91+PV($E$50,$F$15,-WJ104,-WJ110)</f>
        <v>3195.30257938948</v>
      </c>
      <c r="WK112" s="120" t="n">
        <f aca="false">WK91+PV($E$50,$F$15,-WK104,-WK110)</f>
        <v>1199.66872758247</v>
      </c>
      <c r="WL112" s="120" t="n">
        <f aca="false">WL91+PV($E$50,$F$15,-WL104,-WL110)</f>
        <v>2994.05393626693</v>
      </c>
      <c r="WM112" s="120" t="n">
        <f aca="false">WM91+PV($E$50,$F$15,-WM104,-WM110)</f>
        <v>4602.05090067651</v>
      </c>
      <c r="WN112" s="120" t="n">
        <f aca="false">WN91+PV($E$50,$F$15,-WN104,-WN110)</f>
        <v>978.698386836139</v>
      </c>
      <c r="WO112" s="120" t="n">
        <f aca="false">WO91+PV($E$50,$F$15,-WO104,-WO110)</f>
        <v>4158.69873387094</v>
      </c>
      <c r="WP112" s="120" t="n">
        <f aca="false">WP91+PV($E$50,$F$15,-WP104,-WP110)</f>
        <v>4910.71407850455</v>
      </c>
      <c r="WQ112" s="120" t="n">
        <f aca="false">WQ91+PV($E$50,$F$15,-WQ104,-WQ110)</f>
        <v>-110.931431754378</v>
      </c>
      <c r="WR112" s="120" t="n">
        <f aca="false">WR91+PV($E$50,$F$15,-WR104,-WR110)</f>
        <v>2303.57387365766</v>
      </c>
      <c r="WS112" s="120" t="n">
        <f aca="false">WS91+PV($E$50,$F$15,-WS104,-WS110)</f>
        <v>3598.3562941428</v>
      </c>
      <c r="WT112" s="120" t="n">
        <f aca="false">WT91+PV($E$50,$F$15,-WT104,-WT110)</f>
        <v>3182.9222677833</v>
      </c>
      <c r="WU112" s="120" t="n">
        <f aca="false">WU91+PV($E$50,$F$15,-WU104,-WU110)</f>
        <v>4379.06990737527</v>
      </c>
      <c r="WV112" s="120" t="n">
        <f aca="false">WV91+PV($E$50,$F$15,-WV104,-WV110)</f>
        <v>4303.3284207575</v>
      </c>
      <c r="WW112" s="120" t="n">
        <f aca="false">WW91+PV($E$50,$F$15,-WW104,-WW110)</f>
        <v>4441.19940158362</v>
      </c>
      <c r="WX112" s="120" t="n">
        <f aca="false">WX91+PV($E$50,$F$15,-WX104,-WX110)</f>
        <v>1816.11422525921</v>
      </c>
      <c r="WY112" s="120" t="n">
        <f aca="false">WY91+PV($E$50,$F$15,-WY104,-WY110)</f>
        <v>3819.83010970769</v>
      </c>
      <c r="WZ112" s="120" t="n">
        <f aca="false">WZ91+PV($E$50,$F$15,-WZ104,-WZ110)</f>
        <v>3863.10689434891</v>
      </c>
      <c r="XA112" s="120" t="n">
        <f aca="false">XA91+PV($E$50,$F$15,-XA104,-XA110)</f>
        <v>4470.26861956056</v>
      </c>
      <c r="XB112" s="120" t="n">
        <f aca="false">XB91+PV($E$50,$F$15,-XB104,-XB110)</f>
        <v>4683.87531496936</v>
      </c>
      <c r="XC112" s="120" t="n">
        <f aca="false">XC91+PV($E$50,$F$15,-XC104,-XC110)</f>
        <v>1020.03889139763</v>
      </c>
      <c r="XD112" s="120" t="n">
        <f aca="false">XD91+PV($E$50,$F$15,-XD104,-XD110)</f>
        <v>4891.53967332938</v>
      </c>
      <c r="XE112" s="120" t="n">
        <f aca="false">XE91+PV($E$50,$F$15,-XE104,-XE110)</f>
        <v>5413.88567707002</v>
      </c>
      <c r="XF112" s="120" t="n">
        <f aca="false">XF91+PV($E$50,$F$15,-XF104,-XF110)</f>
        <v>-544.552255562812</v>
      </c>
      <c r="XG112" s="120" t="n">
        <f aca="false">XG91+PV($E$50,$F$15,-XG104,-XG110)</f>
        <v>2803.22363668943</v>
      </c>
      <c r="XH112" s="120" t="n">
        <f aca="false">XH91+PV($E$50,$F$15,-XH104,-XH110)</f>
        <v>3410.55780007928</v>
      </c>
      <c r="XI112" s="120" t="n">
        <f aca="false">XI91+PV($E$50,$F$15,-XI104,-XI110)</f>
        <v>4938.59132601208</v>
      </c>
      <c r="XJ112" s="120" t="n">
        <f aca="false">XJ91+PV($E$50,$F$15,-XJ104,-XJ110)</f>
        <v>2628.09445417827</v>
      </c>
      <c r="XK112" s="120" t="n">
        <f aca="false">XK91+PV($E$50,$F$15,-XK104,-XK110)</f>
        <v>4024.81866994868</v>
      </c>
      <c r="XL112" s="120" t="n">
        <f aca="false">XL91+PV($E$50,$F$15,-XL104,-XL110)</f>
        <v>2994.28402268849</v>
      </c>
      <c r="XM112" s="120" t="n">
        <f aca="false">XM91+PV($E$50,$F$15,-XM104,-XM110)</f>
        <v>5732.71506558369</v>
      </c>
      <c r="XN112" s="120" t="n">
        <f aca="false">XN91+PV($E$50,$F$15,-XN104,-XN110)</f>
        <v>3294.95468927503</v>
      </c>
      <c r="XO112" s="120" t="n">
        <f aca="false">XO91+PV($E$50,$F$15,-XO104,-XO110)</f>
        <v>3172.33592610702</v>
      </c>
      <c r="XP112" s="120" t="n">
        <f aca="false">XP91+PV($E$50,$F$15,-XP104,-XP110)</f>
        <v>832.730754828357</v>
      </c>
      <c r="XQ112" s="120" t="n">
        <f aca="false">XQ91+PV($E$50,$F$15,-XQ104,-XQ110)</f>
        <v>2788.9618475615</v>
      </c>
      <c r="XR112" s="120" t="n">
        <f aca="false">XR91+PV($E$50,$F$15,-XR104,-XR110)</f>
        <v>2734.06090712719</v>
      </c>
      <c r="XS112" s="120" t="n">
        <f aca="false">XS91+PV($E$50,$F$15,-XS104,-XS110)</f>
        <v>2163.66317774782</v>
      </c>
      <c r="XT112" s="120" t="n">
        <f aca="false">XT91+PV($E$50,$F$15,-XT104,-XT110)</f>
        <v>4033.73633446403</v>
      </c>
      <c r="XU112" s="120" t="n">
        <f aca="false">XU91+PV($E$50,$F$15,-XU104,-XU110)</f>
        <v>624.004913693199</v>
      </c>
      <c r="XV112" s="120" t="n">
        <f aca="false">XV91+PV($E$50,$F$15,-XV104,-XV110)</f>
        <v>4671.46907339006</v>
      </c>
      <c r="XW112" s="120" t="n">
        <f aca="false">XW91+PV($E$50,$F$15,-XW104,-XW110)</f>
        <v>3086.6191871863</v>
      </c>
      <c r="XX112" s="120" t="n">
        <f aca="false">XX91+PV($E$50,$F$15,-XX104,-XX110)</f>
        <v>1612.9676889212</v>
      </c>
      <c r="XY112" s="120" t="n">
        <f aca="false">XY91+PV($E$50,$F$15,-XY104,-XY110)</f>
        <v>2549.05857000352</v>
      </c>
      <c r="XZ112" s="120" t="n">
        <f aca="false">XZ91+PV($E$50,$F$15,-XZ104,-XZ110)</f>
        <v>4227.18671392552</v>
      </c>
      <c r="YA112" s="120" t="n">
        <f aca="false">YA91+PV($E$50,$F$15,-YA104,-YA110)</f>
        <v>3671.68132728572</v>
      </c>
      <c r="YB112" s="120" t="n">
        <f aca="false">YB91+PV($E$50,$F$15,-YB104,-YB110)</f>
        <v>2880.43315273228</v>
      </c>
      <c r="YC112" s="120" t="n">
        <f aca="false">YC91+PV($E$50,$F$15,-YC104,-YC110)</f>
        <v>2396.40228353451</v>
      </c>
      <c r="YD112" s="120" t="n">
        <f aca="false">YD91+PV($E$50,$F$15,-YD104,-YD110)</f>
        <v>3520.66140966252</v>
      </c>
      <c r="YE112" s="120" t="n">
        <f aca="false">YE91+PV($E$50,$F$15,-YE104,-YE110)</f>
        <v>3986.25291180085</v>
      </c>
      <c r="YF112" s="120" t="n">
        <f aca="false">YF91+PV($E$50,$F$15,-YF104,-YF110)</f>
        <v>2653.47475456821</v>
      </c>
      <c r="YG112" s="120" t="n">
        <f aca="false">YG91+PV($E$50,$F$15,-YG104,-YG110)</f>
        <v>4452.08728271094</v>
      </c>
      <c r="YH112" s="120" t="n">
        <f aca="false">YH91+PV($E$50,$F$15,-YH104,-YH110)</f>
        <v>-3780.966187768</v>
      </c>
      <c r="YI112" s="120" t="n">
        <f aca="false">YI91+PV($E$50,$F$15,-YI104,-YI110)</f>
        <v>4170.75307394678</v>
      </c>
      <c r="YJ112" s="120" t="n">
        <f aca="false">YJ91+PV($E$50,$F$15,-YJ104,-YJ110)</f>
        <v>4759.71187609324</v>
      </c>
      <c r="YK112" s="120" t="n">
        <f aca="false">YK91+PV($E$50,$F$15,-YK104,-YK110)</f>
        <v>3300.7894731971</v>
      </c>
      <c r="YL112" s="120" t="n">
        <f aca="false">YL91+PV($E$50,$F$15,-YL104,-YL110)</f>
        <v>108.483280639804</v>
      </c>
      <c r="YM112" s="120" t="n">
        <f aca="false">YM91+PV($E$50,$F$15,-YM104,-YM110)</f>
        <v>3523.58409278836</v>
      </c>
      <c r="YN112" s="120" t="n">
        <f aca="false">YN91+PV($E$50,$F$15,-YN104,-YN110)</f>
        <v>3259.70825206481</v>
      </c>
      <c r="YO112" s="120" t="n">
        <f aca="false">YO91+PV($E$50,$F$15,-YO104,-YO110)</f>
        <v>4638.58916558486</v>
      </c>
      <c r="YP112" s="120" t="n">
        <f aca="false">YP91+PV($E$50,$F$15,-YP104,-YP110)</f>
        <v>87.2804222740851</v>
      </c>
      <c r="YQ112" s="120" t="n">
        <f aca="false">YQ91+PV($E$50,$F$15,-YQ104,-YQ110)</f>
        <v>2117.99276954607</v>
      </c>
      <c r="YR112" s="120" t="n">
        <f aca="false">YR91+PV($E$50,$F$15,-YR104,-YR110)</f>
        <v>1149.14056992934</v>
      </c>
      <c r="YS112" s="120" t="n">
        <f aca="false">YS91+PV($E$50,$F$15,-YS104,-YS110)</f>
        <v>3684.0282008549</v>
      </c>
      <c r="YT112" s="120" t="n">
        <f aca="false">YT91+PV($E$50,$F$15,-YT104,-YT110)</f>
        <v>3928.22280738216</v>
      </c>
      <c r="YU112" s="120" t="n">
        <f aca="false">YU91+PV($E$50,$F$15,-YU104,-YU110)</f>
        <v>5351.31517537468</v>
      </c>
      <c r="YV112" s="120" t="n">
        <f aca="false">YV91+PV($E$50,$F$15,-YV104,-YV110)</f>
        <v>3244.04556290477</v>
      </c>
      <c r="YW112" s="120" t="n">
        <f aca="false">YW91+PV($E$50,$F$15,-YW104,-YW110)</f>
        <v>1888.88786597905</v>
      </c>
      <c r="YX112" s="120" t="n">
        <f aca="false">YX91+PV($E$50,$F$15,-YX104,-YX110)</f>
        <v>4798.84030120947</v>
      </c>
      <c r="YY112" s="120" t="n">
        <f aca="false">YY91+PV($E$50,$F$15,-YY104,-YY110)</f>
        <v>4961.17721228558</v>
      </c>
      <c r="YZ112" s="120" t="n">
        <f aca="false">YZ91+PV($E$50,$F$15,-YZ104,-YZ110)</f>
        <v>3820.54623887209</v>
      </c>
      <c r="ZA112" s="120" t="n">
        <f aca="false">ZA91+PV($E$50,$F$15,-ZA104,-ZA110)</f>
        <v>4632.54257917204</v>
      </c>
      <c r="ZB112" s="120" t="n">
        <f aca="false">ZB91+PV($E$50,$F$15,-ZB104,-ZB110)</f>
        <v>4564.95759711363</v>
      </c>
      <c r="ZC112" s="120" t="n">
        <f aca="false">ZC91+PV($E$50,$F$15,-ZC104,-ZC110)</f>
        <v>1915.83060923587</v>
      </c>
      <c r="ZD112" s="120" t="n">
        <f aca="false">ZD91+PV($E$50,$F$15,-ZD104,-ZD110)</f>
        <v>553.677648531959</v>
      </c>
      <c r="ZE112" s="120" t="n">
        <f aca="false">ZE91+PV($E$50,$F$15,-ZE104,-ZE110)</f>
        <v>3646.0154556484</v>
      </c>
      <c r="ZF112" s="120" t="n">
        <f aca="false">ZF91+PV($E$50,$F$15,-ZF104,-ZF110)</f>
        <v>3205.02144352787</v>
      </c>
      <c r="ZG112" s="120" t="n">
        <f aca="false">ZG91+PV($E$50,$F$15,-ZG104,-ZG110)</f>
        <v>3561.5828540037</v>
      </c>
      <c r="ZH112" s="120" t="n">
        <f aca="false">ZH91+PV($E$50,$F$15,-ZH104,-ZH110)</f>
        <v>1386.461595243</v>
      </c>
      <c r="ZI112" s="120" t="n">
        <f aca="false">ZI91+PV($E$50,$F$15,-ZI104,-ZI110)</f>
        <v>3911.12034734446</v>
      </c>
      <c r="ZJ112" s="120" t="n">
        <f aca="false">ZJ91+PV($E$50,$F$15,-ZJ104,-ZJ110)</f>
        <v>3777.74589590529</v>
      </c>
      <c r="ZK112" s="120" t="n">
        <f aca="false">ZK91+PV($E$50,$F$15,-ZK104,-ZK110)</f>
        <v>3716.92220140343</v>
      </c>
      <c r="ZL112" s="120" t="n">
        <f aca="false">ZL91+PV($E$50,$F$15,-ZL104,-ZL110)</f>
        <v>3322.31739132838</v>
      </c>
      <c r="ZM112" s="120" t="n">
        <f aca="false">ZM91+PV($E$50,$F$15,-ZM104,-ZM110)</f>
        <v>4980.54072250858</v>
      </c>
      <c r="ZN112" s="120" t="n">
        <f aca="false">ZN91+PV($E$50,$F$15,-ZN104,-ZN110)</f>
        <v>3458.11293293964</v>
      </c>
      <c r="ZO112" s="120" t="n">
        <f aca="false">ZO91+PV($E$50,$F$15,-ZO104,-ZO110)</f>
        <v>4647.88367533899</v>
      </c>
      <c r="ZP112" s="120" t="n">
        <f aca="false">ZP91+PV($E$50,$F$15,-ZP104,-ZP110)</f>
        <v>6116.30447294271</v>
      </c>
      <c r="ZQ112" s="120" t="n">
        <f aca="false">ZQ91+PV($E$50,$F$15,-ZQ104,-ZQ110)</f>
        <v>4334.58069273338</v>
      </c>
      <c r="ZR112" s="120" t="n">
        <f aca="false">ZR91+PV($E$50,$F$15,-ZR104,-ZR110)</f>
        <v>5289.97462530601</v>
      </c>
      <c r="ZS112" s="120" t="n">
        <f aca="false">ZS91+PV($E$50,$F$15,-ZS104,-ZS110)</f>
        <v>-1166.46977955712</v>
      </c>
      <c r="ZT112" s="120" t="n">
        <f aca="false">ZT91+PV($E$50,$F$15,-ZT104,-ZT110)</f>
        <v>2298.43191705531</v>
      </c>
      <c r="ZU112" s="120" t="n">
        <f aca="false">ZU91+PV($E$50,$F$15,-ZU104,-ZU110)</f>
        <v>5091.92270069847</v>
      </c>
      <c r="ZV112" s="120" t="n">
        <f aca="false">ZV91+PV($E$50,$F$15,-ZV104,-ZV110)</f>
        <v>3354.83536365399</v>
      </c>
      <c r="ZW112" s="120" t="n">
        <f aca="false">ZW91+PV($E$50,$F$15,-ZW104,-ZW110)</f>
        <v>3199.26684062798</v>
      </c>
      <c r="ZX112" s="120" t="n">
        <f aca="false">ZX91+PV($E$50,$F$15,-ZX104,-ZX110)</f>
        <v>-1579.93303658631</v>
      </c>
      <c r="ZY112" s="120" t="n">
        <f aca="false">ZY91+PV($E$50,$F$15,-ZY104,-ZY110)</f>
        <v>6267.7552838794</v>
      </c>
      <c r="ZZ112" s="120" t="n">
        <f aca="false">ZZ91+PV($E$50,$F$15,-ZZ104,-ZZ110)</f>
        <v>2933.03833873516</v>
      </c>
      <c r="AAA112" s="120" t="n">
        <f aca="false">AAA91+PV($E$50,$F$15,-AAA104,-AAA110)</f>
        <v>3958.30670795374</v>
      </c>
      <c r="AAB112" s="120" t="n">
        <f aca="false">AAB91+PV($E$50,$F$15,-AAB104,-AAB110)</f>
        <v>3626.62790610679</v>
      </c>
      <c r="AAC112" s="120" t="n">
        <f aca="false">AAC91+PV($E$50,$F$15,-AAC104,-AAC110)</f>
        <v>4353.9448669575</v>
      </c>
      <c r="AAD112" s="120" t="n">
        <f aca="false">AAD91+PV($E$50,$F$15,-AAD104,-AAD110)</f>
        <v>2713.3488420185</v>
      </c>
      <c r="AAE112" s="120" t="n">
        <f aca="false">AAE91+PV($E$50,$F$15,-AAE104,-AAE110)</f>
        <v>3943.44963773929</v>
      </c>
      <c r="AAF112" s="120" t="n">
        <f aca="false">AAF91+PV($E$50,$F$15,-AAF104,-AAF110)</f>
        <v>2046.48615918854</v>
      </c>
      <c r="AAG112" s="120" t="n">
        <f aca="false">AAG91+PV($E$50,$F$15,-AAG104,-AAG110)</f>
        <v>2097.29099356387</v>
      </c>
      <c r="AAH112" s="120" t="n">
        <f aca="false">AAH91+PV($E$50,$F$15,-AAH104,-AAH110)</f>
        <v>1984.80471147813</v>
      </c>
      <c r="AAI112" s="120" t="n">
        <f aca="false">AAI91+PV($E$50,$F$15,-AAI104,-AAI110)</f>
        <v>4443.00245256912</v>
      </c>
      <c r="AAJ112" s="120" t="n">
        <f aca="false">AAJ91+PV($E$50,$F$15,-AAJ104,-AAJ110)</f>
        <v>4142.73463548652</v>
      </c>
      <c r="AAK112" s="120" t="n">
        <f aca="false">AAK91+PV($E$50,$F$15,-AAK104,-AAK110)</f>
        <v>651.203288723475</v>
      </c>
      <c r="AAL112" s="120" t="n">
        <f aca="false">AAL91+PV($E$50,$F$15,-AAL104,-AAL110)</f>
        <v>2976.15891505236</v>
      </c>
      <c r="AAM112" s="120" t="n">
        <f aca="false">AAM91+PV($E$50,$F$15,-AAM104,-AAM110)</f>
        <v>3615.76968101166</v>
      </c>
      <c r="AAN112" s="120" t="n">
        <f aca="false">AAN91+PV($E$50,$F$15,-AAN104,-AAN110)</f>
        <v>4885.92815673837</v>
      </c>
      <c r="AAO112" s="120" t="n">
        <f aca="false">AAO91+PV($E$50,$F$15,-AAO104,-AAO110)</f>
        <v>3673.51872339312</v>
      </c>
      <c r="AAP112" s="120" t="n">
        <f aca="false">AAP91+PV($E$50,$F$15,-AAP104,-AAP110)</f>
        <v>5320.2088397595</v>
      </c>
      <c r="AAQ112" s="120" t="n">
        <f aca="false">AAQ91+PV($E$50,$F$15,-AAQ104,-AAQ110)</f>
        <v>3419.53490512877</v>
      </c>
      <c r="AAR112" s="120" t="n">
        <f aca="false">AAR91+PV($E$50,$F$15,-AAR104,-AAR110)</f>
        <v>-253.40048190083</v>
      </c>
      <c r="AAS112" s="120" t="n">
        <f aca="false">AAS91+PV($E$50,$F$15,-AAS104,-AAS110)</f>
        <v>3768.27099988789</v>
      </c>
      <c r="AAT112" s="120" t="n">
        <f aca="false">AAT91+PV($E$50,$F$15,-AAT104,-AAT110)</f>
        <v>4372.4942683209</v>
      </c>
      <c r="AAU112" s="120" t="n">
        <f aca="false">AAU91+PV($E$50,$F$15,-AAU104,-AAU110)</f>
        <v>4247.11101013418</v>
      </c>
      <c r="AAV112" s="120" t="n">
        <f aca="false">AAV91+PV($E$50,$F$15,-AAV104,-AAV110)</f>
        <v>1967.74320073922</v>
      </c>
      <c r="AAW112" s="120" t="n">
        <f aca="false">AAW91+PV($E$50,$F$15,-AAW104,-AAW110)</f>
        <v>3575.45038919948</v>
      </c>
      <c r="AAX112" s="120" t="n">
        <f aca="false">AAX91+PV($E$50,$F$15,-AAX104,-AAX110)</f>
        <v>4464.66686460462</v>
      </c>
      <c r="AAY112" s="120" t="n">
        <f aca="false">AAY91+PV($E$50,$F$15,-AAY104,-AAY110)</f>
        <v>4894.06959968829</v>
      </c>
      <c r="AAZ112" s="120" t="n">
        <f aca="false">AAZ91+PV($E$50,$F$15,-AAZ104,-AAZ110)</f>
        <v>2888.11737583753</v>
      </c>
      <c r="ABA112" s="120" t="n">
        <f aca="false">ABA91+PV($E$50,$F$15,-ABA104,-ABA110)</f>
        <v>3035.97919221578</v>
      </c>
      <c r="ABB112" s="120" t="n">
        <f aca="false">ABB91+PV($E$50,$F$15,-ABB104,-ABB110)</f>
        <v>2647.45614644907</v>
      </c>
      <c r="ABC112" s="120" t="n">
        <f aca="false">ABC91+PV($E$50,$F$15,-ABC104,-ABC110)</f>
        <v>2196.33277441865</v>
      </c>
      <c r="ABD112" s="120" t="n">
        <f aca="false">ABD91+PV($E$50,$F$15,-ABD104,-ABD110)</f>
        <v>4701.58227407639</v>
      </c>
      <c r="ABE112" s="120" t="n">
        <f aca="false">ABE91+PV($E$50,$F$15,-ABE104,-ABE110)</f>
        <v>4038.78058713809</v>
      </c>
      <c r="ABF112" s="120" t="n">
        <f aca="false">ABF91+PV($E$50,$F$15,-ABF104,-ABF110)</f>
        <v>4370.3244038074</v>
      </c>
      <c r="ABG112" s="120" t="n">
        <f aca="false">ABG91+PV($E$50,$F$15,-ABG104,-ABG110)</f>
        <v>4755.27160447576</v>
      </c>
      <c r="ABH112" s="120" t="n">
        <f aca="false">ABH91+PV($E$50,$F$15,-ABH104,-ABH110)</f>
        <v>4593.98971604905</v>
      </c>
      <c r="ABI112" s="120" t="n">
        <f aca="false">ABI91+PV($E$50,$F$15,-ABI104,-ABI110)</f>
        <v>5106.96399535946</v>
      </c>
      <c r="ABJ112" s="120" t="n">
        <f aca="false">ABJ91+PV($E$50,$F$15,-ABJ104,-ABJ110)</f>
        <v>3232.86507537453</v>
      </c>
      <c r="ABK112" s="120" t="n">
        <f aca="false">ABK91+PV($E$50,$F$15,-ABK104,-ABK110)</f>
        <v>4393.35373952129</v>
      </c>
      <c r="ABL112" s="120" t="n">
        <f aca="false">ABL91+PV($E$50,$F$15,-ABL104,-ABL110)</f>
        <v>3340.70755968747</v>
      </c>
      <c r="ABM112" s="120" t="n">
        <f aca="false">ABM91+PV($E$50,$F$15,-ABM104,-ABM110)</f>
        <v>3690.69870015762</v>
      </c>
      <c r="ABN112" s="120" t="n">
        <f aca="false">ABN91+PV($E$50,$F$15,-ABN104,-ABN110)</f>
        <v>4647.47061310763</v>
      </c>
      <c r="ABO112" s="120" t="n">
        <f aca="false">ABO91+PV($E$50,$F$15,-ABO104,-ABO110)</f>
        <v>6157.76139748827</v>
      </c>
      <c r="ABP112" s="120" t="n">
        <f aca="false">ABP91+PV($E$50,$F$15,-ABP104,-ABP110)</f>
        <v>3832.28489698672</v>
      </c>
      <c r="ABQ112" s="120" t="n">
        <f aca="false">ABQ91+PV($E$50,$F$15,-ABQ104,-ABQ110)</f>
        <v>4059.88747812368</v>
      </c>
      <c r="ABR112" s="120" t="n">
        <f aca="false">ABR91+PV($E$50,$F$15,-ABR104,-ABR110)</f>
        <v>3389.67195496314</v>
      </c>
      <c r="ABS112" s="120" t="n">
        <f aca="false">ABS91+PV($E$50,$F$15,-ABS104,-ABS110)</f>
        <v>5858.80516739471</v>
      </c>
      <c r="ABT112" s="120" t="n">
        <f aca="false">ABT91+PV($E$50,$F$15,-ABT104,-ABT110)</f>
        <v>5142.50679503184</v>
      </c>
      <c r="ABU112" s="120" t="n">
        <f aca="false">ABU91+PV($E$50,$F$15,-ABU104,-ABU110)</f>
        <v>3225.29371961876</v>
      </c>
      <c r="ABV112" s="120" t="n">
        <f aca="false">ABV91+PV($E$50,$F$15,-ABV104,-ABV110)</f>
        <v>4441.7477058629</v>
      </c>
      <c r="ABW112" s="120" t="n">
        <f aca="false">ABW91+PV($E$50,$F$15,-ABW104,-ABW110)</f>
        <v>3387.5682356948</v>
      </c>
      <c r="ABX112" s="120" t="n">
        <f aca="false">ABX91+PV($E$50,$F$15,-ABX104,-ABX110)</f>
        <v>4733.92004616395</v>
      </c>
      <c r="ABY112" s="120" t="n">
        <f aca="false">ABY91+PV($E$50,$F$15,-ABY104,-ABY110)</f>
        <v>4007.02643788065</v>
      </c>
      <c r="ABZ112" s="120" t="n">
        <f aca="false">ABZ91+PV($E$50,$F$15,-ABZ104,-ABZ110)</f>
        <v>2647.18578445691</v>
      </c>
      <c r="ACA112" s="120" t="n">
        <f aca="false">ACA91+PV($E$50,$F$15,-ACA104,-ACA110)</f>
        <v>4085.57621955983</v>
      </c>
      <c r="ACB112" s="120" t="n">
        <f aca="false">ACB91+PV($E$50,$F$15,-ACB104,-ACB110)</f>
        <v>5947.26678686552</v>
      </c>
      <c r="ACC112" s="120" t="n">
        <f aca="false">ACC91+PV($E$50,$F$15,-ACC104,-ACC110)</f>
        <v>2792.17922540824</v>
      </c>
      <c r="ACD112" s="120" t="n">
        <f aca="false">ACD91+PV($E$50,$F$15,-ACD104,-ACD110)</f>
        <v>4799.54695786773</v>
      </c>
      <c r="ACE112" s="120" t="n">
        <f aca="false">ACE91+PV($E$50,$F$15,-ACE104,-ACE110)</f>
        <v>3503.64404626043</v>
      </c>
      <c r="ACF112" s="120" t="n">
        <f aca="false">ACF91+PV($E$50,$F$15,-ACF104,-ACF110)</f>
        <v>2220.51693604096</v>
      </c>
      <c r="ACG112" s="120" t="n">
        <f aca="false">ACG91+PV($E$50,$F$15,-ACG104,-ACG110)</f>
        <v>2572.54288986114</v>
      </c>
      <c r="ACH112" s="120" t="n">
        <f aca="false">ACH91+PV($E$50,$F$15,-ACH104,-ACH110)</f>
        <v>4045.04828523541</v>
      </c>
      <c r="ACI112" s="120" t="n">
        <f aca="false">ACI91+PV($E$50,$F$15,-ACI104,-ACI110)</f>
        <v>2647.76572743888</v>
      </c>
      <c r="ACJ112" s="120" t="n">
        <f aca="false">ACJ91+PV($E$50,$F$15,-ACJ104,-ACJ110)</f>
        <v>3577.04309628324</v>
      </c>
      <c r="ACK112" s="120" t="n">
        <f aca="false">ACK91+PV($E$50,$F$15,-ACK104,-ACK110)</f>
        <v>4212.98164131984</v>
      </c>
      <c r="ACL112" s="120" t="n">
        <f aca="false">ACL91+PV($E$50,$F$15,-ACL104,-ACL110)</f>
        <v>870.013263043074</v>
      </c>
      <c r="ACM112" s="120" t="n">
        <f aca="false">ACM91+PV($E$50,$F$15,-ACM104,-ACM110)</f>
        <v>2358.1894395653</v>
      </c>
      <c r="ACN112" s="120" t="n">
        <f aca="false">ACN91+PV($E$50,$F$15,-ACN104,-ACN110)</f>
        <v>4253.14762614692</v>
      </c>
      <c r="ACO112" s="120" t="n">
        <f aca="false">ACO91+PV($E$50,$F$15,-ACO104,-ACO110)</f>
        <v>4513.96497380894</v>
      </c>
      <c r="ACP112" s="120" t="n">
        <f aca="false">ACP91+PV($E$50,$F$15,-ACP104,-ACP110)</f>
        <v>2209.13364385946</v>
      </c>
      <c r="ACQ112" s="120" t="n">
        <f aca="false">ACQ91+PV($E$50,$F$15,-ACQ104,-ACQ110)</f>
        <v>3508.66218310802</v>
      </c>
      <c r="ACR112" s="120" t="n">
        <f aca="false">ACR91+PV($E$50,$F$15,-ACR104,-ACR110)</f>
        <v>2837.34131178189</v>
      </c>
      <c r="ACS112" s="120" t="n">
        <f aca="false">ACS91+PV($E$50,$F$15,-ACS104,-ACS110)</f>
        <v>4723.2069673474</v>
      </c>
      <c r="ACT112" s="120" t="n">
        <f aca="false">ACT91+PV($E$50,$F$15,-ACT104,-ACT110)</f>
        <v>3662.14793616296</v>
      </c>
      <c r="ACU112" s="120" t="n">
        <f aca="false">ACU91+PV($E$50,$F$15,-ACU104,-ACU110)</f>
        <v>4415.95324180513</v>
      </c>
      <c r="ACV112" s="120" t="n">
        <f aca="false">ACV91+PV($E$50,$F$15,-ACV104,-ACV110)</f>
        <v>4191.17688744108</v>
      </c>
      <c r="ACW112" s="120" t="n">
        <f aca="false">ACW91+PV($E$50,$F$15,-ACW104,-ACW110)</f>
        <v>2647.52456620876</v>
      </c>
      <c r="ACX112" s="120" t="n">
        <f aca="false">ACX91+PV($E$50,$F$15,-ACX104,-ACX110)</f>
        <v>4165.41512304897</v>
      </c>
      <c r="ACY112" s="120" t="n">
        <f aca="false">ACY91+PV($E$50,$F$15,-ACY104,-ACY110)</f>
        <v>539.839508712397</v>
      </c>
      <c r="ACZ112" s="120" t="n">
        <f aca="false">ACZ91+PV($E$50,$F$15,-ACZ104,-ACZ110)</f>
        <v>4723.62870457591</v>
      </c>
      <c r="ADA112" s="120" t="n">
        <f aca="false">ADA91+PV($E$50,$F$15,-ADA104,-ADA110)</f>
        <v>7071.67166442277</v>
      </c>
      <c r="ADB112" s="120" t="n">
        <f aca="false">ADB91+PV($E$50,$F$15,-ADB104,-ADB110)</f>
        <v>322.546792432526</v>
      </c>
      <c r="ADC112" s="120" t="n">
        <f aca="false">ADC91+PV($E$50,$F$15,-ADC104,-ADC110)</f>
        <v>4191.49241220353</v>
      </c>
      <c r="ADD112" s="120" t="n">
        <f aca="false">ADD91+PV($E$50,$F$15,-ADD104,-ADD110)</f>
        <v>2468.89468869259</v>
      </c>
      <c r="ADE112" s="120" t="n">
        <f aca="false">ADE91+PV($E$50,$F$15,-ADE104,-ADE110)</f>
        <v>460.044766280189</v>
      </c>
      <c r="ADF112" s="120" t="n">
        <f aca="false">ADF91+PV($E$50,$F$15,-ADF104,-ADF110)</f>
        <v>4281.28706724653</v>
      </c>
      <c r="ADG112" s="120" t="n">
        <f aca="false">ADG91+PV($E$50,$F$15,-ADG104,-ADG110)</f>
        <v>5568.59863867555</v>
      </c>
      <c r="ADH112" s="120" t="n">
        <f aca="false">ADH91+PV($E$50,$F$15,-ADH104,-ADH110)</f>
        <v>3076.6686056248</v>
      </c>
      <c r="ADI112" s="120" t="n">
        <f aca="false">ADI91+PV($E$50,$F$15,-ADI104,-ADI110)</f>
        <v>4717.55831537761</v>
      </c>
      <c r="ADJ112" s="120" t="n">
        <f aca="false">ADJ91+PV($E$50,$F$15,-ADJ104,-ADJ110)</f>
        <v>5198.80534067027</v>
      </c>
      <c r="ADK112" s="120" t="n">
        <f aca="false">ADK91+PV($E$50,$F$15,-ADK104,-ADK110)</f>
        <v>3094.92117520952</v>
      </c>
      <c r="ADL112" s="120" t="n">
        <f aca="false">ADL91+PV($E$50,$F$15,-ADL104,-ADL110)</f>
        <v>3990.5099788662</v>
      </c>
      <c r="ADM112" s="120" t="n">
        <f aca="false">ADM91+PV($E$50,$F$15,-ADM104,-ADM110)</f>
        <v>4375.13666986133</v>
      </c>
      <c r="ADN112" s="120" t="n">
        <f aca="false">ADN91+PV($E$50,$F$15,-ADN104,-ADN110)</f>
        <v>2674.0896988784</v>
      </c>
      <c r="ADO112" s="120" t="n">
        <f aca="false">ADO91+PV($E$50,$F$15,-ADO104,-ADO110)</f>
        <v>2500.17456662079</v>
      </c>
      <c r="ADP112" s="120" t="n">
        <f aca="false">ADP91+PV($E$50,$F$15,-ADP104,-ADP110)</f>
        <v>3929.49909195081</v>
      </c>
      <c r="ADQ112" s="120" t="n">
        <f aca="false">ADQ91+PV($E$50,$F$15,-ADQ104,-ADQ110)</f>
        <v>4645.09101590977</v>
      </c>
      <c r="ADR112" s="120" t="n">
        <f aca="false">ADR91+PV($E$50,$F$15,-ADR104,-ADR110)</f>
        <v>4622.98722476774</v>
      </c>
      <c r="ADS112" s="120" t="n">
        <f aca="false">ADS91+PV($E$50,$F$15,-ADS104,-ADS110)</f>
        <v>4932.2201550004</v>
      </c>
      <c r="ADT112" s="120" t="n">
        <f aca="false">ADT91+PV($E$50,$F$15,-ADT104,-ADT110)</f>
        <v>4980.79171026021</v>
      </c>
      <c r="ADU112" s="120" t="n">
        <f aca="false">ADU91+PV($E$50,$F$15,-ADU104,-ADU110)</f>
        <v>3441.85256773051</v>
      </c>
      <c r="ADV112" s="120" t="n">
        <f aca="false">ADV91+PV($E$50,$F$15,-ADV104,-ADV110)</f>
        <v>3428.24373664529</v>
      </c>
      <c r="ADW112" s="120" t="n">
        <f aca="false">ADW91+PV($E$50,$F$15,-ADW104,-ADW110)</f>
        <v>1269.08946656887</v>
      </c>
      <c r="ADX112" s="120" t="n">
        <f aca="false">ADX91+PV($E$50,$F$15,-ADX104,-ADX110)</f>
        <v>1708.91178026552</v>
      </c>
      <c r="ADY112" s="120" t="n">
        <f aca="false">ADY91+PV($E$50,$F$15,-ADY104,-ADY110)</f>
        <v>5000.01894571096</v>
      </c>
      <c r="ADZ112" s="120" t="n">
        <f aca="false">ADZ91+PV($E$50,$F$15,-ADZ104,-ADZ110)</f>
        <v>3877.53908306746</v>
      </c>
      <c r="AEA112" s="120" t="n">
        <f aca="false">AEA91+PV($E$50,$F$15,-AEA104,-AEA110)</f>
        <v>4682.59557427029</v>
      </c>
      <c r="AEB112" s="120" t="n">
        <f aca="false">AEB91+PV($E$50,$F$15,-AEB104,-AEB110)</f>
        <v>1343.20049221412</v>
      </c>
      <c r="AEC112" s="120" t="n">
        <f aca="false">AEC91+PV($E$50,$F$15,-AEC104,-AEC110)</f>
        <v>4392.15495855987</v>
      </c>
      <c r="AED112" s="120" t="n">
        <f aca="false">AED91+PV($E$50,$F$15,-AED104,-AED110)</f>
        <v>5997.75038290491</v>
      </c>
      <c r="AEE112" s="120" t="n">
        <f aca="false">AEE91+PV($E$50,$F$15,-AEE104,-AEE110)</f>
        <v>3037.41582631656</v>
      </c>
      <c r="AEF112" s="120" t="n">
        <f aca="false">AEF91+PV($E$50,$F$15,-AEF104,-AEF110)</f>
        <v>6267.38823463758</v>
      </c>
      <c r="AEG112" s="120" t="n">
        <f aca="false">AEG91+PV($E$50,$F$15,-AEG104,-AEG110)</f>
        <v>4053.27915345533</v>
      </c>
      <c r="AEH112" s="120" t="n">
        <f aca="false">AEH91+PV($E$50,$F$15,-AEH104,-AEH110)</f>
        <v>3979.95317515183</v>
      </c>
      <c r="AEI112" s="120" t="n">
        <f aca="false">AEI91+PV($E$50,$F$15,-AEI104,-AEI110)</f>
        <v>1119.36032439571</v>
      </c>
      <c r="AEJ112" s="120" t="n">
        <f aca="false">AEJ91+PV($E$50,$F$15,-AEJ104,-AEJ110)</f>
        <v>3025.640575541</v>
      </c>
      <c r="AEK112" s="120" t="n">
        <f aca="false">AEK91+PV($E$50,$F$15,-AEK104,-AEK110)</f>
        <v>4695.24611811172</v>
      </c>
      <c r="AEL112" s="120" t="n">
        <f aca="false">AEL91+PV($E$50,$F$15,-AEL104,-AEL110)</f>
        <v>3801.93030080278</v>
      </c>
      <c r="AEM112" s="120" t="n">
        <f aca="false">AEM91+PV($E$50,$F$15,-AEM104,-AEM110)</f>
        <v>4729.48142625414</v>
      </c>
      <c r="AEN112" s="120" t="n">
        <f aca="false">AEN91+PV($E$50,$F$15,-AEN104,-AEN110)</f>
        <v>472.851249283211</v>
      </c>
      <c r="AEO112" s="120" t="n">
        <f aca="false">AEO91+PV($E$50,$F$15,-AEO104,-AEO110)</f>
        <v>4245.60621736123</v>
      </c>
      <c r="AEP112" s="120" t="n">
        <f aca="false">AEP91+PV($E$50,$F$15,-AEP104,-AEP110)</f>
        <v>4079.84645644592</v>
      </c>
      <c r="AEQ112" s="120" t="n">
        <f aca="false">AEQ91+PV($E$50,$F$15,-AEQ104,-AEQ110)</f>
        <v>4769.20979021508</v>
      </c>
      <c r="AER112" s="120" t="n">
        <f aca="false">AER91+PV($E$50,$F$15,-AER104,-AER110)</f>
        <v>82.7793672775042</v>
      </c>
      <c r="AES112" s="120" t="n">
        <f aca="false">AES91+PV($E$50,$F$15,-AES104,-AES110)</f>
        <v>4142.12141046011</v>
      </c>
      <c r="AET112" s="120" t="n">
        <f aca="false">AET91+PV($E$50,$F$15,-AET104,-AET110)</f>
        <v>4589.0553500215</v>
      </c>
      <c r="AEU112" s="120" t="n">
        <f aca="false">AEU91+PV($E$50,$F$15,-AEU104,-AEU110)</f>
        <v>4383.01477593529</v>
      </c>
      <c r="AEV112" s="120" t="n">
        <f aca="false">AEV91+PV($E$50,$F$15,-AEV104,-AEV110)</f>
        <v>5002.38921471307</v>
      </c>
      <c r="AEW112" s="120" t="n">
        <f aca="false">AEW91+PV($E$50,$F$15,-AEW104,-AEW110)</f>
        <v>4955.97370375007</v>
      </c>
      <c r="AEX112" s="120" t="n">
        <f aca="false">AEX91+PV($E$50,$F$15,-AEX104,-AEX110)</f>
        <v>4740.34531509026</v>
      </c>
      <c r="AEY112" s="120" t="n">
        <f aca="false">AEY91+PV($E$50,$F$15,-AEY104,-AEY110)</f>
        <v>2201.68307469977</v>
      </c>
      <c r="AEZ112" s="120" t="n">
        <f aca="false">AEZ91+PV($E$50,$F$15,-AEZ104,-AEZ110)</f>
        <v>5385.21347188109</v>
      </c>
      <c r="AFA112" s="120" t="n">
        <f aca="false">AFA91+PV($E$50,$F$15,-AFA104,-AFA110)</f>
        <v>3975.5983309765</v>
      </c>
      <c r="AFB112" s="120" t="n">
        <f aca="false">AFB91+PV($E$50,$F$15,-AFB104,-AFB110)</f>
        <v>2966.11891694946</v>
      </c>
      <c r="AFC112" s="120" t="n">
        <f aca="false">AFC91+PV($E$50,$F$15,-AFC104,-AFC110)</f>
        <v>3372.94205657246</v>
      </c>
      <c r="AFD112" s="120" t="n">
        <f aca="false">AFD91+PV($E$50,$F$15,-AFD104,-AFD110)</f>
        <v>3840.22774646079</v>
      </c>
      <c r="AFE112" s="120" t="n">
        <f aca="false">AFE91+PV($E$50,$F$15,-AFE104,-AFE110)</f>
        <v>63.6379484807349</v>
      </c>
      <c r="AFF112" s="120" t="n">
        <f aca="false">AFF91+PV($E$50,$F$15,-AFF104,-AFF110)</f>
        <v>3967.65224264104</v>
      </c>
      <c r="AFG112" s="120" t="n">
        <f aca="false">AFG91+PV($E$50,$F$15,-AFG104,-AFG110)</f>
        <v>2550.12519916909</v>
      </c>
      <c r="AFH112" s="120" t="n">
        <f aca="false">AFH91+PV($E$50,$F$15,-AFH104,-AFH110)</f>
        <v>3978.44535442726</v>
      </c>
      <c r="AFI112" s="120" t="n">
        <f aca="false">AFI91+PV($E$50,$F$15,-AFI104,-AFI110)</f>
        <v>3633.35256405104</v>
      </c>
      <c r="AFJ112" s="120" t="n">
        <f aca="false">AFJ91+PV($E$50,$F$15,-AFJ104,-AFJ110)</f>
        <v>3216.00601604532</v>
      </c>
      <c r="AFK112" s="120" t="n">
        <f aca="false">AFK91+PV($E$50,$F$15,-AFK104,-AFK110)</f>
        <v>4893.80903566664</v>
      </c>
      <c r="AFL112" s="120" t="n">
        <f aca="false">AFL91+PV($E$50,$F$15,-AFL104,-AFL110)</f>
        <v>4522.87073047073</v>
      </c>
      <c r="AFM112" s="120" t="n">
        <f aca="false">AFM91+PV($E$50,$F$15,-AFM104,-AFM110)</f>
        <v>1463.84455608379</v>
      </c>
      <c r="AFN112" s="120" t="n">
        <f aca="false">AFN91+PV($E$50,$F$15,-AFN104,-AFN110)</f>
        <v>3498.79616547422</v>
      </c>
      <c r="AFO112" s="120" t="n">
        <f aca="false">AFO91+PV($E$50,$F$15,-AFO104,-AFO110)</f>
        <v>4917.73154507348</v>
      </c>
      <c r="AFP112" s="120" t="n">
        <f aca="false">AFP91+PV($E$50,$F$15,-AFP104,-AFP110)</f>
        <v>3645.8102248009</v>
      </c>
      <c r="AFQ112" s="120" t="n">
        <f aca="false">AFQ91+PV($E$50,$F$15,-AFQ104,-AFQ110)</f>
        <v>3972.161136787</v>
      </c>
      <c r="AFR112" s="120" t="n">
        <f aca="false">AFR91+PV($E$50,$F$15,-AFR104,-AFR110)</f>
        <v>5399.31352966246</v>
      </c>
      <c r="AFS112" s="120" t="n">
        <f aca="false">AFS91+PV($E$50,$F$15,-AFS104,-AFS110)</f>
        <v>2233.90549947827</v>
      </c>
      <c r="AFT112" s="120" t="n">
        <f aca="false">AFT91+PV($E$50,$F$15,-AFT104,-AFT110)</f>
        <v>1071.51515588491</v>
      </c>
      <c r="AFU112" s="120" t="n">
        <f aca="false">AFU91+PV($E$50,$F$15,-AFU104,-AFU110)</f>
        <v>6340.73064424191</v>
      </c>
      <c r="AFV112" s="120" t="n">
        <f aca="false">AFV91+PV($E$50,$F$15,-AFV104,-AFV110)</f>
        <v>2093.77097971735</v>
      </c>
      <c r="AFW112" s="120" t="n">
        <f aca="false">AFW91+PV($E$50,$F$15,-AFW104,-AFW110)</f>
        <v>3868.17909214219</v>
      </c>
      <c r="AFX112" s="120" t="n">
        <f aca="false">AFX91+PV($E$50,$F$15,-AFX104,-AFX110)</f>
        <v>945.619092326926</v>
      </c>
      <c r="AFY112" s="120" t="n">
        <f aca="false">AFY91+PV($E$50,$F$15,-AFY104,-AFY110)</f>
        <v>3552.80869674117</v>
      </c>
      <c r="AFZ112" s="120" t="n">
        <f aca="false">AFZ91+PV($E$50,$F$15,-AFZ104,-AFZ110)</f>
        <v>3122.02174145056</v>
      </c>
      <c r="AGA112" s="120" t="n">
        <f aca="false">AGA91+PV($E$50,$F$15,-AGA104,-AGA110)</f>
        <v>3354.43815435094</v>
      </c>
      <c r="AGB112" s="120" t="n">
        <f aca="false">AGB91+PV($E$50,$F$15,-AGB104,-AGB110)</f>
        <v>4512.26680751468</v>
      </c>
      <c r="AGC112" s="120" t="n">
        <f aca="false">AGC91+PV($E$50,$F$15,-AGC104,-AGC110)</f>
        <v>3716.07703307494</v>
      </c>
      <c r="AGD112" s="120" t="n">
        <f aca="false">AGD91+PV($E$50,$F$15,-AGD104,-AGD110)</f>
        <v>4818.01586031978</v>
      </c>
      <c r="AGE112" s="120" t="n">
        <f aca="false">AGE91+PV($E$50,$F$15,-AGE104,-AGE110)</f>
        <v>963.135140109162</v>
      </c>
      <c r="AGF112" s="120" t="n">
        <f aca="false">AGF91+PV($E$50,$F$15,-AGF104,-AGF110)</f>
        <v>2745.64303690374</v>
      </c>
      <c r="AGG112" s="120" t="n">
        <f aca="false">AGG91+PV($E$50,$F$15,-AGG104,-AGG110)</f>
        <v>4223.48516799712</v>
      </c>
      <c r="AGH112" s="120" t="n">
        <f aca="false">AGH91+PV($E$50,$F$15,-AGH104,-AGH110)</f>
        <v>2513.94109378055</v>
      </c>
      <c r="AGI112" s="120" t="n">
        <f aca="false">AGI91+PV($E$50,$F$15,-AGI104,-AGI110)</f>
        <v>1976.03558046076</v>
      </c>
      <c r="AGJ112" s="120" t="n">
        <f aca="false">AGJ91+PV($E$50,$F$15,-AGJ104,-AGJ110)</f>
        <v>2043.02062457493</v>
      </c>
      <c r="AGK112" s="120" t="n">
        <f aca="false">AGK91+PV($E$50,$F$15,-AGK104,-AGK110)</f>
        <v>2632.31499064405</v>
      </c>
      <c r="AGL112" s="120" t="n">
        <f aca="false">AGL91+PV($E$50,$F$15,-AGL104,-AGL110)</f>
        <v>1929.3838753436</v>
      </c>
      <c r="AGM112" s="120" t="n">
        <f aca="false">AGM91+PV($E$50,$F$15,-AGM104,-AGM110)</f>
        <v>4104.64188759285</v>
      </c>
      <c r="AGN112" s="120" t="n">
        <f aca="false">AGN91+PV($E$50,$F$15,-AGN104,-AGN110)</f>
        <v>2986.09078324121</v>
      </c>
      <c r="AGO112" s="120" t="n">
        <f aca="false">AGO91+PV($E$50,$F$15,-AGO104,-AGO110)</f>
        <v>2501.19183033076</v>
      </c>
      <c r="AGP112" s="120" t="n">
        <f aca="false">AGP91+PV($E$50,$F$15,-AGP104,-AGP110)</f>
        <v>2095.88708776797</v>
      </c>
      <c r="AGQ112" s="120" t="n">
        <f aca="false">AGQ91+PV($E$50,$F$15,-AGQ104,-AGQ110)</f>
        <v>4082.0302743555</v>
      </c>
      <c r="AGR112" s="120" t="n">
        <f aca="false">AGR91+PV($E$50,$F$15,-AGR104,-AGR110)</f>
        <v>3471.29686173855</v>
      </c>
      <c r="AGS112" s="120" t="n">
        <f aca="false">AGS91+PV($E$50,$F$15,-AGS104,-AGS110)</f>
        <v>5690.84513714616</v>
      </c>
      <c r="AGT112" s="120" t="n">
        <f aca="false">AGT91+PV($E$50,$F$15,-AGT104,-AGT110)</f>
        <v>1481.26183136132</v>
      </c>
      <c r="AGU112" s="120" t="n">
        <f aca="false">AGU91+PV($E$50,$F$15,-AGU104,-AGU110)</f>
        <v>5024.28390096057</v>
      </c>
      <c r="AGV112" s="120" t="n">
        <f aca="false">AGV91+PV($E$50,$F$15,-AGV104,-AGV110)</f>
        <v>3734.03219700713</v>
      </c>
      <c r="AGW112" s="120" t="n">
        <f aca="false">AGW91+PV($E$50,$F$15,-AGW104,-AGW110)</f>
        <v>3837.65172201897</v>
      </c>
      <c r="AGX112" s="120" t="n">
        <f aca="false">AGX91+PV($E$50,$F$15,-AGX104,-AGX110)</f>
        <v>289.782889978698</v>
      </c>
      <c r="AGY112" s="120" t="n">
        <f aca="false">AGY91+PV($E$50,$F$15,-AGY104,-AGY110)</f>
        <v>3233.7675970251</v>
      </c>
      <c r="AGZ112" s="120" t="n">
        <f aca="false">AGZ91+PV($E$50,$F$15,-AGZ104,-AGZ110)</f>
        <v>1740.11936945687</v>
      </c>
      <c r="AHA112" s="120" t="n">
        <f aca="false">AHA91+PV($E$50,$F$15,-AHA104,-AHA110)</f>
        <v>-1080.32868905401</v>
      </c>
      <c r="AHB112" s="120" t="n">
        <f aca="false">AHB91+PV($E$50,$F$15,-AHB104,-AHB110)</f>
        <v>3694.69930763941</v>
      </c>
      <c r="AHC112" s="120" t="n">
        <f aca="false">AHC91+PV($E$50,$F$15,-AHC104,-AHC110)</f>
        <v>1538.12881628058</v>
      </c>
      <c r="AHD112" s="120" t="n">
        <f aca="false">AHD91+PV($E$50,$F$15,-AHD104,-AHD110)</f>
        <v>1664.06617921895</v>
      </c>
      <c r="AHE112" s="120" t="n">
        <f aca="false">AHE91+PV($E$50,$F$15,-AHE104,-AHE110)</f>
        <v>4724.42796232275</v>
      </c>
      <c r="AHF112" s="120" t="n">
        <f aca="false">AHF91+PV($E$50,$F$15,-AHF104,-AHF110)</f>
        <v>592.552297852242</v>
      </c>
      <c r="AHG112" s="120" t="n">
        <f aca="false">AHG91+PV($E$50,$F$15,-AHG104,-AHG110)</f>
        <v>4551.83187610554</v>
      </c>
      <c r="AHH112" s="120" t="n">
        <f aca="false">AHH91+PV($E$50,$F$15,-AHH104,-AHH110)</f>
        <v>4885.072648845</v>
      </c>
      <c r="AHI112" s="120" t="n">
        <f aca="false">AHI91+PV($E$50,$F$15,-AHI104,-AHI110)</f>
        <v>2119.32106438787</v>
      </c>
      <c r="AHJ112" s="120" t="n">
        <f aca="false">AHJ91+PV($E$50,$F$15,-AHJ104,-AHJ110)</f>
        <v>5068.30081044289</v>
      </c>
      <c r="AHK112" s="120" t="n">
        <f aca="false">AHK91+PV($E$50,$F$15,-AHK104,-AHK110)</f>
        <v>2263.4862768279</v>
      </c>
      <c r="AHL112" s="120" t="n">
        <f aca="false">AHL91+PV($E$50,$F$15,-AHL104,-AHL110)</f>
        <v>2654.00442514837</v>
      </c>
      <c r="AHM112" s="120" t="n">
        <f aca="false">AHM91+PV($E$50,$F$15,-AHM104,-AHM110)</f>
        <v>4267.95374079862</v>
      </c>
      <c r="AHN112" s="120" t="n">
        <f aca="false">AHN91+PV($E$50,$F$15,-AHN104,-AHN110)</f>
        <v>2545.63813726147</v>
      </c>
      <c r="AHO112" s="120" t="n">
        <f aca="false">AHO91+PV($E$50,$F$15,-AHO104,-AHO110)</f>
        <v>3764.35005220438</v>
      </c>
      <c r="AHP112" s="120" t="n">
        <f aca="false">AHP91+PV($E$50,$F$15,-AHP104,-AHP110)</f>
        <v>-135.79553790168</v>
      </c>
      <c r="AHQ112" s="120" t="n">
        <f aca="false">AHQ91+PV($E$50,$F$15,-AHQ104,-AHQ110)</f>
        <v>3700.46413637437</v>
      </c>
      <c r="AHR112" s="120" t="n">
        <f aca="false">AHR91+PV($E$50,$F$15,-AHR104,-AHR110)</f>
        <v>818.392352362678</v>
      </c>
      <c r="AHS112" s="120" t="n">
        <f aca="false">AHS91+PV($E$50,$F$15,-AHS104,-AHS110)</f>
        <v>4712.24208539753</v>
      </c>
      <c r="AHT112" s="120" t="n">
        <f aca="false">AHT91+PV($E$50,$F$15,-AHT104,-AHT110)</f>
        <v>2979.2839216866</v>
      </c>
      <c r="AHU112" s="120" t="n">
        <f aca="false">AHU91+PV($E$50,$F$15,-AHU104,-AHU110)</f>
        <v>5477.57188411227</v>
      </c>
      <c r="AHV112" s="120" t="n">
        <f aca="false">AHV91+PV($E$50,$F$15,-AHV104,-AHV110)</f>
        <v>3525.3954066756</v>
      </c>
      <c r="AHW112" s="120" t="n">
        <f aca="false">AHW91+PV($E$50,$F$15,-AHW104,-AHW110)</f>
        <v>5151.24489133769</v>
      </c>
      <c r="AHX112" s="120" t="n">
        <f aca="false">AHX91+PV($E$50,$F$15,-AHX104,-AHX110)</f>
        <v>1613.97190260421</v>
      </c>
      <c r="AHY112" s="120" t="n">
        <f aca="false">AHY91+PV($E$50,$F$15,-AHY104,-AHY110)</f>
        <v>2450.91599243882</v>
      </c>
      <c r="AHZ112" s="120" t="n">
        <f aca="false">AHZ91+PV($E$50,$F$15,-AHZ104,-AHZ110)</f>
        <v>4547.54338983464</v>
      </c>
      <c r="AIA112" s="120" t="n">
        <f aca="false">AIA91+PV($E$50,$F$15,-AIA104,-AIA110)</f>
        <v>2644.71292597476</v>
      </c>
      <c r="AIB112" s="120" t="n">
        <f aca="false">AIB91+PV($E$50,$F$15,-AIB104,-AIB110)</f>
        <v>5351.72522049794</v>
      </c>
      <c r="AIC112" s="120" t="n">
        <f aca="false">AIC91+PV($E$50,$F$15,-AIC104,-AIC110)</f>
        <v>4648.46352312738</v>
      </c>
      <c r="AID112" s="120" t="n">
        <f aca="false">AID91+PV($E$50,$F$15,-AID104,-AID110)</f>
        <v>848.825517163315</v>
      </c>
      <c r="AIE112" s="120" t="n">
        <f aca="false">AIE91+PV($E$50,$F$15,-AIE104,-AIE110)</f>
        <v>3002.83994790918</v>
      </c>
      <c r="AIF112" s="120" t="n">
        <f aca="false">AIF91+PV($E$50,$F$15,-AIF104,-AIF110)</f>
        <v>4777.26325298005</v>
      </c>
      <c r="AIG112" s="120" t="n">
        <f aca="false">AIG91+PV($E$50,$F$15,-AIG104,-AIG110)</f>
        <v>3553.95479624304</v>
      </c>
      <c r="AIH112" s="120" t="n">
        <f aca="false">AIH91+PV($E$50,$F$15,-AIH104,-AIH110)</f>
        <v>5930.9135333909</v>
      </c>
      <c r="AII112" s="120" t="n">
        <f aca="false">AII91+PV($E$50,$F$15,-AII104,-AII110)</f>
        <v>3135.22389467155</v>
      </c>
      <c r="AIJ112" s="120" t="n">
        <f aca="false">AIJ91+PV($E$50,$F$15,-AIJ104,-AIJ110)</f>
        <v>5063.95737719571</v>
      </c>
      <c r="AIK112" s="120" t="n">
        <f aca="false">AIK91+PV($E$50,$F$15,-AIK104,-AIK110)</f>
        <v>3267.97206135722</v>
      </c>
      <c r="AIL112" s="120" t="n">
        <f aca="false">AIL91+PV($E$50,$F$15,-AIL104,-AIL110)</f>
        <v>4025.33388391199</v>
      </c>
      <c r="AIM112" s="120" t="n">
        <f aca="false">AIM91+PV($E$50,$F$15,-AIM104,-AIM110)</f>
        <v>3359.76875701271</v>
      </c>
      <c r="AIN112" s="120" t="n">
        <f aca="false">AIN91+PV($E$50,$F$15,-AIN104,-AIN110)</f>
        <v>5633.22384193605</v>
      </c>
      <c r="AIO112" s="120" t="n">
        <f aca="false">AIO91+PV($E$50,$F$15,-AIO104,-AIO110)</f>
        <v>1907.41041508973</v>
      </c>
      <c r="AIP112" s="120" t="n">
        <f aca="false">AIP91+PV($E$50,$F$15,-AIP104,-AIP110)</f>
        <v>2376.61773759919</v>
      </c>
      <c r="AIQ112" s="120" t="n">
        <f aca="false">AIQ91+PV($E$50,$F$15,-AIQ104,-AIQ110)</f>
        <v>3645.24892110577</v>
      </c>
      <c r="AIR112" s="120" t="n">
        <f aca="false">AIR91+PV($E$50,$F$15,-AIR104,-AIR110)</f>
        <v>2225.25507598567</v>
      </c>
      <c r="AIS112" s="120" t="n">
        <f aca="false">AIS91+PV($E$50,$F$15,-AIS104,-AIS110)</f>
        <v>2141.20056734762</v>
      </c>
      <c r="AIT112" s="120" t="n">
        <f aca="false">AIT91+PV($E$50,$F$15,-AIT104,-AIT110)</f>
        <v>3415.0345652704</v>
      </c>
      <c r="AIU112" s="120" t="n">
        <f aca="false">AIU91+PV($E$50,$F$15,-AIU104,-AIU110)</f>
        <v>4631.94763907997</v>
      </c>
      <c r="AIV112" s="120" t="n">
        <f aca="false">AIV91+PV($E$50,$F$15,-AIV104,-AIV110)</f>
        <v>3094.42495572496</v>
      </c>
      <c r="AIW112" s="120" t="n">
        <f aca="false">AIW91+PV($E$50,$F$15,-AIW104,-AIW110)</f>
        <v>-2864.62821891045</v>
      </c>
      <c r="AIX112" s="120" t="n">
        <f aca="false">AIX91+PV($E$50,$F$15,-AIX104,-AIX110)</f>
        <v>5125.46818221102</v>
      </c>
      <c r="AIY112" s="120" t="n">
        <f aca="false">AIY91+PV($E$50,$F$15,-AIY104,-AIY110)</f>
        <v>3643.25973822086</v>
      </c>
      <c r="AIZ112" s="120" t="n">
        <f aca="false">AIZ91+PV($E$50,$F$15,-AIZ104,-AIZ110)</f>
        <v>3097.92653543751</v>
      </c>
      <c r="AJA112" s="120" t="n">
        <f aca="false">AJA91+PV($E$50,$F$15,-AJA104,-AJA110)</f>
        <v>1670.08807675271</v>
      </c>
      <c r="AJB112" s="120" t="n">
        <f aca="false">AJB91+PV($E$50,$F$15,-AJB104,-AJB110)</f>
        <v>2349.90130088457</v>
      </c>
      <c r="AJC112" s="120" t="n">
        <f aca="false">AJC91+PV($E$50,$F$15,-AJC104,-AJC110)</f>
        <v>5090.52669801584</v>
      </c>
      <c r="AJD112" s="120" t="n">
        <f aca="false">AJD91+PV($E$50,$F$15,-AJD104,-AJD110)</f>
        <v>4146.6646658684</v>
      </c>
      <c r="AJE112" s="120" t="n">
        <f aca="false">AJE91+PV($E$50,$F$15,-AJE104,-AJE110)</f>
        <v>1987.80114324288</v>
      </c>
      <c r="AJF112" s="120" t="n">
        <f aca="false">AJF91+PV($E$50,$F$15,-AJF104,-AJF110)</f>
        <v>3443.02913167069</v>
      </c>
      <c r="AJG112" s="120" t="n">
        <f aca="false">AJG91+PV($E$50,$F$15,-AJG104,-AJG110)</f>
        <v>3087.3180790999</v>
      </c>
      <c r="AJH112" s="120" t="n">
        <f aca="false">AJH91+PV($E$50,$F$15,-AJH104,-AJH110)</f>
        <v>4156.99320819963</v>
      </c>
      <c r="AJI112" s="120" t="n">
        <f aca="false">AJI91+PV($E$50,$F$15,-AJI104,-AJI110)</f>
        <v>4600.25664954861</v>
      </c>
      <c r="AJJ112" s="120" t="n">
        <f aca="false">AJJ91+PV($E$50,$F$15,-AJJ104,-AJJ110)</f>
        <v>4039.20358496212</v>
      </c>
      <c r="AJK112" s="120" t="n">
        <f aca="false">AJK91+PV($E$50,$F$15,-AJK104,-AJK110)</f>
        <v>3502.76093548528</v>
      </c>
      <c r="AJL112" s="120" t="n">
        <f aca="false">AJL91+PV($E$50,$F$15,-AJL104,-AJL110)</f>
        <v>2681.21042418983</v>
      </c>
      <c r="AJM112" s="120" t="n">
        <f aca="false">AJM91+PV($E$50,$F$15,-AJM104,-AJM110)</f>
        <v>2628.07918835308</v>
      </c>
      <c r="AJN112" s="120" t="n">
        <f aca="false">AJN91+PV($E$50,$F$15,-AJN104,-AJN110)</f>
        <v>3416.23780236716</v>
      </c>
      <c r="AJO112" s="120" t="n">
        <f aca="false">AJO91+PV($E$50,$F$15,-AJO104,-AJO110)</f>
        <v>3051.54716851122</v>
      </c>
      <c r="AJP112" s="120" t="n">
        <f aca="false">AJP91+PV($E$50,$F$15,-AJP104,-AJP110)</f>
        <v>1789.60138199438</v>
      </c>
      <c r="AJQ112" s="120" t="n">
        <f aca="false">AJQ91+PV($E$50,$F$15,-AJQ104,-AJQ110)</f>
        <v>2832.48022359927</v>
      </c>
      <c r="AJR112" s="120" t="n">
        <f aca="false">AJR91+PV($E$50,$F$15,-AJR104,-AJR110)</f>
        <v>4409.41868354755</v>
      </c>
      <c r="AJS112" s="120" t="n">
        <f aca="false">AJS91+PV($E$50,$F$15,-AJS104,-AJS110)</f>
        <v>3147.12979657899</v>
      </c>
      <c r="AJT112" s="120" t="n">
        <f aca="false">AJT91+PV($E$50,$F$15,-AJT104,-AJT110)</f>
        <v>5365.89246731474</v>
      </c>
      <c r="AJU112" s="120" t="n">
        <f aca="false">AJU91+PV($E$50,$F$15,-AJU104,-AJU110)</f>
        <v>-680.315423916971</v>
      </c>
      <c r="AJV112" s="120" t="n">
        <f aca="false">AJV91+PV($E$50,$F$15,-AJV104,-AJV110)</f>
        <v>3841.28151705888</v>
      </c>
      <c r="AJW112" s="120" t="n">
        <f aca="false">AJW91+PV($E$50,$F$15,-AJW104,-AJW110)</f>
        <v>4523.86141501659</v>
      </c>
      <c r="AJX112" s="120" t="n">
        <f aca="false">AJX91+PV($E$50,$F$15,-AJX104,-AJX110)</f>
        <v>3793.81158468139</v>
      </c>
      <c r="AJY112" s="120" t="n">
        <f aca="false">AJY91+PV($E$50,$F$15,-AJY104,-AJY110)</f>
        <v>2283.67244609951</v>
      </c>
      <c r="AJZ112" s="120" t="n">
        <f aca="false">AJZ91+PV($E$50,$F$15,-AJZ104,-AJZ110)</f>
        <v>5651.23686547768</v>
      </c>
      <c r="AKA112" s="120" t="n">
        <f aca="false">AKA91+PV($E$50,$F$15,-AKA104,-AKA110)</f>
        <v>1196.02180767108</v>
      </c>
      <c r="AKB112" s="120" t="n">
        <f aca="false">AKB91+PV($E$50,$F$15,-AKB104,-AKB110)</f>
        <v>6278.39379843552</v>
      </c>
      <c r="AKC112" s="120" t="n">
        <f aca="false">AKC91+PV($E$50,$F$15,-AKC104,-AKC110)</f>
        <v>2960.81591225223</v>
      </c>
      <c r="AKD112" s="120" t="n">
        <f aca="false">AKD91+PV($E$50,$F$15,-AKD104,-AKD110)</f>
        <v>5296.78327236482</v>
      </c>
      <c r="AKE112" s="120" t="n">
        <f aca="false">AKE91+PV($E$50,$F$15,-AKE104,-AKE110)</f>
        <v>3958.04900501877</v>
      </c>
      <c r="AKF112" s="120" t="n">
        <f aca="false">AKF91+PV($E$50,$F$15,-AKF104,-AKF110)</f>
        <v>887.233981831836</v>
      </c>
      <c r="AKG112" s="120" t="n">
        <f aca="false">AKG91+PV($E$50,$F$15,-AKG104,-AKG110)</f>
        <v>3715.51338601237</v>
      </c>
      <c r="AKH112" s="120" t="n">
        <f aca="false">AKH91+PV($E$50,$F$15,-AKH104,-AKH110)</f>
        <v>2608.50882877782</v>
      </c>
      <c r="AKI112" s="120" t="n">
        <f aca="false">AKI91+PV($E$50,$F$15,-AKI104,-AKI110)</f>
        <v>4765.24557334627</v>
      </c>
      <c r="AKJ112" s="120" t="n">
        <f aca="false">AKJ91+PV($E$50,$F$15,-AKJ104,-AKJ110)</f>
        <v>4447.00353394782</v>
      </c>
      <c r="AKK112" s="120" t="n">
        <f aca="false">AKK91+PV($E$50,$F$15,-AKK104,-AKK110)</f>
        <v>4198.81617818397</v>
      </c>
      <c r="AKL112" s="120" t="n">
        <f aca="false">AKL91+PV($E$50,$F$15,-AKL104,-AKL110)</f>
        <v>5376.47874155558</v>
      </c>
      <c r="AKM112" s="120" t="n">
        <f aca="false">AKM91+PV($E$50,$F$15,-AKM104,-AKM110)</f>
        <v>2756.67234108946</v>
      </c>
      <c r="AKN112" s="120" t="n">
        <f aca="false">AKN91+PV($E$50,$F$15,-AKN104,-AKN110)</f>
        <v>2273.78490830929</v>
      </c>
      <c r="AKO112" s="120" t="n">
        <f aca="false">AKO91+PV($E$50,$F$15,-AKO104,-AKO110)</f>
        <v>2589.88607342534</v>
      </c>
      <c r="AKP112" s="120" t="n">
        <f aca="false">AKP91+PV($E$50,$F$15,-AKP104,-AKP110)</f>
        <v>5229.43887831943</v>
      </c>
      <c r="AKQ112" s="120" t="n">
        <f aca="false">AKQ91+PV($E$50,$F$15,-AKQ104,-AKQ110)</f>
        <v>2259.38305734695</v>
      </c>
      <c r="AKR112" s="120" t="n">
        <f aca="false">AKR91+PV($E$50,$F$15,-AKR104,-AKR110)</f>
        <v>3268.66285965564</v>
      </c>
      <c r="AKS112" s="120" t="n">
        <f aca="false">AKS91+PV($E$50,$F$15,-AKS104,-AKS110)</f>
        <v>4596.77571001086</v>
      </c>
      <c r="AKT112" s="120" t="n">
        <f aca="false">AKT91+PV($E$50,$F$15,-AKT104,-AKT110)</f>
        <v>3212.73824578577</v>
      </c>
      <c r="AKU112" s="120" t="n">
        <f aca="false">AKU91+PV($E$50,$F$15,-AKU104,-AKU110)</f>
        <v>4030.3757975006</v>
      </c>
      <c r="AKV112" s="120" t="n">
        <f aca="false">AKV91+PV($E$50,$F$15,-AKV104,-AKV110)</f>
        <v>2176.36879128126</v>
      </c>
      <c r="AKW112" s="120" t="n">
        <f aca="false">AKW91+PV($E$50,$F$15,-AKW104,-AKW110)</f>
        <v>4307.35926029913</v>
      </c>
      <c r="AKX112" s="120" t="n">
        <f aca="false">AKX91+PV($E$50,$F$15,-AKX104,-AKX110)</f>
        <v>3557.67363994498</v>
      </c>
      <c r="AKY112" s="120" t="n">
        <f aca="false">AKY91+PV($E$50,$F$15,-AKY104,-AKY110)</f>
        <v>-506.242994422897</v>
      </c>
      <c r="AKZ112" s="120" t="n">
        <f aca="false">AKZ91+PV($E$50,$F$15,-AKZ104,-AKZ110)</f>
        <v>6107.80992126165</v>
      </c>
      <c r="ALA112" s="120" t="n">
        <f aca="false">ALA91+PV($E$50,$F$15,-ALA104,-ALA110)</f>
        <v>4398.72721738244</v>
      </c>
      <c r="ALB112" s="120" t="n">
        <f aca="false">ALB91+PV($E$50,$F$15,-ALB104,-ALB110)</f>
        <v>1814.78521044462</v>
      </c>
      <c r="ALC112" s="120" t="n">
        <f aca="false">ALC91+PV($E$50,$F$15,-ALC104,-ALC110)</f>
        <v>3337.58463281004</v>
      </c>
      <c r="ALD112" s="120" t="n">
        <f aca="false">ALD91+PV($E$50,$F$15,-ALD104,-ALD110)</f>
        <v>4223.24602272311</v>
      </c>
      <c r="ALE112" s="120" t="n">
        <f aca="false">ALE91+PV($E$50,$F$15,-ALE104,-ALE110)</f>
        <v>3708.15742688783</v>
      </c>
      <c r="ALF112" s="120" t="n">
        <f aca="false">ALF91+PV($E$50,$F$15,-ALF104,-ALF110)</f>
        <v>4784.8032856963</v>
      </c>
      <c r="ALG112" s="120" t="n">
        <f aca="false">ALG91+PV($E$50,$F$15,-ALG104,-ALG110)</f>
        <v>2119.7150592154</v>
      </c>
      <c r="ALH112" s="120" t="n">
        <f aca="false">ALH91+PV($E$50,$F$15,-ALH104,-ALH110)</f>
        <v>327.51318944659</v>
      </c>
      <c r="ALI112" s="120" t="n">
        <f aca="false">ALI91+PV($E$50,$F$15,-ALI104,-ALI110)</f>
        <v>2206.70943024397</v>
      </c>
      <c r="ALJ112" s="120" t="n">
        <f aca="false">ALJ91+PV($E$50,$F$15,-ALJ104,-ALJ110)</f>
        <v>3004.34594895848</v>
      </c>
      <c r="ALK112" s="120" t="n">
        <f aca="false">ALK91+PV($E$50,$F$15,-ALK104,-ALK110)</f>
        <v>4725.01451182817</v>
      </c>
      <c r="ALL112" s="120" t="n">
        <f aca="false">ALL91+PV($E$50,$F$15,-ALL104,-ALL110)</f>
        <v>5210.81646016156</v>
      </c>
      <c r="ALM112" s="120" t="n">
        <f aca="false">ALM91+PV($E$50,$F$15,-ALM104,-ALM110)</f>
        <v>4098.70424622358</v>
      </c>
    </row>
    <row r="116" customFormat="false" ht="14.5" hidden="false" customHeight="false" outlineLevel="0" collapsed="false">
      <c r="A116" s="0" t="s">
        <v>124</v>
      </c>
      <c r="B116" s="5" t="n">
        <f aca="false">MIN(B112:ALM112)</f>
        <v>-4207.96064595428</v>
      </c>
      <c r="C116" s="0" t="n">
        <f aca="false">B116/B121</f>
        <v>-7.46116633976275</v>
      </c>
    </row>
    <row r="117" customFormat="false" ht="14.5" hidden="false" customHeight="false" outlineLevel="0" collapsed="false">
      <c r="A117" s="0" t="s">
        <v>125</v>
      </c>
      <c r="B117" s="5" t="n">
        <f aca="false">MAX(B112:ALM112)</f>
        <v>7071.67166442277</v>
      </c>
    </row>
    <row r="118" customFormat="false" ht="14.5" hidden="false" customHeight="false" outlineLevel="0" collapsed="false">
      <c r="A118" s="0" t="s">
        <v>126</v>
      </c>
      <c r="B118" s="5" t="n">
        <f aca="false">AVERAGE(B112:ALM112)</f>
        <v>3348.48626420587</v>
      </c>
    </row>
    <row r="119" customFormat="false" ht="14.5" hidden="false" customHeight="false" outlineLevel="0" collapsed="false">
      <c r="A119" s="0" t="s">
        <v>127</v>
      </c>
      <c r="B119" s="5" t="n">
        <f aca="false">MEDIAN(B112:ALM112)</f>
        <v>3616.93199454312</v>
      </c>
      <c r="E119" s="0" t="s">
        <v>76</v>
      </c>
      <c r="F119" s="6" t="n">
        <f aca="false">COUNTIF(B112:ALM112,"&gt;0")/COUNT(B112:ALM112)</f>
        <v>0.959</v>
      </c>
    </row>
    <row r="120" customFormat="false" ht="14.5" hidden="false" customHeight="false" outlineLevel="0" collapsed="false">
      <c r="A120" s="0" t="s">
        <v>128</v>
      </c>
      <c r="B120" s="0" t="n">
        <v>20</v>
      </c>
      <c r="E120" s="0" t="s">
        <v>67</v>
      </c>
      <c r="F120" s="5" t="n">
        <f aca="false">AVERAGE(B112:ALM112)</f>
        <v>3348.48626420587</v>
      </c>
    </row>
    <row r="121" customFormat="false" ht="14.5" hidden="false" customHeight="false" outlineLevel="0" collapsed="false">
      <c r="A121" s="0" t="s">
        <v>129</v>
      </c>
      <c r="B121" s="5" t="n">
        <f aca="false">(B117-B116)/B120</f>
        <v>563.981615518852</v>
      </c>
    </row>
    <row r="124" customFormat="false" ht="14.5" hidden="false" customHeight="false" outlineLevel="0" collapsed="false">
      <c r="A124" s="0" t="s">
        <v>130</v>
      </c>
      <c r="B124" s="0" t="s">
        <v>131</v>
      </c>
    </row>
    <row r="125" customFormat="false" ht="14.5" hidden="false" customHeight="false" outlineLevel="0" collapsed="false">
      <c r="A125" s="121" t="n">
        <f aca="false">B116-B121</f>
        <v>-4771.94226147313</v>
      </c>
      <c r="B125" s="121" t="n">
        <f aca="false">COUNTIF($B$112:$ALM$112,"&lt;"&amp;A125)</f>
        <v>0</v>
      </c>
    </row>
    <row r="126" customFormat="false" ht="14.5" hidden="false" customHeight="false" outlineLevel="0" collapsed="false">
      <c r="A126" s="121" t="n">
        <f aca="false">B116</f>
        <v>-4207.96064595428</v>
      </c>
      <c r="B126" s="121" t="n">
        <f aca="false">COUNTIF($B$112:$ALM$112,"&lt;"&amp;A126)-SUM($B$125:B125)</f>
        <v>0</v>
      </c>
    </row>
    <row r="127" customFormat="false" ht="14.5" hidden="false" customHeight="false" outlineLevel="0" collapsed="false">
      <c r="A127" s="121" t="n">
        <f aca="false">+A126+$B$121</f>
        <v>-3643.97903043543</v>
      </c>
      <c r="B127" s="121" t="n">
        <f aca="false">COUNTIF($B$112:$ALM$112,"&lt;"&amp;A127)-SUM($B$125:B126)</f>
        <v>2</v>
      </c>
    </row>
    <row r="128" customFormat="false" ht="14.5" hidden="false" customHeight="false" outlineLevel="0" collapsed="false">
      <c r="A128" s="121" t="n">
        <f aca="false">+A127+$B$121</f>
        <v>-3079.99741491657</v>
      </c>
      <c r="B128" s="121" t="n">
        <f aca="false">COUNTIF($B$112:$ALM$112,"&lt;"&amp;A128)-SUM($B$125:B127)</f>
        <v>0</v>
      </c>
    </row>
    <row r="129" customFormat="false" ht="14.5" hidden="false" customHeight="false" outlineLevel="0" collapsed="false">
      <c r="A129" s="121" t="n">
        <f aca="false">+A128+$B$121</f>
        <v>-2516.01579939772</v>
      </c>
      <c r="B129" s="121" t="n">
        <f aca="false">COUNTIF($B$112:$ALM$112,"&lt;"&amp;A129)-SUM($B$125:B128)</f>
        <v>3</v>
      </c>
    </row>
    <row r="130" customFormat="false" ht="14.5" hidden="false" customHeight="false" outlineLevel="0" collapsed="false">
      <c r="A130" s="121" t="n">
        <f aca="false">+A129+$B$121</f>
        <v>-1952.03418387887</v>
      </c>
      <c r="B130" s="121" t="n">
        <f aca="false">COUNTIF($B$112:$ALM$112,"&lt;"&amp;A130)-SUM($B$125:B129)</f>
        <v>2</v>
      </c>
    </row>
    <row r="131" customFormat="false" ht="14.5" hidden="false" customHeight="false" outlineLevel="0" collapsed="false">
      <c r="A131" s="121" t="n">
        <f aca="false">+A130+$B$121</f>
        <v>-1388.05256836002</v>
      </c>
      <c r="B131" s="121" t="n">
        <f aca="false">COUNTIF($B$112:$ALM$112,"&lt;"&amp;A131)-SUM($B$125:B130)</f>
        <v>4</v>
      </c>
    </row>
    <row r="132" customFormat="false" ht="14.5" hidden="false" customHeight="false" outlineLevel="0" collapsed="false">
      <c r="A132" s="121" t="n">
        <f aca="false">+A131+$B$121</f>
        <v>-824.070952841163</v>
      </c>
      <c r="B132" s="121" t="n">
        <f aca="false">COUNTIF($B$112:$ALM$112,"&lt;"&amp;A132)-SUM($B$125:B131)</f>
        <v>4</v>
      </c>
    </row>
    <row r="133" customFormat="false" ht="14.5" hidden="false" customHeight="false" outlineLevel="0" collapsed="false">
      <c r="A133" s="121" t="n">
        <f aca="false">+A132+$B$121</f>
        <v>-260.089337322311</v>
      </c>
      <c r="B133" s="121" t="n">
        <f aca="false">COUNTIF($B$112:$ALM$112,"&lt;"&amp;A133)-SUM($B$125:B132)</f>
        <v>12</v>
      </c>
    </row>
    <row r="134" customFormat="false" ht="14.5" hidden="false" customHeight="false" outlineLevel="0" collapsed="false">
      <c r="A134" s="121" t="n">
        <f aca="false">+A133+$B$121</f>
        <v>303.892278196541</v>
      </c>
      <c r="B134" s="121" t="n">
        <f aca="false">COUNTIF($B$112:$ALM$112,"&lt;"&amp;A134)-SUM($B$125:B133)</f>
        <v>23</v>
      </c>
    </row>
    <row r="135" customFormat="false" ht="14.5" hidden="false" customHeight="false" outlineLevel="0" collapsed="false">
      <c r="A135" s="121" t="n">
        <f aca="false">+A134+$B$121</f>
        <v>867.873893715394</v>
      </c>
      <c r="B135" s="121" t="n">
        <f aca="false">COUNTIF($B$112:$ALM$112,"&lt;"&amp;A135)-SUM($B$125:B134)</f>
        <v>32</v>
      </c>
    </row>
    <row r="136" customFormat="false" ht="14.5" hidden="false" customHeight="false" outlineLevel="0" collapsed="false">
      <c r="A136" s="121" t="n">
        <f aca="false">+A135+$B$121</f>
        <v>1431.85550923425</v>
      </c>
      <c r="B136" s="121" t="n">
        <f aca="false">COUNTIF($B$112:$ALM$112,"&lt;"&amp;A136)-SUM($B$125:B135)</f>
        <v>44</v>
      </c>
    </row>
    <row r="137" customFormat="false" ht="14.5" hidden="false" customHeight="false" outlineLevel="0" collapsed="false">
      <c r="A137" s="121" t="n">
        <f aca="false">+A136+$B$121</f>
        <v>1995.8371247531</v>
      </c>
      <c r="B137" s="121" t="n">
        <f aca="false">COUNTIF($B$112:$ALM$112,"&lt;"&amp;A137)-SUM($B$125:B136)</f>
        <v>48</v>
      </c>
    </row>
    <row r="138" customFormat="false" ht="14.5" hidden="false" customHeight="false" outlineLevel="0" collapsed="false">
      <c r="A138" s="121" t="n">
        <f aca="false">+A137+$B$121</f>
        <v>2559.81874027195</v>
      </c>
      <c r="B138" s="121" t="n">
        <f aca="false">COUNTIF($B$112:$ALM$112,"&lt;"&amp;A138)-SUM($B$125:B137)</f>
        <v>78</v>
      </c>
    </row>
    <row r="139" customFormat="false" ht="14.5" hidden="false" customHeight="false" outlineLevel="0" collapsed="false">
      <c r="A139" s="121" t="n">
        <f aca="false">+A138+$B$121</f>
        <v>3123.8003557908</v>
      </c>
      <c r="B139" s="121" t="n">
        <f aca="false">COUNTIF($B$112:$ALM$112,"&lt;"&amp;A139)-SUM($B$125:B138)</f>
        <v>126</v>
      </c>
    </row>
    <row r="140" customFormat="false" ht="14.5" hidden="false" customHeight="false" outlineLevel="0" collapsed="false">
      <c r="A140" s="121" t="n">
        <f aca="false">+A139+$B$121</f>
        <v>3687.78197130966</v>
      </c>
      <c r="B140" s="121" t="n">
        <f aca="false">COUNTIF($B$112:$ALM$112,"&lt;"&amp;A140)-SUM($B$125:B139)</f>
        <v>148</v>
      </c>
    </row>
    <row r="141" customFormat="false" ht="14.5" hidden="false" customHeight="false" outlineLevel="0" collapsed="false">
      <c r="A141" s="121" t="n">
        <f aca="false">+A140+$B$121</f>
        <v>4251.76358682851</v>
      </c>
      <c r="B141" s="121" t="n">
        <f aca="false">COUNTIF($B$112:$ALM$112,"&lt;"&amp;A141)-SUM($B$125:B140)</f>
        <v>167</v>
      </c>
    </row>
    <row r="142" customFormat="false" ht="14.5" hidden="false" customHeight="false" outlineLevel="0" collapsed="false">
      <c r="A142" s="121" t="n">
        <f aca="false">+A141+$B$121</f>
        <v>4815.74520234736</v>
      </c>
      <c r="B142" s="121" t="n">
        <f aca="false">COUNTIF($B$112:$ALM$112,"&lt;"&amp;A142)-SUM($B$125:B141)</f>
        <v>148</v>
      </c>
    </row>
    <row r="143" customFormat="false" ht="14.5" hidden="false" customHeight="false" outlineLevel="0" collapsed="false">
      <c r="A143" s="121" t="n">
        <f aca="false">+A142+$B$121</f>
        <v>5379.72681786621</v>
      </c>
      <c r="B143" s="121" t="n">
        <f aca="false">COUNTIF($B$112:$ALM$112,"&lt;"&amp;A143)-SUM($B$125:B142)</f>
        <v>94</v>
      </c>
    </row>
    <row r="144" customFormat="false" ht="14.5" hidden="false" customHeight="false" outlineLevel="0" collapsed="false">
      <c r="A144" s="121" t="n">
        <f aca="false">+A143+$B$121</f>
        <v>5943.70843338507</v>
      </c>
      <c r="B144" s="121" t="n">
        <f aca="false">COUNTIF($B$112:$ALM$112,"&lt;"&amp;A144)-SUM($B$125:B143)</f>
        <v>43</v>
      </c>
    </row>
    <row r="145" customFormat="false" ht="14.5" hidden="false" customHeight="false" outlineLevel="0" collapsed="false">
      <c r="A145" s="121" t="n">
        <f aca="false">+A144+$B$121</f>
        <v>6507.69004890392</v>
      </c>
      <c r="B145" s="121" t="n">
        <f aca="false">COUNTIF($B$112:$ALM$112,"&lt;"&amp;A145)-SUM($B$125:B144)</f>
        <v>20</v>
      </c>
    </row>
    <row r="146" customFormat="false" ht="14.5" hidden="false" customHeight="false" outlineLevel="0" collapsed="false">
      <c r="A146" s="121" t="n">
        <f aca="false">+A145+$B$121</f>
        <v>7071.67166442277</v>
      </c>
      <c r="B146" s="121" t="n">
        <f aca="false">COUNTIF($B$112:$ALM$112,"&lt;"&amp;A146)-SUM($B$125:B145)</f>
        <v>1</v>
      </c>
    </row>
    <row r="147" customFormat="false" ht="14.5" hidden="false" customHeight="false" outlineLevel="0" collapsed="false">
      <c r="A147" s="121" t="n">
        <f aca="false">+A146+$B$121</f>
        <v>7635.65327994162</v>
      </c>
      <c r="B147" s="121" t="n">
        <f aca="false">COUNTIF($B$112:$ALM$112,"&lt;"&amp;A147)-SUM($B$125:B146)</f>
        <v>1</v>
      </c>
    </row>
  </sheetData>
  <scenarios current="0" show="0">
    <scenario name="units -10%_0" locked="true" count="1" user="Calc" comment="Created by Author on 18/02/2018&#10;Modified by Author on 18/02/2018">
      <inputCells r="E8" val="-0.1"/>
    </scenario>
    <scenario name="units -5_0" locked="true" count="1" user="Calc" comment="Created by Author on 18/02/2018">
      <inputCells r="E8" val="-0.05"/>
    </scenario>
    <scenario name="units 0_0" locked="true" count="1" user="Calc" comment="Created by Author on 18/02/2018">
      <inputCells r="E8" val="0"/>
    </scenario>
    <scenario name="units 5%_0" locked="true" count="1" user="Calc" comment="Created by Author on 18/02/2018">
      <inputCells r="E8" val="0.05"/>
    </scenario>
    <scenario name="units 10%_0" locked="true" count="1" user="Calc" comment="Created by Author on 18/02/2018">
      <inputCells r="E8" val="0.1"/>
    </scenario>
    <scenario name="price -10_0" locked="true" count="1" user="Calc" comment="Created by Author on 19/02/2018">
      <inputCells r="E9" val="-0.1"/>
    </scenario>
    <scenario name="price -5_0" locked="true" count="1" user="Calc" comment="Created by Author on 19/02/2018">
      <inputCells r="E9" val="-0.05"/>
    </scenario>
    <scenario name="price 0_0" locked="true" count="1" user="Calc" comment="Created by Author on 19/02/2018">
      <inputCells r="E9" val="0"/>
    </scenario>
    <scenario name="price 5_0" locked="true" count="1" user="Calc" comment="Created by Author on 19/02/2018">
      <inputCells r="E9" val="0.05"/>
    </scenario>
    <scenario name="price 10%_0" locked="true" count="1" user="Calc" comment="Created by Author on 19/02/2018">
      <inputCells r="E9" val="0.1"/>
    </scenario>
  </scenarios>
  <conditionalFormatting sqref="E3:E13">
    <cfRule type="cellIs" priority="2" operator="notEqual" aboveAverage="0" equalAverage="0" bottom="0" percent="0" rank="0" text="" dxfId="6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21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92" activeCellId="0" sqref="F92"/>
    </sheetView>
  </sheetViews>
  <sheetFormatPr defaultColWidth="8.5390625" defaultRowHeight="14.5" zeroHeight="false" outlineLevelRow="1" outlineLevelCol="0"/>
  <cols>
    <col collapsed="false" customWidth="true" hidden="false" outlineLevel="0" max="1" min="1" style="0" width="25.91"/>
    <col collapsed="false" customWidth="true" hidden="false" outlineLevel="0" max="2" min="2" style="0" width="13.36"/>
    <col collapsed="false" customWidth="true" hidden="false" outlineLevel="0" max="3" min="3" style="0" width="17.45"/>
    <col collapsed="false" customWidth="true" hidden="false" outlineLevel="0" max="4" min="4" style="0" width="14.09"/>
    <col collapsed="false" customWidth="true" hidden="false" outlineLevel="0" max="5" min="5" style="0" width="12.54"/>
    <col collapsed="false" customWidth="true" hidden="false" outlineLevel="0" max="6" min="6" style="0" width="17.55"/>
    <col collapsed="false" customWidth="true" hidden="false" outlineLevel="0" max="7" min="7" style="0" width="21"/>
    <col collapsed="false" customWidth="true" hidden="false" outlineLevel="0" max="8" min="8" style="0" width="15.36"/>
    <col collapsed="false" customWidth="true" hidden="false" outlineLevel="0" max="9" min="9" style="0" width="13"/>
    <col collapsed="false" customWidth="true" hidden="false" outlineLevel="0" max="10" min="10" style="0" width="11.54"/>
  </cols>
  <sheetData>
    <row r="1" customFormat="false" ht="14.5" hidden="false" customHeight="false" outlineLevel="0" collapsed="false">
      <c r="A1" s="10"/>
      <c r="B1" s="10"/>
      <c r="C1" s="10"/>
      <c r="D1" s="10"/>
      <c r="E1" s="10"/>
      <c r="F1" s="10"/>
      <c r="G1" s="10"/>
      <c r="H1" s="10"/>
    </row>
    <row r="2" customFormat="false" ht="14.5" hidden="false" customHeight="false" outlineLevel="0" collapsed="false">
      <c r="A2" s="78" t="s">
        <v>78</v>
      </c>
      <c r="B2" s="78"/>
      <c r="C2" s="78"/>
      <c r="D2" s="79" t="s">
        <v>12</v>
      </c>
      <c r="E2" s="79" t="s">
        <v>13</v>
      </c>
      <c r="F2" s="10"/>
      <c r="G2" s="10"/>
      <c r="H2" s="10"/>
    </row>
    <row r="3" customFormat="false" ht="14.5" hidden="false" customHeight="false" outlineLevel="0" collapsed="false">
      <c r="A3" s="78" t="s">
        <v>14</v>
      </c>
      <c r="B3" s="78" t="n">
        <f aca="false">D3*(100%+E3)</f>
        <v>9500</v>
      </c>
      <c r="C3" s="78"/>
      <c r="D3" s="13" t="n">
        <v>9500</v>
      </c>
      <c r="E3" s="16" t="n">
        <v>0</v>
      </c>
      <c r="F3" s="10"/>
      <c r="G3" s="10"/>
      <c r="H3" s="10"/>
    </row>
    <row r="4" customFormat="false" ht="14.5" hidden="false" customHeight="false" outlineLevel="0" collapsed="false">
      <c r="A4" s="78" t="s">
        <v>15</v>
      </c>
      <c r="B4" s="78" t="n">
        <f aca="false">D4*(100%+E4)</f>
        <v>500</v>
      </c>
      <c r="C4" s="78"/>
      <c r="D4" s="13" t="n">
        <v>500</v>
      </c>
      <c r="E4" s="16" t="n">
        <v>0</v>
      </c>
      <c r="F4" s="10"/>
      <c r="G4" s="10"/>
      <c r="H4" s="10"/>
    </row>
    <row r="5" customFormat="false" ht="14.5" hidden="false" customHeight="false" outlineLevel="0" collapsed="false">
      <c r="A5" s="78" t="s">
        <v>16</v>
      </c>
      <c r="B5" s="78" t="n">
        <f aca="false">D5*(100%+E5)</f>
        <v>2000</v>
      </c>
      <c r="C5" s="78"/>
      <c r="D5" s="13" t="n">
        <v>2000</v>
      </c>
      <c r="E5" s="16" t="n">
        <v>0</v>
      </c>
      <c r="F5" s="10"/>
      <c r="G5" s="10"/>
      <c r="H5" s="10"/>
    </row>
    <row r="6" customFormat="false" ht="14.5" hidden="false" customHeight="false" outlineLevel="0" collapsed="false">
      <c r="A6" s="78"/>
      <c r="B6" s="78"/>
      <c r="C6" s="78"/>
      <c r="D6" s="13"/>
      <c r="E6" s="16"/>
      <c r="F6" s="10"/>
      <c r="G6" s="10"/>
      <c r="H6" s="10"/>
    </row>
    <row r="7" customFormat="false" ht="14.5" hidden="false" customHeight="false" outlineLevel="0" collapsed="false">
      <c r="A7" s="78" t="s">
        <v>17</v>
      </c>
      <c r="B7" s="78" t="n">
        <f aca="false">D7*(100%+E7)</f>
        <v>4000</v>
      </c>
      <c r="C7" s="78"/>
      <c r="D7" s="13" t="n">
        <v>4000</v>
      </c>
      <c r="E7" s="16" t="n">
        <v>0</v>
      </c>
      <c r="F7" s="10"/>
      <c r="G7" s="10"/>
      <c r="H7" s="10"/>
    </row>
    <row r="8" customFormat="false" ht="14.5" hidden="false" customHeight="false" outlineLevel="0" collapsed="false">
      <c r="A8" s="78" t="s">
        <v>18</v>
      </c>
      <c r="B8" s="78" t="n">
        <f aca="false">D8*(100%+E8)</f>
        <v>15000</v>
      </c>
      <c r="C8" s="78"/>
      <c r="D8" s="13" t="n">
        <v>15000</v>
      </c>
      <c r="E8" s="16" t="n">
        <v>0</v>
      </c>
      <c r="F8" s="10"/>
      <c r="G8" s="10"/>
      <c r="H8" s="10"/>
    </row>
    <row r="9" customFormat="false" ht="14.5" hidden="false" customHeight="false" outlineLevel="0" collapsed="false">
      <c r="A9" s="78" t="s">
        <v>19</v>
      </c>
      <c r="B9" s="78" t="n">
        <f aca="false">D9*(100%+E9)</f>
        <v>2</v>
      </c>
      <c r="C9" s="78"/>
      <c r="D9" s="13" t="n">
        <v>2</v>
      </c>
      <c r="E9" s="16" t="n">
        <v>0</v>
      </c>
      <c r="F9" s="10"/>
      <c r="G9" s="10"/>
      <c r="H9" s="10"/>
    </row>
    <row r="10" customFormat="false" ht="14.5" hidden="false" customHeight="false" outlineLevel="0" collapsed="false">
      <c r="A10" s="78" t="s">
        <v>20</v>
      </c>
      <c r="B10" s="89" t="n">
        <f aca="false">D10*(100%+E10)</f>
        <v>0.6</v>
      </c>
      <c r="C10" s="78" t="s">
        <v>21</v>
      </c>
      <c r="D10" s="16" t="n">
        <v>0.6</v>
      </c>
      <c r="E10" s="16" t="n">
        <v>0</v>
      </c>
      <c r="F10" s="10"/>
      <c r="G10" s="10"/>
      <c r="H10" s="10"/>
    </row>
    <row r="11" customFormat="false" ht="14.5" hidden="false" customHeight="false" outlineLevel="0" collapsed="false">
      <c r="A11" s="78" t="s">
        <v>22</v>
      </c>
      <c r="B11" s="90" t="n">
        <f aca="false">D11*(100%+E11)</f>
        <v>5000</v>
      </c>
      <c r="C11" s="78"/>
      <c r="D11" s="18" t="n">
        <v>5000</v>
      </c>
      <c r="E11" s="16" t="n">
        <v>0</v>
      </c>
      <c r="F11" s="10"/>
      <c r="G11" s="10"/>
      <c r="H11" s="10"/>
    </row>
    <row r="12" customFormat="false" ht="14.5" hidden="false" customHeight="false" outlineLevel="0" collapsed="false">
      <c r="A12" s="78" t="s">
        <v>23</v>
      </c>
      <c r="B12" s="89" t="n">
        <f aca="false">D12*(100%+E12)</f>
        <v>0.4</v>
      </c>
      <c r="C12" s="78"/>
      <c r="D12" s="16" t="n">
        <v>0.4</v>
      </c>
      <c r="E12" s="16" t="n">
        <v>0</v>
      </c>
      <c r="F12" s="10"/>
      <c r="G12" s="10"/>
      <c r="H12" s="10"/>
    </row>
    <row r="13" customFormat="false" ht="14.5" hidden="false" customHeight="false" outlineLevel="0" collapsed="false">
      <c r="A13" s="91" t="s">
        <v>24</v>
      </c>
      <c r="B13" s="92" t="n">
        <v>0.02</v>
      </c>
      <c r="C13" s="78"/>
      <c r="D13" s="16" t="n">
        <v>0</v>
      </c>
      <c r="E13" s="16" t="n">
        <v>0</v>
      </c>
      <c r="F13" s="10"/>
      <c r="G13" s="10"/>
      <c r="H13" s="10"/>
    </row>
    <row r="14" customFormat="false" ht="14.5" hidden="false" customHeight="false" outlineLevel="0" collapsed="false">
      <c r="A14" s="10" t="s">
        <v>84</v>
      </c>
      <c r="B14" s="91"/>
      <c r="D14" s="10"/>
      <c r="E14" s="10"/>
      <c r="F14" s="10"/>
      <c r="G14" s="10"/>
      <c r="H14" s="10"/>
    </row>
    <row r="15" customFormat="false" ht="14.5" hidden="false" customHeight="false" outlineLevel="0" collapsed="false">
      <c r="A15" s="93"/>
      <c r="B15" s="93" t="n">
        <v>0</v>
      </c>
      <c r="C15" s="93" t="n">
        <v>1</v>
      </c>
      <c r="D15" s="93" t="n">
        <v>2</v>
      </c>
      <c r="E15" s="93" t="n">
        <v>3</v>
      </c>
      <c r="F15" s="93" t="n">
        <v>4</v>
      </c>
      <c r="G15" s="10"/>
      <c r="H15" s="10"/>
    </row>
    <row r="16" customFormat="false" ht="14.5" hidden="false" customHeight="false" outlineLevel="0" collapsed="false">
      <c r="A16" s="94" t="s">
        <v>85</v>
      </c>
      <c r="B16" s="10"/>
      <c r="C16" s="10"/>
      <c r="D16" s="10"/>
      <c r="E16" s="10"/>
      <c r="F16" s="10"/>
      <c r="G16" s="10"/>
      <c r="H16" s="10"/>
    </row>
    <row r="17" customFormat="false" ht="14.5" hidden="false" customHeight="false" outlineLevel="0" collapsed="false">
      <c r="A17" s="10" t="s">
        <v>14</v>
      </c>
      <c r="B17" s="10" t="n">
        <f aca="false">-B3</f>
        <v>-9500</v>
      </c>
      <c r="C17" s="10"/>
      <c r="D17" s="10"/>
      <c r="E17" s="10"/>
      <c r="F17" s="10"/>
      <c r="G17" s="10"/>
      <c r="H17" s="10"/>
    </row>
    <row r="18" customFormat="false" ht="14.5" hidden="false" customHeight="false" outlineLevel="0" collapsed="false">
      <c r="A18" s="10" t="s">
        <v>15</v>
      </c>
      <c r="B18" s="10" t="n">
        <f aca="false">-B4</f>
        <v>-500</v>
      </c>
      <c r="C18" s="10"/>
      <c r="D18" s="10"/>
      <c r="E18" s="10"/>
      <c r="F18" s="10"/>
      <c r="G18" s="10"/>
      <c r="H18" s="10"/>
    </row>
    <row r="19" customFormat="false" ht="14.5" hidden="false" customHeight="false" outlineLevel="0" collapsed="false">
      <c r="A19" s="10" t="s">
        <v>17</v>
      </c>
      <c r="B19" s="10" t="n">
        <f aca="false">-B7</f>
        <v>-4000</v>
      </c>
      <c r="C19" s="10"/>
      <c r="D19" s="10"/>
      <c r="E19" s="10"/>
      <c r="F19" s="10"/>
      <c r="G19" s="10"/>
      <c r="H19" s="10"/>
    </row>
    <row r="20" customFormat="false" ht="14.5" hidden="false" customHeight="false" outlineLevel="0" collapsed="false">
      <c r="A20" s="20" t="s">
        <v>86</v>
      </c>
      <c r="B20" s="10" t="n">
        <f aca="false">SUM(B17:B19)</f>
        <v>-14000</v>
      </c>
      <c r="C20" s="10"/>
      <c r="D20" s="10"/>
      <c r="E20" s="10"/>
      <c r="F20" s="10"/>
      <c r="G20" s="10"/>
      <c r="H20" s="10"/>
    </row>
    <row r="21" customFormat="false" ht="11.5" hidden="false" customHeight="true" outlineLevel="0" collapsed="false">
      <c r="A21" s="10"/>
      <c r="B21" s="10"/>
      <c r="C21" s="10"/>
      <c r="D21" s="10"/>
      <c r="E21" s="10"/>
      <c r="F21" s="10"/>
      <c r="G21" s="10"/>
      <c r="H21" s="10"/>
    </row>
    <row r="22" customFormat="false" ht="14.5" hidden="false" customHeight="false" outlineLevel="0" collapsed="false">
      <c r="A22" s="94" t="s">
        <v>87</v>
      </c>
      <c r="B22" s="10"/>
      <c r="C22" s="10"/>
      <c r="D22" s="10"/>
      <c r="E22" s="10"/>
      <c r="F22" s="10"/>
      <c r="G22" s="10"/>
      <c r="H22" s="10"/>
    </row>
    <row r="23" customFormat="false" ht="14.5" hidden="false" customHeight="false" outlineLevel="0" collapsed="false">
      <c r="A23" s="91" t="s">
        <v>33</v>
      </c>
      <c r="B23" s="10"/>
      <c r="C23" s="95" t="n">
        <f aca="false">$B$8*$B$9*(1+$B$13)</f>
        <v>30600</v>
      </c>
      <c r="D23" s="95" t="n">
        <f aca="false">C23*(1+$B$13)</f>
        <v>31212</v>
      </c>
      <c r="E23" s="95" t="n">
        <f aca="false">D23*(1+$B$13)</f>
        <v>31836.24</v>
      </c>
      <c r="F23" s="95" t="n">
        <f aca="false">E23*(1+$B$13)</f>
        <v>32472.9648</v>
      </c>
      <c r="G23" s="10"/>
      <c r="H23" s="10"/>
    </row>
    <row r="24" customFormat="false" ht="14.5" hidden="false" customHeight="false" outlineLevel="0" collapsed="false">
      <c r="A24" s="91" t="s">
        <v>20</v>
      </c>
      <c r="B24" s="10"/>
      <c r="C24" s="95" t="n">
        <f aca="false">-C23*$B$10</f>
        <v>-18360</v>
      </c>
      <c r="D24" s="95" t="n">
        <f aca="false">-D23*$B$10</f>
        <v>-18727.2</v>
      </c>
      <c r="E24" s="95" t="n">
        <f aca="false">-E23*$B$10</f>
        <v>-19101.744</v>
      </c>
      <c r="F24" s="95" t="n">
        <f aca="false">-F23*$B$10</f>
        <v>-19483.77888</v>
      </c>
      <c r="G24" s="10"/>
      <c r="H24" s="10"/>
    </row>
    <row r="25" customFormat="false" ht="14.5" hidden="false" customHeight="false" outlineLevel="0" collapsed="false">
      <c r="A25" s="96" t="s">
        <v>22</v>
      </c>
      <c r="B25" s="97"/>
      <c r="C25" s="98" t="n">
        <f aca="false">-B11*(1+$B$13)</f>
        <v>-5100</v>
      </c>
      <c r="D25" s="98" t="n">
        <f aca="false">C25*(1+$B$13)</f>
        <v>-5202</v>
      </c>
      <c r="E25" s="98" t="n">
        <f aca="false">D25*(1+$B$13)</f>
        <v>-5306.04</v>
      </c>
      <c r="F25" s="98" t="n">
        <f aca="false">E25*(1+$B$13)</f>
        <v>-5412.1608</v>
      </c>
      <c r="G25" s="10"/>
      <c r="H25" s="10"/>
    </row>
    <row r="26" customFormat="false" ht="14.5" hidden="false" customHeight="false" outlineLevel="0" collapsed="false">
      <c r="A26" s="20" t="s">
        <v>88</v>
      </c>
      <c r="B26" s="10"/>
      <c r="C26" s="99" t="n">
        <f aca="false">SUM(C23:C25)</f>
        <v>7140</v>
      </c>
      <c r="D26" s="99" t="n">
        <f aca="false">SUM(D23:D25)</f>
        <v>7282.8</v>
      </c>
      <c r="E26" s="99" t="n">
        <f aca="false">SUM(E23:E25)</f>
        <v>7428.456</v>
      </c>
      <c r="F26" s="99" t="n">
        <f aca="false">SUM(F23:F25)</f>
        <v>7577.02512</v>
      </c>
      <c r="G26" s="10"/>
      <c r="H26" s="10"/>
    </row>
    <row r="27" customFormat="false" ht="14.5" hidden="false" customHeight="false" outlineLevel="0" collapsed="false">
      <c r="A27" s="97" t="s">
        <v>89</v>
      </c>
      <c r="B27" s="97"/>
      <c r="C27" s="98" t="n">
        <f aca="false">($B$17+$B$18)*C57</f>
        <v>-2000</v>
      </c>
      <c r="D27" s="98" t="n">
        <f aca="false">($B$17+$B$18)*D57</f>
        <v>-3200</v>
      </c>
      <c r="E27" s="98" t="n">
        <f aca="false">($B$17+$B$18)*E57</f>
        <v>-1920</v>
      </c>
      <c r="F27" s="98" t="n">
        <f aca="false">($B$17+$B$18)*F57</f>
        <v>-1152</v>
      </c>
      <c r="G27" s="10"/>
      <c r="H27" s="10"/>
    </row>
    <row r="28" customFormat="false" ht="14.5" hidden="false" customHeight="false" outlineLevel="0" collapsed="false">
      <c r="A28" s="20" t="s">
        <v>90</v>
      </c>
      <c r="B28" s="10"/>
      <c r="C28" s="99" t="n">
        <f aca="false">C26+C27</f>
        <v>5140</v>
      </c>
      <c r="D28" s="99" t="n">
        <f aca="false">D26+D27</f>
        <v>4082.8</v>
      </c>
      <c r="E28" s="99" t="n">
        <f aca="false">E26+E27</f>
        <v>5508.456</v>
      </c>
      <c r="F28" s="99" t="n">
        <f aca="false">F26+F27</f>
        <v>6425.02512</v>
      </c>
      <c r="G28" s="10"/>
      <c r="H28" s="10"/>
    </row>
    <row r="29" customFormat="false" ht="14.5" hidden="false" customHeight="false" outlineLevel="0" collapsed="false">
      <c r="A29" s="112" t="s">
        <v>91</v>
      </c>
      <c r="B29" s="112"/>
      <c r="C29" s="113" t="n">
        <f aca="false">IF(B28+B29&lt;0,B28+B29,0)</f>
        <v>0</v>
      </c>
      <c r="D29" s="113" t="n">
        <f aca="false">IF(C28+C29&lt;0,C28+C29,0)</f>
        <v>0</v>
      </c>
      <c r="E29" s="113" t="n">
        <f aca="false">IF(D28+D29&lt;0,D28+D29,0)</f>
        <v>0</v>
      </c>
      <c r="F29" s="113" t="n">
        <f aca="false">IF(E28+E29&lt;0,E28+E29,0)</f>
        <v>0</v>
      </c>
      <c r="G29" s="10"/>
      <c r="H29" s="10"/>
    </row>
    <row r="30" customFormat="false" ht="14.5" hidden="false" customHeight="false" outlineLevel="0" collapsed="false">
      <c r="A30" s="97" t="s">
        <v>92</v>
      </c>
      <c r="B30" s="97"/>
      <c r="C30" s="98" t="n">
        <f aca="false">IF(C28+C29&lt;0,0,-(C28+C29)*$B$12)</f>
        <v>-2056</v>
      </c>
      <c r="D30" s="98" t="n">
        <f aca="false">IF(D28+D29&lt;0,0,-(D28+D29)*$B$12)</f>
        <v>-1633.12</v>
      </c>
      <c r="E30" s="98" t="n">
        <f aca="false">IF(E28+E29&lt;0,0,-(E28+E29)*$B$12)</f>
        <v>-2203.3824</v>
      </c>
      <c r="F30" s="98" t="n">
        <f aca="false">IF(F28+F29&lt;0,0,-(F28+F29)*$B$12)</f>
        <v>-2570.010048</v>
      </c>
      <c r="G30" s="10"/>
      <c r="H30" s="10"/>
    </row>
    <row r="31" customFormat="false" ht="14.5" hidden="false" customHeight="false" outlineLevel="0" collapsed="false">
      <c r="A31" s="20" t="s">
        <v>93</v>
      </c>
      <c r="B31" s="10"/>
      <c r="C31" s="99" t="n">
        <f aca="false">C28+C30</f>
        <v>3084</v>
      </c>
      <c r="D31" s="99" t="n">
        <f aca="false">D28+D30</f>
        <v>2449.68</v>
      </c>
      <c r="E31" s="99" t="n">
        <f aca="false">E28+E30</f>
        <v>3305.0736</v>
      </c>
      <c r="F31" s="99" t="n">
        <f aca="false">F28+F30</f>
        <v>3855.015072</v>
      </c>
      <c r="G31" s="10"/>
      <c r="H31" s="10"/>
    </row>
    <row r="32" customFormat="false" ht="14.5" hidden="false" customHeight="false" outlineLevel="0" collapsed="false">
      <c r="A32" s="97" t="s">
        <v>94</v>
      </c>
      <c r="B32" s="97"/>
      <c r="C32" s="98" t="n">
        <f aca="false">-C27</f>
        <v>2000</v>
      </c>
      <c r="D32" s="98" t="n">
        <f aca="false">-D27</f>
        <v>3200</v>
      </c>
      <c r="E32" s="98" t="n">
        <f aca="false">-E27</f>
        <v>1920</v>
      </c>
      <c r="F32" s="98" t="n">
        <f aca="false">-F27</f>
        <v>1152</v>
      </c>
      <c r="G32" s="10"/>
      <c r="H32" s="10"/>
    </row>
    <row r="33" customFormat="false" ht="14.5" hidden="false" customHeight="false" outlineLevel="0" collapsed="false">
      <c r="A33" s="20" t="s">
        <v>95</v>
      </c>
      <c r="B33" s="10"/>
      <c r="C33" s="99" t="n">
        <f aca="false">C31+C32</f>
        <v>5084</v>
      </c>
      <c r="D33" s="99" t="n">
        <f aca="false">D31+D32</f>
        <v>5649.68</v>
      </c>
      <c r="E33" s="99" t="n">
        <f aca="false">E31+E32</f>
        <v>5225.0736</v>
      </c>
      <c r="F33" s="99" t="n">
        <f aca="false">F31+F32</f>
        <v>5007.015072</v>
      </c>
      <c r="G33" s="10"/>
      <c r="H33" s="10"/>
    </row>
    <row r="34" customFormat="false" ht="6.65" hidden="false" customHeight="true" outlineLevel="0" collapsed="false">
      <c r="A34" s="10"/>
      <c r="B34" s="10"/>
      <c r="C34" s="10"/>
      <c r="D34" s="10"/>
      <c r="E34" s="10"/>
      <c r="F34" s="10"/>
      <c r="G34" s="10"/>
      <c r="H34" s="10"/>
    </row>
    <row r="35" customFormat="false" ht="14.5" hidden="false" customHeight="false" outlineLevel="0" collapsed="false">
      <c r="A35" s="94" t="s">
        <v>96</v>
      </c>
      <c r="B35" s="10"/>
      <c r="C35" s="10"/>
      <c r="D35" s="10"/>
      <c r="E35" s="10"/>
      <c r="F35" s="10"/>
      <c r="G35" s="10"/>
      <c r="H35" s="10"/>
    </row>
    <row r="36" customFormat="false" ht="14.5" hidden="false" customHeight="false" outlineLevel="0" collapsed="false">
      <c r="A36" s="10" t="s">
        <v>97</v>
      </c>
      <c r="B36" s="10"/>
      <c r="C36" s="10"/>
      <c r="D36" s="10"/>
      <c r="E36" s="10"/>
      <c r="F36" s="10" t="n">
        <f aca="false">B5</f>
        <v>2000</v>
      </c>
      <c r="G36" s="10"/>
      <c r="H36" s="10"/>
    </row>
    <row r="37" customFormat="false" ht="14.5" hidden="false" customHeight="false" outlineLevel="0" collapsed="false">
      <c r="A37" s="112" t="s">
        <v>98</v>
      </c>
      <c r="B37" s="10"/>
      <c r="C37" s="10"/>
      <c r="D37" s="10"/>
      <c r="E37" s="10"/>
      <c r="F37" s="10" t="n">
        <f aca="false">-(B5-F59)*B12</f>
        <v>-108.8</v>
      </c>
      <c r="G37" s="10"/>
      <c r="H37" s="10"/>
    </row>
    <row r="38" customFormat="false" ht="14.5" hidden="false" customHeight="false" outlineLevel="0" collapsed="false">
      <c r="A38" s="97" t="s">
        <v>99</v>
      </c>
      <c r="B38" s="97"/>
      <c r="C38" s="97"/>
      <c r="D38" s="97"/>
      <c r="E38" s="97"/>
      <c r="F38" s="97" t="n">
        <f aca="false">B7</f>
        <v>4000</v>
      </c>
      <c r="G38" s="10"/>
      <c r="H38" s="10"/>
    </row>
    <row r="39" customFormat="false" ht="14.5" hidden="false" customHeight="false" outlineLevel="0" collapsed="false">
      <c r="A39" s="20" t="s">
        <v>100</v>
      </c>
      <c r="B39" s="10"/>
      <c r="C39" s="10"/>
      <c r="D39" s="10"/>
      <c r="E39" s="10"/>
      <c r="F39" s="20" t="n">
        <f aca="false">SUM(F36:F38)</f>
        <v>5891.2</v>
      </c>
      <c r="G39" s="10"/>
      <c r="H39" s="10"/>
    </row>
    <row r="40" customFormat="false" ht="9.15" hidden="false" customHeight="true" outlineLevel="0" collapsed="false">
      <c r="A40" s="10"/>
      <c r="B40" s="10"/>
      <c r="C40" s="10"/>
      <c r="D40" s="10"/>
      <c r="E40" s="10"/>
      <c r="F40" s="10"/>
      <c r="G40" s="10"/>
      <c r="H40" s="10"/>
    </row>
    <row r="41" customFormat="false" ht="14.5" hidden="false" customHeight="false" outlineLevel="0" collapsed="false">
      <c r="A41" s="100" t="s">
        <v>101</v>
      </c>
      <c r="B41" s="101" t="n">
        <f aca="false">B20</f>
        <v>-14000</v>
      </c>
      <c r="C41" s="101" t="n">
        <f aca="false">C33</f>
        <v>5084</v>
      </c>
      <c r="D41" s="101" t="n">
        <f aca="false">D33</f>
        <v>5649.68</v>
      </c>
      <c r="E41" s="101" t="n">
        <f aca="false">E33</f>
        <v>5225.0736</v>
      </c>
      <c r="F41" s="101" t="n">
        <f aca="false">F33+F39</f>
        <v>10898.215072</v>
      </c>
      <c r="G41" s="10"/>
      <c r="H41" s="10"/>
    </row>
    <row r="42" customFormat="false" ht="14.5" hidden="false" customHeight="false" outlineLevel="1" collapsed="false">
      <c r="A42" s="20" t="s">
        <v>102</v>
      </c>
      <c r="B42" s="102" t="n">
        <f aca="false">B41/(1+$E$50)^B15</f>
        <v>-14000</v>
      </c>
      <c r="C42" s="102" t="n">
        <f aca="false">C41/(1+$E$50)^C15</f>
        <v>4420.86956521739</v>
      </c>
      <c r="D42" s="102" t="n">
        <f aca="false">D41/(1+$E$50)^D15</f>
        <v>4271.96975425331</v>
      </c>
      <c r="E42" s="102" t="n">
        <f aca="false">E41/(1+$E$50)^E15</f>
        <v>3435.57070765184</v>
      </c>
      <c r="F42" s="102" t="n">
        <f aca="false">F41/(1+$E$50)^F15</f>
        <v>6231.08983858691</v>
      </c>
      <c r="G42" s="10"/>
      <c r="H42" s="10"/>
      <c r="I42" s="114"/>
    </row>
    <row r="43" customFormat="false" ht="14.5" hidden="false" customHeight="false" outlineLevel="1" collapsed="false">
      <c r="A43" s="10" t="s">
        <v>104</v>
      </c>
      <c r="B43" s="104" t="n">
        <f aca="false">B41</f>
        <v>-14000</v>
      </c>
      <c r="C43" s="104" t="n">
        <f aca="false">B43+C41</f>
        <v>-8916</v>
      </c>
      <c r="D43" s="104" t="n">
        <f aca="false">C43+D41</f>
        <v>-3266.32</v>
      </c>
      <c r="E43" s="104" t="n">
        <f aca="false">D43+E41</f>
        <v>1958.75359999999</v>
      </c>
      <c r="F43" s="104" t="n">
        <f aca="false">E43+F41</f>
        <v>12856.968672</v>
      </c>
      <c r="G43" s="10"/>
      <c r="H43" s="10"/>
      <c r="I43" s="114"/>
    </row>
    <row r="44" customFormat="false" ht="14.5" hidden="false" customHeight="false" outlineLevel="1" collapsed="false">
      <c r="A44" s="10" t="s">
        <v>106</v>
      </c>
      <c r="B44" s="104" t="n">
        <f aca="false">B42</f>
        <v>-14000</v>
      </c>
      <c r="C44" s="104" t="n">
        <f aca="false">B44+C42</f>
        <v>-9579.13043478261</v>
      </c>
      <c r="D44" s="104" t="n">
        <f aca="false">C44+D42</f>
        <v>-5307.1606805293</v>
      </c>
      <c r="E44" s="104" t="n">
        <f aca="false">D44+E42</f>
        <v>-1871.58997287746</v>
      </c>
      <c r="F44" s="104" t="n">
        <f aca="false">E44+F42</f>
        <v>4359.49986570946</v>
      </c>
      <c r="G44" s="10"/>
      <c r="H44" s="10"/>
      <c r="I44" s="33"/>
    </row>
    <row r="45" customFormat="false" ht="15.65" hidden="false" customHeight="true" outlineLevel="1" collapsed="false">
      <c r="A45" s="106" t="s">
        <v>107</v>
      </c>
      <c r="B45" s="107" t="n">
        <f aca="false">B41*(1+$E$54)^B15/(1+$E$50)^B15</f>
        <v>-14000</v>
      </c>
      <c r="C45" s="107" t="n">
        <f aca="false">C41*(1+$E$54)^C15/(1+$E$50)^C15</f>
        <v>4862.95652173913</v>
      </c>
      <c r="D45" s="107" t="n">
        <f aca="false">D41*(1+$E$54)^D15/(1+$E$50)^D15</f>
        <v>5169.0834026465</v>
      </c>
      <c r="E45" s="107" t="n">
        <f aca="false">E41*(1+$E$54)^E15/(1+$E$50)^E15</f>
        <v>4572.74461188461</v>
      </c>
      <c r="F45" s="107" t="n">
        <f aca="false">F41*(1+$E$54)^F15/(1+$E$50)^F15</f>
        <v>9122.9386326751</v>
      </c>
      <c r="G45" s="10"/>
      <c r="H45" s="10"/>
      <c r="I45" s="33"/>
    </row>
    <row r="46" customFormat="false" ht="14.5" hidden="false" customHeight="false" outlineLevel="1" collapsed="false">
      <c r="A46" s="106" t="s">
        <v>108</v>
      </c>
      <c r="B46" s="107" t="n">
        <f aca="false">B41-B45</f>
        <v>0</v>
      </c>
      <c r="C46" s="107" t="n">
        <f aca="false">C41-C45</f>
        <v>221.043478260868</v>
      </c>
      <c r="D46" s="107" t="n">
        <f aca="false">D41-D45</f>
        <v>480.596597353496</v>
      </c>
      <c r="E46" s="107" t="n">
        <f aca="false">E41-E45</f>
        <v>652.328988115391</v>
      </c>
      <c r="F46" s="107" t="n">
        <f aca="false">F41-F45</f>
        <v>1775.2764393249</v>
      </c>
      <c r="G46" s="10"/>
      <c r="H46" s="10"/>
      <c r="I46" s="33"/>
    </row>
    <row r="47" customFormat="false" ht="14.5" hidden="false" customHeight="false" outlineLevel="1" collapsed="false">
      <c r="A47" s="106" t="s">
        <v>110</v>
      </c>
      <c r="B47" s="107" t="n">
        <f aca="false">B45-B42</f>
        <v>0</v>
      </c>
      <c r="C47" s="107" t="n">
        <f aca="false">C45-C42</f>
        <v>442.08695652174</v>
      </c>
      <c r="D47" s="107" t="n">
        <f aca="false">D45-D42</f>
        <v>897.113648393195</v>
      </c>
      <c r="E47" s="107" t="n">
        <f aca="false">E45-E42</f>
        <v>1137.17390423276</v>
      </c>
      <c r="F47" s="107" t="n">
        <f aca="false">F45-F42</f>
        <v>2891.84879408819</v>
      </c>
      <c r="G47" s="10"/>
      <c r="H47" s="10"/>
      <c r="I47" s="33"/>
    </row>
    <row r="48" customFormat="false" ht="14.5" hidden="false" customHeight="false" outlineLevel="1" collapsed="false">
      <c r="A48" s="106" t="s">
        <v>111</v>
      </c>
      <c r="B48" s="107" t="n">
        <f aca="false">B42+B46+B47</f>
        <v>-14000</v>
      </c>
      <c r="C48" s="107" t="n">
        <f aca="false">C42+C46+C47</f>
        <v>5084</v>
      </c>
      <c r="D48" s="107" t="n">
        <f aca="false">D42+D46+D47</f>
        <v>5649.68</v>
      </c>
      <c r="E48" s="107" t="n">
        <f aca="false">E42+E46+E47</f>
        <v>5225.0736</v>
      </c>
      <c r="F48" s="107" t="n">
        <f aca="false">F42+F46+F47</f>
        <v>10898.215072</v>
      </c>
      <c r="G48" s="10"/>
      <c r="H48" s="10"/>
      <c r="I48" s="114"/>
    </row>
    <row r="49" customFormat="false" ht="14.5" hidden="false" customHeight="false" outlineLevel="0" collapsed="false">
      <c r="A49" s="10"/>
      <c r="B49" s="10"/>
      <c r="C49" s="105"/>
      <c r="D49" s="10"/>
      <c r="E49" s="10"/>
      <c r="F49" s="10"/>
      <c r="G49" s="10"/>
      <c r="H49" s="10"/>
    </row>
    <row r="50" customFormat="false" ht="14.5" hidden="false" customHeight="false" outlineLevel="0" collapsed="false">
      <c r="A50" s="31" t="s">
        <v>45</v>
      </c>
      <c r="B50" s="108" t="n">
        <f aca="false">SUM(B42:F42)</f>
        <v>4359.49986570946</v>
      </c>
      <c r="C50" s="82"/>
      <c r="D50" s="31" t="s">
        <v>79</v>
      </c>
      <c r="E50" s="80" t="n">
        <f aca="false">F50*(100%+G50)</f>
        <v>0.15</v>
      </c>
      <c r="F50" s="16" t="n">
        <v>0.15</v>
      </c>
      <c r="G50" s="16" t="n">
        <v>0</v>
      </c>
      <c r="H50" s="10"/>
    </row>
    <row r="51" customFormat="false" ht="14.5" hidden="false" customHeight="false" outlineLevel="0" collapsed="false">
      <c r="A51" s="31" t="s">
        <v>46</v>
      </c>
      <c r="B51" s="109" t="n">
        <f aca="false">IRR(B41:F41)</f>
        <v>0.278949718273255</v>
      </c>
      <c r="C51" s="82"/>
      <c r="D51" s="82" t="s">
        <v>80</v>
      </c>
      <c r="E51" s="82"/>
      <c r="F51" s="10"/>
      <c r="G51" s="10"/>
      <c r="H51" s="10"/>
    </row>
    <row r="52" customFormat="false" ht="14.5" hidden="false" customHeight="false" outlineLevel="0" collapsed="false">
      <c r="A52" s="31" t="s">
        <v>4</v>
      </c>
      <c r="B52" s="109" t="n">
        <f aca="false">MIRR(B41:F41,E50,E50)</f>
        <v>0.230640045292319</v>
      </c>
      <c r="C52" s="82"/>
      <c r="D52" s="82" t="s">
        <v>81</v>
      </c>
      <c r="E52" s="82"/>
      <c r="F52" s="10"/>
      <c r="G52" s="10"/>
      <c r="H52" s="10"/>
    </row>
    <row r="53" customFormat="false" ht="14.5" hidden="false" customHeight="false" outlineLevel="0" collapsed="false">
      <c r="A53" s="31" t="s">
        <v>47</v>
      </c>
      <c r="B53" s="110" t="n">
        <f aca="false">MATCH(0,B43:F43)-1+-INDEX(B43:F43,1,MATCH(0,B43:F43))/INDEX(C41:F41,1,MATCH(0,B43:F43))</f>
        <v>2.6251242087767</v>
      </c>
      <c r="C53" s="82"/>
      <c r="D53" s="82" t="s">
        <v>82</v>
      </c>
      <c r="E53" s="82"/>
      <c r="F53" s="10"/>
      <c r="G53" s="10"/>
      <c r="H53" s="10"/>
    </row>
    <row r="54" customFormat="false" ht="14.5" hidden="false" customHeight="false" outlineLevel="0" collapsed="false">
      <c r="A54" s="31" t="s">
        <v>48</v>
      </c>
      <c r="B54" s="110" t="n">
        <f aca="false">MATCH(0,B44:F44)-1+-INDEX(B44:F44,1,MATCH(0,B44:F44))/INDEX(C42:F42,1,MATCH(0,B44:F44))</f>
        <v>3.30036318226185</v>
      </c>
      <c r="C54" s="82"/>
      <c r="D54" s="31" t="s">
        <v>83</v>
      </c>
      <c r="E54" s="86" t="n">
        <v>0.1</v>
      </c>
      <c r="F54" s="10"/>
      <c r="G54" s="10"/>
      <c r="H54" s="10"/>
    </row>
    <row r="55" customFormat="false" ht="14.5" hidden="false" customHeight="false" outlineLevel="0" collapsed="false">
      <c r="A55" s="10"/>
      <c r="B55" s="10"/>
      <c r="C55" s="10"/>
      <c r="D55" s="10"/>
      <c r="E55" s="10"/>
      <c r="F55" s="10"/>
      <c r="G55" s="10"/>
      <c r="H55" s="10"/>
    </row>
    <row r="56" customFormat="false" ht="14.5" hidden="false" customHeight="false" outlineLevel="0" collapsed="false">
      <c r="A56" s="78" t="s">
        <v>112</v>
      </c>
      <c r="B56" s="78"/>
      <c r="C56" s="78"/>
      <c r="D56" s="78"/>
      <c r="E56" s="78"/>
      <c r="F56" s="78"/>
      <c r="G56" s="78"/>
      <c r="H56" s="78"/>
    </row>
    <row r="57" customFormat="false" ht="14.5" hidden="false" customHeight="false" outlineLevel="0" collapsed="false">
      <c r="A57" s="78" t="s">
        <v>113</v>
      </c>
      <c r="B57" s="78"/>
      <c r="C57" s="89" t="n">
        <v>0.2</v>
      </c>
      <c r="D57" s="89" t="n">
        <v>0.32</v>
      </c>
      <c r="E57" s="111" t="n">
        <v>0.192</v>
      </c>
      <c r="F57" s="111" t="n">
        <v>0.1152</v>
      </c>
      <c r="G57" s="111" t="n">
        <v>0.1152</v>
      </c>
      <c r="H57" s="111" t="n">
        <v>0.0576</v>
      </c>
    </row>
    <row r="58" customFormat="false" ht="14.5" hidden="false" customHeight="false" outlineLevel="0" collapsed="false">
      <c r="A58" s="78"/>
      <c r="B58" s="78"/>
      <c r="C58" s="78"/>
      <c r="D58" s="78"/>
      <c r="E58" s="78"/>
      <c r="F58" s="78"/>
      <c r="G58" s="78"/>
      <c r="H58" s="78"/>
    </row>
    <row r="59" customFormat="false" ht="14.5" hidden="false" customHeight="false" outlineLevel="0" collapsed="false">
      <c r="A59" s="78" t="s">
        <v>114</v>
      </c>
      <c r="B59" s="78" t="n">
        <f aca="false">B3+B4</f>
        <v>10000</v>
      </c>
      <c r="C59" s="78" t="n">
        <f aca="false">B59-C57*$B$59</f>
        <v>8000</v>
      </c>
      <c r="D59" s="78" t="n">
        <f aca="false">C59-D57*$B$59</f>
        <v>4800</v>
      </c>
      <c r="E59" s="78" t="n">
        <f aca="false">D59-E57*$B$59</f>
        <v>2880</v>
      </c>
      <c r="F59" s="78" t="n">
        <f aca="false">E59-F57*$B$59</f>
        <v>1728</v>
      </c>
      <c r="G59" s="78" t="n">
        <f aca="false">F59-G57*$B$59</f>
        <v>576</v>
      </c>
      <c r="H59" s="78" t="n">
        <f aca="false">G59-H57*$B$59</f>
        <v>0</v>
      </c>
    </row>
    <row r="60" customFormat="false" ht="14.5" hidden="false" customHeight="false" outlineLevel="0" collapsed="false">
      <c r="A60" s="10"/>
      <c r="B60" s="10"/>
      <c r="C60" s="10"/>
      <c r="D60" s="10"/>
      <c r="E60" s="10"/>
      <c r="F60" s="10"/>
      <c r="G60" s="10"/>
      <c r="H60" s="10"/>
    </row>
    <row r="65" customFormat="false" ht="14.5" hidden="false" customHeight="false" outlineLevel="0" collapsed="false">
      <c r="A65" s="0" t="s">
        <v>116</v>
      </c>
      <c r="B65" s="0" t="s">
        <v>117</v>
      </c>
      <c r="C65" s="0" t="s">
        <v>118</v>
      </c>
    </row>
    <row r="66" customFormat="false" ht="14.5" hidden="false" customHeight="false" outlineLevel="0" collapsed="false">
      <c r="A66" s="115" t="s">
        <v>14</v>
      </c>
      <c r="B66" s="115" t="n">
        <f aca="false">'HEP Control Panel'!C5</f>
        <v>9500</v>
      </c>
      <c r="C66" s="0" t="n">
        <f aca="false">'HEP Control Panel'!C88</f>
        <v>0</v>
      </c>
    </row>
    <row r="67" customFormat="false" ht="14.5" hidden="false" customHeight="false" outlineLevel="0" collapsed="false">
      <c r="A67" s="115" t="s">
        <v>15</v>
      </c>
      <c r="B67" s="115" t="n">
        <f aca="false">'HEP Control Panel'!C6</f>
        <v>500</v>
      </c>
      <c r="C67" s="0" t="n">
        <f aca="false">'HEP Control Panel'!C89</f>
        <v>0</v>
      </c>
    </row>
    <row r="68" customFormat="false" ht="14.5" hidden="false" customHeight="false" outlineLevel="0" collapsed="false">
      <c r="A68" s="78" t="s">
        <v>16</v>
      </c>
      <c r="B68" s="78" t="n">
        <f aca="false">'HEP Control Panel'!C7</f>
        <v>2000</v>
      </c>
      <c r="C68" s="0" t="n">
        <f aca="false">'HEP Control Panel'!C90</f>
        <v>200</v>
      </c>
    </row>
    <row r="69" customFormat="false" ht="14.5" hidden="false" customHeight="false" outlineLevel="0" collapsed="false">
      <c r="A69" s="78"/>
      <c r="B69" s="78"/>
    </row>
    <row r="70" customFormat="false" ht="14.5" hidden="false" customHeight="false" outlineLevel="0" collapsed="false">
      <c r="A70" s="115" t="s">
        <v>17</v>
      </c>
      <c r="B70" s="115" t="n">
        <f aca="false">'HEP Control Panel'!C9</f>
        <v>4000</v>
      </c>
      <c r="C70" s="0" t="n">
        <f aca="false">'HEP Control Panel'!C92</f>
        <v>0</v>
      </c>
      <c r="D70" s="0" t="s">
        <v>119</v>
      </c>
    </row>
    <row r="71" customFormat="false" ht="14.5" hidden="false" customHeight="false" outlineLevel="0" collapsed="false">
      <c r="A71" s="78" t="s">
        <v>18</v>
      </c>
      <c r="B71" s="78" t="n">
        <f aca="false">'HEP Control Panel'!C10</f>
        <v>15000</v>
      </c>
      <c r="C71" s="0" t="n">
        <f aca="false">'HEP Control Panel'!C93</f>
        <v>4000</v>
      </c>
      <c r="D71" s="0" t="n">
        <v>-0.8</v>
      </c>
    </row>
    <row r="72" customFormat="false" ht="14.5" hidden="false" customHeight="false" outlineLevel="0" collapsed="false">
      <c r="A72" s="78" t="s">
        <v>19</v>
      </c>
      <c r="B72" s="78" t="n">
        <f aca="false">'HEP Control Panel'!C11</f>
        <v>2</v>
      </c>
      <c r="C72" s="0" t="n">
        <f aca="false">'HEP Control Panel'!C94</f>
        <v>0.2</v>
      </c>
    </row>
    <row r="73" customFormat="false" ht="14.5" hidden="false" customHeight="false" outlineLevel="0" collapsed="false">
      <c r="A73" s="115" t="s">
        <v>20</v>
      </c>
      <c r="B73" s="117" t="n">
        <f aca="false">'HEP Control Panel'!C12</f>
        <v>0.6</v>
      </c>
      <c r="C73" s="0" t="n">
        <f aca="false">'HEP Control Panel'!C95</f>
        <v>0.05</v>
      </c>
    </row>
    <row r="74" customFormat="false" ht="14.5" hidden="false" customHeight="false" outlineLevel="0" collapsed="false">
      <c r="A74" s="115" t="s">
        <v>22</v>
      </c>
      <c r="B74" s="116" t="n">
        <f aca="false">'HEP Control Panel'!C13</f>
        <v>5000</v>
      </c>
      <c r="C74" s="0" t="n">
        <f aca="false">'HEP Control Panel'!C96</f>
        <v>0</v>
      </c>
    </row>
    <row r="75" customFormat="false" ht="14.5" hidden="false" customHeight="false" outlineLevel="0" collapsed="false">
      <c r="A75" s="115" t="s">
        <v>23</v>
      </c>
      <c r="B75" s="117" t="n">
        <f aca="false">'HEP Control Panel'!C14</f>
        <v>0.4</v>
      </c>
      <c r="C75" s="0" t="n">
        <f aca="false">'HEP Control Panel'!C97</f>
        <v>0</v>
      </c>
    </row>
    <row r="76" customFormat="false" ht="14.5" hidden="false" customHeight="false" outlineLevel="0" collapsed="false">
      <c r="A76" s="91" t="s">
        <v>24</v>
      </c>
      <c r="B76" s="92" t="n">
        <f aca="false">'HEP Control Panel'!C15</f>
        <v>0</v>
      </c>
      <c r="C76" s="0" t="n">
        <f aca="false">'HEP Control Panel'!C98</f>
        <v>0.005</v>
      </c>
    </row>
    <row r="79" customFormat="false" ht="14.5" hidden="false" customHeight="false" outlineLevel="0" collapsed="false">
      <c r="A79" s="122" t="s">
        <v>73</v>
      </c>
      <c r="B79" s="122" t="n">
        <f aca="false">'HEP Control Panel'!C86</f>
        <v>1000</v>
      </c>
    </row>
    <row r="80" customFormat="false" ht="14.5" hidden="false" customHeight="false" outlineLevel="0" collapsed="false">
      <c r="A80" s="0" t="s">
        <v>121</v>
      </c>
      <c r="B80" s="0" t="n">
        <f aca="true">_xlfn.NORM.S.INV(RAND())</f>
        <v>-0.112640100736852</v>
      </c>
    </row>
    <row r="81" customFormat="false" ht="14.5" hidden="false" customHeight="false" outlineLevel="0" collapsed="false">
      <c r="A81" s="0" t="s">
        <v>122</v>
      </c>
      <c r="B81" s="0" t="n">
        <f aca="true">B80*$D$71+(1-$D$71^2)*_xlfn.NORM.S.INV(RAND())</f>
        <v>0.521412553041004</v>
      </c>
    </row>
    <row r="82" customFormat="false" ht="14.5" hidden="false" customHeight="false" outlineLevel="0" collapsed="false">
      <c r="A82" s="0" t="s">
        <v>51</v>
      </c>
      <c r="B82" s="0" t="n">
        <f aca="false">$B$71+$C$71*B80</f>
        <v>14549.4395970526</v>
      </c>
    </row>
    <row r="83" customFormat="false" ht="14.5" hidden="false" customHeight="false" outlineLevel="0" collapsed="false">
      <c r="A83" s="0" t="s">
        <v>38</v>
      </c>
      <c r="B83" s="0" t="n">
        <f aca="false">$B$72+$C$72*B81</f>
        <v>2.1042825106082</v>
      </c>
      <c r="D83" s="0" t="s">
        <v>76</v>
      </c>
      <c r="E83" s="123" t="n">
        <f aca="false">COUNTIF(A135:A1048576,"&gt;0")/B79</f>
        <v>0.813</v>
      </c>
    </row>
    <row r="84" customFormat="false" ht="14.5" hidden="false" customHeight="false" outlineLevel="0" collapsed="false">
      <c r="D84" s="0" t="s">
        <v>67</v>
      </c>
      <c r="E84" s="124" t="n">
        <f aca="false">AVERAGE(A135:A1048576)</f>
        <v>3224.43087259801</v>
      </c>
    </row>
    <row r="86" customFormat="false" ht="14.5" hidden="false" customHeight="false" outlineLevel="0" collapsed="false">
      <c r="A86" s="93"/>
      <c r="B86" s="93" t="n">
        <v>0</v>
      </c>
      <c r="C86" s="93" t="n">
        <v>1</v>
      </c>
      <c r="D86" s="93" t="n">
        <v>2</v>
      </c>
      <c r="E86" s="93" t="n">
        <v>3</v>
      </c>
      <c r="F86" s="93" t="n">
        <v>4</v>
      </c>
      <c r="G86" s="10"/>
      <c r="H86" s="10"/>
    </row>
    <row r="87" customFormat="false" ht="14.5" hidden="false" customHeight="false" outlineLevel="0" collapsed="false">
      <c r="A87" s="94" t="s">
        <v>85</v>
      </c>
      <c r="B87" s="10"/>
      <c r="C87" s="10"/>
      <c r="D87" s="10"/>
      <c r="E87" s="10"/>
      <c r="F87" s="10"/>
      <c r="G87" s="10"/>
      <c r="H87" s="10"/>
    </row>
    <row r="88" customFormat="false" ht="14.5" hidden="false" customHeight="false" outlineLevel="0" collapsed="false">
      <c r="A88" s="10" t="s">
        <v>14</v>
      </c>
      <c r="B88" s="10" t="n">
        <f aca="false">-B3</f>
        <v>-9500</v>
      </c>
      <c r="C88" s="10"/>
      <c r="D88" s="10"/>
      <c r="E88" s="10"/>
      <c r="F88" s="10"/>
      <c r="G88" s="10"/>
      <c r="H88" s="10"/>
    </row>
    <row r="89" customFormat="false" ht="14.5" hidden="false" customHeight="false" outlineLevel="0" collapsed="false">
      <c r="A89" s="10" t="s">
        <v>15</v>
      </c>
      <c r="B89" s="10" t="n">
        <f aca="false">-B4</f>
        <v>-500</v>
      </c>
      <c r="C89" s="10"/>
      <c r="D89" s="10"/>
      <c r="E89" s="10"/>
      <c r="F89" s="10"/>
      <c r="G89" s="10"/>
      <c r="H89" s="10"/>
    </row>
    <row r="90" customFormat="false" ht="14.5" hidden="false" customHeight="false" outlineLevel="0" collapsed="false">
      <c r="A90" s="10" t="s">
        <v>17</v>
      </c>
      <c r="B90" s="10" t="n">
        <f aca="false">-B7</f>
        <v>-4000</v>
      </c>
      <c r="C90" s="10"/>
      <c r="D90" s="10"/>
      <c r="E90" s="10"/>
      <c r="F90" s="10"/>
      <c r="G90" s="10"/>
      <c r="H90" s="10"/>
    </row>
    <row r="91" customFormat="false" ht="14.5" hidden="false" customHeight="false" outlineLevel="0" collapsed="false">
      <c r="A91" s="20" t="s">
        <v>86</v>
      </c>
      <c r="B91" s="10" t="n">
        <f aca="false">SUM(B88:B90)</f>
        <v>-14000</v>
      </c>
      <c r="C91" s="10"/>
      <c r="D91" s="10"/>
      <c r="E91" s="10"/>
      <c r="F91" s="10"/>
      <c r="G91" s="10"/>
      <c r="H91" s="10"/>
    </row>
    <row r="92" customFormat="false" ht="14.5" hidden="false" customHeight="false" outlineLevel="0" collapsed="false">
      <c r="A92" s="10"/>
      <c r="B92" s="10"/>
      <c r="C92" s="10"/>
      <c r="D92" s="10"/>
      <c r="E92" s="10"/>
      <c r="F92" s="10"/>
      <c r="G92" s="10"/>
      <c r="H92" s="10"/>
    </row>
    <row r="93" customFormat="false" ht="14.5" hidden="false" customHeight="false" outlineLevel="0" collapsed="false">
      <c r="A93" s="94" t="s">
        <v>87</v>
      </c>
      <c r="B93" s="10"/>
      <c r="C93" s="10"/>
      <c r="D93" s="10"/>
      <c r="E93" s="10"/>
      <c r="F93" s="10"/>
      <c r="G93" s="10"/>
      <c r="H93" s="10"/>
    </row>
    <row r="94" customFormat="false" ht="14.5" hidden="false" customHeight="false" outlineLevel="0" collapsed="false">
      <c r="A94" s="91" t="s">
        <v>33</v>
      </c>
      <c r="B94" s="10"/>
      <c r="C94" s="95" t="n">
        <f aca="false">$B$82*$B$83*(1+$B$76)</f>
        <v>30616.1312832282</v>
      </c>
      <c r="D94" s="95" t="n">
        <f aca="false">C94*(1+$B$76)</f>
        <v>30616.1312832282</v>
      </c>
      <c r="E94" s="95" t="n">
        <f aca="false">D94*(1+$B$76)</f>
        <v>30616.1312832282</v>
      </c>
      <c r="F94" s="95" t="n">
        <f aca="false">E94*(1+$B$76)</f>
        <v>30616.1312832282</v>
      </c>
      <c r="G94" s="10"/>
      <c r="H94" s="10"/>
    </row>
    <row r="95" customFormat="false" ht="14.5" hidden="false" customHeight="false" outlineLevel="0" collapsed="false">
      <c r="A95" s="91" t="s">
        <v>20</v>
      </c>
      <c r="B95" s="10"/>
      <c r="C95" s="95" t="n">
        <f aca="false">-C94*$B$10</f>
        <v>-18369.6787699369</v>
      </c>
      <c r="D95" s="95" t="n">
        <f aca="false">-D94*$B$10</f>
        <v>-18369.6787699369</v>
      </c>
      <c r="E95" s="95" t="n">
        <f aca="false">-E94*$B$10</f>
        <v>-18369.6787699369</v>
      </c>
      <c r="F95" s="95" t="n">
        <f aca="false">-F94*$B$10</f>
        <v>-18369.6787699369</v>
      </c>
      <c r="G95" s="10"/>
      <c r="H95" s="10"/>
    </row>
    <row r="96" customFormat="false" ht="14.5" hidden="false" customHeight="false" outlineLevel="0" collapsed="false">
      <c r="A96" s="96" t="s">
        <v>22</v>
      </c>
      <c r="B96" s="97"/>
      <c r="C96" s="98" t="n">
        <f aca="false">-$B$11*(1+$B$76)</f>
        <v>-5000</v>
      </c>
      <c r="D96" s="98" t="n">
        <f aca="false">C96*(1+$B$76)</f>
        <v>-5000</v>
      </c>
      <c r="E96" s="98" t="n">
        <f aca="false">D96*(1+$B$76)</f>
        <v>-5000</v>
      </c>
      <c r="F96" s="98" t="n">
        <f aca="false">E96*(1+$B$76)</f>
        <v>-5000</v>
      </c>
      <c r="G96" s="10"/>
      <c r="H96" s="10"/>
    </row>
    <row r="97" customFormat="false" ht="14.5" hidden="false" customHeight="false" outlineLevel="0" collapsed="false">
      <c r="A97" s="20" t="s">
        <v>88</v>
      </c>
      <c r="B97" s="10"/>
      <c r="C97" s="99" t="n">
        <f aca="false">SUM(C94:C96)</f>
        <v>7246.45251329128</v>
      </c>
      <c r="D97" s="99" t="n">
        <f aca="false">SUM(D94:D96)</f>
        <v>7246.45251329128</v>
      </c>
      <c r="E97" s="99" t="n">
        <f aca="false">SUM(E94:E96)</f>
        <v>7246.45251329128</v>
      </c>
      <c r="F97" s="99" t="n">
        <f aca="false">SUM(F94:F96)</f>
        <v>7246.45251329128</v>
      </c>
      <c r="G97" s="10"/>
      <c r="H97" s="10"/>
    </row>
    <row r="98" customFormat="false" ht="14.5" hidden="false" customHeight="false" outlineLevel="0" collapsed="false">
      <c r="A98" s="97" t="s">
        <v>89</v>
      </c>
      <c r="B98" s="97"/>
      <c r="C98" s="98" t="n">
        <f aca="false">($B$88+$B$89)*C128</f>
        <v>-2000</v>
      </c>
      <c r="D98" s="98" t="n">
        <f aca="false">($B$17+$B$18)*D128</f>
        <v>-3200</v>
      </c>
      <c r="E98" s="98" t="n">
        <f aca="false">($B$17+$B$18)*E128</f>
        <v>-1920</v>
      </c>
      <c r="F98" s="98" t="n">
        <f aca="false">($B$17+$B$18)*F128</f>
        <v>-1152</v>
      </c>
      <c r="G98" s="10"/>
      <c r="H98" s="10"/>
    </row>
    <row r="99" customFormat="false" ht="14.5" hidden="false" customHeight="false" outlineLevel="0" collapsed="false">
      <c r="A99" s="20" t="s">
        <v>90</v>
      </c>
      <c r="B99" s="10"/>
      <c r="C99" s="99" t="n">
        <f aca="false">C97+C98</f>
        <v>5246.45251329128</v>
      </c>
      <c r="D99" s="99" t="n">
        <f aca="false">D97+D98</f>
        <v>4046.45251329128</v>
      </c>
      <c r="E99" s="99" t="n">
        <f aca="false">E97+E98</f>
        <v>5326.45251329128</v>
      </c>
      <c r="F99" s="99" t="n">
        <f aca="false">F97+F98</f>
        <v>6094.45251329128</v>
      </c>
      <c r="G99" s="10"/>
      <c r="H99" s="10"/>
    </row>
    <row r="100" customFormat="false" ht="14.5" hidden="false" customHeight="false" outlineLevel="0" collapsed="false">
      <c r="A100" s="112" t="s">
        <v>91</v>
      </c>
      <c r="B100" s="112"/>
      <c r="C100" s="113" t="n">
        <f aca="false">IF(B99+B100&lt;0,B99+B100,0)</f>
        <v>0</v>
      </c>
      <c r="D100" s="113" t="n">
        <f aca="false">IF(C99+C100&lt;0,C99+C100,0)</f>
        <v>0</v>
      </c>
      <c r="E100" s="113" t="n">
        <f aca="false">IF(D99+D100&lt;0,D99+D100,0)</f>
        <v>0</v>
      </c>
      <c r="F100" s="113" t="n">
        <f aca="false">IF(E99+E100&lt;0,E99+E100,0)</f>
        <v>0</v>
      </c>
      <c r="G100" s="10"/>
      <c r="H100" s="10"/>
    </row>
    <row r="101" customFormat="false" ht="14.5" hidden="false" customHeight="false" outlineLevel="0" collapsed="false">
      <c r="A101" s="97" t="s">
        <v>92</v>
      </c>
      <c r="B101" s="97"/>
      <c r="C101" s="98" t="n">
        <f aca="false">IF(C99+C100&lt;0,0,-(C99+C100)*$B$12)</f>
        <v>-2098.58100531651</v>
      </c>
      <c r="D101" s="98" t="n">
        <f aca="false">IF(D99+D100&lt;0,0,-(D99+D100)*$B$12)</f>
        <v>-1618.58100531651</v>
      </c>
      <c r="E101" s="98" t="n">
        <f aca="false">IF(E99+E100&lt;0,0,-(E99+E100)*$B$12)</f>
        <v>-2130.58100531651</v>
      </c>
      <c r="F101" s="98" t="n">
        <f aca="false">IF(F99+F100&lt;0,0,-(F99+F100)*$B$12)</f>
        <v>-2437.78100531651</v>
      </c>
      <c r="G101" s="10"/>
      <c r="H101" s="10"/>
    </row>
    <row r="102" customFormat="false" ht="14.5" hidden="false" customHeight="false" outlineLevel="0" collapsed="false">
      <c r="A102" s="20" t="s">
        <v>93</v>
      </c>
      <c r="B102" s="10"/>
      <c r="C102" s="99" t="n">
        <f aca="false">C99+C101</f>
        <v>3147.87150797476</v>
      </c>
      <c r="D102" s="99" t="n">
        <f aca="false">D99+D101</f>
        <v>2427.87150797476</v>
      </c>
      <c r="E102" s="99" t="n">
        <f aca="false">E99+E101</f>
        <v>3195.87150797476</v>
      </c>
      <c r="F102" s="99" t="n">
        <f aca="false">F99+F101</f>
        <v>3656.67150797477</v>
      </c>
      <c r="G102" s="10"/>
      <c r="H102" s="10"/>
    </row>
    <row r="103" customFormat="false" ht="14.5" hidden="false" customHeight="false" outlineLevel="0" collapsed="false">
      <c r="A103" s="97" t="s">
        <v>94</v>
      </c>
      <c r="B103" s="97"/>
      <c r="C103" s="98" t="n">
        <f aca="false">-C98</f>
        <v>2000</v>
      </c>
      <c r="D103" s="98" t="n">
        <f aca="false">-D98</f>
        <v>3200</v>
      </c>
      <c r="E103" s="98" t="n">
        <f aca="false">-E98</f>
        <v>1920</v>
      </c>
      <c r="F103" s="98" t="n">
        <f aca="false">-F98</f>
        <v>1152</v>
      </c>
      <c r="G103" s="10"/>
      <c r="H103" s="10"/>
    </row>
    <row r="104" customFormat="false" ht="14.5" hidden="false" customHeight="false" outlineLevel="0" collapsed="false">
      <c r="A104" s="20" t="s">
        <v>95</v>
      </c>
      <c r="B104" s="10"/>
      <c r="C104" s="99" t="n">
        <f aca="false">C102+C103</f>
        <v>5147.87150797477</v>
      </c>
      <c r="D104" s="99" t="n">
        <f aca="false">D102+D103</f>
        <v>5627.87150797477</v>
      </c>
      <c r="E104" s="99" t="n">
        <f aca="false">E102+E103</f>
        <v>5115.87150797477</v>
      </c>
      <c r="F104" s="99" t="n">
        <f aca="false">F102+F103</f>
        <v>4808.67150797477</v>
      </c>
      <c r="G104" s="10"/>
      <c r="H104" s="10"/>
    </row>
    <row r="105" customFormat="false" ht="14.5" hidden="false" customHeight="false" outlineLevel="0" collapsed="false">
      <c r="A105" s="10"/>
      <c r="B105" s="10"/>
      <c r="C105" s="10"/>
      <c r="D105" s="10"/>
      <c r="E105" s="10"/>
      <c r="F105" s="10"/>
      <c r="G105" s="10"/>
      <c r="H105" s="10"/>
    </row>
    <row r="106" customFormat="false" ht="14.5" hidden="false" customHeight="false" outlineLevel="0" collapsed="false">
      <c r="A106" s="94" t="s">
        <v>96</v>
      </c>
      <c r="B106" s="10"/>
      <c r="C106" s="10"/>
      <c r="D106" s="10"/>
      <c r="E106" s="10"/>
      <c r="F106" s="10"/>
      <c r="G106" s="10"/>
      <c r="H106" s="10"/>
    </row>
    <row r="107" customFormat="false" ht="14.5" hidden="false" customHeight="false" outlineLevel="0" collapsed="false">
      <c r="A107" s="10" t="s">
        <v>97</v>
      </c>
      <c r="B107" s="10"/>
      <c r="C107" s="10"/>
      <c r="D107" s="10"/>
      <c r="E107" s="10"/>
      <c r="F107" s="95" t="n">
        <f aca="false">B5</f>
        <v>2000</v>
      </c>
      <c r="G107" s="10"/>
      <c r="H107" s="10"/>
    </row>
    <row r="108" customFormat="false" ht="14.5" hidden="false" customHeight="false" outlineLevel="0" collapsed="false">
      <c r="A108" s="112" t="s">
        <v>98</v>
      </c>
      <c r="B108" s="10"/>
      <c r="C108" s="10"/>
      <c r="D108" s="10"/>
      <c r="E108" s="10"/>
      <c r="F108" s="125" t="n">
        <f aca="false">-(B5-F130)*B12</f>
        <v>-108.8</v>
      </c>
      <c r="G108" s="10"/>
      <c r="H108" s="10"/>
    </row>
    <row r="109" customFormat="false" ht="14.5" hidden="false" customHeight="false" outlineLevel="0" collapsed="false">
      <c r="A109" s="97" t="s">
        <v>99</v>
      </c>
      <c r="B109" s="97"/>
      <c r="C109" s="97"/>
      <c r="D109" s="97"/>
      <c r="E109" s="97"/>
      <c r="F109" s="97" t="n">
        <f aca="false">-B90</f>
        <v>4000</v>
      </c>
      <c r="G109" s="10"/>
      <c r="H109" s="10"/>
    </row>
    <row r="110" customFormat="false" ht="14.5" hidden="false" customHeight="false" outlineLevel="0" collapsed="false">
      <c r="A110" s="20" t="s">
        <v>100</v>
      </c>
      <c r="B110" s="10"/>
      <c r="C110" s="10"/>
      <c r="D110" s="10"/>
      <c r="E110" s="10"/>
      <c r="F110" s="20" t="n">
        <f aca="false">SUM(F107:F109)</f>
        <v>5891.2</v>
      </c>
      <c r="G110" s="10"/>
      <c r="H110" s="10"/>
    </row>
    <row r="111" customFormat="false" ht="14.5" hidden="false" customHeight="false" outlineLevel="0" collapsed="false">
      <c r="A111" s="10"/>
      <c r="B111" s="10"/>
      <c r="C111" s="10"/>
      <c r="D111" s="10"/>
      <c r="E111" s="10"/>
      <c r="F111" s="10"/>
      <c r="G111" s="10"/>
      <c r="H111" s="10"/>
    </row>
    <row r="112" customFormat="false" ht="14.5" hidden="false" customHeight="false" outlineLevel="0" collapsed="false">
      <c r="A112" s="100" t="s">
        <v>101</v>
      </c>
      <c r="B112" s="101" t="n">
        <f aca="false">B91</f>
        <v>-14000</v>
      </c>
      <c r="C112" s="101" t="n">
        <f aca="false">C104</f>
        <v>5147.87150797477</v>
      </c>
      <c r="D112" s="101" t="n">
        <f aca="false">D104</f>
        <v>5627.87150797477</v>
      </c>
      <c r="E112" s="101" t="n">
        <f aca="false">E104</f>
        <v>5115.87150797477</v>
      </c>
      <c r="F112" s="101" t="n">
        <f aca="false">F104+F110</f>
        <v>10699.8715079748</v>
      </c>
      <c r="G112" s="10"/>
      <c r="H112" s="10"/>
    </row>
    <row r="113" customFormat="false" ht="14.5" hidden="false" customHeight="false" outlineLevel="0" collapsed="false">
      <c r="A113" s="20" t="s">
        <v>102</v>
      </c>
      <c r="B113" s="102" t="n">
        <f aca="false">B112/(1+$E$50)^B86</f>
        <v>-14000</v>
      </c>
      <c r="C113" s="102" t="n">
        <f aca="false">C112/(1+$E$50)^C86</f>
        <v>4476.41000693458</v>
      </c>
      <c r="D113" s="102" t="n">
        <f aca="false">D112/(1+$E$50)^D86</f>
        <v>4255.47940111514</v>
      </c>
      <c r="E113" s="102" t="n">
        <f aca="false">E112/(1+$E$50)^E86</f>
        <v>3363.76855952972</v>
      </c>
      <c r="F113" s="102" t="n">
        <f aca="false">F112/(1+$E$50)^F86</f>
        <v>6117.686262113</v>
      </c>
      <c r="G113" s="10"/>
      <c r="H113" s="10"/>
    </row>
    <row r="114" customFormat="false" ht="14.5" hidden="false" customHeight="false" outlineLevel="0" collapsed="false">
      <c r="A114" s="10" t="s">
        <v>104</v>
      </c>
      <c r="B114" s="104" t="n">
        <f aca="false">B112</f>
        <v>-14000</v>
      </c>
      <c r="C114" s="104" t="n">
        <f aca="false">B114+C112</f>
        <v>-8852.12849202524</v>
      </c>
      <c r="D114" s="104" t="n">
        <f aca="false">C114+D112</f>
        <v>-3224.25698405047</v>
      </c>
      <c r="E114" s="104" t="n">
        <f aca="false">D114+E112</f>
        <v>1891.6145239243</v>
      </c>
      <c r="F114" s="104" t="n">
        <f aca="false">E114+F112</f>
        <v>12591.4860318991</v>
      </c>
      <c r="G114" s="10"/>
      <c r="H114" s="10"/>
    </row>
    <row r="115" customFormat="false" ht="14.5" hidden="false" customHeight="false" outlineLevel="0" collapsed="false">
      <c r="A115" s="10" t="s">
        <v>106</v>
      </c>
      <c r="B115" s="104" t="n">
        <f aca="false">B113</f>
        <v>-14000</v>
      </c>
      <c r="C115" s="104" t="n">
        <f aca="false">B115+C113</f>
        <v>-9523.58999306542</v>
      </c>
      <c r="D115" s="104" t="n">
        <f aca="false">C115+D113</f>
        <v>-5268.11059195029</v>
      </c>
      <c r="E115" s="104" t="n">
        <f aca="false">D115+E113</f>
        <v>-1904.34203242056</v>
      </c>
      <c r="F115" s="104" t="n">
        <f aca="false">E115+F113</f>
        <v>4213.34422969243</v>
      </c>
      <c r="G115" s="10"/>
      <c r="H115" s="10"/>
    </row>
    <row r="116" customFormat="false" ht="14.5" hidden="false" customHeight="false" outlineLevel="0" collapsed="false">
      <c r="A116" s="106" t="s">
        <v>107</v>
      </c>
      <c r="B116" s="107" t="n">
        <f aca="false">B112*(1+$E$54)^B86/(1+$E$50)^B86</f>
        <v>-14000</v>
      </c>
      <c r="C116" s="107" t="n">
        <f aca="false">C112*(1+$E$54)^C86/(1+$E$50)^C86</f>
        <v>4924.05100762804</v>
      </c>
      <c r="D116" s="107" t="n">
        <f aca="false">D112*(1+$E$54)^D86/(1+$E$50)^D86</f>
        <v>5149.13007534931</v>
      </c>
      <c r="E116" s="107" t="n">
        <f aca="false">E112*(1+$E$54)^E86/(1+$E$50)^E86</f>
        <v>4477.17595273406</v>
      </c>
      <c r="F116" s="107" t="n">
        <f aca="false">F112*(1+$E$54)^F86/(1+$E$50)^F86</f>
        <v>8956.90445635964</v>
      </c>
      <c r="G116" s="10"/>
      <c r="H116" s="10"/>
    </row>
    <row r="117" customFormat="false" ht="14.5" hidden="false" customHeight="false" outlineLevel="0" collapsed="false">
      <c r="A117" s="106" t="s">
        <v>108</v>
      </c>
      <c r="B117" s="107" t="n">
        <f aca="false">B112-B116</f>
        <v>0</v>
      </c>
      <c r="C117" s="107" t="n">
        <f aca="false">C112-C116</f>
        <v>223.820500346728</v>
      </c>
      <c r="D117" s="107" t="n">
        <f aca="false">D112-D116</f>
        <v>478.741432625451</v>
      </c>
      <c r="E117" s="107" t="n">
        <f aca="false">E112-E116</f>
        <v>638.695555240704</v>
      </c>
      <c r="F117" s="107" t="n">
        <f aca="false">F112-F116</f>
        <v>1742.96705161513</v>
      </c>
      <c r="G117" s="10"/>
      <c r="H117" s="10"/>
    </row>
    <row r="118" customFormat="false" ht="14.5" hidden="false" customHeight="false" outlineLevel="0" collapsed="false">
      <c r="A118" s="106" t="s">
        <v>110</v>
      </c>
      <c r="B118" s="107" t="n">
        <f aca="false">B116-B113</f>
        <v>0</v>
      </c>
      <c r="C118" s="107" t="n">
        <f aca="false">C116-C113</f>
        <v>447.641000693458</v>
      </c>
      <c r="D118" s="107" t="n">
        <f aca="false">D116-D113</f>
        <v>893.650674234179</v>
      </c>
      <c r="E118" s="107" t="n">
        <f aca="false">E116-E113</f>
        <v>1113.40739320434</v>
      </c>
      <c r="F118" s="107" t="n">
        <f aca="false">F116-F113</f>
        <v>2839.21819424664</v>
      </c>
      <c r="G118" s="10"/>
      <c r="H118" s="10"/>
    </row>
    <row r="119" customFormat="false" ht="14.5" hidden="false" customHeight="false" outlineLevel="0" collapsed="false">
      <c r="A119" s="106" t="s">
        <v>111</v>
      </c>
      <c r="B119" s="107" t="n">
        <f aca="false">B113+B117+B118</f>
        <v>-14000</v>
      </c>
      <c r="C119" s="107" t="n">
        <f aca="false">C113+C117+C118</f>
        <v>5147.87150797477</v>
      </c>
      <c r="D119" s="107" t="n">
        <f aca="false">D113+D117+D118</f>
        <v>5627.87150797477</v>
      </c>
      <c r="E119" s="107" t="n">
        <f aca="false">E113+E117+E118</f>
        <v>5115.87150797477</v>
      </c>
      <c r="F119" s="107" t="n">
        <f aca="false">F113+F117+F118</f>
        <v>10699.8715079748</v>
      </c>
      <c r="G119" s="10"/>
      <c r="H119" s="10"/>
    </row>
    <row r="120" customFormat="false" ht="14.5" hidden="false" customHeight="false" outlineLevel="0" collapsed="false">
      <c r="A120" s="10"/>
      <c r="B120" s="10"/>
      <c r="C120" s="105"/>
      <c r="D120" s="10"/>
      <c r="E120" s="10"/>
      <c r="F120" s="10"/>
      <c r="G120" s="10"/>
      <c r="H120" s="10"/>
    </row>
    <row r="121" customFormat="false" ht="14.5" hidden="false" customHeight="false" outlineLevel="0" collapsed="false">
      <c r="A121" s="31" t="s">
        <v>45</v>
      </c>
      <c r="B121" s="108" t="n">
        <f aca="false">SUM(B113:F113)</f>
        <v>4213.34422969243</v>
      </c>
      <c r="C121" s="82"/>
      <c r="D121" s="31" t="s">
        <v>79</v>
      </c>
      <c r="E121" s="80" t="n">
        <f aca="false">F121*(100%+G121)</f>
        <v>0.15</v>
      </c>
      <c r="F121" s="16" t="n">
        <v>0.15</v>
      </c>
      <c r="G121" s="16" t="n">
        <v>0</v>
      </c>
      <c r="H121" s="10"/>
    </row>
    <row r="122" customFormat="false" ht="14.5" hidden="false" customHeight="false" outlineLevel="0" collapsed="false">
      <c r="A122" s="31" t="s">
        <v>46</v>
      </c>
      <c r="B122" s="109" t="n">
        <f aca="false">IRR(B112:F112)</f>
        <v>0.275615823424922</v>
      </c>
      <c r="C122" s="82"/>
      <c r="D122" s="82" t="s">
        <v>80</v>
      </c>
      <c r="E122" s="82"/>
      <c r="F122" s="10"/>
      <c r="G122" s="10"/>
      <c r="H122" s="10"/>
    </row>
    <row r="123" customFormat="false" ht="14.5" hidden="false" customHeight="false" outlineLevel="0" collapsed="false">
      <c r="A123" s="31" t="s">
        <v>4</v>
      </c>
      <c r="B123" s="109" t="n">
        <f aca="false">MIRR(B112:F112,E121,E121)</f>
        <v>0.228183490981159</v>
      </c>
      <c r="C123" s="82"/>
      <c r="D123" s="82" t="s">
        <v>81</v>
      </c>
      <c r="E123" s="82"/>
      <c r="F123" s="10"/>
      <c r="G123" s="10"/>
      <c r="H123" s="10"/>
    </row>
    <row r="124" customFormat="false" ht="14.5" hidden="false" customHeight="false" outlineLevel="0" collapsed="false">
      <c r="A124" s="31" t="s">
        <v>47</v>
      </c>
      <c r="B124" s="110" t="n">
        <f aca="false">MATCH(0,B114:F114)-1+-INDEX(B114:F114,1,MATCH(0,B114:F114))/INDEX(C112:F112,1,MATCH(0,B114:F114))</f>
        <v>2.63024588851077</v>
      </c>
      <c r="C124" s="82"/>
      <c r="D124" s="82" t="s">
        <v>82</v>
      </c>
      <c r="E124" s="82"/>
      <c r="F124" s="10"/>
      <c r="G124" s="10"/>
      <c r="H124" s="10"/>
    </row>
    <row r="125" customFormat="false" ht="14.5" hidden="false" customHeight="false" outlineLevel="0" collapsed="false">
      <c r="A125" s="31" t="s">
        <v>48</v>
      </c>
      <c r="B125" s="110" t="n">
        <f aca="false">MATCH(0,B115:F115)-1+-INDEX(B115:F115,1,MATCH(0,B115:F115))/INDEX(C113:F113,1,MATCH(0,B115:F115))</f>
        <v>3.31128468359259</v>
      </c>
      <c r="C125" s="82"/>
      <c r="D125" s="31" t="s">
        <v>83</v>
      </c>
      <c r="E125" s="86" t="n">
        <v>0.1</v>
      </c>
      <c r="F125" s="10"/>
      <c r="G125" s="10"/>
      <c r="H125" s="10"/>
    </row>
    <row r="126" customFormat="false" ht="14.5" hidden="false" customHeight="false" outlineLevel="0" collapsed="false">
      <c r="A126" s="10"/>
      <c r="B126" s="10"/>
      <c r="C126" s="10"/>
      <c r="D126" s="10"/>
      <c r="E126" s="10"/>
      <c r="F126" s="10"/>
      <c r="G126" s="10"/>
      <c r="H126" s="10"/>
    </row>
    <row r="127" customFormat="false" ht="14.5" hidden="false" customHeight="false" outlineLevel="0" collapsed="false">
      <c r="A127" s="78" t="s">
        <v>112</v>
      </c>
      <c r="B127" s="78"/>
      <c r="C127" s="78"/>
      <c r="D127" s="78"/>
      <c r="E127" s="78"/>
      <c r="F127" s="78"/>
      <c r="G127" s="78"/>
      <c r="H127" s="78"/>
    </row>
    <row r="128" customFormat="false" ht="14.5" hidden="false" customHeight="false" outlineLevel="0" collapsed="false">
      <c r="A128" s="78" t="s">
        <v>113</v>
      </c>
      <c r="B128" s="78"/>
      <c r="C128" s="89" t="n">
        <v>0.2</v>
      </c>
      <c r="D128" s="89" t="n">
        <v>0.32</v>
      </c>
      <c r="E128" s="111" t="n">
        <v>0.192</v>
      </c>
      <c r="F128" s="111" t="n">
        <v>0.1152</v>
      </c>
      <c r="G128" s="111" t="n">
        <v>0.1152</v>
      </c>
      <c r="H128" s="111" t="n">
        <v>0.0576</v>
      </c>
    </row>
    <row r="129" customFormat="false" ht="14.5" hidden="false" customHeight="false" outlineLevel="0" collapsed="false">
      <c r="A129" s="78"/>
      <c r="B129" s="78"/>
      <c r="C129" s="78"/>
      <c r="D129" s="78"/>
      <c r="E129" s="78"/>
      <c r="F129" s="78"/>
      <c r="G129" s="78"/>
      <c r="H129" s="78"/>
    </row>
    <row r="130" customFormat="false" ht="14.5" hidden="false" customHeight="false" outlineLevel="0" collapsed="false">
      <c r="A130" s="78" t="s">
        <v>114</v>
      </c>
      <c r="B130" s="78" t="n">
        <f aca="false">B3+B4</f>
        <v>10000</v>
      </c>
      <c r="C130" s="78" t="n">
        <f aca="false">B130-C128*$B$59</f>
        <v>8000</v>
      </c>
      <c r="D130" s="78" t="n">
        <f aca="false">C130-D128*$B$59</f>
        <v>4800</v>
      </c>
      <c r="E130" s="78" t="n">
        <f aca="false">D130-E128*$B$59</f>
        <v>2880</v>
      </c>
      <c r="F130" s="78" t="n">
        <f aca="false">E130-F128*$B$59</f>
        <v>1728</v>
      </c>
      <c r="G130" s="78" t="n">
        <f aca="false">F130-G128*$B$59</f>
        <v>576</v>
      </c>
      <c r="H130" s="78" t="n">
        <f aca="false">G130-H128*$B$59</f>
        <v>0</v>
      </c>
    </row>
    <row r="132" customFormat="false" ht="14.5" hidden="false" customHeight="false" outlineLevel="0" collapsed="false">
      <c r="G132" s="0" t="s">
        <v>124</v>
      </c>
      <c r="H132" s="124" t="n">
        <f aca="false">MIN(A135:A1048576)</f>
        <v>-18968.240433444</v>
      </c>
    </row>
    <row r="133" customFormat="false" ht="14.5" hidden="false" customHeight="false" outlineLevel="0" collapsed="false">
      <c r="G133" s="0" t="s">
        <v>125</v>
      </c>
      <c r="H133" s="124" t="n">
        <f aca="false">MAX(A135:A1048576)</f>
        <v>12160.9567526947</v>
      </c>
    </row>
    <row r="134" customFormat="false" ht="14.5" hidden="false" customHeight="false" outlineLevel="0" collapsed="false">
      <c r="A134" s="0" t="s">
        <v>45</v>
      </c>
      <c r="D134" s="0" t="s">
        <v>132</v>
      </c>
      <c r="E134" s="0" t="s">
        <v>133</v>
      </c>
      <c r="G134" s="0" t="s">
        <v>129</v>
      </c>
      <c r="H134" s="124" t="n">
        <f aca="false">(H133-H132)/20</f>
        <v>1556.45985930694</v>
      </c>
    </row>
    <row r="135" customFormat="false" ht="13.8" hidden="false" customHeight="false" outlineLevel="0" collapsed="false">
      <c r="A135" s="124" t="n">
        <v>746.874796797627</v>
      </c>
      <c r="B135" s="124"/>
      <c r="C135" s="0" t="n">
        <v>1</v>
      </c>
      <c r="D135" s="124" t="n">
        <f aca="false">H132</f>
        <v>-18968.240433444</v>
      </c>
      <c r="E135" s="0" t="n">
        <f aca="false">COUNTIF($A$135:$A$1048576,"&lt;"&amp;D135)</f>
        <v>0</v>
      </c>
    </row>
    <row r="136" customFormat="false" ht="13.8" hidden="false" customHeight="false" outlineLevel="0" collapsed="false">
      <c r="A136" s="124" t="n">
        <v>2845.37748219482</v>
      </c>
      <c r="B136" s="124"/>
      <c r="C136" s="0" t="n">
        <v>2</v>
      </c>
      <c r="D136" s="124" t="n">
        <f aca="false">D135+$H$134</f>
        <v>-17411.7805741371</v>
      </c>
      <c r="E136" s="121" t="n">
        <f aca="false">COUNTIF($A$135:$A$1048576,"&lt;"&amp;D136)-SUM($E$135:E135)</f>
        <v>1</v>
      </c>
    </row>
    <row r="137" customFormat="false" ht="13.8" hidden="false" customHeight="false" outlineLevel="0" collapsed="false">
      <c r="A137" s="124" t="n">
        <v>4524.25534853102</v>
      </c>
      <c r="B137" s="124"/>
      <c r="C137" s="0" t="n">
        <v>3</v>
      </c>
      <c r="D137" s="124" t="n">
        <f aca="false">D136+$H$134</f>
        <v>-15855.3207148301</v>
      </c>
      <c r="E137" s="121" t="n">
        <f aca="false">COUNTIF($A$135:$A$1048576,"&lt;"&amp;D137)-SUM($E$135:E136)</f>
        <v>2</v>
      </c>
    </row>
    <row r="138" customFormat="false" ht="13.8" hidden="false" customHeight="false" outlineLevel="0" collapsed="false">
      <c r="A138" s="124" t="n">
        <v>5486.99724433359</v>
      </c>
      <c r="B138" s="124"/>
      <c r="C138" s="0" t="n">
        <v>4</v>
      </c>
      <c r="D138" s="124" t="n">
        <f aca="false">D137+$H$134</f>
        <v>-14298.8608555232</v>
      </c>
      <c r="E138" s="121" t="n">
        <f aca="false">COUNTIF($A$135:$A$1048576,"&lt;"&amp;D138)-SUM($E$135:E137)</f>
        <v>0</v>
      </c>
    </row>
    <row r="139" customFormat="false" ht="13.8" hidden="false" customHeight="false" outlineLevel="0" collapsed="false">
      <c r="A139" s="124" t="n">
        <v>-6220.7061369657</v>
      </c>
      <c r="B139" s="124"/>
      <c r="C139" s="0" t="n">
        <v>5</v>
      </c>
      <c r="D139" s="124" t="n">
        <f aca="false">D138+$H$134</f>
        <v>-12742.4009962163</v>
      </c>
      <c r="E139" s="121" t="n">
        <f aca="false">COUNTIF($A$135:$A$1048576,"&lt;"&amp;D139)-SUM($E$135:E138)</f>
        <v>1</v>
      </c>
    </row>
    <row r="140" customFormat="false" ht="13.8" hidden="false" customHeight="false" outlineLevel="0" collapsed="false">
      <c r="A140" s="124" t="n">
        <v>3230.6440368754</v>
      </c>
      <c r="B140" s="124"/>
      <c r="C140" s="0" t="n">
        <v>6</v>
      </c>
      <c r="D140" s="124" t="n">
        <f aca="false">D139+$H$134</f>
        <v>-11185.9411369093</v>
      </c>
      <c r="E140" s="121" t="n">
        <f aca="false">COUNTIF($A$135:$A$1048576,"&lt;"&amp;D140)-SUM($E$135:E139)</f>
        <v>3</v>
      </c>
    </row>
    <row r="141" customFormat="false" ht="13.8" hidden="false" customHeight="false" outlineLevel="0" collapsed="false">
      <c r="A141" s="124" t="n">
        <v>-2127.67226691947</v>
      </c>
      <c r="B141" s="124"/>
      <c r="C141" s="0" t="n">
        <v>7</v>
      </c>
      <c r="D141" s="124" t="n">
        <f aca="false">D140+$H$134</f>
        <v>-9629.48127760239</v>
      </c>
      <c r="E141" s="121" t="n">
        <f aca="false">COUNTIF($A$135:$A$1048576,"&lt;"&amp;D141)-SUM($E$135:E140)</f>
        <v>3</v>
      </c>
    </row>
    <row r="142" customFormat="false" ht="13.8" hidden="false" customHeight="false" outlineLevel="0" collapsed="false">
      <c r="A142" s="124" t="n">
        <v>5069.78704353745</v>
      </c>
      <c r="B142" s="124"/>
      <c r="C142" s="0" t="n">
        <v>8</v>
      </c>
      <c r="D142" s="124" t="n">
        <f aca="false">D141+$H$134</f>
        <v>-8073.02141829545</v>
      </c>
      <c r="E142" s="121" t="n">
        <f aca="false">COUNTIF($A$135:$A$1048576,"&lt;"&amp;D142)-SUM($E$135:E141)</f>
        <v>7</v>
      </c>
    </row>
    <row r="143" customFormat="false" ht="13.8" hidden="false" customHeight="false" outlineLevel="0" collapsed="false">
      <c r="A143" s="124" t="n">
        <v>1211.39247567208</v>
      </c>
      <c r="B143" s="124"/>
      <c r="C143" s="0" t="n">
        <v>9</v>
      </c>
      <c r="D143" s="124" t="n">
        <f aca="false">D142+$H$134</f>
        <v>-6516.56155898851</v>
      </c>
      <c r="E143" s="121" t="n">
        <f aca="false">COUNTIF($A$135:$A$1048576,"&lt;"&amp;D143)-SUM($E$135:E142)</f>
        <v>4</v>
      </c>
    </row>
    <row r="144" customFormat="false" ht="13.8" hidden="false" customHeight="false" outlineLevel="0" collapsed="false">
      <c r="A144" s="124" t="n">
        <v>-1466.22059484903</v>
      </c>
      <c r="B144" s="124"/>
      <c r="C144" s="0" t="n">
        <v>10</v>
      </c>
      <c r="D144" s="124" t="n">
        <f aca="false">D143+$H$134</f>
        <v>-4960.10169968158</v>
      </c>
      <c r="E144" s="121" t="n">
        <f aca="false">COUNTIF($A$135:$A$1048576,"&lt;"&amp;D144)-SUM($E$135:E143)</f>
        <v>9</v>
      </c>
    </row>
    <row r="145" customFormat="false" ht="13.8" hidden="false" customHeight="false" outlineLevel="0" collapsed="false">
      <c r="A145" s="124" t="n">
        <v>-258.069363641873</v>
      </c>
      <c r="B145" s="124"/>
      <c r="C145" s="0" t="n">
        <v>11</v>
      </c>
      <c r="D145" s="124" t="n">
        <f aca="false">D144+$H$134</f>
        <v>-3403.64184037464</v>
      </c>
      <c r="E145" s="121" t="n">
        <f aca="false">COUNTIF($A$135:$A$1048576,"&lt;"&amp;D145)-SUM($E$135:E144)</f>
        <v>21</v>
      </c>
    </row>
    <row r="146" customFormat="false" ht="13.8" hidden="false" customHeight="false" outlineLevel="0" collapsed="false">
      <c r="A146" s="124" t="n">
        <v>8095.83345664641</v>
      </c>
      <c r="B146" s="124"/>
      <c r="C146" s="0" t="n">
        <v>12</v>
      </c>
      <c r="D146" s="124" t="n">
        <f aca="false">D145+$H$134</f>
        <v>-1847.1819810677</v>
      </c>
      <c r="E146" s="121" t="n">
        <f aca="false">COUNTIF($A$135:$A$1048576,"&lt;"&amp;D146)-SUM($E$135:E145)</f>
        <v>42</v>
      </c>
    </row>
    <row r="147" customFormat="false" ht="13.8" hidden="false" customHeight="false" outlineLevel="0" collapsed="false">
      <c r="A147" s="124" t="n">
        <v>5052.55835464966</v>
      </c>
      <c r="B147" s="124"/>
      <c r="C147" s="0" t="n">
        <v>13</v>
      </c>
      <c r="D147" s="124" t="n">
        <f aca="false">D146+$H$134</f>
        <v>-290.722121760763</v>
      </c>
      <c r="E147" s="121" t="n">
        <f aca="false">COUNTIF($A$135:$A$1048576,"&lt;"&amp;D147)-SUM($E$135:E146)</f>
        <v>72</v>
      </c>
    </row>
    <row r="148" customFormat="false" ht="13.8" hidden="false" customHeight="false" outlineLevel="0" collapsed="false">
      <c r="A148" s="124" t="n">
        <v>-1198.65661854816</v>
      </c>
      <c r="B148" s="124"/>
      <c r="C148" s="0" t="n">
        <v>14</v>
      </c>
      <c r="D148" s="124" t="n">
        <f aca="false">D147+$H$134</f>
        <v>1265.73773754617</v>
      </c>
      <c r="E148" s="121" t="n">
        <f aca="false">COUNTIF($A$135:$A$1048576,"&lt;"&amp;D148)-SUM($E$135:E147)</f>
        <v>123</v>
      </c>
    </row>
    <row r="149" customFormat="false" ht="13.8" hidden="false" customHeight="false" outlineLevel="0" collapsed="false">
      <c r="A149" s="124" t="n">
        <v>4277.17830369471</v>
      </c>
      <c r="B149" s="124"/>
      <c r="C149" s="0" t="n">
        <v>15</v>
      </c>
      <c r="D149" s="124" t="n">
        <f aca="false">D148+$H$134</f>
        <v>2822.19759685311</v>
      </c>
      <c r="E149" s="121" t="n">
        <f aca="false">COUNTIF($A$135:$A$1048576,"&lt;"&amp;D149)-SUM($E$135:E148)</f>
        <v>145</v>
      </c>
    </row>
    <row r="150" customFormat="false" ht="13.8" hidden="false" customHeight="false" outlineLevel="0" collapsed="false">
      <c r="A150" s="124" t="n">
        <v>5133.96021571088</v>
      </c>
      <c r="B150" s="124"/>
      <c r="C150" s="0" t="n">
        <v>16</v>
      </c>
      <c r="D150" s="124" t="n">
        <f aca="false">D149+$H$134</f>
        <v>4378.65745616005</v>
      </c>
      <c r="E150" s="121" t="n">
        <f aca="false">COUNTIF($A$135:$A$1048576,"&lt;"&amp;D150)-SUM($E$135:E149)</f>
        <v>147</v>
      </c>
    </row>
    <row r="151" customFormat="false" ht="13.8" hidden="false" customHeight="false" outlineLevel="0" collapsed="false">
      <c r="A151" s="124" t="n">
        <v>9964.11127848252</v>
      </c>
      <c r="B151" s="124"/>
      <c r="C151" s="0" t="n">
        <v>17</v>
      </c>
      <c r="D151" s="124" t="n">
        <f aca="false">D150+$H$134</f>
        <v>5935.11731546699</v>
      </c>
      <c r="E151" s="121" t="n">
        <f aca="false">COUNTIF($A$135:$A$1048576,"&lt;"&amp;D151)-SUM($E$135:E150)</f>
        <v>153</v>
      </c>
    </row>
    <row r="152" customFormat="false" ht="13.8" hidden="false" customHeight="false" outlineLevel="0" collapsed="false">
      <c r="A152" s="124" t="n">
        <v>9014.5680887108</v>
      </c>
      <c r="B152" s="124"/>
      <c r="C152" s="0" t="n">
        <v>18</v>
      </c>
      <c r="D152" s="124" t="n">
        <f aca="false">D151+$H$134</f>
        <v>7491.57717477393</v>
      </c>
      <c r="E152" s="121" t="n">
        <f aca="false">COUNTIF($A$135:$A$1048576,"&lt;"&amp;D152)-SUM($E$135:E151)</f>
        <v>129</v>
      </c>
    </row>
    <row r="153" customFormat="false" ht="13.8" hidden="false" customHeight="false" outlineLevel="0" collapsed="false">
      <c r="A153" s="124" t="n">
        <v>222.705364135287</v>
      </c>
      <c r="B153" s="124"/>
      <c r="C153" s="0" t="n">
        <v>19</v>
      </c>
      <c r="D153" s="124" t="n">
        <f aca="false">D152+$H$134</f>
        <v>9048.03703408086</v>
      </c>
      <c r="E153" s="121" t="n">
        <f aca="false">COUNTIF($A$135:$A$1048576,"&lt;"&amp;D153)-SUM($E$135:E152)</f>
        <v>93</v>
      </c>
    </row>
    <row r="154" customFormat="false" ht="13.8" hidden="false" customHeight="false" outlineLevel="0" collapsed="false">
      <c r="A154" s="124" t="n">
        <v>7293.16546312394</v>
      </c>
      <c r="B154" s="124"/>
      <c r="C154" s="0" t="n">
        <v>20</v>
      </c>
      <c r="D154" s="124" t="n">
        <f aca="false">D153+$H$134</f>
        <v>10604.4968933878</v>
      </c>
      <c r="E154" s="121" t="n">
        <f aca="false">COUNTIF($A$135:$A$1048576,"&lt;"&amp;D154)-SUM($E$135:E153)</f>
        <v>29</v>
      </c>
    </row>
    <row r="155" customFormat="false" ht="13.8" hidden="false" customHeight="false" outlineLevel="0" collapsed="false">
      <c r="A155" s="124" t="n">
        <v>4710.62039683926</v>
      </c>
      <c r="B155" s="124"/>
      <c r="C155" s="0" t="n">
        <v>21</v>
      </c>
      <c r="D155" s="124" t="n">
        <f aca="false">D154+$H$134</f>
        <v>12160.9567526947</v>
      </c>
      <c r="E155" s="121" t="n">
        <f aca="false">COUNTIF($A$135:$A$1048576,"&lt;="&amp;D155)-SUM($E$135:E154)</f>
        <v>16</v>
      </c>
    </row>
    <row r="156" customFormat="false" ht="13.8" hidden="false" customHeight="false" outlineLevel="0" collapsed="false">
      <c r="A156" s="124" t="n">
        <v>-3503.69795986068</v>
      </c>
      <c r="B156" s="124"/>
      <c r="D156" s="124"/>
      <c r="E156" s="121"/>
    </row>
    <row r="157" customFormat="false" ht="13.8" hidden="false" customHeight="false" outlineLevel="0" collapsed="false">
      <c r="A157" s="124" t="n">
        <v>-1274.49961486457</v>
      </c>
      <c r="B157" s="124"/>
      <c r="D157" s="124"/>
      <c r="E157" s="121"/>
    </row>
    <row r="158" customFormat="false" ht="13.8" hidden="false" customHeight="false" outlineLevel="0" collapsed="false">
      <c r="A158" s="124" t="n">
        <v>7900.4752362144</v>
      </c>
      <c r="B158" s="124"/>
      <c r="D158" s="124"/>
      <c r="E158" s="121"/>
    </row>
    <row r="159" customFormat="false" ht="13.8" hidden="false" customHeight="false" outlineLevel="0" collapsed="false">
      <c r="A159" s="124" t="n">
        <v>7051.17327217955</v>
      </c>
      <c r="B159" s="124"/>
      <c r="D159" s="124"/>
      <c r="E159" s="121"/>
    </row>
    <row r="160" customFormat="false" ht="13.8" hidden="false" customHeight="false" outlineLevel="0" collapsed="false">
      <c r="A160" s="124" t="n">
        <v>5449.33920224851</v>
      </c>
      <c r="B160" s="124"/>
      <c r="D160" s="124"/>
      <c r="E160" s="121"/>
    </row>
    <row r="161" customFormat="false" ht="13.8" hidden="false" customHeight="false" outlineLevel="0" collapsed="false">
      <c r="A161" s="124" t="n">
        <v>-2120.82877694196</v>
      </c>
      <c r="B161" s="124"/>
      <c r="D161" s="124"/>
      <c r="E161" s="121"/>
    </row>
    <row r="162" customFormat="false" ht="13.8" hidden="false" customHeight="false" outlineLevel="0" collapsed="false">
      <c r="A162" s="124" t="n">
        <v>9595.47545944908</v>
      </c>
      <c r="B162" s="124"/>
      <c r="D162" s="124"/>
      <c r="E162" s="121"/>
    </row>
    <row r="163" customFormat="false" ht="13.8" hidden="false" customHeight="false" outlineLevel="0" collapsed="false">
      <c r="A163" s="124" t="n">
        <v>1367.32262345182</v>
      </c>
      <c r="B163" s="124"/>
      <c r="D163" s="124"/>
      <c r="E163" s="121"/>
    </row>
    <row r="164" customFormat="false" ht="13.8" hidden="false" customHeight="false" outlineLevel="0" collapsed="false">
      <c r="A164" s="124" t="n">
        <v>4190.19458387699</v>
      </c>
      <c r="B164" s="124"/>
      <c r="D164" s="124"/>
      <c r="E164" s="121"/>
    </row>
    <row r="165" customFormat="false" ht="13.8" hidden="false" customHeight="false" outlineLevel="0" collapsed="false">
      <c r="A165" s="124" t="n">
        <v>-386.52109141075</v>
      </c>
      <c r="B165" s="124"/>
      <c r="D165" s="124"/>
      <c r="E165" s="121"/>
    </row>
    <row r="166" customFormat="false" ht="13.8" hidden="false" customHeight="false" outlineLevel="0" collapsed="false">
      <c r="A166" s="124" t="n">
        <v>1255.40354000918</v>
      </c>
      <c r="B166" s="124"/>
      <c r="D166" s="124"/>
      <c r="E166" s="121"/>
    </row>
    <row r="167" customFormat="false" ht="13.8" hidden="false" customHeight="false" outlineLevel="0" collapsed="false">
      <c r="A167" s="124" t="n">
        <v>4243.82209973707</v>
      </c>
      <c r="B167" s="124"/>
      <c r="D167" s="124"/>
      <c r="E167" s="121"/>
    </row>
    <row r="168" customFormat="false" ht="13.8" hidden="false" customHeight="false" outlineLevel="0" collapsed="false">
      <c r="A168" s="124" t="n">
        <v>2271.99476261675</v>
      </c>
      <c r="B168" s="124"/>
      <c r="D168" s="124"/>
      <c r="E168" s="121"/>
    </row>
    <row r="169" customFormat="false" ht="13.8" hidden="false" customHeight="false" outlineLevel="0" collapsed="false">
      <c r="A169" s="124" t="n">
        <v>-10052.263556412</v>
      </c>
      <c r="B169" s="124"/>
      <c r="D169" s="124"/>
      <c r="E169" s="121"/>
    </row>
    <row r="170" customFormat="false" ht="13.8" hidden="false" customHeight="false" outlineLevel="0" collapsed="false">
      <c r="A170" s="124" t="n">
        <v>8485.46390686783</v>
      </c>
      <c r="B170" s="124"/>
      <c r="D170" s="124"/>
      <c r="E170" s="121"/>
    </row>
    <row r="171" customFormat="false" ht="13.8" hidden="false" customHeight="false" outlineLevel="0" collapsed="false">
      <c r="A171" s="124" t="n">
        <v>-484.712003886903</v>
      </c>
      <c r="B171" s="124"/>
      <c r="D171" s="124"/>
      <c r="E171" s="121"/>
    </row>
    <row r="172" customFormat="false" ht="13.8" hidden="false" customHeight="false" outlineLevel="0" collapsed="false">
      <c r="A172" s="124" t="n">
        <v>4852.29740782756</v>
      </c>
      <c r="B172" s="124"/>
      <c r="D172" s="124"/>
      <c r="E172" s="121"/>
    </row>
    <row r="173" customFormat="false" ht="13.8" hidden="false" customHeight="false" outlineLevel="0" collapsed="false">
      <c r="A173" s="124" t="n">
        <v>-9053.84304124176</v>
      </c>
      <c r="B173" s="124"/>
      <c r="D173" s="124"/>
      <c r="E173" s="121"/>
    </row>
    <row r="174" customFormat="false" ht="13.8" hidden="false" customHeight="false" outlineLevel="0" collapsed="false">
      <c r="A174" s="124" t="n">
        <v>5081.73090002686</v>
      </c>
      <c r="B174" s="124"/>
      <c r="D174" s="124"/>
      <c r="E174" s="121"/>
    </row>
    <row r="175" customFormat="false" ht="13.8" hidden="false" customHeight="false" outlineLevel="0" collapsed="false">
      <c r="A175" s="124" t="n">
        <v>1153.71965759698</v>
      </c>
      <c r="B175" s="124"/>
      <c r="D175" s="124"/>
      <c r="E175" s="121"/>
    </row>
    <row r="176" customFormat="false" ht="13.8" hidden="false" customHeight="false" outlineLevel="0" collapsed="false">
      <c r="A176" s="124" t="n">
        <v>3933.96097258686</v>
      </c>
      <c r="B176" s="124"/>
      <c r="D176" s="124"/>
      <c r="E176" s="121"/>
    </row>
    <row r="177" customFormat="false" ht="13.8" hidden="false" customHeight="false" outlineLevel="0" collapsed="false">
      <c r="A177" s="124" t="n">
        <v>-4538.90109109185</v>
      </c>
      <c r="B177" s="124"/>
      <c r="D177" s="124"/>
      <c r="E177" s="121"/>
    </row>
    <row r="178" customFormat="false" ht="13.8" hidden="false" customHeight="false" outlineLevel="0" collapsed="false">
      <c r="A178" s="124" t="n">
        <v>12141.1816063502</v>
      </c>
      <c r="B178" s="124"/>
      <c r="D178" s="124"/>
      <c r="E178" s="121"/>
    </row>
    <row r="179" customFormat="false" ht="13.8" hidden="false" customHeight="false" outlineLevel="0" collapsed="false">
      <c r="A179" s="124" t="n">
        <v>3511.04149159283</v>
      </c>
      <c r="B179" s="124"/>
      <c r="D179" s="124"/>
      <c r="E179" s="121"/>
    </row>
    <row r="180" customFormat="false" ht="13.8" hidden="false" customHeight="false" outlineLevel="0" collapsed="false">
      <c r="A180" s="124" t="n">
        <v>-129.67999949447</v>
      </c>
      <c r="B180" s="124"/>
      <c r="D180" s="124"/>
      <c r="E180" s="121"/>
    </row>
    <row r="181" customFormat="false" ht="13.8" hidden="false" customHeight="false" outlineLevel="0" collapsed="false">
      <c r="A181" s="124" t="n">
        <v>6617.58580160384</v>
      </c>
      <c r="B181" s="124"/>
      <c r="D181" s="124"/>
      <c r="E181" s="121"/>
    </row>
    <row r="182" customFormat="false" ht="13.8" hidden="false" customHeight="false" outlineLevel="0" collapsed="false">
      <c r="A182" s="124" t="n">
        <v>5272.33994536124</v>
      </c>
      <c r="B182" s="124"/>
      <c r="D182" s="124"/>
      <c r="E182" s="121"/>
    </row>
    <row r="183" customFormat="false" ht="13.8" hidden="false" customHeight="false" outlineLevel="0" collapsed="false">
      <c r="A183" s="124" t="n">
        <v>-4382.86063310548</v>
      </c>
      <c r="B183" s="124"/>
      <c r="D183" s="124"/>
      <c r="E183" s="121"/>
    </row>
    <row r="184" customFormat="false" ht="13.8" hidden="false" customHeight="false" outlineLevel="0" collapsed="false">
      <c r="A184" s="124" t="n">
        <v>3320.30665407357</v>
      </c>
      <c r="B184" s="124"/>
      <c r="D184" s="124"/>
      <c r="E184" s="121"/>
    </row>
    <row r="185" customFormat="false" ht="13.8" hidden="false" customHeight="false" outlineLevel="0" collapsed="false">
      <c r="A185" s="124" t="n">
        <v>11569.8507910452</v>
      </c>
      <c r="B185" s="124"/>
      <c r="D185" s="124"/>
      <c r="E185" s="121"/>
    </row>
    <row r="186" customFormat="false" ht="13.8" hidden="false" customHeight="false" outlineLevel="0" collapsed="false">
      <c r="A186" s="124" t="n">
        <v>3672.42543236683</v>
      </c>
      <c r="B186" s="124"/>
      <c r="D186" s="124"/>
      <c r="E186" s="121"/>
    </row>
    <row r="187" customFormat="false" ht="13.8" hidden="false" customHeight="false" outlineLevel="0" collapsed="false">
      <c r="A187" s="124" t="n">
        <v>-734.794140516018</v>
      </c>
      <c r="B187" s="124"/>
      <c r="D187" s="124"/>
      <c r="E187" s="121"/>
    </row>
    <row r="188" customFormat="false" ht="13.8" hidden="false" customHeight="false" outlineLevel="0" collapsed="false">
      <c r="A188" s="124" t="n">
        <v>4600.71560031849</v>
      </c>
      <c r="B188" s="124"/>
      <c r="D188" s="124"/>
      <c r="E188" s="121"/>
    </row>
    <row r="189" customFormat="false" ht="13.8" hidden="false" customHeight="false" outlineLevel="0" collapsed="false">
      <c r="A189" s="124" t="n">
        <v>3403.89345828151</v>
      </c>
      <c r="B189" s="124"/>
      <c r="D189" s="124"/>
      <c r="E189" s="121"/>
    </row>
    <row r="190" customFormat="false" ht="13.8" hidden="false" customHeight="false" outlineLevel="0" collapsed="false">
      <c r="A190" s="124" t="n">
        <v>2228.75648762966</v>
      </c>
      <c r="B190" s="124"/>
      <c r="D190" s="124"/>
      <c r="E190" s="121"/>
    </row>
    <row r="191" customFormat="false" ht="13.8" hidden="false" customHeight="false" outlineLevel="0" collapsed="false">
      <c r="A191" s="124" t="n">
        <v>3745.70403613201</v>
      </c>
      <c r="B191" s="124"/>
      <c r="D191" s="124"/>
      <c r="E191" s="121"/>
    </row>
    <row r="192" customFormat="false" ht="13.8" hidden="false" customHeight="false" outlineLevel="0" collapsed="false">
      <c r="A192" s="124" t="n">
        <v>-31.3863867583768</v>
      </c>
      <c r="B192" s="124"/>
      <c r="D192" s="124"/>
      <c r="E192" s="121"/>
    </row>
    <row r="193" customFormat="false" ht="13.8" hidden="false" customHeight="false" outlineLevel="0" collapsed="false">
      <c r="A193" s="124" t="n">
        <v>1144.57526670182</v>
      </c>
      <c r="B193" s="124"/>
      <c r="D193" s="124"/>
      <c r="E193" s="121"/>
    </row>
    <row r="194" customFormat="false" ht="13.8" hidden="false" customHeight="false" outlineLevel="0" collapsed="false">
      <c r="A194" s="124" t="n">
        <v>349.773847034969</v>
      </c>
      <c r="B194" s="124"/>
      <c r="D194" s="124"/>
      <c r="E194" s="121"/>
    </row>
    <row r="195" customFormat="false" ht="13.8" hidden="false" customHeight="false" outlineLevel="0" collapsed="false">
      <c r="A195" s="124" t="n">
        <v>-1024.62007603331</v>
      </c>
      <c r="B195" s="124"/>
      <c r="D195" s="124"/>
      <c r="E195" s="121"/>
    </row>
    <row r="196" customFormat="false" ht="13.8" hidden="false" customHeight="false" outlineLevel="0" collapsed="false">
      <c r="A196" s="124" t="n">
        <v>-243.959537899806</v>
      </c>
      <c r="B196" s="124"/>
      <c r="D196" s="124"/>
      <c r="E196" s="121"/>
    </row>
    <row r="197" customFormat="false" ht="13.8" hidden="false" customHeight="false" outlineLevel="0" collapsed="false">
      <c r="A197" s="124" t="n">
        <v>6374.29669191048</v>
      </c>
      <c r="B197" s="124"/>
      <c r="D197" s="124"/>
      <c r="E197" s="121"/>
    </row>
    <row r="198" customFormat="false" ht="13.8" hidden="false" customHeight="false" outlineLevel="0" collapsed="false">
      <c r="A198" s="124" t="n">
        <v>2309.74082070907</v>
      </c>
      <c r="B198" s="124"/>
      <c r="D198" s="124"/>
      <c r="E198" s="121"/>
    </row>
    <row r="199" customFormat="false" ht="13.8" hidden="false" customHeight="false" outlineLevel="0" collapsed="false">
      <c r="A199" s="124" t="n">
        <v>7036.67587915061</v>
      </c>
      <c r="B199" s="124"/>
      <c r="D199" s="124"/>
      <c r="E199" s="121"/>
    </row>
    <row r="200" customFormat="false" ht="13.8" hidden="false" customHeight="false" outlineLevel="0" collapsed="false">
      <c r="A200" s="124" t="n">
        <v>5276.27184824285</v>
      </c>
      <c r="B200" s="124"/>
      <c r="D200" s="124"/>
      <c r="E200" s="121"/>
    </row>
    <row r="201" customFormat="false" ht="13.8" hidden="false" customHeight="false" outlineLevel="0" collapsed="false">
      <c r="A201" s="124" t="n">
        <v>4448.77393108807</v>
      </c>
      <c r="B201" s="124"/>
      <c r="D201" s="124"/>
      <c r="E201" s="121"/>
    </row>
    <row r="202" customFormat="false" ht="13.8" hidden="false" customHeight="false" outlineLevel="0" collapsed="false">
      <c r="A202" s="124" t="n">
        <v>2749.50598085275</v>
      </c>
      <c r="B202" s="124"/>
      <c r="D202" s="124"/>
      <c r="E202" s="121"/>
    </row>
    <row r="203" customFormat="false" ht="13.8" hidden="false" customHeight="false" outlineLevel="0" collapsed="false">
      <c r="A203" s="124" t="n">
        <v>-1314.19273187037</v>
      </c>
      <c r="B203" s="124"/>
      <c r="D203" s="124"/>
      <c r="E203" s="121"/>
    </row>
    <row r="204" customFormat="false" ht="13.8" hidden="false" customHeight="false" outlineLevel="0" collapsed="false">
      <c r="A204" s="124" t="n">
        <v>5431.7702575454</v>
      </c>
      <c r="B204" s="124"/>
      <c r="D204" s="124"/>
      <c r="E204" s="121"/>
    </row>
    <row r="205" customFormat="false" ht="13.8" hidden="false" customHeight="false" outlineLevel="0" collapsed="false">
      <c r="A205" s="124" t="n">
        <v>-2253.40546953205</v>
      </c>
      <c r="B205" s="124"/>
      <c r="D205" s="124"/>
      <c r="E205" s="121"/>
    </row>
    <row r="206" customFormat="false" ht="13.8" hidden="false" customHeight="false" outlineLevel="0" collapsed="false">
      <c r="A206" s="124" t="n">
        <v>4013.15504393371</v>
      </c>
      <c r="B206" s="124"/>
      <c r="D206" s="124"/>
      <c r="E206" s="121"/>
    </row>
    <row r="207" customFormat="false" ht="13.8" hidden="false" customHeight="false" outlineLevel="0" collapsed="false">
      <c r="A207" s="124" t="n">
        <v>7911.90855280423</v>
      </c>
      <c r="B207" s="124"/>
      <c r="D207" s="124"/>
      <c r="E207" s="121"/>
    </row>
    <row r="208" customFormat="false" ht="13.8" hidden="false" customHeight="false" outlineLevel="0" collapsed="false">
      <c r="A208" s="124" t="n">
        <v>1616.80638293191</v>
      </c>
      <c r="B208" s="124"/>
      <c r="D208" s="124"/>
      <c r="E208" s="121"/>
    </row>
    <row r="209" customFormat="false" ht="13.8" hidden="false" customHeight="false" outlineLevel="0" collapsed="false">
      <c r="A209" s="124" t="n">
        <v>1846.3332066849</v>
      </c>
      <c r="B209" s="124"/>
      <c r="D209" s="124"/>
      <c r="E209" s="121"/>
    </row>
    <row r="210" customFormat="false" ht="13.8" hidden="false" customHeight="false" outlineLevel="0" collapsed="false">
      <c r="A210" s="124" t="n">
        <v>-1341.3792349573</v>
      </c>
      <c r="B210" s="124"/>
      <c r="D210" s="124"/>
      <c r="E210" s="121"/>
    </row>
    <row r="211" customFormat="false" ht="13.8" hidden="false" customHeight="false" outlineLevel="0" collapsed="false">
      <c r="A211" s="124" t="n">
        <v>3489.30445565933</v>
      </c>
      <c r="B211" s="124"/>
      <c r="D211" s="124"/>
      <c r="E211" s="121"/>
    </row>
    <row r="212" customFormat="false" ht="13.8" hidden="false" customHeight="false" outlineLevel="0" collapsed="false">
      <c r="A212" s="124" t="n">
        <v>7778.66725837583</v>
      </c>
      <c r="B212" s="124"/>
      <c r="D212" s="124"/>
      <c r="E212" s="121"/>
    </row>
    <row r="213" customFormat="false" ht="13.8" hidden="false" customHeight="false" outlineLevel="0" collapsed="false">
      <c r="A213" s="124" t="n">
        <v>5740.40611775068</v>
      </c>
      <c r="B213" s="124"/>
      <c r="D213" s="124"/>
      <c r="E213" s="121"/>
    </row>
    <row r="214" customFormat="false" ht="13.8" hidden="false" customHeight="false" outlineLevel="0" collapsed="false">
      <c r="A214" s="124" t="n">
        <v>4246.51778559951</v>
      </c>
      <c r="B214" s="124"/>
      <c r="D214" s="124"/>
      <c r="E214" s="121"/>
    </row>
    <row r="215" customFormat="false" ht="13.8" hidden="false" customHeight="false" outlineLevel="0" collapsed="false">
      <c r="A215" s="124" t="n">
        <v>8151.65930722904</v>
      </c>
      <c r="B215" s="124"/>
      <c r="D215" s="124"/>
      <c r="E215" s="121"/>
    </row>
    <row r="216" customFormat="false" ht="13.8" hidden="false" customHeight="false" outlineLevel="0" collapsed="false">
      <c r="A216" s="124" t="n">
        <v>4766.60889045502</v>
      </c>
      <c r="B216" s="124"/>
      <c r="D216" s="124"/>
      <c r="E216" s="121"/>
    </row>
    <row r="217" customFormat="false" ht="13.8" hidden="false" customHeight="false" outlineLevel="0" collapsed="false">
      <c r="A217" s="124" t="n">
        <v>4341.81753701939</v>
      </c>
      <c r="B217" s="124"/>
      <c r="D217" s="124"/>
      <c r="E217" s="121"/>
    </row>
    <row r="218" customFormat="false" ht="13.8" hidden="false" customHeight="false" outlineLevel="0" collapsed="false">
      <c r="A218" s="124" t="n">
        <v>1829.2017080526</v>
      </c>
      <c r="B218" s="124"/>
      <c r="D218" s="124"/>
      <c r="E218" s="121"/>
    </row>
    <row r="219" customFormat="false" ht="13.8" hidden="false" customHeight="false" outlineLevel="0" collapsed="false">
      <c r="A219" s="124" t="n">
        <v>7781.09487484358</v>
      </c>
      <c r="B219" s="124"/>
      <c r="D219" s="124"/>
      <c r="E219" s="121"/>
    </row>
    <row r="220" customFormat="false" ht="13.8" hidden="false" customHeight="false" outlineLevel="0" collapsed="false">
      <c r="A220" s="124" t="n">
        <v>3877.60595728219</v>
      </c>
      <c r="B220" s="124"/>
      <c r="D220" s="124"/>
      <c r="E220" s="121"/>
    </row>
    <row r="221" customFormat="false" ht="13.8" hidden="false" customHeight="false" outlineLevel="0" collapsed="false">
      <c r="A221" s="124" t="n">
        <v>7507.3938404991</v>
      </c>
      <c r="B221" s="124"/>
      <c r="D221" s="124"/>
      <c r="E221" s="121"/>
    </row>
    <row r="222" customFormat="false" ht="13.8" hidden="false" customHeight="false" outlineLevel="0" collapsed="false">
      <c r="A222" s="124" t="n">
        <v>6278.79679532897</v>
      </c>
      <c r="B222" s="124"/>
      <c r="D222" s="124"/>
      <c r="E222" s="121"/>
    </row>
    <row r="223" customFormat="false" ht="13.8" hidden="false" customHeight="false" outlineLevel="0" collapsed="false">
      <c r="A223" s="124" t="n">
        <v>5810.55585018343</v>
      </c>
      <c r="B223" s="124"/>
      <c r="D223" s="124"/>
      <c r="E223" s="121"/>
    </row>
    <row r="224" customFormat="false" ht="13.8" hidden="false" customHeight="false" outlineLevel="0" collapsed="false">
      <c r="A224" s="124" t="n">
        <v>6701.63195900368</v>
      </c>
      <c r="B224" s="124"/>
      <c r="D224" s="124"/>
      <c r="E224" s="121"/>
    </row>
    <row r="225" customFormat="false" ht="13.8" hidden="false" customHeight="false" outlineLevel="0" collapsed="false">
      <c r="A225" s="124" t="n">
        <v>4706.73595466488</v>
      </c>
      <c r="B225" s="124"/>
      <c r="D225" s="124"/>
      <c r="E225" s="121"/>
    </row>
    <row r="226" customFormat="false" ht="13.8" hidden="false" customHeight="false" outlineLevel="0" collapsed="false">
      <c r="A226" s="124" t="n">
        <v>6575.760930615</v>
      </c>
      <c r="B226" s="124"/>
      <c r="D226" s="124"/>
      <c r="E226" s="121"/>
    </row>
    <row r="227" customFormat="false" ht="13.8" hidden="false" customHeight="false" outlineLevel="0" collapsed="false">
      <c r="A227" s="124" t="n">
        <v>7977.76258351776</v>
      </c>
      <c r="B227" s="124"/>
      <c r="D227" s="124"/>
      <c r="E227" s="121"/>
    </row>
    <row r="228" customFormat="false" ht="13.8" hidden="false" customHeight="false" outlineLevel="0" collapsed="false">
      <c r="A228" s="124" t="n">
        <v>2690.70372264812</v>
      </c>
      <c r="B228" s="124"/>
      <c r="D228" s="124"/>
      <c r="E228" s="121"/>
    </row>
    <row r="229" customFormat="false" ht="13.8" hidden="false" customHeight="false" outlineLevel="0" collapsed="false">
      <c r="A229" s="124" t="n">
        <v>3500.23851863232</v>
      </c>
      <c r="B229" s="124"/>
      <c r="D229" s="124"/>
      <c r="E229" s="121"/>
    </row>
    <row r="230" customFormat="false" ht="13.8" hidden="false" customHeight="false" outlineLevel="0" collapsed="false">
      <c r="A230" s="124" t="n">
        <v>7808.87439024112</v>
      </c>
      <c r="B230" s="124"/>
      <c r="D230" s="124"/>
      <c r="E230" s="121"/>
    </row>
    <row r="231" customFormat="false" ht="13.8" hidden="false" customHeight="false" outlineLevel="0" collapsed="false">
      <c r="A231" s="124" t="n">
        <v>-2730.96040812375</v>
      </c>
      <c r="B231" s="124"/>
      <c r="D231" s="124"/>
      <c r="E231" s="121"/>
    </row>
    <row r="232" customFormat="false" ht="13.8" hidden="false" customHeight="false" outlineLevel="0" collapsed="false">
      <c r="A232" s="124" t="n">
        <v>4360.94133404007</v>
      </c>
      <c r="B232" s="124"/>
      <c r="D232" s="124"/>
      <c r="E232" s="121"/>
    </row>
    <row r="233" customFormat="false" ht="13.8" hidden="false" customHeight="false" outlineLevel="0" collapsed="false">
      <c r="A233" s="124" t="n">
        <v>-9013.0822284095</v>
      </c>
      <c r="B233" s="124"/>
      <c r="D233" s="124"/>
      <c r="E233" s="121"/>
    </row>
    <row r="234" customFormat="false" ht="13.8" hidden="false" customHeight="false" outlineLevel="0" collapsed="false">
      <c r="A234" s="124" t="n">
        <v>5150.36852755537</v>
      </c>
      <c r="B234" s="124"/>
      <c r="D234" s="124"/>
      <c r="E234" s="121"/>
    </row>
    <row r="235" customFormat="false" ht="13.8" hidden="false" customHeight="false" outlineLevel="0" collapsed="false">
      <c r="A235" s="124" t="n">
        <v>1031.22521324731</v>
      </c>
      <c r="D235" s="124"/>
      <c r="E235" s="121"/>
    </row>
    <row r="236" customFormat="false" ht="13.8" hidden="false" customHeight="false" outlineLevel="0" collapsed="false">
      <c r="A236" s="124" t="n">
        <v>-694.20427703484</v>
      </c>
    </row>
    <row r="237" customFormat="false" ht="13.8" hidden="false" customHeight="false" outlineLevel="0" collapsed="false">
      <c r="A237" s="124" t="n">
        <v>3311.57986245525</v>
      </c>
    </row>
    <row r="238" customFormat="false" ht="13.8" hidden="false" customHeight="false" outlineLevel="0" collapsed="false">
      <c r="A238" s="124" t="n">
        <v>6736.32832574958</v>
      </c>
    </row>
    <row r="239" customFormat="false" ht="13.8" hidden="false" customHeight="false" outlineLevel="0" collapsed="false">
      <c r="A239" s="124" t="n">
        <v>3416.21733298842</v>
      </c>
    </row>
    <row r="240" customFormat="false" ht="13.8" hidden="false" customHeight="false" outlineLevel="0" collapsed="false">
      <c r="A240" s="124" t="n">
        <v>6786.79799736248</v>
      </c>
    </row>
    <row r="241" customFormat="false" ht="13.8" hidden="false" customHeight="false" outlineLevel="0" collapsed="false">
      <c r="A241" s="124" t="n">
        <v>5511.14940458178</v>
      </c>
    </row>
    <row r="242" customFormat="false" ht="13.8" hidden="false" customHeight="false" outlineLevel="0" collapsed="false">
      <c r="A242" s="124" t="n">
        <v>2660.22559115439</v>
      </c>
    </row>
    <row r="243" customFormat="false" ht="13.8" hidden="false" customHeight="false" outlineLevel="0" collapsed="false">
      <c r="A243" s="124" t="n">
        <v>1752.49943792184</v>
      </c>
    </row>
    <row r="244" customFormat="false" ht="13.8" hidden="false" customHeight="false" outlineLevel="0" collapsed="false">
      <c r="A244" s="124" t="n">
        <v>7498.98229971448</v>
      </c>
    </row>
    <row r="245" customFormat="false" ht="13.8" hidden="false" customHeight="false" outlineLevel="0" collapsed="false">
      <c r="A245" s="124" t="n">
        <v>1411.28049367973</v>
      </c>
    </row>
    <row r="246" customFormat="false" ht="13.8" hidden="false" customHeight="false" outlineLevel="0" collapsed="false">
      <c r="A246" s="124" t="n">
        <v>3973.44960744037</v>
      </c>
    </row>
    <row r="247" customFormat="false" ht="13.8" hidden="false" customHeight="false" outlineLevel="0" collapsed="false">
      <c r="A247" s="124" t="n">
        <v>6146.70134186738</v>
      </c>
    </row>
    <row r="248" customFormat="false" ht="13.8" hidden="false" customHeight="false" outlineLevel="0" collapsed="false">
      <c r="A248" s="124" t="n">
        <v>3210.84772171664</v>
      </c>
    </row>
    <row r="249" customFormat="false" ht="13.8" hidden="false" customHeight="false" outlineLevel="0" collapsed="false">
      <c r="A249" s="124" t="n">
        <v>4246.31891893942</v>
      </c>
    </row>
    <row r="250" customFormat="false" ht="13.8" hidden="false" customHeight="false" outlineLevel="0" collapsed="false">
      <c r="A250" s="124" t="n">
        <v>6285.23038558697</v>
      </c>
    </row>
    <row r="251" customFormat="false" ht="13.8" hidden="false" customHeight="false" outlineLevel="0" collapsed="false">
      <c r="A251" s="124" t="n">
        <v>5045.71107712141</v>
      </c>
    </row>
    <row r="252" customFormat="false" ht="13.8" hidden="false" customHeight="false" outlineLevel="0" collapsed="false">
      <c r="A252" s="124" t="n">
        <v>7165.70778626115</v>
      </c>
    </row>
    <row r="253" customFormat="false" ht="13.8" hidden="false" customHeight="false" outlineLevel="0" collapsed="false">
      <c r="A253" s="124" t="n">
        <v>-2217.37044789914</v>
      </c>
    </row>
    <row r="254" customFormat="false" ht="13.8" hidden="false" customHeight="false" outlineLevel="0" collapsed="false">
      <c r="A254" s="124" t="n">
        <v>3244.22987848879</v>
      </c>
    </row>
    <row r="255" customFormat="false" ht="13.8" hidden="false" customHeight="false" outlineLevel="0" collapsed="false">
      <c r="A255" s="124" t="n">
        <v>4285.39317650708</v>
      </c>
    </row>
    <row r="256" customFormat="false" ht="13.8" hidden="false" customHeight="false" outlineLevel="0" collapsed="false">
      <c r="A256" s="124" t="n">
        <v>5396.56545299616</v>
      </c>
    </row>
    <row r="257" customFormat="false" ht="13.8" hidden="false" customHeight="false" outlineLevel="0" collapsed="false">
      <c r="A257" s="124" t="n">
        <v>3890.16183615578</v>
      </c>
    </row>
    <row r="258" customFormat="false" ht="13.8" hidden="false" customHeight="false" outlineLevel="0" collapsed="false">
      <c r="A258" s="124" t="n">
        <v>3067.59472502126</v>
      </c>
    </row>
    <row r="259" customFormat="false" ht="13.8" hidden="false" customHeight="false" outlineLevel="0" collapsed="false">
      <c r="A259" s="124" t="n">
        <v>2383.20860433647</v>
      </c>
    </row>
    <row r="260" customFormat="false" ht="13.8" hidden="false" customHeight="false" outlineLevel="0" collapsed="false">
      <c r="A260" s="124" t="n">
        <v>442.691712908811</v>
      </c>
    </row>
    <row r="261" customFormat="false" ht="13.8" hidden="false" customHeight="false" outlineLevel="0" collapsed="false">
      <c r="A261" s="124" t="n">
        <v>-11739.163484858</v>
      </c>
    </row>
    <row r="262" customFormat="false" ht="13.8" hidden="false" customHeight="false" outlineLevel="0" collapsed="false">
      <c r="A262" s="124" t="n">
        <v>7896.49565079085</v>
      </c>
    </row>
    <row r="263" customFormat="false" ht="13.8" hidden="false" customHeight="false" outlineLevel="0" collapsed="false">
      <c r="A263" s="124" t="n">
        <v>1503.41332912355</v>
      </c>
    </row>
    <row r="264" customFormat="false" ht="13.8" hidden="false" customHeight="false" outlineLevel="0" collapsed="false">
      <c r="A264" s="124" t="n">
        <v>-2344.62353282706</v>
      </c>
    </row>
    <row r="265" customFormat="false" ht="13.8" hidden="false" customHeight="false" outlineLevel="0" collapsed="false">
      <c r="A265" s="124" t="n">
        <v>5075.24831414089</v>
      </c>
    </row>
    <row r="266" customFormat="false" ht="13.8" hidden="false" customHeight="false" outlineLevel="0" collapsed="false">
      <c r="A266" s="124" t="n">
        <v>-482.359412099228</v>
      </c>
    </row>
    <row r="267" customFormat="false" ht="13.8" hidden="false" customHeight="false" outlineLevel="0" collapsed="false">
      <c r="A267" s="124" t="n">
        <v>5824.01505181307</v>
      </c>
    </row>
    <row r="268" customFormat="false" ht="13.8" hidden="false" customHeight="false" outlineLevel="0" collapsed="false">
      <c r="A268" s="124" t="n">
        <v>5673.11610696454</v>
      </c>
    </row>
    <row r="269" customFormat="false" ht="13.8" hidden="false" customHeight="false" outlineLevel="0" collapsed="false">
      <c r="A269" s="124" t="n">
        <v>7402.56286064906</v>
      </c>
    </row>
    <row r="270" customFormat="false" ht="13.8" hidden="false" customHeight="false" outlineLevel="0" collapsed="false">
      <c r="A270" s="124" t="n">
        <v>4728.55388351847</v>
      </c>
    </row>
    <row r="271" customFormat="false" ht="13.8" hidden="false" customHeight="false" outlineLevel="0" collapsed="false">
      <c r="A271" s="124" t="n">
        <v>3831.11522524483</v>
      </c>
    </row>
    <row r="272" customFormat="false" ht="13.8" hidden="false" customHeight="false" outlineLevel="0" collapsed="false">
      <c r="A272" s="124" t="n">
        <v>7101.56429437472</v>
      </c>
    </row>
    <row r="273" customFormat="false" ht="13.8" hidden="false" customHeight="false" outlineLevel="0" collapsed="false">
      <c r="A273" s="124" t="n">
        <v>-870.971023515762</v>
      </c>
    </row>
    <row r="274" customFormat="false" ht="13.8" hidden="false" customHeight="false" outlineLevel="0" collapsed="false">
      <c r="A274" s="124" t="n">
        <v>6596.77810777467</v>
      </c>
    </row>
    <row r="275" customFormat="false" ht="13.8" hidden="false" customHeight="false" outlineLevel="0" collapsed="false">
      <c r="A275" s="124" t="n">
        <v>5307.11889927243</v>
      </c>
    </row>
    <row r="276" customFormat="false" ht="13.8" hidden="false" customHeight="false" outlineLevel="0" collapsed="false">
      <c r="A276" s="124" t="n">
        <v>1366.24868718276</v>
      </c>
    </row>
    <row r="277" customFormat="false" ht="13.8" hidden="false" customHeight="false" outlineLevel="0" collapsed="false">
      <c r="A277" s="124" t="n">
        <v>2534.69824257701</v>
      </c>
    </row>
    <row r="278" customFormat="false" ht="13.8" hidden="false" customHeight="false" outlineLevel="0" collapsed="false">
      <c r="A278" s="124" t="n">
        <v>4066.86750653496</v>
      </c>
    </row>
    <row r="279" customFormat="false" ht="13.8" hidden="false" customHeight="false" outlineLevel="0" collapsed="false">
      <c r="A279" s="124" t="n">
        <v>1660.24018733915</v>
      </c>
    </row>
    <row r="280" customFormat="false" ht="13.8" hidden="false" customHeight="false" outlineLevel="0" collapsed="false">
      <c r="A280" s="124" t="n">
        <v>6023.02316768772</v>
      </c>
    </row>
    <row r="281" customFormat="false" ht="13.8" hidden="false" customHeight="false" outlineLevel="0" collapsed="false">
      <c r="A281" s="124" t="n">
        <v>7885.36358362576</v>
      </c>
    </row>
    <row r="282" customFormat="false" ht="13.8" hidden="false" customHeight="false" outlineLevel="0" collapsed="false">
      <c r="A282" s="124" t="n">
        <v>4621.18912429503</v>
      </c>
    </row>
    <row r="283" customFormat="false" ht="13.8" hidden="false" customHeight="false" outlineLevel="0" collapsed="false">
      <c r="A283" s="124" t="n">
        <v>4742.7637856793</v>
      </c>
    </row>
    <row r="284" customFormat="false" ht="13.8" hidden="false" customHeight="false" outlineLevel="0" collapsed="false">
      <c r="A284" s="124" t="n">
        <v>-5193.81101797576</v>
      </c>
    </row>
    <row r="285" customFormat="false" ht="13.8" hidden="false" customHeight="false" outlineLevel="0" collapsed="false">
      <c r="A285" s="124" t="n">
        <v>3509.61285713725</v>
      </c>
    </row>
    <row r="286" customFormat="false" ht="13.8" hidden="false" customHeight="false" outlineLevel="0" collapsed="false">
      <c r="A286" s="124" t="n">
        <v>222.348965870404</v>
      </c>
    </row>
    <row r="287" customFormat="false" ht="13.8" hidden="false" customHeight="false" outlineLevel="0" collapsed="false">
      <c r="A287" s="124" t="n">
        <v>8113.26210576232</v>
      </c>
    </row>
    <row r="288" customFormat="false" ht="13.8" hidden="false" customHeight="false" outlineLevel="0" collapsed="false">
      <c r="A288" s="124" t="n">
        <v>4274.74817680761</v>
      </c>
    </row>
    <row r="289" customFormat="false" ht="13.8" hidden="false" customHeight="false" outlineLevel="0" collapsed="false">
      <c r="A289" s="124" t="n">
        <v>2300.91809458954</v>
      </c>
    </row>
    <row r="290" customFormat="false" ht="13.8" hidden="false" customHeight="false" outlineLevel="0" collapsed="false">
      <c r="A290" s="124" t="n">
        <v>1883.8867699111</v>
      </c>
    </row>
    <row r="291" customFormat="false" ht="13.8" hidden="false" customHeight="false" outlineLevel="0" collapsed="false">
      <c r="A291" s="124" t="n">
        <v>-2820.75402462007</v>
      </c>
    </row>
    <row r="292" customFormat="false" ht="13.8" hidden="false" customHeight="false" outlineLevel="0" collapsed="false">
      <c r="A292" s="124" t="n">
        <v>5962.27321028001</v>
      </c>
    </row>
    <row r="293" customFormat="false" ht="13.8" hidden="false" customHeight="false" outlineLevel="0" collapsed="false">
      <c r="A293" s="124" t="n">
        <v>4435.51605491884</v>
      </c>
    </row>
    <row r="294" customFormat="false" ht="13.8" hidden="false" customHeight="false" outlineLevel="0" collapsed="false">
      <c r="A294" s="124" t="n">
        <v>1223.93461486833</v>
      </c>
    </row>
    <row r="295" customFormat="false" ht="13.8" hidden="false" customHeight="false" outlineLevel="0" collapsed="false">
      <c r="A295" s="124" t="n">
        <v>595.792981746956</v>
      </c>
    </row>
    <row r="296" customFormat="false" ht="13.8" hidden="false" customHeight="false" outlineLevel="0" collapsed="false">
      <c r="A296" s="124" t="n">
        <v>310.764898198147</v>
      </c>
    </row>
    <row r="297" customFormat="false" ht="13.8" hidden="false" customHeight="false" outlineLevel="0" collapsed="false">
      <c r="A297" s="124" t="n">
        <v>3422.2638791345</v>
      </c>
    </row>
    <row r="298" customFormat="false" ht="13.8" hidden="false" customHeight="false" outlineLevel="0" collapsed="false">
      <c r="A298" s="124" t="n">
        <v>8025.93951722304</v>
      </c>
    </row>
    <row r="299" customFormat="false" ht="13.8" hidden="false" customHeight="false" outlineLevel="0" collapsed="false">
      <c r="A299" s="124" t="n">
        <v>2489.27962110175</v>
      </c>
    </row>
    <row r="300" customFormat="false" ht="13.8" hidden="false" customHeight="false" outlineLevel="0" collapsed="false">
      <c r="A300" s="124" t="n">
        <v>6542.18101075856</v>
      </c>
    </row>
    <row r="301" customFormat="false" ht="13.8" hidden="false" customHeight="false" outlineLevel="0" collapsed="false">
      <c r="A301" s="124" t="n">
        <v>1501.06461541813</v>
      </c>
    </row>
    <row r="302" customFormat="false" ht="13.8" hidden="false" customHeight="false" outlineLevel="0" collapsed="false">
      <c r="A302" s="124" t="n">
        <v>4330.54402445387</v>
      </c>
    </row>
    <row r="303" customFormat="false" ht="13.8" hidden="false" customHeight="false" outlineLevel="0" collapsed="false">
      <c r="A303" s="124" t="n">
        <v>7334.12309712254</v>
      </c>
    </row>
    <row r="304" customFormat="false" ht="13.8" hidden="false" customHeight="false" outlineLevel="0" collapsed="false">
      <c r="A304" s="124" t="n">
        <v>7287.31664012427</v>
      </c>
    </row>
    <row r="305" customFormat="false" ht="13.8" hidden="false" customHeight="false" outlineLevel="0" collapsed="false">
      <c r="A305" s="124" t="n">
        <v>1310.99152522661</v>
      </c>
    </row>
    <row r="306" customFormat="false" ht="13.8" hidden="false" customHeight="false" outlineLevel="0" collapsed="false">
      <c r="A306" s="124" t="n">
        <v>1332.23132904668</v>
      </c>
    </row>
    <row r="307" customFormat="false" ht="13.8" hidden="false" customHeight="false" outlineLevel="0" collapsed="false">
      <c r="A307" s="124" t="n">
        <v>-4657.58101661527</v>
      </c>
    </row>
    <row r="308" customFormat="false" ht="13.8" hidden="false" customHeight="false" outlineLevel="0" collapsed="false">
      <c r="A308" s="124" t="n">
        <v>113.257020600242</v>
      </c>
    </row>
    <row r="309" customFormat="false" ht="13.8" hidden="false" customHeight="false" outlineLevel="0" collapsed="false">
      <c r="A309" s="124" t="n">
        <v>5951.60923003402</v>
      </c>
    </row>
    <row r="310" customFormat="false" ht="13.8" hidden="false" customHeight="false" outlineLevel="0" collapsed="false">
      <c r="A310" s="124" t="n">
        <v>1995.90563631002</v>
      </c>
    </row>
    <row r="311" customFormat="false" ht="13.8" hidden="false" customHeight="false" outlineLevel="0" collapsed="false">
      <c r="A311" s="124" t="n">
        <v>4679.71835992991</v>
      </c>
    </row>
    <row r="312" customFormat="false" ht="13.8" hidden="false" customHeight="false" outlineLevel="0" collapsed="false">
      <c r="A312" s="124" t="n">
        <v>6565.60680725749</v>
      </c>
    </row>
    <row r="313" customFormat="false" ht="13.8" hidden="false" customHeight="false" outlineLevel="0" collapsed="false">
      <c r="A313" s="124" t="n">
        <v>6171.76232279441</v>
      </c>
    </row>
    <row r="314" customFormat="false" ht="13.8" hidden="false" customHeight="false" outlineLevel="0" collapsed="false">
      <c r="A314" s="124" t="n">
        <v>7257.92851318876</v>
      </c>
    </row>
    <row r="315" customFormat="false" ht="13.8" hidden="false" customHeight="false" outlineLevel="0" collapsed="false">
      <c r="A315" s="124" t="n">
        <v>-413.788909922921</v>
      </c>
    </row>
    <row r="316" customFormat="false" ht="13.8" hidden="false" customHeight="false" outlineLevel="0" collapsed="false">
      <c r="A316" s="124" t="n">
        <v>1269.72040889691</v>
      </c>
    </row>
    <row r="317" customFormat="false" ht="13.8" hidden="false" customHeight="false" outlineLevel="0" collapsed="false">
      <c r="A317" s="124" t="n">
        <v>-3449.18334237811</v>
      </c>
    </row>
    <row r="318" customFormat="false" ht="13.8" hidden="false" customHeight="false" outlineLevel="0" collapsed="false">
      <c r="A318" s="124" t="n">
        <v>-4242.10576386712</v>
      </c>
    </row>
    <row r="319" customFormat="false" ht="13.8" hidden="false" customHeight="false" outlineLevel="0" collapsed="false">
      <c r="A319" s="124" t="n">
        <v>4375.10093123203</v>
      </c>
    </row>
    <row r="320" customFormat="false" ht="13.8" hidden="false" customHeight="false" outlineLevel="0" collapsed="false">
      <c r="A320" s="124" t="n">
        <v>3078.26634945552</v>
      </c>
    </row>
    <row r="321" customFormat="false" ht="13.8" hidden="false" customHeight="false" outlineLevel="0" collapsed="false">
      <c r="A321" s="124" t="n">
        <v>849.624571951537</v>
      </c>
    </row>
    <row r="322" customFormat="false" ht="13.8" hidden="false" customHeight="false" outlineLevel="0" collapsed="false">
      <c r="A322" s="124" t="n">
        <v>4999.86341880471</v>
      </c>
    </row>
    <row r="323" customFormat="false" ht="13.8" hidden="false" customHeight="false" outlineLevel="0" collapsed="false">
      <c r="A323" s="124" t="n">
        <v>-361.890159054452</v>
      </c>
    </row>
    <row r="324" customFormat="false" ht="13.8" hidden="false" customHeight="false" outlineLevel="0" collapsed="false">
      <c r="A324" s="124" t="n">
        <v>4662.39781547549</v>
      </c>
    </row>
    <row r="325" customFormat="false" ht="13.8" hidden="false" customHeight="false" outlineLevel="0" collapsed="false">
      <c r="A325" s="124" t="n">
        <v>9781.559907672</v>
      </c>
    </row>
    <row r="326" customFormat="false" ht="13.8" hidden="false" customHeight="false" outlineLevel="0" collapsed="false">
      <c r="A326" s="124" t="n">
        <v>-386.595025113606</v>
      </c>
    </row>
    <row r="327" customFormat="false" ht="13.8" hidden="false" customHeight="false" outlineLevel="0" collapsed="false">
      <c r="A327" s="124" t="n">
        <v>7585.6909988948</v>
      </c>
    </row>
    <row r="328" customFormat="false" ht="13.8" hidden="false" customHeight="false" outlineLevel="0" collapsed="false">
      <c r="A328" s="124" t="n">
        <v>-4381.72839793845</v>
      </c>
    </row>
    <row r="329" customFormat="false" ht="13.8" hidden="false" customHeight="false" outlineLevel="0" collapsed="false">
      <c r="A329" s="124" t="n">
        <v>7796.30733587171</v>
      </c>
    </row>
    <row r="330" customFormat="false" ht="13.8" hidden="false" customHeight="false" outlineLevel="0" collapsed="false">
      <c r="A330" s="124" t="n">
        <v>4916.10904325255</v>
      </c>
    </row>
    <row r="331" customFormat="false" ht="13.8" hidden="false" customHeight="false" outlineLevel="0" collapsed="false">
      <c r="A331" s="124" t="n">
        <v>209.649309142033</v>
      </c>
    </row>
    <row r="332" customFormat="false" ht="13.8" hidden="false" customHeight="false" outlineLevel="0" collapsed="false">
      <c r="A332" s="124" t="n">
        <v>6334.7232532834</v>
      </c>
    </row>
    <row r="333" customFormat="false" ht="13.8" hidden="false" customHeight="false" outlineLevel="0" collapsed="false">
      <c r="A333" s="124" t="n">
        <v>4838.91777749057</v>
      </c>
    </row>
    <row r="334" customFormat="false" ht="13.8" hidden="false" customHeight="false" outlineLevel="0" collapsed="false">
      <c r="A334" s="124" t="n">
        <v>284.892409010594</v>
      </c>
    </row>
    <row r="335" customFormat="false" ht="13.8" hidden="false" customHeight="false" outlineLevel="0" collapsed="false">
      <c r="A335" s="124" t="n">
        <v>5907.67267584136</v>
      </c>
    </row>
    <row r="336" customFormat="false" ht="13.8" hidden="false" customHeight="false" outlineLevel="0" collapsed="false">
      <c r="A336" s="124" t="n">
        <v>306.510959059542</v>
      </c>
    </row>
    <row r="337" customFormat="false" ht="13.8" hidden="false" customHeight="false" outlineLevel="0" collapsed="false">
      <c r="A337" s="124" t="n">
        <v>4621.49957960178</v>
      </c>
    </row>
    <row r="338" customFormat="false" ht="13.8" hidden="false" customHeight="false" outlineLevel="0" collapsed="false">
      <c r="A338" s="124" t="n">
        <v>5324.00310990951</v>
      </c>
    </row>
    <row r="339" customFormat="false" ht="13.8" hidden="false" customHeight="false" outlineLevel="0" collapsed="false">
      <c r="A339" s="124" t="n">
        <v>-1560.3779871784</v>
      </c>
    </row>
    <row r="340" customFormat="false" ht="13.8" hidden="false" customHeight="false" outlineLevel="0" collapsed="false">
      <c r="A340" s="124" t="n">
        <v>3631.37738583937</v>
      </c>
    </row>
    <row r="341" customFormat="false" ht="13.8" hidden="false" customHeight="false" outlineLevel="0" collapsed="false">
      <c r="A341" s="124" t="n">
        <v>4636.32834018942</v>
      </c>
    </row>
    <row r="342" customFormat="false" ht="13.8" hidden="false" customHeight="false" outlineLevel="0" collapsed="false">
      <c r="A342" s="124" t="n">
        <v>2652.86830367949</v>
      </c>
    </row>
    <row r="343" customFormat="false" ht="13.8" hidden="false" customHeight="false" outlineLevel="0" collapsed="false">
      <c r="A343" s="124" t="n">
        <v>6577.70310299506</v>
      </c>
    </row>
    <row r="344" customFormat="false" ht="13.8" hidden="false" customHeight="false" outlineLevel="0" collapsed="false">
      <c r="A344" s="124" t="n">
        <v>3329.43645975883</v>
      </c>
    </row>
    <row r="345" customFormat="false" ht="13.8" hidden="false" customHeight="false" outlineLevel="0" collapsed="false">
      <c r="A345" s="124" t="n">
        <v>-671.661520578597</v>
      </c>
    </row>
    <row r="346" customFormat="false" ht="13.8" hidden="false" customHeight="false" outlineLevel="0" collapsed="false">
      <c r="A346" s="124" t="n">
        <v>1251.82637379182</v>
      </c>
    </row>
    <row r="347" customFormat="false" ht="13.8" hidden="false" customHeight="false" outlineLevel="0" collapsed="false">
      <c r="A347" s="124" t="n">
        <v>-4675.23403330538</v>
      </c>
    </row>
    <row r="348" customFormat="false" ht="13.8" hidden="false" customHeight="false" outlineLevel="0" collapsed="false">
      <c r="A348" s="124" t="n">
        <v>3696.60030513377</v>
      </c>
    </row>
    <row r="349" customFormat="false" ht="13.8" hidden="false" customHeight="false" outlineLevel="0" collapsed="false">
      <c r="A349" s="124" t="n">
        <v>4212.63136108739</v>
      </c>
    </row>
    <row r="350" customFormat="false" ht="13.8" hidden="false" customHeight="false" outlineLevel="0" collapsed="false">
      <c r="A350" s="124" t="n">
        <v>7509.11849332449</v>
      </c>
    </row>
    <row r="351" customFormat="false" ht="13.8" hidden="false" customHeight="false" outlineLevel="0" collapsed="false">
      <c r="A351" s="124" t="n">
        <v>2151.11610617131</v>
      </c>
    </row>
    <row r="352" customFormat="false" ht="13.8" hidden="false" customHeight="false" outlineLevel="0" collapsed="false">
      <c r="A352" s="124" t="n">
        <v>6007.99474146267</v>
      </c>
    </row>
    <row r="353" customFormat="false" ht="13.8" hidden="false" customHeight="false" outlineLevel="0" collapsed="false">
      <c r="A353" s="124" t="n">
        <v>6279.83180807849</v>
      </c>
    </row>
    <row r="354" customFormat="false" ht="13.8" hidden="false" customHeight="false" outlineLevel="0" collapsed="false">
      <c r="A354" s="124" t="n">
        <v>7365.15939620017</v>
      </c>
    </row>
    <row r="355" customFormat="false" ht="13.8" hidden="false" customHeight="false" outlineLevel="0" collapsed="false">
      <c r="A355" s="124" t="n">
        <v>3566.87555901504</v>
      </c>
    </row>
    <row r="356" customFormat="false" ht="13.8" hidden="false" customHeight="false" outlineLevel="0" collapsed="false">
      <c r="A356" s="124" t="n">
        <v>5217.94194117417</v>
      </c>
    </row>
    <row r="357" customFormat="false" ht="13.8" hidden="false" customHeight="false" outlineLevel="0" collapsed="false">
      <c r="A357" s="124" t="n">
        <v>4985.08475030077</v>
      </c>
    </row>
    <row r="358" customFormat="false" ht="13.8" hidden="false" customHeight="false" outlineLevel="0" collapsed="false">
      <c r="A358" s="124" t="n">
        <v>2093.50972941298</v>
      </c>
    </row>
    <row r="359" customFormat="false" ht="13.8" hidden="false" customHeight="false" outlineLevel="0" collapsed="false">
      <c r="A359" s="124" t="n">
        <v>3420.39020479691</v>
      </c>
    </row>
    <row r="360" customFormat="false" ht="13.8" hidden="false" customHeight="false" outlineLevel="0" collapsed="false">
      <c r="A360" s="124" t="n">
        <v>-2639.30144502705</v>
      </c>
    </row>
    <row r="361" customFormat="false" ht="13.8" hidden="false" customHeight="false" outlineLevel="0" collapsed="false">
      <c r="A361" s="124" t="n">
        <v>5747.7592499822</v>
      </c>
    </row>
    <row r="362" customFormat="false" ht="13.8" hidden="false" customHeight="false" outlineLevel="0" collapsed="false">
      <c r="A362" s="124" t="n">
        <v>5647.05555656091</v>
      </c>
    </row>
    <row r="363" customFormat="false" ht="13.8" hidden="false" customHeight="false" outlineLevel="0" collapsed="false">
      <c r="A363" s="124" t="n">
        <v>6285.26535081336</v>
      </c>
    </row>
    <row r="364" customFormat="false" ht="13.8" hidden="false" customHeight="false" outlineLevel="0" collapsed="false">
      <c r="A364" s="124" t="n">
        <v>8649.03957566994</v>
      </c>
    </row>
    <row r="365" customFormat="false" ht="13.8" hidden="false" customHeight="false" outlineLevel="0" collapsed="false">
      <c r="A365" s="124" t="n">
        <v>4441.54475297303</v>
      </c>
    </row>
    <row r="366" customFormat="false" ht="13.8" hidden="false" customHeight="false" outlineLevel="0" collapsed="false">
      <c r="A366" s="124" t="n">
        <v>1823.8845015163</v>
      </c>
    </row>
    <row r="367" customFormat="false" ht="13.8" hidden="false" customHeight="false" outlineLevel="0" collapsed="false">
      <c r="A367" s="124" t="n">
        <v>5496.16846922532</v>
      </c>
    </row>
    <row r="368" customFormat="false" ht="13.8" hidden="false" customHeight="false" outlineLevel="0" collapsed="false">
      <c r="A368" s="124" t="n">
        <v>-9035.90618458185</v>
      </c>
    </row>
    <row r="369" customFormat="false" ht="13.8" hidden="false" customHeight="false" outlineLevel="0" collapsed="false">
      <c r="A369" s="124" t="n">
        <v>4811.92599069821</v>
      </c>
    </row>
    <row r="370" customFormat="false" ht="13.8" hidden="false" customHeight="false" outlineLevel="0" collapsed="false">
      <c r="A370" s="124" t="n">
        <v>6350.40712076661</v>
      </c>
    </row>
    <row r="371" customFormat="false" ht="13.8" hidden="false" customHeight="false" outlineLevel="0" collapsed="false">
      <c r="A371" s="124" t="n">
        <v>10083.8483079479</v>
      </c>
    </row>
    <row r="372" customFormat="false" ht="13.8" hidden="false" customHeight="false" outlineLevel="0" collapsed="false">
      <c r="A372" s="124" t="n">
        <v>455.048084706954</v>
      </c>
    </row>
    <row r="373" customFormat="false" ht="13.8" hidden="false" customHeight="false" outlineLevel="0" collapsed="false">
      <c r="A373" s="124" t="n">
        <v>6912.20070363449</v>
      </c>
    </row>
    <row r="374" customFormat="false" ht="13.8" hidden="false" customHeight="false" outlineLevel="0" collapsed="false">
      <c r="A374" s="124" t="n">
        <v>3768.85703935394</v>
      </c>
    </row>
    <row r="375" customFormat="false" ht="13.8" hidden="false" customHeight="false" outlineLevel="0" collapsed="false">
      <c r="A375" s="124" t="n">
        <v>5773.50461675597</v>
      </c>
    </row>
    <row r="376" customFormat="false" ht="13.8" hidden="false" customHeight="false" outlineLevel="0" collapsed="false">
      <c r="A376" s="124" t="n">
        <v>9519.16011256656</v>
      </c>
    </row>
    <row r="377" customFormat="false" ht="13.8" hidden="false" customHeight="false" outlineLevel="0" collapsed="false">
      <c r="A377" s="124" t="n">
        <v>10796.5531126394</v>
      </c>
    </row>
    <row r="378" customFormat="false" ht="13.8" hidden="false" customHeight="false" outlineLevel="0" collapsed="false">
      <c r="A378" s="124" t="n">
        <v>6425.88554881865</v>
      </c>
    </row>
    <row r="379" customFormat="false" ht="13.8" hidden="false" customHeight="false" outlineLevel="0" collapsed="false">
      <c r="A379" s="124" t="n">
        <v>6125.54559214652</v>
      </c>
    </row>
    <row r="380" customFormat="false" ht="13.8" hidden="false" customHeight="false" outlineLevel="0" collapsed="false">
      <c r="A380" s="124" t="n">
        <v>1614.98141539713</v>
      </c>
    </row>
    <row r="381" customFormat="false" ht="13.8" hidden="false" customHeight="false" outlineLevel="0" collapsed="false">
      <c r="A381" s="124" t="n">
        <v>-33.0930933130348</v>
      </c>
    </row>
    <row r="382" customFormat="false" ht="13.8" hidden="false" customHeight="false" outlineLevel="0" collapsed="false">
      <c r="A382" s="124" t="n">
        <v>6772.60275062653</v>
      </c>
    </row>
    <row r="383" customFormat="false" ht="13.8" hidden="false" customHeight="false" outlineLevel="0" collapsed="false">
      <c r="A383" s="124" t="n">
        <v>272.323950557049</v>
      </c>
    </row>
    <row r="384" customFormat="false" ht="13.8" hidden="false" customHeight="false" outlineLevel="0" collapsed="false">
      <c r="A384" s="124" t="n">
        <v>-888.794379347257</v>
      </c>
    </row>
    <row r="385" customFormat="false" ht="13.8" hidden="false" customHeight="false" outlineLevel="0" collapsed="false">
      <c r="A385" s="124" t="n">
        <v>5013.12160101869</v>
      </c>
    </row>
    <row r="386" customFormat="false" ht="13.8" hidden="false" customHeight="false" outlineLevel="0" collapsed="false">
      <c r="A386" s="124" t="n">
        <v>5581.20326001984</v>
      </c>
    </row>
    <row r="387" customFormat="false" ht="13.8" hidden="false" customHeight="false" outlineLevel="0" collapsed="false">
      <c r="A387" s="124" t="n">
        <v>5144.29866903705</v>
      </c>
    </row>
    <row r="388" customFormat="false" ht="13.8" hidden="false" customHeight="false" outlineLevel="0" collapsed="false">
      <c r="A388" s="124" t="n">
        <v>1598.95138039008</v>
      </c>
    </row>
    <row r="389" customFormat="false" ht="13.8" hidden="false" customHeight="false" outlineLevel="0" collapsed="false">
      <c r="A389" s="124" t="n">
        <v>2560.1623559506</v>
      </c>
    </row>
    <row r="390" customFormat="false" ht="13.8" hidden="false" customHeight="false" outlineLevel="0" collapsed="false">
      <c r="A390" s="124" t="n">
        <v>8881.02383977034</v>
      </c>
    </row>
    <row r="391" customFormat="false" ht="13.8" hidden="false" customHeight="false" outlineLevel="0" collapsed="false">
      <c r="A391" s="124" t="n">
        <v>2938.55204396525</v>
      </c>
    </row>
    <row r="392" customFormat="false" ht="13.8" hidden="false" customHeight="false" outlineLevel="0" collapsed="false">
      <c r="A392" s="124" t="n">
        <v>8187.6332126679</v>
      </c>
    </row>
    <row r="393" customFormat="false" ht="13.8" hidden="false" customHeight="false" outlineLevel="0" collapsed="false">
      <c r="A393" s="124" t="n">
        <v>1268.71136809322</v>
      </c>
    </row>
    <row r="394" customFormat="false" ht="13.8" hidden="false" customHeight="false" outlineLevel="0" collapsed="false">
      <c r="A394" s="124" t="n">
        <v>2735.84500432902</v>
      </c>
    </row>
    <row r="395" customFormat="false" ht="13.8" hidden="false" customHeight="false" outlineLevel="0" collapsed="false">
      <c r="A395" s="124" t="n">
        <v>3280.26383623376</v>
      </c>
    </row>
    <row r="396" customFormat="false" ht="13.8" hidden="false" customHeight="false" outlineLevel="0" collapsed="false">
      <c r="A396" s="124" t="n">
        <v>-452.674846903698</v>
      </c>
    </row>
    <row r="397" customFormat="false" ht="13.8" hidden="false" customHeight="false" outlineLevel="0" collapsed="false">
      <c r="A397" s="124" t="n">
        <v>4582.95595195256</v>
      </c>
    </row>
    <row r="398" customFormat="false" ht="13.8" hidden="false" customHeight="false" outlineLevel="0" collapsed="false">
      <c r="A398" s="124" t="n">
        <v>2001.52512660542</v>
      </c>
    </row>
    <row r="399" customFormat="false" ht="13.8" hidden="false" customHeight="false" outlineLevel="0" collapsed="false">
      <c r="A399" s="124" t="n">
        <v>8768.25733268609</v>
      </c>
    </row>
    <row r="400" customFormat="false" ht="13.8" hidden="false" customHeight="false" outlineLevel="0" collapsed="false">
      <c r="A400" s="124" t="n">
        <v>7668.48328084344</v>
      </c>
    </row>
    <row r="401" customFormat="false" ht="13.8" hidden="false" customHeight="false" outlineLevel="0" collapsed="false">
      <c r="A401" s="124" t="n">
        <v>521.805263029351</v>
      </c>
    </row>
    <row r="402" customFormat="false" ht="13.8" hidden="false" customHeight="false" outlineLevel="0" collapsed="false">
      <c r="A402" s="124" t="n">
        <v>7229.57953353738</v>
      </c>
    </row>
    <row r="403" customFormat="false" ht="13.8" hidden="false" customHeight="false" outlineLevel="0" collapsed="false">
      <c r="A403" s="124" t="n">
        <v>4641.12287167947</v>
      </c>
    </row>
    <row r="404" customFormat="false" ht="13.8" hidden="false" customHeight="false" outlineLevel="0" collapsed="false">
      <c r="A404" s="124" t="n">
        <v>2518.78082218518</v>
      </c>
    </row>
    <row r="405" customFormat="false" ht="13.8" hidden="false" customHeight="false" outlineLevel="0" collapsed="false">
      <c r="A405" s="124" t="n">
        <v>3166.76892744584</v>
      </c>
    </row>
    <row r="406" customFormat="false" ht="13.8" hidden="false" customHeight="false" outlineLevel="0" collapsed="false">
      <c r="A406" s="124" t="n">
        <v>3667.45796515917</v>
      </c>
    </row>
    <row r="407" customFormat="false" ht="13.8" hidden="false" customHeight="false" outlineLevel="0" collapsed="false">
      <c r="A407" s="124" t="n">
        <v>-3609.92033219908</v>
      </c>
    </row>
    <row r="408" customFormat="false" ht="13.8" hidden="false" customHeight="false" outlineLevel="0" collapsed="false">
      <c r="A408" s="124" t="n">
        <v>7125.9514913974</v>
      </c>
    </row>
    <row r="409" customFormat="false" ht="13.8" hidden="false" customHeight="false" outlineLevel="0" collapsed="false">
      <c r="A409" s="124" t="n">
        <v>-1460.12668066879</v>
      </c>
    </row>
    <row r="410" customFormat="false" ht="13.8" hidden="false" customHeight="false" outlineLevel="0" collapsed="false">
      <c r="A410" s="124" t="n">
        <v>8159.39717041003</v>
      </c>
    </row>
    <row r="411" customFormat="false" ht="13.8" hidden="false" customHeight="false" outlineLevel="0" collapsed="false">
      <c r="A411" s="124" t="n">
        <v>1553.32826109348</v>
      </c>
    </row>
    <row r="412" customFormat="false" ht="13.8" hidden="false" customHeight="false" outlineLevel="0" collapsed="false">
      <c r="A412" s="124" t="n">
        <v>567.803492434294</v>
      </c>
    </row>
    <row r="413" customFormat="false" ht="13.8" hidden="false" customHeight="false" outlineLevel="0" collapsed="false">
      <c r="A413" s="124" t="n">
        <v>4194.501722627</v>
      </c>
    </row>
    <row r="414" customFormat="false" ht="13.8" hidden="false" customHeight="false" outlineLevel="0" collapsed="false">
      <c r="A414" s="124" t="n">
        <v>1394.9436509026</v>
      </c>
    </row>
    <row r="415" customFormat="false" ht="13.8" hidden="false" customHeight="false" outlineLevel="0" collapsed="false">
      <c r="A415" s="124" t="n">
        <v>-3939.39292315361</v>
      </c>
    </row>
    <row r="416" customFormat="false" ht="13.8" hidden="false" customHeight="false" outlineLevel="0" collapsed="false">
      <c r="A416" s="124" t="n">
        <v>7343.04465356873</v>
      </c>
    </row>
    <row r="417" customFormat="false" ht="13.8" hidden="false" customHeight="false" outlineLevel="0" collapsed="false">
      <c r="A417" s="124" t="n">
        <v>2959.52814837997</v>
      </c>
    </row>
    <row r="418" customFormat="false" ht="13.8" hidden="false" customHeight="false" outlineLevel="0" collapsed="false">
      <c r="A418" s="124" t="n">
        <v>4335.67005696065</v>
      </c>
    </row>
    <row r="419" customFormat="false" ht="13.8" hidden="false" customHeight="false" outlineLevel="0" collapsed="false">
      <c r="A419" s="124" t="n">
        <v>8244.89674827453</v>
      </c>
    </row>
    <row r="420" customFormat="false" ht="13.8" hidden="false" customHeight="false" outlineLevel="0" collapsed="false">
      <c r="A420" s="124" t="n">
        <v>7054.41147339603</v>
      </c>
    </row>
    <row r="421" customFormat="false" ht="13.8" hidden="false" customHeight="false" outlineLevel="0" collapsed="false">
      <c r="A421" s="124" t="n">
        <v>3503.74555518527</v>
      </c>
    </row>
    <row r="422" customFormat="false" ht="13.8" hidden="false" customHeight="false" outlineLevel="0" collapsed="false">
      <c r="A422" s="124" t="n">
        <v>-912.545684671726</v>
      </c>
    </row>
    <row r="423" customFormat="false" ht="13.8" hidden="false" customHeight="false" outlineLevel="0" collapsed="false">
      <c r="A423" s="124" t="n">
        <v>1151.34953424559</v>
      </c>
    </row>
    <row r="424" customFormat="false" ht="13.8" hidden="false" customHeight="false" outlineLevel="0" collapsed="false">
      <c r="A424" s="124" t="n">
        <v>4543.79020781116</v>
      </c>
    </row>
    <row r="425" customFormat="false" ht="13.8" hidden="false" customHeight="false" outlineLevel="0" collapsed="false">
      <c r="A425" s="124" t="n">
        <v>3864.72880015322</v>
      </c>
    </row>
    <row r="426" customFormat="false" ht="13.8" hidden="false" customHeight="false" outlineLevel="0" collapsed="false">
      <c r="A426" s="124" t="n">
        <v>8499.27328262789</v>
      </c>
    </row>
    <row r="427" customFormat="false" ht="13.8" hidden="false" customHeight="false" outlineLevel="0" collapsed="false">
      <c r="A427" s="124" t="n">
        <v>101.753903347024</v>
      </c>
    </row>
    <row r="428" customFormat="false" ht="13.8" hidden="false" customHeight="false" outlineLevel="0" collapsed="false">
      <c r="A428" s="124" t="n">
        <v>4653.655186196</v>
      </c>
    </row>
    <row r="429" customFormat="false" ht="13.8" hidden="false" customHeight="false" outlineLevel="0" collapsed="false">
      <c r="A429" s="124" t="n">
        <v>-1371.42865574543</v>
      </c>
    </row>
    <row r="430" customFormat="false" ht="13.8" hidden="false" customHeight="false" outlineLevel="0" collapsed="false">
      <c r="A430" s="124" t="n">
        <v>-18968.240433444</v>
      </c>
    </row>
    <row r="431" customFormat="false" ht="13.8" hidden="false" customHeight="false" outlineLevel="0" collapsed="false">
      <c r="A431" s="124" t="n">
        <v>4153.18611270522</v>
      </c>
    </row>
    <row r="432" customFormat="false" ht="13.8" hidden="false" customHeight="false" outlineLevel="0" collapsed="false">
      <c r="A432" s="124" t="n">
        <v>6871.54373048634</v>
      </c>
    </row>
    <row r="433" customFormat="false" ht="13.8" hidden="false" customHeight="false" outlineLevel="0" collapsed="false">
      <c r="A433" s="124" t="n">
        <v>4854.91631040052</v>
      </c>
    </row>
    <row r="434" customFormat="false" ht="13.8" hidden="false" customHeight="false" outlineLevel="0" collapsed="false">
      <c r="A434" s="124" t="n">
        <v>12160.9567526947</v>
      </c>
    </row>
    <row r="435" customFormat="false" ht="13.8" hidden="false" customHeight="false" outlineLevel="0" collapsed="false">
      <c r="A435" s="124" t="n">
        <v>-3230.21108999747</v>
      </c>
    </row>
    <row r="436" customFormat="false" ht="13.8" hidden="false" customHeight="false" outlineLevel="0" collapsed="false">
      <c r="A436" s="124" t="n">
        <v>3807.37913451738</v>
      </c>
    </row>
    <row r="437" customFormat="false" ht="13.8" hidden="false" customHeight="false" outlineLevel="0" collapsed="false">
      <c r="A437" s="124" t="n">
        <v>4273.47792179596</v>
      </c>
    </row>
    <row r="438" customFormat="false" ht="13.8" hidden="false" customHeight="false" outlineLevel="0" collapsed="false">
      <c r="A438" s="124" t="n">
        <v>5915.33054243167</v>
      </c>
    </row>
    <row r="439" customFormat="false" ht="13.8" hidden="false" customHeight="false" outlineLevel="0" collapsed="false">
      <c r="A439" s="124" t="n">
        <v>5807.6611468899</v>
      </c>
    </row>
    <row r="440" customFormat="false" ht="13.8" hidden="false" customHeight="false" outlineLevel="0" collapsed="false">
      <c r="A440" s="124" t="n">
        <v>8642.5991972052</v>
      </c>
    </row>
    <row r="441" customFormat="false" ht="13.8" hidden="false" customHeight="false" outlineLevel="0" collapsed="false">
      <c r="A441" s="124" t="n">
        <v>6076.03726436866</v>
      </c>
    </row>
    <row r="442" customFormat="false" ht="13.8" hidden="false" customHeight="false" outlineLevel="0" collapsed="false">
      <c r="A442" s="124" t="n">
        <v>182.230789335885</v>
      </c>
    </row>
    <row r="443" customFormat="false" ht="13.8" hidden="false" customHeight="false" outlineLevel="0" collapsed="false">
      <c r="A443" s="124" t="n">
        <v>5855.73830444009</v>
      </c>
    </row>
    <row r="444" customFormat="false" ht="13.8" hidden="false" customHeight="false" outlineLevel="0" collapsed="false">
      <c r="A444" s="124" t="n">
        <v>-38.8799139346229</v>
      </c>
    </row>
    <row r="445" customFormat="false" ht="13.8" hidden="false" customHeight="false" outlineLevel="0" collapsed="false">
      <c r="A445" s="124" t="n">
        <v>6710.22683760263</v>
      </c>
    </row>
    <row r="446" customFormat="false" ht="13.8" hidden="false" customHeight="false" outlineLevel="0" collapsed="false">
      <c r="A446" s="124" t="n">
        <v>7293.26090588574</v>
      </c>
    </row>
    <row r="447" customFormat="false" ht="13.8" hidden="false" customHeight="false" outlineLevel="0" collapsed="false">
      <c r="A447" s="124" t="n">
        <v>6277.53609292637</v>
      </c>
    </row>
    <row r="448" customFormat="false" ht="13.8" hidden="false" customHeight="false" outlineLevel="0" collapsed="false">
      <c r="A448" s="124" t="n">
        <v>2695.86357757879</v>
      </c>
    </row>
    <row r="449" customFormat="false" ht="13.8" hidden="false" customHeight="false" outlineLevel="0" collapsed="false">
      <c r="A449" s="124" t="n">
        <v>8475.50854482462</v>
      </c>
    </row>
    <row r="450" customFormat="false" ht="13.8" hidden="false" customHeight="false" outlineLevel="0" collapsed="false">
      <c r="A450" s="124" t="n">
        <v>-673.758682878452</v>
      </c>
    </row>
    <row r="451" customFormat="false" ht="13.8" hidden="false" customHeight="false" outlineLevel="0" collapsed="false">
      <c r="A451" s="124" t="n">
        <v>77.2252092275503</v>
      </c>
    </row>
    <row r="452" customFormat="false" ht="13.8" hidden="false" customHeight="false" outlineLevel="0" collapsed="false">
      <c r="A452" s="124" t="n">
        <v>4903.34797805543</v>
      </c>
    </row>
    <row r="453" customFormat="false" ht="13.8" hidden="false" customHeight="false" outlineLevel="0" collapsed="false">
      <c r="A453" s="124" t="n">
        <v>8094.80222867587</v>
      </c>
    </row>
    <row r="454" customFormat="false" ht="13.8" hidden="false" customHeight="false" outlineLevel="0" collapsed="false">
      <c r="A454" s="124" t="n">
        <v>-407.444738027267</v>
      </c>
    </row>
    <row r="455" customFormat="false" ht="13.8" hidden="false" customHeight="false" outlineLevel="0" collapsed="false">
      <c r="A455" s="124" t="n">
        <v>2157.54902096115</v>
      </c>
    </row>
    <row r="456" customFormat="false" ht="13.8" hidden="false" customHeight="false" outlineLevel="0" collapsed="false">
      <c r="A456" s="124" t="n">
        <v>1830.05988203851</v>
      </c>
    </row>
    <row r="457" customFormat="false" ht="13.8" hidden="false" customHeight="false" outlineLevel="0" collapsed="false">
      <c r="A457" s="124" t="n">
        <v>4516.08482124048</v>
      </c>
    </row>
    <row r="458" customFormat="false" ht="13.8" hidden="false" customHeight="false" outlineLevel="0" collapsed="false">
      <c r="A458" s="124" t="n">
        <v>-2931.73107787675</v>
      </c>
    </row>
    <row r="459" customFormat="false" ht="13.8" hidden="false" customHeight="false" outlineLevel="0" collapsed="false">
      <c r="A459" s="124" t="n">
        <v>2183.33196634175</v>
      </c>
    </row>
    <row r="460" customFormat="false" ht="13.8" hidden="false" customHeight="false" outlineLevel="0" collapsed="false">
      <c r="A460" s="124" t="n">
        <v>3372.42439380111</v>
      </c>
    </row>
    <row r="461" customFormat="false" ht="13.8" hidden="false" customHeight="false" outlineLevel="0" collapsed="false">
      <c r="A461" s="124" t="n">
        <v>-750.202588127468</v>
      </c>
    </row>
    <row r="462" customFormat="false" ht="13.8" hidden="false" customHeight="false" outlineLevel="0" collapsed="false">
      <c r="A462" s="124" t="n">
        <v>436.908422342687</v>
      </c>
    </row>
    <row r="463" customFormat="false" ht="13.8" hidden="false" customHeight="false" outlineLevel="0" collapsed="false">
      <c r="A463" s="124" t="n">
        <v>739.561705284996</v>
      </c>
    </row>
    <row r="464" customFormat="false" ht="13.8" hidden="false" customHeight="false" outlineLevel="0" collapsed="false">
      <c r="A464" s="124" t="n">
        <v>1888.2778734732</v>
      </c>
    </row>
    <row r="465" customFormat="false" ht="13.8" hidden="false" customHeight="false" outlineLevel="0" collapsed="false">
      <c r="A465" s="124" t="n">
        <v>4915.4902524815</v>
      </c>
    </row>
    <row r="466" customFormat="false" ht="13.8" hidden="false" customHeight="false" outlineLevel="0" collapsed="false">
      <c r="A466" s="124" t="n">
        <v>6670.12691754135</v>
      </c>
    </row>
    <row r="467" customFormat="false" ht="13.8" hidden="false" customHeight="false" outlineLevel="0" collapsed="false">
      <c r="A467" s="124" t="n">
        <v>4221.02926301452</v>
      </c>
    </row>
    <row r="468" customFormat="false" ht="13.8" hidden="false" customHeight="false" outlineLevel="0" collapsed="false">
      <c r="A468" s="124" t="n">
        <v>-402.188865270266</v>
      </c>
    </row>
    <row r="469" customFormat="false" ht="13.8" hidden="false" customHeight="false" outlineLevel="0" collapsed="false">
      <c r="A469" s="124" t="n">
        <v>7239.16884891051</v>
      </c>
    </row>
    <row r="470" customFormat="false" ht="13.8" hidden="false" customHeight="false" outlineLevel="0" collapsed="false">
      <c r="A470" s="124" t="n">
        <v>7848.65506331561</v>
      </c>
    </row>
    <row r="471" customFormat="false" ht="13.8" hidden="false" customHeight="false" outlineLevel="0" collapsed="false">
      <c r="A471" s="124" t="n">
        <v>8607.4324318017</v>
      </c>
    </row>
    <row r="472" customFormat="false" ht="13.8" hidden="false" customHeight="false" outlineLevel="0" collapsed="false">
      <c r="A472" s="124" t="n">
        <v>-14202.5328339599</v>
      </c>
    </row>
    <row r="473" customFormat="false" ht="13.8" hidden="false" customHeight="false" outlineLevel="0" collapsed="false">
      <c r="A473" s="124" t="n">
        <v>3124.05592166983</v>
      </c>
    </row>
    <row r="474" customFormat="false" ht="13.8" hidden="false" customHeight="false" outlineLevel="0" collapsed="false">
      <c r="A474" s="124" t="n">
        <v>-3094.29828239328</v>
      </c>
    </row>
    <row r="475" customFormat="false" ht="13.8" hidden="false" customHeight="false" outlineLevel="0" collapsed="false">
      <c r="A475" s="124" t="n">
        <v>-1010.77814142342</v>
      </c>
    </row>
    <row r="476" customFormat="false" ht="13.8" hidden="false" customHeight="false" outlineLevel="0" collapsed="false">
      <c r="A476" s="124" t="n">
        <v>1648.74562635739</v>
      </c>
    </row>
    <row r="477" customFormat="false" ht="13.8" hidden="false" customHeight="false" outlineLevel="0" collapsed="false">
      <c r="A477" s="124" t="n">
        <v>-4553.20759628234</v>
      </c>
    </row>
    <row r="478" customFormat="false" ht="13.8" hidden="false" customHeight="false" outlineLevel="0" collapsed="false">
      <c r="A478" s="124" t="n">
        <v>4796.56158668213</v>
      </c>
    </row>
    <row r="479" customFormat="false" ht="13.8" hidden="false" customHeight="false" outlineLevel="0" collapsed="false">
      <c r="A479" s="124" t="n">
        <v>4592.42839182263</v>
      </c>
    </row>
    <row r="480" customFormat="false" ht="13.8" hidden="false" customHeight="false" outlineLevel="0" collapsed="false">
      <c r="A480" s="124" t="n">
        <v>6156.80568407209</v>
      </c>
    </row>
    <row r="481" customFormat="false" ht="13.8" hidden="false" customHeight="false" outlineLevel="0" collapsed="false">
      <c r="A481" s="124" t="n">
        <v>-2134.80368374046</v>
      </c>
    </row>
    <row r="482" customFormat="false" ht="13.8" hidden="false" customHeight="false" outlineLevel="0" collapsed="false">
      <c r="A482" s="124" t="n">
        <v>-1457.6826047411</v>
      </c>
    </row>
    <row r="483" customFormat="false" ht="13.8" hidden="false" customHeight="false" outlineLevel="0" collapsed="false">
      <c r="A483" s="124" t="n">
        <v>696.050670825382</v>
      </c>
    </row>
    <row r="484" customFormat="false" ht="13.8" hidden="false" customHeight="false" outlineLevel="0" collapsed="false">
      <c r="A484" s="124" t="n">
        <v>-73.2161021683205</v>
      </c>
    </row>
    <row r="485" customFormat="false" ht="13.8" hidden="false" customHeight="false" outlineLevel="0" collapsed="false">
      <c r="A485" s="124" t="n">
        <v>7168.89266639077</v>
      </c>
    </row>
    <row r="486" customFormat="false" ht="13.8" hidden="false" customHeight="false" outlineLevel="0" collapsed="false">
      <c r="A486" s="124" t="n">
        <v>9396.54596678699</v>
      </c>
    </row>
    <row r="487" customFormat="false" ht="13.8" hidden="false" customHeight="false" outlineLevel="0" collapsed="false">
      <c r="A487" s="124" t="n">
        <v>5430.21595978279</v>
      </c>
    </row>
    <row r="488" customFormat="false" ht="13.8" hidden="false" customHeight="false" outlineLevel="0" collapsed="false">
      <c r="A488" s="124" t="n">
        <v>6697.91656611638</v>
      </c>
    </row>
    <row r="489" customFormat="false" ht="13.8" hidden="false" customHeight="false" outlineLevel="0" collapsed="false">
      <c r="A489" s="124" t="n">
        <v>7135.61822289732</v>
      </c>
    </row>
    <row r="490" customFormat="false" ht="13.8" hidden="false" customHeight="false" outlineLevel="0" collapsed="false">
      <c r="A490" s="124" t="n">
        <v>-4031.41469687685</v>
      </c>
    </row>
    <row r="491" customFormat="false" ht="13.8" hidden="false" customHeight="false" outlineLevel="0" collapsed="false">
      <c r="A491" s="124" t="n">
        <v>8543.37155766691</v>
      </c>
    </row>
    <row r="492" customFormat="false" ht="13.8" hidden="false" customHeight="false" outlineLevel="0" collapsed="false">
      <c r="A492" s="124" t="n">
        <v>2708.21564907242</v>
      </c>
    </row>
    <row r="493" customFormat="false" ht="13.8" hidden="false" customHeight="false" outlineLevel="0" collapsed="false">
      <c r="A493" s="124" t="n">
        <v>5615.96659450891</v>
      </c>
    </row>
    <row r="494" customFormat="false" ht="13.8" hidden="false" customHeight="false" outlineLevel="0" collapsed="false">
      <c r="A494" s="124" t="n">
        <v>5026.20389229574</v>
      </c>
    </row>
    <row r="495" customFormat="false" ht="13.8" hidden="false" customHeight="false" outlineLevel="0" collapsed="false">
      <c r="A495" s="124" t="n">
        <v>3139.95756765843</v>
      </c>
    </row>
    <row r="496" customFormat="false" ht="13.8" hidden="false" customHeight="false" outlineLevel="0" collapsed="false">
      <c r="A496" s="124" t="n">
        <v>7874.121209139</v>
      </c>
    </row>
    <row r="497" customFormat="false" ht="13.8" hidden="false" customHeight="false" outlineLevel="0" collapsed="false">
      <c r="A497" s="124" t="n">
        <v>-1160.82321182233</v>
      </c>
    </row>
    <row r="498" customFormat="false" ht="13.8" hidden="false" customHeight="false" outlineLevel="0" collapsed="false">
      <c r="A498" s="124" t="n">
        <v>9613.6026028666</v>
      </c>
    </row>
    <row r="499" customFormat="false" ht="13.8" hidden="false" customHeight="false" outlineLevel="0" collapsed="false">
      <c r="A499" s="124" t="n">
        <v>5143.51276952319</v>
      </c>
    </row>
    <row r="500" customFormat="false" ht="13.8" hidden="false" customHeight="false" outlineLevel="0" collapsed="false">
      <c r="A500" s="124" t="n">
        <v>1976.61530183216</v>
      </c>
    </row>
    <row r="501" customFormat="false" ht="13.8" hidden="false" customHeight="false" outlineLevel="0" collapsed="false">
      <c r="A501" s="124" t="n">
        <v>7945.99091707307</v>
      </c>
    </row>
    <row r="502" customFormat="false" ht="13.8" hidden="false" customHeight="false" outlineLevel="0" collapsed="false">
      <c r="A502" s="124" t="n">
        <v>4781.99810759751</v>
      </c>
    </row>
    <row r="503" customFormat="false" ht="13.8" hidden="false" customHeight="false" outlineLevel="0" collapsed="false">
      <c r="A503" s="124" t="n">
        <v>3354.83623887391</v>
      </c>
    </row>
    <row r="504" customFormat="false" ht="13.8" hidden="false" customHeight="false" outlineLevel="0" collapsed="false">
      <c r="A504" s="124" t="n">
        <v>-752.264948059987</v>
      </c>
    </row>
    <row r="505" customFormat="false" ht="13.8" hidden="false" customHeight="false" outlineLevel="0" collapsed="false">
      <c r="A505" s="124" t="n">
        <v>4909.81543109521</v>
      </c>
    </row>
    <row r="506" customFormat="false" ht="13.8" hidden="false" customHeight="false" outlineLevel="0" collapsed="false">
      <c r="A506" s="124" t="n">
        <v>7864.05317905668</v>
      </c>
    </row>
    <row r="507" customFormat="false" ht="13.8" hidden="false" customHeight="false" outlineLevel="0" collapsed="false">
      <c r="A507" s="124" t="n">
        <v>10829.3118371831</v>
      </c>
    </row>
    <row r="508" customFormat="false" ht="13.8" hidden="false" customHeight="false" outlineLevel="0" collapsed="false">
      <c r="A508" s="124" t="n">
        <v>-1833.57889031971</v>
      </c>
    </row>
    <row r="509" customFormat="false" ht="13.8" hidden="false" customHeight="false" outlineLevel="0" collapsed="false">
      <c r="A509" s="124" t="n">
        <v>-12040.0911332346</v>
      </c>
    </row>
    <row r="510" customFormat="false" ht="13.8" hidden="false" customHeight="false" outlineLevel="0" collapsed="false">
      <c r="A510" s="124" t="n">
        <v>222.695566350905</v>
      </c>
    </row>
    <row r="511" customFormat="false" ht="13.8" hidden="false" customHeight="false" outlineLevel="0" collapsed="false">
      <c r="A511" s="124" t="n">
        <v>3029.11306865848</v>
      </c>
    </row>
    <row r="512" customFormat="false" ht="13.8" hidden="false" customHeight="false" outlineLevel="0" collapsed="false">
      <c r="A512" s="124" t="n">
        <v>-4300.1173426616</v>
      </c>
    </row>
    <row r="513" customFormat="false" ht="13.8" hidden="false" customHeight="false" outlineLevel="0" collapsed="false">
      <c r="A513" s="124" t="n">
        <v>8511.28813190338</v>
      </c>
    </row>
    <row r="514" customFormat="false" ht="13.8" hidden="false" customHeight="false" outlineLevel="0" collapsed="false">
      <c r="A514" s="124" t="n">
        <v>-3313.71607847708</v>
      </c>
    </row>
    <row r="515" customFormat="false" ht="13.8" hidden="false" customHeight="false" outlineLevel="0" collapsed="false">
      <c r="A515" s="124" t="n">
        <v>-1383.47051167658</v>
      </c>
    </row>
    <row r="516" customFormat="false" ht="13.8" hidden="false" customHeight="false" outlineLevel="0" collapsed="false">
      <c r="A516" s="124" t="n">
        <v>-1086.00948004676</v>
      </c>
    </row>
    <row r="517" customFormat="false" ht="13.8" hidden="false" customHeight="false" outlineLevel="0" collapsed="false">
      <c r="A517" s="124" t="n">
        <v>-4994.50259181002</v>
      </c>
    </row>
    <row r="518" customFormat="false" ht="13.8" hidden="false" customHeight="false" outlineLevel="0" collapsed="false">
      <c r="A518" s="124" t="n">
        <v>-782.672372484085</v>
      </c>
    </row>
    <row r="519" customFormat="false" ht="13.8" hidden="false" customHeight="false" outlineLevel="0" collapsed="false">
      <c r="A519" s="124" t="n">
        <v>6446.23215875603</v>
      </c>
    </row>
    <row r="520" customFormat="false" ht="13.8" hidden="false" customHeight="false" outlineLevel="0" collapsed="false">
      <c r="A520" s="124" t="n">
        <v>2749.33503614296</v>
      </c>
    </row>
    <row r="521" customFormat="false" ht="13.8" hidden="false" customHeight="false" outlineLevel="0" collapsed="false">
      <c r="A521" s="124" t="n">
        <v>10079.506913641</v>
      </c>
    </row>
    <row r="522" customFormat="false" ht="13.8" hidden="false" customHeight="false" outlineLevel="0" collapsed="false">
      <c r="A522" s="124" t="n">
        <v>11518.6450505864</v>
      </c>
    </row>
    <row r="523" customFormat="false" ht="13.8" hidden="false" customHeight="false" outlineLevel="0" collapsed="false">
      <c r="A523" s="124" t="n">
        <v>-1570.42177808656</v>
      </c>
    </row>
    <row r="524" customFormat="false" ht="13.8" hidden="false" customHeight="false" outlineLevel="0" collapsed="false">
      <c r="A524" s="124" t="n">
        <v>9181.85533820444</v>
      </c>
    </row>
    <row r="525" customFormat="false" ht="13.8" hidden="false" customHeight="false" outlineLevel="0" collapsed="false">
      <c r="A525" s="124" t="n">
        <v>1813.16224070399</v>
      </c>
    </row>
    <row r="526" customFormat="false" ht="13.8" hidden="false" customHeight="false" outlineLevel="0" collapsed="false">
      <c r="A526" s="124" t="n">
        <v>5898.63134955853</v>
      </c>
    </row>
    <row r="527" customFormat="false" ht="13.8" hidden="false" customHeight="false" outlineLevel="0" collapsed="false">
      <c r="A527" s="124" t="n">
        <v>3872.89702663504</v>
      </c>
    </row>
    <row r="528" customFormat="false" ht="13.8" hidden="false" customHeight="false" outlineLevel="0" collapsed="false">
      <c r="A528" s="124" t="n">
        <v>1870.69024085798</v>
      </c>
    </row>
    <row r="529" customFormat="false" ht="13.8" hidden="false" customHeight="false" outlineLevel="0" collapsed="false">
      <c r="A529" s="124" t="n">
        <v>-1087.5449187025</v>
      </c>
    </row>
    <row r="530" customFormat="false" ht="13.8" hidden="false" customHeight="false" outlineLevel="0" collapsed="false">
      <c r="A530" s="124" t="n">
        <v>3627.00216203547</v>
      </c>
    </row>
    <row r="531" customFormat="false" ht="13.8" hidden="false" customHeight="false" outlineLevel="0" collapsed="false">
      <c r="A531" s="124" t="n">
        <v>-1457.03450499172</v>
      </c>
    </row>
    <row r="532" customFormat="false" ht="13.8" hidden="false" customHeight="false" outlineLevel="0" collapsed="false">
      <c r="A532" s="124" t="n">
        <v>2161.52296841675</v>
      </c>
    </row>
    <row r="533" customFormat="false" ht="13.8" hidden="false" customHeight="false" outlineLevel="0" collapsed="false">
      <c r="A533" s="124" t="n">
        <v>1330.89025054385</v>
      </c>
    </row>
    <row r="534" customFormat="false" ht="13.8" hidden="false" customHeight="false" outlineLevel="0" collapsed="false">
      <c r="A534" s="124" t="n">
        <v>5648.52844191339</v>
      </c>
    </row>
    <row r="535" customFormat="false" ht="13.8" hidden="false" customHeight="false" outlineLevel="0" collapsed="false">
      <c r="A535" s="124" t="n">
        <v>-6653.75920934627</v>
      </c>
    </row>
    <row r="536" customFormat="false" ht="13.8" hidden="false" customHeight="false" outlineLevel="0" collapsed="false">
      <c r="A536" s="124" t="n">
        <v>1426.13973869227</v>
      </c>
    </row>
    <row r="537" customFormat="false" ht="13.8" hidden="false" customHeight="false" outlineLevel="0" collapsed="false">
      <c r="A537" s="124" t="n">
        <v>3309.1485952325</v>
      </c>
    </row>
    <row r="538" customFormat="false" ht="13.8" hidden="false" customHeight="false" outlineLevel="0" collapsed="false">
      <c r="A538" s="124" t="n">
        <v>-4354.58431195401</v>
      </c>
    </row>
    <row r="539" customFormat="false" ht="13.8" hidden="false" customHeight="false" outlineLevel="0" collapsed="false">
      <c r="A539" s="124" t="n">
        <v>5907.59548436163</v>
      </c>
    </row>
    <row r="540" customFormat="false" ht="13.8" hidden="false" customHeight="false" outlineLevel="0" collapsed="false">
      <c r="A540" s="124" t="n">
        <v>-1110.87530172975</v>
      </c>
    </row>
    <row r="541" customFormat="false" ht="13.8" hidden="false" customHeight="false" outlineLevel="0" collapsed="false">
      <c r="A541" s="124" t="n">
        <v>8119.14635901861</v>
      </c>
    </row>
    <row r="542" customFormat="false" ht="13.8" hidden="false" customHeight="false" outlineLevel="0" collapsed="false">
      <c r="A542" s="124" t="n">
        <v>3211.47555467379</v>
      </c>
    </row>
    <row r="543" customFormat="false" ht="13.8" hidden="false" customHeight="false" outlineLevel="0" collapsed="false">
      <c r="A543" s="124" t="n">
        <v>6643.07442750837</v>
      </c>
    </row>
    <row r="544" customFormat="false" ht="13.8" hidden="false" customHeight="false" outlineLevel="0" collapsed="false">
      <c r="A544" s="124" t="n">
        <v>5578.69188786778</v>
      </c>
    </row>
    <row r="545" customFormat="false" ht="13.8" hidden="false" customHeight="false" outlineLevel="0" collapsed="false">
      <c r="A545" s="124" t="n">
        <v>6065.23064000826</v>
      </c>
    </row>
    <row r="546" customFormat="false" ht="13.8" hidden="false" customHeight="false" outlineLevel="0" collapsed="false">
      <c r="A546" s="124" t="n">
        <v>6297.74444587337</v>
      </c>
    </row>
    <row r="547" customFormat="false" ht="13.8" hidden="false" customHeight="false" outlineLevel="0" collapsed="false">
      <c r="A547" s="124" t="n">
        <v>1185.00294725422</v>
      </c>
    </row>
    <row r="548" customFormat="false" ht="13.8" hidden="false" customHeight="false" outlineLevel="0" collapsed="false">
      <c r="A548" s="124" t="n">
        <v>831.886586715995</v>
      </c>
    </row>
    <row r="549" customFormat="false" ht="13.8" hidden="false" customHeight="false" outlineLevel="0" collapsed="false">
      <c r="A549" s="124" t="n">
        <v>2537.05317856321</v>
      </c>
    </row>
    <row r="550" customFormat="false" ht="13.8" hidden="false" customHeight="false" outlineLevel="0" collapsed="false">
      <c r="A550" s="124" t="n">
        <v>7858.10324286111</v>
      </c>
    </row>
    <row r="551" customFormat="false" ht="13.8" hidden="false" customHeight="false" outlineLevel="0" collapsed="false">
      <c r="A551" s="124" t="n">
        <v>3791.38005030616</v>
      </c>
    </row>
    <row r="552" customFormat="false" ht="13.8" hidden="false" customHeight="false" outlineLevel="0" collapsed="false">
      <c r="A552" s="124" t="n">
        <v>4078.36180497972</v>
      </c>
    </row>
    <row r="553" customFormat="false" ht="13.8" hidden="false" customHeight="false" outlineLevel="0" collapsed="false">
      <c r="A553" s="124" t="n">
        <v>3050.50075377603</v>
      </c>
    </row>
    <row r="554" customFormat="false" ht="13.8" hidden="false" customHeight="false" outlineLevel="0" collapsed="false">
      <c r="A554" s="124" t="n">
        <v>2442.89584435383</v>
      </c>
    </row>
    <row r="555" customFormat="false" ht="13.8" hidden="false" customHeight="false" outlineLevel="0" collapsed="false">
      <c r="A555" s="124" t="n">
        <v>1310.49013823857</v>
      </c>
    </row>
    <row r="556" customFormat="false" ht="13.8" hidden="false" customHeight="false" outlineLevel="0" collapsed="false">
      <c r="A556" s="124" t="n">
        <v>8360.38988047408</v>
      </c>
    </row>
    <row r="557" customFormat="false" ht="13.8" hidden="false" customHeight="false" outlineLevel="0" collapsed="false">
      <c r="A557" s="124" t="n">
        <v>738.864782155759</v>
      </c>
    </row>
    <row r="558" customFormat="false" ht="13.8" hidden="false" customHeight="false" outlineLevel="0" collapsed="false">
      <c r="A558" s="124" t="n">
        <v>4895.66730849961</v>
      </c>
    </row>
    <row r="559" customFormat="false" ht="13.8" hidden="false" customHeight="false" outlineLevel="0" collapsed="false">
      <c r="A559" s="124" t="n">
        <v>4975.99559210667</v>
      </c>
    </row>
    <row r="560" customFormat="false" ht="13.8" hidden="false" customHeight="false" outlineLevel="0" collapsed="false">
      <c r="A560" s="124" t="n">
        <v>2517.53284279621</v>
      </c>
    </row>
    <row r="561" customFormat="false" ht="13.8" hidden="false" customHeight="false" outlineLevel="0" collapsed="false">
      <c r="A561" s="124" t="n">
        <v>6520.34616318539</v>
      </c>
    </row>
    <row r="562" customFormat="false" ht="13.8" hidden="false" customHeight="false" outlineLevel="0" collapsed="false">
      <c r="A562" s="124" t="n">
        <v>1010.62446268068</v>
      </c>
    </row>
    <row r="563" customFormat="false" ht="13.8" hidden="false" customHeight="false" outlineLevel="0" collapsed="false">
      <c r="A563" s="124" t="n">
        <v>2545.93714465114</v>
      </c>
    </row>
    <row r="564" customFormat="false" ht="13.8" hidden="false" customHeight="false" outlineLevel="0" collapsed="false">
      <c r="A564" s="124" t="n">
        <v>6198.47411250956</v>
      </c>
    </row>
    <row r="565" customFormat="false" ht="13.8" hidden="false" customHeight="false" outlineLevel="0" collapsed="false">
      <c r="A565" s="124" t="n">
        <v>7575.73849488994</v>
      </c>
    </row>
    <row r="566" customFormat="false" ht="13.8" hidden="false" customHeight="false" outlineLevel="0" collapsed="false">
      <c r="A566" s="124" t="n">
        <v>4022.81935381424</v>
      </c>
    </row>
    <row r="567" customFormat="false" ht="13.8" hidden="false" customHeight="false" outlineLevel="0" collapsed="false">
      <c r="A567" s="124" t="n">
        <v>6576.44605616799</v>
      </c>
    </row>
    <row r="568" customFormat="false" ht="13.8" hidden="false" customHeight="false" outlineLevel="0" collapsed="false">
      <c r="A568" s="124" t="n">
        <v>9949.01157848383</v>
      </c>
    </row>
    <row r="569" customFormat="false" ht="13.8" hidden="false" customHeight="false" outlineLevel="0" collapsed="false">
      <c r="A569" s="124" t="n">
        <v>4579.82333912169</v>
      </c>
    </row>
    <row r="570" customFormat="false" ht="13.8" hidden="false" customHeight="false" outlineLevel="0" collapsed="false">
      <c r="A570" s="124" t="n">
        <v>3889.12864495841</v>
      </c>
    </row>
    <row r="571" customFormat="false" ht="13.8" hidden="false" customHeight="false" outlineLevel="0" collapsed="false">
      <c r="A571" s="124" t="n">
        <v>463.959295138046</v>
      </c>
    </row>
    <row r="572" customFormat="false" ht="13.8" hidden="false" customHeight="false" outlineLevel="0" collapsed="false">
      <c r="A572" s="124" t="n">
        <v>5162.02469839872</v>
      </c>
    </row>
    <row r="573" customFormat="false" ht="13.8" hidden="false" customHeight="false" outlineLevel="0" collapsed="false">
      <c r="A573" s="124" t="n">
        <v>-999.834591340821</v>
      </c>
    </row>
    <row r="574" customFormat="false" ht="13.8" hidden="false" customHeight="false" outlineLevel="0" collapsed="false">
      <c r="A574" s="124" t="n">
        <v>3091.46585181151</v>
      </c>
    </row>
    <row r="575" customFormat="false" ht="13.8" hidden="false" customHeight="false" outlineLevel="0" collapsed="false">
      <c r="A575" s="124" t="n">
        <v>4439.43306528085</v>
      </c>
    </row>
    <row r="576" customFormat="false" ht="13.8" hidden="false" customHeight="false" outlineLevel="0" collapsed="false">
      <c r="A576" s="124" t="n">
        <v>-93.7548054217259</v>
      </c>
    </row>
    <row r="577" customFormat="false" ht="13.8" hidden="false" customHeight="false" outlineLevel="0" collapsed="false">
      <c r="A577" s="124" t="n">
        <v>-998.001300639506</v>
      </c>
    </row>
    <row r="578" customFormat="false" ht="13.8" hidden="false" customHeight="false" outlineLevel="0" collapsed="false">
      <c r="A578" s="124" t="n">
        <v>-141.302750270948</v>
      </c>
    </row>
    <row r="579" customFormat="false" ht="13.8" hidden="false" customHeight="false" outlineLevel="0" collapsed="false">
      <c r="A579" s="124" t="n">
        <v>7359.09801610364</v>
      </c>
    </row>
    <row r="580" customFormat="false" ht="13.8" hidden="false" customHeight="false" outlineLevel="0" collapsed="false">
      <c r="A580" s="124" t="n">
        <v>1571.61012552786</v>
      </c>
    </row>
    <row r="581" customFormat="false" ht="13.8" hidden="false" customHeight="false" outlineLevel="0" collapsed="false">
      <c r="A581" s="124" t="n">
        <v>3059.50051150454</v>
      </c>
    </row>
    <row r="582" customFormat="false" ht="13.8" hidden="false" customHeight="false" outlineLevel="0" collapsed="false">
      <c r="A582" s="124" t="n">
        <v>7186.98518577777</v>
      </c>
    </row>
    <row r="583" customFormat="false" ht="13.8" hidden="false" customHeight="false" outlineLevel="0" collapsed="false">
      <c r="A583" s="124" t="n">
        <v>545.082765966363</v>
      </c>
    </row>
    <row r="584" customFormat="false" ht="13.8" hidden="false" customHeight="false" outlineLevel="0" collapsed="false">
      <c r="A584" s="124" t="n">
        <v>2037.19079089337</v>
      </c>
    </row>
    <row r="585" customFormat="false" ht="13.8" hidden="false" customHeight="false" outlineLevel="0" collapsed="false">
      <c r="A585" s="124" t="n">
        <v>6260.78449180709</v>
      </c>
    </row>
    <row r="586" customFormat="false" ht="13.8" hidden="false" customHeight="false" outlineLevel="0" collapsed="false">
      <c r="A586" s="124" t="n">
        <v>3840.04231871851</v>
      </c>
    </row>
    <row r="587" customFormat="false" ht="13.8" hidden="false" customHeight="false" outlineLevel="0" collapsed="false">
      <c r="A587" s="124" t="n">
        <v>-11317.0809563571</v>
      </c>
    </row>
    <row r="588" customFormat="false" ht="13.8" hidden="false" customHeight="false" outlineLevel="0" collapsed="false">
      <c r="A588" s="124" t="n">
        <v>6990.54764382312</v>
      </c>
    </row>
    <row r="589" customFormat="false" ht="13.8" hidden="false" customHeight="false" outlineLevel="0" collapsed="false">
      <c r="A589" s="124" t="n">
        <v>5267.92784603736</v>
      </c>
    </row>
    <row r="590" customFormat="false" ht="13.8" hidden="false" customHeight="false" outlineLevel="0" collapsed="false">
      <c r="A590" s="124" t="n">
        <v>6220.47766576396</v>
      </c>
    </row>
    <row r="591" customFormat="false" ht="13.8" hidden="false" customHeight="false" outlineLevel="0" collapsed="false">
      <c r="A591" s="124" t="n">
        <v>6170.03764971499</v>
      </c>
    </row>
    <row r="592" customFormat="false" ht="13.8" hidden="false" customHeight="false" outlineLevel="0" collapsed="false">
      <c r="A592" s="124" t="n">
        <v>4033.35137381537</v>
      </c>
    </row>
    <row r="593" customFormat="false" ht="13.8" hidden="false" customHeight="false" outlineLevel="0" collapsed="false">
      <c r="A593" s="124" t="n">
        <v>4456.16024274365</v>
      </c>
    </row>
    <row r="594" customFormat="false" ht="13.8" hidden="false" customHeight="false" outlineLevel="0" collapsed="false">
      <c r="A594" s="124" t="n">
        <v>-199.251225626456</v>
      </c>
    </row>
    <row r="595" customFormat="false" ht="13.8" hidden="false" customHeight="false" outlineLevel="0" collapsed="false">
      <c r="A595" s="124" t="n">
        <v>-2011.16369138058</v>
      </c>
    </row>
    <row r="596" customFormat="false" ht="13.8" hidden="false" customHeight="false" outlineLevel="0" collapsed="false">
      <c r="A596" s="124" t="n">
        <v>1364.53905311117</v>
      </c>
    </row>
    <row r="597" customFormat="false" ht="13.8" hidden="false" customHeight="false" outlineLevel="0" collapsed="false">
      <c r="A597" s="124" t="n">
        <v>7934.34060336207</v>
      </c>
    </row>
    <row r="598" customFormat="false" ht="13.8" hidden="false" customHeight="false" outlineLevel="0" collapsed="false">
      <c r="A598" s="124" t="n">
        <v>3575.5610059499</v>
      </c>
    </row>
    <row r="599" customFormat="false" ht="13.8" hidden="false" customHeight="false" outlineLevel="0" collapsed="false">
      <c r="A599" s="124" t="n">
        <v>2738.01843765574</v>
      </c>
    </row>
    <row r="600" customFormat="false" ht="13.8" hidden="false" customHeight="false" outlineLevel="0" collapsed="false">
      <c r="A600" s="124" t="n">
        <v>1963.1850516243</v>
      </c>
    </row>
    <row r="601" customFormat="false" ht="13.8" hidden="false" customHeight="false" outlineLevel="0" collapsed="false">
      <c r="A601" s="124" t="n">
        <v>-8085.59917341296</v>
      </c>
    </row>
    <row r="602" customFormat="false" ht="13.8" hidden="false" customHeight="false" outlineLevel="0" collapsed="false">
      <c r="A602" s="124" t="n">
        <v>2999.62195333601</v>
      </c>
    </row>
    <row r="603" customFormat="false" ht="13.8" hidden="false" customHeight="false" outlineLevel="0" collapsed="false">
      <c r="A603" s="124" t="n">
        <v>6258.10732366157</v>
      </c>
    </row>
    <row r="604" customFormat="false" ht="13.8" hidden="false" customHeight="false" outlineLevel="0" collapsed="false">
      <c r="A604" s="124" t="n">
        <v>5745.20483189404</v>
      </c>
    </row>
    <row r="605" customFormat="false" ht="13.8" hidden="false" customHeight="false" outlineLevel="0" collapsed="false">
      <c r="A605" s="124" t="n">
        <v>-4670.68534718421</v>
      </c>
    </row>
    <row r="606" customFormat="false" ht="13.8" hidden="false" customHeight="false" outlineLevel="0" collapsed="false">
      <c r="A606" s="124" t="n">
        <v>5955.67134531843</v>
      </c>
    </row>
    <row r="607" customFormat="false" ht="13.8" hidden="false" customHeight="false" outlineLevel="0" collapsed="false">
      <c r="A607" s="124" t="n">
        <v>4812.83638897769</v>
      </c>
    </row>
    <row r="608" customFormat="false" ht="13.8" hidden="false" customHeight="false" outlineLevel="0" collapsed="false">
      <c r="A608" s="124" t="n">
        <v>4934.19258669117</v>
      </c>
    </row>
    <row r="609" customFormat="false" ht="13.8" hidden="false" customHeight="false" outlineLevel="0" collapsed="false">
      <c r="A609" s="124" t="n">
        <v>6938.48574462552</v>
      </c>
    </row>
    <row r="610" customFormat="false" ht="13.8" hidden="false" customHeight="false" outlineLevel="0" collapsed="false">
      <c r="A610" s="124" t="n">
        <v>5306.46752224684</v>
      </c>
    </row>
    <row r="611" customFormat="false" ht="13.8" hidden="false" customHeight="false" outlineLevel="0" collapsed="false">
      <c r="A611" s="124" t="n">
        <v>4703.10368699955</v>
      </c>
    </row>
    <row r="612" customFormat="false" ht="13.8" hidden="false" customHeight="false" outlineLevel="0" collapsed="false">
      <c r="A612" s="124" t="n">
        <v>-2057.37438627534</v>
      </c>
    </row>
    <row r="613" customFormat="false" ht="13.8" hidden="false" customHeight="false" outlineLevel="0" collapsed="false">
      <c r="A613" s="124" t="n">
        <v>2807.36662137201</v>
      </c>
    </row>
    <row r="614" customFormat="false" ht="13.8" hidden="false" customHeight="false" outlineLevel="0" collapsed="false">
      <c r="A614" s="124" t="n">
        <v>4048.82646334005</v>
      </c>
    </row>
    <row r="615" customFormat="false" ht="13.8" hidden="false" customHeight="false" outlineLevel="0" collapsed="false">
      <c r="A615" s="124" t="n">
        <v>5894.94158659519</v>
      </c>
    </row>
    <row r="616" customFormat="false" ht="13.8" hidden="false" customHeight="false" outlineLevel="0" collapsed="false">
      <c r="A616" s="124" t="n">
        <v>9860.26456446102</v>
      </c>
    </row>
    <row r="617" customFormat="false" ht="13.8" hidden="false" customHeight="false" outlineLevel="0" collapsed="false">
      <c r="A617" s="124" t="n">
        <v>-3592.30943232086</v>
      </c>
    </row>
    <row r="618" customFormat="false" ht="13.8" hidden="false" customHeight="false" outlineLevel="0" collapsed="false">
      <c r="A618" s="124" t="n">
        <v>-2609.45435033792</v>
      </c>
    </row>
    <row r="619" customFormat="false" ht="13.8" hidden="false" customHeight="false" outlineLevel="0" collapsed="false">
      <c r="A619" s="124" t="n">
        <v>2179.90042140459</v>
      </c>
    </row>
    <row r="620" customFormat="false" ht="13.8" hidden="false" customHeight="false" outlineLevel="0" collapsed="false">
      <c r="A620" s="124" t="n">
        <v>1021.86686418312</v>
      </c>
    </row>
    <row r="621" customFormat="false" ht="13.8" hidden="false" customHeight="false" outlineLevel="0" collapsed="false">
      <c r="A621" s="124" t="n">
        <v>6962.07007530526</v>
      </c>
    </row>
    <row r="622" customFormat="false" ht="13.8" hidden="false" customHeight="false" outlineLevel="0" collapsed="false">
      <c r="A622" s="124" t="n">
        <v>1481.48892402323</v>
      </c>
    </row>
    <row r="623" customFormat="false" ht="13.8" hidden="false" customHeight="false" outlineLevel="0" collapsed="false">
      <c r="A623" s="124" t="n">
        <v>6123.39169824139</v>
      </c>
    </row>
    <row r="624" customFormat="false" ht="13.8" hidden="false" customHeight="false" outlineLevel="0" collapsed="false">
      <c r="A624" s="124" t="n">
        <v>9601.06810259563</v>
      </c>
    </row>
    <row r="625" customFormat="false" ht="13.8" hidden="false" customHeight="false" outlineLevel="0" collapsed="false">
      <c r="A625" s="124" t="n">
        <v>6354.2196144487</v>
      </c>
    </row>
    <row r="626" customFormat="false" ht="13.8" hidden="false" customHeight="false" outlineLevel="0" collapsed="false">
      <c r="A626" s="124" t="n">
        <v>2855.60268789995</v>
      </c>
    </row>
    <row r="627" customFormat="false" ht="13.8" hidden="false" customHeight="false" outlineLevel="0" collapsed="false">
      <c r="A627" s="124" t="n">
        <v>5743.7939904874</v>
      </c>
    </row>
    <row r="628" customFormat="false" ht="13.8" hidden="false" customHeight="false" outlineLevel="0" collapsed="false">
      <c r="A628" s="124" t="n">
        <v>-1960.93812867882</v>
      </c>
    </row>
    <row r="629" customFormat="false" ht="13.8" hidden="false" customHeight="false" outlineLevel="0" collapsed="false">
      <c r="A629" s="124" t="n">
        <v>2499.0453627546</v>
      </c>
    </row>
    <row r="630" customFormat="false" ht="13.8" hidden="false" customHeight="false" outlineLevel="0" collapsed="false">
      <c r="A630" s="124" t="n">
        <v>11727.6126292404</v>
      </c>
    </row>
    <row r="631" customFormat="false" ht="13.8" hidden="false" customHeight="false" outlineLevel="0" collapsed="false">
      <c r="A631" s="124" t="n">
        <v>8074.73207618336</v>
      </c>
    </row>
    <row r="632" customFormat="false" ht="13.8" hidden="false" customHeight="false" outlineLevel="0" collapsed="false">
      <c r="A632" s="124" t="n">
        <v>8626.24251019217</v>
      </c>
    </row>
    <row r="633" customFormat="false" ht="13.8" hidden="false" customHeight="false" outlineLevel="0" collapsed="false">
      <c r="A633" s="124" t="n">
        <v>2388.15080269502</v>
      </c>
    </row>
    <row r="634" customFormat="false" ht="13.8" hidden="false" customHeight="false" outlineLevel="0" collapsed="false">
      <c r="A634" s="124" t="n">
        <v>4885.04303021808</v>
      </c>
    </row>
    <row r="635" customFormat="false" ht="13.8" hidden="false" customHeight="false" outlineLevel="0" collapsed="false">
      <c r="A635" s="124" t="n">
        <v>822.239966423425</v>
      </c>
    </row>
    <row r="636" customFormat="false" ht="13.8" hidden="false" customHeight="false" outlineLevel="0" collapsed="false">
      <c r="A636" s="124" t="n">
        <v>-1463.97448904049</v>
      </c>
    </row>
    <row r="637" customFormat="false" ht="13.8" hidden="false" customHeight="false" outlineLevel="0" collapsed="false">
      <c r="A637" s="124" t="n">
        <v>6731.80390182676</v>
      </c>
    </row>
    <row r="638" customFormat="false" ht="13.8" hidden="false" customHeight="false" outlineLevel="0" collapsed="false">
      <c r="A638" s="124" t="n">
        <v>2123.18661576175</v>
      </c>
    </row>
    <row r="639" customFormat="false" ht="13.8" hidden="false" customHeight="false" outlineLevel="0" collapsed="false">
      <c r="A639" s="124" t="n">
        <v>-135.148819222492</v>
      </c>
    </row>
    <row r="640" customFormat="false" ht="13.8" hidden="false" customHeight="false" outlineLevel="0" collapsed="false">
      <c r="A640" s="124" t="n">
        <v>3732.26624461404</v>
      </c>
    </row>
    <row r="641" customFormat="false" ht="13.8" hidden="false" customHeight="false" outlineLevel="0" collapsed="false">
      <c r="A641" s="124" t="n">
        <v>-12.3820742177413</v>
      </c>
    </row>
    <row r="642" customFormat="false" ht="13.8" hidden="false" customHeight="false" outlineLevel="0" collapsed="false">
      <c r="A642" s="124" t="n">
        <v>3.63640015569399</v>
      </c>
    </row>
    <row r="643" customFormat="false" ht="13.8" hidden="false" customHeight="false" outlineLevel="0" collapsed="false">
      <c r="A643" s="124" t="n">
        <v>8973.12476161279</v>
      </c>
    </row>
    <row r="644" customFormat="false" ht="13.8" hidden="false" customHeight="false" outlineLevel="0" collapsed="false">
      <c r="A644" s="124" t="n">
        <v>5375.49380573367</v>
      </c>
    </row>
    <row r="645" customFormat="false" ht="13.8" hidden="false" customHeight="false" outlineLevel="0" collapsed="false">
      <c r="A645" s="124" t="n">
        <v>9222.04460622449</v>
      </c>
    </row>
    <row r="646" customFormat="false" ht="13.8" hidden="false" customHeight="false" outlineLevel="0" collapsed="false">
      <c r="A646" s="124" t="n">
        <v>1193.85243394048</v>
      </c>
    </row>
    <row r="647" customFormat="false" ht="13.8" hidden="false" customHeight="false" outlineLevel="0" collapsed="false">
      <c r="A647" s="124" t="n">
        <v>773.199260576574</v>
      </c>
    </row>
    <row r="648" customFormat="false" ht="13.8" hidden="false" customHeight="false" outlineLevel="0" collapsed="false">
      <c r="A648" s="124" t="n">
        <v>6228.81085988932</v>
      </c>
    </row>
    <row r="649" customFormat="false" ht="13.8" hidden="false" customHeight="false" outlineLevel="0" collapsed="false">
      <c r="A649" s="124" t="n">
        <v>-5878.35813285838</v>
      </c>
    </row>
    <row r="650" customFormat="false" ht="13.8" hidden="false" customHeight="false" outlineLevel="0" collapsed="false">
      <c r="A650" s="124" t="n">
        <v>2134.47221874055</v>
      </c>
    </row>
    <row r="651" customFormat="false" ht="13.8" hidden="false" customHeight="false" outlineLevel="0" collapsed="false">
      <c r="A651" s="124" t="n">
        <v>8518.00482837137</v>
      </c>
    </row>
    <row r="652" customFormat="false" ht="13.8" hidden="false" customHeight="false" outlineLevel="0" collapsed="false">
      <c r="A652" s="124" t="n">
        <v>3779.01551940398</v>
      </c>
    </row>
    <row r="653" customFormat="false" ht="13.8" hidden="false" customHeight="false" outlineLevel="0" collapsed="false">
      <c r="A653" s="124" t="n">
        <v>-1149.31739707842</v>
      </c>
    </row>
    <row r="654" customFormat="false" ht="13.8" hidden="false" customHeight="false" outlineLevel="0" collapsed="false">
      <c r="A654" s="124" t="n">
        <v>7669.50114338761</v>
      </c>
    </row>
    <row r="655" customFormat="false" ht="13.8" hidden="false" customHeight="false" outlineLevel="0" collapsed="false">
      <c r="A655" s="124" t="n">
        <v>-1979.63776529238</v>
      </c>
    </row>
    <row r="656" customFormat="false" ht="13.8" hidden="false" customHeight="false" outlineLevel="0" collapsed="false">
      <c r="A656" s="124" t="n">
        <v>6567.27629093799</v>
      </c>
    </row>
    <row r="657" customFormat="false" ht="13.8" hidden="false" customHeight="false" outlineLevel="0" collapsed="false">
      <c r="A657" s="124" t="n">
        <v>-1324.96945713885</v>
      </c>
    </row>
    <row r="658" customFormat="false" ht="13.8" hidden="false" customHeight="false" outlineLevel="0" collapsed="false">
      <c r="A658" s="124" t="n">
        <v>-9197.42879212116</v>
      </c>
    </row>
    <row r="659" customFormat="false" ht="13.8" hidden="false" customHeight="false" outlineLevel="0" collapsed="false">
      <c r="A659" s="124" t="n">
        <v>3851.71277808972</v>
      </c>
    </row>
    <row r="660" customFormat="false" ht="13.8" hidden="false" customHeight="false" outlineLevel="0" collapsed="false">
      <c r="A660" s="124" t="n">
        <v>5045.73020133035</v>
      </c>
    </row>
    <row r="661" customFormat="false" ht="13.8" hidden="false" customHeight="false" outlineLevel="0" collapsed="false">
      <c r="A661" s="124" t="n">
        <v>8577.12834705078</v>
      </c>
    </row>
    <row r="662" customFormat="false" ht="13.8" hidden="false" customHeight="false" outlineLevel="0" collapsed="false">
      <c r="A662" s="124" t="n">
        <v>11493.7484885049</v>
      </c>
    </row>
    <row r="663" customFormat="false" ht="13.8" hidden="false" customHeight="false" outlineLevel="0" collapsed="false">
      <c r="A663" s="124" t="n">
        <v>4547.48524670309</v>
      </c>
    </row>
    <row r="664" customFormat="false" ht="13.8" hidden="false" customHeight="false" outlineLevel="0" collapsed="false">
      <c r="A664" s="124" t="n">
        <v>3063.07661632092</v>
      </c>
    </row>
    <row r="665" customFormat="false" ht="13.8" hidden="false" customHeight="false" outlineLevel="0" collapsed="false">
      <c r="A665" s="124" t="n">
        <v>8303.70259988173</v>
      </c>
    </row>
    <row r="666" customFormat="false" ht="13.8" hidden="false" customHeight="false" outlineLevel="0" collapsed="false">
      <c r="A666" s="124" t="n">
        <v>-261.72108852265</v>
      </c>
    </row>
    <row r="667" customFormat="false" ht="13.8" hidden="false" customHeight="false" outlineLevel="0" collapsed="false">
      <c r="A667" s="124" t="n">
        <v>4231.53340942575</v>
      </c>
    </row>
    <row r="668" customFormat="false" ht="13.8" hidden="false" customHeight="false" outlineLevel="0" collapsed="false">
      <c r="A668" s="124" t="n">
        <v>1165.66421895958</v>
      </c>
    </row>
    <row r="669" customFormat="false" ht="13.8" hidden="false" customHeight="false" outlineLevel="0" collapsed="false">
      <c r="A669" s="124" t="n">
        <v>4567.46970359995</v>
      </c>
    </row>
    <row r="670" customFormat="false" ht="13.8" hidden="false" customHeight="false" outlineLevel="0" collapsed="false">
      <c r="A670" s="124" t="n">
        <v>680.834121572276</v>
      </c>
    </row>
    <row r="671" customFormat="false" ht="13.8" hidden="false" customHeight="false" outlineLevel="0" collapsed="false">
      <c r="A671" s="124" t="n">
        <v>-3126.96791915312</v>
      </c>
    </row>
    <row r="672" customFormat="false" ht="13.8" hidden="false" customHeight="false" outlineLevel="0" collapsed="false">
      <c r="A672" s="124" t="n">
        <v>-2556.28189672026</v>
      </c>
    </row>
    <row r="673" customFormat="false" ht="13.8" hidden="false" customHeight="false" outlineLevel="0" collapsed="false">
      <c r="A673" s="124" t="n">
        <v>2067.84734579694</v>
      </c>
    </row>
    <row r="674" customFormat="false" ht="13.8" hidden="false" customHeight="false" outlineLevel="0" collapsed="false">
      <c r="A674" s="124" t="n">
        <v>7659.53045706814</v>
      </c>
    </row>
    <row r="675" customFormat="false" ht="13.8" hidden="false" customHeight="false" outlineLevel="0" collapsed="false">
      <c r="A675" s="124" t="n">
        <v>8777.94917461724</v>
      </c>
    </row>
    <row r="676" customFormat="false" ht="13.8" hidden="false" customHeight="false" outlineLevel="0" collapsed="false">
      <c r="A676" s="124" t="n">
        <v>8912.71661664124</v>
      </c>
    </row>
    <row r="677" customFormat="false" ht="13.8" hidden="false" customHeight="false" outlineLevel="0" collapsed="false">
      <c r="A677" s="124" t="n">
        <v>7600.81697424116</v>
      </c>
    </row>
    <row r="678" customFormat="false" ht="13.8" hidden="false" customHeight="false" outlineLevel="0" collapsed="false">
      <c r="A678" s="124" t="n">
        <v>2467.65616107878</v>
      </c>
    </row>
    <row r="679" customFormat="false" ht="13.8" hidden="false" customHeight="false" outlineLevel="0" collapsed="false">
      <c r="A679" s="124" t="n">
        <v>-23.6165144079896</v>
      </c>
    </row>
    <row r="680" customFormat="false" ht="13.8" hidden="false" customHeight="false" outlineLevel="0" collapsed="false">
      <c r="A680" s="124" t="n">
        <v>3188.72344063078</v>
      </c>
    </row>
    <row r="681" customFormat="false" ht="13.8" hidden="false" customHeight="false" outlineLevel="0" collapsed="false">
      <c r="A681" s="124" t="n">
        <v>11171.1573916971</v>
      </c>
    </row>
    <row r="682" customFormat="false" ht="13.8" hidden="false" customHeight="false" outlineLevel="0" collapsed="false">
      <c r="A682" s="124" t="n">
        <v>3251.37756955276</v>
      </c>
    </row>
    <row r="683" customFormat="false" ht="13.8" hidden="false" customHeight="false" outlineLevel="0" collapsed="false">
      <c r="A683" s="124" t="n">
        <v>4495.0051758316</v>
      </c>
    </row>
    <row r="684" customFormat="false" ht="13.8" hidden="false" customHeight="false" outlineLevel="0" collapsed="false">
      <c r="A684" s="124" t="n">
        <v>10254.9599515131</v>
      </c>
    </row>
    <row r="685" customFormat="false" ht="13.8" hidden="false" customHeight="false" outlineLevel="0" collapsed="false">
      <c r="A685" s="124" t="n">
        <v>-2242.6989588366</v>
      </c>
    </row>
    <row r="686" customFormat="false" ht="13.8" hidden="false" customHeight="false" outlineLevel="0" collapsed="false">
      <c r="A686" s="124" t="n">
        <v>9617.94761424767</v>
      </c>
    </row>
    <row r="687" customFormat="false" ht="13.8" hidden="false" customHeight="false" outlineLevel="0" collapsed="false">
      <c r="A687" s="124" t="n">
        <v>5430.95962720716</v>
      </c>
    </row>
    <row r="688" customFormat="false" ht="13.8" hidden="false" customHeight="false" outlineLevel="0" collapsed="false">
      <c r="A688" s="124" t="n">
        <v>10114.705584445</v>
      </c>
    </row>
    <row r="689" customFormat="false" ht="13.8" hidden="false" customHeight="false" outlineLevel="0" collapsed="false">
      <c r="A689" s="124" t="n">
        <v>3733.39816754039</v>
      </c>
    </row>
    <row r="690" customFormat="false" ht="13.8" hidden="false" customHeight="false" outlineLevel="0" collapsed="false">
      <c r="A690" s="124" t="n">
        <v>1803.21371116798</v>
      </c>
    </row>
    <row r="691" customFormat="false" ht="13.8" hidden="false" customHeight="false" outlineLevel="0" collapsed="false">
      <c r="A691" s="124" t="n">
        <v>-5814.30110313995</v>
      </c>
    </row>
    <row r="692" customFormat="false" ht="13.8" hidden="false" customHeight="false" outlineLevel="0" collapsed="false">
      <c r="A692" s="124" t="n">
        <v>6270.25120173923</v>
      </c>
    </row>
    <row r="693" customFormat="false" ht="13.8" hidden="false" customHeight="false" outlineLevel="0" collapsed="false">
      <c r="A693" s="124" t="n">
        <v>1032.20948955905</v>
      </c>
    </row>
    <row r="694" customFormat="false" ht="13.8" hidden="false" customHeight="false" outlineLevel="0" collapsed="false">
      <c r="A694" s="124" t="n">
        <v>1822.93180848935</v>
      </c>
    </row>
    <row r="695" customFormat="false" ht="13.8" hidden="false" customHeight="false" outlineLevel="0" collapsed="false">
      <c r="A695" s="124" t="n">
        <v>7211.13335772274</v>
      </c>
    </row>
    <row r="696" customFormat="false" ht="13.8" hidden="false" customHeight="false" outlineLevel="0" collapsed="false">
      <c r="A696" s="124" t="n">
        <v>5255.36082926434</v>
      </c>
    </row>
    <row r="697" customFormat="false" ht="13.8" hidden="false" customHeight="false" outlineLevel="0" collapsed="false">
      <c r="A697" s="124" t="n">
        <v>1233.62430583731</v>
      </c>
    </row>
    <row r="698" customFormat="false" ht="13.8" hidden="false" customHeight="false" outlineLevel="0" collapsed="false">
      <c r="A698" s="124" t="n">
        <v>3160.49494634326</v>
      </c>
    </row>
    <row r="699" customFormat="false" ht="13.8" hidden="false" customHeight="false" outlineLevel="0" collapsed="false">
      <c r="A699" s="124" t="n">
        <v>8881.61856709699</v>
      </c>
    </row>
    <row r="700" customFormat="false" ht="13.8" hidden="false" customHeight="false" outlineLevel="0" collapsed="false">
      <c r="A700" s="124" t="n">
        <v>2198.59965766165</v>
      </c>
    </row>
    <row r="701" customFormat="false" ht="13.8" hidden="false" customHeight="false" outlineLevel="0" collapsed="false">
      <c r="A701" s="124" t="n">
        <v>6516.84041967702</v>
      </c>
    </row>
    <row r="702" customFormat="false" ht="13.8" hidden="false" customHeight="false" outlineLevel="0" collapsed="false">
      <c r="A702" s="124" t="n">
        <v>4999.01022385599</v>
      </c>
    </row>
    <row r="703" customFormat="false" ht="13.8" hidden="false" customHeight="false" outlineLevel="0" collapsed="false">
      <c r="A703" s="124" t="n">
        <v>3345.01712171738</v>
      </c>
    </row>
    <row r="704" customFormat="false" ht="13.8" hidden="false" customHeight="false" outlineLevel="0" collapsed="false">
      <c r="A704" s="124" t="n">
        <v>-471.6922348959</v>
      </c>
    </row>
    <row r="705" customFormat="false" ht="13.8" hidden="false" customHeight="false" outlineLevel="0" collapsed="false">
      <c r="A705" s="124" t="n">
        <v>1616.73315854105</v>
      </c>
    </row>
    <row r="706" customFormat="false" ht="13.8" hidden="false" customHeight="false" outlineLevel="0" collapsed="false">
      <c r="A706" s="124" t="n">
        <v>675.660594975387</v>
      </c>
    </row>
    <row r="707" customFormat="false" ht="13.8" hidden="false" customHeight="false" outlineLevel="0" collapsed="false">
      <c r="A707" s="124" t="n">
        <v>2197.54554391153</v>
      </c>
    </row>
    <row r="708" customFormat="false" ht="13.8" hidden="false" customHeight="false" outlineLevel="0" collapsed="false">
      <c r="A708" s="124" t="n">
        <v>7476.3602254682</v>
      </c>
    </row>
    <row r="709" customFormat="false" ht="13.8" hidden="false" customHeight="false" outlineLevel="0" collapsed="false">
      <c r="A709" s="124" t="n">
        <v>6566.15648208561</v>
      </c>
    </row>
    <row r="710" customFormat="false" ht="13.8" hidden="false" customHeight="false" outlineLevel="0" collapsed="false">
      <c r="A710" s="124" t="n">
        <v>6465.14761048689</v>
      </c>
    </row>
    <row r="711" customFormat="false" ht="13.8" hidden="false" customHeight="false" outlineLevel="0" collapsed="false">
      <c r="A711" s="124" t="n">
        <v>-1531.25282884125</v>
      </c>
    </row>
    <row r="712" customFormat="false" ht="13.8" hidden="false" customHeight="false" outlineLevel="0" collapsed="false">
      <c r="A712" s="124" t="n">
        <v>1726.72240282438</v>
      </c>
    </row>
    <row r="713" customFormat="false" ht="13.8" hidden="false" customHeight="false" outlineLevel="0" collapsed="false">
      <c r="A713" s="124" t="n">
        <v>7923.05758346368</v>
      </c>
    </row>
    <row r="714" customFormat="false" ht="13.8" hidden="false" customHeight="false" outlineLevel="0" collapsed="false">
      <c r="A714" s="124" t="n">
        <v>3972.55054520582</v>
      </c>
    </row>
    <row r="715" customFormat="false" ht="13.8" hidden="false" customHeight="false" outlineLevel="0" collapsed="false">
      <c r="A715" s="124" t="n">
        <v>6523.5116409094</v>
      </c>
    </row>
    <row r="716" customFormat="false" ht="13.8" hidden="false" customHeight="false" outlineLevel="0" collapsed="false">
      <c r="A716" s="124" t="n">
        <v>3128.55456299411</v>
      </c>
    </row>
    <row r="717" customFormat="false" ht="13.8" hidden="false" customHeight="false" outlineLevel="0" collapsed="false">
      <c r="A717" s="124" t="n">
        <v>-16314.9349026751</v>
      </c>
    </row>
    <row r="718" customFormat="false" ht="13.8" hidden="false" customHeight="false" outlineLevel="0" collapsed="false">
      <c r="A718" s="124" t="n">
        <v>1553.06089649558</v>
      </c>
    </row>
    <row r="719" customFormat="false" ht="13.8" hidden="false" customHeight="false" outlineLevel="0" collapsed="false">
      <c r="A719" s="124" t="n">
        <v>8169.21379766042</v>
      </c>
    </row>
    <row r="720" customFormat="false" ht="13.8" hidden="false" customHeight="false" outlineLevel="0" collapsed="false">
      <c r="A720" s="124" t="n">
        <v>-514.671562452284</v>
      </c>
    </row>
    <row r="721" customFormat="false" ht="13.8" hidden="false" customHeight="false" outlineLevel="0" collapsed="false">
      <c r="A721" s="124" t="n">
        <v>1251.90084675884</v>
      </c>
    </row>
    <row r="722" customFormat="false" ht="13.8" hidden="false" customHeight="false" outlineLevel="0" collapsed="false">
      <c r="A722" s="124" t="n">
        <v>-115.165061749929</v>
      </c>
    </row>
    <row r="723" customFormat="false" ht="13.8" hidden="false" customHeight="false" outlineLevel="0" collapsed="false">
      <c r="A723" s="124" t="n">
        <v>-75.0658040326944</v>
      </c>
    </row>
    <row r="724" customFormat="false" ht="13.8" hidden="false" customHeight="false" outlineLevel="0" collapsed="false">
      <c r="A724" s="124" t="n">
        <v>6925.2511727707</v>
      </c>
    </row>
    <row r="725" customFormat="false" ht="13.8" hidden="false" customHeight="false" outlineLevel="0" collapsed="false">
      <c r="A725" s="124" t="n">
        <v>38.1261322430619</v>
      </c>
    </row>
    <row r="726" customFormat="false" ht="13.8" hidden="false" customHeight="false" outlineLevel="0" collapsed="false">
      <c r="A726" s="124" t="n">
        <v>515.203825013134</v>
      </c>
    </row>
    <row r="727" customFormat="false" ht="13.8" hidden="false" customHeight="false" outlineLevel="0" collapsed="false">
      <c r="A727" s="124" t="n">
        <v>8756.86100523916</v>
      </c>
    </row>
    <row r="728" customFormat="false" ht="13.8" hidden="false" customHeight="false" outlineLevel="0" collapsed="false">
      <c r="A728" s="124" t="n">
        <v>638.706177024693</v>
      </c>
    </row>
    <row r="729" customFormat="false" ht="13.8" hidden="false" customHeight="false" outlineLevel="0" collapsed="false">
      <c r="A729" s="124" t="n">
        <v>11995.5565836808</v>
      </c>
    </row>
    <row r="730" customFormat="false" ht="13.8" hidden="false" customHeight="false" outlineLevel="0" collapsed="false">
      <c r="A730" s="124" t="n">
        <v>3704.88670229818</v>
      </c>
    </row>
    <row r="731" customFormat="false" ht="13.8" hidden="false" customHeight="false" outlineLevel="0" collapsed="false">
      <c r="A731" s="124" t="n">
        <v>1726.22219952158</v>
      </c>
    </row>
    <row r="732" customFormat="false" ht="13.8" hidden="false" customHeight="false" outlineLevel="0" collapsed="false">
      <c r="A732" s="124" t="n">
        <v>-123.906913145634</v>
      </c>
    </row>
    <row r="733" customFormat="false" ht="13.8" hidden="false" customHeight="false" outlineLevel="0" collapsed="false">
      <c r="A733" s="124" t="n">
        <v>4763.19588177295</v>
      </c>
    </row>
    <row r="734" customFormat="false" ht="13.8" hidden="false" customHeight="false" outlineLevel="0" collapsed="false">
      <c r="A734" s="124" t="n">
        <v>4232.76029556412</v>
      </c>
    </row>
    <row r="735" customFormat="false" ht="13.8" hidden="false" customHeight="false" outlineLevel="0" collapsed="false">
      <c r="A735" s="124" t="n">
        <v>1359.98139337447</v>
      </c>
    </row>
    <row r="736" customFormat="false" ht="13.8" hidden="false" customHeight="false" outlineLevel="0" collapsed="false">
      <c r="A736" s="124" t="n">
        <v>1306.73784835043</v>
      </c>
    </row>
    <row r="737" customFormat="false" ht="13.8" hidden="false" customHeight="false" outlineLevel="0" collapsed="false">
      <c r="A737" s="124" t="n">
        <v>897.512082299108</v>
      </c>
    </row>
    <row r="738" customFormat="false" ht="13.8" hidden="false" customHeight="false" outlineLevel="0" collapsed="false">
      <c r="A738" s="124" t="n">
        <v>10718.383546528</v>
      </c>
    </row>
    <row r="739" customFormat="false" ht="13.8" hidden="false" customHeight="false" outlineLevel="0" collapsed="false">
      <c r="A739" s="124" t="n">
        <v>-2261.90771416891</v>
      </c>
    </row>
    <row r="740" customFormat="false" ht="13.8" hidden="false" customHeight="false" outlineLevel="0" collapsed="false">
      <c r="A740" s="124" t="n">
        <v>1305.82807785058</v>
      </c>
    </row>
    <row r="741" customFormat="false" ht="13.8" hidden="false" customHeight="false" outlineLevel="0" collapsed="false">
      <c r="A741" s="124" t="n">
        <v>2275.71729158231</v>
      </c>
    </row>
    <row r="742" customFormat="false" ht="13.8" hidden="false" customHeight="false" outlineLevel="0" collapsed="false">
      <c r="A742" s="124" t="n">
        <v>171.239986568322</v>
      </c>
    </row>
    <row r="743" customFormat="false" ht="13.8" hidden="false" customHeight="false" outlineLevel="0" collapsed="false">
      <c r="A743" s="124" t="n">
        <v>3027.8969127036</v>
      </c>
    </row>
    <row r="744" customFormat="false" ht="13.8" hidden="false" customHeight="false" outlineLevel="0" collapsed="false">
      <c r="A744" s="124" t="n">
        <v>7351.74851997029</v>
      </c>
    </row>
    <row r="745" customFormat="false" ht="13.8" hidden="false" customHeight="false" outlineLevel="0" collapsed="false">
      <c r="A745" s="124" t="n">
        <v>-2042.13991547818</v>
      </c>
    </row>
    <row r="746" customFormat="false" ht="13.8" hidden="false" customHeight="false" outlineLevel="0" collapsed="false">
      <c r="A746" s="124" t="n">
        <v>5864.27731421888</v>
      </c>
    </row>
    <row r="747" customFormat="false" ht="13.8" hidden="false" customHeight="false" outlineLevel="0" collapsed="false">
      <c r="A747" s="124" t="n">
        <v>5778.12459296616</v>
      </c>
    </row>
    <row r="748" customFormat="false" ht="13.8" hidden="false" customHeight="false" outlineLevel="0" collapsed="false">
      <c r="A748" s="124" t="n">
        <v>5073.32945061416</v>
      </c>
    </row>
    <row r="749" customFormat="false" ht="13.8" hidden="false" customHeight="false" outlineLevel="0" collapsed="false">
      <c r="A749" s="124" t="n">
        <v>8344.34027224551</v>
      </c>
    </row>
    <row r="750" customFormat="false" ht="13.8" hidden="false" customHeight="false" outlineLevel="0" collapsed="false">
      <c r="A750" s="124" t="n">
        <v>3180.6747646033</v>
      </c>
    </row>
    <row r="751" customFormat="false" ht="13.8" hidden="false" customHeight="false" outlineLevel="0" collapsed="false">
      <c r="A751" s="124" t="n">
        <v>9929.37531255064</v>
      </c>
    </row>
    <row r="752" customFormat="false" ht="13.8" hidden="false" customHeight="false" outlineLevel="0" collapsed="false">
      <c r="A752" s="124" t="n">
        <v>-5600.21019270515</v>
      </c>
    </row>
    <row r="753" customFormat="false" ht="13.8" hidden="false" customHeight="false" outlineLevel="0" collapsed="false">
      <c r="A753" s="124" t="n">
        <v>1999.83899043566</v>
      </c>
    </row>
    <row r="754" customFormat="false" ht="13.8" hidden="false" customHeight="false" outlineLevel="0" collapsed="false">
      <c r="A754" s="124" t="n">
        <v>-3359.83422555271</v>
      </c>
    </row>
    <row r="755" customFormat="false" ht="13.8" hidden="false" customHeight="false" outlineLevel="0" collapsed="false">
      <c r="A755" s="124" t="n">
        <v>-9676.95269690618</v>
      </c>
    </row>
    <row r="756" customFormat="false" ht="13.8" hidden="false" customHeight="false" outlineLevel="0" collapsed="false">
      <c r="A756" s="124" t="n">
        <v>482.124659788191</v>
      </c>
    </row>
    <row r="757" customFormat="false" ht="13.8" hidden="false" customHeight="false" outlineLevel="0" collapsed="false">
      <c r="A757" s="124" t="n">
        <v>-903.937888195707</v>
      </c>
    </row>
    <row r="758" customFormat="false" ht="13.8" hidden="false" customHeight="false" outlineLevel="0" collapsed="false">
      <c r="A758" s="124" t="n">
        <v>8114.01375227977</v>
      </c>
    </row>
    <row r="759" customFormat="false" ht="13.8" hidden="false" customHeight="false" outlineLevel="0" collapsed="false">
      <c r="A759" s="124" t="n">
        <v>1611.9906676684</v>
      </c>
    </row>
    <row r="760" customFormat="false" ht="13.8" hidden="false" customHeight="false" outlineLevel="0" collapsed="false">
      <c r="A760" s="124" t="n">
        <v>3581.48834091213</v>
      </c>
    </row>
    <row r="761" customFormat="false" ht="13.8" hidden="false" customHeight="false" outlineLevel="0" collapsed="false">
      <c r="A761" s="124" t="n">
        <v>266.94612729143</v>
      </c>
    </row>
    <row r="762" customFormat="false" ht="13.8" hidden="false" customHeight="false" outlineLevel="0" collapsed="false">
      <c r="A762" s="124" t="n">
        <v>5562.54403610935</v>
      </c>
    </row>
    <row r="763" customFormat="false" ht="13.8" hidden="false" customHeight="false" outlineLevel="0" collapsed="false">
      <c r="A763" s="124" t="n">
        <v>2680.40860698779</v>
      </c>
    </row>
    <row r="764" customFormat="false" ht="13.8" hidden="false" customHeight="false" outlineLevel="0" collapsed="false">
      <c r="A764" s="124" t="n">
        <v>5652.81846778595</v>
      </c>
    </row>
    <row r="765" customFormat="false" ht="13.8" hidden="false" customHeight="false" outlineLevel="0" collapsed="false">
      <c r="A765" s="124" t="n">
        <v>2827.40106923979</v>
      </c>
    </row>
    <row r="766" customFormat="false" ht="13.8" hidden="false" customHeight="false" outlineLevel="0" collapsed="false">
      <c r="A766" s="124" t="n">
        <v>640.334003167205</v>
      </c>
    </row>
    <row r="767" customFormat="false" ht="13.8" hidden="false" customHeight="false" outlineLevel="0" collapsed="false">
      <c r="A767" s="124" t="n">
        <v>9221.43575250983</v>
      </c>
    </row>
    <row r="768" customFormat="false" ht="13.8" hidden="false" customHeight="false" outlineLevel="0" collapsed="false">
      <c r="A768" s="124" t="n">
        <v>5970.71660724528</v>
      </c>
    </row>
    <row r="769" customFormat="false" ht="13.8" hidden="false" customHeight="false" outlineLevel="0" collapsed="false">
      <c r="A769" s="124" t="n">
        <v>-786.996502680573</v>
      </c>
    </row>
    <row r="770" customFormat="false" ht="13.8" hidden="false" customHeight="false" outlineLevel="0" collapsed="false">
      <c r="A770" s="124" t="n">
        <v>4142.78314418785</v>
      </c>
    </row>
    <row r="771" customFormat="false" ht="13.8" hidden="false" customHeight="false" outlineLevel="0" collapsed="false">
      <c r="A771" s="124" t="n">
        <v>668.100870255992</v>
      </c>
    </row>
    <row r="772" customFormat="false" ht="13.8" hidden="false" customHeight="false" outlineLevel="0" collapsed="false">
      <c r="A772" s="124" t="n">
        <v>6402.46682201887</v>
      </c>
    </row>
    <row r="773" customFormat="false" ht="13.8" hidden="false" customHeight="false" outlineLevel="0" collapsed="false">
      <c r="A773" s="124" t="n">
        <v>5536.52391254678</v>
      </c>
    </row>
    <row r="774" customFormat="false" ht="13.8" hidden="false" customHeight="false" outlineLevel="0" collapsed="false">
      <c r="A774" s="124" t="n">
        <v>1909.21986879994</v>
      </c>
    </row>
    <row r="775" customFormat="false" ht="13.8" hidden="false" customHeight="false" outlineLevel="0" collapsed="false">
      <c r="A775" s="124" t="n">
        <v>6713.39209314963</v>
      </c>
    </row>
    <row r="776" customFormat="false" ht="13.8" hidden="false" customHeight="false" outlineLevel="0" collapsed="false">
      <c r="A776" s="124" t="n">
        <v>-1880.51558598232</v>
      </c>
    </row>
    <row r="777" customFormat="false" ht="13.8" hidden="false" customHeight="false" outlineLevel="0" collapsed="false">
      <c r="A777" s="124" t="n">
        <v>8996.18691424936</v>
      </c>
    </row>
    <row r="778" customFormat="false" ht="13.8" hidden="false" customHeight="false" outlineLevel="0" collapsed="false">
      <c r="A778" s="124" t="n">
        <v>2386.55185060553</v>
      </c>
    </row>
    <row r="779" customFormat="false" ht="13.8" hidden="false" customHeight="false" outlineLevel="0" collapsed="false">
      <c r="A779" s="124" t="n">
        <v>3290.49429777365</v>
      </c>
    </row>
    <row r="780" customFormat="false" ht="13.8" hidden="false" customHeight="false" outlineLevel="0" collapsed="false">
      <c r="A780" s="124" t="n">
        <v>1829.4468704217</v>
      </c>
    </row>
    <row r="781" customFormat="false" ht="13.8" hidden="false" customHeight="false" outlineLevel="0" collapsed="false">
      <c r="A781" s="124" t="n">
        <v>1787.75064668862</v>
      </c>
    </row>
    <row r="782" customFormat="false" ht="13.8" hidden="false" customHeight="false" outlineLevel="0" collapsed="false">
      <c r="A782" s="124" t="n">
        <v>-1861.39758867387</v>
      </c>
    </row>
    <row r="783" customFormat="false" ht="13.8" hidden="false" customHeight="false" outlineLevel="0" collapsed="false">
      <c r="A783" s="124" t="n">
        <v>3034.64067517128</v>
      </c>
    </row>
    <row r="784" customFormat="false" ht="13.8" hidden="false" customHeight="false" outlineLevel="0" collapsed="false">
      <c r="A784" s="124" t="n">
        <v>10372.7803240312</v>
      </c>
    </row>
    <row r="785" customFormat="false" ht="13.8" hidden="false" customHeight="false" outlineLevel="0" collapsed="false">
      <c r="A785" s="124" t="n">
        <v>3469.03130011211</v>
      </c>
    </row>
    <row r="786" customFormat="false" ht="13.8" hidden="false" customHeight="false" outlineLevel="0" collapsed="false">
      <c r="A786" s="124" t="n">
        <v>2038.82693285933</v>
      </c>
    </row>
    <row r="787" customFormat="false" ht="13.8" hidden="false" customHeight="false" outlineLevel="0" collapsed="false">
      <c r="A787" s="124" t="n">
        <v>10064.7818941429</v>
      </c>
    </row>
    <row r="788" customFormat="false" ht="13.8" hidden="false" customHeight="false" outlineLevel="0" collapsed="false">
      <c r="A788" s="124" t="n">
        <v>-1352.91123565917</v>
      </c>
    </row>
    <row r="789" customFormat="false" ht="13.8" hidden="false" customHeight="false" outlineLevel="0" collapsed="false">
      <c r="A789" s="124" t="n">
        <v>292.058100255199</v>
      </c>
    </row>
    <row r="790" customFormat="false" ht="13.8" hidden="false" customHeight="false" outlineLevel="0" collapsed="false">
      <c r="A790" s="124" t="n">
        <v>-2511.81912347577</v>
      </c>
    </row>
    <row r="791" customFormat="false" ht="13.8" hidden="false" customHeight="false" outlineLevel="0" collapsed="false">
      <c r="A791" s="124" t="n">
        <v>3116.24059890155</v>
      </c>
    </row>
    <row r="792" customFormat="false" ht="13.8" hidden="false" customHeight="false" outlineLevel="0" collapsed="false">
      <c r="A792" s="124" t="n">
        <v>723.534194285992</v>
      </c>
    </row>
    <row r="793" customFormat="false" ht="13.8" hidden="false" customHeight="false" outlineLevel="0" collapsed="false">
      <c r="A793" s="124" t="n">
        <v>7562.52220872955</v>
      </c>
    </row>
    <row r="794" customFormat="false" ht="13.8" hidden="false" customHeight="false" outlineLevel="0" collapsed="false">
      <c r="A794" s="124" t="n">
        <v>1973.52295264867</v>
      </c>
    </row>
    <row r="795" customFormat="false" ht="13.8" hidden="false" customHeight="false" outlineLevel="0" collapsed="false">
      <c r="A795" s="124" t="n">
        <v>6241.36558826757</v>
      </c>
    </row>
    <row r="796" customFormat="false" ht="13.8" hidden="false" customHeight="false" outlineLevel="0" collapsed="false">
      <c r="A796" s="124" t="n">
        <v>2289.99869273043</v>
      </c>
    </row>
    <row r="797" customFormat="false" ht="13.8" hidden="false" customHeight="false" outlineLevel="0" collapsed="false">
      <c r="A797" s="124" t="n">
        <v>3138.8954829867</v>
      </c>
    </row>
    <row r="798" customFormat="false" ht="13.8" hidden="false" customHeight="false" outlineLevel="0" collapsed="false">
      <c r="A798" s="124" t="n">
        <v>2588.07819799263</v>
      </c>
    </row>
    <row r="799" customFormat="false" ht="13.8" hidden="false" customHeight="false" outlineLevel="0" collapsed="false">
      <c r="A799" s="124" t="n">
        <v>4657.98609596668</v>
      </c>
    </row>
    <row r="800" customFormat="false" ht="13.8" hidden="false" customHeight="false" outlineLevel="0" collapsed="false">
      <c r="A800" s="124" t="n">
        <v>8098.79908582744</v>
      </c>
    </row>
    <row r="801" customFormat="false" ht="13.8" hidden="false" customHeight="false" outlineLevel="0" collapsed="false">
      <c r="A801" s="124" t="n">
        <v>2263.71589666292</v>
      </c>
    </row>
    <row r="802" customFormat="false" ht="13.8" hidden="false" customHeight="false" outlineLevel="0" collapsed="false">
      <c r="A802" s="124" t="n">
        <v>4196.41448162754</v>
      </c>
    </row>
    <row r="803" customFormat="false" ht="13.8" hidden="false" customHeight="false" outlineLevel="0" collapsed="false">
      <c r="A803" s="124" t="n">
        <v>-1341.86578539084</v>
      </c>
    </row>
    <row r="804" customFormat="false" ht="13.8" hidden="false" customHeight="false" outlineLevel="0" collapsed="false">
      <c r="A804" s="124" t="n">
        <v>6883.18370006032</v>
      </c>
    </row>
    <row r="805" customFormat="false" ht="13.8" hidden="false" customHeight="false" outlineLevel="0" collapsed="false">
      <c r="A805" s="124" t="n">
        <v>11560.1578747276</v>
      </c>
    </row>
    <row r="806" customFormat="false" ht="13.8" hidden="false" customHeight="false" outlineLevel="0" collapsed="false">
      <c r="A806" s="124" t="n">
        <v>5140.26238825222</v>
      </c>
    </row>
    <row r="807" customFormat="false" ht="13.8" hidden="false" customHeight="false" outlineLevel="0" collapsed="false">
      <c r="A807" s="124" t="n">
        <v>7759.03774242093</v>
      </c>
    </row>
    <row r="808" customFormat="false" ht="13.8" hidden="false" customHeight="false" outlineLevel="0" collapsed="false">
      <c r="A808" s="124" t="n">
        <v>3998.96864721002</v>
      </c>
    </row>
    <row r="809" customFormat="false" ht="13.8" hidden="false" customHeight="false" outlineLevel="0" collapsed="false">
      <c r="A809" s="124" t="n">
        <v>1184.02629617024</v>
      </c>
    </row>
    <row r="810" customFormat="false" ht="13.8" hidden="false" customHeight="false" outlineLevel="0" collapsed="false">
      <c r="A810" s="124" t="n">
        <v>9788.58906900928</v>
      </c>
    </row>
    <row r="811" customFormat="false" ht="13.8" hidden="false" customHeight="false" outlineLevel="0" collapsed="false">
      <c r="A811" s="124" t="n">
        <v>4897.39235211864</v>
      </c>
    </row>
    <row r="812" customFormat="false" ht="13.8" hidden="false" customHeight="false" outlineLevel="0" collapsed="false">
      <c r="A812" s="124" t="n">
        <v>5675.14469323883</v>
      </c>
    </row>
    <row r="813" customFormat="false" ht="13.8" hidden="false" customHeight="false" outlineLevel="0" collapsed="false">
      <c r="A813" s="124" t="n">
        <v>2025.91490531205</v>
      </c>
    </row>
    <row r="814" customFormat="false" ht="13.8" hidden="false" customHeight="false" outlineLevel="0" collapsed="false">
      <c r="A814" s="124" t="n">
        <v>2558.30785317862</v>
      </c>
    </row>
    <row r="815" customFormat="false" ht="13.8" hidden="false" customHeight="false" outlineLevel="0" collapsed="false">
      <c r="A815" s="124" t="n">
        <v>-17120.7784640695</v>
      </c>
    </row>
    <row r="816" customFormat="false" ht="13.8" hidden="false" customHeight="false" outlineLevel="0" collapsed="false">
      <c r="A816" s="124" t="n">
        <v>7634.52699454451</v>
      </c>
    </row>
    <row r="817" customFormat="false" ht="13.8" hidden="false" customHeight="false" outlineLevel="0" collapsed="false">
      <c r="A817" s="124" t="n">
        <v>2931.22339543593</v>
      </c>
    </row>
    <row r="818" customFormat="false" ht="13.8" hidden="false" customHeight="false" outlineLevel="0" collapsed="false">
      <c r="A818" s="124" t="n">
        <v>1226.63726607997</v>
      </c>
    </row>
    <row r="819" customFormat="false" ht="13.8" hidden="false" customHeight="false" outlineLevel="0" collapsed="false">
      <c r="A819" s="124" t="n">
        <v>-4094.10114639617</v>
      </c>
    </row>
    <row r="820" customFormat="false" ht="13.8" hidden="false" customHeight="false" outlineLevel="0" collapsed="false">
      <c r="A820" s="124" t="n">
        <v>-637.961956004441</v>
      </c>
    </row>
    <row r="821" customFormat="false" ht="13.8" hidden="false" customHeight="false" outlineLevel="0" collapsed="false">
      <c r="A821" s="124" t="n">
        <v>1435.34938906987</v>
      </c>
    </row>
    <row r="822" customFormat="false" ht="13.8" hidden="false" customHeight="false" outlineLevel="0" collapsed="false">
      <c r="A822" s="124" t="n">
        <v>6249.48532166915</v>
      </c>
    </row>
    <row r="823" customFormat="false" ht="13.8" hidden="false" customHeight="false" outlineLevel="0" collapsed="false">
      <c r="A823" s="124" t="n">
        <v>253.856541105002</v>
      </c>
    </row>
    <row r="824" customFormat="false" ht="13.8" hidden="false" customHeight="false" outlineLevel="0" collapsed="false">
      <c r="A824" s="124" t="n">
        <v>-10423.559445466</v>
      </c>
    </row>
    <row r="825" customFormat="false" ht="13.8" hidden="false" customHeight="false" outlineLevel="0" collapsed="false">
      <c r="A825" s="124" t="n">
        <v>2352.37914365391</v>
      </c>
    </row>
    <row r="826" customFormat="false" ht="13.8" hidden="false" customHeight="false" outlineLevel="0" collapsed="false">
      <c r="A826" s="124" t="n">
        <v>1065.86085706593</v>
      </c>
    </row>
    <row r="827" customFormat="false" ht="13.8" hidden="false" customHeight="false" outlineLevel="0" collapsed="false">
      <c r="A827" s="124" t="n">
        <v>7374.14354866468</v>
      </c>
    </row>
    <row r="828" customFormat="false" ht="13.8" hidden="false" customHeight="false" outlineLevel="0" collapsed="false">
      <c r="A828" s="124" t="n">
        <v>-8654.18091226125</v>
      </c>
    </row>
    <row r="829" customFormat="false" ht="13.8" hidden="false" customHeight="false" outlineLevel="0" collapsed="false">
      <c r="A829" s="124" t="n">
        <v>-971.845295825993</v>
      </c>
    </row>
    <row r="830" customFormat="false" ht="13.8" hidden="false" customHeight="false" outlineLevel="0" collapsed="false">
      <c r="A830" s="124" t="n">
        <v>1998.84790578377</v>
      </c>
    </row>
    <row r="831" customFormat="false" ht="13.8" hidden="false" customHeight="false" outlineLevel="0" collapsed="false">
      <c r="A831" s="124" t="n">
        <v>595.471038144631</v>
      </c>
    </row>
    <row r="832" customFormat="false" ht="13.8" hidden="false" customHeight="false" outlineLevel="0" collapsed="false">
      <c r="A832" s="124" t="n">
        <v>1307.84225935005</v>
      </c>
    </row>
    <row r="833" customFormat="false" ht="13.8" hidden="false" customHeight="false" outlineLevel="0" collapsed="false">
      <c r="A833" s="124" t="n">
        <v>2638.23505591795</v>
      </c>
    </row>
    <row r="834" customFormat="false" ht="13.8" hidden="false" customHeight="false" outlineLevel="0" collapsed="false">
      <c r="A834" s="124" t="n">
        <v>3892.90376787636</v>
      </c>
    </row>
    <row r="835" customFormat="false" ht="13.8" hidden="false" customHeight="false" outlineLevel="0" collapsed="false">
      <c r="A835" s="124" t="n">
        <v>4823.1853009624</v>
      </c>
    </row>
    <row r="836" customFormat="false" ht="13.8" hidden="false" customHeight="false" outlineLevel="0" collapsed="false">
      <c r="A836" s="124" t="n">
        <v>3269.4764571919</v>
      </c>
    </row>
    <row r="837" customFormat="false" ht="13.8" hidden="false" customHeight="false" outlineLevel="0" collapsed="false">
      <c r="A837" s="124" t="n">
        <v>-2069.61172337777</v>
      </c>
    </row>
    <row r="838" customFormat="false" ht="13.8" hidden="false" customHeight="false" outlineLevel="0" collapsed="false">
      <c r="A838" s="124" t="n">
        <v>1197.93529009628</v>
      </c>
    </row>
    <row r="839" customFormat="false" ht="13.8" hidden="false" customHeight="false" outlineLevel="0" collapsed="false">
      <c r="A839" s="124" t="n">
        <v>-2600.34440032023</v>
      </c>
    </row>
    <row r="840" customFormat="false" ht="13.8" hidden="false" customHeight="false" outlineLevel="0" collapsed="false">
      <c r="A840" s="124" t="n">
        <v>-1569.35597411945</v>
      </c>
    </row>
    <row r="841" customFormat="false" ht="13.8" hidden="false" customHeight="false" outlineLevel="0" collapsed="false">
      <c r="A841" s="124" t="n">
        <v>-3255.85343994764</v>
      </c>
    </row>
    <row r="842" customFormat="false" ht="13.8" hidden="false" customHeight="false" outlineLevel="0" collapsed="false">
      <c r="A842" s="124" t="n">
        <v>1645.98674142394</v>
      </c>
    </row>
    <row r="843" customFormat="false" ht="13.8" hidden="false" customHeight="false" outlineLevel="0" collapsed="false">
      <c r="A843" s="124" t="n">
        <v>4647.62822977971</v>
      </c>
    </row>
    <row r="844" customFormat="false" ht="13.8" hidden="false" customHeight="false" outlineLevel="0" collapsed="false">
      <c r="A844" s="124" t="n">
        <v>4163.28752063592</v>
      </c>
    </row>
    <row r="845" customFormat="false" ht="13.8" hidden="false" customHeight="false" outlineLevel="0" collapsed="false">
      <c r="A845" s="124" t="n">
        <v>1094.34471052511</v>
      </c>
    </row>
    <row r="846" customFormat="false" ht="13.8" hidden="false" customHeight="false" outlineLevel="0" collapsed="false">
      <c r="A846" s="124" t="n">
        <v>10142.8933792803</v>
      </c>
    </row>
    <row r="847" customFormat="false" ht="13.8" hidden="false" customHeight="false" outlineLevel="0" collapsed="false">
      <c r="A847" s="124" t="n">
        <v>-4551.88707594583</v>
      </c>
    </row>
    <row r="848" customFormat="false" ht="13.8" hidden="false" customHeight="false" outlineLevel="0" collapsed="false">
      <c r="A848" s="124" t="n">
        <v>3733.55152809657</v>
      </c>
    </row>
    <row r="849" customFormat="false" ht="13.8" hidden="false" customHeight="false" outlineLevel="0" collapsed="false">
      <c r="A849" s="124" t="n">
        <v>335.388675119046</v>
      </c>
    </row>
    <row r="850" customFormat="false" ht="13.8" hidden="false" customHeight="false" outlineLevel="0" collapsed="false">
      <c r="A850" s="124" t="n">
        <v>-259.930818637209</v>
      </c>
    </row>
    <row r="851" customFormat="false" ht="13.8" hidden="false" customHeight="false" outlineLevel="0" collapsed="false">
      <c r="A851" s="124" t="n">
        <v>10113.5983899649</v>
      </c>
    </row>
    <row r="852" customFormat="false" ht="13.8" hidden="false" customHeight="false" outlineLevel="0" collapsed="false">
      <c r="A852" s="124" t="n">
        <v>6246.72201916046</v>
      </c>
    </row>
    <row r="853" customFormat="false" ht="13.8" hidden="false" customHeight="false" outlineLevel="0" collapsed="false">
      <c r="A853" s="124" t="n">
        <v>8893.57001018769</v>
      </c>
    </row>
    <row r="854" customFormat="false" ht="13.8" hidden="false" customHeight="false" outlineLevel="0" collapsed="false">
      <c r="A854" s="124" t="n">
        <v>8078.85536249897</v>
      </c>
    </row>
    <row r="855" customFormat="false" ht="13.8" hidden="false" customHeight="false" outlineLevel="0" collapsed="false">
      <c r="A855" s="124" t="n">
        <v>9128.85777794031</v>
      </c>
    </row>
    <row r="856" customFormat="false" ht="13.8" hidden="false" customHeight="false" outlineLevel="0" collapsed="false">
      <c r="A856" s="124" t="n">
        <v>2018.36312102106</v>
      </c>
    </row>
    <row r="857" customFormat="false" ht="13.8" hidden="false" customHeight="false" outlineLevel="0" collapsed="false">
      <c r="A857" s="124" t="n">
        <v>7120.77546777175</v>
      </c>
    </row>
    <row r="858" customFormat="false" ht="13.8" hidden="false" customHeight="false" outlineLevel="0" collapsed="false">
      <c r="A858" s="124" t="n">
        <v>1367.58660399247</v>
      </c>
    </row>
    <row r="859" customFormat="false" ht="13.8" hidden="false" customHeight="false" outlineLevel="0" collapsed="false">
      <c r="A859" s="124" t="n">
        <v>4366.67311919066</v>
      </c>
    </row>
    <row r="860" customFormat="false" ht="13.8" hidden="false" customHeight="false" outlineLevel="0" collapsed="false">
      <c r="A860" s="124" t="n">
        <v>9546.53381157003</v>
      </c>
    </row>
    <row r="861" customFormat="false" ht="13.8" hidden="false" customHeight="false" outlineLevel="0" collapsed="false">
      <c r="A861" s="124" t="n">
        <v>8206.48387575259</v>
      </c>
    </row>
    <row r="862" customFormat="false" ht="13.8" hidden="false" customHeight="false" outlineLevel="0" collapsed="false">
      <c r="A862" s="124" t="n">
        <v>7646.95942703861</v>
      </c>
    </row>
    <row r="863" customFormat="false" ht="13.8" hidden="false" customHeight="false" outlineLevel="0" collapsed="false">
      <c r="A863" s="124" t="n">
        <v>7509.61959605537</v>
      </c>
    </row>
    <row r="864" customFormat="false" ht="13.8" hidden="false" customHeight="false" outlineLevel="0" collapsed="false">
      <c r="A864" s="124" t="n">
        <v>1546.26393073434</v>
      </c>
    </row>
    <row r="865" customFormat="false" ht="13.8" hidden="false" customHeight="false" outlineLevel="0" collapsed="false">
      <c r="A865" s="124" t="n">
        <v>5614.68543334794</v>
      </c>
    </row>
    <row r="866" customFormat="false" ht="13.8" hidden="false" customHeight="false" outlineLevel="0" collapsed="false">
      <c r="A866" s="124" t="n">
        <v>6191.85588860878</v>
      </c>
    </row>
    <row r="867" customFormat="false" ht="13.8" hidden="false" customHeight="false" outlineLevel="0" collapsed="false">
      <c r="A867" s="124" t="n">
        <v>8276.57879626999</v>
      </c>
    </row>
    <row r="868" customFormat="false" ht="13.8" hidden="false" customHeight="false" outlineLevel="0" collapsed="false">
      <c r="A868" s="124" t="n">
        <v>5222.11462211886</v>
      </c>
    </row>
    <row r="869" customFormat="false" ht="13.8" hidden="false" customHeight="false" outlineLevel="0" collapsed="false">
      <c r="A869" s="124" t="n">
        <v>719.763668295214</v>
      </c>
    </row>
    <row r="870" customFormat="false" ht="13.8" hidden="false" customHeight="false" outlineLevel="0" collapsed="false">
      <c r="A870" s="124" t="n">
        <v>5130.20025472261</v>
      </c>
    </row>
    <row r="871" customFormat="false" ht="13.8" hidden="false" customHeight="false" outlineLevel="0" collapsed="false">
      <c r="A871" s="124" t="n">
        <v>8130.39595593516</v>
      </c>
    </row>
    <row r="872" customFormat="false" ht="13.8" hidden="false" customHeight="false" outlineLevel="0" collapsed="false">
      <c r="A872" s="124" t="n">
        <v>6696.53661097318</v>
      </c>
    </row>
    <row r="873" customFormat="false" ht="13.8" hidden="false" customHeight="false" outlineLevel="0" collapsed="false">
      <c r="A873" s="124" t="n">
        <v>4701.90062450241</v>
      </c>
    </row>
    <row r="874" customFormat="false" ht="13.8" hidden="false" customHeight="false" outlineLevel="0" collapsed="false">
      <c r="A874" s="124" t="n">
        <v>8504.38497039777</v>
      </c>
    </row>
    <row r="875" customFormat="false" ht="13.8" hidden="false" customHeight="false" outlineLevel="0" collapsed="false">
      <c r="A875" s="124" t="n">
        <v>1122.12939680729</v>
      </c>
    </row>
    <row r="876" customFormat="false" ht="13.8" hidden="false" customHeight="false" outlineLevel="0" collapsed="false">
      <c r="A876" s="124" t="n">
        <v>6262.16202720685</v>
      </c>
    </row>
    <row r="877" customFormat="false" ht="13.8" hidden="false" customHeight="false" outlineLevel="0" collapsed="false">
      <c r="A877" s="124" t="n">
        <v>660.821458330862</v>
      </c>
    </row>
    <row r="878" customFormat="false" ht="13.8" hidden="false" customHeight="false" outlineLevel="0" collapsed="false">
      <c r="A878" s="124" t="n">
        <v>1969.68613189948</v>
      </c>
    </row>
    <row r="879" customFormat="false" ht="13.8" hidden="false" customHeight="false" outlineLevel="0" collapsed="false">
      <c r="A879" s="124" t="n">
        <v>6167.33910326937</v>
      </c>
    </row>
    <row r="880" customFormat="false" ht="13.8" hidden="false" customHeight="false" outlineLevel="0" collapsed="false">
      <c r="A880" s="124" t="n">
        <v>1528.27205727034</v>
      </c>
    </row>
    <row r="881" customFormat="false" ht="13.8" hidden="false" customHeight="false" outlineLevel="0" collapsed="false">
      <c r="A881" s="124" t="n">
        <v>2349.95227002249</v>
      </c>
    </row>
    <row r="882" customFormat="false" ht="13.8" hidden="false" customHeight="false" outlineLevel="0" collapsed="false">
      <c r="A882" s="124" t="n">
        <v>6276.7276137742</v>
      </c>
    </row>
    <row r="883" customFormat="false" ht="13.8" hidden="false" customHeight="false" outlineLevel="0" collapsed="false">
      <c r="A883" s="124" t="n">
        <v>5072.89828087768</v>
      </c>
    </row>
    <row r="884" customFormat="false" ht="13.8" hidden="false" customHeight="false" outlineLevel="0" collapsed="false">
      <c r="A884" s="124" t="n">
        <v>5453.15741836407</v>
      </c>
    </row>
    <row r="885" customFormat="false" ht="13.8" hidden="false" customHeight="false" outlineLevel="0" collapsed="false">
      <c r="A885" s="124" t="n">
        <v>1713.01907189873</v>
      </c>
    </row>
    <row r="886" customFormat="false" ht="13.8" hidden="false" customHeight="false" outlineLevel="0" collapsed="false">
      <c r="A886" s="124" t="n">
        <v>4764.6632226493</v>
      </c>
    </row>
    <row r="887" customFormat="false" ht="13.8" hidden="false" customHeight="false" outlineLevel="0" collapsed="false">
      <c r="A887" s="124" t="n">
        <v>6872.95880133858</v>
      </c>
    </row>
    <row r="888" customFormat="false" ht="13.8" hidden="false" customHeight="false" outlineLevel="0" collapsed="false">
      <c r="A888" s="124" t="n">
        <v>-26.7484257479791</v>
      </c>
    </row>
    <row r="889" customFormat="false" ht="13.8" hidden="false" customHeight="false" outlineLevel="0" collapsed="false">
      <c r="A889" s="124" t="n">
        <v>3941.46752528663</v>
      </c>
    </row>
    <row r="890" customFormat="false" ht="13.8" hidden="false" customHeight="false" outlineLevel="0" collapsed="false">
      <c r="A890" s="124" t="n">
        <v>-256.401223620254</v>
      </c>
    </row>
    <row r="891" customFormat="false" ht="13.8" hidden="false" customHeight="false" outlineLevel="0" collapsed="false">
      <c r="A891" s="124" t="n">
        <v>-5174.98490999928</v>
      </c>
    </row>
    <row r="892" customFormat="false" ht="13.8" hidden="false" customHeight="false" outlineLevel="0" collapsed="false">
      <c r="A892" s="124" t="n">
        <v>7439.35122790519</v>
      </c>
    </row>
    <row r="893" customFormat="false" ht="13.8" hidden="false" customHeight="false" outlineLevel="0" collapsed="false">
      <c r="A893" s="124" t="n">
        <v>1085.87036659982</v>
      </c>
    </row>
    <row r="894" customFormat="false" ht="13.8" hidden="false" customHeight="false" outlineLevel="0" collapsed="false">
      <c r="A894" s="124" t="n">
        <v>1844.40723363213</v>
      </c>
    </row>
    <row r="895" customFormat="false" ht="13.8" hidden="false" customHeight="false" outlineLevel="0" collapsed="false">
      <c r="A895" s="124" t="n">
        <v>3266.74568764217</v>
      </c>
    </row>
    <row r="896" customFormat="false" ht="13.8" hidden="false" customHeight="false" outlineLevel="0" collapsed="false">
      <c r="A896" s="124" t="n">
        <v>7615.59147118998</v>
      </c>
    </row>
    <row r="897" customFormat="false" ht="13.8" hidden="false" customHeight="false" outlineLevel="0" collapsed="false">
      <c r="A897" s="124" t="n">
        <v>2797.55068678383</v>
      </c>
    </row>
    <row r="898" customFormat="false" ht="13.8" hidden="false" customHeight="false" outlineLevel="0" collapsed="false">
      <c r="A898" s="124" t="n">
        <v>9304.61903956351</v>
      </c>
    </row>
    <row r="899" customFormat="false" ht="13.8" hidden="false" customHeight="false" outlineLevel="0" collapsed="false">
      <c r="A899" s="124" t="n">
        <v>-2392.21990164075</v>
      </c>
    </row>
    <row r="900" customFormat="false" ht="13.8" hidden="false" customHeight="false" outlineLevel="0" collapsed="false">
      <c r="A900" s="124" t="n">
        <v>-7106.78933926219</v>
      </c>
    </row>
    <row r="901" customFormat="false" ht="13.8" hidden="false" customHeight="false" outlineLevel="0" collapsed="false">
      <c r="A901" s="124" t="n">
        <v>-2909.31313328277</v>
      </c>
    </row>
    <row r="902" customFormat="false" ht="13.8" hidden="false" customHeight="false" outlineLevel="0" collapsed="false">
      <c r="A902" s="124" t="n">
        <v>5255.18577963577</v>
      </c>
    </row>
    <row r="903" customFormat="false" ht="13.8" hidden="false" customHeight="false" outlineLevel="0" collapsed="false">
      <c r="A903" s="124" t="n">
        <v>-1268.53252453759</v>
      </c>
    </row>
    <row r="904" customFormat="false" ht="13.8" hidden="false" customHeight="false" outlineLevel="0" collapsed="false">
      <c r="A904" s="124" t="n">
        <v>5439.62912520776</v>
      </c>
    </row>
    <row r="905" customFormat="false" ht="13.8" hidden="false" customHeight="false" outlineLevel="0" collapsed="false">
      <c r="A905" s="124" t="n">
        <v>4179.3656334663</v>
      </c>
    </row>
    <row r="906" customFormat="false" ht="13.8" hidden="false" customHeight="false" outlineLevel="0" collapsed="false">
      <c r="A906" s="124" t="n">
        <v>-7635.05694752064</v>
      </c>
    </row>
    <row r="907" customFormat="false" ht="13.8" hidden="false" customHeight="false" outlineLevel="0" collapsed="false">
      <c r="A907" s="124" t="n">
        <v>5315.42213879137</v>
      </c>
    </row>
    <row r="908" customFormat="false" ht="13.8" hidden="false" customHeight="false" outlineLevel="0" collapsed="false">
      <c r="A908" s="124" t="n">
        <v>8432.39705117934</v>
      </c>
    </row>
    <row r="909" customFormat="false" ht="13.8" hidden="false" customHeight="false" outlineLevel="0" collapsed="false">
      <c r="A909" s="124" t="n">
        <v>2686.03052139674</v>
      </c>
    </row>
    <row r="910" customFormat="false" ht="13.8" hidden="false" customHeight="false" outlineLevel="0" collapsed="false">
      <c r="A910" s="124" t="n">
        <v>-830.945577420658</v>
      </c>
    </row>
    <row r="911" customFormat="false" ht="13.8" hidden="false" customHeight="false" outlineLevel="0" collapsed="false">
      <c r="A911" s="124" t="n">
        <v>5618.03946902854</v>
      </c>
    </row>
    <row r="912" customFormat="false" ht="13.8" hidden="false" customHeight="false" outlineLevel="0" collapsed="false">
      <c r="A912" s="124" t="n">
        <v>2968.85039369384</v>
      </c>
    </row>
    <row r="913" customFormat="false" ht="13.8" hidden="false" customHeight="false" outlineLevel="0" collapsed="false">
      <c r="A913" s="124" t="n">
        <v>4044.76039258404</v>
      </c>
    </row>
    <row r="914" customFormat="false" ht="13.8" hidden="false" customHeight="false" outlineLevel="0" collapsed="false">
      <c r="A914" s="124" t="n">
        <v>7121.10942212344</v>
      </c>
    </row>
    <row r="915" customFormat="false" ht="13.8" hidden="false" customHeight="false" outlineLevel="0" collapsed="false">
      <c r="A915" s="124" t="n">
        <v>8194.31709782559</v>
      </c>
    </row>
    <row r="916" customFormat="false" ht="13.8" hidden="false" customHeight="false" outlineLevel="0" collapsed="false">
      <c r="A916" s="124" t="n">
        <v>2564.16656993962</v>
      </c>
    </row>
    <row r="917" customFormat="false" ht="13.8" hidden="false" customHeight="false" outlineLevel="0" collapsed="false">
      <c r="A917" s="124" t="n">
        <v>2335.07100885423</v>
      </c>
    </row>
    <row r="918" customFormat="false" ht="13.8" hidden="false" customHeight="false" outlineLevel="0" collapsed="false">
      <c r="A918" s="124" t="n">
        <v>7326.90136781483</v>
      </c>
    </row>
    <row r="919" customFormat="false" ht="13.8" hidden="false" customHeight="false" outlineLevel="0" collapsed="false">
      <c r="A919" s="124" t="n">
        <v>5227.54226855986</v>
      </c>
    </row>
    <row r="920" customFormat="false" ht="13.8" hidden="false" customHeight="false" outlineLevel="0" collapsed="false">
      <c r="A920" s="124" t="n">
        <v>7754.59798709077</v>
      </c>
    </row>
    <row r="921" customFormat="false" ht="13.8" hidden="false" customHeight="false" outlineLevel="0" collapsed="false">
      <c r="A921" s="124" t="n">
        <v>1945.16420965359</v>
      </c>
    </row>
    <row r="922" customFormat="false" ht="13.8" hidden="false" customHeight="false" outlineLevel="0" collapsed="false">
      <c r="A922" s="124" t="n">
        <v>939.774160508921</v>
      </c>
    </row>
    <row r="923" customFormat="false" ht="13.8" hidden="false" customHeight="false" outlineLevel="0" collapsed="false">
      <c r="A923" s="124" t="n">
        <v>2814.22996787686</v>
      </c>
    </row>
    <row r="924" customFormat="false" ht="13.8" hidden="false" customHeight="false" outlineLevel="0" collapsed="false">
      <c r="A924" s="124" t="n">
        <v>4758.78457904994</v>
      </c>
    </row>
    <row r="925" customFormat="false" ht="13.8" hidden="false" customHeight="false" outlineLevel="0" collapsed="false">
      <c r="A925" s="124" t="n">
        <v>6363.53595118337</v>
      </c>
    </row>
    <row r="926" customFormat="false" ht="13.8" hidden="false" customHeight="false" outlineLevel="0" collapsed="false">
      <c r="A926" s="124" t="n">
        <v>5709.14224043459</v>
      </c>
    </row>
    <row r="927" customFormat="false" ht="13.8" hidden="false" customHeight="false" outlineLevel="0" collapsed="false">
      <c r="A927" s="124" t="n">
        <v>8775.0955581475</v>
      </c>
    </row>
    <row r="928" customFormat="false" ht="13.8" hidden="false" customHeight="false" outlineLevel="0" collapsed="false">
      <c r="A928" s="124" t="n">
        <v>972.393059167971</v>
      </c>
    </row>
    <row r="929" customFormat="false" ht="13.8" hidden="false" customHeight="false" outlineLevel="0" collapsed="false">
      <c r="A929" s="124" t="n">
        <v>2308.26396399894</v>
      </c>
    </row>
    <row r="930" customFormat="false" ht="13.8" hidden="false" customHeight="false" outlineLevel="0" collapsed="false">
      <c r="A930" s="124" t="n">
        <v>7971.04829724021</v>
      </c>
    </row>
    <row r="931" customFormat="false" ht="13.8" hidden="false" customHeight="false" outlineLevel="0" collapsed="false">
      <c r="A931" s="124" t="n">
        <v>253.750540133276</v>
      </c>
    </row>
    <row r="932" customFormat="false" ht="13.8" hidden="false" customHeight="false" outlineLevel="0" collapsed="false">
      <c r="A932" s="124" t="n">
        <v>3168.62451981272</v>
      </c>
    </row>
    <row r="933" customFormat="false" ht="13.8" hidden="false" customHeight="false" outlineLevel="0" collapsed="false">
      <c r="A933" s="124" t="n">
        <v>6064.96535948788</v>
      </c>
    </row>
    <row r="934" customFormat="false" ht="13.8" hidden="false" customHeight="false" outlineLevel="0" collapsed="false">
      <c r="A934" s="124" t="n">
        <v>-404.999408865868</v>
      </c>
    </row>
    <row r="935" customFormat="false" ht="13.8" hidden="false" customHeight="false" outlineLevel="0" collapsed="false">
      <c r="A935" s="124" t="n">
        <v>3775.02567103861</v>
      </c>
    </row>
    <row r="936" customFormat="false" ht="13.8" hidden="false" customHeight="false" outlineLevel="0" collapsed="false">
      <c r="A936" s="124" t="n">
        <v>-3194.64533948788</v>
      </c>
    </row>
    <row r="937" customFormat="false" ht="13.8" hidden="false" customHeight="false" outlineLevel="0" collapsed="false">
      <c r="A937" s="124" t="n">
        <v>4389.45112460121</v>
      </c>
    </row>
    <row r="938" customFormat="false" ht="13.8" hidden="false" customHeight="false" outlineLevel="0" collapsed="false">
      <c r="A938" s="124" t="n">
        <v>2514.92469537883</v>
      </c>
    </row>
    <row r="939" customFormat="false" ht="13.8" hidden="false" customHeight="false" outlineLevel="0" collapsed="false">
      <c r="A939" s="124" t="n">
        <v>8095.4447383909</v>
      </c>
    </row>
    <row r="940" customFormat="false" ht="13.8" hidden="false" customHeight="false" outlineLevel="0" collapsed="false">
      <c r="A940" s="124" t="n">
        <v>4748.58978683401</v>
      </c>
    </row>
    <row r="941" customFormat="false" ht="13.8" hidden="false" customHeight="false" outlineLevel="0" collapsed="false">
      <c r="A941" s="124" t="n">
        <v>128.82705201118</v>
      </c>
    </row>
    <row r="942" customFormat="false" ht="13.8" hidden="false" customHeight="false" outlineLevel="0" collapsed="false">
      <c r="A942" s="124" t="n">
        <v>4393.35438508339</v>
      </c>
    </row>
    <row r="943" customFormat="false" ht="13.8" hidden="false" customHeight="false" outlineLevel="0" collapsed="false">
      <c r="A943" s="124" t="n">
        <v>-2281.32851065543</v>
      </c>
    </row>
    <row r="944" customFormat="false" ht="13.8" hidden="false" customHeight="false" outlineLevel="0" collapsed="false">
      <c r="A944" s="124" t="n">
        <v>-603.042675007262</v>
      </c>
    </row>
    <row r="945" customFormat="false" ht="13.8" hidden="false" customHeight="false" outlineLevel="0" collapsed="false">
      <c r="A945" s="124" t="n">
        <v>326.571455638108</v>
      </c>
    </row>
    <row r="946" customFormat="false" ht="13.8" hidden="false" customHeight="false" outlineLevel="0" collapsed="false">
      <c r="A946" s="124" t="n">
        <v>-7539.72062084676</v>
      </c>
    </row>
    <row r="947" customFormat="false" ht="13.8" hidden="false" customHeight="false" outlineLevel="0" collapsed="false">
      <c r="A947" s="124" t="n">
        <v>1225.28221858079</v>
      </c>
    </row>
    <row r="948" customFormat="false" ht="13.8" hidden="false" customHeight="false" outlineLevel="0" collapsed="false">
      <c r="A948" s="124" t="n">
        <v>4060.15516323931</v>
      </c>
    </row>
    <row r="949" customFormat="false" ht="13.8" hidden="false" customHeight="false" outlineLevel="0" collapsed="false">
      <c r="A949" s="124" t="n">
        <v>7374.14157315207</v>
      </c>
    </row>
    <row r="950" customFormat="false" ht="13.8" hidden="false" customHeight="false" outlineLevel="0" collapsed="false">
      <c r="A950" s="124" t="n">
        <v>2261.91981382359</v>
      </c>
    </row>
    <row r="951" customFormat="false" ht="13.8" hidden="false" customHeight="false" outlineLevel="0" collapsed="false">
      <c r="A951" s="124" t="n">
        <v>3461.60693182028</v>
      </c>
    </row>
    <row r="952" customFormat="false" ht="13.8" hidden="false" customHeight="false" outlineLevel="0" collapsed="false">
      <c r="A952" s="124" t="n">
        <v>-344.912666069093</v>
      </c>
    </row>
    <row r="953" customFormat="false" ht="13.8" hidden="false" customHeight="false" outlineLevel="0" collapsed="false">
      <c r="A953" s="124" t="n">
        <v>3298.90111441455</v>
      </c>
    </row>
    <row r="954" customFormat="false" ht="13.8" hidden="false" customHeight="false" outlineLevel="0" collapsed="false">
      <c r="A954" s="124" t="n">
        <v>-5607.75917370463</v>
      </c>
    </row>
    <row r="955" customFormat="false" ht="13.8" hidden="false" customHeight="false" outlineLevel="0" collapsed="false">
      <c r="A955" s="124" t="n">
        <v>4750.37994271781</v>
      </c>
    </row>
    <row r="956" customFormat="false" ht="13.8" hidden="false" customHeight="false" outlineLevel="0" collapsed="false">
      <c r="A956" s="124" t="n">
        <v>10039.908699066</v>
      </c>
    </row>
    <row r="957" customFormat="false" ht="13.8" hidden="false" customHeight="false" outlineLevel="0" collapsed="false">
      <c r="A957" s="124" t="n">
        <v>3144.43090146761</v>
      </c>
    </row>
    <row r="958" customFormat="false" ht="13.8" hidden="false" customHeight="false" outlineLevel="0" collapsed="false">
      <c r="A958" s="124" t="n">
        <v>2799.20474701406</v>
      </c>
    </row>
    <row r="959" customFormat="false" ht="13.8" hidden="false" customHeight="false" outlineLevel="0" collapsed="false">
      <c r="A959" s="124" t="n">
        <v>3652.45472570659</v>
      </c>
    </row>
    <row r="960" customFormat="false" ht="13.8" hidden="false" customHeight="false" outlineLevel="0" collapsed="false">
      <c r="A960" s="124" t="n">
        <v>3221.44335515968</v>
      </c>
    </row>
    <row r="961" customFormat="false" ht="13.8" hidden="false" customHeight="false" outlineLevel="0" collapsed="false">
      <c r="A961" s="124" t="n">
        <v>-1457.01952153609</v>
      </c>
    </row>
    <row r="962" customFormat="false" ht="13.8" hidden="false" customHeight="false" outlineLevel="0" collapsed="false">
      <c r="A962" s="124" t="n">
        <v>1028.40599439245</v>
      </c>
    </row>
    <row r="963" customFormat="false" ht="13.8" hidden="false" customHeight="false" outlineLevel="0" collapsed="false">
      <c r="A963" s="124" t="n">
        <v>5835.54586093297</v>
      </c>
    </row>
    <row r="964" customFormat="false" ht="13.8" hidden="false" customHeight="false" outlineLevel="0" collapsed="false">
      <c r="A964" s="124" t="n">
        <v>378.613280682905</v>
      </c>
    </row>
    <row r="965" customFormat="false" ht="13.8" hidden="false" customHeight="false" outlineLevel="0" collapsed="false">
      <c r="A965" s="124" t="n">
        <v>5402.02420107269</v>
      </c>
    </row>
    <row r="966" customFormat="false" ht="13.8" hidden="false" customHeight="false" outlineLevel="0" collapsed="false">
      <c r="A966" s="124" t="n">
        <v>-1861.67463336739</v>
      </c>
    </row>
    <row r="967" customFormat="false" ht="13.8" hidden="false" customHeight="false" outlineLevel="0" collapsed="false">
      <c r="A967" s="124" t="n">
        <v>-3187.93811088449</v>
      </c>
    </row>
    <row r="968" customFormat="false" ht="13.8" hidden="false" customHeight="false" outlineLevel="0" collapsed="false">
      <c r="A968" s="124" t="n">
        <v>6884.94173096482</v>
      </c>
    </row>
    <row r="969" customFormat="false" ht="13.8" hidden="false" customHeight="false" outlineLevel="0" collapsed="false">
      <c r="A969" s="124" t="n">
        <v>3903.31608904838</v>
      </c>
    </row>
    <row r="970" customFormat="false" ht="13.8" hidden="false" customHeight="false" outlineLevel="0" collapsed="false">
      <c r="A970" s="124" t="n">
        <v>4069.17566294903</v>
      </c>
    </row>
    <row r="971" customFormat="false" ht="13.8" hidden="false" customHeight="false" outlineLevel="0" collapsed="false">
      <c r="A971" s="124" t="n">
        <v>733.160291046916</v>
      </c>
    </row>
    <row r="972" customFormat="false" ht="13.8" hidden="false" customHeight="false" outlineLevel="0" collapsed="false">
      <c r="A972" s="124" t="n">
        <v>5412.84023510805</v>
      </c>
    </row>
    <row r="973" customFormat="false" ht="13.8" hidden="false" customHeight="false" outlineLevel="0" collapsed="false">
      <c r="A973" s="124" t="n">
        <v>4000.45294698016</v>
      </c>
    </row>
    <row r="974" customFormat="false" ht="13.8" hidden="false" customHeight="false" outlineLevel="0" collapsed="false">
      <c r="A974" s="124" t="n">
        <v>2751.24833441173</v>
      </c>
    </row>
    <row r="975" customFormat="false" ht="13.8" hidden="false" customHeight="false" outlineLevel="0" collapsed="false">
      <c r="A975" s="124" t="n">
        <v>6202.05175542277</v>
      </c>
    </row>
    <row r="976" customFormat="false" ht="13.8" hidden="false" customHeight="false" outlineLevel="0" collapsed="false">
      <c r="A976" s="124" t="n">
        <v>5648.45528017166</v>
      </c>
    </row>
    <row r="977" customFormat="false" ht="13.8" hidden="false" customHeight="false" outlineLevel="0" collapsed="false">
      <c r="A977" s="124" t="n">
        <v>2564.99297102631</v>
      </c>
    </row>
    <row r="978" customFormat="false" ht="13.8" hidden="false" customHeight="false" outlineLevel="0" collapsed="false">
      <c r="A978" s="124" t="n">
        <v>1132.19229329448</v>
      </c>
    </row>
    <row r="979" customFormat="false" ht="13.8" hidden="false" customHeight="false" outlineLevel="0" collapsed="false">
      <c r="A979" s="124" t="n">
        <v>3798.5422953697</v>
      </c>
    </row>
    <row r="980" customFormat="false" ht="13.8" hidden="false" customHeight="false" outlineLevel="0" collapsed="false">
      <c r="A980" s="124" t="n">
        <v>3193.97986727854</v>
      </c>
    </row>
    <row r="981" customFormat="false" ht="13.8" hidden="false" customHeight="false" outlineLevel="0" collapsed="false">
      <c r="A981" s="124" t="n">
        <v>4408.99139563047</v>
      </c>
    </row>
    <row r="982" customFormat="false" ht="13.8" hidden="false" customHeight="false" outlineLevel="0" collapsed="false">
      <c r="A982" s="124" t="n">
        <v>8030.66525478642</v>
      </c>
    </row>
    <row r="983" customFormat="false" ht="13.8" hidden="false" customHeight="false" outlineLevel="0" collapsed="false">
      <c r="A983" s="124" t="n">
        <v>3394.10045978789</v>
      </c>
    </row>
    <row r="984" customFormat="false" ht="13.8" hidden="false" customHeight="false" outlineLevel="0" collapsed="false">
      <c r="A984" s="124" t="n">
        <v>3992.63061410906</v>
      </c>
    </row>
    <row r="985" customFormat="false" ht="13.8" hidden="false" customHeight="false" outlineLevel="0" collapsed="false">
      <c r="A985" s="124" t="n">
        <v>6053.48409126065</v>
      </c>
    </row>
    <row r="986" customFormat="false" ht="13.8" hidden="false" customHeight="false" outlineLevel="0" collapsed="false">
      <c r="A986" s="124" t="n">
        <v>8179.85007125687</v>
      </c>
    </row>
    <row r="987" customFormat="false" ht="13.8" hidden="false" customHeight="false" outlineLevel="0" collapsed="false">
      <c r="A987" s="124" t="n">
        <v>7295.5843277303</v>
      </c>
    </row>
    <row r="988" customFormat="false" ht="13.8" hidden="false" customHeight="false" outlineLevel="0" collapsed="false">
      <c r="A988" s="124" t="n">
        <v>500.739233194639</v>
      </c>
    </row>
    <row r="989" customFormat="false" ht="13.8" hidden="false" customHeight="false" outlineLevel="0" collapsed="false">
      <c r="A989" s="124" t="n">
        <v>4343.41400532944</v>
      </c>
    </row>
    <row r="990" customFormat="false" ht="13.8" hidden="false" customHeight="false" outlineLevel="0" collapsed="false">
      <c r="A990" s="124" t="n">
        <v>135.148877825544</v>
      </c>
    </row>
    <row r="991" customFormat="false" ht="13.8" hidden="false" customHeight="false" outlineLevel="0" collapsed="false">
      <c r="A991" s="124" t="n">
        <v>60.8910540314591</v>
      </c>
    </row>
    <row r="992" customFormat="false" ht="13.8" hidden="false" customHeight="false" outlineLevel="0" collapsed="false">
      <c r="A992" s="124" t="n">
        <v>-506.072712293057</v>
      </c>
    </row>
    <row r="993" customFormat="false" ht="13.8" hidden="false" customHeight="false" outlineLevel="0" collapsed="false">
      <c r="A993" s="124" t="n">
        <v>6573.36969284424</v>
      </c>
    </row>
    <row r="994" customFormat="false" ht="13.8" hidden="false" customHeight="false" outlineLevel="0" collapsed="false">
      <c r="A994" s="124" t="n">
        <v>1372.69458033021</v>
      </c>
    </row>
    <row r="995" customFormat="false" ht="13.8" hidden="false" customHeight="false" outlineLevel="0" collapsed="false">
      <c r="A995" s="124" t="n">
        <v>1728.33217268638</v>
      </c>
    </row>
    <row r="996" customFormat="false" ht="13.8" hidden="false" customHeight="false" outlineLevel="0" collapsed="false">
      <c r="A996" s="124" t="n">
        <v>57.3681864094469</v>
      </c>
    </row>
    <row r="997" customFormat="false" ht="13.8" hidden="false" customHeight="false" outlineLevel="0" collapsed="false">
      <c r="A997" s="124" t="n">
        <v>-882.938624923354</v>
      </c>
    </row>
    <row r="998" customFormat="false" ht="13.8" hidden="false" customHeight="false" outlineLevel="0" collapsed="false">
      <c r="A998" s="124" t="n">
        <v>6922.10138000358</v>
      </c>
    </row>
    <row r="999" customFormat="false" ht="13.8" hidden="false" customHeight="false" outlineLevel="0" collapsed="false">
      <c r="A999" s="124" t="n">
        <v>-2069.59473940761</v>
      </c>
    </row>
    <row r="1000" customFormat="false" ht="13.8" hidden="false" customHeight="false" outlineLevel="0" collapsed="false">
      <c r="A1000" s="124" t="n">
        <v>1886.42756174867</v>
      </c>
    </row>
    <row r="1001" customFormat="false" ht="13.8" hidden="false" customHeight="false" outlineLevel="0" collapsed="false">
      <c r="A1001" s="124" t="n">
        <v>5746.40583963268</v>
      </c>
    </row>
    <row r="1002" customFormat="false" ht="13.8" hidden="false" customHeight="false" outlineLevel="0" collapsed="false">
      <c r="A1002" s="124" t="n">
        <v>397.7382608036</v>
      </c>
    </row>
    <row r="1003" customFormat="false" ht="13.8" hidden="false" customHeight="false" outlineLevel="0" collapsed="false">
      <c r="A1003" s="124" t="n">
        <v>4496.08722580017</v>
      </c>
    </row>
    <row r="1004" customFormat="false" ht="13.8" hidden="false" customHeight="false" outlineLevel="0" collapsed="false">
      <c r="A1004" s="124" t="n">
        <v>-5176.44027444821</v>
      </c>
    </row>
    <row r="1005" customFormat="false" ht="13.8" hidden="false" customHeight="false" outlineLevel="0" collapsed="false">
      <c r="A1005" s="124" t="n">
        <v>7067.89378426062</v>
      </c>
    </row>
    <row r="1006" customFormat="false" ht="13.8" hidden="false" customHeight="false" outlineLevel="0" collapsed="false">
      <c r="A1006" s="124" t="n">
        <v>5792.92396272545</v>
      </c>
    </row>
    <row r="1007" customFormat="false" ht="13.8" hidden="false" customHeight="false" outlineLevel="0" collapsed="false">
      <c r="A1007" s="124" t="n">
        <v>87.2290870283905</v>
      </c>
    </row>
    <row r="1008" customFormat="false" ht="13.8" hidden="false" customHeight="false" outlineLevel="0" collapsed="false">
      <c r="A1008" s="124" t="n">
        <v>6022.67203166144</v>
      </c>
    </row>
    <row r="1009" customFormat="false" ht="13.8" hidden="false" customHeight="false" outlineLevel="0" collapsed="false">
      <c r="A1009" s="124" t="n">
        <v>1749.30580362555</v>
      </c>
    </row>
    <row r="1010" customFormat="false" ht="13.8" hidden="false" customHeight="false" outlineLevel="0" collapsed="false">
      <c r="A1010" s="124" t="n">
        <v>583.020723893918</v>
      </c>
    </row>
    <row r="1011" customFormat="false" ht="13.8" hidden="false" customHeight="false" outlineLevel="0" collapsed="false">
      <c r="A1011" s="124" t="n">
        <v>829.42217420747</v>
      </c>
    </row>
    <row r="1012" customFormat="false" ht="13.8" hidden="false" customHeight="false" outlineLevel="0" collapsed="false">
      <c r="A1012" s="124" t="n">
        <v>88.1986637887112</v>
      </c>
    </row>
    <row r="1013" customFormat="false" ht="13.8" hidden="false" customHeight="false" outlineLevel="0" collapsed="false">
      <c r="A1013" s="124" t="n">
        <v>6663.81243996863</v>
      </c>
    </row>
    <row r="1014" customFormat="false" ht="13.8" hidden="false" customHeight="false" outlineLevel="0" collapsed="false">
      <c r="A1014" s="124" t="n">
        <v>4914.17264802519</v>
      </c>
    </row>
    <row r="1015" customFormat="false" ht="13.8" hidden="false" customHeight="false" outlineLevel="0" collapsed="false">
      <c r="A1015" s="124" t="n">
        <v>-1224.00025625849</v>
      </c>
    </row>
    <row r="1016" customFormat="false" ht="13.8" hidden="false" customHeight="false" outlineLevel="0" collapsed="false">
      <c r="A1016" s="124" t="n">
        <v>3472.19481276381</v>
      </c>
    </row>
    <row r="1017" customFormat="false" ht="13.8" hidden="false" customHeight="false" outlineLevel="0" collapsed="false">
      <c r="A1017" s="124" t="n">
        <v>6317.25832098777</v>
      </c>
    </row>
    <row r="1018" customFormat="false" ht="13.8" hidden="false" customHeight="false" outlineLevel="0" collapsed="false">
      <c r="A1018" s="124" t="n">
        <v>6719.11682641072</v>
      </c>
    </row>
    <row r="1019" customFormat="false" ht="13.8" hidden="false" customHeight="false" outlineLevel="0" collapsed="false">
      <c r="A1019" s="124" t="n">
        <v>2468.43116338828</v>
      </c>
    </row>
    <row r="1020" customFormat="false" ht="13.8" hidden="false" customHeight="false" outlineLevel="0" collapsed="false">
      <c r="A1020" s="124" t="n">
        <v>2213.27951168115</v>
      </c>
    </row>
    <row r="1021" customFormat="false" ht="13.8" hidden="false" customHeight="false" outlineLevel="0" collapsed="false">
      <c r="A1021" s="124" t="n">
        <v>7699.14019433253</v>
      </c>
    </row>
    <row r="1022" customFormat="false" ht="13.8" hidden="false" customHeight="false" outlineLevel="0" collapsed="false">
      <c r="A1022" s="124" t="n">
        <v>2697.26002687744</v>
      </c>
    </row>
    <row r="1023" customFormat="false" ht="13.8" hidden="false" customHeight="false" outlineLevel="0" collapsed="false">
      <c r="A1023" s="124" t="n">
        <v>11767.8109730402</v>
      </c>
    </row>
    <row r="1024" customFormat="false" ht="13.8" hidden="false" customHeight="false" outlineLevel="0" collapsed="false">
      <c r="A1024" s="124" t="n">
        <v>10601.1561000154</v>
      </c>
    </row>
    <row r="1025" customFormat="false" ht="13.8" hidden="false" customHeight="false" outlineLevel="0" collapsed="false">
      <c r="A1025" s="124" t="n">
        <v>4539.19543948036</v>
      </c>
    </row>
    <row r="1026" customFormat="false" ht="13.8" hidden="false" customHeight="false" outlineLevel="0" collapsed="false">
      <c r="A1026" s="124" t="n">
        <v>1906.41097060808</v>
      </c>
    </row>
    <row r="1027" customFormat="false" ht="13.8" hidden="false" customHeight="false" outlineLevel="0" collapsed="false">
      <c r="A1027" s="124" t="n">
        <v>-1734.10788875348</v>
      </c>
    </row>
    <row r="1028" customFormat="false" ht="13.8" hidden="false" customHeight="false" outlineLevel="0" collapsed="false">
      <c r="A1028" s="124" t="n">
        <v>11078.6911838309</v>
      </c>
    </row>
    <row r="1029" customFormat="false" ht="13.8" hidden="false" customHeight="false" outlineLevel="0" collapsed="false">
      <c r="A1029" s="124" t="n">
        <v>1567.57507658868</v>
      </c>
    </row>
    <row r="1030" customFormat="false" ht="13.8" hidden="false" customHeight="false" outlineLevel="0" collapsed="false">
      <c r="A1030" s="124" t="n">
        <v>556.954940068885</v>
      </c>
    </row>
    <row r="1031" customFormat="false" ht="13.8" hidden="false" customHeight="false" outlineLevel="0" collapsed="false">
      <c r="A1031" s="124" t="n">
        <v>3166.67641570874</v>
      </c>
    </row>
    <row r="1032" customFormat="false" ht="13.8" hidden="false" customHeight="false" outlineLevel="0" collapsed="false">
      <c r="A1032" s="124" t="n">
        <v>3953.08081096983</v>
      </c>
    </row>
    <row r="1033" customFormat="false" ht="13.8" hidden="false" customHeight="false" outlineLevel="0" collapsed="false">
      <c r="A1033" s="124" t="n">
        <v>-1028.11598388425</v>
      </c>
    </row>
    <row r="1034" customFormat="false" ht="13.8" hidden="false" customHeight="false" outlineLevel="0" collapsed="false">
      <c r="A1034" s="124" t="n">
        <v>513.37055749233</v>
      </c>
    </row>
    <row r="1035" customFormat="false" ht="13.8" hidden="false" customHeight="false" outlineLevel="0" collapsed="false">
      <c r="A1035" s="124" t="n">
        <v>-3435.4158601142</v>
      </c>
    </row>
    <row r="1036" customFormat="false" ht="13.8" hidden="false" customHeight="false" outlineLevel="0" collapsed="false">
      <c r="A1036" s="124" t="n">
        <v>1781.3838150979</v>
      </c>
    </row>
    <row r="1037" customFormat="false" ht="13.8" hidden="false" customHeight="false" outlineLevel="0" collapsed="false">
      <c r="A1037" s="124" t="n">
        <v>4030.63034109333</v>
      </c>
    </row>
    <row r="1038" customFormat="false" ht="13.8" hidden="false" customHeight="false" outlineLevel="0" collapsed="false">
      <c r="A1038" s="124" t="n">
        <v>1198.13892287223</v>
      </c>
    </row>
    <row r="1039" customFormat="false" ht="13.8" hidden="false" customHeight="false" outlineLevel="0" collapsed="false">
      <c r="A1039" s="124" t="n">
        <v>644.285367327382</v>
      </c>
    </row>
    <row r="1040" customFormat="false" ht="13.8" hidden="false" customHeight="false" outlineLevel="0" collapsed="false">
      <c r="A1040" s="124" t="n">
        <v>-4431.20756470145</v>
      </c>
    </row>
    <row r="1041" customFormat="false" ht="13.8" hidden="false" customHeight="false" outlineLevel="0" collapsed="false">
      <c r="A1041" s="124" t="n">
        <v>6693.02966562249</v>
      </c>
    </row>
    <row r="1042" customFormat="false" ht="13.8" hidden="false" customHeight="false" outlineLevel="0" collapsed="false">
      <c r="A1042" s="124" t="n">
        <v>806.489519813258</v>
      </c>
    </row>
    <row r="1043" customFormat="false" ht="13.8" hidden="false" customHeight="false" outlineLevel="0" collapsed="false">
      <c r="A1043" s="124" t="n">
        <v>5389.44768161076</v>
      </c>
    </row>
    <row r="1044" customFormat="false" ht="13.8" hidden="false" customHeight="false" outlineLevel="0" collapsed="false">
      <c r="A1044" s="124" t="n">
        <v>610.008728431694</v>
      </c>
    </row>
    <row r="1045" customFormat="false" ht="13.8" hidden="false" customHeight="false" outlineLevel="0" collapsed="false">
      <c r="A1045" s="124" t="n">
        <v>1535.62638484074</v>
      </c>
    </row>
    <row r="1046" customFormat="false" ht="13.8" hidden="false" customHeight="false" outlineLevel="0" collapsed="false">
      <c r="A1046" s="124" t="n">
        <v>5526.71943186664</v>
      </c>
    </row>
    <row r="1047" customFormat="false" ht="13.8" hidden="false" customHeight="false" outlineLevel="0" collapsed="false">
      <c r="A1047" s="124" t="n">
        <v>8691.65177383768</v>
      </c>
    </row>
    <row r="1048" customFormat="false" ht="13.8" hidden="false" customHeight="false" outlineLevel="0" collapsed="false">
      <c r="A1048" s="124" t="n">
        <v>8654.72240657108</v>
      </c>
    </row>
    <row r="1049" customFormat="false" ht="13.8" hidden="false" customHeight="false" outlineLevel="0" collapsed="false">
      <c r="A1049" s="124" t="n">
        <v>1277.46181191341</v>
      </c>
    </row>
    <row r="1050" customFormat="false" ht="13.8" hidden="false" customHeight="false" outlineLevel="0" collapsed="false">
      <c r="A1050" s="124" t="n">
        <v>2910.80313708548</v>
      </c>
    </row>
    <row r="1051" customFormat="false" ht="13.8" hidden="false" customHeight="false" outlineLevel="0" collapsed="false">
      <c r="A1051" s="124" t="n">
        <v>6091.48590665044</v>
      </c>
    </row>
    <row r="1052" customFormat="false" ht="13.8" hidden="false" customHeight="false" outlineLevel="0" collapsed="false">
      <c r="A1052" s="124" t="n">
        <v>1612.21853599686</v>
      </c>
    </row>
    <row r="1053" customFormat="false" ht="13.8" hidden="false" customHeight="false" outlineLevel="0" collapsed="false">
      <c r="A1053" s="124" t="n">
        <v>3960.75820611023</v>
      </c>
    </row>
    <row r="1054" customFormat="false" ht="13.8" hidden="false" customHeight="false" outlineLevel="0" collapsed="false">
      <c r="A1054" s="124" t="n">
        <v>4335.0317228487</v>
      </c>
    </row>
    <row r="1055" customFormat="false" ht="13.8" hidden="false" customHeight="false" outlineLevel="0" collapsed="false">
      <c r="A1055" s="124" t="n">
        <v>11908.6745348512</v>
      </c>
    </row>
    <row r="1056" customFormat="false" ht="13.8" hidden="false" customHeight="false" outlineLevel="0" collapsed="false">
      <c r="A1056" s="124" t="n">
        <v>2321.46175531732</v>
      </c>
    </row>
    <row r="1057" customFormat="false" ht="13.8" hidden="false" customHeight="false" outlineLevel="0" collapsed="false">
      <c r="A1057" s="124" t="n">
        <v>-9131.7933448839</v>
      </c>
    </row>
    <row r="1058" customFormat="false" ht="13.8" hidden="false" customHeight="false" outlineLevel="0" collapsed="false">
      <c r="A1058" s="124" t="n">
        <v>7052.10726433763</v>
      </c>
    </row>
    <row r="1059" customFormat="false" ht="13.8" hidden="false" customHeight="false" outlineLevel="0" collapsed="false">
      <c r="A1059" s="124" t="n">
        <v>3948.61608684876</v>
      </c>
    </row>
    <row r="1060" customFormat="false" ht="13.8" hidden="false" customHeight="false" outlineLevel="0" collapsed="false">
      <c r="A1060" s="124" t="n">
        <v>3425.94062590227</v>
      </c>
    </row>
    <row r="1061" customFormat="false" ht="13.8" hidden="false" customHeight="false" outlineLevel="0" collapsed="false">
      <c r="A1061" s="124" t="n">
        <v>7468.41884795162</v>
      </c>
    </row>
    <row r="1062" customFormat="false" ht="13.8" hidden="false" customHeight="false" outlineLevel="0" collapsed="false">
      <c r="A1062" s="124" t="n">
        <v>1481.49433669827</v>
      </c>
    </row>
    <row r="1063" customFormat="false" ht="13.8" hidden="false" customHeight="false" outlineLevel="0" collapsed="false">
      <c r="A1063" s="124" t="n">
        <v>2131.95416519959</v>
      </c>
    </row>
    <row r="1064" customFormat="false" ht="13.8" hidden="false" customHeight="false" outlineLevel="0" collapsed="false">
      <c r="A1064" s="124" t="n">
        <v>5110.83484094936</v>
      </c>
    </row>
    <row r="1065" customFormat="false" ht="13.8" hidden="false" customHeight="false" outlineLevel="0" collapsed="false">
      <c r="A1065" s="124" t="n">
        <v>3296.43158652342</v>
      </c>
    </row>
    <row r="1066" customFormat="false" ht="13.8" hidden="false" customHeight="false" outlineLevel="0" collapsed="false">
      <c r="A1066" s="124" t="n">
        <v>6917.09373326178</v>
      </c>
    </row>
    <row r="1067" customFormat="false" ht="13.8" hidden="false" customHeight="false" outlineLevel="0" collapsed="false">
      <c r="A1067" s="124" t="n">
        <v>2665.13718663013</v>
      </c>
    </row>
    <row r="1068" customFormat="false" ht="13.8" hidden="false" customHeight="false" outlineLevel="0" collapsed="false">
      <c r="A1068" s="124" t="n">
        <v>8115.28783575871</v>
      </c>
    </row>
    <row r="1069" customFormat="false" ht="13.8" hidden="false" customHeight="false" outlineLevel="0" collapsed="false">
      <c r="A1069" s="124" t="n">
        <v>5076.5462886215</v>
      </c>
    </row>
    <row r="1070" customFormat="false" ht="13.8" hidden="false" customHeight="false" outlineLevel="0" collapsed="false">
      <c r="A1070" s="124" t="n">
        <v>5512.84218624426</v>
      </c>
    </row>
    <row r="1071" customFormat="false" ht="13.8" hidden="false" customHeight="false" outlineLevel="0" collapsed="false">
      <c r="A1071" s="124" t="n">
        <v>7361.83026083342</v>
      </c>
    </row>
    <row r="1072" customFormat="false" ht="13.8" hidden="false" customHeight="false" outlineLevel="0" collapsed="false">
      <c r="A1072" s="124" t="n">
        <v>-2426.41828027011</v>
      </c>
    </row>
    <row r="1073" customFormat="false" ht="13.8" hidden="false" customHeight="false" outlineLevel="0" collapsed="false">
      <c r="A1073" s="124" t="n">
        <v>-3741.38544717009</v>
      </c>
    </row>
    <row r="1074" customFormat="false" ht="13.8" hidden="false" customHeight="false" outlineLevel="0" collapsed="false">
      <c r="A1074" s="124" t="n">
        <v>3402.21667602143</v>
      </c>
    </row>
    <row r="1075" customFormat="false" ht="13.8" hidden="false" customHeight="false" outlineLevel="0" collapsed="false">
      <c r="A1075" s="124" t="n">
        <v>2994.74909143775</v>
      </c>
    </row>
    <row r="1076" customFormat="false" ht="13.8" hidden="false" customHeight="false" outlineLevel="0" collapsed="false">
      <c r="A1076" s="124" t="n">
        <v>5074.88784066923</v>
      </c>
    </row>
    <row r="1077" customFormat="false" ht="13.8" hidden="false" customHeight="false" outlineLevel="0" collapsed="false">
      <c r="A1077" s="124" t="n">
        <v>3526.36981632045</v>
      </c>
    </row>
    <row r="1078" customFormat="false" ht="13.8" hidden="false" customHeight="false" outlineLevel="0" collapsed="false">
      <c r="A1078" s="124" t="n">
        <v>7727.30620615026</v>
      </c>
    </row>
    <row r="1079" customFormat="false" ht="13.8" hidden="false" customHeight="false" outlineLevel="0" collapsed="false">
      <c r="A1079" s="124" t="n">
        <v>4612.27265059327</v>
      </c>
    </row>
    <row r="1080" customFormat="false" ht="13.8" hidden="false" customHeight="false" outlineLevel="0" collapsed="false">
      <c r="A1080" s="124" t="n">
        <v>-2421.78625623912</v>
      </c>
    </row>
    <row r="1081" customFormat="false" ht="13.8" hidden="false" customHeight="false" outlineLevel="0" collapsed="false">
      <c r="A1081" s="124" t="n">
        <v>2211.18224034301</v>
      </c>
    </row>
    <row r="1082" customFormat="false" ht="13.8" hidden="false" customHeight="false" outlineLevel="0" collapsed="false">
      <c r="A1082" s="124" t="n">
        <v>8095.30009275366</v>
      </c>
    </row>
    <row r="1083" customFormat="false" ht="13.8" hidden="false" customHeight="false" outlineLevel="0" collapsed="false">
      <c r="A1083" s="124" t="n">
        <v>-1363.01575316427</v>
      </c>
    </row>
    <row r="1084" customFormat="false" ht="13.8" hidden="false" customHeight="false" outlineLevel="0" collapsed="false">
      <c r="A1084" s="124" t="n">
        <v>6764.73519245938</v>
      </c>
    </row>
    <row r="1085" customFormat="false" ht="13.8" hidden="false" customHeight="false" outlineLevel="0" collapsed="false">
      <c r="A1085" s="124" t="n">
        <v>5845.19110182156</v>
      </c>
    </row>
    <row r="1086" customFormat="false" ht="13.8" hidden="false" customHeight="false" outlineLevel="0" collapsed="false">
      <c r="A1086" s="124" t="n">
        <v>-2709.36761073347</v>
      </c>
    </row>
    <row r="1087" customFormat="false" ht="13.8" hidden="false" customHeight="false" outlineLevel="0" collapsed="false">
      <c r="A1087" s="124" t="n">
        <v>792.410834587501</v>
      </c>
    </row>
    <row r="1088" customFormat="false" ht="13.8" hidden="false" customHeight="false" outlineLevel="0" collapsed="false">
      <c r="A1088" s="124" t="n">
        <v>7886.41752066817</v>
      </c>
    </row>
    <row r="1089" customFormat="false" ht="13.8" hidden="false" customHeight="false" outlineLevel="0" collapsed="false">
      <c r="A1089" s="124" t="n">
        <v>7282.77639405881</v>
      </c>
    </row>
    <row r="1090" customFormat="false" ht="13.8" hidden="false" customHeight="false" outlineLevel="0" collapsed="false">
      <c r="A1090" s="124" t="n">
        <v>6297.07147855794</v>
      </c>
    </row>
    <row r="1091" customFormat="false" ht="13.8" hidden="false" customHeight="false" outlineLevel="0" collapsed="false">
      <c r="A1091" s="124" t="n">
        <v>-2185.27814673978</v>
      </c>
    </row>
    <row r="1092" customFormat="false" ht="13.8" hidden="false" customHeight="false" outlineLevel="0" collapsed="false">
      <c r="A1092" s="124" t="n">
        <v>3079.71399723868</v>
      </c>
    </row>
    <row r="1093" customFormat="false" ht="13.8" hidden="false" customHeight="false" outlineLevel="0" collapsed="false">
      <c r="A1093" s="124" t="n">
        <v>6908.81720068993</v>
      </c>
    </row>
    <row r="1094" customFormat="false" ht="13.8" hidden="false" customHeight="false" outlineLevel="0" collapsed="false">
      <c r="A1094" s="124" t="n">
        <v>9338.33713571888</v>
      </c>
    </row>
    <row r="1095" customFormat="false" ht="13.8" hidden="false" customHeight="false" outlineLevel="0" collapsed="false">
      <c r="A1095" s="124" t="n">
        <v>8393.93272027432</v>
      </c>
    </row>
    <row r="1096" customFormat="false" ht="13.8" hidden="false" customHeight="false" outlineLevel="0" collapsed="false">
      <c r="A1096" s="124" t="n">
        <v>-57.5692443247535</v>
      </c>
    </row>
    <row r="1097" customFormat="false" ht="13.8" hidden="false" customHeight="false" outlineLevel="0" collapsed="false">
      <c r="A1097" s="124" t="n">
        <v>7251.29422457317</v>
      </c>
    </row>
    <row r="1098" customFormat="false" ht="13.8" hidden="false" customHeight="false" outlineLevel="0" collapsed="false">
      <c r="A1098" s="124" t="n">
        <v>-2510.24488065789</v>
      </c>
    </row>
    <row r="1099" customFormat="false" ht="13.8" hidden="false" customHeight="false" outlineLevel="0" collapsed="false">
      <c r="A1099" s="124" t="n">
        <v>1831.27947629679</v>
      </c>
    </row>
    <row r="1100" customFormat="false" ht="13.8" hidden="false" customHeight="false" outlineLevel="0" collapsed="false">
      <c r="A1100" s="124" t="n">
        <v>7919.15776315187</v>
      </c>
    </row>
    <row r="1101" customFormat="false" ht="13.8" hidden="false" customHeight="false" outlineLevel="0" collapsed="false">
      <c r="A1101" s="124" t="n">
        <v>4473.70713648169</v>
      </c>
    </row>
    <row r="1102" customFormat="false" ht="13.8" hidden="false" customHeight="false" outlineLevel="0" collapsed="false">
      <c r="A1102" s="124" t="n">
        <v>268.597201174151</v>
      </c>
    </row>
    <row r="1103" customFormat="false" ht="13.8" hidden="false" customHeight="false" outlineLevel="0" collapsed="false">
      <c r="A1103" s="124" t="n">
        <v>-600.467923799493</v>
      </c>
    </row>
    <row r="1104" customFormat="false" ht="13.8" hidden="false" customHeight="false" outlineLevel="0" collapsed="false">
      <c r="A1104" s="124" t="n">
        <v>7984.53587268536</v>
      </c>
    </row>
    <row r="1105" customFormat="false" ht="13.8" hidden="false" customHeight="false" outlineLevel="0" collapsed="false">
      <c r="A1105" s="124" t="n">
        <v>-652.811371779611</v>
      </c>
    </row>
    <row r="1106" customFormat="false" ht="13.8" hidden="false" customHeight="false" outlineLevel="0" collapsed="false">
      <c r="A1106" s="124" t="n">
        <v>1973.32888432231</v>
      </c>
    </row>
    <row r="1107" customFormat="false" ht="13.8" hidden="false" customHeight="false" outlineLevel="0" collapsed="false">
      <c r="A1107" s="124" t="n">
        <v>6281.76310499183</v>
      </c>
    </row>
    <row r="1108" customFormat="false" ht="13.8" hidden="false" customHeight="false" outlineLevel="0" collapsed="false">
      <c r="A1108" s="124" t="n">
        <v>-88.5114700078229</v>
      </c>
    </row>
    <row r="1109" customFormat="false" ht="13.8" hidden="false" customHeight="false" outlineLevel="0" collapsed="false">
      <c r="A1109" s="124" t="n">
        <v>7808.43921450068</v>
      </c>
    </row>
    <row r="1110" customFormat="false" ht="13.8" hidden="false" customHeight="false" outlineLevel="0" collapsed="false">
      <c r="A1110" s="124" t="n">
        <v>641.047881777202</v>
      </c>
    </row>
    <row r="1111" customFormat="false" ht="13.8" hidden="false" customHeight="false" outlineLevel="0" collapsed="false">
      <c r="A1111" s="124" t="n">
        <v>1544.05865488662</v>
      </c>
    </row>
    <row r="1112" customFormat="false" ht="13.8" hidden="false" customHeight="false" outlineLevel="0" collapsed="false">
      <c r="A1112" s="124" t="n">
        <v>6765.67834917487</v>
      </c>
    </row>
    <row r="1113" customFormat="false" ht="13.8" hidden="false" customHeight="false" outlineLevel="0" collapsed="false">
      <c r="A1113" s="124" t="n">
        <v>4682.16516068078</v>
      </c>
    </row>
    <row r="1114" customFormat="false" ht="13.8" hidden="false" customHeight="false" outlineLevel="0" collapsed="false">
      <c r="A1114" s="124" t="n">
        <v>-1774.19913235057</v>
      </c>
    </row>
    <row r="1115" customFormat="false" ht="13.8" hidden="false" customHeight="false" outlineLevel="0" collapsed="false">
      <c r="A1115" s="124" t="n">
        <v>5064.02223765637</v>
      </c>
    </row>
    <row r="1116" customFormat="false" ht="13.8" hidden="false" customHeight="false" outlineLevel="0" collapsed="false">
      <c r="A1116" s="124" t="n">
        <v>-1786.93207044082</v>
      </c>
    </row>
    <row r="1117" customFormat="false" ht="13.8" hidden="false" customHeight="false" outlineLevel="0" collapsed="false">
      <c r="A1117" s="124" t="n">
        <v>1111.04828247907</v>
      </c>
    </row>
    <row r="1118" customFormat="false" ht="13.8" hidden="false" customHeight="false" outlineLevel="0" collapsed="false">
      <c r="A1118" s="124" t="n">
        <v>4764.46077788409</v>
      </c>
    </row>
    <row r="1119" customFormat="false" ht="13.8" hidden="false" customHeight="false" outlineLevel="0" collapsed="false">
      <c r="A1119" s="124" t="n">
        <v>10921.440360336</v>
      </c>
    </row>
    <row r="1120" customFormat="false" ht="13.8" hidden="false" customHeight="false" outlineLevel="0" collapsed="false">
      <c r="A1120" s="124" t="n">
        <v>7193.90132994244</v>
      </c>
    </row>
    <row r="1121" customFormat="false" ht="13.8" hidden="false" customHeight="false" outlineLevel="0" collapsed="false">
      <c r="A1121" s="124" t="n">
        <v>-1656.95008066944</v>
      </c>
    </row>
    <row r="1122" customFormat="false" ht="13.8" hidden="false" customHeight="false" outlineLevel="0" collapsed="false">
      <c r="A1122" s="124" t="n">
        <v>6354.49987537129</v>
      </c>
    </row>
    <row r="1123" customFormat="false" ht="13.8" hidden="false" customHeight="false" outlineLevel="0" collapsed="false">
      <c r="A1123" s="124" t="n">
        <v>-1490.31297156004</v>
      </c>
    </row>
    <row r="1124" customFormat="false" ht="13.8" hidden="false" customHeight="false" outlineLevel="0" collapsed="false">
      <c r="A1124" s="124" t="n">
        <v>4315.3744673004</v>
      </c>
    </row>
    <row r="1125" customFormat="false" ht="13.8" hidden="false" customHeight="false" outlineLevel="0" collapsed="false">
      <c r="A1125" s="124" t="n">
        <v>-455.053922112173</v>
      </c>
    </row>
    <row r="1126" customFormat="false" ht="13.8" hidden="false" customHeight="false" outlineLevel="0" collapsed="false">
      <c r="A1126" s="124" t="n">
        <v>4565.11000709177</v>
      </c>
    </row>
    <row r="1127" customFormat="false" ht="13.8" hidden="false" customHeight="false" outlineLevel="0" collapsed="false">
      <c r="A1127" s="124" t="n">
        <v>4200.78033046104</v>
      </c>
    </row>
    <row r="1128" customFormat="false" ht="13.8" hidden="false" customHeight="false" outlineLevel="0" collapsed="false">
      <c r="A1128" s="124" t="n">
        <v>4240.0604706114</v>
      </c>
    </row>
    <row r="1129" customFormat="false" ht="13.8" hidden="false" customHeight="false" outlineLevel="0" collapsed="false">
      <c r="A1129" s="124" t="n">
        <v>779.403723306723</v>
      </c>
    </row>
    <row r="1130" customFormat="false" ht="13.8" hidden="false" customHeight="false" outlineLevel="0" collapsed="false">
      <c r="A1130" s="124" t="n">
        <v>5602.78479653915</v>
      </c>
    </row>
    <row r="1131" customFormat="false" ht="13.8" hidden="false" customHeight="false" outlineLevel="0" collapsed="false">
      <c r="A1131" s="124" t="n">
        <v>2364.72692302912</v>
      </c>
    </row>
    <row r="1132" customFormat="false" ht="13.8" hidden="false" customHeight="false" outlineLevel="0" collapsed="false">
      <c r="A1132" s="124" t="n">
        <v>5781.14884997021</v>
      </c>
    </row>
    <row r="1133" customFormat="false" ht="13.8" hidden="false" customHeight="false" outlineLevel="0" collapsed="false">
      <c r="A1133" s="124" t="n">
        <v>8395.85571219068</v>
      </c>
    </row>
    <row r="1134" customFormat="false" ht="13.8" hidden="false" customHeight="false" outlineLevel="0" collapsed="false">
      <c r="A1134" s="124" t="n">
        <v>5819.28912337692</v>
      </c>
    </row>
    <row r="1135" customFormat="false" ht="14.5" hidden="false" customHeight="false" outlineLevel="0" collapsed="false">
      <c r="A1135" s="124"/>
    </row>
    <row r="1136" customFormat="false" ht="14.5" hidden="false" customHeight="false" outlineLevel="0" collapsed="false">
      <c r="A1136" s="124"/>
    </row>
    <row r="1137" customFormat="false" ht="14.5" hidden="false" customHeight="false" outlineLevel="0" collapsed="false">
      <c r="A1137" s="124"/>
    </row>
    <row r="1138" customFormat="false" ht="14.5" hidden="false" customHeight="false" outlineLevel="0" collapsed="false">
      <c r="A1138" s="124"/>
    </row>
    <row r="1139" customFormat="false" ht="14.5" hidden="false" customHeight="false" outlineLevel="0" collapsed="false">
      <c r="A1139" s="124"/>
    </row>
    <row r="1140" customFormat="false" ht="14.5" hidden="false" customHeight="false" outlineLevel="0" collapsed="false">
      <c r="A1140" s="124"/>
    </row>
    <row r="1141" customFormat="false" ht="14.5" hidden="false" customHeight="false" outlineLevel="0" collapsed="false">
      <c r="A1141" s="124"/>
    </row>
    <row r="1142" customFormat="false" ht="14.5" hidden="false" customHeight="false" outlineLevel="0" collapsed="false">
      <c r="A1142" s="124"/>
    </row>
    <row r="1143" customFormat="false" ht="14.5" hidden="false" customHeight="false" outlineLevel="0" collapsed="false">
      <c r="A1143" s="124"/>
    </row>
    <row r="1144" customFormat="false" ht="14.5" hidden="false" customHeight="false" outlineLevel="0" collapsed="false">
      <c r="A1144" s="124"/>
    </row>
    <row r="1145" customFormat="false" ht="14.5" hidden="false" customHeight="false" outlineLevel="0" collapsed="false">
      <c r="A1145" s="124"/>
    </row>
    <row r="1146" customFormat="false" ht="14.5" hidden="false" customHeight="false" outlineLevel="0" collapsed="false">
      <c r="A1146" s="124"/>
    </row>
    <row r="1147" customFormat="false" ht="14.5" hidden="false" customHeight="false" outlineLevel="0" collapsed="false">
      <c r="A1147" s="124"/>
    </row>
    <row r="1148" customFormat="false" ht="14.5" hidden="false" customHeight="false" outlineLevel="0" collapsed="false">
      <c r="A1148" s="124"/>
    </row>
    <row r="1149" customFormat="false" ht="14.5" hidden="false" customHeight="false" outlineLevel="0" collapsed="false">
      <c r="A1149" s="124"/>
    </row>
    <row r="1150" customFormat="false" ht="14.5" hidden="false" customHeight="false" outlineLevel="0" collapsed="false">
      <c r="A1150" s="124"/>
    </row>
    <row r="1151" customFormat="false" ht="14.5" hidden="false" customHeight="false" outlineLevel="0" collapsed="false">
      <c r="A1151" s="124"/>
    </row>
    <row r="1152" customFormat="false" ht="14.5" hidden="false" customHeight="false" outlineLevel="0" collapsed="false">
      <c r="A1152" s="124"/>
    </row>
    <row r="1153" customFormat="false" ht="14.5" hidden="false" customHeight="false" outlineLevel="0" collapsed="false">
      <c r="A1153" s="124"/>
    </row>
    <row r="1154" customFormat="false" ht="14.5" hidden="false" customHeight="false" outlineLevel="0" collapsed="false">
      <c r="A1154" s="124"/>
    </row>
    <row r="1155" customFormat="false" ht="14.5" hidden="false" customHeight="false" outlineLevel="0" collapsed="false">
      <c r="A1155" s="124"/>
    </row>
    <row r="1156" customFormat="false" ht="14.5" hidden="false" customHeight="false" outlineLevel="0" collapsed="false">
      <c r="A1156" s="124"/>
    </row>
    <row r="1157" customFormat="false" ht="14.5" hidden="false" customHeight="false" outlineLevel="0" collapsed="false">
      <c r="A1157" s="124"/>
    </row>
    <row r="1158" customFormat="false" ht="14.5" hidden="false" customHeight="false" outlineLevel="0" collapsed="false">
      <c r="A1158" s="124"/>
    </row>
    <row r="1159" customFormat="false" ht="14.5" hidden="false" customHeight="false" outlineLevel="0" collapsed="false">
      <c r="A1159" s="124"/>
    </row>
    <row r="1160" customFormat="false" ht="14.5" hidden="false" customHeight="false" outlineLevel="0" collapsed="false">
      <c r="A1160" s="124"/>
    </row>
    <row r="1161" customFormat="false" ht="14.5" hidden="false" customHeight="false" outlineLevel="0" collapsed="false">
      <c r="A1161" s="124"/>
    </row>
    <row r="1162" customFormat="false" ht="14.5" hidden="false" customHeight="false" outlineLevel="0" collapsed="false">
      <c r="A1162" s="124"/>
    </row>
    <row r="1163" customFormat="false" ht="14.5" hidden="false" customHeight="false" outlineLevel="0" collapsed="false">
      <c r="A1163" s="124"/>
    </row>
    <row r="1164" customFormat="false" ht="14.5" hidden="false" customHeight="false" outlineLevel="0" collapsed="false">
      <c r="A1164" s="124"/>
    </row>
    <row r="1165" customFormat="false" ht="14.5" hidden="false" customHeight="false" outlineLevel="0" collapsed="false">
      <c r="A1165" s="124"/>
    </row>
    <row r="1166" customFormat="false" ht="14.5" hidden="false" customHeight="false" outlineLevel="0" collapsed="false">
      <c r="A1166" s="124"/>
    </row>
    <row r="1167" customFormat="false" ht="14.5" hidden="false" customHeight="false" outlineLevel="0" collapsed="false">
      <c r="A1167" s="124"/>
    </row>
    <row r="1168" customFormat="false" ht="14.5" hidden="false" customHeight="false" outlineLevel="0" collapsed="false">
      <c r="A1168" s="124"/>
    </row>
    <row r="1169" customFormat="false" ht="14.5" hidden="false" customHeight="false" outlineLevel="0" collapsed="false">
      <c r="A1169" s="124"/>
    </row>
    <row r="1170" customFormat="false" ht="14.5" hidden="false" customHeight="false" outlineLevel="0" collapsed="false">
      <c r="A1170" s="124"/>
    </row>
    <row r="1171" customFormat="false" ht="14.5" hidden="false" customHeight="false" outlineLevel="0" collapsed="false">
      <c r="A1171" s="124"/>
    </row>
    <row r="1172" customFormat="false" ht="14.5" hidden="false" customHeight="false" outlineLevel="0" collapsed="false">
      <c r="A1172" s="124"/>
    </row>
    <row r="1173" customFormat="false" ht="14.5" hidden="false" customHeight="false" outlineLevel="0" collapsed="false">
      <c r="A1173" s="124"/>
    </row>
    <row r="1174" customFormat="false" ht="14.5" hidden="false" customHeight="false" outlineLevel="0" collapsed="false">
      <c r="A1174" s="124"/>
    </row>
    <row r="1175" customFormat="false" ht="14.5" hidden="false" customHeight="false" outlineLevel="0" collapsed="false">
      <c r="A1175" s="124"/>
    </row>
    <row r="1176" customFormat="false" ht="14.5" hidden="false" customHeight="false" outlineLevel="0" collapsed="false">
      <c r="A1176" s="124"/>
    </row>
    <row r="1177" customFormat="false" ht="14.5" hidden="false" customHeight="false" outlineLevel="0" collapsed="false">
      <c r="A1177" s="124"/>
    </row>
    <row r="1178" customFormat="false" ht="14.5" hidden="false" customHeight="false" outlineLevel="0" collapsed="false">
      <c r="A1178" s="124"/>
    </row>
    <row r="1179" customFormat="false" ht="14.5" hidden="false" customHeight="false" outlineLevel="0" collapsed="false">
      <c r="A1179" s="124"/>
    </row>
    <row r="1180" customFormat="false" ht="14.5" hidden="false" customHeight="false" outlineLevel="0" collapsed="false">
      <c r="A1180" s="124"/>
    </row>
    <row r="1181" customFormat="false" ht="14.5" hidden="false" customHeight="false" outlineLevel="0" collapsed="false">
      <c r="A1181" s="124"/>
    </row>
    <row r="1182" customFormat="false" ht="14.5" hidden="false" customHeight="false" outlineLevel="0" collapsed="false">
      <c r="A1182" s="124"/>
    </row>
    <row r="1183" customFormat="false" ht="14.5" hidden="false" customHeight="false" outlineLevel="0" collapsed="false">
      <c r="A1183" s="124"/>
    </row>
    <row r="1184" customFormat="false" ht="14.5" hidden="false" customHeight="false" outlineLevel="0" collapsed="false">
      <c r="A1184" s="124"/>
    </row>
    <row r="1185" customFormat="false" ht="14.5" hidden="false" customHeight="false" outlineLevel="0" collapsed="false">
      <c r="A1185" s="124"/>
    </row>
    <row r="1186" customFormat="false" ht="14.5" hidden="false" customHeight="false" outlineLevel="0" collapsed="false">
      <c r="A1186" s="124"/>
    </row>
    <row r="1187" customFormat="false" ht="14.5" hidden="false" customHeight="false" outlineLevel="0" collapsed="false">
      <c r="A1187" s="124"/>
    </row>
    <row r="1188" customFormat="false" ht="14.5" hidden="false" customHeight="false" outlineLevel="0" collapsed="false">
      <c r="A1188" s="124"/>
    </row>
    <row r="1189" customFormat="false" ht="14.5" hidden="false" customHeight="false" outlineLevel="0" collapsed="false">
      <c r="A1189" s="124"/>
    </row>
    <row r="1190" customFormat="false" ht="14.5" hidden="false" customHeight="false" outlineLevel="0" collapsed="false">
      <c r="A1190" s="124"/>
    </row>
    <row r="1191" customFormat="false" ht="14.5" hidden="false" customHeight="false" outlineLevel="0" collapsed="false">
      <c r="A1191" s="124"/>
    </row>
    <row r="1192" customFormat="false" ht="14.5" hidden="false" customHeight="false" outlineLevel="0" collapsed="false">
      <c r="A1192" s="124"/>
    </row>
    <row r="1193" customFormat="false" ht="14.5" hidden="false" customHeight="false" outlineLevel="0" collapsed="false">
      <c r="A1193" s="124"/>
    </row>
    <row r="1194" customFormat="false" ht="14.5" hidden="false" customHeight="false" outlineLevel="0" collapsed="false">
      <c r="A1194" s="124"/>
    </row>
    <row r="1195" customFormat="false" ht="14.5" hidden="false" customHeight="false" outlineLevel="0" collapsed="false">
      <c r="A1195" s="124"/>
    </row>
    <row r="1196" customFormat="false" ht="14.5" hidden="false" customHeight="false" outlineLevel="0" collapsed="false">
      <c r="A1196" s="124"/>
    </row>
    <row r="1197" customFormat="false" ht="14.5" hidden="false" customHeight="false" outlineLevel="0" collapsed="false">
      <c r="A1197" s="124"/>
    </row>
    <row r="1198" customFormat="false" ht="14.5" hidden="false" customHeight="false" outlineLevel="0" collapsed="false">
      <c r="A1198" s="124"/>
    </row>
    <row r="1199" customFormat="false" ht="14.5" hidden="false" customHeight="false" outlineLevel="0" collapsed="false">
      <c r="A1199" s="124"/>
    </row>
    <row r="1200" customFormat="false" ht="14.5" hidden="false" customHeight="false" outlineLevel="0" collapsed="false">
      <c r="A1200" s="124"/>
    </row>
    <row r="1201" customFormat="false" ht="14.5" hidden="false" customHeight="false" outlineLevel="0" collapsed="false">
      <c r="A1201" s="124"/>
    </row>
    <row r="1202" customFormat="false" ht="14.5" hidden="false" customHeight="false" outlineLevel="0" collapsed="false">
      <c r="A1202" s="124"/>
    </row>
    <row r="1203" customFormat="false" ht="14.5" hidden="false" customHeight="false" outlineLevel="0" collapsed="false">
      <c r="A1203" s="124"/>
    </row>
    <row r="1204" customFormat="false" ht="14.5" hidden="false" customHeight="false" outlineLevel="0" collapsed="false">
      <c r="A1204" s="124"/>
    </row>
    <row r="1205" customFormat="false" ht="14.5" hidden="false" customHeight="false" outlineLevel="0" collapsed="false">
      <c r="A1205" s="124"/>
    </row>
    <row r="1206" customFormat="false" ht="14.5" hidden="false" customHeight="false" outlineLevel="0" collapsed="false">
      <c r="A1206" s="124"/>
    </row>
    <row r="1207" customFormat="false" ht="14.5" hidden="false" customHeight="false" outlineLevel="0" collapsed="false">
      <c r="A1207" s="124"/>
    </row>
    <row r="1208" customFormat="false" ht="14.5" hidden="false" customHeight="false" outlineLevel="0" collapsed="false">
      <c r="A1208" s="124"/>
    </row>
    <row r="1209" customFormat="false" ht="14.5" hidden="false" customHeight="false" outlineLevel="0" collapsed="false">
      <c r="A1209" s="124"/>
    </row>
    <row r="1210" customFormat="false" ht="14.5" hidden="false" customHeight="false" outlineLevel="0" collapsed="false">
      <c r="A1210" s="124"/>
    </row>
    <row r="1211" customFormat="false" ht="14.5" hidden="false" customHeight="false" outlineLevel="0" collapsed="false">
      <c r="A1211" s="124"/>
    </row>
    <row r="1212" customFormat="false" ht="14.5" hidden="false" customHeight="false" outlineLevel="0" collapsed="false">
      <c r="A1212" s="124"/>
    </row>
    <row r="1213" customFormat="false" ht="14.5" hidden="false" customHeight="false" outlineLevel="0" collapsed="false">
      <c r="A1213" s="124"/>
    </row>
    <row r="1214" customFormat="false" ht="14.5" hidden="false" customHeight="false" outlineLevel="0" collapsed="false">
      <c r="A1214" s="124"/>
    </row>
    <row r="1215" customFormat="false" ht="14.5" hidden="false" customHeight="false" outlineLevel="0" collapsed="false">
      <c r="A1215" s="124"/>
    </row>
    <row r="1216" customFormat="false" ht="14.5" hidden="false" customHeight="false" outlineLevel="0" collapsed="false">
      <c r="A1216" s="124"/>
    </row>
    <row r="1217" customFormat="false" ht="14.5" hidden="false" customHeight="false" outlineLevel="0" collapsed="false">
      <c r="A1217" s="124"/>
    </row>
    <row r="1218" customFormat="false" ht="14.5" hidden="false" customHeight="false" outlineLevel="0" collapsed="false">
      <c r="A1218" s="124"/>
    </row>
    <row r="1219" customFormat="false" ht="14.5" hidden="false" customHeight="false" outlineLevel="0" collapsed="false">
      <c r="A1219" s="124"/>
    </row>
    <row r="1220" customFormat="false" ht="14.5" hidden="false" customHeight="false" outlineLevel="0" collapsed="false">
      <c r="A1220" s="124"/>
    </row>
    <row r="1221" customFormat="false" ht="14.5" hidden="false" customHeight="false" outlineLevel="0" collapsed="false">
      <c r="A1221" s="124"/>
    </row>
    <row r="1222" customFormat="false" ht="14.5" hidden="false" customHeight="false" outlineLevel="0" collapsed="false">
      <c r="A1222" s="124"/>
    </row>
    <row r="1223" customFormat="false" ht="14.5" hidden="false" customHeight="false" outlineLevel="0" collapsed="false">
      <c r="A1223" s="124"/>
    </row>
    <row r="1224" customFormat="false" ht="14.5" hidden="false" customHeight="false" outlineLevel="0" collapsed="false">
      <c r="A1224" s="124"/>
    </row>
    <row r="1225" customFormat="false" ht="14.5" hidden="false" customHeight="false" outlineLevel="0" collapsed="false">
      <c r="A1225" s="124"/>
    </row>
    <row r="1226" customFormat="false" ht="14.5" hidden="false" customHeight="false" outlineLevel="0" collapsed="false">
      <c r="A1226" s="124"/>
    </row>
    <row r="1227" customFormat="false" ht="14.5" hidden="false" customHeight="false" outlineLevel="0" collapsed="false">
      <c r="A1227" s="124"/>
    </row>
    <row r="1228" customFormat="false" ht="14.5" hidden="false" customHeight="false" outlineLevel="0" collapsed="false">
      <c r="A1228" s="124"/>
    </row>
    <row r="1229" customFormat="false" ht="14.5" hidden="false" customHeight="false" outlineLevel="0" collapsed="false">
      <c r="A1229" s="124"/>
    </row>
    <row r="1230" customFormat="false" ht="14.5" hidden="false" customHeight="false" outlineLevel="0" collapsed="false">
      <c r="A1230" s="124"/>
    </row>
    <row r="1231" customFormat="false" ht="14.5" hidden="false" customHeight="false" outlineLevel="0" collapsed="false">
      <c r="A1231" s="124"/>
    </row>
    <row r="1232" customFormat="false" ht="14.5" hidden="false" customHeight="false" outlineLevel="0" collapsed="false">
      <c r="A1232" s="124"/>
    </row>
    <row r="1233" customFormat="false" ht="14.5" hidden="false" customHeight="false" outlineLevel="0" collapsed="false">
      <c r="A1233" s="124"/>
    </row>
    <row r="1234" customFormat="false" ht="14.5" hidden="false" customHeight="false" outlineLevel="0" collapsed="false">
      <c r="A1234" s="124"/>
    </row>
    <row r="1235" customFormat="false" ht="14.5" hidden="false" customHeight="false" outlineLevel="0" collapsed="false">
      <c r="A1235" s="124"/>
    </row>
    <row r="1236" customFormat="false" ht="14.5" hidden="false" customHeight="false" outlineLevel="0" collapsed="false">
      <c r="A1236" s="124"/>
    </row>
    <row r="1237" customFormat="false" ht="14.5" hidden="false" customHeight="false" outlineLevel="0" collapsed="false">
      <c r="A1237" s="124"/>
    </row>
    <row r="1238" customFormat="false" ht="14.5" hidden="false" customHeight="false" outlineLevel="0" collapsed="false">
      <c r="A1238" s="124"/>
    </row>
    <row r="1239" customFormat="false" ht="14.5" hidden="false" customHeight="false" outlineLevel="0" collapsed="false">
      <c r="A1239" s="124"/>
    </row>
    <row r="1240" customFormat="false" ht="14.5" hidden="false" customHeight="false" outlineLevel="0" collapsed="false">
      <c r="A1240" s="124"/>
    </row>
    <row r="1241" customFormat="false" ht="14.5" hidden="false" customHeight="false" outlineLevel="0" collapsed="false">
      <c r="A1241" s="124"/>
    </row>
    <row r="1242" customFormat="false" ht="14.5" hidden="false" customHeight="false" outlineLevel="0" collapsed="false">
      <c r="A1242" s="124"/>
    </row>
    <row r="1243" customFormat="false" ht="14.5" hidden="false" customHeight="false" outlineLevel="0" collapsed="false">
      <c r="A1243" s="124"/>
    </row>
    <row r="1244" customFormat="false" ht="14.5" hidden="false" customHeight="false" outlineLevel="0" collapsed="false">
      <c r="A1244" s="124"/>
    </row>
    <row r="1245" customFormat="false" ht="14.5" hidden="false" customHeight="false" outlineLevel="0" collapsed="false">
      <c r="A1245" s="124"/>
    </row>
    <row r="1246" customFormat="false" ht="14.5" hidden="false" customHeight="false" outlineLevel="0" collapsed="false">
      <c r="A1246" s="124"/>
    </row>
    <row r="1247" customFormat="false" ht="14.5" hidden="false" customHeight="false" outlineLevel="0" collapsed="false">
      <c r="A1247" s="124"/>
    </row>
    <row r="1248" customFormat="false" ht="14.5" hidden="false" customHeight="false" outlineLevel="0" collapsed="false">
      <c r="A1248" s="124"/>
    </row>
    <row r="1249" customFormat="false" ht="14.5" hidden="false" customHeight="false" outlineLevel="0" collapsed="false">
      <c r="A1249" s="124"/>
    </row>
    <row r="1250" customFormat="false" ht="14.5" hidden="false" customHeight="false" outlineLevel="0" collapsed="false">
      <c r="A1250" s="124"/>
    </row>
    <row r="1251" customFormat="false" ht="14.5" hidden="false" customHeight="false" outlineLevel="0" collapsed="false">
      <c r="A1251" s="124"/>
    </row>
    <row r="1252" customFormat="false" ht="14.5" hidden="false" customHeight="false" outlineLevel="0" collapsed="false">
      <c r="A1252" s="124"/>
    </row>
    <row r="1253" customFormat="false" ht="14.5" hidden="false" customHeight="false" outlineLevel="0" collapsed="false">
      <c r="A1253" s="124"/>
    </row>
    <row r="1254" customFormat="false" ht="14.5" hidden="false" customHeight="false" outlineLevel="0" collapsed="false">
      <c r="A1254" s="124"/>
    </row>
    <row r="1255" customFormat="false" ht="14.5" hidden="false" customHeight="false" outlineLevel="0" collapsed="false">
      <c r="A1255" s="124"/>
    </row>
    <row r="1256" customFormat="false" ht="14.5" hidden="false" customHeight="false" outlineLevel="0" collapsed="false">
      <c r="A1256" s="124"/>
    </row>
    <row r="1257" customFormat="false" ht="14.5" hidden="false" customHeight="false" outlineLevel="0" collapsed="false">
      <c r="A1257" s="124"/>
    </row>
    <row r="1258" customFormat="false" ht="14.5" hidden="false" customHeight="false" outlineLevel="0" collapsed="false">
      <c r="A1258" s="124"/>
    </row>
    <row r="1259" customFormat="false" ht="14.5" hidden="false" customHeight="false" outlineLevel="0" collapsed="false">
      <c r="A1259" s="124"/>
    </row>
    <row r="1260" customFormat="false" ht="14.5" hidden="false" customHeight="false" outlineLevel="0" collapsed="false">
      <c r="A1260" s="124"/>
    </row>
    <row r="1261" customFormat="false" ht="14.5" hidden="false" customHeight="false" outlineLevel="0" collapsed="false">
      <c r="A1261" s="124"/>
    </row>
    <row r="1262" customFormat="false" ht="14.5" hidden="false" customHeight="false" outlineLevel="0" collapsed="false">
      <c r="A1262" s="124"/>
    </row>
    <row r="1263" customFormat="false" ht="14.5" hidden="false" customHeight="false" outlineLevel="0" collapsed="false">
      <c r="A1263" s="124"/>
    </row>
    <row r="1264" customFormat="false" ht="14.5" hidden="false" customHeight="false" outlineLevel="0" collapsed="false">
      <c r="A1264" s="124"/>
    </row>
    <row r="1265" customFormat="false" ht="14.5" hidden="false" customHeight="false" outlineLevel="0" collapsed="false">
      <c r="A1265" s="124"/>
    </row>
    <row r="1266" customFormat="false" ht="14.5" hidden="false" customHeight="false" outlineLevel="0" collapsed="false">
      <c r="A1266" s="124"/>
    </row>
    <row r="1267" customFormat="false" ht="14.5" hidden="false" customHeight="false" outlineLevel="0" collapsed="false">
      <c r="A1267" s="124"/>
    </row>
    <row r="1268" customFormat="false" ht="14.5" hidden="false" customHeight="false" outlineLevel="0" collapsed="false">
      <c r="A1268" s="124"/>
    </row>
    <row r="1269" customFormat="false" ht="14.5" hidden="false" customHeight="false" outlineLevel="0" collapsed="false">
      <c r="A1269" s="124"/>
    </row>
    <row r="1270" customFormat="false" ht="14.5" hidden="false" customHeight="false" outlineLevel="0" collapsed="false">
      <c r="A1270" s="124"/>
    </row>
    <row r="1271" customFormat="false" ht="14.5" hidden="false" customHeight="false" outlineLevel="0" collapsed="false">
      <c r="A1271" s="124"/>
    </row>
    <row r="1272" customFormat="false" ht="14.5" hidden="false" customHeight="false" outlineLevel="0" collapsed="false">
      <c r="A1272" s="124"/>
    </row>
    <row r="1273" customFormat="false" ht="14.5" hidden="false" customHeight="false" outlineLevel="0" collapsed="false">
      <c r="A1273" s="124"/>
    </row>
    <row r="1274" customFormat="false" ht="14.5" hidden="false" customHeight="false" outlineLevel="0" collapsed="false">
      <c r="A1274" s="124"/>
    </row>
    <row r="1275" customFormat="false" ht="14.5" hidden="false" customHeight="false" outlineLevel="0" collapsed="false">
      <c r="A1275" s="124"/>
    </row>
    <row r="1276" customFormat="false" ht="14.5" hidden="false" customHeight="false" outlineLevel="0" collapsed="false">
      <c r="A1276" s="124"/>
    </row>
    <row r="1277" customFormat="false" ht="14.5" hidden="false" customHeight="false" outlineLevel="0" collapsed="false">
      <c r="A1277" s="124"/>
    </row>
    <row r="1278" customFormat="false" ht="14.5" hidden="false" customHeight="false" outlineLevel="0" collapsed="false">
      <c r="A1278" s="124"/>
    </row>
    <row r="1279" customFormat="false" ht="14.5" hidden="false" customHeight="false" outlineLevel="0" collapsed="false">
      <c r="A1279" s="124"/>
    </row>
    <row r="1280" customFormat="false" ht="14.5" hidden="false" customHeight="false" outlineLevel="0" collapsed="false">
      <c r="A1280" s="124"/>
    </row>
    <row r="1281" customFormat="false" ht="14.5" hidden="false" customHeight="false" outlineLevel="0" collapsed="false">
      <c r="A1281" s="124"/>
    </row>
    <row r="1282" customFormat="false" ht="14.5" hidden="false" customHeight="false" outlineLevel="0" collapsed="false">
      <c r="A1282" s="124"/>
    </row>
    <row r="1283" customFormat="false" ht="14.5" hidden="false" customHeight="false" outlineLevel="0" collapsed="false">
      <c r="A1283" s="124"/>
    </row>
    <row r="1284" customFormat="false" ht="14.5" hidden="false" customHeight="false" outlineLevel="0" collapsed="false">
      <c r="A1284" s="124"/>
    </row>
    <row r="1285" customFormat="false" ht="14.5" hidden="false" customHeight="false" outlineLevel="0" collapsed="false">
      <c r="A1285" s="124"/>
    </row>
    <row r="1286" customFormat="false" ht="14.5" hidden="false" customHeight="false" outlineLevel="0" collapsed="false">
      <c r="A1286" s="124"/>
    </row>
    <row r="1287" customFormat="false" ht="14.5" hidden="false" customHeight="false" outlineLevel="0" collapsed="false">
      <c r="A1287" s="124"/>
    </row>
    <row r="1288" customFormat="false" ht="14.5" hidden="false" customHeight="false" outlineLevel="0" collapsed="false">
      <c r="A1288" s="124"/>
    </row>
    <row r="1289" customFormat="false" ht="14.5" hidden="false" customHeight="false" outlineLevel="0" collapsed="false">
      <c r="A1289" s="124"/>
    </row>
    <row r="1290" customFormat="false" ht="14.5" hidden="false" customHeight="false" outlineLevel="0" collapsed="false">
      <c r="A1290" s="124"/>
    </row>
    <row r="1291" customFormat="false" ht="14.5" hidden="false" customHeight="false" outlineLevel="0" collapsed="false">
      <c r="A1291" s="124"/>
    </row>
    <row r="1292" customFormat="false" ht="14.5" hidden="false" customHeight="false" outlineLevel="0" collapsed="false">
      <c r="A1292" s="124"/>
    </row>
    <row r="1293" customFormat="false" ht="14.5" hidden="false" customHeight="false" outlineLevel="0" collapsed="false">
      <c r="A1293" s="124"/>
    </row>
    <row r="1294" customFormat="false" ht="14.5" hidden="false" customHeight="false" outlineLevel="0" collapsed="false">
      <c r="A1294" s="124"/>
    </row>
    <row r="1295" customFormat="false" ht="14.5" hidden="false" customHeight="false" outlineLevel="0" collapsed="false">
      <c r="A1295" s="124"/>
    </row>
    <row r="1296" customFormat="false" ht="14.5" hidden="false" customHeight="false" outlineLevel="0" collapsed="false">
      <c r="A1296" s="124"/>
    </row>
    <row r="1297" customFormat="false" ht="14.5" hidden="false" customHeight="false" outlineLevel="0" collapsed="false">
      <c r="A1297" s="124"/>
    </row>
    <row r="1298" customFormat="false" ht="14.5" hidden="false" customHeight="false" outlineLevel="0" collapsed="false">
      <c r="A1298" s="124"/>
    </row>
    <row r="1299" customFormat="false" ht="14.5" hidden="false" customHeight="false" outlineLevel="0" collapsed="false">
      <c r="A1299" s="124"/>
    </row>
    <row r="1300" customFormat="false" ht="14.5" hidden="false" customHeight="false" outlineLevel="0" collapsed="false">
      <c r="A1300" s="124"/>
    </row>
    <row r="1301" customFormat="false" ht="14.5" hidden="false" customHeight="false" outlineLevel="0" collapsed="false">
      <c r="A1301" s="124"/>
    </row>
    <row r="1302" customFormat="false" ht="14.5" hidden="false" customHeight="false" outlineLevel="0" collapsed="false">
      <c r="A1302" s="124"/>
    </row>
    <row r="1303" customFormat="false" ht="14.5" hidden="false" customHeight="false" outlineLevel="0" collapsed="false">
      <c r="A1303" s="124"/>
    </row>
    <row r="1304" customFormat="false" ht="14.5" hidden="false" customHeight="false" outlineLevel="0" collapsed="false">
      <c r="A1304" s="124"/>
    </row>
    <row r="1305" customFormat="false" ht="14.5" hidden="false" customHeight="false" outlineLevel="0" collapsed="false">
      <c r="A1305" s="124"/>
    </row>
    <row r="1306" customFormat="false" ht="14.5" hidden="false" customHeight="false" outlineLevel="0" collapsed="false">
      <c r="A1306" s="124"/>
    </row>
    <row r="1307" customFormat="false" ht="14.5" hidden="false" customHeight="false" outlineLevel="0" collapsed="false">
      <c r="A1307" s="124"/>
    </row>
    <row r="1308" customFormat="false" ht="14.5" hidden="false" customHeight="false" outlineLevel="0" collapsed="false">
      <c r="A1308" s="124"/>
    </row>
    <row r="1309" customFormat="false" ht="14.5" hidden="false" customHeight="false" outlineLevel="0" collapsed="false">
      <c r="A1309" s="124"/>
    </row>
    <row r="1310" customFormat="false" ht="14.5" hidden="false" customHeight="false" outlineLevel="0" collapsed="false">
      <c r="A1310" s="124"/>
    </row>
    <row r="1311" customFormat="false" ht="14.5" hidden="false" customHeight="false" outlineLevel="0" collapsed="false">
      <c r="A1311" s="124"/>
    </row>
    <row r="1312" customFormat="false" ht="14.5" hidden="false" customHeight="false" outlineLevel="0" collapsed="false">
      <c r="A1312" s="124"/>
    </row>
    <row r="1313" customFormat="false" ht="14.5" hidden="false" customHeight="false" outlineLevel="0" collapsed="false">
      <c r="A1313" s="124"/>
    </row>
    <row r="1314" customFormat="false" ht="14.5" hidden="false" customHeight="false" outlineLevel="0" collapsed="false">
      <c r="A1314" s="124"/>
    </row>
    <row r="1315" customFormat="false" ht="14.5" hidden="false" customHeight="false" outlineLevel="0" collapsed="false">
      <c r="A1315" s="124"/>
    </row>
    <row r="1316" customFormat="false" ht="14.5" hidden="false" customHeight="false" outlineLevel="0" collapsed="false">
      <c r="A1316" s="124"/>
    </row>
    <row r="1317" customFormat="false" ht="14.5" hidden="false" customHeight="false" outlineLevel="0" collapsed="false">
      <c r="A1317" s="124"/>
    </row>
    <row r="1318" customFormat="false" ht="14.5" hidden="false" customHeight="false" outlineLevel="0" collapsed="false">
      <c r="A1318" s="124"/>
    </row>
    <row r="1319" customFormat="false" ht="14.5" hidden="false" customHeight="false" outlineLevel="0" collapsed="false">
      <c r="A1319" s="124"/>
    </row>
    <row r="1320" customFormat="false" ht="14.5" hidden="false" customHeight="false" outlineLevel="0" collapsed="false">
      <c r="A1320" s="124"/>
    </row>
    <row r="1321" customFormat="false" ht="14.5" hidden="false" customHeight="false" outlineLevel="0" collapsed="false">
      <c r="A1321" s="124"/>
    </row>
    <row r="1322" customFormat="false" ht="14.5" hidden="false" customHeight="false" outlineLevel="0" collapsed="false">
      <c r="A1322" s="124"/>
    </row>
    <row r="1323" customFormat="false" ht="14.5" hidden="false" customHeight="false" outlineLevel="0" collapsed="false">
      <c r="A1323" s="124"/>
    </row>
    <row r="1324" customFormat="false" ht="14.5" hidden="false" customHeight="false" outlineLevel="0" collapsed="false">
      <c r="A1324" s="124"/>
    </row>
    <row r="1325" customFormat="false" ht="14.5" hidden="false" customHeight="false" outlineLevel="0" collapsed="false">
      <c r="A1325" s="124"/>
    </row>
    <row r="1326" customFormat="false" ht="14.5" hidden="false" customHeight="false" outlineLevel="0" collapsed="false">
      <c r="A1326" s="124"/>
    </row>
    <row r="1327" customFormat="false" ht="14.5" hidden="false" customHeight="false" outlineLevel="0" collapsed="false">
      <c r="A1327" s="124"/>
    </row>
    <row r="1328" customFormat="false" ht="14.5" hidden="false" customHeight="false" outlineLevel="0" collapsed="false">
      <c r="A1328" s="124"/>
    </row>
    <row r="1329" customFormat="false" ht="14.5" hidden="false" customHeight="false" outlineLevel="0" collapsed="false">
      <c r="A1329" s="124"/>
    </row>
    <row r="1330" customFormat="false" ht="14.5" hidden="false" customHeight="false" outlineLevel="0" collapsed="false">
      <c r="A1330" s="124"/>
    </row>
    <row r="1331" customFormat="false" ht="14.5" hidden="false" customHeight="false" outlineLevel="0" collapsed="false">
      <c r="A1331" s="124"/>
    </row>
    <row r="1332" customFormat="false" ht="14.5" hidden="false" customHeight="false" outlineLevel="0" collapsed="false">
      <c r="A1332" s="124"/>
    </row>
    <row r="1333" customFormat="false" ht="14.5" hidden="false" customHeight="false" outlineLevel="0" collapsed="false">
      <c r="A1333" s="124"/>
    </row>
    <row r="1334" customFormat="false" ht="14.5" hidden="false" customHeight="false" outlineLevel="0" collapsed="false">
      <c r="A1334" s="124"/>
    </row>
    <row r="1335" customFormat="false" ht="14.5" hidden="false" customHeight="false" outlineLevel="0" collapsed="false">
      <c r="A1335" s="124"/>
    </row>
    <row r="1336" customFormat="false" ht="14.5" hidden="false" customHeight="false" outlineLevel="0" collapsed="false">
      <c r="A1336" s="124"/>
    </row>
    <row r="1337" customFormat="false" ht="14.5" hidden="false" customHeight="false" outlineLevel="0" collapsed="false">
      <c r="A1337" s="124"/>
    </row>
    <row r="1338" customFormat="false" ht="14.5" hidden="false" customHeight="false" outlineLevel="0" collapsed="false">
      <c r="A1338" s="124"/>
    </row>
    <row r="1339" customFormat="false" ht="14.5" hidden="false" customHeight="false" outlineLevel="0" collapsed="false">
      <c r="A1339" s="124"/>
    </row>
    <row r="1340" customFormat="false" ht="14.5" hidden="false" customHeight="false" outlineLevel="0" collapsed="false">
      <c r="A1340" s="124"/>
    </row>
    <row r="1341" customFormat="false" ht="14.5" hidden="false" customHeight="false" outlineLevel="0" collapsed="false">
      <c r="A1341" s="124"/>
    </row>
    <row r="1342" customFormat="false" ht="14.5" hidden="false" customHeight="false" outlineLevel="0" collapsed="false">
      <c r="A1342" s="124"/>
    </row>
    <row r="1343" customFormat="false" ht="14.5" hidden="false" customHeight="false" outlineLevel="0" collapsed="false">
      <c r="A1343" s="124"/>
    </row>
    <row r="1344" customFormat="false" ht="14.5" hidden="false" customHeight="false" outlineLevel="0" collapsed="false">
      <c r="A1344" s="124"/>
    </row>
    <row r="1345" customFormat="false" ht="14.5" hidden="false" customHeight="false" outlineLevel="0" collapsed="false">
      <c r="A1345" s="124"/>
    </row>
    <row r="1346" customFormat="false" ht="14.5" hidden="false" customHeight="false" outlineLevel="0" collapsed="false">
      <c r="A1346" s="124"/>
    </row>
    <row r="1347" customFormat="false" ht="14.5" hidden="false" customHeight="false" outlineLevel="0" collapsed="false">
      <c r="A1347" s="124"/>
    </row>
    <row r="1348" customFormat="false" ht="14.5" hidden="false" customHeight="false" outlineLevel="0" collapsed="false">
      <c r="A1348" s="124"/>
    </row>
    <row r="1349" customFormat="false" ht="14.5" hidden="false" customHeight="false" outlineLevel="0" collapsed="false">
      <c r="A1349" s="124"/>
    </row>
    <row r="1350" customFormat="false" ht="14.5" hidden="false" customHeight="false" outlineLevel="0" collapsed="false">
      <c r="A1350" s="124"/>
    </row>
    <row r="1351" customFormat="false" ht="14.5" hidden="false" customHeight="false" outlineLevel="0" collapsed="false">
      <c r="A1351" s="124"/>
    </row>
    <row r="1352" customFormat="false" ht="14.5" hidden="false" customHeight="false" outlineLevel="0" collapsed="false">
      <c r="A1352" s="124"/>
    </row>
    <row r="1353" customFormat="false" ht="14.5" hidden="false" customHeight="false" outlineLevel="0" collapsed="false">
      <c r="A1353" s="124"/>
    </row>
    <row r="1354" customFormat="false" ht="14.5" hidden="false" customHeight="false" outlineLevel="0" collapsed="false">
      <c r="A1354" s="124"/>
    </row>
    <row r="1355" customFormat="false" ht="14.5" hidden="false" customHeight="false" outlineLevel="0" collapsed="false">
      <c r="A1355" s="124"/>
    </row>
    <row r="1356" customFormat="false" ht="14.5" hidden="false" customHeight="false" outlineLevel="0" collapsed="false">
      <c r="A1356" s="124"/>
    </row>
    <row r="1357" customFormat="false" ht="14.5" hidden="false" customHeight="false" outlineLevel="0" collapsed="false">
      <c r="A1357" s="124"/>
    </row>
    <row r="1358" customFormat="false" ht="14.5" hidden="false" customHeight="false" outlineLevel="0" collapsed="false">
      <c r="A1358" s="124"/>
    </row>
    <row r="1359" customFormat="false" ht="14.5" hidden="false" customHeight="false" outlineLevel="0" collapsed="false">
      <c r="A1359" s="124"/>
    </row>
    <row r="1360" customFormat="false" ht="14.5" hidden="false" customHeight="false" outlineLevel="0" collapsed="false">
      <c r="A1360" s="124"/>
    </row>
    <row r="1361" customFormat="false" ht="14.5" hidden="false" customHeight="false" outlineLevel="0" collapsed="false">
      <c r="A1361" s="124"/>
    </row>
    <row r="1362" customFormat="false" ht="14.5" hidden="false" customHeight="false" outlineLevel="0" collapsed="false">
      <c r="A1362" s="124"/>
    </row>
    <row r="1363" customFormat="false" ht="14.5" hidden="false" customHeight="false" outlineLevel="0" collapsed="false">
      <c r="A1363" s="124"/>
    </row>
    <row r="1364" customFormat="false" ht="14.5" hidden="false" customHeight="false" outlineLevel="0" collapsed="false">
      <c r="A1364" s="124"/>
    </row>
    <row r="1365" customFormat="false" ht="14.5" hidden="false" customHeight="false" outlineLevel="0" collapsed="false">
      <c r="A1365" s="124"/>
    </row>
    <row r="1366" customFormat="false" ht="14.5" hidden="false" customHeight="false" outlineLevel="0" collapsed="false">
      <c r="A1366" s="124"/>
    </row>
    <row r="1367" customFormat="false" ht="14.5" hidden="false" customHeight="false" outlineLevel="0" collapsed="false">
      <c r="A1367" s="124"/>
    </row>
    <row r="1368" customFormat="false" ht="14.5" hidden="false" customHeight="false" outlineLevel="0" collapsed="false">
      <c r="A1368" s="124"/>
    </row>
    <row r="1369" customFormat="false" ht="14.5" hidden="false" customHeight="false" outlineLevel="0" collapsed="false">
      <c r="A1369" s="124"/>
    </row>
    <row r="1370" customFormat="false" ht="14.5" hidden="false" customHeight="false" outlineLevel="0" collapsed="false">
      <c r="A1370" s="124"/>
    </row>
    <row r="1371" customFormat="false" ht="14.5" hidden="false" customHeight="false" outlineLevel="0" collapsed="false">
      <c r="A1371" s="124"/>
    </row>
    <row r="1372" customFormat="false" ht="14.5" hidden="false" customHeight="false" outlineLevel="0" collapsed="false">
      <c r="A1372" s="124"/>
    </row>
    <row r="1373" customFormat="false" ht="14.5" hidden="false" customHeight="false" outlineLevel="0" collapsed="false">
      <c r="A1373" s="124"/>
    </row>
    <row r="1374" customFormat="false" ht="14.5" hidden="false" customHeight="false" outlineLevel="0" collapsed="false">
      <c r="A1374" s="124"/>
    </row>
    <row r="1375" customFormat="false" ht="14.5" hidden="false" customHeight="false" outlineLevel="0" collapsed="false">
      <c r="A1375" s="124"/>
    </row>
    <row r="1376" customFormat="false" ht="14.5" hidden="false" customHeight="false" outlineLevel="0" collapsed="false">
      <c r="A1376" s="124"/>
    </row>
    <row r="1377" customFormat="false" ht="14.5" hidden="false" customHeight="false" outlineLevel="0" collapsed="false">
      <c r="A1377" s="124"/>
    </row>
    <row r="1378" customFormat="false" ht="14.5" hidden="false" customHeight="false" outlineLevel="0" collapsed="false">
      <c r="A1378" s="124"/>
    </row>
    <row r="1379" customFormat="false" ht="14.5" hidden="false" customHeight="false" outlineLevel="0" collapsed="false">
      <c r="A1379" s="124"/>
    </row>
    <row r="1380" customFormat="false" ht="14.5" hidden="false" customHeight="false" outlineLevel="0" collapsed="false">
      <c r="A1380" s="124"/>
    </row>
    <row r="1381" customFormat="false" ht="14.5" hidden="false" customHeight="false" outlineLevel="0" collapsed="false">
      <c r="A1381" s="124"/>
    </row>
    <row r="1382" customFormat="false" ht="14.5" hidden="false" customHeight="false" outlineLevel="0" collapsed="false">
      <c r="A1382" s="124"/>
    </row>
    <row r="1383" customFormat="false" ht="14.5" hidden="false" customHeight="false" outlineLevel="0" collapsed="false">
      <c r="A1383" s="124"/>
    </row>
    <row r="1384" customFormat="false" ht="14.5" hidden="false" customHeight="false" outlineLevel="0" collapsed="false">
      <c r="A1384" s="124"/>
    </row>
    <row r="1385" customFormat="false" ht="14.5" hidden="false" customHeight="false" outlineLevel="0" collapsed="false">
      <c r="A1385" s="124"/>
    </row>
    <row r="1386" customFormat="false" ht="14.5" hidden="false" customHeight="false" outlineLevel="0" collapsed="false">
      <c r="A1386" s="124"/>
    </row>
    <row r="1387" customFormat="false" ht="14.5" hidden="false" customHeight="false" outlineLevel="0" collapsed="false">
      <c r="A1387" s="124"/>
    </row>
    <row r="1388" customFormat="false" ht="14.5" hidden="false" customHeight="false" outlineLevel="0" collapsed="false">
      <c r="A1388" s="124"/>
    </row>
    <row r="1389" customFormat="false" ht="14.5" hidden="false" customHeight="false" outlineLevel="0" collapsed="false">
      <c r="A1389" s="124"/>
    </row>
    <row r="1390" customFormat="false" ht="14.5" hidden="false" customHeight="false" outlineLevel="0" collapsed="false">
      <c r="A1390" s="124"/>
    </row>
    <row r="1391" customFormat="false" ht="14.5" hidden="false" customHeight="false" outlineLevel="0" collapsed="false">
      <c r="A1391" s="124"/>
    </row>
    <row r="1392" customFormat="false" ht="14.5" hidden="false" customHeight="false" outlineLevel="0" collapsed="false">
      <c r="A1392" s="124"/>
    </row>
    <row r="1393" customFormat="false" ht="14.5" hidden="false" customHeight="false" outlineLevel="0" collapsed="false">
      <c r="A1393" s="124"/>
    </row>
    <row r="1394" customFormat="false" ht="14.5" hidden="false" customHeight="false" outlineLevel="0" collapsed="false">
      <c r="A1394" s="124"/>
    </row>
    <row r="1395" customFormat="false" ht="14.5" hidden="false" customHeight="false" outlineLevel="0" collapsed="false">
      <c r="A1395" s="124"/>
    </row>
    <row r="1396" customFormat="false" ht="14.5" hidden="false" customHeight="false" outlineLevel="0" collapsed="false">
      <c r="A1396" s="124"/>
    </row>
    <row r="1397" customFormat="false" ht="14.5" hidden="false" customHeight="false" outlineLevel="0" collapsed="false">
      <c r="A1397" s="124"/>
    </row>
    <row r="1398" customFormat="false" ht="14.5" hidden="false" customHeight="false" outlineLevel="0" collapsed="false">
      <c r="A1398" s="124"/>
    </row>
    <row r="1399" customFormat="false" ht="14.5" hidden="false" customHeight="false" outlineLevel="0" collapsed="false">
      <c r="A1399" s="124"/>
    </row>
    <row r="1400" customFormat="false" ht="14.5" hidden="false" customHeight="false" outlineLevel="0" collapsed="false">
      <c r="A1400" s="124"/>
    </row>
    <row r="1401" customFormat="false" ht="14.5" hidden="false" customHeight="false" outlineLevel="0" collapsed="false">
      <c r="A1401" s="124"/>
    </row>
    <row r="1402" customFormat="false" ht="14.5" hidden="false" customHeight="false" outlineLevel="0" collapsed="false">
      <c r="A1402" s="124"/>
    </row>
    <row r="1403" customFormat="false" ht="14.5" hidden="false" customHeight="false" outlineLevel="0" collapsed="false">
      <c r="A1403" s="124"/>
    </row>
    <row r="1404" customFormat="false" ht="14.5" hidden="false" customHeight="false" outlineLevel="0" collapsed="false">
      <c r="A1404" s="124"/>
    </row>
    <row r="1405" customFormat="false" ht="14.5" hidden="false" customHeight="false" outlineLevel="0" collapsed="false">
      <c r="A1405" s="124"/>
    </row>
    <row r="1406" customFormat="false" ht="14.5" hidden="false" customHeight="false" outlineLevel="0" collapsed="false">
      <c r="A1406" s="124"/>
    </row>
    <row r="1407" customFormat="false" ht="14.5" hidden="false" customHeight="false" outlineLevel="0" collapsed="false">
      <c r="A1407" s="124"/>
    </row>
    <row r="1408" customFormat="false" ht="14.5" hidden="false" customHeight="false" outlineLevel="0" collapsed="false">
      <c r="A1408" s="124"/>
    </row>
    <row r="1409" customFormat="false" ht="14.5" hidden="false" customHeight="false" outlineLevel="0" collapsed="false">
      <c r="A1409" s="124"/>
    </row>
    <row r="1410" customFormat="false" ht="14.5" hidden="false" customHeight="false" outlineLevel="0" collapsed="false">
      <c r="A1410" s="124"/>
    </row>
    <row r="1411" customFormat="false" ht="14.5" hidden="false" customHeight="false" outlineLevel="0" collapsed="false">
      <c r="A1411" s="124"/>
    </row>
    <row r="1412" customFormat="false" ht="14.5" hidden="false" customHeight="false" outlineLevel="0" collapsed="false">
      <c r="A1412" s="124"/>
    </row>
    <row r="1413" customFormat="false" ht="14.5" hidden="false" customHeight="false" outlineLevel="0" collapsed="false">
      <c r="A1413" s="124"/>
    </row>
    <row r="1414" customFormat="false" ht="14.5" hidden="false" customHeight="false" outlineLevel="0" collapsed="false">
      <c r="A1414" s="124"/>
    </row>
    <row r="1415" customFormat="false" ht="14.5" hidden="false" customHeight="false" outlineLevel="0" collapsed="false">
      <c r="A1415" s="124"/>
    </row>
    <row r="1416" customFormat="false" ht="14.5" hidden="false" customHeight="false" outlineLevel="0" collapsed="false">
      <c r="A1416" s="124"/>
    </row>
    <row r="1417" customFormat="false" ht="14.5" hidden="false" customHeight="false" outlineLevel="0" collapsed="false">
      <c r="A1417" s="124"/>
    </row>
    <row r="1418" customFormat="false" ht="14.5" hidden="false" customHeight="false" outlineLevel="0" collapsed="false">
      <c r="A1418" s="124"/>
    </row>
    <row r="1419" customFormat="false" ht="14.5" hidden="false" customHeight="false" outlineLevel="0" collapsed="false">
      <c r="A1419" s="124"/>
    </row>
    <row r="1420" customFormat="false" ht="14.5" hidden="false" customHeight="false" outlineLevel="0" collapsed="false">
      <c r="A1420" s="124"/>
    </row>
    <row r="1421" customFormat="false" ht="14.5" hidden="false" customHeight="false" outlineLevel="0" collapsed="false">
      <c r="A1421" s="124"/>
    </row>
    <row r="1422" customFormat="false" ht="14.5" hidden="false" customHeight="false" outlineLevel="0" collapsed="false">
      <c r="A1422" s="124"/>
    </row>
    <row r="1423" customFormat="false" ht="14.5" hidden="false" customHeight="false" outlineLevel="0" collapsed="false">
      <c r="A1423" s="124"/>
    </row>
    <row r="1424" customFormat="false" ht="14.5" hidden="false" customHeight="false" outlineLevel="0" collapsed="false">
      <c r="A1424" s="124"/>
    </row>
    <row r="1425" customFormat="false" ht="14.5" hidden="false" customHeight="false" outlineLevel="0" collapsed="false">
      <c r="A1425" s="124"/>
    </row>
    <row r="1426" customFormat="false" ht="14.5" hidden="false" customHeight="false" outlineLevel="0" collapsed="false">
      <c r="A1426" s="124"/>
    </row>
    <row r="1427" customFormat="false" ht="14.5" hidden="false" customHeight="false" outlineLevel="0" collapsed="false">
      <c r="A1427" s="124"/>
    </row>
    <row r="1428" customFormat="false" ht="14.5" hidden="false" customHeight="false" outlineLevel="0" collapsed="false">
      <c r="A1428" s="124"/>
    </row>
    <row r="1429" customFormat="false" ht="14.5" hidden="false" customHeight="false" outlineLevel="0" collapsed="false">
      <c r="A1429" s="124"/>
    </row>
    <row r="1430" customFormat="false" ht="14.5" hidden="false" customHeight="false" outlineLevel="0" collapsed="false">
      <c r="A1430" s="124"/>
    </row>
    <row r="1431" customFormat="false" ht="14.5" hidden="false" customHeight="false" outlineLevel="0" collapsed="false">
      <c r="A1431" s="124"/>
    </row>
    <row r="1432" customFormat="false" ht="14.5" hidden="false" customHeight="false" outlineLevel="0" collapsed="false">
      <c r="A1432" s="124"/>
    </row>
    <row r="1433" customFormat="false" ht="14.5" hidden="false" customHeight="false" outlineLevel="0" collapsed="false">
      <c r="A1433" s="124"/>
    </row>
    <row r="1434" customFormat="false" ht="14.5" hidden="false" customHeight="false" outlineLevel="0" collapsed="false">
      <c r="A1434" s="124"/>
    </row>
    <row r="1435" customFormat="false" ht="14.5" hidden="false" customHeight="false" outlineLevel="0" collapsed="false">
      <c r="A1435" s="124"/>
    </row>
    <row r="1436" customFormat="false" ht="14.5" hidden="false" customHeight="false" outlineLevel="0" collapsed="false">
      <c r="A1436" s="124"/>
    </row>
    <row r="1437" customFormat="false" ht="14.5" hidden="false" customHeight="false" outlineLevel="0" collapsed="false">
      <c r="A1437" s="124"/>
    </row>
    <row r="1438" customFormat="false" ht="14.5" hidden="false" customHeight="false" outlineLevel="0" collapsed="false">
      <c r="A1438" s="124"/>
    </row>
    <row r="1439" customFormat="false" ht="14.5" hidden="false" customHeight="false" outlineLevel="0" collapsed="false">
      <c r="A1439" s="124"/>
    </row>
    <row r="1440" customFormat="false" ht="14.5" hidden="false" customHeight="false" outlineLevel="0" collapsed="false">
      <c r="A1440" s="124"/>
    </row>
    <row r="1441" customFormat="false" ht="14.5" hidden="false" customHeight="false" outlineLevel="0" collapsed="false">
      <c r="A1441" s="124"/>
    </row>
    <row r="1442" customFormat="false" ht="14.5" hidden="false" customHeight="false" outlineLevel="0" collapsed="false">
      <c r="A1442" s="124"/>
    </row>
    <row r="1443" customFormat="false" ht="14.5" hidden="false" customHeight="false" outlineLevel="0" collapsed="false">
      <c r="A1443" s="124"/>
    </row>
    <row r="1444" customFormat="false" ht="14.5" hidden="false" customHeight="false" outlineLevel="0" collapsed="false">
      <c r="A1444" s="124"/>
    </row>
    <row r="1445" customFormat="false" ht="14.5" hidden="false" customHeight="false" outlineLevel="0" collapsed="false">
      <c r="A1445" s="124"/>
    </row>
    <row r="1446" customFormat="false" ht="14.5" hidden="false" customHeight="false" outlineLevel="0" collapsed="false">
      <c r="A1446" s="124"/>
    </row>
    <row r="1447" customFormat="false" ht="14.5" hidden="false" customHeight="false" outlineLevel="0" collapsed="false">
      <c r="A1447" s="124"/>
    </row>
    <row r="1448" customFormat="false" ht="14.5" hidden="false" customHeight="false" outlineLevel="0" collapsed="false">
      <c r="A1448" s="124"/>
    </row>
    <row r="1449" customFormat="false" ht="14.5" hidden="false" customHeight="false" outlineLevel="0" collapsed="false">
      <c r="A1449" s="124"/>
    </row>
    <row r="1450" customFormat="false" ht="14.5" hidden="false" customHeight="false" outlineLevel="0" collapsed="false">
      <c r="A1450" s="124"/>
    </row>
    <row r="1451" customFormat="false" ht="14.5" hidden="false" customHeight="false" outlineLevel="0" collapsed="false">
      <c r="A1451" s="124"/>
    </row>
    <row r="1452" customFormat="false" ht="14.5" hidden="false" customHeight="false" outlineLevel="0" collapsed="false">
      <c r="A1452" s="124"/>
    </row>
    <row r="1453" customFormat="false" ht="14.5" hidden="false" customHeight="false" outlineLevel="0" collapsed="false">
      <c r="A1453" s="124"/>
    </row>
    <row r="1454" customFormat="false" ht="14.5" hidden="false" customHeight="false" outlineLevel="0" collapsed="false">
      <c r="A1454" s="124"/>
    </row>
    <row r="1455" customFormat="false" ht="14.5" hidden="false" customHeight="false" outlineLevel="0" collapsed="false">
      <c r="A1455" s="124"/>
    </row>
    <row r="1456" customFormat="false" ht="14.5" hidden="false" customHeight="false" outlineLevel="0" collapsed="false">
      <c r="A1456" s="124"/>
    </row>
    <row r="1457" customFormat="false" ht="14.5" hidden="false" customHeight="false" outlineLevel="0" collapsed="false">
      <c r="A1457" s="124"/>
    </row>
    <row r="1458" customFormat="false" ht="14.5" hidden="false" customHeight="false" outlineLevel="0" collapsed="false">
      <c r="A1458" s="124"/>
    </row>
    <row r="1459" customFormat="false" ht="14.5" hidden="false" customHeight="false" outlineLevel="0" collapsed="false">
      <c r="A1459" s="124"/>
    </row>
    <row r="1460" customFormat="false" ht="14.5" hidden="false" customHeight="false" outlineLevel="0" collapsed="false">
      <c r="A1460" s="124"/>
    </row>
    <row r="1461" customFormat="false" ht="14.5" hidden="false" customHeight="false" outlineLevel="0" collapsed="false">
      <c r="A1461" s="124"/>
    </row>
    <row r="1462" customFormat="false" ht="14.5" hidden="false" customHeight="false" outlineLevel="0" collapsed="false">
      <c r="A1462" s="124"/>
    </row>
    <row r="1463" customFormat="false" ht="14.5" hidden="false" customHeight="false" outlineLevel="0" collapsed="false">
      <c r="A1463" s="124"/>
    </row>
    <row r="1464" customFormat="false" ht="14.5" hidden="false" customHeight="false" outlineLevel="0" collapsed="false">
      <c r="A1464" s="124"/>
    </row>
    <row r="1465" customFormat="false" ht="14.5" hidden="false" customHeight="false" outlineLevel="0" collapsed="false">
      <c r="A1465" s="124"/>
    </row>
    <row r="1466" customFormat="false" ht="14.5" hidden="false" customHeight="false" outlineLevel="0" collapsed="false">
      <c r="A1466" s="124"/>
    </row>
    <row r="1467" customFormat="false" ht="14.5" hidden="false" customHeight="false" outlineLevel="0" collapsed="false">
      <c r="A1467" s="124"/>
    </row>
    <row r="1468" customFormat="false" ht="14.5" hidden="false" customHeight="false" outlineLevel="0" collapsed="false">
      <c r="A1468" s="124"/>
    </row>
    <row r="1469" customFormat="false" ht="14.5" hidden="false" customHeight="false" outlineLevel="0" collapsed="false">
      <c r="A1469" s="124"/>
    </row>
    <row r="1470" customFormat="false" ht="14.5" hidden="false" customHeight="false" outlineLevel="0" collapsed="false">
      <c r="A1470" s="124"/>
    </row>
    <row r="1471" customFormat="false" ht="14.5" hidden="false" customHeight="false" outlineLevel="0" collapsed="false">
      <c r="A1471" s="124"/>
    </row>
    <row r="1472" customFormat="false" ht="14.5" hidden="false" customHeight="false" outlineLevel="0" collapsed="false">
      <c r="A1472" s="124"/>
    </row>
    <row r="1473" customFormat="false" ht="14.5" hidden="false" customHeight="false" outlineLevel="0" collapsed="false">
      <c r="A1473" s="124"/>
    </row>
    <row r="1474" customFormat="false" ht="14.5" hidden="false" customHeight="false" outlineLevel="0" collapsed="false">
      <c r="A1474" s="124"/>
    </row>
    <row r="1475" customFormat="false" ht="14.5" hidden="false" customHeight="false" outlineLevel="0" collapsed="false">
      <c r="A1475" s="124"/>
    </row>
    <row r="1476" customFormat="false" ht="14.5" hidden="false" customHeight="false" outlineLevel="0" collapsed="false">
      <c r="A1476" s="124"/>
    </row>
    <row r="1477" customFormat="false" ht="14.5" hidden="false" customHeight="false" outlineLevel="0" collapsed="false">
      <c r="A1477" s="124"/>
    </row>
    <row r="1478" customFormat="false" ht="14.5" hidden="false" customHeight="false" outlineLevel="0" collapsed="false">
      <c r="A1478" s="124"/>
    </row>
    <row r="1479" customFormat="false" ht="14.5" hidden="false" customHeight="false" outlineLevel="0" collapsed="false">
      <c r="A1479" s="124"/>
    </row>
    <row r="1480" customFormat="false" ht="14.5" hidden="false" customHeight="false" outlineLevel="0" collapsed="false">
      <c r="A1480" s="124"/>
    </row>
    <row r="1481" customFormat="false" ht="14.5" hidden="false" customHeight="false" outlineLevel="0" collapsed="false">
      <c r="A1481" s="124"/>
    </row>
    <row r="1482" customFormat="false" ht="14.5" hidden="false" customHeight="false" outlineLevel="0" collapsed="false">
      <c r="A1482" s="124"/>
    </row>
    <row r="1483" customFormat="false" ht="14.5" hidden="false" customHeight="false" outlineLevel="0" collapsed="false">
      <c r="A1483" s="124"/>
    </row>
    <row r="1484" customFormat="false" ht="14.5" hidden="false" customHeight="false" outlineLevel="0" collapsed="false">
      <c r="A1484" s="124"/>
    </row>
    <row r="1485" customFormat="false" ht="14.5" hidden="false" customHeight="false" outlineLevel="0" collapsed="false">
      <c r="A1485" s="124"/>
    </row>
    <row r="1486" customFormat="false" ht="14.5" hidden="false" customHeight="false" outlineLevel="0" collapsed="false">
      <c r="A1486" s="124"/>
    </row>
    <row r="1487" customFormat="false" ht="14.5" hidden="false" customHeight="false" outlineLevel="0" collapsed="false">
      <c r="A1487" s="124"/>
    </row>
    <row r="1488" customFormat="false" ht="14.5" hidden="false" customHeight="false" outlineLevel="0" collapsed="false">
      <c r="A1488" s="124"/>
    </row>
    <row r="1489" customFormat="false" ht="14.5" hidden="false" customHeight="false" outlineLevel="0" collapsed="false">
      <c r="A1489" s="124"/>
    </row>
    <row r="1490" customFormat="false" ht="14.5" hidden="false" customHeight="false" outlineLevel="0" collapsed="false">
      <c r="A1490" s="124"/>
    </row>
    <row r="1491" customFormat="false" ht="14.5" hidden="false" customHeight="false" outlineLevel="0" collapsed="false">
      <c r="A1491" s="124"/>
    </row>
    <row r="1492" customFormat="false" ht="14.5" hidden="false" customHeight="false" outlineLevel="0" collapsed="false">
      <c r="A1492" s="124"/>
    </row>
    <row r="1493" customFormat="false" ht="14.5" hidden="false" customHeight="false" outlineLevel="0" collapsed="false">
      <c r="A1493" s="124"/>
    </row>
    <row r="1494" customFormat="false" ht="14.5" hidden="false" customHeight="false" outlineLevel="0" collapsed="false">
      <c r="A1494" s="124"/>
    </row>
    <row r="1495" customFormat="false" ht="14.5" hidden="false" customHeight="false" outlineLevel="0" collapsed="false">
      <c r="A1495" s="124"/>
    </row>
    <row r="1496" customFormat="false" ht="14.5" hidden="false" customHeight="false" outlineLevel="0" collapsed="false">
      <c r="A1496" s="124"/>
    </row>
    <row r="1497" customFormat="false" ht="14.5" hidden="false" customHeight="false" outlineLevel="0" collapsed="false">
      <c r="A1497" s="124"/>
    </row>
    <row r="1498" customFormat="false" ht="14.5" hidden="false" customHeight="false" outlineLevel="0" collapsed="false">
      <c r="A1498" s="124"/>
    </row>
    <row r="1499" customFormat="false" ht="14.5" hidden="false" customHeight="false" outlineLevel="0" collapsed="false">
      <c r="A1499" s="124"/>
    </row>
    <row r="1500" customFormat="false" ht="14.5" hidden="false" customHeight="false" outlineLevel="0" collapsed="false">
      <c r="A1500" s="124"/>
    </row>
    <row r="1501" customFormat="false" ht="14.5" hidden="false" customHeight="false" outlineLevel="0" collapsed="false">
      <c r="A1501" s="124"/>
    </row>
    <row r="1502" customFormat="false" ht="14.5" hidden="false" customHeight="false" outlineLevel="0" collapsed="false">
      <c r="A1502" s="124"/>
    </row>
    <row r="1503" customFormat="false" ht="14.5" hidden="false" customHeight="false" outlineLevel="0" collapsed="false">
      <c r="A1503" s="124"/>
    </row>
    <row r="1504" customFormat="false" ht="14.5" hidden="false" customHeight="false" outlineLevel="0" collapsed="false">
      <c r="A1504" s="124"/>
    </row>
    <row r="1505" customFormat="false" ht="14.5" hidden="false" customHeight="false" outlineLevel="0" collapsed="false">
      <c r="A1505" s="124"/>
    </row>
    <row r="1506" customFormat="false" ht="14.5" hidden="false" customHeight="false" outlineLevel="0" collapsed="false">
      <c r="A1506" s="124"/>
    </row>
    <row r="1507" customFormat="false" ht="14.5" hidden="false" customHeight="false" outlineLevel="0" collapsed="false">
      <c r="A1507" s="124"/>
    </row>
    <row r="1508" customFormat="false" ht="14.5" hidden="false" customHeight="false" outlineLevel="0" collapsed="false">
      <c r="A1508" s="124"/>
    </row>
    <row r="1509" customFormat="false" ht="14.5" hidden="false" customHeight="false" outlineLevel="0" collapsed="false">
      <c r="A1509" s="124"/>
    </row>
    <row r="1510" customFormat="false" ht="14.5" hidden="false" customHeight="false" outlineLevel="0" collapsed="false">
      <c r="A1510" s="124"/>
    </row>
    <row r="1511" customFormat="false" ht="14.5" hidden="false" customHeight="false" outlineLevel="0" collapsed="false">
      <c r="A1511" s="124"/>
    </row>
    <row r="1512" customFormat="false" ht="14.5" hidden="false" customHeight="false" outlineLevel="0" collapsed="false">
      <c r="A1512" s="124"/>
    </row>
    <row r="1513" customFormat="false" ht="14.5" hidden="false" customHeight="false" outlineLevel="0" collapsed="false">
      <c r="A1513" s="124"/>
    </row>
    <row r="1514" customFormat="false" ht="14.5" hidden="false" customHeight="false" outlineLevel="0" collapsed="false">
      <c r="A1514" s="124"/>
    </row>
    <row r="1515" customFormat="false" ht="14.5" hidden="false" customHeight="false" outlineLevel="0" collapsed="false">
      <c r="A1515" s="124"/>
    </row>
    <row r="1516" customFormat="false" ht="14.5" hidden="false" customHeight="false" outlineLevel="0" collapsed="false">
      <c r="A1516" s="124"/>
    </row>
    <row r="1517" customFormat="false" ht="14.5" hidden="false" customHeight="false" outlineLevel="0" collapsed="false">
      <c r="A1517" s="124"/>
    </row>
    <row r="1518" customFormat="false" ht="14.5" hidden="false" customHeight="false" outlineLevel="0" collapsed="false">
      <c r="A1518" s="124"/>
    </row>
    <row r="1519" customFormat="false" ht="14.5" hidden="false" customHeight="false" outlineLevel="0" collapsed="false">
      <c r="A1519" s="124"/>
    </row>
    <row r="1520" customFormat="false" ht="14.5" hidden="false" customHeight="false" outlineLevel="0" collapsed="false">
      <c r="A1520" s="124"/>
    </row>
    <row r="1521" customFormat="false" ht="14.5" hidden="false" customHeight="false" outlineLevel="0" collapsed="false">
      <c r="A1521" s="124"/>
    </row>
    <row r="1522" customFormat="false" ht="14.5" hidden="false" customHeight="false" outlineLevel="0" collapsed="false">
      <c r="A1522" s="124"/>
    </row>
    <row r="1523" customFormat="false" ht="14.5" hidden="false" customHeight="false" outlineLevel="0" collapsed="false">
      <c r="A1523" s="124"/>
    </row>
    <row r="1524" customFormat="false" ht="14.5" hidden="false" customHeight="false" outlineLevel="0" collapsed="false">
      <c r="A1524" s="124"/>
    </row>
    <row r="1525" customFormat="false" ht="14.5" hidden="false" customHeight="false" outlineLevel="0" collapsed="false">
      <c r="A1525" s="124"/>
    </row>
    <row r="1526" customFormat="false" ht="14.5" hidden="false" customHeight="false" outlineLevel="0" collapsed="false">
      <c r="A1526" s="124"/>
    </row>
    <row r="1527" customFormat="false" ht="14.5" hidden="false" customHeight="false" outlineLevel="0" collapsed="false">
      <c r="A1527" s="124"/>
    </row>
    <row r="1528" customFormat="false" ht="14.5" hidden="false" customHeight="false" outlineLevel="0" collapsed="false">
      <c r="A1528" s="124"/>
    </row>
    <row r="1529" customFormat="false" ht="14.5" hidden="false" customHeight="false" outlineLevel="0" collapsed="false">
      <c r="A1529" s="124"/>
    </row>
    <row r="1530" customFormat="false" ht="14.5" hidden="false" customHeight="false" outlineLevel="0" collapsed="false">
      <c r="A1530" s="124"/>
    </row>
    <row r="1531" customFormat="false" ht="14.5" hidden="false" customHeight="false" outlineLevel="0" collapsed="false">
      <c r="A1531" s="124"/>
    </row>
    <row r="1532" customFormat="false" ht="14.5" hidden="false" customHeight="false" outlineLevel="0" collapsed="false">
      <c r="A1532" s="124"/>
    </row>
    <row r="1533" customFormat="false" ht="14.5" hidden="false" customHeight="false" outlineLevel="0" collapsed="false">
      <c r="A1533" s="124"/>
    </row>
    <row r="1534" customFormat="false" ht="14.5" hidden="false" customHeight="false" outlineLevel="0" collapsed="false">
      <c r="A1534" s="124"/>
    </row>
    <row r="1535" customFormat="false" ht="14.5" hidden="false" customHeight="false" outlineLevel="0" collapsed="false">
      <c r="A1535" s="124"/>
    </row>
    <row r="1536" customFormat="false" ht="14.5" hidden="false" customHeight="false" outlineLevel="0" collapsed="false">
      <c r="A1536" s="124"/>
    </row>
    <row r="1537" customFormat="false" ht="14.5" hidden="false" customHeight="false" outlineLevel="0" collapsed="false">
      <c r="A1537" s="124"/>
    </row>
    <row r="1538" customFormat="false" ht="14.5" hidden="false" customHeight="false" outlineLevel="0" collapsed="false">
      <c r="A1538" s="124"/>
    </row>
    <row r="1539" customFormat="false" ht="14.5" hidden="false" customHeight="false" outlineLevel="0" collapsed="false">
      <c r="A1539" s="124"/>
    </row>
    <row r="1540" customFormat="false" ht="14.5" hidden="false" customHeight="false" outlineLevel="0" collapsed="false">
      <c r="A1540" s="124"/>
    </row>
    <row r="1541" customFormat="false" ht="14.5" hidden="false" customHeight="false" outlineLevel="0" collapsed="false">
      <c r="A1541" s="124"/>
    </row>
    <row r="1542" customFormat="false" ht="14.5" hidden="false" customHeight="false" outlineLevel="0" collapsed="false">
      <c r="A1542" s="124"/>
    </row>
    <row r="1543" customFormat="false" ht="14.5" hidden="false" customHeight="false" outlineLevel="0" collapsed="false">
      <c r="A1543" s="124"/>
    </row>
    <row r="1544" customFormat="false" ht="14.5" hidden="false" customHeight="false" outlineLevel="0" collapsed="false">
      <c r="A1544" s="124"/>
    </row>
    <row r="1545" customFormat="false" ht="14.5" hidden="false" customHeight="false" outlineLevel="0" collapsed="false">
      <c r="A1545" s="124"/>
    </row>
    <row r="1546" customFormat="false" ht="14.5" hidden="false" customHeight="false" outlineLevel="0" collapsed="false">
      <c r="A1546" s="124"/>
    </row>
    <row r="1547" customFormat="false" ht="14.5" hidden="false" customHeight="false" outlineLevel="0" collapsed="false">
      <c r="A1547" s="124"/>
    </row>
    <row r="1548" customFormat="false" ht="14.5" hidden="false" customHeight="false" outlineLevel="0" collapsed="false">
      <c r="A1548" s="124"/>
    </row>
    <row r="1549" customFormat="false" ht="14.5" hidden="false" customHeight="false" outlineLevel="0" collapsed="false">
      <c r="A1549" s="124"/>
    </row>
    <row r="1550" customFormat="false" ht="14.5" hidden="false" customHeight="false" outlineLevel="0" collapsed="false">
      <c r="A1550" s="124"/>
    </row>
    <row r="1551" customFormat="false" ht="14.5" hidden="false" customHeight="false" outlineLevel="0" collapsed="false">
      <c r="A1551" s="124"/>
    </row>
    <row r="1552" customFormat="false" ht="14.5" hidden="false" customHeight="false" outlineLevel="0" collapsed="false">
      <c r="A1552" s="124"/>
    </row>
    <row r="1553" customFormat="false" ht="14.5" hidden="false" customHeight="false" outlineLevel="0" collapsed="false">
      <c r="A1553" s="124"/>
    </row>
    <row r="1554" customFormat="false" ht="14.5" hidden="false" customHeight="false" outlineLevel="0" collapsed="false">
      <c r="A1554" s="124"/>
    </row>
    <row r="1555" customFormat="false" ht="14.5" hidden="false" customHeight="false" outlineLevel="0" collapsed="false">
      <c r="A1555" s="124"/>
    </row>
    <row r="1556" customFormat="false" ht="14.5" hidden="false" customHeight="false" outlineLevel="0" collapsed="false">
      <c r="A1556" s="124"/>
    </row>
    <row r="1557" customFormat="false" ht="14.5" hidden="false" customHeight="false" outlineLevel="0" collapsed="false">
      <c r="A1557" s="124"/>
    </row>
    <row r="1558" customFormat="false" ht="14.5" hidden="false" customHeight="false" outlineLevel="0" collapsed="false">
      <c r="A1558" s="124"/>
    </row>
    <row r="1559" customFormat="false" ht="14.5" hidden="false" customHeight="false" outlineLevel="0" collapsed="false">
      <c r="A1559" s="124"/>
    </row>
    <row r="1560" customFormat="false" ht="14.5" hidden="false" customHeight="false" outlineLevel="0" collapsed="false">
      <c r="A1560" s="124"/>
    </row>
    <row r="1561" customFormat="false" ht="14.5" hidden="false" customHeight="false" outlineLevel="0" collapsed="false">
      <c r="A1561" s="124"/>
    </row>
    <row r="1562" customFormat="false" ht="14.5" hidden="false" customHeight="false" outlineLevel="0" collapsed="false">
      <c r="A1562" s="124"/>
    </row>
    <row r="1563" customFormat="false" ht="14.5" hidden="false" customHeight="false" outlineLevel="0" collapsed="false">
      <c r="A1563" s="124"/>
    </row>
    <row r="1564" customFormat="false" ht="14.5" hidden="false" customHeight="false" outlineLevel="0" collapsed="false">
      <c r="A1564" s="124"/>
    </row>
    <row r="1565" customFormat="false" ht="14.5" hidden="false" customHeight="false" outlineLevel="0" collapsed="false">
      <c r="A1565" s="124"/>
    </row>
    <row r="1566" customFormat="false" ht="14.5" hidden="false" customHeight="false" outlineLevel="0" collapsed="false">
      <c r="A1566" s="124"/>
    </row>
    <row r="1567" customFormat="false" ht="14.5" hidden="false" customHeight="false" outlineLevel="0" collapsed="false">
      <c r="A1567" s="124"/>
    </row>
    <row r="1568" customFormat="false" ht="14.5" hidden="false" customHeight="false" outlineLevel="0" collapsed="false">
      <c r="A1568" s="124"/>
    </row>
    <row r="1569" customFormat="false" ht="14.5" hidden="false" customHeight="false" outlineLevel="0" collapsed="false">
      <c r="A1569" s="124"/>
    </row>
    <row r="1570" customFormat="false" ht="14.5" hidden="false" customHeight="false" outlineLevel="0" collapsed="false">
      <c r="A1570" s="124"/>
    </row>
    <row r="1571" customFormat="false" ht="14.5" hidden="false" customHeight="false" outlineLevel="0" collapsed="false">
      <c r="A1571" s="124"/>
    </row>
    <row r="1572" customFormat="false" ht="14.5" hidden="false" customHeight="false" outlineLevel="0" collapsed="false">
      <c r="A1572" s="124"/>
    </row>
    <row r="1573" customFormat="false" ht="14.5" hidden="false" customHeight="false" outlineLevel="0" collapsed="false">
      <c r="A1573" s="124"/>
    </row>
    <row r="1574" customFormat="false" ht="14.5" hidden="false" customHeight="false" outlineLevel="0" collapsed="false">
      <c r="A1574" s="124"/>
    </row>
    <row r="1575" customFormat="false" ht="14.5" hidden="false" customHeight="false" outlineLevel="0" collapsed="false">
      <c r="A1575" s="124"/>
    </row>
    <row r="1576" customFormat="false" ht="14.5" hidden="false" customHeight="false" outlineLevel="0" collapsed="false">
      <c r="A1576" s="124"/>
    </row>
    <row r="1577" customFormat="false" ht="14.5" hidden="false" customHeight="false" outlineLevel="0" collapsed="false">
      <c r="A1577" s="124"/>
    </row>
    <row r="1578" customFormat="false" ht="14.5" hidden="false" customHeight="false" outlineLevel="0" collapsed="false">
      <c r="A1578" s="124"/>
    </row>
    <row r="1579" customFormat="false" ht="14.5" hidden="false" customHeight="false" outlineLevel="0" collapsed="false">
      <c r="A1579" s="124"/>
    </row>
    <row r="1580" customFormat="false" ht="14.5" hidden="false" customHeight="false" outlineLevel="0" collapsed="false">
      <c r="A1580" s="124"/>
    </row>
    <row r="1581" customFormat="false" ht="14.5" hidden="false" customHeight="false" outlineLevel="0" collapsed="false">
      <c r="A1581" s="124"/>
    </row>
    <row r="1582" customFormat="false" ht="14.5" hidden="false" customHeight="false" outlineLevel="0" collapsed="false">
      <c r="A1582" s="124"/>
    </row>
    <row r="1583" customFormat="false" ht="14.5" hidden="false" customHeight="false" outlineLevel="0" collapsed="false">
      <c r="A1583" s="124"/>
    </row>
    <row r="1584" customFormat="false" ht="14.5" hidden="false" customHeight="false" outlineLevel="0" collapsed="false">
      <c r="A1584" s="124"/>
    </row>
    <row r="1585" customFormat="false" ht="14.5" hidden="false" customHeight="false" outlineLevel="0" collapsed="false">
      <c r="A1585" s="124"/>
    </row>
    <row r="1586" customFormat="false" ht="14.5" hidden="false" customHeight="false" outlineLevel="0" collapsed="false">
      <c r="A1586" s="124"/>
    </row>
    <row r="1587" customFormat="false" ht="14.5" hidden="false" customHeight="false" outlineLevel="0" collapsed="false">
      <c r="A1587" s="124"/>
    </row>
    <row r="1588" customFormat="false" ht="14.5" hidden="false" customHeight="false" outlineLevel="0" collapsed="false">
      <c r="A1588" s="124"/>
    </row>
    <row r="1589" customFormat="false" ht="14.5" hidden="false" customHeight="false" outlineLevel="0" collapsed="false">
      <c r="A1589" s="124"/>
    </row>
    <row r="1590" customFormat="false" ht="14.5" hidden="false" customHeight="false" outlineLevel="0" collapsed="false">
      <c r="A1590" s="124"/>
    </row>
    <row r="1591" customFormat="false" ht="14.5" hidden="false" customHeight="false" outlineLevel="0" collapsed="false">
      <c r="A1591" s="124"/>
    </row>
    <row r="1592" customFormat="false" ht="14.5" hidden="false" customHeight="false" outlineLevel="0" collapsed="false">
      <c r="A1592" s="124"/>
    </row>
    <row r="1593" customFormat="false" ht="14.5" hidden="false" customHeight="false" outlineLevel="0" collapsed="false">
      <c r="A1593" s="124"/>
    </row>
    <row r="1594" customFormat="false" ht="14.5" hidden="false" customHeight="false" outlineLevel="0" collapsed="false">
      <c r="A1594" s="124"/>
    </row>
    <row r="1595" customFormat="false" ht="14.5" hidden="false" customHeight="false" outlineLevel="0" collapsed="false">
      <c r="A1595" s="124"/>
    </row>
    <row r="1596" customFormat="false" ht="14.5" hidden="false" customHeight="false" outlineLevel="0" collapsed="false">
      <c r="A1596" s="124"/>
    </row>
    <row r="1597" customFormat="false" ht="14.5" hidden="false" customHeight="false" outlineLevel="0" collapsed="false">
      <c r="A1597" s="124"/>
    </row>
    <row r="1598" customFormat="false" ht="14.5" hidden="false" customHeight="false" outlineLevel="0" collapsed="false">
      <c r="A1598" s="124"/>
    </row>
    <row r="1599" customFormat="false" ht="14.5" hidden="false" customHeight="false" outlineLevel="0" collapsed="false">
      <c r="A1599" s="124"/>
    </row>
    <row r="1600" customFormat="false" ht="14.5" hidden="false" customHeight="false" outlineLevel="0" collapsed="false">
      <c r="A1600" s="124"/>
    </row>
    <row r="1601" customFormat="false" ht="14.5" hidden="false" customHeight="false" outlineLevel="0" collapsed="false">
      <c r="A1601" s="124"/>
    </row>
    <row r="1602" customFormat="false" ht="14.5" hidden="false" customHeight="false" outlineLevel="0" collapsed="false">
      <c r="A1602" s="124"/>
    </row>
    <row r="1603" customFormat="false" ht="14.5" hidden="false" customHeight="false" outlineLevel="0" collapsed="false">
      <c r="A1603" s="124"/>
    </row>
    <row r="1604" customFormat="false" ht="14.5" hidden="false" customHeight="false" outlineLevel="0" collapsed="false">
      <c r="A1604" s="124"/>
    </row>
    <row r="1605" customFormat="false" ht="14.5" hidden="false" customHeight="false" outlineLevel="0" collapsed="false">
      <c r="A1605" s="124"/>
    </row>
    <row r="1606" customFormat="false" ht="14.5" hidden="false" customHeight="false" outlineLevel="0" collapsed="false">
      <c r="A1606" s="124"/>
    </row>
    <row r="1607" customFormat="false" ht="14.5" hidden="false" customHeight="false" outlineLevel="0" collapsed="false">
      <c r="A1607" s="124"/>
    </row>
    <row r="1608" customFormat="false" ht="14.5" hidden="false" customHeight="false" outlineLevel="0" collapsed="false">
      <c r="A1608" s="124"/>
    </row>
    <row r="1609" customFormat="false" ht="14.5" hidden="false" customHeight="false" outlineLevel="0" collapsed="false">
      <c r="A1609" s="124"/>
    </row>
    <row r="1610" customFormat="false" ht="14.5" hidden="false" customHeight="false" outlineLevel="0" collapsed="false">
      <c r="A1610" s="124"/>
    </row>
    <row r="1611" customFormat="false" ht="14.5" hidden="false" customHeight="false" outlineLevel="0" collapsed="false">
      <c r="A1611" s="124"/>
    </row>
    <row r="1612" customFormat="false" ht="14.5" hidden="false" customHeight="false" outlineLevel="0" collapsed="false">
      <c r="A1612" s="124"/>
    </row>
    <row r="1613" customFormat="false" ht="14.5" hidden="false" customHeight="false" outlineLevel="0" collapsed="false">
      <c r="A1613" s="124"/>
    </row>
    <row r="1614" customFormat="false" ht="14.5" hidden="false" customHeight="false" outlineLevel="0" collapsed="false">
      <c r="A1614" s="124"/>
    </row>
    <row r="1615" customFormat="false" ht="14.5" hidden="false" customHeight="false" outlineLevel="0" collapsed="false">
      <c r="A1615" s="124"/>
    </row>
    <row r="1616" customFormat="false" ht="14.5" hidden="false" customHeight="false" outlineLevel="0" collapsed="false">
      <c r="A1616" s="124"/>
    </row>
    <row r="1617" customFormat="false" ht="14.5" hidden="false" customHeight="false" outlineLevel="0" collapsed="false">
      <c r="A1617" s="124"/>
    </row>
    <row r="1618" customFormat="false" ht="14.5" hidden="false" customHeight="false" outlineLevel="0" collapsed="false">
      <c r="A1618" s="124"/>
    </row>
    <row r="1619" customFormat="false" ht="14.5" hidden="false" customHeight="false" outlineLevel="0" collapsed="false">
      <c r="A1619" s="124"/>
    </row>
    <row r="1620" customFormat="false" ht="14.5" hidden="false" customHeight="false" outlineLevel="0" collapsed="false">
      <c r="A1620" s="124"/>
    </row>
    <row r="1621" customFormat="false" ht="14.5" hidden="false" customHeight="false" outlineLevel="0" collapsed="false">
      <c r="A1621" s="124"/>
    </row>
    <row r="1622" customFormat="false" ht="14.5" hidden="false" customHeight="false" outlineLevel="0" collapsed="false">
      <c r="A1622" s="124"/>
    </row>
    <row r="1623" customFormat="false" ht="14.5" hidden="false" customHeight="false" outlineLevel="0" collapsed="false">
      <c r="A1623" s="124"/>
    </row>
    <row r="1624" customFormat="false" ht="14.5" hidden="false" customHeight="false" outlineLevel="0" collapsed="false">
      <c r="A1624" s="124"/>
    </row>
    <row r="1625" customFormat="false" ht="14.5" hidden="false" customHeight="false" outlineLevel="0" collapsed="false">
      <c r="A1625" s="124"/>
    </row>
    <row r="1626" customFormat="false" ht="14.5" hidden="false" customHeight="false" outlineLevel="0" collapsed="false">
      <c r="A1626" s="124"/>
    </row>
    <row r="1627" customFormat="false" ht="14.5" hidden="false" customHeight="false" outlineLevel="0" collapsed="false">
      <c r="A1627" s="124"/>
    </row>
    <row r="1628" customFormat="false" ht="14.5" hidden="false" customHeight="false" outlineLevel="0" collapsed="false">
      <c r="A1628" s="124"/>
    </row>
    <row r="1629" customFormat="false" ht="14.5" hidden="false" customHeight="false" outlineLevel="0" collapsed="false">
      <c r="A1629" s="124"/>
    </row>
    <row r="1630" customFormat="false" ht="14.5" hidden="false" customHeight="false" outlineLevel="0" collapsed="false">
      <c r="A1630" s="124"/>
    </row>
    <row r="1631" customFormat="false" ht="14.5" hidden="false" customHeight="false" outlineLevel="0" collapsed="false">
      <c r="A1631" s="124"/>
    </row>
    <row r="1632" customFormat="false" ht="14.5" hidden="false" customHeight="false" outlineLevel="0" collapsed="false">
      <c r="A1632" s="124"/>
    </row>
    <row r="1633" customFormat="false" ht="14.5" hidden="false" customHeight="false" outlineLevel="0" collapsed="false">
      <c r="A1633" s="124"/>
    </row>
    <row r="1634" customFormat="false" ht="14.5" hidden="false" customHeight="false" outlineLevel="0" collapsed="false">
      <c r="A1634" s="124"/>
    </row>
    <row r="1635" customFormat="false" ht="14.5" hidden="false" customHeight="false" outlineLevel="0" collapsed="false">
      <c r="A1635" s="124"/>
    </row>
    <row r="1636" customFormat="false" ht="14.5" hidden="false" customHeight="false" outlineLevel="0" collapsed="false">
      <c r="A1636" s="124"/>
    </row>
    <row r="1637" customFormat="false" ht="14.5" hidden="false" customHeight="false" outlineLevel="0" collapsed="false">
      <c r="A1637" s="124"/>
    </row>
    <row r="1638" customFormat="false" ht="14.5" hidden="false" customHeight="false" outlineLevel="0" collapsed="false">
      <c r="A1638" s="124"/>
    </row>
    <row r="1639" customFormat="false" ht="14.5" hidden="false" customHeight="false" outlineLevel="0" collapsed="false">
      <c r="A1639" s="124"/>
    </row>
    <row r="1640" customFormat="false" ht="14.5" hidden="false" customHeight="false" outlineLevel="0" collapsed="false">
      <c r="A1640" s="124"/>
    </row>
    <row r="1641" customFormat="false" ht="14.5" hidden="false" customHeight="false" outlineLevel="0" collapsed="false">
      <c r="A1641" s="124"/>
    </row>
    <row r="1642" customFormat="false" ht="14.5" hidden="false" customHeight="false" outlineLevel="0" collapsed="false">
      <c r="A1642" s="124"/>
    </row>
    <row r="1643" customFormat="false" ht="14.5" hidden="false" customHeight="false" outlineLevel="0" collapsed="false">
      <c r="A1643" s="124"/>
    </row>
    <row r="1644" customFormat="false" ht="14.5" hidden="false" customHeight="false" outlineLevel="0" collapsed="false">
      <c r="A1644" s="124"/>
    </row>
    <row r="1645" customFormat="false" ht="14.5" hidden="false" customHeight="false" outlineLevel="0" collapsed="false">
      <c r="A1645" s="124"/>
    </row>
    <row r="1646" customFormat="false" ht="14.5" hidden="false" customHeight="false" outlineLevel="0" collapsed="false">
      <c r="A1646" s="124"/>
    </row>
    <row r="1647" customFormat="false" ht="14.5" hidden="false" customHeight="false" outlineLevel="0" collapsed="false">
      <c r="A1647" s="124"/>
    </row>
    <row r="1648" customFormat="false" ht="14.5" hidden="false" customHeight="false" outlineLevel="0" collapsed="false">
      <c r="A1648" s="124"/>
    </row>
    <row r="1649" customFormat="false" ht="14.5" hidden="false" customHeight="false" outlineLevel="0" collapsed="false">
      <c r="A1649" s="124"/>
    </row>
    <row r="1650" customFormat="false" ht="14.5" hidden="false" customHeight="false" outlineLevel="0" collapsed="false">
      <c r="A1650" s="124"/>
    </row>
    <row r="1651" customFormat="false" ht="14.5" hidden="false" customHeight="false" outlineLevel="0" collapsed="false">
      <c r="A1651" s="124"/>
    </row>
    <row r="1652" customFormat="false" ht="14.5" hidden="false" customHeight="false" outlineLevel="0" collapsed="false">
      <c r="A1652" s="124"/>
    </row>
    <row r="1653" customFormat="false" ht="14.5" hidden="false" customHeight="false" outlineLevel="0" collapsed="false">
      <c r="A1653" s="124"/>
    </row>
    <row r="1654" customFormat="false" ht="14.5" hidden="false" customHeight="false" outlineLevel="0" collapsed="false">
      <c r="A1654" s="124"/>
    </row>
    <row r="1655" customFormat="false" ht="14.5" hidden="false" customHeight="false" outlineLevel="0" collapsed="false">
      <c r="A1655" s="124"/>
    </row>
    <row r="1656" customFormat="false" ht="14.5" hidden="false" customHeight="false" outlineLevel="0" collapsed="false">
      <c r="A1656" s="124"/>
    </row>
    <row r="1657" customFormat="false" ht="14.5" hidden="false" customHeight="false" outlineLevel="0" collapsed="false">
      <c r="A1657" s="124"/>
    </row>
    <row r="1658" customFormat="false" ht="14.5" hidden="false" customHeight="false" outlineLevel="0" collapsed="false">
      <c r="A1658" s="124"/>
    </row>
    <row r="1659" customFormat="false" ht="14.5" hidden="false" customHeight="false" outlineLevel="0" collapsed="false">
      <c r="A1659" s="124"/>
    </row>
    <row r="1660" customFormat="false" ht="14.5" hidden="false" customHeight="false" outlineLevel="0" collapsed="false">
      <c r="A1660" s="124"/>
    </row>
    <row r="1661" customFormat="false" ht="14.5" hidden="false" customHeight="false" outlineLevel="0" collapsed="false">
      <c r="A1661" s="124"/>
    </row>
    <row r="1662" customFormat="false" ht="14.5" hidden="false" customHeight="false" outlineLevel="0" collapsed="false">
      <c r="A1662" s="124"/>
    </row>
    <row r="1663" customFormat="false" ht="14.5" hidden="false" customHeight="false" outlineLevel="0" collapsed="false">
      <c r="A1663" s="124"/>
    </row>
    <row r="1664" customFormat="false" ht="14.5" hidden="false" customHeight="false" outlineLevel="0" collapsed="false">
      <c r="A1664" s="124"/>
    </row>
    <row r="1665" customFormat="false" ht="14.5" hidden="false" customHeight="false" outlineLevel="0" collapsed="false">
      <c r="A1665" s="124"/>
    </row>
    <row r="1666" customFormat="false" ht="14.5" hidden="false" customHeight="false" outlineLevel="0" collapsed="false">
      <c r="A1666" s="124"/>
    </row>
    <row r="1667" customFormat="false" ht="14.5" hidden="false" customHeight="false" outlineLevel="0" collapsed="false">
      <c r="A1667" s="124"/>
    </row>
    <row r="1668" customFormat="false" ht="14.5" hidden="false" customHeight="false" outlineLevel="0" collapsed="false">
      <c r="A1668" s="124"/>
    </row>
    <row r="1669" customFormat="false" ht="14.5" hidden="false" customHeight="false" outlineLevel="0" collapsed="false">
      <c r="A1669" s="124"/>
    </row>
    <row r="1670" customFormat="false" ht="14.5" hidden="false" customHeight="false" outlineLevel="0" collapsed="false">
      <c r="A1670" s="124"/>
    </row>
    <row r="1671" customFormat="false" ht="14.5" hidden="false" customHeight="false" outlineLevel="0" collapsed="false">
      <c r="A1671" s="124"/>
    </row>
    <row r="1672" customFormat="false" ht="14.5" hidden="false" customHeight="false" outlineLevel="0" collapsed="false">
      <c r="A1672" s="124"/>
    </row>
    <row r="1673" customFormat="false" ht="14.5" hidden="false" customHeight="false" outlineLevel="0" collapsed="false">
      <c r="A1673" s="124"/>
    </row>
    <row r="1674" customFormat="false" ht="14.5" hidden="false" customHeight="false" outlineLevel="0" collapsed="false">
      <c r="A1674" s="124"/>
    </row>
    <row r="1675" customFormat="false" ht="14.5" hidden="false" customHeight="false" outlineLevel="0" collapsed="false">
      <c r="A1675" s="124"/>
    </row>
    <row r="1676" customFormat="false" ht="14.5" hidden="false" customHeight="false" outlineLevel="0" collapsed="false">
      <c r="A1676" s="124"/>
    </row>
    <row r="1677" customFormat="false" ht="14.5" hidden="false" customHeight="false" outlineLevel="0" collapsed="false">
      <c r="A1677" s="124"/>
    </row>
    <row r="1678" customFormat="false" ht="14.5" hidden="false" customHeight="false" outlineLevel="0" collapsed="false">
      <c r="A1678" s="124"/>
    </row>
    <row r="1679" customFormat="false" ht="14.5" hidden="false" customHeight="false" outlineLevel="0" collapsed="false">
      <c r="A1679" s="124"/>
    </row>
    <row r="1680" customFormat="false" ht="14.5" hidden="false" customHeight="false" outlineLevel="0" collapsed="false">
      <c r="A1680" s="124"/>
    </row>
    <row r="1681" customFormat="false" ht="14.5" hidden="false" customHeight="false" outlineLevel="0" collapsed="false">
      <c r="A1681" s="124"/>
    </row>
    <row r="1682" customFormat="false" ht="14.5" hidden="false" customHeight="false" outlineLevel="0" collapsed="false">
      <c r="A1682" s="124"/>
    </row>
    <row r="1683" customFormat="false" ht="14.5" hidden="false" customHeight="false" outlineLevel="0" collapsed="false">
      <c r="A1683" s="124"/>
    </row>
    <row r="1684" customFormat="false" ht="14.5" hidden="false" customHeight="false" outlineLevel="0" collapsed="false">
      <c r="A1684" s="124"/>
    </row>
    <row r="1685" customFormat="false" ht="14.5" hidden="false" customHeight="false" outlineLevel="0" collapsed="false">
      <c r="A1685" s="124"/>
    </row>
    <row r="1686" customFormat="false" ht="14.5" hidden="false" customHeight="false" outlineLevel="0" collapsed="false">
      <c r="A1686" s="124"/>
    </row>
    <row r="1687" customFormat="false" ht="14.5" hidden="false" customHeight="false" outlineLevel="0" collapsed="false">
      <c r="A1687" s="124"/>
    </row>
    <row r="1688" customFormat="false" ht="14.5" hidden="false" customHeight="false" outlineLevel="0" collapsed="false">
      <c r="A1688" s="124"/>
    </row>
    <row r="1689" customFormat="false" ht="14.5" hidden="false" customHeight="false" outlineLevel="0" collapsed="false">
      <c r="A1689" s="124"/>
    </row>
    <row r="1690" customFormat="false" ht="14.5" hidden="false" customHeight="false" outlineLevel="0" collapsed="false">
      <c r="A1690" s="124"/>
    </row>
    <row r="1691" customFormat="false" ht="14.5" hidden="false" customHeight="false" outlineLevel="0" collapsed="false">
      <c r="A1691" s="124"/>
    </row>
    <row r="1692" customFormat="false" ht="14.5" hidden="false" customHeight="false" outlineLevel="0" collapsed="false">
      <c r="A1692" s="124"/>
    </row>
    <row r="1693" customFormat="false" ht="14.5" hidden="false" customHeight="false" outlineLevel="0" collapsed="false">
      <c r="A1693" s="124"/>
    </row>
    <row r="1694" customFormat="false" ht="14.5" hidden="false" customHeight="false" outlineLevel="0" collapsed="false">
      <c r="A1694" s="124"/>
    </row>
    <row r="1695" customFormat="false" ht="14.5" hidden="false" customHeight="false" outlineLevel="0" collapsed="false">
      <c r="A1695" s="124"/>
    </row>
    <row r="1696" customFormat="false" ht="14.5" hidden="false" customHeight="false" outlineLevel="0" collapsed="false">
      <c r="A1696" s="124"/>
    </row>
    <row r="1697" customFormat="false" ht="14.5" hidden="false" customHeight="false" outlineLevel="0" collapsed="false">
      <c r="A1697" s="124"/>
    </row>
    <row r="1698" customFormat="false" ht="14.5" hidden="false" customHeight="false" outlineLevel="0" collapsed="false">
      <c r="A1698" s="124"/>
    </row>
    <row r="1699" customFormat="false" ht="14.5" hidden="false" customHeight="false" outlineLevel="0" collapsed="false">
      <c r="A1699" s="124"/>
    </row>
    <row r="1700" customFormat="false" ht="14.5" hidden="false" customHeight="false" outlineLevel="0" collapsed="false">
      <c r="A1700" s="124"/>
    </row>
    <row r="1701" customFormat="false" ht="14.5" hidden="false" customHeight="false" outlineLevel="0" collapsed="false">
      <c r="A1701" s="124"/>
    </row>
    <row r="1702" customFormat="false" ht="14.5" hidden="false" customHeight="false" outlineLevel="0" collapsed="false">
      <c r="A1702" s="124"/>
    </row>
    <row r="1703" customFormat="false" ht="14.5" hidden="false" customHeight="false" outlineLevel="0" collapsed="false">
      <c r="A1703" s="124"/>
    </row>
    <row r="1704" customFormat="false" ht="14.5" hidden="false" customHeight="false" outlineLevel="0" collapsed="false">
      <c r="A1704" s="124"/>
    </row>
    <row r="1705" customFormat="false" ht="14.5" hidden="false" customHeight="false" outlineLevel="0" collapsed="false">
      <c r="A1705" s="124"/>
    </row>
    <row r="1706" customFormat="false" ht="14.5" hidden="false" customHeight="false" outlineLevel="0" collapsed="false">
      <c r="A1706" s="124"/>
    </row>
    <row r="1707" customFormat="false" ht="14.5" hidden="false" customHeight="false" outlineLevel="0" collapsed="false">
      <c r="A1707" s="124"/>
    </row>
    <row r="1708" customFormat="false" ht="14.5" hidden="false" customHeight="false" outlineLevel="0" collapsed="false">
      <c r="A1708" s="124"/>
    </row>
    <row r="1709" customFormat="false" ht="14.5" hidden="false" customHeight="false" outlineLevel="0" collapsed="false">
      <c r="A1709" s="124"/>
    </row>
    <row r="1710" customFormat="false" ht="14.5" hidden="false" customHeight="false" outlineLevel="0" collapsed="false">
      <c r="A1710" s="124"/>
    </row>
    <row r="1711" customFormat="false" ht="14.5" hidden="false" customHeight="false" outlineLevel="0" collapsed="false">
      <c r="A1711" s="124"/>
    </row>
    <row r="1712" customFormat="false" ht="14.5" hidden="false" customHeight="false" outlineLevel="0" collapsed="false">
      <c r="A1712" s="124"/>
    </row>
    <row r="1713" customFormat="false" ht="14.5" hidden="false" customHeight="false" outlineLevel="0" collapsed="false">
      <c r="A1713" s="124"/>
    </row>
    <row r="1714" customFormat="false" ht="14.5" hidden="false" customHeight="false" outlineLevel="0" collapsed="false">
      <c r="A1714" s="124"/>
    </row>
    <row r="1715" customFormat="false" ht="14.5" hidden="false" customHeight="false" outlineLevel="0" collapsed="false">
      <c r="A1715" s="124"/>
    </row>
    <row r="1716" customFormat="false" ht="14.5" hidden="false" customHeight="false" outlineLevel="0" collapsed="false">
      <c r="A1716" s="124"/>
    </row>
    <row r="1717" customFormat="false" ht="14.5" hidden="false" customHeight="false" outlineLevel="0" collapsed="false">
      <c r="A1717" s="124"/>
    </row>
    <row r="1718" customFormat="false" ht="14.5" hidden="false" customHeight="false" outlineLevel="0" collapsed="false">
      <c r="A1718" s="124"/>
    </row>
    <row r="1719" customFormat="false" ht="14.5" hidden="false" customHeight="false" outlineLevel="0" collapsed="false">
      <c r="A1719" s="124"/>
    </row>
    <row r="1720" customFormat="false" ht="14.5" hidden="false" customHeight="false" outlineLevel="0" collapsed="false">
      <c r="A1720" s="124"/>
    </row>
    <row r="1721" customFormat="false" ht="14.5" hidden="false" customHeight="false" outlineLevel="0" collapsed="false">
      <c r="A1721" s="124"/>
    </row>
    <row r="1722" customFormat="false" ht="14.5" hidden="false" customHeight="false" outlineLevel="0" collapsed="false">
      <c r="A1722" s="124"/>
    </row>
    <row r="1723" customFormat="false" ht="14.5" hidden="false" customHeight="false" outlineLevel="0" collapsed="false">
      <c r="A1723" s="124"/>
    </row>
    <row r="1724" customFormat="false" ht="14.5" hidden="false" customHeight="false" outlineLevel="0" collapsed="false">
      <c r="A1724" s="124"/>
    </row>
    <row r="1725" customFormat="false" ht="14.5" hidden="false" customHeight="false" outlineLevel="0" collapsed="false">
      <c r="A1725" s="124"/>
    </row>
    <row r="1726" customFormat="false" ht="14.5" hidden="false" customHeight="false" outlineLevel="0" collapsed="false">
      <c r="A1726" s="124"/>
    </row>
    <row r="1727" customFormat="false" ht="14.5" hidden="false" customHeight="false" outlineLevel="0" collapsed="false">
      <c r="A1727" s="124"/>
    </row>
    <row r="1728" customFormat="false" ht="14.5" hidden="false" customHeight="false" outlineLevel="0" collapsed="false">
      <c r="A1728" s="124"/>
    </row>
    <row r="1729" customFormat="false" ht="14.5" hidden="false" customHeight="false" outlineLevel="0" collapsed="false">
      <c r="A1729" s="124"/>
    </row>
    <row r="1730" customFormat="false" ht="14.5" hidden="false" customHeight="false" outlineLevel="0" collapsed="false">
      <c r="A1730" s="124"/>
    </row>
    <row r="1731" customFormat="false" ht="14.5" hidden="false" customHeight="false" outlineLevel="0" collapsed="false">
      <c r="A1731" s="124"/>
    </row>
    <row r="1732" customFormat="false" ht="14.5" hidden="false" customHeight="false" outlineLevel="0" collapsed="false">
      <c r="A1732" s="124"/>
    </row>
    <row r="1733" customFormat="false" ht="14.5" hidden="false" customHeight="false" outlineLevel="0" collapsed="false">
      <c r="A1733" s="124"/>
    </row>
    <row r="1734" customFormat="false" ht="14.5" hidden="false" customHeight="false" outlineLevel="0" collapsed="false">
      <c r="A1734" s="124"/>
    </row>
    <row r="1735" customFormat="false" ht="14.5" hidden="false" customHeight="false" outlineLevel="0" collapsed="false">
      <c r="A1735" s="124"/>
    </row>
    <row r="1736" customFormat="false" ht="14.5" hidden="false" customHeight="false" outlineLevel="0" collapsed="false">
      <c r="A1736" s="124"/>
    </row>
    <row r="1737" customFormat="false" ht="14.5" hidden="false" customHeight="false" outlineLevel="0" collapsed="false">
      <c r="A1737" s="124"/>
    </row>
    <row r="1738" customFormat="false" ht="14.5" hidden="false" customHeight="false" outlineLevel="0" collapsed="false">
      <c r="A1738" s="124"/>
    </row>
    <row r="1739" customFormat="false" ht="14.5" hidden="false" customHeight="false" outlineLevel="0" collapsed="false">
      <c r="A1739" s="124"/>
    </row>
    <row r="1740" customFormat="false" ht="14.5" hidden="false" customHeight="false" outlineLevel="0" collapsed="false">
      <c r="A1740" s="124"/>
    </row>
    <row r="1741" customFormat="false" ht="14.5" hidden="false" customHeight="false" outlineLevel="0" collapsed="false">
      <c r="A1741" s="124"/>
    </row>
    <row r="1742" customFormat="false" ht="14.5" hidden="false" customHeight="false" outlineLevel="0" collapsed="false">
      <c r="A1742" s="124"/>
    </row>
    <row r="1743" customFormat="false" ht="14.5" hidden="false" customHeight="false" outlineLevel="0" collapsed="false">
      <c r="A1743" s="124"/>
    </row>
    <row r="1744" customFormat="false" ht="14.5" hidden="false" customHeight="false" outlineLevel="0" collapsed="false">
      <c r="A1744" s="124"/>
    </row>
    <row r="1745" customFormat="false" ht="14.5" hidden="false" customHeight="false" outlineLevel="0" collapsed="false">
      <c r="A1745" s="124"/>
    </row>
    <row r="1746" customFormat="false" ht="14.5" hidden="false" customHeight="false" outlineLevel="0" collapsed="false">
      <c r="A1746" s="124"/>
    </row>
    <row r="1747" customFormat="false" ht="14.5" hidden="false" customHeight="false" outlineLevel="0" collapsed="false">
      <c r="A1747" s="124"/>
    </row>
    <row r="1748" customFormat="false" ht="14.5" hidden="false" customHeight="false" outlineLevel="0" collapsed="false">
      <c r="A1748" s="124"/>
    </row>
    <row r="1749" customFormat="false" ht="14.5" hidden="false" customHeight="false" outlineLevel="0" collapsed="false">
      <c r="A1749" s="124"/>
    </row>
    <row r="1750" customFormat="false" ht="14.5" hidden="false" customHeight="false" outlineLevel="0" collapsed="false">
      <c r="A1750" s="124"/>
    </row>
    <row r="1751" customFormat="false" ht="14.5" hidden="false" customHeight="false" outlineLevel="0" collapsed="false">
      <c r="A1751" s="124"/>
    </row>
    <row r="1752" customFormat="false" ht="14.5" hidden="false" customHeight="false" outlineLevel="0" collapsed="false">
      <c r="A1752" s="124"/>
    </row>
    <row r="1753" customFormat="false" ht="14.5" hidden="false" customHeight="false" outlineLevel="0" collapsed="false">
      <c r="A1753" s="124"/>
    </row>
    <row r="1754" customFormat="false" ht="14.5" hidden="false" customHeight="false" outlineLevel="0" collapsed="false">
      <c r="A1754" s="124"/>
    </row>
    <row r="1755" customFormat="false" ht="14.5" hidden="false" customHeight="false" outlineLevel="0" collapsed="false">
      <c r="A1755" s="124"/>
    </row>
    <row r="1756" customFormat="false" ht="14.5" hidden="false" customHeight="false" outlineLevel="0" collapsed="false">
      <c r="A1756" s="124"/>
    </row>
    <row r="1757" customFormat="false" ht="14.5" hidden="false" customHeight="false" outlineLevel="0" collapsed="false">
      <c r="A1757" s="124"/>
    </row>
    <row r="1758" customFormat="false" ht="14.5" hidden="false" customHeight="false" outlineLevel="0" collapsed="false">
      <c r="A1758" s="124"/>
    </row>
    <row r="1759" customFormat="false" ht="14.5" hidden="false" customHeight="false" outlineLevel="0" collapsed="false">
      <c r="A1759" s="124"/>
    </row>
    <row r="1760" customFormat="false" ht="14.5" hidden="false" customHeight="false" outlineLevel="0" collapsed="false">
      <c r="A1760" s="124"/>
    </row>
    <row r="1761" customFormat="false" ht="14.5" hidden="false" customHeight="false" outlineLevel="0" collapsed="false">
      <c r="A1761" s="124"/>
    </row>
    <row r="1762" customFormat="false" ht="14.5" hidden="false" customHeight="false" outlineLevel="0" collapsed="false">
      <c r="A1762" s="124"/>
    </row>
    <row r="1763" customFormat="false" ht="14.5" hidden="false" customHeight="false" outlineLevel="0" collapsed="false">
      <c r="A1763" s="124"/>
    </row>
    <row r="1764" customFormat="false" ht="14.5" hidden="false" customHeight="false" outlineLevel="0" collapsed="false">
      <c r="A1764" s="124"/>
    </row>
    <row r="1765" customFormat="false" ht="14.5" hidden="false" customHeight="false" outlineLevel="0" collapsed="false">
      <c r="A1765" s="124"/>
    </row>
    <row r="1766" customFormat="false" ht="14.5" hidden="false" customHeight="false" outlineLevel="0" collapsed="false">
      <c r="A1766" s="124"/>
    </row>
    <row r="1767" customFormat="false" ht="14.5" hidden="false" customHeight="false" outlineLevel="0" collapsed="false">
      <c r="A1767" s="124"/>
    </row>
    <row r="1768" customFormat="false" ht="14.5" hidden="false" customHeight="false" outlineLevel="0" collapsed="false">
      <c r="A1768" s="124"/>
    </row>
    <row r="1769" customFormat="false" ht="14.5" hidden="false" customHeight="false" outlineLevel="0" collapsed="false">
      <c r="A1769" s="124"/>
    </row>
    <row r="1770" customFormat="false" ht="14.5" hidden="false" customHeight="false" outlineLevel="0" collapsed="false">
      <c r="A1770" s="124"/>
    </row>
    <row r="1771" customFormat="false" ht="14.5" hidden="false" customHeight="false" outlineLevel="0" collapsed="false">
      <c r="A1771" s="124"/>
    </row>
    <row r="1772" customFormat="false" ht="14.5" hidden="false" customHeight="false" outlineLevel="0" collapsed="false">
      <c r="A1772" s="124"/>
    </row>
    <row r="1773" customFormat="false" ht="14.5" hidden="false" customHeight="false" outlineLevel="0" collapsed="false">
      <c r="A1773" s="124"/>
    </row>
    <row r="1774" customFormat="false" ht="14.5" hidden="false" customHeight="false" outlineLevel="0" collapsed="false">
      <c r="A1774" s="124"/>
    </row>
    <row r="1775" customFormat="false" ht="14.5" hidden="false" customHeight="false" outlineLevel="0" collapsed="false">
      <c r="A1775" s="124"/>
    </row>
    <row r="1776" customFormat="false" ht="14.5" hidden="false" customHeight="false" outlineLevel="0" collapsed="false">
      <c r="A1776" s="124"/>
    </row>
    <row r="1777" customFormat="false" ht="14.5" hidden="false" customHeight="false" outlineLevel="0" collapsed="false">
      <c r="A1777" s="124"/>
    </row>
    <row r="1778" customFormat="false" ht="14.5" hidden="false" customHeight="false" outlineLevel="0" collapsed="false">
      <c r="A1778" s="124"/>
    </row>
    <row r="1779" customFormat="false" ht="14.5" hidden="false" customHeight="false" outlineLevel="0" collapsed="false">
      <c r="A1779" s="124"/>
    </row>
    <row r="1780" customFormat="false" ht="14.5" hidden="false" customHeight="false" outlineLevel="0" collapsed="false">
      <c r="A1780" s="124"/>
    </row>
    <row r="1781" customFormat="false" ht="14.5" hidden="false" customHeight="false" outlineLevel="0" collapsed="false">
      <c r="A1781" s="124"/>
    </row>
    <row r="1782" customFormat="false" ht="14.5" hidden="false" customHeight="false" outlineLevel="0" collapsed="false">
      <c r="A1782" s="124"/>
    </row>
    <row r="1783" customFormat="false" ht="14.5" hidden="false" customHeight="false" outlineLevel="0" collapsed="false">
      <c r="A1783" s="124"/>
    </row>
    <row r="1784" customFormat="false" ht="14.5" hidden="false" customHeight="false" outlineLevel="0" collapsed="false">
      <c r="A1784" s="124"/>
    </row>
    <row r="1785" customFormat="false" ht="14.5" hidden="false" customHeight="false" outlineLevel="0" collapsed="false">
      <c r="A1785" s="124"/>
    </row>
    <row r="1786" customFormat="false" ht="14.5" hidden="false" customHeight="false" outlineLevel="0" collapsed="false">
      <c r="A1786" s="124"/>
    </row>
    <row r="1787" customFormat="false" ht="14.5" hidden="false" customHeight="false" outlineLevel="0" collapsed="false">
      <c r="A1787" s="124"/>
    </row>
    <row r="1788" customFormat="false" ht="14.5" hidden="false" customHeight="false" outlineLevel="0" collapsed="false">
      <c r="A1788" s="124"/>
    </row>
    <row r="1789" customFormat="false" ht="14.5" hidden="false" customHeight="false" outlineLevel="0" collapsed="false">
      <c r="A1789" s="124"/>
    </row>
    <row r="1790" customFormat="false" ht="14.5" hidden="false" customHeight="false" outlineLevel="0" collapsed="false">
      <c r="A1790" s="124"/>
    </row>
    <row r="1791" customFormat="false" ht="14.5" hidden="false" customHeight="false" outlineLevel="0" collapsed="false">
      <c r="A1791" s="124"/>
    </row>
    <row r="1792" customFormat="false" ht="14.5" hidden="false" customHeight="false" outlineLevel="0" collapsed="false">
      <c r="A1792" s="124"/>
    </row>
    <row r="1793" customFormat="false" ht="14.5" hidden="false" customHeight="false" outlineLevel="0" collapsed="false">
      <c r="A1793" s="124"/>
    </row>
    <row r="1794" customFormat="false" ht="14.5" hidden="false" customHeight="false" outlineLevel="0" collapsed="false">
      <c r="A1794" s="124"/>
    </row>
    <row r="1795" customFormat="false" ht="14.5" hidden="false" customHeight="false" outlineLevel="0" collapsed="false">
      <c r="A1795" s="124"/>
    </row>
    <row r="1796" customFormat="false" ht="14.5" hidden="false" customHeight="false" outlineLevel="0" collapsed="false">
      <c r="A1796" s="124"/>
    </row>
    <row r="1797" customFormat="false" ht="14.5" hidden="false" customHeight="false" outlineLevel="0" collapsed="false">
      <c r="A1797" s="124"/>
    </row>
    <row r="1798" customFormat="false" ht="14.5" hidden="false" customHeight="false" outlineLevel="0" collapsed="false">
      <c r="A1798" s="124"/>
    </row>
    <row r="1799" customFormat="false" ht="14.5" hidden="false" customHeight="false" outlineLevel="0" collapsed="false">
      <c r="A1799" s="124"/>
    </row>
    <row r="1800" customFormat="false" ht="14.5" hidden="false" customHeight="false" outlineLevel="0" collapsed="false">
      <c r="A1800" s="124"/>
    </row>
    <row r="1801" customFormat="false" ht="14.5" hidden="false" customHeight="false" outlineLevel="0" collapsed="false">
      <c r="A1801" s="124"/>
    </row>
    <row r="1802" customFormat="false" ht="14.5" hidden="false" customHeight="false" outlineLevel="0" collapsed="false">
      <c r="A1802" s="124"/>
    </row>
    <row r="1803" customFormat="false" ht="14.5" hidden="false" customHeight="false" outlineLevel="0" collapsed="false">
      <c r="A1803" s="124"/>
    </row>
    <row r="1804" customFormat="false" ht="14.5" hidden="false" customHeight="false" outlineLevel="0" collapsed="false">
      <c r="A1804" s="124"/>
    </row>
    <row r="1805" customFormat="false" ht="14.5" hidden="false" customHeight="false" outlineLevel="0" collapsed="false">
      <c r="A1805" s="124"/>
    </row>
    <row r="1806" customFormat="false" ht="14.5" hidden="false" customHeight="false" outlineLevel="0" collapsed="false">
      <c r="A1806" s="124"/>
    </row>
    <row r="1807" customFormat="false" ht="14.5" hidden="false" customHeight="false" outlineLevel="0" collapsed="false">
      <c r="A1807" s="124"/>
    </row>
    <row r="1808" customFormat="false" ht="14.5" hidden="false" customHeight="false" outlineLevel="0" collapsed="false">
      <c r="A1808" s="124"/>
    </row>
    <row r="1809" customFormat="false" ht="14.5" hidden="false" customHeight="false" outlineLevel="0" collapsed="false">
      <c r="A1809" s="124"/>
    </row>
    <row r="1810" customFormat="false" ht="14.5" hidden="false" customHeight="false" outlineLevel="0" collapsed="false">
      <c r="A1810" s="124"/>
    </row>
    <row r="1811" customFormat="false" ht="14.5" hidden="false" customHeight="false" outlineLevel="0" collapsed="false">
      <c r="A1811" s="124"/>
    </row>
    <row r="1812" customFormat="false" ht="14.5" hidden="false" customHeight="false" outlineLevel="0" collapsed="false">
      <c r="A1812" s="124"/>
    </row>
    <row r="1813" customFormat="false" ht="14.5" hidden="false" customHeight="false" outlineLevel="0" collapsed="false">
      <c r="A1813" s="124"/>
    </row>
    <row r="1814" customFormat="false" ht="14.5" hidden="false" customHeight="false" outlineLevel="0" collapsed="false">
      <c r="A1814" s="124"/>
    </row>
    <row r="1815" customFormat="false" ht="14.5" hidden="false" customHeight="false" outlineLevel="0" collapsed="false">
      <c r="A1815" s="124"/>
    </row>
    <row r="1816" customFormat="false" ht="14.5" hidden="false" customHeight="false" outlineLevel="0" collapsed="false">
      <c r="A1816" s="124"/>
    </row>
    <row r="1817" customFormat="false" ht="14.5" hidden="false" customHeight="false" outlineLevel="0" collapsed="false">
      <c r="A1817" s="124"/>
    </row>
    <row r="1818" customFormat="false" ht="14.5" hidden="false" customHeight="false" outlineLevel="0" collapsed="false">
      <c r="A1818" s="124"/>
    </row>
    <row r="1819" customFormat="false" ht="14.5" hidden="false" customHeight="false" outlineLevel="0" collapsed="false">
      <c r="A1819" s="124"/>
    </row>
    <row r="1820" customFormat="false" ht="14.5" hidden="false" customHeight="false" outlineLevel="0" collapsed="false">
      <c r="A1820" s="124"/>
    </row>
    <row r="1821" customFormat="false" ht="14.5" hidden="false" customHeight="false" outlineLevel="0" collapsed="false">
      <c r="A1821" s="124"/>
    </row>
    <row r="1822" customFormat="false" ht="14.5" hidden="false" customHeight="false" outlineLevel="0" collapsed="false">
      <c r="A1822" s="124"/>
    </row>
    <row r="1823" customFormat="false" ht="14.5" hidden="false" customHeight="false" outlineLevel="0" collapsed="false">
      <c r="A1823" s="124"/>
    </row>
    <row r="1824" customFormat="false" ht="14.5" hidden="false" customHeight="false" outlineLevel="0" collapsed="false">
      <c r="A1824" s="124"/>
    </row>
    <row r="1825" customFormat="false" ht="14.5" hidden="false" customHeight="false" outlineLevel="0" collapsed="false">
      <c r="A1825" s="124"/>
    </row>
    <row r="1826" customFormat="false" ht="14.5" hidden="false" customHeight="false" outlineLevel="0" collapsed="false">
      <c r="A1826" s="124"/>
    </row>
    <row r="1827" customFormat="false" ht="14.5" hidden="false" customHeight="false" outlineLevel="0" collapsed="false">
      <c r="A1827" s="124"/>
    </row>
    <row r="1828" customFormat="false" ht="14.5" hidden="false" customHeight="false" outlineLevel="0" collapsed="false">
      <c r="A1828" s="124"/>
    </row>
    <row r="1829" customFormat="false" ht="14.5" hidden="false" customHeight="false" outlineLevel="0" collapsed="false">
      <c r="A1829" s="124"/>
    </row>
    <row r="1830" customFormat="false" ht="14.5" hidden="false" customHeight="false" outlineLevel="0" collapsed="false">
      <c r="A1830" s="124"/>
    </row>
    <row r="1831" customFormat="false" ht="14.5" hidden="false" customHeight="false" outlineLevel="0" collapsed="false">
      <c r="A1831" s="124"/>
    </row>
    <row r="1832" customFormat="false" ht="14.5" hidden="false" customHeight="false" outlineLevel="0" collapsed="false">
      <c r="A1832" s="124"/>
    </row>
    <row r="1833" customFormat="false" ht="14.5" hidden="false" customHeight="false" outlineLevel="0" collapsed="false">
      <c r="A1833" s="124"/>
    </row>
    <row r="1834" customFormat="false" ht="14.5" hidden="false" customHeight="false" outlineLevel="0" collapsed="false">
      <c r="A1834" s="124"/>
    </row>
    <row r="1835" customFormat="false" ht="14.5" hidden="false" customHeight="false" outlineLevel="0" collapsed="false">
      <c r="A1835" s="124"/>
    </row>
    <row r="1836" customFormat="false" ht="14.5" hidden="false" customHeight="false" outlineLevel="0" collapsed="false">
      <c r="A1836" s="124"/>
    </row>
    <row r="1837" customFormat="false" ht="14.5" hidden="false" customHeight="false" outlineLevel="0" collapsed="false">
      <c r="A1837" s="124"/>
    </row>
    <row r="1838" customFormat="false" ht="14.5" hidden="false" customHeight="false" outlineLevel="0" collapsed="false">
      <c r="A1838" s="124"/>
    </row>
    <row r="1839" customFormat="false" ht="14.5" hidden="false" customHeight="false" outlineLevel="0" collapsed="false">
      <c r="A1839" s="124"/>
    </row>
    <row r="1840" customFormat="false" ht="14.5" hidden="false" customHeight="false" outlineLevel="0" collapsed="false">
      <c r="A1840" s="124"/>
    </row>
    <row r="1841" customFormat="false" ht="14.5" hidden="false" customHeight="false" outlineLevel="0" collapsed="false">
      <c r="A1841" s="124"/>
    </row>
    <row r="1842" customFormat="false" ht="14.5" hidden="false" customHeight="false" outlineLevel="0" collapsed="false">
      <c r="A1842" s="124"/>
    </row>
    <row r="1843" customFormat="false" ht="14.5" hidden="false" customHeight="false" outlineLevel="0" collapsed="false">
      <c r="A1843" s="124"/>
    </row>
    <row r="1844" customFormat="false" ht="14.5" hidden="false" customHeight="false" outlineLevel="0" collapsed="false">
      <c r="A1844" s="124"/>
    </row>
    <row r="1845" customFormat="false" ht="14.5" hidden="false" customHeight="false" outlineLevel="0" collapsed="false">
      <c r="A1845" s="124"/>
    </row>
    <row r="1846" customFormat="false" ht="14.5" hidden="false" customHeight="false" outlineLevel="0" collapsed="false">
      <c r="A1846" s="124"/>
    </row>
    <row r="1847" customFormat="false" ht="14.5" hidden="false" customHeight="false" outlineLevel="0" collapsed="false">
      <c r="A1847" s="124"/>
    </row>
    <row r="1848" customFormat="false" ht="14.5" hidden="false" customHeight="false" outlineLevel="0" collapsed="false">
      <c r="A1848" s="124"/>
    </row>
    <row r="1849" customFormat="false" ht="14.5" hidden="false" customHeight="false" outlineLevel="0" collapsed="false">
      <c r="A1849" s="124"/>
    </row>
    <row r="1850" customFormat="false" ht="14.5" hidden="false" customHeight="false" outlineLevel="0" collapsed="false">
      <c r="A1850" s="124"/>
    </row>
    <row r="1851" customFormat="false" ht="14.5" hidden="false" customHeight="false" outlineLevel="0" collapsed="false">
      <c r="A1851" s="124"/>
    </row>
    <row r="1852" customFormat="false" ht="14.5" hidden="false" customHeight="false" outlineLevel="0" collapsed="false">
      <c r="A1852" s="124"/>
    </row>
    <row r="1853" customFormat="false" ht="14.5" hidden="false" customHeight="false" outlineLevel="0" collapsed="false">
      <c r="A1853" s="124"/>
    </row>
    <row r="1854" customFormat="false" ht="14.5" hidden="false" customHeight="false" outlineLevel="0" collapsed="false">
      <c r="A1854" s="124"/>
    </row>
    <row r="1855" customFormat="false" ht="14.5" hidden="false" customHeight="false" outlineLevel="0" collapsed="false">
      <c r="A1855" s="124"/>
    </row>
    <row r="1856" customFormat="false" ht="14.5" hidden="false" customHeight="false" outlineLevel="0" collapsed="false">
      <c r="A1856" s="124"/>
    </row>
    <row r="1857" customFormat="false" ht="14.5" hidden="false" customHeight="false" outlineLevel="0" collapsed="false">
      <c r="A1857" s="124"/>
    </row>
    <row r="1858" customFormat="false" ht="14.5" hidden="false" customHeight="false" outlineLevel="0" collapsed="false">
      <c r="A1858" s="124"/>
    </row>
    <row r="1859" customFormat="false" ht="14.5" hidden="false" customHeight="false" outlineLevel="0" collapsed="false">
      <c r="A1859" s="124"/>
    </row>
    <row r="1860" customFormat="false" ht="14.5" hidden="false" customHeight="false" outlineLevel="0" collapsed="false">
      <c r="A1860" s="124"/>
    </row>
    <row r="1861" customFormat="false" ht="14.5" hidden="false" customHeight="false" outlineLevel="0" collapsed="false">
      <c r="A1861" s="124"/>
    </row>
    <row r="1862" customFormat="false" ht="14.5" hidden="false" customHeight="false" outlineLevel="0" collapsed="false">
      <c r="A1862" s="124"/>
    </row>
    <row r="1863" customFormat="false" ht="14.5" hidden="false" customHeight="false" outlineLevel="0" collapsed="false">
      <c r="A1863" s="124"/>
    </row>
    <row r="1864" customFormat="false" ht="14.5" hidden="false" customHeight="false" outlineLevel="0" collapsed="false">
      <c r="A1864" s="124"/>
    </row>
    <row r="1865" customFormat="false" ht="14.5" hidden="false" customHeight="false" outlineLevel="0" collapsed="false">
      <c r="A1865" s="124"/>
    </row>
    <row r="1866" customFormat="false" ht="14.5" hidden="false" customHeight="false" outlineLevel="0" collapsed="false">
      <c r="A1866" s="124"/>
    </row>
    <row r="1867" customFormat="false" ht="14.5" hidden="false" customHeight="false" outlineLevel="0" collapsed="false">
      <c r="A1867" s="124"/>
    </row>
    <row r="1868" customFormat="false" ht="14.5" hidden="false" customHeight="false" outlineLevel="0" collapsed="false">
      <c r="A1868" s="124"/>
    </row>
    <row r="1869" customFormat="false" ht="14.5" hidden="false" customHeight="false" outlineLevel="0" collapsed="false">
      <c r="A1869" s="124"/>
    </row>
    <row r="1870" customFormat="false" ht="14.5" hidden="false" customHeight="false" outlineLevel="0" collapsed="false">
      <c r="A1870" s="124"/>
    </row>
    <row r="1871" customFormat="false" ht="14.5" hidden="false" customHeight="false" outlineLevel="0" collapsed="false">
      <c r="A1871" s="124"/>
    </row>
    <row r="1872" customFormat="false" ht="14.5" hidden="false" customHeight="false" outlineLevel="0" collapsed="false">
      <c r="A1872" s="124"/>
    </row>
    <row r="1873" customFormat="false" ht="14.5" hidden="false" customHeight="false" outlineLevel="0" collapsed="false">
      <c r="A1873" s="124"/>
    </row>
    <row r="1874" customFormat="false" ht="14.5" hidden="false" customHeight="false" outlineLevel="0" collapsed="false">
      <c r="A1874" s="124"/>
    </row>
    <row r="1875" customFormat="false" ht="14.5" hidden="false" customHeight="false" outlineLevel="0" collapsed="false">
      <c r="A1875" s="124"/>
    </row>
    <row r="1876" customFormat="false" ht="14.5" hidden="false" customHeight="false" outlineLevel="0" collapsed="false">
      <c r="A1876" s="124"/>
    </row>
    <row r="1877" customFormat="false" ht="14.5" hidden="false" customHeight="false" outlineLevel="0" collapsed="false">
      <c r="A1877" s="124"/>
    </row>
    <row r="1878" customFormat="false" ht="14.5" hidden="false" customHeight="false" outlineLevel="0" collapsed="false">
      <c r="A1878" s="124"/>
    </row>
    <row r="1879" customFormat="false" ht="14.5" hidden="false" customHeight="false" outlineLevel="0" collapsed="false">
      <c r="A1879" s="124"/>
    </row>
    <row r="1880" customFormat="false" ht="14.5" hidden="false" customHeight="false" outlineLevel="0" collapsed="false">
      <c r="A1880" s="124"/>
    </row>
    <row r="1881" customFormat="false" ht="14.5" hidden="false" customHeight="false" outlineLevel="0" collapsed="false">
      <c r="A1881" s="124"/>
    </row>
    <row r="1882" customFormat="false" ht="14.5" hidden="false" customHeight="false" outlineLevel="0" collapsed="false">
      <c r="A1882" s="124"/>
    </row>
    <row r="1883" customFormat="false" ht="14.5" hidden="false" customHeight="false" outlineLevel="0" collapsed="false">
      <c r="A1883" s="124"/>
    </row>
    <row r="1884" customFormat="false" ht="14.5" hidden="false" customHeight="false" outlineLevel="0" collapsed="false">
      <c r="A1884" s="124"/>
    </row>
    <row r="1885" customFormat="false" ht="14.5" hidden="false" customHeight="false" outlineLevel="0" collapsed="false">
      <c r="A1885" s="124"/>
    </row>
    <row r="1886" customFormat="false" ht="14.5" hidden="false" customHeight="false" outlineLevel="0" collapsed="false">
      <c r="A1886" s="124"/>
    </row>
    <row r="1887" customFormat="false" ht="14.5" hidden="false" customHeight="false" outlineLevel="0" collapsed="false">
      <c r="A1887" s="124"/>
    </row>
    <row r="1888" customFormat="false" ht="14.5" hidden="false" customHeight="false" outlineLevel="0" collapsed="false">
      <c r="A1888" s="124"/>
    </row>
    <row r="1889" customFormat="false" ht="14.5" hidden="false" customHeight="false" outlineLevel="0" collapsed="false">
      <c r="A1889" s="124"/>
    </row>
    <row r="1890" customFormat="false" ht="14.5" hidden="false" customHeight="false" outlineLevel="0" collapsed="false">
      <c r="A1890" s="124"/>
    </row>
    <row r="1891" customFormat="false" ht="14.5" hidden="false" customHeight="false" outlineLevel="0" collapsed="false">
      <c r="A1891" s="124"/>
    </row>
    <row r="1892" customFormat="false" ht="14.5" hidden="false" customHeight="false" outlineLevel="0" collapsed="false">
      <c r="A1892" s="124"/>
    </row>
    <row r="1893" customFormat="false" ht="14.5" hidden="false" customHeight="false" outlineLevel="0" collapsed="false">
      <c r="A1893" s="124"/>
    </row>
    <row r="1894" customFormat="false" ht="14.5" hidden="false" customHeight="false" outlineLevel="0" collapsed="false">
      <c r="A1894" s="124"/>
    </row>
    <row r="1895" customFormat="false" ht="14.5" hidden="false" customHeight="false" outlineLevel="0" collapsed="false">
      <c r="A1895" s="124"/>
    </row>
    <row r="1896" customFormat="false" ht="14.5" hidden="false" customHeight="false" outlineLevel="0" collapsed="false">
      <c r="A1896" s="124"/>
    </row>
    <row r="1897" customFormat="false" ht="14.5" hidden="false" customHeight="false" outlineLevel="0" collapsed="false">
      <c r="A1897" s="124"/>
    </row>
    <row r="1898" customFormat="false" ht="14.5" hidden="false" customHeight="false" outlineLevel="0" collapsed="false">
      <c r="A1898" s="124"/>
    </row>
    <row r="1899" customFormat="false" ht="14.5" hidden="false" customHeight="false" outlineLevel="0" collapsed="false">
      <c r="A1899" s="124"/>
    </row>
    <row r="1900" customFormat="false" ht="14.5" hidden="false" customHeight="false" outlineLevel="0" collapsed="false">
      <c r="A1900" s="124"/>
    </row>
    <row r="1901" customFormat="false" ht="14.5" hidden="false" customHeight="false" outlineLevel="0" collapsed="false">
      <c r="A1901" s="124"/>
    </row>
    <row r="1902" customFormat="false" ht="14.5" hidden="false" customHeight="false" outlineLevel="0" collapsed="false">
      <c r="A1902" s="124"/>
    </row>
    <row r="1903" customFormat="false" ht="14.5" hidden="false" customHeight="false" outlineLevel="0" collapsed="false">
      <c r="A1903" s="124"/>
    </row>
    <row r="1904" customFormat="false" ht="14.5" hidden="false" customHeight="false" outlineLevel="0" collapsed="false">
      <c r="A1904" s="124"/>
    </row>
    <row r="1905" customFormat="false" ht="14.5" hidden="false" customHeight="false" outlineLevel="0" collapsed="false">
      <c r="A1905" s="124"/>
    </row>
    <row r="1906" customFormat="false" ht="14.5" hidden="false" customHeight="false" outlineLevel="0" collapsed="false">
      <c r="A1906" s="124"/>
    </row>
    <row r="1907" customFormat="false" ht="14.5" hidden="false" customHeight="false" outlineLevel="0" collapsed="false">
      <c r="A1907" s="124"/>
    </row>
    <row r="1908" customFormat="false" ht="14.5" hidden="false" customHeight="false" outlineLevel="0" collapsed="false">
      <c r="A1908" s="124"/>
    </row>
    <row r="1909" customFormat="false" ht="14.5" hidden="false" customHeight="false" outlineLevel="0" collapsed="false">
      <c r="A1909" s="124"/>
    </row>
    <row r="1910" customFormat="false" ht="14.5" hidden="false" customHeight="false" outlineLevel="0" collapsed="false">
      <c r="A1910" s="124"/>
    </row>
    <row r="1911" customFormat="false" ht="14.5" hidden="false" customHeight="false" outlineLevel="0" collapsed="false">
      <c r="A1911" s="124"/>
    </row>
    <row r="1912" customFormat="false" ht="14.5" hidden="false" customHeight="false" outlineLevel="0" collapsed="false">
      <c r="A1912" s="124"/>
    </row>
    <row r="1913" customFormat="false" ht="14.5" hidden="false" customHeight="false" outlineLevel="0" collapsed="false">
      <c r="A1913" s="124"/>
    </row>
    <row r="1914" customFormat="false" ht="14.5" hidden="false" customHeight="false" outlineLevel="0" collapsed="false">
      <c r="A1914" s="124"/>
    </row>
    <row r="1915" customFormat="false" ht="14.5" hidden="false" customHeight="false" outlineLevel="0" collapsed="false">
      <c r="A1915" s="124"/>
    </row>
    <row r="1916" customFormat="false" ht="14.5" hidden="false" customHeight="false" outlineLevel="0" collapsed="false">
      <c r="A1916" s="124"/>
    </row>
    <row r="1917" customFormat="false" ht="14.5" hidden="false" customHeight="false" outlineLevel="0" collapsed="false">
      <c r="A1917" s="124"/>
    </row>
    <row r="1918" customFormat="false" ht="14.5" hidden="false" customHeight="false" outlineLevel="0" collapsed="false">
      <c r="A1918" s="124"/>
    </row>
    <row r="1919" customFormat="false" ht="14.5" hidden="false" customHeight="false" outlineLevel="0" collapsed="false">
      <c r="A1919" s="124"/>
    </row>
    <row r="1920" customFormat="false" ht="14.5" hidden="false" customHeight="false" outlineLevel="0" collapsed="false">
      <c r="A1920" s="124"/>
    </row>
    <row r="1921" customFormat="false" ht="14.5" hidden="false" customHeight="false" outlineLevel="0" collapsed="false">
      <c r="A1921" s="124"/>
    </row>
    <row r="1922" customFormat="false" ht="14.5" hidden="false" customHeight="false" outlineLevel="0" collapsed="false">
      <c r="A1922" s="124"/>
    </row>
    <row r="1923" customFormat="false" ht="14.5" hidden="false" customHeight="false" outlineLevel="0" collapsed="false">
      <c r="A1923" s="124"/>
    </row>
    <row r="1924" customFormat="false" ht="14.5" hidden="false" customHeight="false" outlineLevel="0" collapsed="false">
      <c r="A1924" s="124"/>
    </row>
    <row r="1925" customFormat="false" ht="14.5" hidden="false" customHeight="false" outlineLevel="0" collapsed="false">
      <c r="A1925" s="124"/>
    </row>
    <row r="1926" customFormat="false" ht="14.5" hidden="false" customHeight="false" outlineLevel="0" collapsed="false">
      <c r="A1926" s="124"/>
    </row>
    <row r="1927" customFormat="false" ht="14.5" hidden="false" customHeight="false" outlineLevel="0" collapsed="false">
      <c r="A1927" s="124"/>
    </row>
    <row r="1928" customFormat="false" ht="14.5" hidden="false" customHeight="false" outlineLevel="0" collapsed="false">
      <c r="A1928" s="124"/>
    </row>
    <row r="1929" customFormat="false" ht="14.5" hidden="false" customHeight="false" outlineLevel="0" collapsed="false">
      <c r="A1929" s="124"/>
    </row>
    <row r="1930" customFormat="false" ht="14.5" hidden="false" customHeight="false" outlineLevel="0" collapsed="false">
      <c r="A1930" s="124"/>
    </row>
    <row r="1931" customFormat="false" ht="14.5" hidden="false" customHeight="false" outlineLevel="0" collapsed="false">
      <c r="A1931" s="124"/>
    </row>
    <row r="1932" customFormat="false" ht="14.5" hidden="false" customHeight="false" outlineLevel="0" collapsed="false">
      <c r="A1932" s="124"/>
    </row>
    <row r="1933" customFormat="false" ht="14.5" hidden="false" customHeight="false" outlineLevel="0" collapsed="false">
      <c r="A1933" s="124"/>
    </row>
    <row r="1934" customFormat="false" ht="14.5" hidden="false" customHeight="false" outlineLevel="0" collapsed="false">
      <c r="A1934" s="124"/>
    </row>
    <row r="1935" customFormat="false" ht="14.5" hidden="false" customHeight="false" outlineLevel="0" collapsed="false">
      <c r="A1935" s="124"/>
    </row>
    <row r="1936" customFormat="false" ht="14.5" hidden="false" customHeight="false" outlineLevel="0" collapsed="false">
      <c r="A1936" s="124"/>
    </row>
    <row r="1937" customFormat="false" ht="14.5" hidden="false" customHeight="false" outlineLevel="0" collapsed="false">
      <c r="A1937" s="124"/>
    </row>
    <row r="1938" customFormat="false" ht="14.5" hidden="false" customHeight="false" outlineLevel="0" collapsed="false">
      <c r="A1938" s="124"/>
    </row>
    <row r="1939" customFormat="false" ht="14.5" hidden="false" customHeight="false" outlineLevel="0" collapsed="false">
      <c r="A1939" s="124"/>
    </row>
    <row r="1940" customFormat="false" ht="14.5" hidden="false" customHeight="false" outlineLevel="0" collapsed="false">
      <c r="A1940" s="124"/>
    </row>
    <row r="1941" customFormat="false" ht="14.5" hidden="false" customHeight="false" outlineLevel="0" collapsed="false">
      <c r="A1941" s="124"/>
    </row>
    <row r="1942" customFormat="false" ht="14.5" hidden="false" customHeight="false" outlineLevel="0" collapsed="false">
      <c r="A1942" s="124"/>
    </row>
    <row r="1943" customFormat="false" ht="14.5" hidden="false" customHeight="false" outlineLevel="0" collapsed="false">
      <c r="A1943" s="124"/>
    </row>
    <row r="1944" customFormat="false" ht="14.5" hidden="false" customHeight="false" outlineLevel="0" collapsed="false">
      <c r="A1944" s="124"/>
    </row>
    <row r="1945" customFormat="false" ht="14.5" hidden="false" customHeight="false" outlineLevel="0" collapsed="false">
      <c r="A1945" s="124"/>
    </row>
    <row r="1946" customFormat="false" ht="14.5" hidden="false" customHeight="false" outlineLevel="0" collapsed="false">
      <c r="A1946" s="124"/>
    </row>
    <row r="1947" customFormat="false" ht="14.5" hidden="false" customHeight="false" outlineLevel="0" collapsed="false">
      <c r="A1947" s="124"/>
    </row>
    <row r="1948" customFormat="false" ht="14.5" hidden="false" customHeight="false" outlineLevel="0" collapsed="false">
      <c r="A1948" s="124"/>
    </row>
    <row r="1949" customFormat="false" ht="14.5" hidden="false" customHeight="false" outlineLevel="0" collapsed="false">
      <c r="A1949" s="124"/>
    </row>
    <row r="1950" customFormat="false" ht="14.5" hidden="false" customHeight="false" outlineLevel="0" collapsed="false">
      <c r="A1950" s="124"/>
    </row>
    <row r="1951" customFormat="false" ht="14.5" hidden="false" customHeight="false" outlineLevel="0" collapsed="false">
      <c r="A1951" s="124"/>
    </row>
    <row r="1952" customFormat="false" ht="14.5" hidden="false" customHeight="false" outlineLevel="0" collapsed="false">
      <c r="A1952" s="124"/>
    </row>
    <row r="1953" customFormat="false" ht="14.5" hidden="false" customHeight="false" outlineLevel="0" collapsed="false">
      <c r="A1953" s="124"/>
    </row>
    <row r="1954" customFormat="false" ht="14.5" hidden="false" customHeight="false" outlineLevel="0" collapsed="false">
      <c r="A1954" s="124"/>
    </row>
    <row r="1955" customFormat="false" ht="14.5" hidden="false" customHeight="false" outlineLevel="0" collapsed="false">
      <c r="A1955" s="124"/>
    </row>
    <row r="1956" customFormat="false" ht="14.5" hidden="false" customHeight="false" outlineLevel="0" collapsed="false">
      <c r="A1956" s="124"/>
    </row>
    <row r="1957" customFormat="false" ht="14.5" hidden="false" customHeight="false" outlineLevel="0" collapsed="false">
      <c r="A1957" s="124"/>
    </row>
    <row r="1958" customFormat="false" ht="14.5" hidden="false" customHeight="false" outlineLevel="0" collapsed="false">
      <c r="A1958" s="124"/>
    </row>
    <row r="1959" customFormat="false" ht="14.5" hidden="false" customHeight="false" outlineLevel="0" collapsed="false">
      <c r="A1959" s="124"/>
    </row>
    <row r="1960" customFormat="false" ht="14.5" hidden="false" customHeight="false" outlineLevel="0" collapsed="false">
      <c r="A1960" s="124"/>
    </row>
    <row r="1961" customFormat="false" ht="14.5" hidden="false" customHeight="false" outlineLevel="0" collapsed="false">
      <c r="A1961" s="124"/>
    </row>
    <row r="1962" customFormat="false" ht="14.5" hidden="false" customHeight="false" outlineLevel="0" collapsed="false">
      <c r="A1962" s="124"/>
    </row>
    <row r="1963" customFormat="false" ht="14.5" hidden="false" customHeight="false" outlineLevel="0" collapsed="false">
      <c r="A1963" s="124"/>
    </row>
    <row r="1964" customFormat="false" ht="14.5" hidden="false" customHeight="false" outlineLevel="0" collapsed="false">
      <c r="A1964" s="124"/>
    </row>
    <row r="1965" customFormat="false" ht="14.5" hidden="false" customHeight="false" outlineLevel="0" collapsed="false">
      <c r="A1965" s="124"/>
    </row>
    <row r="1966" customFormat="false" ht="14.5" hidden="false" customHeight="false" outlineLevel="0" collapsed="false">
      <c r="A1966" s="124"/>
    </row>
    <row r="1967" customFormat="false" ht="14.5" hidden="false" customHeight="false" outlineLevel="0" collapsed="false">
      <c r="A1967" s="124"/>
    </row>
    <row r="1968" customFormat="false" ht="14.5" hidden="false" customHeight="false" outlineLevel="0" collapsed="false">
      <c r="A1968" s="124"/>
    </row>
    <row r="1969" customFormat="false" ht="14.5" hidden="false" customHeight="false" outlineLevel="0" collapsed="false">
      <c r="A1969" s="124"/>
    </row>
    <row r="1970" customFormat="false" ht="14.5" hidden="false" customHeight="false" outlineLevel="0" collapsed="false">
      <c r="A1970" s="124"/>
    </row>
    <row r="1971" customFormat="false" ht="14.5" hidden="false" customHeight="false" outlineLevel="0" collapsed="false">
      <c r="A1971" s="124"/>
    </row>
    <row r="1972" customFormat="false" ht="14.5" hidden="false" customHeight="false" outlineLevel="0" collapsed="false">
      <c r="A1972" s="124"/>
    </row>
    <row r="1973" customFormat="false" ht="14.5" hidden="false" customHeight="false" outlineLevel="0" collapsed="false">
      <c r="A1973" s="124"/>
    </row>
    <row r="1974" customFormat="false" ht="14.5" hidden="false" customHeight="false" outlineLevel="0" collapsed="false">
      <c r="A1974" s="124"/>
    </row>
    <row r="1975" customFormat="false" ht="14.5" hidden="false" customHeight="false" outlineLevel="0" collapsed="false">
      <c r="A1975" s="124"/>
    </row>
    <row r="1976" customFormat="false" ht="14.5" hidden="false" customHeight="false" outlineLevel="0" collapsed="false">
      <c r="A1976" s="124"/>
    </row>
    <row r="1977" customFormat="false" ht="14.5" hidden="false" customHeight="false" outlineLevel="0" collapsed="false">
      <c r="A1977" s="124"/>
    </row>
    <row r="1978" customFormat="false" ht="14.5" hidden="false" customHeight="false" outlineLevel="0" collapsed="false">
      <c r="A1978" s="124"/>
    </row>
    <row r="1979" customFormat="false" ht="14.5" hidden="false" customHeight="false" outlineLevel="0" collapsed="false">
      <c r="A1979" s="124"/>
    </row>
    <row r="1980" customFormat="false" ht="14.5" hidden="false" customHeight="false" outlineLevel="0" collapsed="false">
      <c r="A1980" s="124"/>
    </row>
    <row r="1981" customFormat="false" ht="14.5" hidden="false" customHeight="false" outlineLevel="0" collapsed="false">
      <c r="A1981" s="124"/>
    </row>
    <row r="1982" customFormat="false" ht="14.5" hidden="false" customHeight="false" outlineLevel="0" collapsed="false">
      <c r="A1982" s="124"/>
    </row>
    <row r="1983" customFormat="false" ht="14.5" hidden="false" customHeight="false" outlineLevel="0" collapsed="false">
      <c r="A1983" s="124"/>
    </row>
    <row r="1984" customFormat="false" ht="14.5" hidden="false" customHeight="false" outlineLevel="0" collapsed="false">
      <c r="A1984" s="124"/>
    </row>
    <row r="1985" customFormat="false" ht="14.5" hidden="false" customHeight="false" outlineLevel="0" collapsed="false">
      <c r="A1985" s="124"/>
    </row>
    <row r="1986" customFormat="false" ht="14.5" hidden="false" customHeight="false" outlineLevel="0" collapsed="false">
      <c r="A1986" s="124"/>
    </row>
    <row r="1987" customFormat="false" ht="14.5" hidden="false" customHeight="false" outlineLevel="0" collapsed="false">
      <c r="A1987" s="124"/>
    </row>
    <row r="1988" customFormat="false" ht="14.5" hidden="false" customHeight="false" outlineLevel="0" collapsed="false">
      <c r="A1988" s="124"/>
    </row>
    <row r="1989" customFormat="false" ht="14.5" hidden="false" customHeight="false" outlineLevel="0" collapsed="false">
      <c r="A1989" s="124"/>
    </row>
    <row r="1990" customFormat="false" ht="14.5" hidden="false" customHeight="false" outlineLevel="0" collapsed="false">
      <c r="A1990" s="124"/>
    </row>
    <row r="1991" customFormat="false" ht="14.5" hidden="false" customHeight="false" outlineLevel="0" collapsed="false">
      <c r="A1991" s="124"/>
    </row>
    <row r="1992" customFormat="false" ht="14.5" hidden="false" customHeight="false" outlineLevel="0" collapsed="false">
      <c r="A1992" s="124"/>
    </row>
    <row r="1993" customFormat="false" ht="14.5" hidden="false" customHeight="false" outlineLevel="0" collapsed="false">
      <c r="A1993" s="124"/>
    </row>
    <row r="1994" customFormat="false" ht="14.5" hidden="false" customHeight="false" outlineLevel="0" collapsed="false">
      <c r="A1994" s="124"/>
    </row>
    <row r="1995" customFormat="false" ht="14.5" hidden="false" customHeight="false" outlineLevel="0" collapsed="false">
      <c r="A1995" s="124"/>
    </row>
    <row r="1996" customFormat="false" ht="14.5" hidden="false" customHeight="false" outlineLevel="0" collapsed="false">
      <c r="A1996" s="124"/>
    </row>
    <row r="1997" customFormat="false" ht="14.5" hidden="false" customHeight="false" outlineLevel="0" collapsed="false">
      <c r="A1997" s="124"/>
    </row>
    <row r="1998" customFormat="false" ht="14.5" hidden="false" customHeight="false" outlineLevel="0" collapsed="false">
      <c r="A1998" s="124"/>
    </row>
    <row r="1999" customFormat="false" ht="14.5" hidden="false" customHeight="false" outlineLevel="0" collapsed="false">
      <c r="A1999" s="124"/>
    </row>
    <row r="2000" customFormat="false" ht="14.5" hidden="false" customHeight="false" outlineLevel="0" collapsed="false">
      <c r="A2000" s="124"/>
    </row>
    <row r="2001" customFormat="false" ht="14.5" hidden="false" customHeight="false" outlineLevel="0" collapsed="false">
      <c r="A2001" s="124"/>
    </row>
    <row r="2002" customFormat="false" ht="14.5" hidden="false" customHeight="false" outlineLevel="0" collapsed="false">
      <c r="A2002" s="124"/>
    </row>
    <row r="2003" customFormat="false" ht="14.5" hidden="false" customHeight="false" outlineLevel="0" collapsed="false">
      <c r="A2003" s="124"/>
    </row>
    <row r="2004" customFormat="false" ht="14.5" hidden="false" customHeight="false" outlineLevel="0" collapsed="false">
      <c r="A2004" s="124"/>
    </row>
    <row r="2005" customFormat="false" ht="14.5" hidden="false" customHeight="false" outlineLevel="0" collapsed="false">
      <c r="A2005" s="124"/>
    </row>
    <row r="2006" customFormat="false" ht="14.5" hidden="false" customHeight="false" outlineLevel="0" collapsed="false">
      <c r="A2006" s="124"/>
    </row>
    <row r="2007" customFormat="false" ht="14.5" hidden="false" customHeight="false" outlineLevel="0" collapsed="false">
      <c r="A2007" s="124"/>
    </row>
    <row r="2008" customFormat="false" ht="14.5" hidden="false" customHeight="false" outlineLevel="0" collapsed="false">
      <c r="A2008" s="124"/>
    </row>
    <row r="2009" customFormat="false" ht="14.5" hidden="false" customHeight="false" outlineLevel="0" collapsed="false">
      <c r="A2009" s="124"/>
    </row>
    <row r="2010" customFormat="false" ht="14.5" hidden="false" customHeight="false" outlineLevel="0" collapsed="false">
      <c r="A2010" s="124"/>
    </row>
    <row r="2011" customFormat="false" ht="14.5" hidden="false" customHeight="false" outlineLevel="0" collapsed="false">
      <c r="A2011" s="124"/>
    </row>
    <row r="2012" customFormat="false" ht="14.5" hidden="false" customHeight="false" outlineLevel="0" collapsed="false">
      <c r="A2012" s="124"/>
    </row>
    <row r="2013" customFormat="false" ht="14.5" hidden="false" customHeight="false" outlineLevel="0" collapsed="false">
      <c r="A2013" s="124"/>
    </row>
    <row r="2014" customFormat="false" ht="14.5" hidden="false" customHeight="false" outlineLevel="0" collapsed="false">
      <c r="A2014" s="124"/>
    </row>
    <row r="2015" customFormat="false" ht="14.5" hidden="false" customHeight="false" outlineLevel="0" collapsed="false">
      <c r="A2015" s="124"/>
    </row>
    <row r="2016" customFormat="false" ht="14.5" hidden="false" customHeight="false" outlineLevel="0" collapsed="false">
      <c r="A2016" s="124"/>
    </row>
    <row r="2017" customFormat="false" ht="14.5" hidden="false" customHeight="false" outlineLevel="0" collapsed="false">
      <c r="A2017" s="124"/>
    </row>
    <row r="2018" customFormat="false" ht="14.5" hidden="false" customHeight="false" outlineLevel="0" collapsed="false">
      <c r="A2018" s="124"/>
    </row>
    <row r="2019" customFormat="false" ht="14.5" hidden="false" customHeight="false" outlineLevel="0" collapsed="false">
      <c r="A2019" s="124"/>
    </row>
    <row r="2020" customFormat="false" ht="14.5" hidden="false" customHeight="false" outlineLevel="0" collapsed="false">
      <c r="A2020" s="124"/>
    </row>
    <row r="2021" customFormat="false" ht="14.5" hidden="false" customHeight="false" outlineLevel="0" collapsed="false">
      <c r="A2021" s="124"/>
    </row>
    <row r="2022" customFormat="false" ht="14.5" hidden="false" customHeight="false" outlineLevel="0" collapsed="false">
      <c r="A2022" s="124"/>
    </row>
    <row r="2023" customFormat="false" ht="14.5" hidden="false" customHeight="false" outlineLevel="0" collapsed="false">
      <c r="A2023" s="124"/>
    </row>
    <row r="2024" customFormat="false" ht="14.5" hidden="false" customHeight="false" outlineLevel="0" collapsed="false">
      <c r="A2024" s="124"/>
    </row>
    <row r="2025" customFormat="false" ht="14.5" hidden="false" customHeight="false" outlineLevel="0" collapsed="false">
      <c r="A2025" s="124"/>
    </row>
    <row r="2026" customFormat="false" ht="14.5" hidden="false" customHeight="false" outlineLevel="0" collapsed="false">
      <c r="A2026" s="124"/>
    </row>
    <row r="2027" customFormat="false" ht="14.5" hidden="false" customHeight="false" outlineLevel="0" collapsed="false">
      <c r="A2027" s="124"/>
    </row>
    <row r="2028" customFormat="false" ht="14.5" hidden="false" customHeight="false" outlineLevel="0" collapsed="false">
      <c r="A2028" s="124"/>
    </row>
    <row r="2029" customFormat="false" ht="14.5" hidden="false" customHeight="false" outlineLevel="0" collapsed="false">
      <c r="A2029" s="124"/>
    </row>
    <row r="2030" customFormat="false" ht="14.5" hidden="false" customHeight="false" outlineLevel="0" collapsed="false">
      <c r="A2030" s="124"/>
    </row>
    <row r="2031" customFormat="false" ht="14.5" hidden="false" customHeight="false" outlineLevel="0" collapsed="false">
      <c r="A2031" s="124"/>
    </row>
    <row r="2032" customFormat="false" ht="14.5" hidden="false" customHeight="false" outlineLevel="0" collapsed="false">
      <c r="A2032" s="124"/>
    </row>
    <row r="2033" customFormat="false" ht="14.5" hidden="false" customHeight="false" outlineLevel="0" collapsed="false">
      <c r="A2033" s="124"/>
    </row>
    <row r="2034" customFormat="false" ht="14.5" hidden="false" customHeight="false" outlineLevel="0" collapsed="false">
      <c r="A2034" s="124"/>
    </row>
    <row r="2035" customFormat="false" ht="14.5" hidden="false" customHeight="false" outlineLevel="0" collapsed="false">
      <c r="A2035" s="124"/>
    </row>
    <row r="2036" customFormat="false" ht="14.5" hidden="false" customHeight="false" outlineLevel="0" collapsed="false">
      <c r="A2036" s="124"/>
    </row>
    <row r="2037" customFormat="false" ht="14.5" hidden="false" customHeight="false" outlineLevel="0" collapsed="false">
      <c r="A2037" s="124"/>
    </row>
    <row r="2038" customFormat="false" ht="14.5" hidden="false" customHeight="false" outlineLevel="0" collapsed="false">
      <c r="A2038" s="124"/>
    </row>
    <row r="2039" customFormat="false" ht="14.5" hidden="false" customHeight="false" outlineLevel="0" collapsed="false">
      <c r="A2039" s="124"/>
    </row>
    <row r="2040" customFormat="false" ht="14.5" hidden="false" customHeight="false" outlineLevel="0" collapsed="false">
      <c r="A2040" s="124"/>
    </row>
    <row r="2041" customFormat="false" ht="14.5" hidden="false" customHeight="false" outlineLevel="0" collapsed="false">
      <c r="A2041" s="124"/>
    </row>
    <row r="2042" customFormat="false" ht="14.5" hidden="false" customHeight="false" outlineLevel="0" collapsed="false">
      <c r="A2042" s="124"/>
    </row>
    <row r="2043" customFormat="false" ht="14.5" hidden="false" customHeight="false" outlineLevel="0" collapsed="false">
      <c r="A2043" s="124"/>
    </row>
    <row r="2044" customFormat="false" ht="14.5" hidden="false" customHeight="false" outlineLevel="0" collapsed="false">
      <c r="A2044" s="124"/>
    </row>
    <row r="2045" customFormat="false" ht="14.5" hidden="false" customHeight="false" outlineLevel="0" collapsed="false">
      <c r="A2045" s="124"/>
    </row>
    <row r="2046" customFormat="false" ht="14.5" hidden="false" customHeight="false" outlineLevel="0" collapsed="false">
      <c r="A2046" s="124"/>
    </row>
    <row r="2047" customFormat="false" ht="14.5" hidden="false" customHeight="false" outlineLevel="0" collapsed="false">
      <c r="A2047" s="124"/>
    </row>
    <row r="2048" customFormat="false" ht="14.5" hidden="false" customHeight="false" outlineLevel="0" collapsed="false">
      <c r="A2048" s="124"/>
    </row>
    <row r="2049" customFormat="false" ht="14.5" hidden="false" customHeight="false" outlineLevel="0" collapsed="false">
      <c r="A2049" s="124"/>
    </row>
    <row r="2050" customFormat="false" ht="14.5" hidden="false" customHeight="false" outlineLevel="0" collapsed="false">
      <c r="A2050" s="124"/>
    </row>
    <row r="2051" customFormat="false" ht="14.5" hidden="false" customHeight="false" outlineLevel="0" collapsed="false">
      <c r="A2051" s="124"/>
    </row>
    <row r="2052" customFormat="false" ht="14.5" hidden="false" customHeight="false" outlineLevel="0" collapsed="false">
      <c r="A2052" s="124"/>
    </row>
    <row r="2053" customFormat="false" ht="14.5" hidden="false" customHeight="false" outlineLevel="0" collapsed="false">
      <c r="A2053" s="124"/>
    </row>
    <row r="2054" customFormat="false" ht="14.5" hidden="false" customHeight="false" outlineLevel="0" collapsed="false">
      <c r="A2054" s="124"/>
    </row>
    <row r="2055" customFormat="false" ht="14.5" hidden="false" customHeight="false" outlineLevel="0" collapsed="false">
      <c r="A2055" s="124"/>
    </row>
    <row r="2056" customFormat="false" ht="14.5" hidden="false" customHeight="false" outlineLevel="0" collapsed="false">
      <c r="A2056" s="124"/>
    </row>
    <row r="2057" customFormat="false" ht="14.5" hidden="false" customHeight="false" outlineLevel="0" collapsed="false">
      <c r="A2057" s="124"/>
    </row>
    <row r="2058" customFormat="false" ht="14.5" hidden="false" customHeight="false" outlineLevel="0" collapsed="false">
      <c r="A2058" s="124"/>
    </row>
    <row r="2059" customFormat="false" ht="14.5" hidden="false" customHeight="false" outlineLevel="0" collapsed="false">
      <c r="A2059" s="124"/>
    </row>
    <row r="2060" customFormat="false" ht="14.5" hidden="false" customHeight="false" outlineLevel="0" collapsed="false">
      <c r="A2060" s="124"/>
    </row>
    <row r="2061" customFormat="false" ht="14.5" hidden="false" customHeight="false" outlineLevel="0" collapsed="false">
      <c r="A2061" s="124"/>
    </row>
    <row r="2062" customFormat="false" ht="14.5" hidden="false" customHeight="false" outlineLevel="0" collapsed="false">
      <c r="A2062" s="124"/>
    </row>
    <row r="2063" customFormat="false" ht="14.5" hidden="false" customHeight="false" outlineLevel="0" collapsed="false">
      <c r="A2063" s="124"/>
    </row>
    <row r="2064" customFormat="false" ht="14.5" hidden="false" customHeight="false" outlineLevel="0" collapsed="false">
      <c r="A2064" s="124"/>
    </row>
    <row r="2065" customFormat="false" ht="14.5" hidden="false" customHeight="false" outlineLevel="0" collapsed="false">
      <c r="A2065" s="124"/>
    </row>
    <row r="2066" customFormat="false" ht="14.5" hidden="false" customHeight="false" outlineLevel="0" collapsed="false">
      <c r="A2066" s="124"/>
    </row>
    <row r="2067" customFormat="false" ht="14.5" hidden="false" customHeight="false" outlineLevel="0" collapsed="false">
      <c r="A2067" s="124"/>
    </row>
    <row r="2068" customFormat="false" ht="14.5" hidden="false" customHeight="false" outlineLevel="0" collapsed="false">
      <c r="A2068" s="124"/>
    </row>
    <row r="2069" customFormat="false" ht="14.5" hidden="false" customHeight="false" outlineLevel="0" collapsed="false">
      <c r="A2069" s="124"/>
    </row>
    <row r="2070" customFormat="false" ht="14.5" hidden="false" customHeight="false" outlineLevel="0" collapsed="false">
      <c r="A2070" s="124"/>
    </row>
    <row r="2071" customFormat="false" ht="14.5" hidden="false" customHeight="false" outlineLevel="0" collapsed="false">
      <c r="A2071" s="124"/>
    </row>
    <row r="2072" customFormat="false" ht="14.5" hidden="false" customHeight="false" outlineLevel="0" collapsed="false">
      <c r="A2072" s="124"/>
    </row>
    <row r="2073" customFormat="false" ht="14.5" hidden="false" customHeight="false" outlineLevel="0" collapsed="false">
      <c r="A2073" s="124"/>
    </row>
    <row r="2074" customFormat="false" ht="14.5" hidden="false" customHeight="false" outlineLevel="0" collapsed="false">
      <c r="A2074" s="124"/>
    </row>
    <row r="2075" customFormat="false" ht="14.5" hidden="false" customHeight="false" outlineLevel="0" collapsed="false">
      <c r="A2075" s="124"/>
    </row>
    <row r="2076" customFormat="false" ht="14.5" hidden="false" customHeight="false" outlineLevel="0" collapsed="false">
      <c r="A2076" s="124"/>
    </row>
    <row r="2077" customFormat="false" ht="14.5" hidden="false" customHeight="false" outlineLevel="0" collapsed="false">
      <c r="A2077" s="124"/>
    </row>
    <row r="2078" customFormat="false" ht="14.5" hidden="false" customHeight="false" outlineLevel="0" collapsed="false">
      <c r="A2078" s="124"/>
    </row>
    <row r="2079" customFormat="false" ht="14.5" hidden="false" customHeight="false" outlineLevel="0" collapsed="false">
      <c r="A2079" s="124"/>
    </row>
    <row r="2080" customFormat="false" ht="14.5" hidden="false" customHeight="false" outlineLevel="0" collapsed="false">
      <c r="A2080" s="124"/>
    </row>
    <row r="2081" customFormat="false" ht="14.5" hidden="false" customHeight="false" outlineLevel="0" collapsed="false">
      <c r="A2081" s="124"/>
    </row>
    <row r="2082" customFormat="false" ht="14.5" hidden="false" customHeight="false" outlineLevel="0" collapsed="false">
      <c r="A2082" s="124"/>
    </row>
    <row r="2083" customFormat="false" ht="14.5" hidden="false" customHeight="false" outlineLevel="0" collapsed="false">
      <c r="A2083" s="124"/>
    </row>
    <row r="2084" customFormat="false" ht="14.5" hidden="false" customHeight="false" outlineLevel="0" collapsed="false">
      <c r="A2084" s="124"/>
    </row>
    <row r="2085" customFormat="false" ht="14.5" hidden="false" customHeight="false" outlineLevel="0" collapsed="false">
      <c r="A2085" s="124"/>
    </row>
    <row r="2086" customFormat="false" ht="14.5" hidden="false" customHeight="false" outlineLevel="0" collapsed="false">
      <c r="A2086" s="124"/>
    </row>
    <row r="2087" customFormat="false" ht="14.5" hidden="false" customHeight="false" outlineLevel="0" collapsed="false">
      <c r="A2087" s="124"/>
    </row>
    <row r="2088" customFormat="false" ht="14.5" hidden="false" customHeight="false" outlineLevel="0" collapsed="false">
      <c r="A2088" s="124"/>
    </row>
    <row r="2089" customFormat="false" ht="14.5" hidden="false" customHeight="false" outlineLevel="0" collapsed="false">
      <c r="A2089" s="124"/>
    </row>
    <row r="2090" customFormat="false" ht="14.5" hidden="false" customHeight="false" outlineLevel="0" collapsed="false">
      <c r="A2090" s="124"/>
    </row>
    <row r="2091" customFormat="false" ht="14.5" hidden="false" customHeight="false" outlineLevel="0" collapsed="false">
      <c r="A2091" s="124"/>
    </row>
    <row r="2092" customFormat="false" ht="14.5" hidden="false" customHeight="false" outlineLevel="0" collapsed="false">
      <c r="A2092" s="124"/>
    </row>
    <row r="2093" customFormat="false" ht="14.5" hidden="false" customHeight="false" outlineLevel="0" collapsed="false">
      <c r="A2093" s="124"/>
    </row>
    <row r="2094" customFormat="false" ht="14.5" hidden="false" customHeight="false" outlineLevel="0" collapsed="false">
      <c r="A2094" s="124"/>
    </row>
    <row r="2095" customFormat="false" ht="14.5" hidden="false" customHeight="false" outlineLevel="0" collapsed="false">
      <c r="A2095" s="124"/>
    </row>
    <row r="2096" customFormat="false" ht="14.5" hidden="false" customHeight="false" outlineLevel="0" collapsed="false">
      <c r="A2096" s="124"/>
    </row>
    <row r="2097" customFormat="false" ht="14.5" hidden="false" customHeight="false" outlineLevel="0" collapsed="false">
      <c r="A2097" s="124"/>
    </row>
    <row r="2098" customFormat="false" ht="14.5" hidden="false" customHeight="false" outlineLevel="0" collapsed="false">
      <c r="A2098" s="124"/>
    </row>
    <row r="2099" customFormat="false" ht="14.5" hidden="false" customHeight="false" outlineLevel="0" collapsed="false">
      <c r="A2099" s="124"/>
    </row>
    <row r="2100" customFormat="false" ht="14.5" hidden="false" customHeight="false" outlineLevel="0" collapsed="false">
      <c r="A2100" s="124"/>
    </row>
    <row r="2101" customFormat="false" ht="14.5" hidden="false" customHeight="false" outlineLevel="0" collapsed="false">
      <c r="A2101" s="124"/>
    </row>
    <row r="2102" customFormat="false" ht="14.5" hidden="false" customHeight="false" outlineLevel="0" collapsed="false">
      <c r="A2102" s="124"/>
    </row>
    <row r="2103" customFormat="false" ht="14.5" hidden="false" customHeight="false" outlineLevel="0" collapsed="false">
      <c r="A2103" s="124"/>
    </row>
    <row r="2104" customFormat="false" ht="14.5" hidden="false" customHeight="false" outlineLevel="0" collapsed="false">
      <c r="A2104" s="124"/>
    </row>
    <row r="2105" customFormat="false" ht="14.5" hidden="false" customHeight="false" outlineLevel="0" collapsed="false">
      <c r="A2105" s="124"/>
    </row>
    <row r="2106" customFormat="false" ht="14.5" hidden="false" customHeight="false" outlineLevel="0" collapsed="false">
      <c r="A2106" s="124"/>
    </row>
    <row r="2107" customFormat="false" ht="14.5" hidden="false" customHeight="false" outlineLevel="0" collapsed="false">
      <c r="A2107" s="124"/>
    </row>
    <row r="2108" customFormat="false" ht="14.5" hidden="false" customHeight="false" outlineLevel="0" collapsed="false">
      <c r="A2108" s="124"/>
    </row>
    <row r="2109" customFormat="false" ht="14.5" hidden="false" customHeight="false" outlineLevel="0" collapsed="false">
      <c r="A2109" s="124"/>
    </row>
    <row r="2110" customFormat="false" ht="14.5" hidden="false" customHeight="false" outlineLevel="0" collapsed="false">
      <c r="A2110" s="124"/>
    </row>
    <row r="2111" customFormat="false" ht="14.5" hidden="false" customHeight="false" outlineLevel="0" collapsed="false">
      <c r="A2111" s="124"/>
    </row>
    <row r="2112" customFormat="false" ht="14.5" hidden="false" customHeight="false" outlineLevel="0" collapsed="false">
      <c r="A2112" s="124"/>
    </row>
    <row r="2113" customFormat="false" ht="14.5" hidden="false" customHeight="false" outlineLevel="0" collapsed="false">
      <c r="A2113" s="124"/>
    </row>
    <row r="2114" customFormat="false" ht="14.5" hidden="false" customHeight="false" outlineLevel="0" collapsed="false">
      <c r="A2114" s="124"/>
    </row>
    <row r="2115" customFormat="false" ht="14.5" hidden="false" customHeight="false" outlineLevel="0" collapsed="false">
      <c r="A2115" s="124"/>
    </row>
    <row r="2116" customFormat="false" ht="14.5" hidden="false" customHeight="false" outlineLevel="0" collapsed="false">
      <c r="A2116" s="124"/>
    </row>
    <row r="2117" customFormat="false" ht="14.5" hidden="false" customHeight="false" outlineLevel="0" collapsed="false">
      <c r="A2117" s="124"/>
    </row>
    <row r="2118" customFormat="false" ht="14.5" hidden="false" customHeight="false" outlineLevel="0" collapsed="false">
      <c r="A2118" s="124"/>
    </row>
    <row r="2119" customFormat="false" ht="14.5" hidden="false" customHeight="false" outlineLevel="0" collapsed="false">
      <c r="A2119" s="124"/>
    </row>
    <row r="2120" customFormat="false" ht="14.5" hidden="false" customHeight="false" outlineLevel="0" collapsed="false">
      <c r="A2120" s="124"/>
    </row>
    <row r="2121" customFormat="false" ht="14.5" hidden="false" customHeight="false" outlineLevel="0" collapsed="false">
      <c r="A2121" s="124"/>
    </row>
    <row r="2122" customFormat="false" ht="14.5" hidden="false" customHeight="false" outlineLevel="0" collapsed="false">
      <c r="A2122" s="124"/>
    </row>
    <row r="2123" customFormat="false" ht="14.5" hidden="false" customHeight="false" outlineLevel="0" collapsed="false">
      <c r="A2123" s="124"/>
    </row>
    <row r="2124" customFormat="false" ht="14.5" hidden="false" customHeight="false" outlineLevel="0" collapsed="false">
      <c r="A2124" s="124"/>
    </row>
    <row r="2125" customFormat="false" ht="14.5" hidden="false" customHeight="false" outlineLevel="0" collapsed="false">
      <c r="A2125" s="124"/>
    </row>
    <row r="2126" customFormat="false" ht="14.5" hidden="false" customHeight="false" outlineLevel="0" collapsed="false">
      <c r="A2126" s="124"/>
    </row>
    <row r="2127" customFormat="false" ht="14.5" hidden="false" customHeight="false" outlineLevel="0" collapsed="false">
      <c r="A2127" s="124"/>
    </row>
    <row r="2128" customFormat="false" ht="14.5" hidden="false" customHeight="false" outlineLevel="0" collapsed="false">
      <c r="A2128" s="124"/>
    </row>
    <row r="2129" customFormat="false" ht="14.5" hidden="false" customHeight="false" outlineLevel="0" collapsed="false">
      <c r="A2129" s="124"/>
    </row>
    <row r="2130" customFormat="false" ht="14.5" hidden="false" customHeight="false" outlineLevel="0" collapsed="false">
      <c r="A2130" s="124"/>
    </row>
    <row r="2131" customFormat="false" ht="14.5" hidden="false" customHeight="false" outlineLevel="0" collapsed="false">
      <c r="A2131" s="124"/>
    </row>
    <row r="2132" customFormat="false" ht="14.5" hidden="false" customHeight="false" outlineLevel="0" collapsed="false">
      <c r="A2132" s="124"/>
    </row>
    <row r="2133" customFormat="false" ht="14.5" hidden="false" customHeight="false" outlineLevel="0" collapsed="false">
      <c r="A2133" s="124"/>
    </row>
    <row r="2134" customFormat="false" ht="14.5" hidden="false" customHeight="false" outlineLevel="0" collapsed="false">
      <c r="A2134" s="124"/>
    </row>
  </sheetData>
  <scenarios current="0" show="0">
    <scenario name="units -10%_-1" locked="true" count="1" user="Calc" comment="Created by Author on 18/02/2018&#10;Modified by Author on 18/02/2018">
      <inputCells r="E8" val="-0.1"/>
    </scenario>
    <scenario name="units -5_-1" locked="true" count="1" user="Calc" comment="Created by Author on 18/02/2018">
      <inputCells r="E8" val="-0.05"/>
    </scenario>
    <scenario name="units 0_-1" locked="true" count="1" user="Calc" comment="Created by Author on 18/02/2018">
      <inputCells r="E8" val="0"/>
    </scenario>
    <scenario name="units 5%_-1" locked="true" count="1" user="Calc" comment="Created by Author on 18/02/2018">
      <inputCells r="E8" val="0.05"/>
    </scenario>
    <scenario name="units 10%_-1" locked="true" count="1" user="Calc" comment="Created by Author on 18/02/2018">
      <inputCells r="E8" val="0.1"/>
    </scenario>
    <scenario name="price -10_-1" locked="true" count="1" user="Calc" comment="Created by Author on 19/02/2018">
      <inputCells r="E9" val="-0.1"/>
    </scenario>
    <scenario name="price -5_-1" locked="true" count="1" user="Calc" comment="Created by Author on 19/02/2018">
      <inputCells r="E9" val="-0.05"/>
    </scenario>
    <scenario name="price 0_-1" locked="true" count="1" user="Calc" comment="Created by Author on 19/02/2018">
      <inputCells r="E9" val="0"/>
    </scenario>
    <scenario name="price 5_-1" locked="true" count="1" user="Calc" comment="Created by Author on 19/02/2018">
      <inputCells r="E9" val="0.05"/>
    </scenario>
    <scenario name="price 10%_-1" locked="true" count="1" user="Calc" comment="Created by Author on 19/02/2018">
      <inputCells r="E9" val="0.1"/>
    </scenario>
  </scenarios>
  <conditionalFormatting sqref="E3:E13">
    <cfRule type="cellIs" priority="2" operator="notEqual" aboveAverage="0" equalAverage="0" bottom="0" percent="0" rank="0" text="" dxfId="7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2149"/>
  <sheetViews>
    <sheetView showFormulas="false" showGridLines="true" showRowColHeaders="true" showZeros="true" rightToLeft="false" tabSelected="false" showOutlineSymbols="true" defaultGridColor="true" view="normal" topLeftCell="A79" colorId="64" zoomScale="100" zoomScaleNormal="100" zoomScalePageLayoutView="100" workbookViewId="0">
      <selection pane="topLeft" activeCell="E151" activeCellId="1" sqref="F92 E151"/>
    </sheetView>
  </sheetViews>
  <sheetFormatPr defaultColWidth="8.5390625" defaultRowHeight="14.5" zeroHeight="false" outlineLevelRow="1" outlineLevelCol="0"/>
  <cols>
    <col collapsed="false" customWidth="true" hidden="false" outlineLevel="0" max="1" min="1" style="0" width="25.91"/>
    <col collapsed="false" customWidth="true" hidden="false" outlineLevel="0" max="2" min="2" style="0" width="13.36"/>
    <col collapsed="false" customWidth="true" hidden="false" outlineLevel="0" max="3" min="3" style="0" width="17.45"/>
    <col collapsed="false" customWidth="true" hidden="false" outlineLevel="0" max="4" min="4" style="0" width="14.09"/>
    <col collapsed="false" customWidth="true" hidden="false" outlineLevel="0" max="5" min="5" style="0" width="12.54"/>
    <col collapsed="false" customWidth="true" hidden="false" outlineLevel="0" max="6" min="6" style="0" width="17.55"/>
    <col collapsed="false" customWidth="true" hidden="false" outlineLevel="0" max="7" min="7" style="0" width="21"/>
    <col collapsed="false" customWidth="true" hidden="false" outlineLevel="0" max="8" min="8" style="0" width="15.36"/>
    <col collapsed="false" customWidth="true" hidden="false" outlineLevel="0" max="9" min="9" style="0" width="13"/>
    <col collapsed="false" customWidth="true" hidden="false" outlineLevel="0" max="10" min="10" style="0" width="11.54"/>
  </cols>
  <sheetData>
    <row r="1" customFormat="false" ht="14.5" hidden="false" customHeight="false" outlineLevel="0" collapsed="false">
      <c r="A1" s="10"/>
      <c r="B1" s="10"/>
      <c r="C1" s="10"/>
      <c r="D1" s="10"/>
      <c r="E1" s="10"/>
      <c r="F1" s="10"/>
      <c r="G1" s="10"/>
      <c r="H1" s="10"/>
    </row>
    <row r="2" customFormat="false" ht="14.5" hidden="false" customHeight="false" outlineLevel="0" collapsed="false">
      <c r="A2" s="78" t="s">
        <v>78</v>
      </c>
      <c r="B2" s="78"/>
      <c r="C2" s="78"/>
      <c r="D2" s="79" t="s">
        <v>12</v>
      </c>
      <c r="E2" s="79" t="s">
        <v>13</v>
      </c>
      <c r="F2" s="10"/>
      <c r="G2" s="10"/>
      <c r="H2" s="10"/>
    </row>
    <row r="3" customFormat="false" ht="14.5" hidden="false" customHeight="false" outlineLevel="0" collapsed="false">
      <c r="A3" s="78" t="s">
        <v>14</v>
      </c>
      <c r="B3" s="78" t="n">
        <f aca="false">D3*(100%+E3)</f>
        <v>9500</v>
      </c>
      <c r="C3" s="78"/>
      <c r="D3" s="13" t="n">
        <v>9500</v>
      </c>
      <c r="E3" s="16" t="n">
        <v>0</v>
      </c>
      <c r="F3" s="10"/>
      <c r="G3" s="10"/>
      <c r="H3" s="10"/>
    </row>
    <row r="4" customFormat="false" ht="14.5" hidden="false" customHeight="false" outlineLevel="0" collapsed="false">
      <c r="A4" s="78" t="s">
        <v>15</v>
      </c>
      <c r="B4" s="78" t="n">
        <f aca="false">D4*(100%+E4)</f>
        <v>500</v>
      </c>
      <c r="C4" s="78"/>
      <c r="D4" s="13" t="n">
        <v>500</v>
      </c>
      <c r="E4" s="16" t="n">
        <v>0</v>
      </c>
      <c r="F4" s="10"/>
      <c r="G4" s="10"/>
      <c r="H4" s="10"/>
    </row>
    <row r="5" customFormat="false" ht="14.5" hidden="false" customHeight="false" outlineLevel="0" collapsed="false">
      <c r="A5" s="78" t="s">
        <v>16</v>
      </c>
      <c r="B5" s="78" t="n">
        <f aca="false">D5*(100%+E5)</f>
        <v>2000</v>
      </c>
      <c r="C5" s="78"/>
      <c r="D5" s="13" t="n">
        <v>2000</v>
      </c>
      <c r="E5" s="16" t="n">
        <v>0</v>
      </c>
      <c r="F5" s="10"/>
      <c r="G5" s="10"/>
      <c r="H5" s="10"/>
    </row>
    <row r="6" customFormat="false" ht="14.5" hidden="false" customHeight="false" outlineLevel="0" collapsed="false">
      <c r="A6" s="78"/>
      <c r="B6" s="78"/>
      <c r="C6" s="78"/>
      <c r="D6" s="13"/>
      <c r="E6" s="16"/>
      <c r="F6" s="10"/>
      <c r="G6" s="10"/>
      <c r="H6" s="10"/>
    </row>
    <row r="7" customFormat="false" ht="14.5" hidden="false" customHeight="false" outlineLevel="0" collapsed="false">
      <c r="A7" s="78" t="s">
        <v>17</v>
      </c>
      <c r="B7" s="78" t="n">
        <f aca="false">D7*(100%+E7)</f>
        <v>4000</v>
      </c>
      <c r="C7" s="78"/>
      <c r="D7" s="13" t="n">
        <v>4000</v>
      </c>
      <c r="E7" s="16" t="n">
        <v>0</v>
      </c>
      <c r="F7" s="10"/>
      <c r="G7" s="10"/>
      <c r="H7" s="10"/>
    </row>
    <row r="8" customFormat="false" ht="14.5" hidden="false" customHeight="false" outlineLevel="0" collapsed="false">
      <c r="A8" s="78" t="s">
        <v>18</v>
      </c>
      <c r="B8" s="78" t="n">
        <f aca="false">D8*(100%+E8)</f>
        <v>15000</v>
      </c>
      <c r="C8" s="78"/>
      <c r="D8" s="13" t="n">
        <v>15000</v>
      </c>
      <c r="E8" s="16" t="n">
        <v>0</v>
      </c>
      <c r="F8" s="10"/>
      <c r="G8" s="10"/>
      <c r="H8" s="10"/>
    </row>
    <row r="9" customFormat="false" ht="14.5" hidden="false" customHeight="false" outlineLevel="0" collapsed="false">
      <c r="A9" s="78" t="s">
        <v>19</v>
      </c>
      <c r="B9" s="78" t="n">
        <f aca="false">D9*(100%+E9)</f>
        <v>2</v>
      </c>
      <c r="C9" s="78"/>
      <c r="D9" s="13" t="n">
        <v>2</v>
      </c>
      <c r="E9" s="16" t="n">
        <v>0</v>
      </c>
      <c r="F9" s="10"/>
      <c r="G9" s="10"/>
      <c r="H9" s="10"/>
    </row>
    <row r="10" customFormat="false" ht="14.5" hidden="false" customHeight="false" outlineLevel="0" collapsed="false">
      <c r="A10" s="78" t="s">
        <v>20</v>
      </c>
      <c r="B10" s="89" t="n">
        <f aca="false">D10*(100%+E10)</f>
        <v>0.6</v>
      </c>
      <c r="C10" s="78" t="s">
        <v>21</v>
      </c>
      <c r="D10" s="16" t="n">
        <v>0.6</v>
      </c>
      <c r="E10" s="16" t="n">
        <v>0</v>
      </c>
      <c r="F10" s="10"/>
      <c r="G10" s="10"/>
      <c r="H10" s="10"/>
    </row>
    <row r="11" customFormat="false" ht="14.5" hidden="false" customHeight="false" outlineLevel="0" collapsed="false">
      <c r="A11" s="78" t="s">
        <v>22</v>
      </c>
      <c r="B11" s="90" t="n">
        <f aca="false">D11*(100%+E11)</f>
        <v>5000</v>
      </c>
      <c r="C11" s="78"/>
      <c r="D11" s="18" t="n">
        <v>5000</v>
      </c>
      <c r="E11" s="16" t="n">
        <v>0</v>
      </c>
      <c r="F11" s="10"/>
      <c r="G11" s="10"/>
      <c r="H11" s="10"/>
    </row>
    <row r="12" customFormat="false" ht="14.5" hidden="false" customHeight="false" outlineLevel="0" collapsed="false">
      <c r="A12" s="78" t="s">
        <v>23</v>
      </c>
      <c r="B12" s="89" t="n">
        <f aca="false">D12*(100%+E12)</f>
        <v>0.4</v>
      </c>
      <c r="C12" s="78"/>
      <c r="D12" s="16" t="n">
        <v>0.4</v>
      </c>
      <c r="E12" s="16" t="n">
        <v>0</v>
      </c>
      <c r="F12" s="10"/>
      <c r="G12" s="10"/>
      <c r="H12" s="10"/>
    </row>
    <row r="13" customFormat="false" ht="14.5" hidden="false" customHeight="false" outlineLevel="0" collapsed="false">
      <c r="A13" s="91" t="s">
        <v>24</v>
      </c>
      <c r="B13" s="92" t="n">
        <v>0.02</v>
      </c>
      <c r="C13" s="78"/>
      <c r="D13" s="16" t="n">
        <v>0</v>
      </c>
      <c r="E13" s="16" t="n">
        <v>0</v>
      </c>
      <c r="F13" s="10"/>
      <c r="G13" s="10"/>
      <c r="H13" s="10"/>
    </row>
    <row r="14" customFormat="false" ht="14.5" hidden="false" customHeight="false" outlineLevel="0" collapsed="false">
      <c r="A14" s="10" t="s">
        <v>84</v>
      </c>
      <c r="B14" s="91"/>
      <c r="D14" s="10"/>
      <c r="E14" s="10"/>
      <c r="F14" s="10"/>
      <c r="G14" s="10"/>
      <c r="H14" s="10"/>
    </row>
    <row r="15" customFormat="false" ht="14.5" hidden="false" customHeight="false" outlineLevel="0" collapsed="false">
      <c r="A15" s="93"/>
      <c r="B15" s="93" t="n">
        <v>0</v>
      </c>
      <c r="C15" s="93" t="n">
        <v>1</v>
      </c>
      <c r="D15" s="93" t="n">
        <v>2</v>
      </c>
      <c r="E15" s="93" t="n">
        <v>3</v>
      </c>
      <c r="F15" s="93" t="n">
        <v>4</v>
      </c>
      <c r="G15" s="10"/>
      <c r="H15" s="10"/>
    </row>
    <row r="16" customFormat="false" ht="14.5" hidden="false" customHeight="false" outlineLevel="0" collapsed="false">
      <c r="A16" s="94" t="s">
        <v>85</v>
      </c>
      <c r="B16" s="10"/>
      <c r="C16" s="10"/>
      <c r="D16" s="10"/>
      <c r="E16" s="10"/>
      <c r="F16" s="10"/>
      <c r="G16" s="10"/>
      <c r="H16" s="10"/>
    </row>
    <row r="17" customFormat="false" ht="14.5" hidden="false" customHeight="false" outlineLevel="0" collapsed="false">
      <c r="A17" s="10" t="s">
        <v>14</v>
      </c>
      <c r="B17" s="10" t="n">
        <f aca="false">-B3</f>
        <v>-9500</v>
      </c>
      <c r="C17" s="10"/>
      <c r="D17" s="10"/>
      <c r="E17" s="10"/>
      <c r="F17" s="10"/>
      <c r="G17" s="10"/>
      <c r="H17" s="10"/>
    </row>
    <row r="18" customFormat="false" ht="14.5" hidden="false" customHeight="false" outlineLevel="0" collapsed="false">
      <c r="A18" s="10" t="s">
        <v>15</v>
      </c>
      <c r="B18" s="10" t="n">
        <f aca="false">-B4</f>
        <v>-500</v>
      </c>
      <c r="C18" s="10"/>
      <c r="D18" s="10"/>
      <c r="E18" s="10"/>
      <c r="F18" s="10"/>
      <c r="G18" s="10"/>
      <c r="H18" s="10"/>
    </row>
    <row r="19" customFormat="false" ht="14.5" hidden="false" customHeight="false" outlineLevel="0" collapsed="false">
      <c r="A19" s="10" t="s">
        <v>17</v>
      </c>
      <c r="B19" s="10" t="n">
        <f aca="false">-B7</f>
        <v>-4000</v>
      </c>
      <c r="C19" s="10"/>
      <c r="D19" s="10"/>
      <c r="E19" s="10"/>
      <c r="F19" s="10"/>
      <c r="G19" s="10"/>
      <c r="H19" s="10"/>
    </row>
    <row r="20" customFormat="false" ht="14.5" hidden="false" customHeight="false" outlineLevel="0" collapsed="false">
      <c r="A20" s="20" t="s">
        <v>86</v>
      </c>
      <c r="B20" s="10" t="n">
        <f aca="false">SUM(B17:B19)</f>
        <v>-14000</v>
      </c>
      <c r="C20" s="10"/>
      <c r="D20" s="10"/>
      <c r="E20" s="10"/>
      <c r="F20" s="10"/>
      <c r="G20" s="10"/>
      <c r="H20" s="10"/>
    </row>
    <row r="21" customFormat="false" ht="11.5" hidden="false" customHeight="true" outlineLevel="0" collapsed="false">
      <c r="A21" s="10"/>
      <c r="B21" s="10"/>
      <c r="C21" s="10"/>
      <c r="D21" s="10"/>
      <c r="E21" s="10"/>
      <c r="F21" s="10"/>
      <c r="G21" s="10"/>
      <c r="H21" s="10"/>
    </row>
    <row r="22" customFormat="false" ht="14.5" hidden="false" customHeight="false" outlineLevel="0" collapsed="false">
      <c r="A22" s="94" t="s">
        <v>87</v>
      </c>
      <c r="B22" s="10"/>
      <c r="C22" s="10"/>
      <c r="D22" s="10"/>
      <c r="E22" s="10"/>
      <c r="F22" s="10"/>
      <c r="G22" s="10"/>
      <c r="H22" s="10"/>
    </row>
    <row r="23" customFormat="false" ht="14.5" hidden="false" customHeight="false" outlineLevel="0" collapsed="false">
      <c r="A23" s="91" t="s">
        <v>33</v>
      </c>
      <c r="B23" s="10"/>
      <c r="C23" s="95" t="n">
        <f aca="false">$B$8*$B$9*(1+$B$13)</f>
        <v>30600</v>
      </c>
      <c r="D23" s="95" t="n">
        <f aca="false">C23*(1+$B$13)</f>
        <v>31212</v>
      </c>
      <c r="E23" s="95" t="n">
        <f aca="false">D23*(1+$B$13)</f>
        <v>31836.24</v>
      </c>
      <c r="F23" s="95" t="n">
        <f aca="false">E23*(1+$B$13)</f>
        <v>32472.9648</v>
      </c>
      <c r="G23" s="10"/>
      <c r="H23" s="10"/>
    </row>
    <row r="24" customFormat="false" ht="14.5" hidden="false" customHeight="false" outlineLevel="0" collapsed="false">
      <c r="A24" s="91" t="s">
        <v>20</v>
      </c>
      <c r="B24" s="10"/>
      <c r="C24" s="95" t="n">
        <f aca="false">-C23*$B$10</f>
        <v>-18360</v>
      </c>
      <c r="D24" s="95" t="n">
        <f aca="false">-D23*$B$10</f>
        <v>-18727.2</v>
      </c>
      <c r="E24" s="95" t="n">
        <f aca="false">-E23*$B$10</f>
        <v>-19101.744</v>
      </c>
      <c r="F24" s="95" t="n">
        <f aca="false">-F23*$B$10</f>
        <v>-19483.77888</v>
      </c>
      <c r="G24" s="10"/>
      <c r="H24" s="10"/>
    </row>
    <row r="25" customFormat="false" ht="14.5" hidden="false" customHeight="false" outlineLevel="0" collapsed="false">
      <c r="A25" s="96" t="s">
        <v>22</v>
      </c>
      <c r="B25" s="97"/>
      <c r="C25" s="98" t="n">
        <f aca="false">-B11*(1+$B$13)</f>
        <v>-5100</v>
      </c>
      <c r="D25" s="98" t="n">
        <f aca="false">C25*(1+$B$13)</f>
        <v>-5202</v>
      </c>
      <c r="E25" s="98" t="n">
        <f aca="false">D25*(1+$B$13)</f>
        <v>-5306.04</v>
      </c>
      <c r="F25" s="98" t="n">
        <f aca="false">E25*(1+$B$13)</f>
        <v>-5412.1608</v>
      </c>
      <c r="G25" s="10"/>
      <c r="H25" s="10"/>
    </row>
    <row r="26" customFormat="false" ht="14.5" hidden="false" customHeight="false" outlineLevel="0" collapsed="false">
      <c r="A26" s="20" t="s">
        <v>88</v>
      </c>
      <c r="B26" s="10"/>
      <c r="C26" s="99" t="n">
        <f aca="false">SUM(C23:C25)</f>
        <v>7140</v>
      </c>
      <c r="D26" s="99" t="n">
        <f aca="false">SUM(D23:D25)</f>
        <v>7282.8</v>
      </c>
      <c r="E26" s="99" t="n">
        <f aca="false">SUM(E23:E25)</f>
        <v>7428.456</v>
      </c>
      <c r="F26" s="99" t="n">
        <f aca="false">SUM(F23:F25)</f>
        <v>7577.02512</v>
      </c>
      <c r="G26" s="10"/>
      <c r="H26" s="10"/>
    </row>
    <row r="27" customFormat="false" ht="14.5" hidden="false" customHeight="false" outlineLevel="0" collapsed="false">
      <c r="A27" s="97" t="s">
        <v>89</v>
      </c>
      <c r="B27" s="97"/>
      <c r="C27" s="98" t="n">
        <f aca="false">($B$17+$B$18)*C57</f>
        <v>-2000</v>
      </c>
      <c r="D27" s="98" t="n">
        <f aca="false">($B$17+$B$18)*D57</f>
        <v>-3200</v>
      </c>
      <c r="E27" s="98" t="n">
        <f aca="false">($B$17+$B$18)*E57</f>
        <v>-1920</v>
      </c>
      <c r="F27" s="98" t="n">
        <f aca="false">($B$17+$B$18)*F57</f>
        <v>-1152</v>
      </c>
      <c r="G27" s="10"/>
      <c r="H27" s="10"/>
    </row>
    <row r="28" customFormat="false" ht="14.5" hidden="false" customHeight="false" outlineLevel="0" collapsed="false">
      <c r="A28" s="20" t="s">
        <v>90</v>
      </c>
      <c r="B28" s="10"/>
      <c r="C28" s="99" t="n">
        <f aca="false">C26+C27</f>
        <v>5140</v>
      </c>
      <c r="D28" s="99" t="n">
        <f aca="false">D26+D27</f>
        <v>4082.8</v>
      </c>
      <c r="E28" s="99" t="n">
        <f aca="false">E26+E27</f>
        <v>5508.456</v>
      </c>
      <c r="F28" s="99" t="n">
        <f aca="false">F26+F27</f>
        <v>6425.02512</v>
      </c>
      <c r="G28" s="10"/>
      <c r="H28" s="10"/>
    </row>
    <row r="29" customFormat="false" ht="14.5" hidden="false" customHeight="false" outlineLevel="0" collapsed="false">
      <c r="A29" s="112" t="s">
        <v>91</v>
      </c>
      <c r="B29" s="112"/>
      <c r="C29" s="113" t="n">
        <f aca="false">IF(B28+B29&lt;0,B28+B29,0)</f>
        <v>0</v>
      </c>
      <c r="D29" s="113" t="n">
        <f aca="false">IF(C28+C29&lt;0,C28+C29,0)</f>
        <v>0</v>
      </c>
      <c r="E29" s="113" t="n">
        <f aca="false">IF(D28+D29&lt;0,D28+D29,0)</f>
        <v>0</v>
      </c>
      <c r="F29" s="113" t="n">
        <f aca="false">IF(E28+E29&lt;0,E28+E29,0)</f>
        <v>0</v>
      </c>
      <c r="G29" s="10"/>
      <c r="H29" s="10"/>
    </row>
    <row r="30" customFormat="false" ht="14.5" hidden="false" customHeight="false" outlineLevel="0" collapsed="false">
      <c r="A30" s="97" t="s">
        <v>92</v>
      </c>
      <c r="B30" s="97"/>
      <c r="C30" s="98" t="n">
        <f aca="false">IF(C28+C29&lt;0,0,-(C28+C29)*$B$12)</f>
        <v>-2056</v>
      </c>
      <c r="D30" s="98" t="n">
        <f aca="false">IF(D28+D29&lt;0,0,-(D28+D29)*$B$12)</f>
        <v>-1633.12</v>
      </c>
      <c r="E30" s="98" t="n">
        <f aca="false">IF(E28+E29&lt;0,0,-(E28+E29)*$B$12)</f>
        <v>-2203.3824</v>
      </c>
      <c r="F30" s="98" t="n">
        <f aca="false">IF(F28+F29&lt;0,0,-(F28+F29)*$B$12)</f>
        <v>-2570.010048</v>
      </c>
      <c r="G30" s="10"/>
      <c r="H30" s="10"/>
    </row>
    <row r="31" customFormat="false" ht="14.5" hidden="false" customHeight="false" outlineLevel="0" collapsed="false">
      <c r="A31" s="20" t="s">
        <v>93</v>
      </c>
      <c r="B31" s="10"/>
      <c r="C31" s="99" t="n">
        <f aca="false">C28+C30</f>
        <v>3084</v>
      </c>
      <c r="D31" s="99" t="n">
        <f aca="false">D28+D30</f>
        <v>2449.68</v>
      </c>
      <c r="E31" s="99" t="n">
        <f aca="false">E28+E30</f>
        <v>3305.0736</v>
      </c>
      <c r="F31" s="99" t="n">
        <f aca="false">F28+F30</f>
        <v>3855.015072</v>
      </c>
      <c r="G31" s="10"/>
      <c r="H31" s="10"/>
    </row>
    <row r="32" customFormat="false" ht="14.5" hidden="false" customHeight="false" outlineLevel="0" collapsed="false">
      <c r="A32" s="97" t="s">
        <v>94</v>
      </c>
      <c r="B32" s="97"/>
      <c r="C32" s="98" t="n">
        <f aca="false">-C27</f>
        <v>2000</v>
      </c>
      <c r="D32" s="98" t="n">
        <f aca="false">-D27</f>
        <v>3200</v>
      </c>
      <c r="E32" s="98" t="n">
        <f aca="false">-E27</f>
        <v>1920</v>
      </c>
      <c r="F32" s="98" t="n">
        <f aca="false">-F27</f>
        <v>1152</v>
      </c>
      <c r="G32" s="10"/>
      <c r="H32" s="10"/>
    </row>
    <row r="33" customFormat="false" ht="14.5" hidden="false" customHeight="false" outlineLevel="0" collapsed="false">
      <c r="A33" s="20" t="s">
        <v>95</v>
      </c>
      <c r="B33" s="10"/>
      <c r="C33" s="99" t="n">
        <f aca="false">C31+C32</f>
        <v>5084</v>
      </c>
      <c r="D33" s="99" t="n">
        <f aca="false">D31+D32</f>
        <v>5649.68</v>
      </c>
      <c r="E33" s="99" t="n">
        <f aca="false">E31+E32</f>
        <v>5225.0736</v>
      </c>
      <c r="F33" s="99" t="n">
        <f aca="false">F31+F32</f>
        <v>5007.015072</v>
      </c>
      <c r="G33" s="10"/>
      <c r="H33" s="10"/>
    </row>
    <row r="34" customFormat="false" ht="6.65" hidden="false" customHeight="true" outlineLevel="0" collapsed="false">
      <c r="A34" s="10"/>
      <c r="B34" s="10"/>
      <c r="C34" s="10"/>
      <c r="D34" s="10"/>
      <c r="E34" s="10"/>
      <c r="F34" s="10"/>
      <c r="G34" s="10"/>
      <c r="H34" s="10"/>
    </row>
    <row r="35" customFormat="false" ht="14.5" hidden="false" customHeight="false" outlineLevel="0" collapsed="false">
      <c r="A35" s="94" t="s">
        <v>96</v>
      </c>
      <c r="B35" s="10"/>
      <c r="C35" s="10"/>
      <c r="D35" s="10"/>
      <c r="E35" s="10"/>
      <c r="F35" s="10"/>
      <c r="G35" s="10"/>
      <c r="H35" s="10"/>
    </row>
    <row r="36" customFormat="false" ht="14.5" hidden="false" customHeight="false" outlineLevel="0" collapsed="false">
      <c r="A36" s="10" t="s">
        <v>97</v>
      </c>
      <c r="B36" s="10"/>
      <c r="C36" s="10"/>
      <c r="D36" s="10"/>
      <c r="E36" s="10"/>
      <c r="F36" s="10" t="n">
        <f aca="false">B5</f>
        <v>2000</v>
      </c>
      <c r="G36" s="10"/>
      <c r="H36" s="10"/>
    </row>
    <row r="37" customFormat="false" ht="14.5" hidden="false" customHeight="false" outlineLevel="0" collapsed="false">
      <c r="A37" s="112" t="s">
        <v>98</v>
      </c>
      <c r="B37" s="10"/>
      <c r="C37" s="10"/>
      <c r="D37" s="10"/>
      <c r="E37" s="10"/>
      <c r="F37" s="10" t="n">
        <f aca="false">-(B5-F59)*B12</f>
        <v>-108.8</v>
      </c>
      <c r="G37" s="10"/>
      <c r="H37" s="10"/>
    </row>
    <row r="38" customFormat="false" ht="14.5" hidden="false" customHeight="false" outlineLevel="0" collapsed="false">
      <c r="A38" s="97" t="s">
        <v>99</v>
      </c>
      <c r="B38" s="97"/>
      <c r="C38" s="97"/>
      <c r="D38" s="97"/>
      <c r="E38" s="97"/>
      <c r="F38" s="97" t="n">
        <f aca="false">B7</f>
        <v>4000</v>
      </c>
      <c r="G38" s="10"/>
      <c r="H38" s="10"/>
    </row>
    <row r="39" customFormat="false" ht="14.5" hidden="false" customHeight="false" outlineLevel="0" collapsed="false">
      <c r="A39" s="20" t="s">
        <v>100</v>
      </c>
      <c r="B39" s="10"/>
      <c r="C39" s="10"/>
      <c r="D39" s="10"/>
      <c r="E39" s="10"/>
      <c r="F39" s="20" t="n">
        <f aca="false">SUM(F36:F38)</f>
        <v>5891.2</v>
      </c>
      <c r="G39" s="10"/>
      <c r="H39" s="10"/>
    </row>
    <row r="40" customFormat="false" ht="9.15" hidden="false" customHeight="true" outlineLevel="0" collapsed="false">
      <c r="A40" s="10"/>
      <c r="B40" s="10"/>
      <c r="C40" s="10"/>
      <c r="D40" s="10"/>
      <c r="E40" s="10"/>
      <c r="F40" s="10"/>
      <c r="G40" s="10"/>
      <c r="H40" s="10"/>
    </row>
    <row r="41" customFormat="false" ht="14.5" hidden="false" customHeight="false" outlineLevel="0" collapsed="false">
      <c r="A41" s="100" t="s">
        <v>101</v>
      </c>
      <c r="B41" s="101" t="n">
        <f aca="false">B20</f>
        <v>-14000</v>
      </c>
      <c r="C41" s="101" t="n">
        <f aca="false">C33</f>
        <v>5084</v>
      </c>
      <c r="D41" s="101" t="n">
        <f aca="false">D33</f>
        <v>5649.68</v>
      </c>
      <c r="E41" s="101" t="n">
        <f aca="false">E33</f>
        <v>5225.0736</v>
      </c>
      <c r="F41" s="101" t="n">
        <f aca="false">F33+F39</f>
        <v>10898.215072</v>
      </c>
      <c r="G41" s="10"/>
      <c r="H41" s="10"/>
    </row>
    <row r="42" customFormat="false" ht="14.5" hidden="false" customHeight="false" outlineLevel="1" collapsed="false">
      <c r="A42" s="20" t="s">
        <v>102</v>
      </c>
      <c r="B42" s="102" t="n">
        <f aca="false">B41/(1+$E$50)^B15</f>
        <v>-14000</v>
      </c>
      <c r="C42" s="102" t="n">
        <f aca="false">C41/(1+$E$50)^C15</f>
        <v>4420.86956521739</v>
      </c>
      <c r="D42" s="102" t="n">
        <f aca="false">D41/(1+$E$50)^D15</f>
        <v>4271.96975425331</v>
      </c>
      <c r="E42" s="102" t="n">
        <f aca="false">E41/(1+$E$50)^E15</f>
        <v>3435.57070765184</v>
      </c>
      <c r="F42" s="102" t="n">
        <f aca="false">F41/(1+$E$50)^F15</f>
        <v>6231.08983858691</v>
      </c>
      <c r="G42" s="10"/>
      <c r="H42" s="10"/>
      <c r="I42" s="114"/>
    </row>
    <row r="43" customFormat="false" ht="14.5" hidden="false" customHeight="false" outlineLevel="1" collapsed="false">
      <c r="A43" s="10" t="s">
        <v>104</v>
      </c>
      <c r="B43" s="104" t="n">
        <f aca="false">B41</f>
        <v>-14000</v>
      </c>
      <c r="C43" s="104" t="n">
        <f aca="false">B43+C41</f>
        <v>-8916</v>
      </c>
      <c r="D43" s="104" t="n">
        <f aca="false">C43+D41</f>
        <v>-3266.32</v>
      </c>
      <c r="E43" s="104" t="n">
        <f aca="false">D43+E41</f>
        <v>1958.75359999999</v>
      </c>
      <c r="F43" s="104" t="n">
        <f aca="false">E43+F41</f>
        <v>12856.968672</v>
      </c>
      <c r="G43" s="10"/>
      <c r="H43" s="10"/>
      <c r="I43" s="114"/>
    </row>
    <row r="44" customFormat="false" ht="14.5" hidden="false" customHeight="false" outlineLevel="1" collapsed="false">
      <c r="A44" s="10" t="s">
        <v>106</v>
      </c>
      <c r="B44" s="104" t="n">
        <f aca="false">B42</f>
        <v>-14000</v>
      </c>
      <c r="C44" s="104" t="n">
        <f aca="false">B44+C42</f>
        <v>-9579.13043478261</v>
      </c>
      <c r="D44" s="104" t="n">
        <f aca="false">C44+D42</f>
        <v>-5307.1606805293</v>
      </c>
      <c r="E44" s="104" t="n">
        <f aca="false">D44+E42</f>
        <v>-1871.58997287746</v>
      </c>
      <c r="F44" s="104" t="n">
        <f aca="false">E44+F42</f>
        <v>4359.49986570946</v>
      </c>
      <c r="G44" s="10"/>
      <c r="H44" s="10"/>
      <c r="I44" s="33"/>
    </row>
    <row r="45" customFormat="false" ht="15.65" hidden="false" customHeight="true" outlineLevel="1" collapsed="false">
      <c r="A45" s="106" t="s">
        <v>107</v>
      </c>
      <c r="B45" s="107" t="n">
        <f aca="false">B41*(1+$E$54)^B15/(1+$E$50)^B15</f>
        <v>-14000</v>
      </c>
      <c r="C45" s="107" t="n">
        <f aca="false">C41*(1+$E$54)^C15/(1+$E$50)^C15</f>
        <v>4862.95652173913</v>
      </c>
      <c r="D45" s="107" t="n">
        <f aca="false">D41*(1+$E$54)^D15/(1+$E$50)^D15</f>
        <v>5169.0834026465</v>
      </c>
      <c r="E45" s="107" t="n">
        <f aca="false">E41*(1+$E$54)^E15/(1+$E$50)^E15</f>
        <v>4572.74461188461</v>
      </c>
      <c r="F45" s="107" t="n">
        <f aca="false">F41*(1+$E$54)^F15/(1+$E$50)^F15</f>
        <v>9122.9386326751</v>
      </c>
      <c r="G45" s="10"/>
      <c r="H45" s="10"/>
      <c r="I45" s="33"/>
    </row>
    <row r="46" customFormat="false" ht="14.5" hidden="false" customHeight="false" outlineLevel="1" collapsed="false">
      <c r="A46" s="106" t="s">
        <v>108</v>
      </c>
      <c r="B46" s="107" t="n">
        <f aca="false">B41-B45</f>
        <v>0</v>
      </c>
      <c r="C46" s="107" t="n">
        <f aca="false">C41-C45</f>
        <v>221.043478260868</v>
      </c>
      <c r="D46" s="107" t="n">
        <f aca="false">D41-D45</f>
        <v>480.596597353496</v>
      </c>
      <c r="E46" s="107" t="n">
        <f aca="false">E41-E45</f>
        <v>652.328988115391</v>
      </c>
      <c r="F46" s="107" t="n">
        <f aca="false">F41-F45</f>
        <v>1775.2764393249</v>
      </c>
      <c r="G46" s="10"/>
      <c r="H46" s="10"/>
      <c r="I46" s="33"/>
    </row>
    <row r="47" customFormat="false" ht="14.5" hidden="false" customHeight="false" outlineLevel="1" collapsed="false">
      <c r="A47" s="106" t="s">
        <v>110</v>
      </c>
      <c r="B47" s="107" t="n">
        <f aca="false">B45-B42</f>
        <v>0</v>
      </c>
      <c r="C47" s="107" t="n">
        <f aca="false">C45-C42</f>
        <v>442.08695652174</v>
      </c>
      <c r="D47" s="107" t="n">
        <f aca="false">D45-D42</f>
        <v>897.113648393195</v>
      </c>
      <c r="E47" s="107" t="n">
        <f aca="false">E45-E42</f>
        <v>1137.17390423276</v>
      </c>
      <c r="F47" s="107" t="n">
        <f aca="false">F45-F42</f>
        <v>2891.84879408819</v>
      </c>
      <c r="G47" s="10"/>
      <c r="H47" s="10"/>
      <c r="I47" s="33"/>
    </row>
    <row r="48" customFormat="false" ht="14.5" hidden="false" customHeight="false" outlineLevel="1" collapsed="false">
      <c r="A48" s="106" t="s">
        <v>111</v>
      </c>
      <c r="B48" s="107" t="n">
        <f aca="false">B42+B46+B47</f>
        <v>-14000</v>
      </c>
      <c r="C48" s="107" t="n">
        <f aca="false">C42+C46+C47</f>
        <v>5084</v>
      </c>
      <c r="D48" s="107" t="n">
        <f aca="false">D42+D46+D47</f>
        <v>5649.68</v>
      </c>
      <c r="E48" s="107" t="n">
        <f aca="false">E42+E46+E47</f>
        <v>5225.0736</v>
      </c>
      <c r="F48" s="107" t="n">
        <f aca="false">F42+F46+F47</f>
        <v>10898.215072</v>
      </c>
      <c r="G48" s="10"/>
      <c r="H48" s="10"/>
      <c r="I48" s="114"/>
    </row>
    <row r="49" customFormat="false" ht="14.5" hidden="false" customHeight="false" outlineLevel="0" collapsed="false">
      <c r="A49" s="10"/>
      <c r="B49" s="10"/>
      <c r="C49" s="105"/>
      <c r="D49" s="10"/>
      <c r="E49" s="10"/>
      <c r="F49" s="10"/>
      <c r="G49" s="10"/>
      <c r="H49" s="10"/>
    </row>
    <row r="50" customFormat="false" ht="14.5" hidden="false" customHeight="false" outlineLevel="0" collapsed="false">
      <c r="A50" s="31" t="s">
        <v>45</v>
      </c>
      <c r="B50" s="108" t="n">
        <f aca="false">SUM(B42:F42)</f>
        <v>4359.49986570946</v>
      </c>
      <c r="C50" s="82"/>
      <c r="D50" s="31" t="s">
        <v>79</v>
      </c>
      <c r="E50" s="80" t="n">
        <f aca="false">F50*(100%+G50)</f>
        <v>0.15</v>
      </c>
      <c r="F50" s="16" t="n">
        <v>0.15</v>
      </c>
      <c r="G50" s="16" t="n">
        <v>0</v>
      </c>
      <c r="H50" s="10"/>
    </row>
    <row r="51" customFormat="false" ht="14.5" hidden="false" customHeight="false" outlineLevel="0" collapsed="false">
      <c r="A51" s="31" t="s">
        <v>46</v>
      </c>
      <c r="B51" s="109" t="n">
        <f aca="false">IRR(B41:F41)</f>
        <v>0.278949718273255</v>
      </c>
      <c r="C51" s="82"/>
      <c r="D51" s="82" t="s">
        <v>80</v>
      </c>
      <c r="E51" s="82"/>
      <c r="F51" s="10"/>
      <c r="G51" s="10"/>
      <c r="H51" s="10"/>
    </row>
    <row r="52" customFormat="false" ht="14.5" hidden="false" customHeight="false" outlineLevel="0" collapsed="false">
      <c r="A52" s="31" t="s">
        <v>4</v>
      </c>
      <c r="B52" s="109" t="n">
        <f aca="false">MIRR(B41:F41,E50,E50)</f>
        <v>0.230640045292319</v>
      </c>
      <c r="C52" s="82"/>
      <c r="D52" s="82" t="s">
        <v>81</v>
      </c>
      <c r="E52" s="82"/>
      <c r="F52" s="10"/>
      <c r="G52" s="10"/>
      <c r="H52" s="10"/>
    </row>
    <row r="53" customFormat="false" ht="14.5" hidden="false" customHeight="false" outlineLevel="0" collapsed="false">
      <c r="A53" s="31" t="s">
        <v>47</v>
      </c>
      <c r="B53" s="110" t="n">
        <f aca="false">MATCH(0,B43:F43)-1+-INDEX(B43:F43,1,MATCH(0,B43:F43))/INDEX(C41:F41,1,MATCH(0,B43:F43))</f>
        <v>2.6251242087767</v>
      </c>
      <c r="C53" s="82"/>
      <c r="D53" s="82" t="s">
        <v>82</v>
      </c>
      <c r="E53" s="82"/>
      <c r="F53" s="10"/>
      <c r="G53" s="10"/>
      <c r="H53" s="10"/>
    </row>
    <row r="54" customFormat="false" ht="14.5" hidden="false" customHeight="false" outlineLevel="0" collapsed="false">
      <c r="A54" s="31" t="s">
        <v>48</v>
      </c>
      <c r="B54" s="110" t="n">
        <f aca="false">MATCH(0,B44:F44)-1+-INDEX(B44:F44,1,MATCH(0,B44:F44))/INDEX(C42:F42,1,MATCH(0,B44:F44))</f>
        <v>3.30036318226185</v>
      </c>
      <c r="C54" s="82"/>
      <c r="D54" s="31" t="s">
        <v>83</v>
      </c>
      <c r="E54" s="86" t="n">
        <v>0.1</v>
      </c>
      <c r="F54" s="10"/>
      <c r="G54" s="10"/>
      <c r="H54" s="10"/>
    </row>
    <row r="55" customFormat="false" ht="14.5" hidden="false" customHeight="false" outlineLevel="0" collapsed="false">
      <c r="A55" s="10"/>
      <c r="B55" s="10"/>
      <c r="C55" s="10"/>
      <c r="D55" s="10"/>
      <c r="E55" s="10"/>
      <c r="F55" s="10"/>
      <c r="G55" s="10"/>
      <c r="H55" s="10"/>
    </row>
    <row r="56" customFormat="false" ht="14.5" hidden="false" customHeight="false" outlineLevel="0" collapsed="false">
      <c r="A56" s="78" t="s">
        <v>112</v>
      </c>
      <c r="B56" s="78"/>
      <c r="C56" s="78"/>
      <c r="D56" s="78"/>
      <c r="E56" s="78"/>
      <c r="F56" s="78"/>
      <c r="G56" s="78"/>
      <c r="H56" s="78"/>
    </row>
    <row r="57" customFormat="false" ht="14.5" hidden="false" customHeight="false" outlineLevel="0" collapsed="false">
      <c r="A57" s="78" t="s">
        <v>113</v>
      </c>
      <c r="B57" s="78"/>
      <c r="C57" s="89" t="n">
        <v>0.2</v>
      </c>
      <c r="D57" s="89" t="n">
        <v>0.32</v>
      </c>
      <c r="E57" s="111" t="n">
        <v>0.192</v>
      </c>
      <c r="F57" s="111" t="n">
        <v>0.1152</v>
      </c>
      <c r="G57" s="111" t="n">
        <v>0.1152</v>
      </c>
      <c r="H57" s="111" t="n">
        <v>0.0576</v>
      </c>
    </row>
    <row r="58" customFormat="false" ht="14.5" hidden="false" customHeight="false" outlineLevel="0" collapsed="false">
      <c r="A58" s="78"/>
      <c r="B58" s="78"/>
      <c r="C58" s="78"/>
      <c r="D58" s="78"/>
      <c r="E58" s="78"/>
      <c r="F58" s="78"/>
      <c r="G58" s="78"/>
      <c r="H58" s="78"/>
    </row>
    <row r="59" customFormat="false" ht="14.5" hidden="false" customHeight="false" outlineLevel="0" collapsed="false">
      <c r="A59" s="78" t="s">
        <v>114</v>
      </c>
      <c r="B59" s="78" t="n">
        <f aca="false">B3+B4</f>
        <v>10000</v>
      </c>
      <c r="C59" s="78" t="n">
        <f aca="false">B59-C57*$B$59</f>
        <v>8000</v>
      </c>
      <c r="D59" s="78" t="n">
        <f aca="false">C59-D57*$B$59</f>
        <v>4800</v>
      </c>
      <c r="E59" s="78" t="n">
        <f aca="false">D59-E57*$B$59</f>
        <v>2880</v>
      </c>
      <c r="F59" s="78" t="n">
        <f aca="false">E59-F57*$B$59</f>
        <v>1728</v>
      </c>
      <c r="G59" s="78" t="n">
        <f aca="false">F59-G57*$B$59</f>
        <v>576</v>
      </c>
      <c r="H59" s="78" t="n">
        <f aca="false">G59-H57*$B$59</f>
        <v>0</v>
      </c>
    </row>
    <row r="60" customFormat="false" ht="14.5" hidden="false" customHeight="false" outlineLevel="0" collapsed="false">
      <c r="A60" s="10"/>
      <c r="B60" s="10"/>
      <c r="C60" s="10"/>
      <c r="D60" s="10"/>
      <c r="E60" s="10"/>
      <c r="F60" s="10"/>
      <c r="G60" s="10"/>
      <c r="H60" s="10"/>
    </row>
    <row r="65" customFormat="false" ht="14.5" hidden="false" customHeight="false" outlineLevel="0" collapsed="false">
      <c r="A65" s="0" t="s">
        <v>116</v>
      </c>
      <c r="B65" s="0" t="s">
        <v>117</v>
      </c>
      <c r="C65" s="0" t="s">
        <v>118</v>
      </c>
    </row>
    <row r="66" customFormat="false" ht="14.5" hidden="false" customHeight="false" outlineLevel="0" collapsed="false">
      <c r="A66" s="115" t="s">
        <v>14</v>
      </c>
      <c r="B66" s="115" t="n">
        <f aca="false">'HEP Control Panel'!C5</f>
        <v>9500</v>
      </c>
      <c r="C66" s="0" t="n">
        <f aca="false">'HEP Control Panel'!C88</f>
        <v>0</v>
      </c>
    </row>
    <row r="67" customFormat="false" ht="14.5" hidden="false" customHeight="false" outlineLevel="0" collapsed="false">
      <c r="A67" s="115" t="s">
        <v>15</v>
      </c>
      <c r="B67" s="115" t="n">
        <f aca="false">'HEP Control Panel'!C6</f>
        <v>500</v>
      </c>
      <c r="C67" s="0" t="n">
        <f aca="false">'HEP Control Panel'!C89</f>
        <v>0</v>
      </c>
    </row>
    <row r="68" customFormat="false" ht="14.5" hidden="false" customHeight="false" outlineLevel="0" collapsed="false">
      <c r="A68" s="78" t="s">
        <v>16</v>
      </c>
      <c r="B68" s="78" t="n">
        <f aca="false">'HEP Control Panel'!C7</f>
        <v>2000</v>
      </c>
      <c r="C68" s="0" t="n">
        <f aca="false">'HEP Control Panel'!C90</f>
        <v>200</v>
      </c>
    </row>
    <row r="69" customFormat="false" ht="14.5" hidden="false" customHeight="false" outlineLevel="0" collapsed="false">
      <c r="A69" s="78"/>
      <c r="B69" s="78"/>
    </row>
    <row r="70" customFormat="false" ht="14.5" hidden="false" customHeight="false" outlineLevel="0" collapsed="false">
      <c r="A70" s="115" t="s">
        <v>17</v>
      </c>
      <c r="B70" s="115" t="n">
        <f aca="false">'HEP Control Panel'!C9</f>
        <v>4000</v>
      </c>
      <c r="C70" s="126" t="n">
        <v>200</v>
      </c>
    </row>
    <row r="71" customFormat="false" ht="14.5" hidden="false" customHeight="false" outlineLevel="0" collapsed="false">
      <c r="A71" s="78" t="s">
        <v>18</v>
      </c>
      <c r="B71" s="78" t="n">
        <f aca="false">'HEP Control Panel'!C10</f>
        <v>15000</v>
      </c>
      <c r="C71" s="0" t="n">
        <f aca="false">'HEP Control Panel'!C93</f>
        <v>4000</v>
      </c>
    </row>
    <row r="72" customFormat="false" ht="14.5" hidden="false" customHeight="false" outlineLevel="0" collapsed="false">
      <c r="A72" s="78" t="s">
        <v>19</v>
      </c>
      <c r="B72" s="78" t="n">
        <f aca="false">'HEP Control Panel'!C11</f>
        <v>2</v>
      </c>
      <c r="C72" s="0" t="n">
        <f aca="false">'HEP Control Panel'!C94</f>
        <v>0.2</v>
      </c>
    </row>
    <row r="73" customFormat="false" ht="14.5" hidden="false" customHeight="false" outlineLevel="0" collapsed="false">
      <c r="A73" s="115" t="s">
        <v>20</v>
      </c>
      <c r="B73" s="117" t="n">
        <f aca="false">'HEP Control Panel'!C12</f>
        <v>0.6</v>
      </c>
      <c r="C73" s="0" t="n">
        <f aca="false">'HEP Control Panel'!C95</f>
        <v>0.05</v>
      </c>
    </row>
    <row r="74" customFormat="false" ht="14.5" hidden="false" customHeight="false" outlineLevel="0" collapsed="false">
      <c r="A74" s="115" t="s">
        <v>22</v>
      </c>
      <c r="B74" s="116" t="n">
        <f aca="false">'HEP Control Panel'!C13</f>
        <v>5000</v>
      </c>
      <c r="C74" s="0" t="n">
        <f aca="false">'HEP Control Panel'!C96</f>
        <v>0</v>
      </c>
    </row>
    <row r="75" customFormat="false" ht="14.5" hidden="false" customHeight="false" outlineLevel="0" collapsed="false">
      <c r="A75" s="115" t="s">
        <v>23</v>
      </c>
      <c r="B75" s="117" t="n">
        <f aca="false">'HEP Control Panel'!C14</f>
        <v>0.4</v>
      </c>
      <c r="C75" s="0" t="n">
        <f aca="false">'HEP Control Panel'!C97</f>
        <v>0</v>
      </c>
    </row>
    <row r="76" customFormat="false" ht="14.5" hidden="false" customHeight="false" outlineLevel="0" collapsed="false">
      <c r="A76" s="91" t="s">
        <v>24</v>
      </c>
      <c r="B76" s="92" t="n">
        <f aca="false">'HEP Control Panel'!C15</f>
        <v>0</v>
      </c>
      <c r="C76" s="0" t="n">
        <f aca="false">'HEP Control Panel'!C98</f>
        <v>0.005</v>
      </c>
    </row>
    <row r="79" customFormat="false" ht="14.5" hidden="false" customHeight="false" outlineLevel="0" collapsed="false">
      <c r="A79" s="0" t="s">
        <v>134</v>
      </c>
      <c r="J79" s="124"/>
    </row>
    <row r="80" customFormat="false" ht="14.5" hidden="false" customHeight="false" outlineLevel="0" collapsed="false">
      <c r="B80" s="0" t="s">
        <v>38</v>
      </c>
      <c r="C80" s="0" t="s">
        <v>51</v>
      </c>
      <c r="D80" s="0" t="s">
        <v>135</v>
      </c>
      <c r="F80" s="0" t="s">
        <v>136</v>
      </c>
      <c r="J80" s="124"/>
    </row>
    <row r="81" customFormat="false" ht="14.5" hidden="false" customHeight="false" outlineLevel="0" collapsed="false">
      <c r="A81" s="0" t="s">
        <v>38</v>
      </c>
      <c r="B81" s="32" t="n">
        <v>1</v>
      </c>
      <c r="C81" s="32" t="n">
        <v>-0.8</v>
      </c>
      <c r="D81" s="32" t="n">
        <v>0.4</v>
      </c>
      <c r="F81" s="32" t="n">
        <f aca="false">C72</f>
        <v>0.2</v>
      </c>
      <c r="G81" s="32" t="n">
        <v>0</v>
      </c>
      <c r="H81" s="32" t="n">
        <v>0</v>
      </c>
      <c r="J81" s="124"/>
    </row>
    <row r="82" customFormat="false" ht="14.5" hidden="false" customHeight="false" outlineLevel="0" collapsed="false">
      <c r="A82" s="0" t="s">
        <v>51</v>
      </c>
      <c r="B82" s="32" t="n">
        <v>-0.8</v>
      </c>
      <c r="C82" s="32" t="n">
        <v>1</v>
      </c>
      <c r="D82" s="32" t="n">
        <v>0.6</v>
      </c>
      <c r="F82" s="32" t="n">
        <v>0</v>
      </c>
      <c r="G82" s="32" t="n">
        <f aca="false">C71</f>
        <v>4000</v>
      </c>
      <c r="H82" s="32" t="n">
        <v>0</v>
      </c>
      <c r="J82" s="124"/>
    </row>
    <row r="83" customFormat="false" ht="14.5" hidden="false" customHeight="false" outlineLevel="0" collapsed="false">
      <c r="A83" s="0" t="s">
        <v>135</v>
      </c>
      <c r="B83" s="32" t="n">
        <v>0.4</v>
      </c>
      <c r="C83" s="32" t="n">
        <v>0.6</v>
      </c>
      <c r="D83" s="32" t="n">
        <v>1</v>
      </c>
      <c r="F83" s="32" t="n">
        <v>0</v>
      </c>
      <c r="G83" s="32" t="n">
        <v>0</v>
      </c>
      <c r="H83" s="32" t="n">
        <f aca="false">C70</f>
        <v>200</v>
      </c>
      <c r="J83" s="124"/>
    </row>
    <row r="84" customFormat="false" ht="14.5" hidden="false" customHeight="false" outlineLevel="0" collapsed="false">
      <c r="J84" s="124"/>
    </row>
    <row r="85" customFormat="false" ht="14.5" hidden="false" customHeight="false" outlineLevel="0" collapsed="false">
      <c r="A85" s="0" t="s">
        <v>137</v>
      </c>
      <c r="B85" s="0" t="s">
        <v>138</v>
      </c>
      <c r="J85" s="124"/>
    </row>
    <row r="86" customFormat="false" ht="15" hidden="false" customHeight="false" outlineLevel="0" collapsed="false">
      <c r="B86" s="0" t="s">
        <v>38</v>
      </c>
      <c r="C86" s="0" t="s">
        <v>51</v>
      </c>
      <c r="D86" s="0" t="s">
        <v>135</v>
      </c>
      <c r="J86" s="124"/>
    </row>
    <row r="87" customFormat="false" ht="14.5" hidden="false" customHeight="false" outlineLevel="0" collapsed="false">
      <c r="A87" s="0" t="s">
        <v>38</v>
      </c>
      <c r="B87" s="0" t="n">
        <f aca="false" t="array" ref="B87:D89">MMULT(MMULT(F81:H83,B81:D83),F81:H83)</f>
        <v>0.04</v>
      </c>
      <c r="C87" s="0" t="n">
        <v>-640</v>
      </c>
      <c r="D87" s="0" t="n">
        <v>16</v>
      </c>
      <c r="F87" s="127" t="n">
        <v>0.04</v>
      </c>
      <c r="G87" s="128" t="n">
        <v>0</v>
      </c>
      <c r="H87" s="129" t="n">
        <v>0</v>
      </c>
      <c r="J87" s="124"/>
    </row>
    <row r="88" customFormat="false" ht="14.5" hidden="false" customHeight="false" outlineLevel="0" collapsed="false">
      <c r="A88" s="0" t="s">
        <v>51</v>
      </c>
      <c r="B88" s="0" t="n">
        <v>-640</v>
      </c>
      <c r="C88" s="0" t="n">
        <v>16000000</v>
      </c>
      <c r="D88" s="0" t="n">
        <v>480000</v>
      </c>
      <c r="F88" s="130" t="n">
        <v>-640</v>
      </c>
      <c r="G88" s="131" t="n">
        <v>3948.46805736098</v>
      </c>
      <c r="H88" s="132" t="n">
        <v>0</v>
      </c>
      <c r="J88" s="124"/>
    </row>
    <row r="89" customFormat="false" ht="15" hidden="false" customHeight="false" outlineLevel="0" collapsed="false">
      <c r="A89" s="0" t="s">
        <v>135</v>
      </c>
      <c r="B89" s="0" t="n">
        <v>16</v>
      </c>
      <c r="C89" s="0" t="n">
        <v>480000</v>
      </c>
      <c r="D89" s="0" t="n">
        <v>40000</v>
      </c>
      <c r="F89" s="133" t="n">
        <v>16</v>
      </c>
      <c r="G89" s="134" t="n">
        <v>124.15954564608</v>
      </c>
      <c r="H89" s="135" t="n">
        <v>155.975662284085</v>
      </c>
      <c r="J89" s="124"/>
    </row>
    <row r="90" customFormat="false" ht="14.5" hidden="false" customHeight="false" outlineLevel="0" collapsed="false">
      <c r="J90" s="124"/>
    </row>
    <row r="91" customFormat="false" ht="14.5" hidden="false" customHeight="false" outlineLevel="0" collapsed="false">
      <c r="J91" s="124"/>
    </row>
    <row r="92" customFormat="false" ht="14.5" hidden="false" customHeight="false" outlineLevel="0" collapsed="false">
      <c r="A92" s="122" t="s">
        <v>73</v>
      </c>
      <c r="B92" s="122" t="n">
        <f aca="false">'HEP Control Panel'!C86</f>
        <v>1000</v>
      </c>
      <c r="J92" s="124"/>
    </row>
    <row r="93" customFormat="false" ht="14.5" hidden="false" customHeight="false" outlineLevel="0" collapsed="false">
      <c r="J93" s="124"/>
    </row>
    <row r="94" customFormat="false" ht="14.5" hidden="false" customHeight="false" outlineLevel="0" collapsed="false">
      <c r="B94" s="0" t="s">
        <v>139</v>
      </c>
      <c r="C94" s="0" t="s">
        <v>140</v>
      </c>
      <c r="D94" s="0" t="s">
        <v>141</v>
      </c>
      <c r="J94" s="124"/>
    </row>
    <row r="95" customFormat="false" ht="14.5" hidden="false" customHeight="false" outlineLevel="0" collapsed="false">
      <c r="A95" s="0" t="s">
        <v>38</v>
      </c>
      <c r="B95" s="0" t="n">
        <f aca="false">B72</f>
        <v>2</v>
      </c>
      <c r="C95" s="0" t="n">
        <f aca="true">_xlfn.NORM.S.INV(RAND())</f>
        <v>1.64903034970356</v>
      </c>
      <c r="D95" s="0" t="n">
        <f aca="false" t="array" ref="D95:D97">B95:B97+MMULT(F87:H89,C95:C97)</f>
        <v>2.06596121398814</v>
      </c>
      <c r="F95" s="0" t="s">
        <v>76</v>
      </c>
      <c r="G95" s="123" t="n">
        <f aca="false">COUNTIF(A150:A1048576,"&gt;0")/B92</f>
        <v>0.747</v>
      </c>
      <c r="J95" s="124"/>
    </row>
    <row r="96" customFormat="false" ht="14.5" hidden="false" customHeight="false" outlineLevel="0" collapsed="false">
      <c r="A96" s="0" t="s">
        <v>51</v>
      </c>
      <c r="B96" s="0" t="n">
        <f aca="false">B71</f>
        <v>15000</v>
      </c>
      <c r="C96" s="0" t="n">
        <f aca="true">_xlfn.NORM.S.INV(RAND())</f>
        <v>0.349135746228366</v>
      </c>
      <c r="D96" s="0" t="n">
        <v>15323.1719178553</v>
      </c>
      <c r="F96" s="0" t="s">
        <v>67</v>
      </c>
      <c r="G96" s="124" t="n">
        <f aca="false">AVERAGE(A150:A1048576)</f>
        <v>3546.93053564448</v>
      </c>
      <c r="J96" s="124"/>
    </row>
    <row r="97" customFormat="false" ht="14.5" hidden="false" customHeight="false" outlineLevel="0" collapsed="false">
      <c r="A97" s="0" t="s">
        <v>135</v>
      </c>
      <c r="B97" s="0" t="n">
        <f aca="false">B70</f>
        <v>4000</v>
      </c>
      <c r="C97" s="0" t="n">
        <f aca="true">NORMSINV(RAND())</f>
        <v>0.487255958844552</v>
      </c>
      <c r="D97" s="0" t="n">
        <v>4145.73309209842</v>
      </c>
      <c r="J97" s="124"/>
    </row>
    <row r="98" customFormat="false" ht="14.5" hidden="false" customHeight="false" outlineLevel="0" collapsed="false">
      <c r="J98" s="124"/>
    </row>
    <row r="99" customFormat="false" ht="14.5" hidden="false" customHeight="false" outlineLevel="0" collapsed="false">
      <c r="J99" s="124"/>
    </row>
    <row r="101" customFormat="false" ht="14.5" hidden="false" customHeight="false" outlineLevel="0" collapsed="false">
      <c r="A101" s="93"/>
      <c r="B101" s="93" t="n">
        <v>0</v>
      </c>
      <c r="C101" s="93" t="n">
        <v>1</v>
      </c>
      <c r="D101" s="93" t="n">
        <v>2</v>
      </c>
      <c r="E101" s="93" t="n">
        <v>3</v>
      </c>
      <c r="F101" s="93" t="n">
        <v>4</v>
      </c>
      <c r="G101" s="10"/>
      <c r="H101" s="10"/>
    </row>
    <row r="102" customFormat="false" ht="14.5" hidden="false" customHeight="false" outlineLevel="0" collapsed="false">
      <c r="A102" s="94" t="s">
        <v>85</v>
      </c>
      <c r="B102" s="10"/>
      <c r="C102" s="10"/>
      <c r="D102" s="10"/>
      <c r="E102" s="10"/>
      <c r="F102" s="10"/>
      <c r="G102" s="10"/>
      <c r="H102" s="10"/>
    </row>
    <row r="103" customFormat="false" ht="14.5" hidden="false" customHeight="false" outlineLevel="0" collapsed="false">
      <c r="A103" s="10" t="s">
        <v>14</v>
      </c>
      <c r="B103" s="10" t="n">
        <f aca="false">-B3</f>
        <v>-9500</v>
      </c>
      <c r="C103" s="10"/>
      <c r="D103" s="10"/>
      <c r="E103" s="10"/>
      <c r="F103" s="10"/>
      <c r="G103" s="10"/>
      <c r="H103" s="10"/>
    </row>
    <row r="104" customFormat="false" ht="14.5" hidden="false" customHeight="false" outlineLevel="0" collapsed="false">
      <c r="A104" s="10" t="s">
        <v>15</v>
      </c>
      <c r="B104" s="10" t="n">
        <f aca="false">-B4</f>
        <v>-500</v>
      </c>
      <c r="C104" s="10"/>
      <c r="D104" s="10"/>
      <c r="E104" s="10"/>
      <c r="F104" s="10"/>
      <c r="G104" s="10"/>
      <c r="H104" s="10"/>
    </row>
    <row r="105" customFormat="false" ht="14.5" hidden="false" customHeight="false" outlineLevel="0" collapsed="false">
      <c r="A105" s="10" t="s">
        <v>17</v>
      </c>
      <c r="B105" s="10" t="n">
        <f aca="false">-D97</f>
        <v>-4145.73309209842</v>
      </c>
      <c r="C105" s="10"/>
      <c r="D105" s="10"/>
      <c r="E105" s="10"/>
      <c r="F105" s="10"/>
      <c r="G105" s="10"/>
      <c r="H105" s="10"/>
    </row>
    <row r="106" customFormat="false" ht="14.5" hidden="false" customHeight="false" outlineLevel="0" collapsed="false">
      <c r="A106" s="20" t="s">
        <v>86</v>
      </c>
      <c r="B106" s="10" t="n">
        <f aca="false">SUM(B103:B105)</f>
        <v>-14145.7330920984</v>
      </c>
      <c r="C106" s="10"/>
      <c r="D106" s="10"/>
      <c r="E106" s="10"/>
      <c r="F106" s="10"/>
      <c r="G106" s="10"/>
      <c r="H106" s="10"/>
    </row>
    <row r="107" customFormat="false" ht="14.5" hidden="false" customHeight="false" outlineLevel="0" collapsed="false">
      <c r="A107" s="10"/>
      <c r="B107" s="10"/>
      <c r="C107" s="10"/>
      <c r="D107" s="10"/>
      <c r="E107" s="10"/>
      <c r="F107" s="10"/>
      <c r="G107" s="10"/>
      <c r="H107" s="10"/>
    </row>
    <row r="108" customFormat="false" ht="14.5" hidden="false" customHeight="false" outlineLevel="0" collapsed="false">
      <c r="A108" s="94" t="s">
        <v>87</v>
      </c>
      <c r="B108" s="10"/>
      <c r="C108" s="10"/>
      <c r="D108" s="10"/>
      <c r="E108" s="10"/>
      <c r="F108" s="10"/>
      <c r="G108" s="10"/>
      <c r="H108" s="10"/>
    </row>
    <row r="109" customFormat="false" ht="14.5" hidden="false" customHeight="false" outlineLevel="0" collapsed="false">
      <c r="A109" s="91" t="s">
        <v>33</v>
      </c>
      <c r="B109" s="10"/>
      <c r="C109" s="95" t="n">
        <f aca="false">$D$96*$D$95*(1+$B$76)</f>
        <v>31657.0788575614</v>
      </c>
      <c r="D109" s="95" t="n">
        <f aca="false">C109*(1+$B$76)</f>
        <v>31657.0788575614</v>
      </c>
      <c r="E109" s="95" t="n">
        <f aca="false">D109*(1+$B$76)</f>
        <v>31657.0788575614</v>
      </c>
      <c r="F109" s="95" t="n">
        <f aca="false">E109*(1+$B$76)</f>
        <v>31657.0788575614</v>
      </c>
      <c r="G109" s="10"/>
      <c r="H109" s="10"/>
    </row>
    <row r="110" customFormat="false" ht="14.5" hidden="false" customHeight="false" outlineLevel="0" collapsed="false">
      <c r="A110" s="91" t="s">
        <v>20</v>
      </c>
      <c r="B110" s="10"/>
      <c r="C110" s="95" t="n">
        <f aca="false">-C109*$B$10</f>
        <v>-18994.2473145368</v>
      </c>
      <c r="D110" s="95" t="n">
        <f aca="false">-D109*$B$10</f>
        <v>-18994.2473145368</v>
      </c>
      <c r="E110" s="95" t="n">
        <f aca="false">-E109*$B$10</f>
        <v>-18994.2473145368</v>
      </c>
      <c r="F110" s="95" t="n">
        <f aca="false">-F109*$B$10</f>
        <v>-18994.2473145368</v>
      </c>
      <c r="G110" s="10"/>
      <c r="H110" s="10"/>
    </row>
    <row r="111" customFormat="false" ht="14.5" hidden="false" customHeight="false" outlineLevel="0" collapsed="false">
      <c r="A111" s="96" t="s">
        <v>22</v>
      </c>
      <c r="B111" s="97"/>
      <c r="C111" s="98" t="n">
        <f aca="false">-$B$11*(1+$B$76)</f>
        <v>-5000</v>
      </c>
      <c r="D111" s="98" t="n">
        <f aca="false">C111*(1+$B$76)</f>
        <v>-5000</v>
      </c>
      <c r="E111" s="98" t="n">
        <f aca="false">D111*(1+$B$76)</f>
        <v>-5000</v>
      </c>
      <c r="F111" s="98" t="n">
        <f aca="false">E111*(1+$B$76)</f>
        <v>-5000</v>
      </c>
      <c r="G111" s="10"/>
      <c r="H111" s="10"/>
    </row>
    <row r="112" customFormat="false" ht="14.5" hidden="false" customHeight="false" outlineLevel="0" collapsed="false">
      <c r="A112" s="20" t="s">
        <v>88</v>
      </c>
      <c r="B112" s="10"/>
      <c r="C112" s="99" t="n">
        <f aca="false">SUM(C109:C111)</f>
        <v>7662.83154302455</v>
      </c>
      <c r="D112" s="99" t="n">
        <f aca="false">SUM(D109:D111)</f>
        <v>7662.83154302455</v>
      </c>
      <c r="E112" s="99" t="n">
        <f aca="false">SUM(E109:E111)</f>
        <v>7662.83154302455</v>
      </c>
      <c r="F112" s="99" t="n">
        <f aca="false">SUM(F109:F111)</f>
        <v>7662.83154302455</v>
      </c>
      <c r="G112" s="10"/>
      <c r="H112" s="10"/>
    </row>
    <row r="113" customFormat="false" ht="14.5" hidden="false" customHeight="false" outlineLevel="0" collapsed="false">
      <c r="A113" s="97" t="s">
        <v>89</v>
      </c>
      <c r="B113" s="97"/>
      <c r="C113" s="98" t="n">
        <f aca="false">($B$103+$B$104)*C143</f>
        <v>-2000</v>
      </c>
      <c r="D113" s="98" t="n">
        <f aca="false">($B$17+$B$18)*D143</f>
        <v>-3200</v>
      </c>
      <c r="E113" s="98" t="n">
        <f aca="false">($B$17+$B$18)*E143</f>
        <v>-1920</v>
      </c>
      <c r="F113" s="98" t="n">
        <f aca="false">($B$17+$B$18)*F143</f>
        <v>-1152</v>
      </c>
      <c r="G113" s="10"/>
      <c r="H113" s="10"/>
    </row>
    <row r="114" customFormat="false" ht="14.5" hidden="false" customHeight="false" outlineLevel="0" collapsed="false">
      <c r="A114" s="20" t="s">
        <v>90</v>
      </c>
      <c r="B114" s="10"/>
      <c r="C114" s="99" t="n">
        <f aca="false">C112+C113</f>
        <v>5662.83154302455</v>
      </c>
      <c r="D114" s="99" t="n">
        <f aca="false">D112+D113</f>
        <v>4462.83154302455</v>
      </c>
      <c r="E114" s="99" t="n">
        <f aca="false">E112+E113</f>
        <v>5742.83154302455</v>
      </c>
      <c r="F114" s="99" t="n">
        <f aca="false">F112+F113</f>
        <v>6510.83154302455</v>
      </c>
      <c r="G114" s="10"/>
      <c r="H114" s="10"/>
    </row>
    <row r="115" customFormat="false" ht="14.5" hidden="false" customHeight="false" outlineLevel="0" collapsed="false">
      <c r="A115" s="112" t="s">
        <v>91</v>
      </c>
      <c r="B115" s="112"/>
      <c r="C115" s="113" t="n">
        <f aca="false">IF(B114+B115&lt;0,B114+B115,0)</f>
        <v>0</v>
      </c>
      <c r="D115" s="113" t="n">
        <f aca="false">IF(C114+C115&lt;0,C114+C115,0)</f>
        <v>0</v>
      </c>
      <c r="E115" s="113" t="n">
        <f aca="false">IF(D114+D115&lt;0,D114+D115,0)</f>
        <v>0</v>
      </c>
      <c r="F115" s="113" t="n">
        <f aca="false">IF(E114+E115&lt;0,E114+E115,0)</f>
        <v>0</v>
      </c>
      <c r="G115" s="10"/>
      <c r="H115" s="10"/>
    </row>
    <row r="116" customFormat="false" ht="14.5" hidden="false" customHeight="false" outlineLevel="0" collapsed="false">
      <c r="A116" s="97" t="s">
        <v>92</v>
      </c>
      <c r="B116" s="97"/>
      <c r="C116" s="98" t="n">
        <f aca="false">IF(C114+C115&lt;0,0,-(C114+C115)*$B$12)</f>
        <v>-2265.13261720982</v>
      </c>
      <c r="D116" s="98" t="n">
        <f aca="false">IF(D114+D115&lt;0,0,-(D114+D115)*$B$12)</f>
        <v>-1785.13261720982</v>
      </c>
      <c r="E116" s="98" t="n">
        <f aca="false">IF(E114+E115&lt;0,0,-(E114+E115)*$B$12)</f>
        <v>-2297.13261720982</v>
      </c>
      <c r="F116" s="98" t="n">
        <f aca="false">IF(F114+F115&lt;0,0,-(F114+F115)*$B$12)</f>
        <v>-2604.33261720982</v>
      </c>
      <c r="G116" s="10"/>
      <c r="H116" s="10"/>
    </row>
    <row r="117" customFormat="false" ht="14.5" hidden="false" customHeight="false" outlineLevel="0" collapsed="false">
      <c r="A117" s="20" t="s">
        <v>93</v>
      </c>
      <c r="B117" s="10"/>
      <c r="C117" s="99" t="n">
        <f aca="false">C114+C116</f>
        <v>3397.69892581473</v>
      </c>
      <c r="D117" s="99" t="n">
        <f aca="false">D114+D116</f>
        <v>2677.69892581473</v>
      </c>
      <c r="E117" s="99" t="n">
        <f aca="false">E114+E116</f>
        <v>3445.69892581473</v>
      </c>
      <c r="F117" s="99" t="n">
        <f aca="false">F114+F116</f>
        <v>3906.49892581473</v>
      </c>
      <c r="G117" s="10"/>
      <c r="H117" s="10"/>
    </row>
    <row r="118" customFormat="false" ht="14.5" hidden="false" customHeight="false" outlineLevel="0" collapsed="false">
      <c r="A118" s="97" t="s">
        <v>94</v>
      </c>
      <c r="B118" s="97"/>
      <c r="C118" s="98" t="n">
        <f aca="false">-C113</f>
        <v>2000</v>
      </c>
      <c r="D118" s="98" t="n">
        <f aca="false">-D113</f>
        <v>3200</v>
      </c>
      <c r="E118" s="98" t="n">
        <f aca="false">-E113</f>
        <v>1920</v>
      </c>
      <c r="F118" s="98" t="n">
        <f aca="false">-F113</f>
        <v>1152</v>
      </c>
      <c r="G118" s="10"/>
      <c r="H118" s="10"/>
    </row>
    <row r="119" customFormat="false" ht="14.5" hidden="false" customHeight="false" outlineLevel="0" collapsed="false">
      <c r="A119" s="20" t="s">
        <v>95</v>
      </c>
      <c r="B119" s="10"/>
      <c r="C119" s="99" t="n">
        <f aca="false">C117+C118</f>
        <v>5397.69892581473</v>
      </c>
      <c r="D119" s="99" t="n">
        <f aca="false">D117+D118</f>
        <v>5877.69892581473</v>
      </c>
      <c r="E119" s="99" t="n">
        <f aca="false">E117+E118</f>
        <v>5365.69892581473</v>
      </c>
      <c r="F119" s="99" t="n">
        <f aca="false">F117+F118</f>
        <v>5058.49892581473</v>
      </c>
      <c r="G119" s="10"/>
      <c r="H119" s="10"/>
    </row>
    <row r="120" customFormat="false" ht="14.5" hidden="false" customHeight="false" outlineLevel="0" collapsed="false">
      <c r="A120" s="10"/>
      <c r="B120" s="10"/>
      <c r="C120" s="10"/>
      <c r="D120" s="10"/>
      <c r="E120" s="10"/>
      <c r="F120" s="10"/>
      <c r="G120" s="10"/>
      <c r="H120" s="10"/>
    </row>
    <row r="121" customFormat="false" ht="14.5" hidden="false" customHeight="false" outlineLevel="0" collapsed="false">
      <c r="A121" s="94" t="s">
        <v>96</v>
      </c>
      <c r="B121" s="10"/>
      <c r="C121" s="10"/>
      <c r="D121" s="10"/>
      <c r="E121" s="10"/>
      <c r="F121" s="10"/>
      <c r="G121" s="10"/>
      <c r="H121" s="10"/>
    </row>
    <row r="122" customFormat="false" ht="14.5" hidden="false" customHeight="false" outlineLevel="0" collapsed="false">
      <c r="A122" s="10" t="s">
        <v>97</v>
      </c>
      <c r="B122" s="10"/>
      <c r="C122" s="10"/>
      <c r="D122" s="10"/>
      <c r="E122" s="10"/>
      <c r="F122" s="95" t="n">
        <f aca="false">B5</f>
        <v>2000</v>
      </c>
      <c r="G122" s="10"/>
      <c r="H122" s="10"/>
    </row>
    <row r="123" customFormat="false" ht="14.5" hidden="false" customHeight="false" outlineLevel="0" collapsed="false">
      <c r="A123" s="112" t="s">
        <v>98</v>
      </c>
      <c r="B123" s="10"/>
      <c r="C123" s="10"/>
      <c r="D123" s="10"/>
      <c r="E123" s="10"/>
      <c r="F123" s="125" t="n">
        <f aca="false">-(B5-F145)*B12</f>
        <v>-108.8</v>
      </c>
      <c r="G123" s="10"/>
      <c r="H123" s="10"/>
    </row>
    <row r="124" customFormat="false" ht="14.5" hidden="false" customHeight="false" outlineLevel="0" collapsed="false">
      <c r="A124" s="97" t="s">
        <v>99</v>
      </c>
      <c r="B124" s="97"/>
      <c r="C124" s="97"/>
      <c r="D124" s="97"/>
      <c r="E124" s="97"/>
      <c r="F124" s="97" t="n">
        <f aca="false">-B105</f>
        <v>4145.73309209842</v>
      </c>
      <c r="G124" s="10"/>
      <c r="H124" s="10"/>
    </row>
    <row r="125" customFormat="false" ht="14.5" hidden="false" customHeight="false" outlineLevel="0" collapsed="false">
      <c r="A125" s="20" t="s">
        <v>100</v>
      </c>
      <c r="B125" s="10"/>
      <c r="C125" s="10"/>
      <c r="D125" s="10"/>
      <c r="E125" s="10"/>
      <c r="F125" s="20" t="n">
        <f aca="false">SUM(F122:F124)</f>
        <v>6036.93309209842</v>
      </c>
      <c r="G125" s="10"/>
      <c r="H125" s="10"/>
    </row>
    <row r="126" customFormat="false" ht="14.5" hidden="false" customHeight="false" outlineLevel="0" collapsed="false">
      <c r="A126" s="10"/>
      <c r="B126" s="10"/>
      <c r="C126" s="10"/>
      <c r="D126" s="10"/>
      <c r="E126" s="10"/>
      <c r="F126" s="10"/>
      <c r="G126" s="10"/>
      <c r="H126" s="10"/>
    </row>
    <row r="127" customFormat="false" ht="14.5" hidden="false" customHeight="false" outlineLevel="0" collapsed="false">
      <c r="A127" s="100" t="s">
        <v>101</v>
      </c>
      <c r="B127" s="101" t="n">
        <f aca="false">B106</f>
        <v>-14145.7330920984</v>
      </c>
      <c r="C127" s="101" t="n">
        <f aca="false">C119</f>
        <v>5397.69892581473</v>
      </c>
      <c r="D127" s="101" t="n">
        <f aca="false">D119</f>
        <v>5877.69892581473</v>
      </c>
      <c r="E127" s="101" t="n">
        <f aca="false">E119</f>
        <v>5365.69892581473</v>
      </c>
      <c r="F127" s="101" t="n">
        <f aca="false">F119+F125</f>
        <v>11095.4320179132</v>
      </c>
      <c r="G127" s="10"/>
      <c r="H127" s="10"/>
    </row>
    <row r="128" customFormat="false" ht="14.5" hidden="false" customHeight="false" outlineLevel="0" collapsed="false">
      <c r="A128" s="20" t="s">
        <v>102</v>
      </c>
      <c r="B128" s="102" t="n">
        <f aca="false">B127/(1+$E$50)^B101</f>
        <v>-14145.7330920984</v>
      </c>
      <c r="C128" s="102" t="n">
        <f aca="false">C127/(1+$E$50)^C101</f>
        <v>4693.65123983889</v>
      </c>
      <c r="D128" s="102" t="n">
        <f aca="false">D127/(1+$E$50)^D101</f>
        <v>4444.38482103193</v>
      </c>
      <c r="E128" s="102" t="n">
        <f aca="false">E127/(1+$E$50)^E101</f>
        <v>3528.03414206607</v>
      </c>
      <c r="F128" s="102" t="n">
        <f aca="false">F127/(1+$E$50)^F101</f>
        <v>6343.8492674987</v>
      </c>
      <c r="G128" s="10"/>
      <c r="H128" s="10"/>
    </row>
    <row r="129" customFormat="false" ht="14.5" hidden="false" customHeight="false" outlineLevel="0" collapsed="false">
      <c r="A129" s="10" t="s">
        <v>104</v>
      </c>
      <c r="B129" s="104" t="n">
        <f aca="false">B127</f>
        <v>-14145.7330920984</v>
      </c>
      <c r="C129" s="104" t="n">
        <f aca="false">B129+C127</f>
        <v>-8748.0341662837</v>
      </c>
      <c r="D129" s="104" t="n">
        <f aca="false">C129+D127</f>
        <v>-2870.33524046897</v>
      </c>
      <c r="E129" s="104" t="n">
        <f aca="false">D129+E127</f>
        <v>2495.36368534576</v>
      </c>
      <c r="F129" s="104" t="n">
        <f aca="false">E129+F127</f>
        <v>13590.7957032589</v>
      </c>
      <c r="G129" s="10"/>
      <c r="H129" s="10"/>
    </row>
    <row r="130" customFormat="false" ht="14.5" hidden="false" customHeight="false" outlineLevel="0" collapsed="false">
      <c r="A130" s="10" t="s">
        <v>106</v>
      </c>
      <c r="B130" s="104" t="n">
        <f aca="false">B128</f>
        <v>-14145.7330920984</v>
      </c>
      <c r="C130" s="104" t="n">
        <f aca="false">B130+C128</f>
        <v>-9452.08185225953</v>
      </c>
      <c r="D130" s="104" t="n">
        <f aca="false">C130+D128</f>
        <v>-5007.6970312276</v>
      </c>
      <c r="E130" s="104" t="n">
        <f aca="false">D130+E128</f>
        <v>-1479.66288916153</v>
      </c>
      <c r="F130" s="104" t="n">
        <f aca="false">E130+F128</f>
        <v>4864.18637833717</v>
      </c>
      <c r="G130" s="10"/>
      <c r="H130" s="10"/>
    </row>
    <row r="131" customFormat="false" ht="14.5" hidden="false" customHeight="false" outlineLevel="0" collapsed="false">
      <c r="A131" s="106" t="s">
        <v>107</v>
      </c>
      <c r="B131" s="107" t="n">
        <f aca="false">B127*(1+$E$54)^B101/(1+$E$50)^B101</f>
        <v>-14145.7330920984</v>
      </c>
      <c r="C131" s="107" t="n">
        <f aca="false">C127*(1+$E$54)^C101/(1+$E$50)^C101</f>
        <v>5163.01636382278</v>
      </c>
      <c r="D131" s="107" t="n">
        <f aca="false">D127*(1+$E$54)^D101/(1+$E$50)^D101</f>
        <v>5377.70563344864</v>
      </c>
      <c r="E131" s="107" t="n">
        <f aca="false">E127*(1+$E$54)^E101/(1+$E$50)^E101</f>
        <v>4695.81344308994</v>
      </c>
      <c r="F131" s="107" t="n">
        <f aca="false">F127*(1+$E$54)^F101/(1+$E$50)^F101</f>
        <v>9288.02971254486</v>
      </c>
      <c r="G131" s="10"/>
      <c r="H131" s="10"/>
    </row>
    <row r="132" customFormat="false" ht="14.5" hidden="false" customHeight="false" outlineLevel="0" collapsed="false">
      <c r="A132" s="106" t="s">
        <v>108</v>
      </c>
      <c r="B132" s="107" t="n">
        <f aca="false">B127-B131</f>
        <v>0</v>
      </c>
      <c r="C132" s="107" t="n">
        <f aca="false">C127-C131</f>
        <v>234.682561991945</v>
      </c>
      <c r="D132" s="107" t="n">
        <f aca="false">D127-D131</f>
        <v>499.99329236609</v>
      </c>
      <c r="E132" s="107" t="n">
        <f aca="false">E127-E131</f>
        <v>669.885482724792</v>
      </c>
      <c r="F132" s="107" t="n">
        <f aca="false">F127-F131</f>
        <v>1807.4023053683</v>
      </c>
      <c r="G132" s="10"/>
      <c r="H132" s="10"/>
    </row>
    <row r="133" customFormat="false" ht="14.5" hidden="false" customHeight="false" outlineLevel="0" collapsed="false">
      <c r="A133" s="106" t="s">
        <v>110</v>
      </c>
      <c r="B133" s="107" t="n">
        <f aca="false">B131-B128</f>
        <v>0</v>
      </c>
      <c r="C133" s="107" t="n">
        <f aca="false">C131-C128</f>
        <v>469.365123983889</v>
      </c>
      <c r="D133" s="107" t="n">
        <f aca="false">D131-D128</f>
        <v>933.320812416707</v>
      </c>
      <c r="E133" s="107" t="n">
        <f aca="false">E131-E128</f>
        <v>1167.77930102387</v>
      </c>
      <c r="F133" s="107" t="n">
        <f aca="false">F131-F128</f>
        <v>2944.18044504615</v>
      </c>
      <c r="G133" s="10"/>
      <c r="H133" s="10"/>
    </row>
    <row r="134" customFormat="false" ht="14.5" hidden="false" customHeight="false" outlineLevel="0" collapsed="false">
      <c r="A134" s="106" t="s">
        <v>111</v>
      </c>
      <c r="B134" s="107" t="n">
        <f aca="false">B128+B132+B133</f>
        <v>-14145.7330920984</v>
      </c>
      <c r="C134" s="107" t="n">
        <f aca="false">C128+C132+C133</f>
        <v>5397.69892581473</v>
      </c>
      <c r="D134" s="107" t="n">
        <f aca="false">D128+D132+D133</f>
        <v>5877.69892581473</v>
      </c>
      <c r="E134" s="107" t="n">
        <f aca="false">E128+E132+E133</f>
        <v>5365.69892581473</v>
      </c>
      <c r="F134" s="107" t="n">
        <f aca="false">F128+F132+F133</f>
        <v>11095.4320179132</v>
      </c>
      <c r="G134" s="10"/>
      <c r="H134" s="10"/>
    </row>
    <row r="135" customFormat="false" ht="14.5" hidden="false" customHeight="false" outlineLevel="0" collapsed="false">
      <c r="A135" s="10"/>
      <c r="B135" s="10"/>
      <c r="C135" s="105"/>
      <c r="D135" s="10"/>
      <c r="E135" s="10"/>
      <c r="F135" s="10"/>
      <c r="G135" s="10"/>
      <c r="H135" s="10"/>
    </row>
    <row r="136" customFormat="false" ht="14.5" hidden="false" customHeight="false" outlineLevel="0" collapsed="false">
      <c r="A136" s="31" t="s">
        <v>45</v>
      </c>
      <c r="B136" s="108" t="n">
        <f aca="false">SUM(B128:F128)</f>
        <v>4864.18637833717</v>
      </c>
      <c r="C136" s="82"/>
      <c r="D136" s="31" t="s">
        <v>79</v>
      </c>
      <c r="E136" s="80" t="n">
        <f aca="false">F136*(100%+G136)</f>
        <v>0.15</v>
      </c>
      <c r="F136" s="16" t="n">
        <v>0.15</v>
      </c>
      <c r="G136" s="16" t="n">
        <v>0</v>
      </c>
      <c r="H136" s="10"/>
    </row>
    <row r="137" customFormat="false" ht="14.5" hidden="false" customHeight="false" outlineLevel="0" collapsed="false">
      <c r="A137" s="31" t="s">
        <v>46</v>
      </c>
      <c r="B137" s="109" t="n">
        <f aca="false">IRR(B127:F127)</f>
        <v>0.292861683057962</v>
      </c>
      <c r="C137" s="82"/>
      <c r="D137" s="82" t="s">
        <v>80</v>
      </c>
      <c r="E137" s="82"/>
      <c r="F137" s="10"/>
      <c r="G137" s="10"/>
      <c r="H137" s="10"/>
    </row>
    <row r="138" customFormat="false" ht="14.5" hidden="false" customHeight="false" outlineLevel="0" collapsed="false">
      <c r="A138" s="31" t="s">
        <v>4</v>
      </c>
      <c r="B138" s="109" t="n">
        <f aca="false">MIRR(B127:F127,E136,E136)</f>
        <v>0.238187869122622</v>
      </c>
      <c r="C138" s="82"/>
      <c r="D138" s="82" t="s">
        <v>81</v>
      </c>
      <c r="E138" s="82"/>
      <c r="F138" s="10"/>
      <c r="G138" s="10"/>
      <c r="H138" s="10"/>
    </row>
    <row r="139" customFormat="false" ht="14.5" hidden="false" customHeight="false" outlineLevel="0" collapsed="false">
      <c r="A139" s="31" t="s">
        <v>47</v>
      </c>
      <c r="B139" s="110" t="n">
        <f aca="false">MATCH(0,B129:F129)-1+-INDEX(B129:F129,1,MATCH(0,B129:F129))/INDEX(C127:F127,1,MATCH(0,B129:F129))</f>
        <v>2.53494153886637</v>
      </c>
      <c r="C139" s="82"/>
      <c r="D139" s="82" t="s">
        <v>82</v>
      </c>
      <c r="E139" s="82"/>
      <c r="F139" s="10"/>
      <c r="G139" s="10"/>
      <c r="H139" s="10"/>
    </row>
    <row r="140" customFormat="false" ht="14.5" hidden="false" customHeight="false" outlineLevel="0" collapsed="false">
      <c r="A140" s="31" t="s">
        <v>48</v>
      </c>
      <c r="B140" s="110" t="n">
        <f aca="false">MATCH(0,B130:F130)-1+-INDEX(B130:F130,1,MATCH(0,B130:F130))/INDEX(C128:F128,1,MATCH(0,B130:F130))</f>
        <v>3.23324370217027</v>
      </c>
      <c r="C140" s="82"/>
      <c r="D140" s="31" t="s">
        <v>83</v>
      </c>
      <c r="E140" s="86" t="n">
        <v>0.1</v>
      </c>
      <c r="F140" s="10"/>
      <c r="G140" s="10"/>
      <c r="H140" s="10"/>
    </row>
    <row r="141" customFormat="false" ht="14.5" hidden="false" customHeight="false" outlineLevel="0" collapsed="false">
      <c r="A141" s="10"/>
      <c r="B141" s="10"/>
      <c r="C141" s="10"/>
      <c r="D141" s="10"/>
      <c r="E141" s="10"/>
      <c r="F141" s="10"/>
      <c r="G141" s="10"/>
      <c r="H141" s="10"/>
    </row>
    <row r="142" customFormat="false" ht="14.5" hidden="false" customHeight="false" outlineLevel="0" collapsed="false">
      <c r="A142" s="78" t="s">
        <v>112</v>
      </c>
      <c r="B142" s="78"/>
      <c r="C142" s="78"/>
      <c r="D142" s="78"/>
      <c r="E142" s="78"/>
      <c r="F142" s="78"/>
      <c r="G142" s="78"/>
      <c r="H142" s="78"/>
    </row>
    <row r="143" customFormat="false" ht="14.5" hidden="false" customHeight="false" outlineLevel="0" collapsed="false">
      <c r="A143" s="78" t="s">
        <v>113</v>
      </c>
      <c r="B143" s="78"/>
      <c r="C143" s="89" t="n">
        <v>0.2</v>
      </c>
      <c r="D143" s="89" t="n">
        <v>0.32</v>
      </c>
      <c r="E143" s="111" t="n">
        <v>0.192</v>
      </c>
      <c r="F143" s="111" t="n">
        <v>0.1152</v>
      </c>
      <c r="G143" s="111" t="n">
        <v>0.1152</v>
      </c>
      <c r="H143" s="111" t="n">
        <v>0.0576</v>
      </c>
    </row>
    <row r="144" customFormat="false" ht="14.5" hidden="false" customHeight="false" outlineLevel="0" collapsed="false">
      <c r="A144" s="78"/>
      <c r="B144" s="78"/>
      <c r="C144" s="78"/>
      <c r="D144" s="78"/>
      <c r="E144" s="78"/>
      <c r="F144" s="78"/>
      <c r="G144" s="78"/>
      <c r="H144" s="78"/>
    </row>
    <row r="145" customFormat="false" ht="14.5" hidden="false" customHeight="false" outlineLevel="0" collapsed="false">
      <c r="A145" s="78" t="s">
        <v>114</v>
      </c>
      <c r="B145" s="78" t="n">
        <f aca="false">B3+B4</f>
        <v>10000</v>
      </c>
      <c r="C145" s="78" t="n">
        <f aca="false">B145-C143*$B$59</f>
        <v>8000</v>
      </c>
      <c r="D145" s="78" t="n">
        <f aca="false">C145-D143*$B$59</f>
        <v>4800</v>
      </c>
      <c r="E145" s="78" t="n">
        <f aca="false">D145-E143*$B$59</f>
        <v>2880</v>
      </c>
      <c r="F145" s="78" t="n">
        <f aca="false">E145-F143*$B$59</f>
        <v>1728</v>
      </c>
      <c r="G145" s="78" t="n">
        <f aca="false">F145-G143*$B$59</f>
        <v>576</v>
      </c>
      <c r="H145" s="78" t="n">
        <f aca="false">G145-H143*$B$59</f>
        <v>0</v>
      </c>
    </row>
    <row r="147" customFormat="false" ht="14.5" hidden="false" customHeight="false" outlineLevel="0" collapsed="false">
      <c r="G147" s="0" t="s">
        <v>124</v>
      </c>
      <c r="H147" s="124" t="n">
        <f aca="false">MIN(A150:A1048576)</f>
        <v>-15477.4566562437</v>
      </c>
    </row>
    <row r="148" customFormat="false" ht="14.5" hidden="false" customHeight="false" outlineLevel="0" collapsed="false">
      <c r="G148" s="0" t="s">
        <v>125</v>
      </c>
      <c r="H148" s="124" t="n">
        <f aca="false">MAX(A150:A1048576)</f>
        <v>19021.8386768099</v>
      </c>
    </row>
    <row r="149" customFormat="false" ht="14.5" hidden="false" customHeight="false" outlineLevel="0" collapsed="false">
      <c r="D149" s="0" t="s">
        <v>132</v>
      </c>
      <c r="E149" s="0" t="s">
        <v>133</v>
      </c>
      <c r="G149" s="0" t="s">
        <v>129</v>
      </c>
      <c r="H149" s="124" t="n">
        <f aca="false">(H148-H147)/20</f>
        <v>1724.96476665268</v>
      </c>
    </row>
    <row r="150" customFormat="false" ht="14.5" hidden="false" customHeight="false" outlineLevel="0" collapsed="false">
      <c r="A150" s="124" t="n">
        <v>4557.45330593917</v>
      </c>
      <c r="B150" s="124"/>
      <c r="C150" s="0" t="n">
        <v>1</v>
      </c>
      <c r="D150" s="124" t="n">
        <f aca="false">H147</f>
        <v>-15477.4566562437</v>
      </c>
      <c r="E150" s="0" t="n">
        <f aca="false">COUNTIF($A$150:$A$1048576,"&lt;"&amp;D150)</f>
        <v>0</v>
      </c>
    </row>
    <row r="151" customFormat="false" ht="14.5" hidden="false" customHeight="false" outlineLevel="0" collapsed="false">
      <c r="A151" s="124" t="n">
        <v>-477.903486206403</v>
      </c>
      <c r="B151" s="124"/>
      <c r="C151" s="0" t="n">
        <v>2</v>
      </c>
      <c r="D151" s="124" t="n">
        <f aca="false">D150+$H$149</f>
        <v>-13752.4918895911</v>
      </c>
      <c r="E151" s="121" t="n">
        <f aca="false">COUNTIF($A$150:$A$1048576,"&lt;"&amp;D151)-SUM($E$150:E150)</f>
        <v>1</v>
      </c>
    </row>
    <row r="152" customFormat="false" ht="14.5" hidden="false" customHeight="false" outlineLevel="0" collapsed="false">
      <c r="A152" s="124" t="n">
        <v>-7641.67587961721</v>
      </c>
      <c r="B152" s="124"/>
      <c r="C152" s="0" t="n">
        <v>3</v>
      </c>
      <c r="D152" s="124" t="n">
        <f aca="false">D151+$H$149</f>
        <v>-12027.5271229384</v>
      </c>
      <c r="E152" s="121" t="n">
        <f aca="false">COUNTIF($A$150:$A$1048576,"&lt;"&amp;D152)-SUM($E$150:E151)</f>
        <v>3</v>
      </c>
    </row>
    <row r="153" customFormat="false" ht="14.5" hidden="false" customHeight="false" outlineLevel="0" collapsed="false">
      <c r="A153" s="124" t="n">
        <v>-3991.1376517759</v>
      </c>
      <c r="B153" s="124"/>
      <c r="C153" s="0" t="n">
        <v>4</v>
      </c>
      <c r="D153" s="124" t="n">
        <f aca="false">D152+$H$149</f>
        <v>-10302.5623562857</v>
      </c>
      <c r="E153" s="121" t="n">
        <f aca="false">COUNTIF($A$150:$A$1048576,"&lt;"&amp;D153)-SUM($E$150:E152)</f>
        <v>9</v>
      </c>
    </row>
    <row r="154" customFormat="false" ht="14.5" hidden="false" customHeight="false" outlineLevel="0" collapsed="false">
      <c r="A154" s="124" t="n">
        <v>14339.9591909889</v>
      </c>
      <c r="B154" s="124"/>
      <c r="C154" s="0" t="n">
        <v>5</v>
      </c>
      <c r="D154" s="124" t="n">
        <f aca="false">D153+$H$149</f>
        <v>-8577.597589633</v>
      </c>
      <c r="E154" s="121" t="n">
        <f aca="false">COUNTIF($A$150:$A$1048576,"&lt;"&amp;D154)-SUM($E$150:E153)</f>
        <v>9</v>
      </c>
    </row>
    <row r="155" customFormat="false" ht="14.5" hidden="false" customHeight="false" outlineLevel="0" collapsed="false">
      <c r="A155" s="124" t="n">
        <v>1003.55097775169</v>
      </c>
      <c r="B155" s="124"/>
      <c r="C155" s="0" t="n">
        <v>6</v>
      </c>
      <c r="D155" s="124" t="n">
        <f aca="false">D154+$H$149</f>
        <v>-6852.63282298032</v>
      </c>
      <c r="E155" s="121" t="n">
        <f aca="false">COUNTIF($A$150:$A$1048576,"&lt;"&amp;D155)-SUM($E$150:E154)</f>
        <v>14</v>
      </c>
    </row>
    <row r="156" customFormat="false" ht="14.5" hidden="false" customHeight="false" outlineLevel="0" collapsed="false">
      <c r="A156" s="124" t="n">
        <v>13440.7393432529</v>
      </c>
      <c r="B156" s="124"/>
      <c r="C156" s="0" t="n">
        <v>7</v>
      </c>
      <c r="D156" s="124" t="n">
        <f aca="false">D155+$H$149</f>
        <v>-5127.66805632763</v>
      </c>
      <c r="E156" s="121" t="n">
        <f aca="false">COUNTIF($A$150:$A$1048576,"&lt;"&amp;D156)-SUM($E$150:E155)</f>
        <v>17</v>
      </c>
    </row>
    <row r="157" customFormat="false" ht="14.5" hidden="false" customHeight="false" outlineLevel="0" collapsed="false">
      <c r="A157" s="124" t="n">
        <v>3543.52640751313</v>
      </c>
      <c r="B157" s="124"/>
      <c r="C157" s="0" t="n">
        <v>8</v>
      </c>
      <c r="D157" s="124" t="n">
        <f aca="false">D156+$H$149</f>
        <v>-3402.70328967495</v>
      </c>
      <c r="E157" s="121" t="n">
        <f aca="false">COUNTIF($A$150:$A$1048576,"&lt;"&amp;D157)-SUM($E$150:E156)</f>
        <v>34</v>
      </c>
    </row>
    <row r="158" customFormat="false" ht="14.5" hidden="false" customHeight="false" outlineLevel="0" collapsed="false">
      <c r="A158" s="124" t="n">
        <v>2776.66496930013</v>
      </c>
      <c r="B158" s="124"/>
      <c r="C158" s="0" t="n">
        <v>9</v>
      </c>
      <c r="D158" s="124" t="n">
        <f aca="false">D157+$H$149</f>
        <v>-1677.73852302227</v>
      </c>
      <c r="E158" s="121" t="n">
        <f aca="false">COUNTIF($A$150:$A$1048576,"&lt;"&amp;D158)-SUM($E$150:E157)</f>
        <v>71</v>
      </c>
    </row>
    <row r="159" customFormat="false" ht="14.5" hidden="false" customHeight="false" outlineLevel="0" collapsed="false">
      <c r="A159" s="124" t="n">
        <v>2309.41979075425</v>
      </c>
      <c r="B159" s="124"/>
      <c r="C159" s="0" t="n">
        <v>10</v>
      </c>
      <c r="D159" s="124" t="n">
        <f aca="false">D158+$H$149</f>
        <v>47.2262436304159</v>
      </c>
      <c r="E159" s="121" t="n">
        <f aca="false">COUNTIF($A$150:$A$1048576,"&lt;"&amp;D159)-SUM($E$150:E158)</f>
        <v>101</v>
      </c>
    </row>
    <row r="160" customFormat="false" ht="14.5" hidden="false" customHeight="false" outlineLevel="0" collapsed="false">
      <c r="A160" s="124" t="n">
        <v>-1443.58140567919</v>
      </c>
      <c r="B160" s="124"/>
      <c r="C160" s="0" t="n">
        <v>11</v>
      </c>
      <c r="D160" s="124" t="n">
        <f aca="false">D159+$H$149</f>
        <v>1772.1910102831</v>
      </c>
      <c r="E160" s="121" t="n">
        <f aca="false">COUNTIF($A$150:$A$1048576,"&lt;"&amp;D160)-SUM($E$150:E159)</f>
        <v>110</v>
      </c>
    </row>
    <row r="161" customFormat="false" ht="14.5" hidden="false" customHeight="false" outlineLevel="0" collapsed="false">
      <c r="A161" s="124" t="n">
        <v>-1599.25134370326</v>
      </c>
      <c r="B161" s="124"/>
      <c r="C161" s="0" t="n">
        <v>12</v>
      </c>
      <c r="D161" s="124" t="n">
        <f aca="false">D160+$H$149</f>
        <v>3497.15577693578</v>
      </c>
      <c r="E161" s="121" t="n">
        <f aca="false">COUNTIF($A$150:$A$1048576,"&lt;"&amp;D161)-SUM($E$150:E160)</f>
        <v>122</v>
      </c>
    </row>
    <row r="162" customFormat="false" ht="14.5" hidden="false" customHeight="false" outlineLevel="0" collapsed="false">
      <c r="A162" s="124" t="n">
        <v>-2546.56322241272</v>
      </c>
      <c r="B162" s="124"/>
      <c r="C162" s="0" t="n">
        <v>13</v>
      </c>
      <c r="D162" s="124" t="n">
        <f aca="false">D161+$H$149</f>
        <v>5222.12054358847</v>
      </c>
      <c r="E162" s="121" t="n">
        <f aca="false">COUNTIF($A$150:$A$1048576,"&lt;"&amp;D162)-SUM($E$150:E161)</f>
        <v>127</v>
      </c>
    </row>
    <row r="163" customFormat="false" ht="14.5" hidden="false" customHeight="false" outlineLevel="0" collapsed="false">
      <c r="A163" s="124" t="n">
        <v>-6190.38973464625</v>
      </c>
      <c r="B163" s="124"/>
      <c r="C163" s="0" t="n">
        <v>14</v>
      </c>
      <c r="D163" s="124" t="n">
        <f aca="false">D162+$H$149</f>
        <v>6947.08531024115</v>
      </c>
      <c r="E163" s="121" t="n">
        <f aca="false">COUNTIF($A$150:$A$1048576,"&lt;"&amp;D163)-SUM($E$150:E162)</f>
        <v>113</v>
      </c>
    </row>
    <row r="164" customFormat="false" ht="14.5" hidden="false" customHeight="false" outlineLevel="0" collapsed="false">
      <c r="A164" s="124" t="n">
        <v>-433.209185246252</v>
      </c>
      <c r="B164" s="124"/>
      <c r="C164" s="0" t="n">
        <v>15</v>
      </c>
      <c r="D164" s="124" t="n">
        <f aca="false">D163+$H$149</f>
        <v>8672.05007689383</v>
      </c>
      <c r="E164" s="121" t="n">
        <f aca="false">COUNTIF($A$150:$A$1048576,"&lt;"&amp;D164)-SUM($E$150:E163)</f>
        <v>93</v>
      </c>
    </row>
    <row r="165" customFormat="false" ht="14.5" hidden="false" customHeight="false" outlineLevel="0" collapsed="false">
      <c r="A165" s="124" t="n">
        <v>3955.13312895303</v>
      </c>
      <c r="B165" s="124"/>
      <c r="C165" s="0" t="n">
        <v>16</v>
      </c>
      <c r="D165" s="124" t="n">
        <f aca="false">D164+$H$149</f>
        <v>10397.0148435465</v>
      </c>
      <c r="E165" s="121" t="n">
        <f aca="false">COUNTIF($A$150:$A$1048576,"&lt;"&amp;D165)-SUM($E$150:E164)</f>
        <v>65</v>
      </c>
    </row>
    <row r="166" customFormat="false" ht="14.5" hidden="false" customHeight="false" outlineLevel="0" collapsed="false">
      <c r="A166" s="124" t="n">
        <v>-780.748391695003</v>
      </c>
      <c r="B166" s="124"/>
      <c r="C166" s="0" t="n">
        <v>17</v>
      </c>
      <c r="D166" s="124" t="n">
        <f aca="false">D165+$H$149</f>
        <v>12121.9796101992</v>
      </c>
      <c r="E166" s="121" t="n">
        <f aca="false">COUNTIF($A$150:$A$1048576,"&lt;"&amp;D166)-SUM($E$150:E165)</f>
        <v>56</v>
      </c>
    </row>
    <row r="167" customFormat="false" ht="14.5" hidden="false" customHeight="false" outlineLevel="0" collapsed="false">
      <c r="A167" s="124" t="n">
        <v>10713.3672159941</v>
      </c>
      <c r="B167" s="124"/>
      <c r="C167" s="0" t="n">
        <v>18</v>
      </c>
      <c r="D167" s="124" t="n">
        <f aca="false">D166+$H$149</f>
        <v>13846.9443768519</v>
      </c>
      <c r="E167" s="121" t="n">
        <f aca="false">COUNTIF($A$150:$A$1048576,"&lt;"&amp;D167)-SUM($E$150:E166)</f>
        <v>31</v>
      </c>
    </row>
    <row r="168" customFormat="false" ht="14.5" hidden="false" customHeight="false" outlineLevel="0" collapsed="false">
      <c r="A168" s="124" t="n">
        <v>2926.29397458008</v>
      </c>
      <c r="B168" s="124"/>
      <c r="C168" s="0" t="n">
        <v>19</v>
      </c>
      <c r="D168" s="124" t="n">
        <f aca="false">D167+$H$149</f>
        <v>15571.9091435046</v>
      </c>
      <c r="E168" s="121" t="n">
        <f aca="false">COUNTIF($A$150:$A$1048576,"&lt;"&amp;D168)-SUM($E$150:E167)</f>
        <v>15</v>
      </c>
    </row>
    <row r="169" customFormat="false" ht="14.5" hidden="false" customHeight="false" outlineLevel="0" collapsed="false">
      <c r="A169" s="124" t="n">
        <v>-10732.7236664</v>
      </c>
      <c r="B169" s="124"/>
      <c r="C169" s="0" t="n">
        <v>20</v>
      </c>
      <c r="D169" s="124" t="n">
        <f aca="false">D168+$H$149</f>
        <v>17296.8739101572</v>
      </c>
      <c r="E169" s="121" t="n">
        <f aca="false">COUNTIF($A$150:$A$1048576,"&lt;"&amp;D169)-SUM($E$150:E168)</f>
        <v>6</v>
      </c>
    </row>
    <row r="170" customFormat="false" ht="14.5" hidden="false" customHeight="false" outlineLevel="0" collapsed="false">
      <c r="A170" s="124" t="n">
        <v>1843.79189678752</v>
      </c>
      <c r="B170" s="124"/>
      <c r="C170" s="0" t="n">
        <v>21</v>
      </c>
      <c r="D170" s="124" t="n">
        <f aca="false">D169+$H$149</f>
        <v>19021.8386768099</v>
      </c>
      <c r="E170" s="121" t="n">
        <f aca="false">COUNTIF($A$150:$A$1048576,"&lt;="&amp;D170)-SUM($E$150:E169)</f>
        <v>3</v>
      </c>
    </row>
    <row r="171" customFormat="false" ht="14.5" hidden="false" customHeight="false" outlineLevel="0" collapsed="false">
      <c r="A171" s="124" t="n">
        <v>123.69656010054</v>
      </c>
      <c r="B171" s="124"/>
      <c r="D171" s="124"/>
      <c r="E171" s="121"/>
    </row>
    <row r="172" customFormat="false" ht="14.5" hidden="false" customHeight="false" outlineLevel="0" collapsed="false">
      <c r="A172" s="124" t="n">
        <v>11760.795382923</v>
      </c>
      <c r="B172" s="124"/>
      <c r="D172" s="124"/>
      <c r="E172" s="121"/>
    </row>
    <row r="173" customFormat="false" ht="14.5" hidden="false" customHeight="false" outlineLevel="0" collapsed="false">
      <c r="A173" s="124" t="n">
        <v>2593.28081209539</v>
      </c>
      <c r="B173" s="124"/>
      <c r="D173" s="124"/>
      <c r="E173" s="121"/>
    </row>
    <row r="174" customFormat="false" ht="14.5" hidden="false" customHeight="false" outlineLevel="0" collapsed="false">
      <c r="A174" s="124" t="n">
        <v>6483.89358902587</v>
      </c>
      <c r="B174" s="124"/>
      <c r="D174" s="124"/>
      <c r="E174" s="121"/>
    </row>
    <row r="175" customFormat="false" ht="14.5" hidden="false" customHeight="false" outlineLevel="0" collapsed="false">
      <c r="A175" s="124" t="n">
        <v>-3396.32290892406</v>
      </c>
      <c r="B175" s="124"/>
      <c r="D175" s="124"/>
      <c r="E175" s="121"/>
    </row>
    <row r="176" customFormat="false" ht="14.5" hidden="false" customHeight="false" outlineLevel="0" collapsed="false">
      <c r="A176" s="124" t="n">
        <v>1416.66782043851</v>
      </c>
      <c r="B176" s="124"/>
      <c r="D176" s="124"/>
      <c r="E176" s="121"/>
    </row>
    <row r="177" customFormat="false" ht="14.5" hidden="false" customHeight="false" outlineLevel="0" collapsed="false">
      <c r="A177" s="124" t="n">
        <v>3301.66937788323</v>
      </c>
      <c r="B177" s="124"/>
      <c r="D177" s="124"/>
      <c r="E177" s="121"/>
    </row>
    <row r="178" customFormat="false" ht="14.5" hidden="false" customHeight="false" outlineLevel="0" collapsed="false">
      <c r="A178" s="124" t="n">
        <v>2919.83584693814</v>
      </c>
      <c r="B178" s="124"/>
      <c r="D178" s="124"/>
      <c r="E178" s="121"/>
    </row>
    <row r="179" customFormat="false" ht="14.5" hidden="false" customHeight="false" outlineLevel="0" collapsed="false">
      <c r="A179" s="124" t="n">
        <v>-1071.56710110498</v>
      </c>
      <c r="B179" s="124"/>
      <c r="D179" s="124"/>
      <c r="E179" s="121"/>
    </row>
    <row r="180" customFormat="false" ht="14.5" hidden="false" customHeight="false" outlineLevel="0" collapsed="false">
      <c r="A180" s="124" t="n">
        <v>2563.91275188817</v>
      </c>
      <c r="B180" s="124"/>
      <c r="D180" s="124"/>
      <c r="E180" s="121"/>
    </row>
    <row r="181" customFormat="false" ht="14.5" hidden="false" customHeight="false" outlineLevel="0" collapsed="false">
      <c r="A181" s="124" t="n">
        <v>1983.48931155551</v>
      </c>
      <c r="B181" s="124"/>
      <c r="D181" s="124"/>
      <c r="E181" s="121"/>
    </row>
    <row r="182" customFormat="false" ht="14.5" hidden="false" customHeight="false" outlineLevel="0" collapsed="false">
      <c r="A182" s="124" t="n">
        <v>6019.39793882618</v>
      </c>
      <c r="B182" s="124"/>
      <c r="D182" s="124"/>
      <c r="E182" s="121"/>
    </row>
    <row r="183" customFormat="false" ht="14.5" hidden="false" customHeight="false" outlineLevel="0" collapsed="false">
      <c r="A183" s="124" t="n">
        <v>8763.74936842257</v>
      </c>
      <c r="B183" s="124"/>
      <c r="D183" s="124"/>
      <c r="E183" s="121"/>
    </row>
    <row r="184" customFormat="false" ht="14.5" hidden="false" customHeight="false" outlineLevel="0" collapsed="false">
      <c r="A184" s="124" t="n">
        <v>2818.51611902114</v>
      </c>
      <c r="B184" s="124"/>
      <c r="D184" s="124"/>
      <c r="E184" s="121"/>
    </row>
    <row r="185" customFormat="false" ht="14.5" hidden="false" customHeight="false" outlineLevel="0" collapsed="false">
      <c r="A185" s="124" t="n">
        <v>-1674.21235118262</v>
      </c>
      <c r="B185" s="124"/>
      <c r="D185" s="124"/>
      <c r="E185" s="121"/>
    </row>
    <row r="186" customFormat="false" ht="14.5" hidden="false" customHeight="false" outlineLevel="0" collapsed="false">
      <c r="A186" s="124" t="n">
        <v>8160.54553291581</v>
      </c>
      <c r="B186" s="124"/>
      <c r="D186" s="124"/>
      <c r="E186" s="121"/>
    </row>
    <row r="187" customFormat="false" ht="14.5" hidden="false" customHeight="false" outlineLevel="0" collapsed="false">
      <c r="A187" s="124" t="n">
        <v>419.433391624412</v>
      </c>
      <c r="B187" s="124"/>
      <c r="D187" s="124"/>
      <c r="E187" s="121"/>
    </row>
    <row r="188" customFormat="false" ht="14.5" hidden="false" customHeight="false" outlineLevel="0" collapsed="false">
      <c r="A188" s="124" t="n">
        <v>3213.50349597582</v>
      </c>
      <c r="B188" s="124"/>
      <c r="D188" s="124"/>
      <c r="E188" s="121"/>
    </row>
    <row r="189" customFormat="false" ht="14.5" hidden="false" customHeight="false" outlineLevel="0" collapsed="false">
      <c r="A189" s="124" t="n">
        <v>6254.80610963968</v>
      </c>
      <c r="B189" s="124"/>
      <c r="D189" s="124"/>
      <c r="E189" s="121"/>
    </row>
    <row r="190" customFormat="false" ht="14.5" hidden="false" customHeight="false" outlineLevel="0" collapsed="false">
      <c r="A190" s="124" t="n">
        <v>2235.29880550479</v>
      </c>
      <c r="B190" s="124"/>
      <c r="D190" s="124"/>
      <c r="E190" s="121"/>
    </row>
    <row r="191" customFormat="false" ht="14.5" hidden="false" customHeight="false" outlineLevel="0" collapsed="false">
      <c r="A191" s="124" t="n">
        <v>5430.44273038379</v>
      </c>
      <c r="B191" s="124"/>
      <c r="D191" s="124"/>
      <c r="E191" s="121"/>
    </row>
    <row r="192" customFormat="false" ht="14.5" hidden="false" customHeight="false" outlineLevel="0" collapsed="false">
      <c r="A192" s="124" t="n">
        <v>9494.14054902261</v>
      </c>
      <c r="B192" s="124"/>
      <c r="D192" s="124"/>
      <c r="E192" s="121"/>
    </row>
    <row r="193" customFormat="false" ht="14.5" hidden="false" customHeight="false" outlineLevel="0" collapsed="false">
      <c r="A193" s="124" t="n">
        <v>3507.1159684897</v>
      </c>
      <c r="B193" s="124"/>
      <c r="D193" s="124"/>
      <c r="E193" s="121"/>
    </row>
    <row r="194" customFormat="false" ht="14.5" hidden="false" customHeight="false" outlineLevel="0" collapsed="false">
      <c r="A194" s="124" t="n">
        <v>-8092.09070034223</v>
      </c>
      <c r="B194" s="124"/>
      <c r="D194" s="124"/>
      <c r="E194" s="121"/>
    </row>
    <row r="195" customFormat="false" ht="14.5" hidden="false" customHeight="false" outlineLevel="0" collapsed="false">
      <c r="A195" s="124" t="n">
        <v>1331.07016711083</v>
      </c>
      <c r="B195" s="124"/>
      <c r="D195" s="124"/>
      <c r="E195" s="121"/>
    </row>
    <row r="196" customFormat="false" ht="14.5" hidden="false" customHeight="false" outlineLevel="0" collapsed="false">
      <c r="A196" s="124" t="n">
        <v>412.909562225887</v>
      </c>
      <c r="B196" s="124"/>
      <c r="D196" s="124"/>
      <c r="E196" s="121"/>
    </row>
    <row r="197" customFormat="false" ht="14.5" hidden="false" customHeight="false" outlineLevel="0" collapsed="false">
      <c r="A197" s="124" t="n">
        <v>-625.925707864115</v>
      </c>
      <c r="B197" s="124"/>
      <c r="D197" s="124"/>
      <c r="E197" s="121"/>
    </row>
    <row r="198" customFormat="false" ht="14.5" hidden="false" customHeight="false" outlineLevel="0" collapsed="false">
      <c r="A198" s="124" t="n">
        <v>636.626282910126</v>
      </c>
      <c r="B198" s="124"/>
      <c r="D198" s="124"/>
      <c r="E198" s="121"/>
    </row>
    <row r="199" customFormat="false" ht="14.5" hidden="false" customHeight="false" outlineLevel="0" collapsed="false">
      <c r="A199" s="124" t="n">
        <v>-1209.29462191352</v>
      </c>
      <c r="B199" s="124"/>
      <c r="D199" s="124"/>
      <c r="E199" s="121"/>
    </row>
    <row r="200" customFormat="false" ht="14.5" hidden="false" customHeight="false" outlineLevel="0" collapsed="false">
      <c r="A200" s="124" t="n">
        <v>9298.47917206259</v>
      </c>
      <c r="B200" s="124"/>
      <c r="D200" s="124"/>
      <c r="E200" s="121"/>
    </row>
    <row r="201" customFormat="false" ht="14.5" hidden="false" customHeight="false" outlineLevel="0" collapsed="false">
      <c r="A201" s="124" t="n">
        <v>-4156.7075864454</v>
      </c>
      <c r="B201" s="124"/>
      <c r="D201" s="124"/>
      <c r="E201" s="121"/>
    </row>
    <row r="202" customFormat="false" ht="14.5" hidden="false" customHeight="false" outlineLevel="0" collapsed="false">
      <c r="A202" s="124" t="n">
        <v>1503.98237002204</v>
      </c>
      <c r="B202" s="124"/>
      <c r="D202" s="124"/>
      <c r="E202" s="121"/>
    </row>
    <row r="203" customFormat="false" ht="14.5" hidden="false" customHeight="false" outlineLevel="0" collapsed="false">
      <c r="A203" s="124" t="n">
        <v>-4103.44659226419</v>
      </c>
      <c r="B203" s="124"/>
      <c r="D203" s="124"/>
      <c r="E203" s="121"/>
    </row>
    <row r="204" customFormat="false" ht="14.5" hidden="false" customHeight="false" outlineLevel="0" collapsed="false">
      <c r="A204" s="124" t="n">
        <v>2734.83194562337</v>
      </c>
      <c r="B204" s="124"/>
      <c r="D204" s="124"/>
      <c r="E204" s="121"/>
    </row>
    <row r="205" customFormat="false" ht="14.5" hidden="false" customHeight="false" outlineLevel="0" collapsed="false">
      <c r="A205" s="124" t="n">
        <v>7297.59869736399</v>
      </c>
      <c r="B205" s="124"/>
      <c r="D205" s="124"/>
      <c r="E205" s="121"/>
    </row>
    <row r="206" customFormat="false" ht="14.5" hidden="false" customHeight="false" outlineLevel="0" collapsed="false">
      <c r="A206" s="124" t="n">
        <v>9984.62039250646</v>
      </c>
      <c r="B206" s="124"/>
      <c r="D206" s="124"/>
      <c r="E206" s="121"/>
    </row>
    <row r="207" customFormat="false" ht="14.5" hidden="false" customHeight="false" outlineLevel="0" collapsed="false">
      <c r="A207" s="124" t="n">
        <v>19021.8386768099</v>
      </c>
      <c r="B207" s="124"/>
      <c r="D207" s="124"/>
      <c r="E207" s="121"/>
    </row>
    <row r="208" customFormat="false" ht="14.5" hidden="false" customHeight="false" outlineLevel="0" collapsed="false">
      <c r="A208" s="124" t="n">
        <v>9900.47172542602</v>
      </c>
      <c r="B208" s="124"/>
      <c r="D208" s="124"/>
      <c r="E208" s="121"/>
    </row>
    <row r="209" customFormat="false" ht="14.5" hidden="false" customHeight="false" outlineLevel="0" collapsed="false">
      <c r="A209" s="124" t="n">
        <v>5024.73581213147</v>
      </c>
      <c r="B209" s="124"/>
      <c r="D209" s="124"/>
      <c r="E209" s="121"/>
    </row>
    <row r="210" customFormat="false" ht="14.5" hidden="false" customHeight="false" outlineLevel="0" collapsed="false">
      <c r="A210" s="124" t="n">
        <v>-7906.83857994968</v>
      </c>
      <c r="B210" s="124"/>
      <c r="D210" s="124"/>
      <c r="E210" s="121"/>
    </row>
    <row r="211" customFormat="false" ht="14.5" hidden="false" customHeight="false" outlineLevel="0" collapsed="false">
      <c r="A211" s="124" t="n">
        <v>4981.92190626895</v>
      </c>
      <c r="B211" s="124"/>
      <c r="D211" s="124"/>
      <c r="E211" s="121"/>
    </row>
    <row r="212" customFormat="false" ht="14.5" hidden="false" customHeight="false" outlineLevel="0" collapsed="false">
      <c r="A212" s="124" t="n">
        <v>-2517.69375863985</v>
      </c>
      <c r="B212" s="124"/>
      <c r="D212" s="124"/>
      <c r="E212" s="121"/>
    </row>
    <row r="213" customFormat="false" ht="14.5" hidden="false" customHeight="false" outlineLevel="0" collapsed="false">
      <c r="A213" s="124" t="n">
        <v>9189.07145959766</v>
      </c>
      <c r="B213" s="124"/>
      <c r="D213" s="124"/>
      <c r="E213" s="121"/>
    </row>
    <row r="214" customFormat="false" ht="14.5" hidden="false" customHeight="false" outlineLevel="0" collapsed="false">
      <c r="A214" s="124" t="n">
        <v>-927.895854927886</v>
      </c>
      <c r="B214" s="124"/>
      <c r="D214" s="124"/>
      <c r="E214" s="121"/>
    </row>
    <row r="215" customFormat="false" ht="14.5" hidden="false" customHeight="false" outlineLevel="0" collapsed="false">
      <c r="A215" s="124" t="n">
        <v>2953.96845588573</v>
      </c>
      <c r="B215" s="124"/>
      <c r="D215" s="124"/>
      <c r="E215" s="121"/>
    </row>
    <row r="216" customFormat="false" ht="14.5" hidden="false" customHeight="false" outlineLevel="0" collapsed="false">
      <c r="A216" s="124" t="n">
        <v>-4538.91066803099</v>
      </c>
      <c r="B216" s="124"/>
      <c r="D216" s="124"/>
      <c r="E216" s="121"/>
    </row>
    <row r="217" customFormat="false" ht="14.5" hidden="false" customHeight="false" outlineLevel="0" collapsed="false">
      <c r="A217" s="124" t="n">
        <v>-1830.89405269204</v>
      </c>
      <c r="B217" s="124"/>
      <c r="D217" s="124"/>
      <c r="E217" s="121"/>
    </row>
    <row r="218" customFormat="false" ht="14.5" hidden="false" customHeight="false" outlineLevel="0" collapsed="false">
      <c r="A218" s="124" t="n">
        <v>9070.77938938652</v>
      </c>
      <c r="B218" s="124"/>
      <c r="D218" s="124"/>
      <c r="E218" s="121"/>
    </row>
    <row r="219" customFormat="false" ht="14.5" hidden="false" customHeight="false" outlineLevel="0" collapsed="false">
      <c r="A219" s="124" t="n">
        <v>8314.26910530468</v>
      </c>
      <c r="B219" s="124"/>
      <c r="D219" s="124"/>
      <c r="E219" s="121"/>
    </row>
    <row r="220" customFormat="false" ht="14.5" hidden="false" customHeight="false" outlineLevel="0" collapsed="false">
      <c r="A220" s="124" t="n">
        <v>-8428.11563618823</v>
      </c>
      <c r="B220" s="124"/>
      <c r="D220" s="124"/>
      <c r="E220" s="121"/>
    </row>
    <row r="221" customFormat="false" ht="14.5" hidden="false" customHeight="false" outlineLevel="0" collapsed="false">
      <c r="A221" s="124" t="n">
        <v>6507.41812419313</v>
      </c>
      <c r="B221" s="124"/>
      <c r="D221" s="124"/>
      <c r="E221" s="121"/>
    </row>
    <row r="222" customFormat="false" ht="14.5" hidden="false" customHeight="false" outlineLevel="0" collapsed="false">
      <c r="A222" s="124" t="n">
        <v>-192.352904114307</v>
      </c>
      <c r="B222" s="124"/>
      <c r="D222" s="124"/>
      <c r="E222" s="121"/>
    </row>
    <row r="223" customFormat="false" ht="14.5" hidden="false" customHeight="false" outlineLevel="0" collapsed="false">
      <c r="A223" s="124" t="n">
        <v>4729.2100602386</v>
      </c>
      <c r="B223" s="124"/>
      <c r="D223" s="124"/>
      <c r="E223" s="121"/>
    </row>
    <row r="224" customFormat="false" ht="14.5" hidden="false" customHeight="false" outlineLevel="0" collapsed="false">
      <c r="A224" s="124" t="n">
        <v>1608.22201947828</v>
      </c>
      <c r="B224" s="124"/>
      <c r="D224" s="124"/>
      <c r="E224" s="121"/>
    </row>
    <row r="225" customFormat="false" ht="14.5" hidden="false" customHeight="false" outlineLevel="0" collapsed="false">
      <c r="A225" s="124" t="n">
        <v>2278.10315463845</v>
      </c>
      <c r="B225" s="124"/>
      <c r="D225" s="124"/>
      <c r="E225" s="121"/>
    </row>
    <row r="226" customFormat="false" ht="14.5" hidden="false" customHeight="false" outlineLevel="0" collapsed="false">
      <c r="A226" s="124" t="n">
        <v>2733.9549450138</v>
      </c>
      <c r="B226" s="124"/>
      <c r="D226" s="124"/>
      <c r="E226" s="121"/>
    </row>
    <row r="227" customFormat="false" ht="14.5" hidden="false" customHeight="false" outlineLevel="0" collapsed="false">
      <c r="A227" s="124" t="n">
        <v>8694.5642789735</v>
      </c>
      <c r="B227" s="124"/>
      <c r="D227" s="124"/>
      <c r="E227" s="121"/>
    </row>
    <row r="228" customFormat="false" ht="14.5" hidden="false" customHeight="false" outlineLevel="0" collapsed="false">
      <c r="A228" s="124" t="n">
        <v>6792.0407902228</v>
      </c>
      <c r="B228" s="124"/>
      <c r="D228" s="124"/>
      <c r="E228" s="121"/>
    </row>
    <row r="229" customFormat="false" ht="14.5" hidden="false" customHeight="false" outlineLevel="0" collapsed="false">
      <c r="A229" s="124" t="n">
        <v>-3030.7948690433</v>
      </c>
      <c r="B229" s="124"/>
      <c r="D229" s="124"/>
      <c r="E229" s="121"/>
    </row>
    <row r="230" customFormat="false" ht="14.5" hidden="false" customHeight="false" outlineLevel="0" collapsed="false">
      <c r="A230" s="124" t="n">
        <v>3449.96228212887</v>
      </c>
      <c r="B230" s="124"/>
      <c r="D230" s="124"/>
      <c r="E230" s="121"/>
    </row>
    <row r="231" customFormat="false" ht="14.5" hidden="false" customHeight="false" outlineLevel="0" collapsed="false">
      <c r="A231" s="124" t="n">
        <v>4399.01420893976</v>
      </c>
      <c r="B231" s="124"/>
      <c r="D231" s="124"/>
      <c r="E231" s="121"/>
    </row>
    <row r="232" customFormat="false" ht="14.5" hidden="false" customHeight="false" outlineLevel="0" collapsed="false">
      <c r="A232" s="124" t="n">
        <v>-2269.70203302262</v>
      </c>
      <c r="B232" s="124"/>
      <c r="D232" s="124"/>
      <c r="E232" s="121"/>
    </row>
    <row r="233" customFormat="false" ht="14.5" hidden="false" customHeight="false" outlineLevel="0" collapsed="false">
      <c r="A233" s="124" t="n">
        <v>3262.30751650531</v>
      </c>
      <c r="B233" s="124"/>
      <c r="D233" s="124"/>
      <c r="E233" s="121"/>
    </row>
    <row r="234" customFormat="false" ht="14.5" hidden="false" customHeight="false" outlineLevel="0" collapsed="false">
      <c r="A234" s="124" t="n">
        <v>7510.78100878098</v>
      </c>
      <c r="B234" s="124"/>
      <c r="D234" s="124"/>
      <c r="E234" s="121"/>
    </row>
    <row r="235" customFormat="false" ht="14.5" hidden="false" customHeight="false" outlineLevel="0" collapsed="false">
      <c r="A235" s="124" t="n">
        <v>2008.88605096119</v>
      </c>
      <c r="B235" s="124"/>
      <c r="D235" s="124"/>
      <c r="E235" s="121"/>
    </row>
    <row r="236" customFormat="false" ht="14.5" hidden="false" customHeight="false" outlineLevel="0" collapsed="false">
      <c r="A236" s="124" t="n">
        <v>283.954698411289</v>
      </c>
      <c r="B236" s="124"/>
      <c r="D236" s="124"/>
      <c r="E236" s="121"/>
    </row>
    <row r="237" customFormat="false" ht="14.5" hidden="false" customHeight="false" outlineLevel="0" collapsed="false">
      <c r="A237" s="124" t="n">
        <v>-9534.95353356541</v>
      </c>
      <c r="B237" s="124"/>
      <c r="D237" s="124"/>
      <c r="E237" s="121"/>
    </row>
    <row r="238" customFormat="false" ht="14.5" hidden="false" customHeight="false" outlineLevel="0" collapsed="false">
      <c r="A238" s="124" t="n">
        <v>5073.20767798934</v>
      </c>
      <c r="B238" s="124"/>
      <c r="D238" s="124"/>
      <c r="E238" s="121"/>
    </row>
    <row r="239" customFormat="false" ht="14.5" hidden="false" customHeight="false" outlineLevel="0" collapsed="false">
      <c r="A239" s="124" t="n">
        <v>-868.780103837255</v>
      </c>
      <c r="B239" s="124"/>
      <c r="D239" s="124"/>
      <c r="E239" s="121"/>
    </row>
    <row r="240" customFormat="false" ht="14.5" hidden="false" customHeight="false" outlineLevel="0" collapsed="false">
      <c r="A240" s="124" t="n">
        <v>1830.69828528811</v>
      </c>
      <c r="B240" s="124"/>
      <c r="D240" s="124"/>
      <c r="E240" s="121"/>
    </row>
    <row r="241" customFormat="false" ht="14.5" hidden="false" customHeight="false" outlineLevel="0" collapsed="false">
      <c r="A241" s="124" t="n">
        <v>11145.1291530546</v>
      </c>
      <c r="B241" s="124"/>
      <c r="D241" s="124"/>
      <c r="E241" s="121"/>
    </row>
    <row r="242" customFormat="false" ht="14.5" hidden="false" customHeight="false" outlineLevel="0" collapsed="false">
      <c r="A242" s="124" t="n">
        <v>6452.39826594818</v>
      </c>
      <c r="B242" s="124"/>
      <c r="D242" s="124"/>
      <c r="E242" s="121"/>
    </row>
    <row r="243" customFormat="false" ht="14.5" hidden="false" customHeight="false" outlineLevel="0" collapsed="false">
      <c r="A243" s="124" t="n">
        <v>4883.46723915732</v>
      </c>
      <c r="B243" s="124"/>
      <c r="D243" s="124"/>
      <c r="E243" s="121"/>
    </row>
    <row r="244" customFormat="false" ht="14.5" hidden="false" customHeight="false" outlineLevel="0" collapsed="false">
      <c r="A244" s="124" t="n">
        <v>7053.31657251878</v>
      </c>
      <c r="B244" s="124"/>
      <c r="D244" s="124"/>
      <c r="E244" s="121"/>
    </row>
    <row r="245" customFormat="false" ht="14.5" hidden="false" customHeight="false" outlineLevel="0" collapsed="false">
      <c r="A245" s="124" t="n">
        <v>4030.09409385867</v>
      </c>
      <c r="B245" s="124"/>
      <c r="D245" s="124"/>
      <c r="E245" s="121"/>
    </row>
    <row r="246" customFormat="false" ht="14.5" hidden="false" customHeight="false" outlineLevel="0" collapsed="false">
      <c r="A246" s="124" t="n">
        <v>-2779.06294703722</v>
      </c>
      <c r="B246" s="124"/>
      <c r="D246" s="124"/>
      <c r="E246" s="121"/>
    </row>
    <row r="247" customFormat="false" ht="14.5" hidden="false" customHeight="false" outlineLevel="0" collapsed="false">
      <c r="A247" s="124" t="n">
        <v>9444.065190662</v>
      </c>
      <c r="B247" s="124"/>
      <c r="D247" s="124"/>
      <c r="E247" s="121"/>
    </row>
    <row r="248" customFormat="false" ht="14.5" hidden="false" customHeight="false" outlineLevel="0" collapsed="false">
      <c r="A248" s="124" t="n">
        <v>3914.44692619401</v>
      </c>
      <c r="B248" s="124"/>
      <c r="D248" s="124"/>
      <c r="E248" s="121"/>
    </row>
    <row r="249" customFormat="false" ht="14.5" hidden="false" customHeight="false" outlineLevel="0" collapsed="false">
      <c r="A249" s="124" t="n">
        <v>-2493.24356152894</v>
      </c>
      <c r="B249" s="124"/>
      <c r="D249" s="124"/>
      <c r="E249" s="121"/>
    </row>
    <row r="250" customFormat="false" ht="14.5" hidden="false" customHeight="false" outlineLevel="0" collapsed="false">
      <c r="A250" s="124" t="n">
        <v>-1157.25337628516</v>
      </c>
      <c r="D250" s="124"/>
      <c r="E250" s="121"/>
    </row>
    <row r="251" customFormat="false" ht="14.5" hidden="false" customHeight="false" outlineLevel="0" collapsed="false">
      <c r="A251" s="124" t="n">
        <v>3655.50448392141</v>
      </c>
    </row>
    <row r="252" customFormat="false" ht="14.5" hidden="false" customHeight="false" outlineLevel="0" collapsed="false">
      <c r="A252" s="124" t="n">
        <v>10209.0239210843</v>
      </c>
    </row>
    <row r="253" customFormat="false" ht="14.5" hidden="false" customHeight="false" outlineLevel="0" collapsed="false">
      <c r="A253" s="124" t="n">
        <v>699.937700272264</v>
      </c>
    </row>
    <row r="254" customFormat="false" ht="14.5" hidden="false" customHeight="false" outlineLevel="0" collapsed="false">
      <c r="A254" s="124" t="n">
        <v>15793.0950222736</v>
      </c>
    </row>
    <row r="255" customFormat="false" ht="14.5" hidden="false" customHeight="false" outlineLevel="0" collapsed="false">
      <c r="A255" s="124" t="n">
        <v>2008.4865990629</v>
      </c>
    </row>
    <row r="256" customFormat="false" ht="14.5" hidden="false" customHeight="false" outlineLevel="0" collapsed="false">
      <c r="A256" s="124" t="n">
        <v>4664.1277893921</v>
      </c>
    </row>
    <row r="257" customFormat="false" ht="14.5" hidden="false" customHeight="false" outlineLevel="0" collapsed="false">
      <c r="A257" s="124" t="n">
        <v>4077.65846246079</v>
      </c>
    </row>
    <row r="258" customFormat="false" ht="14.5" hidden="false" customHeight="false" outlineLevel="0" collapsed="false">
      <c r="A258" s="124" t="n">
        <v>6426.82622600357</v>
      </c>
    </row>
    <row r="259" customFormat="false" ht="14.5" hidden="false" customHeight="false" outlineLevel="0" collapsed="false">
      <c r="A259" s="124" t="n">
        <v>750.060161736369</v>
      </c>
    </row>
    <row r="260" customFormat="false" ht="14.5" hidden="false" customHeight="false" outlineLevel="0" collapsed="false">
      <c r="A260" s="124" t="n">
        <v>3897.90240306868</v>
      </c>
    </row>
    <row r="261" customFormat="false" ht="14.5" hidden="false" customHeight="false" outlineLevel="0" collapsed="false">
      <c r="A261" s="124" t="n">
        <v>5995.70172252902</v>
      </c>
    </row>
    <row r="262" customFormat="false" ht="14.5" hidden="false" customHeight="false" outlineLevel="0" collapsed="false">
      <c r="A262" s="124" t="n">
        <v>16923.8925145714</v>
      </c>
    </row>
    <row r="263" customFormat="false" ht="14.5" hidden="false" customHeight="false" outlineLevel="0" collapsed="false">
      <c r="A263" s="124" t="n">
        <v>2853.77201679097</v>
      </c>
    </row>
    <row r="264" customFormat="false" ht="14.5" hidden="false" customHeight="false" outlineLevel="0" collapsed="false">
      <c r="A264" s="124" t="n">
        <v>4766.36222549434</v>
      </c>
    </row>
    <row r="265" customFormat="false" ht="14.5" hidden="false" customHeight="false" outlineLevel="0" collapsed="false">
      <c r="A265" s="124" t="n">
        <v>5909.41473488619</v>
      </c>
    </row>
    <row r="266" customFormat="false" ht="14.5" hidden="false" customHeight="false" outlineLevel="0" collapsed="false">
      <c r="A266" s="124" t="n">
        <v>3295.62245949598</v>
      </c>
    </row>
    <row r="267" customFormat="false" ht="14.5" hidden="false" customHeight="false" outlineLevel="0" collapsed="false">
      <c r="A267" s="124" t="n">
        <v>-145.018602700379</v>
      </c>
    </row>
    <row r="268" customFormat="false" ht="14.5" hidden="false" customHeight="false" outlineLevel="0" collapsed="false">
      <c r="A268" s="124" t="n">
        <v>-3670.8622185449</v>
      </c>
    </row>
    <row r="269" customFormat="false" ht="14.5" hidden="false" customHeight="false" outlineLevel="0" collapsed="false">
      <c r="A269" s="124" t="n">
        <v>9253.16896516522</v>
      </c>
    </row>
    <row r="270" customFormat="false" ht="14.5" hidden="false" customHeight="false" outlineLevel="0" collapsed="false">
      <c r="A270" s="124" t="n">
        <v>-9463.04173809714</v>
      </c>
    </row>
    <row r="271" customFormat="false" ht="14.5" hidden="false" customHeight="false" outlineLevel="0" collapsed="false">
      <c r="A271" s="124" t="n">
        <v>4595.10235977692</v>
      </c>
    </row>
    <row r="272" customFormat="false" ht="14.5" hidden="false" customHeight="false" outlineLevel="0" collapsed="false">
      <c r="A272" s="124" t="n">
        <v>4070.62093758469</v>
      </c>
    </row>
    <row r="273" customFormat="false" ht="14.5" hidden="false" customHeight="false" outlineLevel="0" collapsed="false">
      <c r="A273" s="124" t="n">
        <v>5248.470763749</v>
      </c>
    </row>
    <row r="274" customFormat="false" ht="14.5" hidden="false" customHeight="false" outlineLevel="0" collapsed="false">
      <c r="A274" s="124" t="n">
        <v>8336.40107680539</v>
      </c>
    </row>
    <row r="275" customFormat="false" ht="14.5" hidden="false" customHeight="false" outlineLevel="0" collapsed="false">
      <c r="A275" s="124" t="n">
        <v>-4763.88885504503</v>
      </c>
    </row>
    <row r="276" customFormat="false" ht="14.5" hidden="false" customHeight="false" outlineLevel="0" collapsed="false">
      <c r="A276" s="124" t="n">
        <v>4928.4116783895</v>
      </c>
    </row>
    <row r="277" customFormat="false" ht="14.5" hidden="false" customHeight="false" outlineLevel="0" collapsed="false">
      <c r="A277" s="124" t="n">
        <v>6435.14919144566</v>
      </c>
    </row>
    <row r="278" customFormat="false" ht="14.5" hidden="false" customHeight="false" outlineLevel="0" collapsed="false">
      <c r="A278" s="124" t="n">
        <v>-5293.16300105351</v>
      </c>
    </row>
    <row r="279" customFormat="false" ht="14.5" hidden="false" customHeight="false" outlineLevel="0" collapsed="false">
      <c r="A279" s="124" t="n">
        <v>5297.70512757043</v>
      </c>
    </row>
    <row r="280" customFormat="false" ht="14.5" hidden="false" customHeight="false" outlineLevel="0" collapsed="false">
      <c r="A280" s="124" t="n">
        <v>-3700.85077090074</v>
      </c>
    </row>
    <row r="281" customFormat="false" ht="14.5" hidden="false" customHeight="false" outlineLevel="0" collapsed="false">
      <c r="A281" s="124" t="n">
        <v>-6014.42165849462</v>
      </c>
    </row>
    <row r="282" customFormat="false" ht="14.5" hidden="false" customHeight="false" outlineLevel="0" collapsed="false">
      <c r="A282" s="124" t="n">
        <v>-1265.29692873567</v>
      </c>
    </row>
    <row r="283" customFormat="false" ht="14.5" hidden="false" customHeight="false" outlineLevel="0" collapsed="false">
      <c r="A283" s="124" t="n">
        <v>3408.23539872581</v>
      </c>
    </row>
    <row r="284" customFormat="false" ht="14.5" hidden="false" customHeight="false" outlineLevel="0" collapsed="false">
      <c r="A284" s="124" t="n">
        <v>-910.818152767849</v>
      </c>
    </row>
    <row r="285" customFormat="false" ht="14.5" hidden="false" customHeight="false" outlineLevel="0" collapsed="false">
      <c r="A285" s="124" t="n">
        <v>2669.29807673961</v>
      </c>
    </row>
    <row r="286" customFormat="false" ht="14.5" hidden="false" customHeight="false" outlineLevel="0" collapsed="false">
      <c r="A286" s="124" t="n">
        <v>7383.31588723436</v>
      </c>
    </row>
    <row r="287" customFormat="false" ht="14.5" hidden="false" customHeight="false" outlineLevel="0" collapsed="false">
      <c r="A287" s="124" t="n">
        <v>10810.5380711366</v>
      </c>
    </row>
    <row r="288" customFormat="false" ht="14.5" hidden="false" customHeight="false" outlineLevel="0" collapsed="false">
      <c r="A288" s="124" t="n">
        <v>452.648592583986</v>
      </c>
    </row>
    <row r="289" customFormat="false" ht="14.5" hidden="false" customHeight="false" outlineLevel="0" collapsed="false">
      <c r="A289" s="124" t="n">
        <v>12013.0766496733</v>
      </c>
    </row>
    <row r="290" customFormat="false" ht="14.5" hidden="false" customHeight="false" outlineLevel="0" collapsed="false">
      <c r="A290" s="124" t="n">
        <v>1208.26874102807</v>
      </c>
    </row>
    <row r="291" customFormat="false" ht="14.5" hidden="false" customHeight="false" outlineLevel="0" collapsed="false">
      <c r="A291" s="124" t="n">
        <v>5433.0463162179</v>
      </c>
    </row>
    <row r="292" customFormat="false" ht="14.5" hidden="false" customHeight="false" outlineLevel="0" collapsed="false">
      <c r="A292" s="124" t="n">
        <v>-779.324305019801</v>
      </c>
    </row>
    <row r="293" customFormat="false" ht="14.5" hidden="false" customHeight="false" outlineLevel="0" collapsed="false">
      <c r="A293" s="124" t="n">
        <v>7.51011889662186</v>
      </c>
    </row>
    <row r="294" customFormat="false" ht="14.5" hidden="false" customHeight="false" outlineLevel="0" collapsed="false">
      <c r="A294" s="124" t="n">
        <v>5143.43200773259</v>
      </c>
    </row>
    <row r="295" customFormat="false" ht="14.5" hidden="false" customHeight="false" outlineLevel="0" collapsed="false">
      <c r="A295" s="124" t="n">
        <v>5415.91666175829</v>
      </c>
    </row>
    <row r="296" customFormat="false" ht="14.5" hidden="false" customHeight="false" outlineLevel="0" collapsed="false">
      <c r="A296" s="124" t="n">
        <v>1103.60238635043</v>
      </c>
    </row>
    <row r="297" customFormat="false" ht="14.5" hidden="false" customHeight="false" outlineLevel="0" collapsed="false">
      <c r="A297" s="124" t="n">
        <v>6120.11905014431</v>
      </c>
    </row>
    <row r="298" customFormat="false" ht="14.5" hidden="false" customHeight="false" outlineLevel="0" collapsed="false">
      <c r="A298" s="124" t="n">
        <v>4810.78947168543</v>
      </c>
    </row>
    <row r="299" customFormat="false" ht="14.5" hidden="false" customHeight="false" outlineLevel="0" collapsed="false">
      <c r="A299" s="124" t="n">
        <v>3729.1008911571</v>
      </c>
    </row>
    <row r="300" customFormat="false" ht="14.5" hidden="false" customHeight="false" outlineLevel="0" collapsed="false">
      <c r="A300" s="124" t="n">
        <v>859.003811402213</v>
      </c>
    </row>
    <row r="301" customFormat="false" ht="14.5" hidden="false" customHeight="false" outlineLevel="0" collapsed="false">
      <c r="A301" s="124" t="n">
        <v>-621.403360155472</v>
      </c>
    </row>
    <row r="302" customFormat="false" ht="14.5" hidden="false" customHeight="false" outlineLevel="0" collapsed="false">
      <c r="A302" s="124" t="n">
        <v>-543.818345445731</v>
      </c>
    </row>
    <row r="303" customFormat="false" ht="14.5" hidden="false" customHeight="false" outlineLevel="0" collapsed="false">
      <c r="A303" s="124" t="n">
        <v>5859.18049749124</v>
      </c>
    </row>
    <row r="304" customFormat="false" ht="14.5" hidden="false" customHeight="false" outlineLevel="0" collapsed="false">
      <c r="A304" s="124" t="n">
        <v>9959.359508808</v>
      </c>
    </row>
    <row r="305" customFormat="false" ht="14.5" hidden="false" customHeight="false" outlineLevel="0" collapsed="false">
      <c r="A305" s="124" t="n">
        <v>1878.28069376133</v>
      </c>
    </row>
    <row r="306" customFormat="false" ht="14.5" hidden="false" customHeight="false" outlineLevel="0" collapsed="false">
      <c r="A306" s="124" t="n">
        <v>4930.08759701018</v>
      </c>
    </row>
    <row r="307" customFormat="false" ht="14.5" hidden="false" customHeight="false" outlineLevel="0" collapsed="false">
      <c r="A307" s="124" t="n">
        <v>13345.2103425631</v>
      </c>
    </row>
    <row r="308" customFormat="false" ht="14.5" hidden="false" customHeight="false" outlineLevel="0" collapsed="false">
      <c r="A308" s="124" t="n">
        <v>3243.08147914872</v>
      </c>
    </row>
    <row r="309" customFormat="false" ht="14.5" hidden="false" customHeight="false" outlineLevel="0" collapsed="false">
      <c r="A309" s="124" t="n">
        <v>1352.95636925023</v>
      </c>
    </row>
    <row r="310" customFormat="false" ht="14.5" hidden="false" customHeight="false" outlineLevel="0" collapsed="false">
      <c r="A310" s="124" t="n">
        <v>7098.4111817973</v>
      </c>
    </row>
    <row r="311" customFormat="false" ht="14.5" hidden="false" customHeight="false" outlineLevel="0" collapsed="false">
      <c r="A311" s="124" t="n">
        <v>614.373211211167</v>
      </c>
    </row>
    <row r="312" customFormat="false" ht="14.5" hidden="false" customHeight="false" outlineLevel="0" collapsed="false">
      <c r="A312" s="124" t="n">
        <v>12452.5587263348</v>
      </c>
    </row>
    <row r="313" customFormat="false" ht="14.5" hidden="false" customHeight="false" outlineLevel="0" collapsed="false">
      <c r="A313" s="124" t="n">
        <v>12025.2776451083</v>
      </c>
    </row>
    <row r="314" customFormat="false" ht="14.5" hidden="false" customHeight="false" outlineLevel="0" collapsed="false">
      <c r="A314" s="124" t="n">
        <v>-1881.63428814822</v>
      </c>
    </row>
    <row r="315" customFormat="false" ht="14.5" hidden="false" customHeight="false" outlineLevel="0" collapsed="false">
      <c r="A315" s="124" t="n">
        <v>3998.27231576657</v>
      </c>
    </row>
    <row r="316" customFormat="false" ht="14.5" hidden="false" customHeight="false" outlineLevel="0" collapsed="false">
      <c r="A316" s="124" t="n">
        <v>4996.12495128793</v>
      </c>
    </row>
    <row r="317" customFormat="false" ht="14.5" hidden="false" customHeight="false" outlineLevel="0" collapsed="false">
      <c r="A317" s="124" t="n">
        <v>12561.0255231329</v>
      </c>
    </row>
    <row r="318" customFormat="false" ht="14.5" hidden="false" customHeight="false" outlineLevel="0" collapsed="false">
      <c r="A318" s="124" t="n">
        <v>902.12608716867</v>
      </c>
    </row>
    <row r="319" customFormat="false" ht="14.5" hidden="false" customHeight="false" outlineLevel="0" collapsed="false">
      <c r="A319" s="124" t="n">
        <v>-3319.05877632182</v>
      </c>
    </row>
    <row r="320" customFormat="false" ht="14.5" hidden="false" customHeight="false" outlineLevel="0" collapsed="false">
      <c r="A320" s="124" t="n">
        <v>7767.14053479589</v>
      </c>
    </row>
    <row r="321" customFormat="false" ht="14.5" hidden="false" customHeight="false" outlineLevel="0" collapsed="false">
      <c r="A321" s="124" t="n">
        <v>-11419.5593102389</v>
      </c>
    </row>
    <row r="322" customFormat="false" ht="14.5" hidden="false" customHeight="false" outlineLevel="0" collapsed="false">
      <c r="A322" s="124" t="n">
        <v>8825.37566639846</v>
      </c>
    </row>
    <row r="323" customFormat="false" ht="14.5" hidden="false" customHeight="false" outlineLevel="0" collapsed="false">
      <c r="A323" s="124" t="n">
        <v>12169.9118363314</v>
      </c>
    </row>
    <row r="324" customFormat="false" ht="14.5" hidden="false" customHeight="false" outlineLevel="0" collapsed="false">
      <c r="A324" s="124" t="n">
        <v>7315.89026358416</v>
      </c>
    </row>
    <row r="325" customFormat="false" ht="14.5" hidden="false" customHeight="false" outlineLevel="0" collapsed="false">
      <c r="A325" s="124" t="n">
        <v>7552.74602160458</v>
      </c>
    </row>
    <row r="326" customFormat="false" ht="14.5" hidden="false" customHeight="false" outlineLevel="0" collapsed="false">
      <c r="A326" s="124" t="n">
        <v>1121.38958469279</v>
      </c>
    </row>
    <row r="327" customFormat="false" ht="14.5" hidden="false" customHeight="false" outlineLevel="0" collapsed="false">
      <c r="A327" s="124" t="n">
        <v>11307.5677252301</v>
      </c>
    </row>
    <row r="328" customFormat="false" ht="14.5" hidden="false" customHeight="false" outlineLevel="0" collapsed="false">
      <c r="A328" s="124" t="n">
        <v>12581.9745130593</v>
      </c>
    </row>
    <row r="329" customFormat="false" ht="14.5" hidden="false" customHeight="false" outlineLevel="0" collapsed="false">
      <c r="A329" s="124" t="n">
        <v>-1726.6231280091</v>
      </c>
    </row>
    <row r="330" customFormat="false" ht="14.5" hidden="false" customHeight="false" outlineLevel="0" collapsed="false">
      <c r="A330" s="124" t="n">
        <v>11932.8086843144</v>
      </c>
    </row>
    <row r="331" customFormat="false" ht="14.5" hidden="false" customHeight="false" outlineLevel="0" collapsed="false">
      <c r="A331" s="124" t="n">
        <v>934.607064855075</v>
      </c>
    </row>
    <row r="332" customFormat="false" ht="14.5" hidden="false" customHeight="false" outlineLevel="0" collapsed="false">
      <c r="A332" s="124" t="n">
        <v>2630.66206497901</v>
      </c>
    </row>
    <row r="333" customFormat="false" ht="14.5" hidden="false" customHeight="false" outlineLevel="0" collapsed="false">
      <c r="A333" s="124" t="n">
        <v>2395.43125569886</v>
      </c>
    </row>
    <row r="334" customFormat="false" ht="14.5" hidden="false" customHeight="false" outlineLevel="0" collapsed="false">
      <c r="A334" s="124" t="n">
        <v>1563.25217100908</v>
      </c>
    </row>
    <row r="335" customFormat="false" ht="14.5" hidden="false" customHeight="false" outlineLevel="0" collapsed="false">
      <c r="A335" s="124" t="n">
        <v>6761.64335841415</v>
      </c>
    </row>
    <row r="336" customFormat="false" ht="14.5" hidden="false" customHeight="false" outlineLevel="0" collapsed="false">
      <c r="A336" s="124" t="n">
        <v>4143.3312404102</v>
      </c>
    </row>
    <row r="337" customFormat="false" ht="14.5" hidden="false" customHeight="false" outlineLevel="0" collapsed="false">
      <c r="A337" s="124" t="n">
        <v>8349.52987472489</v>
      </c>
    </row>
    <row r="338" customFormat="false" ht="14.5" hidden="false" customHeight="false" outlineLevel="0" collapsed="false">
      <c r="A338" s="124" t="n">
        <v>7549.22632476</v>
      </c>
    </row>
    <row r="339" customFormat="false" ht="14.5" hidden="false" customHeight="false" outlineLevel="0" collapsed="false">
      <c r="A339" s="124" t="n">
        <v>1353.69276493806</v>
      </c>
    </row>
    <row r="340" customFormat="false" ht="14.5" hidden="false" customHeight="false" outlineLevel="0" collapsed="false">
      <c r="A340" s="124" t="n">
        <v>6761.9482691015</v>
      </c>
    </row>
    <row r="341" customFormat="false" ht="14.5" hidden="false" customHeight="false" outlineLevel="0" collapsed="false">
      <c r="A341" s="124" t="n">
        <v>-6585.1635292965</v>
      </c>
    </row>
    <row r="342" customFormat="false" ht="14.5" hidden="false" customHeight="false" outlineLevel="0" collapsed="false">
      <c r="A342" s="124" t="n">
        <v>2077.32317839095</v>
      </c>
    </row>
    <row r="343" customFormat="false" ht="14.5" hidden="false" customHeight="false" outlineLevel="0" collapsed="false">
      <c r="A343" s="124" t="n">
        <v>10375.7545229756</v>
      </c>
    </row>
    <row r="344" customFormat="false" ht="14.5" hidden="false" customHeight="false" outlineLevel="0" collapsed="false">
      <c r="A344" s="124" t="n">
        <v>14068.1383652716</v>
      </c>
    </row>
    <row r="345" customFormat="false" ht="14.5" hidden="false" customHeight="false" outlineLevel="0" collapsed="false">
      <c r="A345" s="124" t="n">
        <v>-366.169141496382</v>
      </c>
    </row>
    <row r="346" customFormat="false" ht="14.5" hidden="false" customHeight="false" outlineLevel="0" collapsed="false">
      <c r="A346" s="124" t="n">
        <v>12930.1676352255</v>
      </c>
    </row>
    <row r="347" customFormat="false" ht="14.5" hidden="false" customHeight="false" outlineLevel="0" collapsed="false">
      <c r="A347" s="124" t="n">
        <v>-277.3763820963</v>
      </c>
    </row>
    <row r="348" customFormat="false" ht="14.5" hidden="false" customHeight="false" outlineLevel="0" collapsed="false">
      <c r="A348" s="124" t="n">
        <v>-3247.668780858</v>
      </c>
    </row>
    <row r="349" customFormat="false" ht="14.5" hidden="false" customHeight="false" outlineLevel="0" collapsed="false">
      <c r="A349" s="124" t="n">
        <v>9316.53428090897</v>
      </c>
    </row>
    <row r="350" customFormat="false" ht="14.5" hidden="false" customHeight="false" outlineLevel="0" collapsed="false">
      <c r="A350" s="124" t="n">
        <v>8392.16309527441</v>
      </c>
    </row>
    <row r="351" customFormat="false" ht="14.5" hidden="false" customHeight="false" outlineLevel="0" collapsed="false">
      <c r="A351" s="124" t="n">
        <v>5721.96171164081</v>
      </c>
    </row>
    <row r="352" customFormat="false" ht="14.5" hidden="false" customHeight="false" outlineLevel="0" collapsed="false">
      <c r="A352" s="124" t="n">
        <v>2636.0222285596</v>
      </c>
    </row>
    <row r="353" customFormat="false" ht="14.5" hidden="false" customHeight="false" outlineLevel="0" collapsed="false">
      <c r="A353" s="124" t="n">
        <v>2079.5254597087</v>
      </c>
    </row>
    <row r="354" customFormat="false" ht="14.5" hidden="false" customHeight="false" outlineLevel="0" collapsed="false">
      <c r="A354" s="124" t="n">
        <v>-1165.05156505207</v>
      </c>
    </row>
    <row r="355" customFormat="false" ht="14.5" hidden="false" customHeight="false" outlineLevel="0" collapsed="false">
      <c r="A355" s="124" t="n">
        <v>12432.4644239468</v>
      </c>
    </row>
    <row r="356" customFormat="false" ht="14.5" hidden="false" customHeight="false" outlineLevel="0" collapsed="false">
      <c r="A356" s="124" t="n">
        <v>1951.51510200049</v>
      </c>
    </row>
    <row r="357" customFormat="false" ht="14.5" hidden="false" customHeight="false" outlineLevel="0" collapsed="false">
      <c r="A357" s="124" t="n">
        <v>-6554.64980084942</v>
      </c>
    </row>
    <row r="358" customFormat="false" ht="14.5" hidden="false" customHeight="false" outlineLevel="0" collapsed="false">
      <c r="A358" s="124" t="n">
        <v>-6.81192261613705</v>
      </c>
    </row>
    <row r="359" customFormat="false" ht="14.5" hidden="false" customHeight="false" outlineLevel="0" collapsed="false">
      <c r="A359" s="124" t="n">
        <v>6816.91863843729</v>
      </c>
    </row>
    <row r="360" customFormat="false" ht="14.5" hidden="false" customHeight="false" outlineLevel="0" collapsed="false">
      <c r="A360" s="124" t="n">
        <v>116.397162726804</v>
      </c>
    </row>
    <row r="361" customFormat="false" ht="14.5" hidden="false" customHeight="false" outlineLevel="0" collapsed="false">
      <c r="A361" s="124" t="n">
        <v>-11198.9117566548</v>
      </c>
    </row>
    <row r="362" customFormat="false" ht="14.5" hidden="false" customHeight="false" outlineLevel="0" collapsed="false">
      <c r="A362" s="124" t="n">
        <v>-155.564304644925</v>
      </c>
    </row>
    <row r="363" customFormat="false" ht="14.5" hidden="false" customHeight="false" outlineLevel="0" collapsed="false">
      <c r="A363" s="124" t="n">
        <v>4737.02852154313</v>
      </c>
    </row>
    <row r="364" customFormat="false" ht="14.5" hidden="false" customHeight="false" outlineLevel="0" collapsed="false">
      <c r="A364" s="124" t="n">
        <v>-7732.62861736384</v>
      </c>
    </row>
    <row r="365" customFormat="false" ht="14.5" hidden="false" customHeight="false" outlineLevel="0" collapsed="false">
      <c r="A365" s="124" t="n">
        <v>6769.48080874254</v>
      </c>
    </row>
    <row r="366" customFormat="false" ht="14.5" hidden="false" customHeight="false" outlineLevel="0" collapsed="false">
      <c r="A366" s="124" t="n">
        <v>5709.89227614859</v>
      </c>
    </row>
    <row r="367" customFormat="false" ht="14.5" hidden="false" customHeight="false" outlineLevel="0" collapsed="false">
      <c r="A367" s="124" t="n">
        <v>-1360.89572172786</v>
      </c>
    </row>
    <row r="368" customFormat="false" ht="14.5" hidden="false" customHeight="false" outlineLevel="0" collapsed="false">
      <c r="A368" s="124" t="n">
        <v>8725.56113270169</v>
      </c>
    </row>
    <row r="369" customFormat="false" ht="14.5" hidden="false" customHeight="false" outlineLevel="0" collapsed="false">
      <c r="A369" s="124" t="n">
        <v>-2150.67937316515</v>
      </c>
    </row>
    <row r="370" customFormat="false" ht="14.5" hidden="false" customHeight="false" outlineLevel="0" collapsed="false">
      <c r="A370" s="124" t="n">
        <v>9754.22661168591</v>
      </c>
    </row>
    <row r="371" customFormat="false" ht="14.5" hidden="false" customHeight="false" outlineLevel="0" collapsed="false">
      <c r="A371" s="124" t="n">
        <v>6262.54578470174</v>
      </c>
    </row>
    <row r="372" customFormat="false" ht="14.5" hidden="false" customHeight="false" outlineLevel="0" collapsed="false">
      <c r="A372" s="124" t="n">
        <v>11500.0069597569</v>
      </c>
    </row>
    <row r="373" customFormat="false" ht="14.5" hidden="false" customHeight="false" outlineLevel="0" collapsed="false">
      <c r="A373" s="124" t="n">
        <v>-222.68373903537</v>
      </c>
    </row>
    <row r="374" customFormat="false" ht="14.5" hidden="false" customHeight="false" outlineLevel="0" collapsed="false">
      <c r="A374" s="124" t="n">
        <v>7547.36920723122</v>
      </c>
    </row>
    <row r="375" customFormat="false" ht="14.5" hidden="false" customHeight="false" outlineLevel="0" collapsed="false">
      <c r="A375" s="124" t="n">
        <v>10439.9684139723</v>
      </c>
    </row>
    <row r="376" customFormat="false" ht="14.5" hidden="false" customHeight="false" outlineLevel="0" collapsed="false">
      <c r="A376" s="124" t="n">
        <v>1832.29688843664</v>
      </c>
    </row>
    <row r="377" customFormat="false" ht="14.5" hidden="false" customHeight="false" outlineLevel="0" collapsed="false">
      <c r="A377" s="124" t="n">
        <v>5749.82668197431</v>
      </c>
    </row>
    <row r="378" customFormat="false" ht="14.5" hidden="false" customHeight="false" outlineLevel="0" collapsed="false">
      <c r="A378" s="124" t="n">
        <v>8699.80205510687</v>
      </c>
    </row>
    <row r="379" customFormat="false" ht="14.5" hidden="false" customHeight="false" outlineLevel="0" collapsed="false">
      <c r="A379" s="124" t="n">
        <v>0.162184022478868</v>
      </c>
    </row>
    <row r="380" customFormat="false" ht="14.5" hidden="false" customHeight="false" outlineLevel="0" collapsed="false">
      <c r="A380" s="124" t="n">
        <v>10321.3876015458</v>
      </c>
    </row>
    <row r="381" customFormat="false" ht="14.5" hidden="false" customHeight="false" outlineLevel="0" collapsed="false">
      <c r="A381" s="124" t="n">
        <v>7442.03952114113</v>
      </c>
    </row>
    <row r="382" customFormat="false" ht="14.5" hidden="false" customHeight="false" outlineLevel="0" collapsed="false">
      <c r="A382" s="124" t="n">
        <v>-1114.69369219308</v>
      </c>
    </row>
    <row r="383" customFormat="false" ht="14.5" hidden="false" customHeight="false" outlineLevel="0" collapsed="false">
      <c r="A383" s="124" t="n">
        <v>4143.9294331721</v>
      </c>
    </row>
    <row r="384" customFormat="false" ht="14.5" hidden="false" customHeight="false" outlineLevel="0" collapsed="false">
      <c r="A384" s="124" t="n">
        <v>6032.98359739848</v>
      </c>
    </row>
    <row r="385" customFormat="false" ht="14.5" hidden="false" customHeight="false" outlineLevel="0" collapsed="false">
      <c r="A385" s="124" t="n">
        <v>-4711.25246083966</v>
      </c>
    </row>
    <row r="386" customFormat="false" ht="14.5" hidden="false" customHeight="false" outlineLevel="0" collapsed="false">
      <c r="A386" s="124" t="n">
        <v>-197.757394385242</v>
      </c>
    </row>
    <row r="387" customFormat="false" ht="14.5" hidden="false" customHeight="false" outlineLevel="0" collapsed="false">
      <c r="A387" s="124" t="n">
        <v>31.74478110563</v>
      </c>
    </row>
    <row r="388" customFormat="false" ht="14.5" hidden="false" customHeight="false" outlineLevel="0" collapsed="false">
      <c r="A388" s="124" t="n">
        <v>4843.94123410589</v>
      </c>
    </row>
    <row r="389" customFormat="false" ht="14.5" hidden="false" customHeight="false" outlineLevel="0" collapsed="false">
      <c r="A389" s="124" t="n">
        <v>-2691.5475130456</v>
      </c>
    </row>
    <row r="390" customFormat="false" ht="14.5" hidden="false" customHeight="false" outlineLevel="0" collapsed="false">
      <c r="A390" s="124" t="n">
        <v>5853.84391995711</v>
      </c>
    </row>
    <row r="391" customFormat="false" ht="14.5" hidden="false" customHeight="false" outlineLevel="0" collapsed="false">
      <c r="A391" s="124" t="n">
        <v>-331.3532647915</v>
      </c>
    </row>
    <row r="392" customFormat="false" ht="14.5" hidden="false" customHeight="false" outlineLevel="0" collapsed="false">
      <c r="A392" s="124" t="n">
        <v>738.345368522612</v>
      </c>
    </row>
    <row r="393" customFormat="false" ht="14.5" hidden="false" customHeight="false" outlineLevel="0" collapsed="false">
      <c r="A393" s="124" t="n">
        <v>627.259373769019</v>
      </c>
    </row>
    <row r="394" customFormat="false" ht="14.5" hidden="false" customHeight="false" outlineLevel="0" collapsed="false">
      <c r="A394" s="124" t="n">
        <v>4463.11753033949</v>
      </c>
    </row>
    <row r="395" customFormat="false" ht="14.5" hidden="false" customHeight="false" outlineLevel="0" collapsed="false">
      <c r="A395" s="124" t="n">
        <v>7725.91945322862</v>
      </c>
    </row>
    <row r="396" customFormat="false" ht="14.5" hidden="false" customHeight="false" outlineLevel="0" collapsed="false">
      <c r="A396" s="124" t="n">
        <v>9678.76588860779</v>
      </c>
    </row>
    <row r="397" customFormat="false" ht="14.5" hidden="false" customHeight="false" outlineLevel="0" collapsed="false">
      <c r="A397" s="124" t="n">
        <v>6173.37910490192</v>
      </c>
    </row>
    <row r="398" customFormat="false" ht="14.5" hidden="false" customHeight="false" outlineLevel="0" collapsed="false">
      <c r="A398" s="124" t="n">
        <v>5849.34643131761</v>
      </c>
    </row>
    <row r="399" customFormat="false" ht="14.5" hidden="false" customHeight="false" outlineLevel="0" collapsed="false">
      <c r="A399" s="124" t="n">
        <v>942.774796127128</v>
      </c>
    </row>
    <row r="400" customFormat="false" ht="14.5" hidden="false" customHeight="false" outlineLevel="0" collapsed="false">
      <c r="A400" s="124" t="n">
        <v>-2910.29996677569</v>
      </c>
    </row>
    <row r="401" customFormat="false" ht="14.5" hidden="false" customHeight="false" outlineLevel="0" collapsed="false">
      <c r="A401" s="124" t="n">
        <v>10060.0833373346</v>
      </c>
    </row>
    <row r="402" customFormat="false" ht="14.5" hidden="false" customHeight="false" outlineLevel="0" collapsed="false">
      <c r="A402" s="124" t="n">
        <v>9567.86610974883</v>
      </c>
    </row>
    <row r="403" customFormat="false" ht="14.5" hidden="false" customHeight="false" outlineLevel="0" collapsed="false">
      <c r="A403" s="124" t="n">
        <v>-1089.16829158706</v>
      </c>
    </row>
    <row r="404" customFormat="false" ht="14.5" hidden="false" customHeight="false" outlineLevel="0" collapsed="false">
      <c r="A404" s="124" t="n">
        <v>-3051.69770658662</v>
      </c>
    </row>
    <row r="405" customFormat="false" ht="14.5" hidden="false" customHeight="false" outlineLevel="0" collapsed="false">
      <c r="A405" s="124" t="n">
        <v>14729.6421863087</v>
      </c>
    </row>
    <row r="406" customFormat="false" ht="14.5" hidden="false" customHeight="false" outlineLevel="0" collapsed="false">
      <c r="A406" s="124" t="n">
        <v>7321.87449017375</v>
      </c>
    </row>
    <row r="407" customFormat="false" ht="14.5" hidden="false" customHeight="false" outlineLevel="0" collapsed="false">
      <c r="A407" s="124" t="n">
        <v>4287.06504740018</v>
      </c>
    </row>
    <row r="408" customFormat="false" ht="14.5" hidden="false" customHeight="false" outlineLevel="0" collapsed="false">
      <c r="A408" s="124" t="n">
        <v>2523.68322692399</v>
      </c>
    </row>
    <row r="409" customFormat="false" ht="14.5" hidden="false" customHeight="false" outlineLevel="0" collapsed="false">
      <c r="A409" s="124" t="n">
        <v>2829.07649221214</v>
      </c>
    </row>
    <row r="410" customFormat="false" ht="14.5" hidden="false" customHeight="false" outlineLevel="0" collapsed="false">
      <c r="A410" s="124" t="n">
        <v>5910.98310065057</v>
      </c>
    </row>
    <row r="411" customFormat="false" ht="14.5" hidden="false" customHeight="false" outlineLevel="0" collapsed="false">
      <c r="A411" s="124" t="n">
        <v>-3091.96741296226</v>
      </c>
    </row>
    <row r="412" customFormat="false" ht="14.5" hidden="false" customHeight="false" outlineLevel="0" collapsed="false">
      <c r="A412" s="124" t="n">
        <v>15.8340572290572</v>
      </c>
    </row>
    <row r="413" customFormat="false" ht="14.5" hidden="false" customHeight="false" outlineLevel="0" collapsed="false">
      <c r="A413" s="124" t="n">
        <v>6293.34617039594</v>
      </c>
    </row>
    <row r="414" customFormat="false" ht="14.5" hidden="false" customHeight="false" outlineLevel="0" collapsed="false">
      <c r="A414" s="124" t="n">
        <v>3718.31731092243</v>
      </c>
    </row>
    <row r="415" customFormat="false" ht="14.5" hidden="false" customHeight="false" outlineLevel="0" collapsed="false">
      <c r="A415" s="124" t="n">
        <v>12304.0305583358</v>
      </c>
    </row>
    <row r="416" customFormat="false" ht="14.5" hidden="false" customHeight="false" outlineLevel="0" collapsed="false">
      <c r="A416" s="124" t="n">
        <v>12894.9537365871</v>
      </c>
    </row>
    <row r="417" customFormat="false" ht="14.5" hidden="false" customHeight="false" outlineLevel="0" collapsed="false">
      <c r="A417" s="124" t="n">
        <v>-3239.38458774698</v>
      </c>
    </row>
    <row r="418" customFormat="false" ht="14.5" hidden="false" customHeight="false" outlineLevel="0" collapsed="false">
      <c r="A418" s="124" t="n">
        <v>10768.5047652159</v>
      </c>
    </row>
    <row r="419" customFormat="false" ht="14.5" hidden="false" customHeight="false" outlineLevel="0" collapsed="false">
      <c r="A419" s="124" t="n">
        <v>266.920426713344</v>
      </c>
    </row>
    <row r="420" customFormat="false" ht="14.5" hidden="false" customHeight="false" outlineLevel="0" collapsed="false">
      <c r="A420" s="124" t="n">
        <v>47.4866166527681</v>
      </c>
    </row>
    <row r="421" customFormat="false" ht="14.5" hidden="false" customHeight="false" outlineLevel="0" collapsed="false">
      <c r="A421" s="124" t="n">
        <v>6364.71406476673</v>
      </c>
    </row>
    <row r="422" customFormat="false" ht="14.5" hidden="false" customHeight="false" outlineLevel="0" collapsed="false">
      <c r="A422" s="124" t="n">
        <v>4178.14211860195</v>
      </c>
    </row>
    <row r="423" customFormat="false" ht="14.5" hidden="false" customHeight="false" outlineLevel="0" collapsed="false">
      <c r="A423" s="124" t="n">
        <v>2593.44577300039</v>
      </c>
    </row>
    <row r="424" customFormat="false" ht="14.5" hidden="false" customHeight="false" outlineLevel="0" collapsed="false">
      <c r="A424" s="124" t="n">
        <v>9606.33823388956</v>
      </c>
    </row>
    <row r="425" customFormat="false" ht="14.5" hidden="false" customHeight="false" outlineLevel="0" collapsed="false">
      <c r="A425" s="124" t="n">
        <v>3828.54168741967</v>
      </c>
    </row>
    <row r="426" customFormat="false" ht="14.5" hidden="false" customHeight="false" outlineLevel="0" collapsed="false">
      <c r="A426" s="124" t="n">
        <v>684.174579817846</v>
      </c>
    </row>
    <row r="427" customFormat="false" ht="14.5" hidden="false" customHeight="false" outlineLevel="0" collapsed="false">
      <c r="A427" s="124" t="n">
        <v>7056.31383208008</v>
      </c>
    </row>
    <row r="428" customFormat="false" ht="14.5" hidden="false" customHeight="false" outlineLevel="0" collapsed="false">
      <c r="A428" s="124" t="n">
        <v>46.4948011786846</v>
      </c>
    </row>
    <row r="429" customFormat="false" ht="14.5" hidden="false" customHeight="false" outlineLevel="0" collapsed="false">
      <c r="A429" s="124" t="n">
        <v>-407.77158520065</v>
      </c>
    </row>
    <row r="430" customFormat="false" ht="14.5" hidden="false" customHeight="false" outlineLevel="0" collapsed="false">
      <c r="A430" s="124" t="n">
        <v>-1844.36378765753</v>
      </c>
    </row>
    <row r="431" customFormat="false" ht="14.5" hidden="false" customHeight="false" outlineLevel="0" collapsed="false">
      <c r="A431" s="124" t="n">
        <v>3602.54127144557</v>
      </c>
    </row>
    <row r="432" customFormat="false" ht="14.5" hidden="false" customHeight="false" outlineLevel="0" collapsed="false">
      <c r="A432" s="124" t="n">
        <v>-1755.87644239349</v>
      </c>
    </row>
    <row r="433" customFormat="false" ht="14.5" hidden="false" customHeight="false" outlineLevel="0" collapsed="false">
      <c r="A433" s="124" t="n">
        <v>3934.9272215128</v>
      </c>
    </row>
    <row r="434" customFormat="false" ht="14.5" hidden="false" customHeight="false" outlineLevel="0" collapsed="false">
      <c r="A434" s="124" t="n">
        <v>9651.72949524431</v>
      </c>
    </row>
    <row r="435" customFormat="false" ht="14.5" hidden="false" customHeight="false" outlineLevel="0" collapsed="false">
      <c r="A435" s="124" t="n">
        <v>2049.80300466385</v>
      </c>
    </row>
    <row r="436" customFormat="false" ht="14.5" hidden="false" customHeight="false" outlineLevel="0" collapsed="false">
      <c r="A436" s="124" t="n">
        <v>1638.734143332</v>
      </c>
    </row>
    <row r="437" customFormat="false" ht="14.5" hidden="false" customHeight="false" outlineLevel="0" collapsed="false">
      <c r="A437" s="124" t="n">
        <v>-1979.76237343348</v>
      </c>
    </row>
    <row r="438" customFormat="false" ht="14.5" hidden="false" customHeight="false" outlineLevel="0" collapsed="false">
      <c r="A438" s="124" t="n">
        <v>-1786.49412218252</v>
      </c>
    </row>
    <row r="439" customFormat="false" ht="14.5" hidden="false" customHeight="false" outlineLevel="0" collapsed="false">
      <c r="A439" s="124" t="n">
        <v>6617.24456563317</v>
      </c>
    </row>
    <row r="440" customFormat="false" ht="14.5" hidden="false" customHeight="false" outlineLevel="0" collapsed="false">
      <c r="A440" s="124" t="n">
        <v>7316.45302434308</v>
      </c>
    </row>
    <row r="441" customFormat="false" ht="14.5" hidden="false" customHeight="false" outlineLevel="0" collapsed="false">
      <c r="A441" s="124" t="n">
        <v>4719.48568525761</v>
      </c>
    </row>
    <row r="442" customFormat="false" ht="14.5" hidden="false" customHeight="false" outlineLevel="0" collapsed="false">
      <c r="A442" s="124" t="n">
        <v>8661.02027954299</v>
      </c>
    </row>
    <row r="443" customFormat="false" ht="14.5" hidden="false" customHeight="false" outlineLevel="0" collapsed="false">
      <c r="A443" s="124" t="n">
        <v>11823.9730832943</v>
      </c>
    </row>
    <row r="444" customFormat="false" ht="14.5" hidden="false" customHeight="false" outlineLevel="0" collapsed="false">
      <c r="A444" s="124" t="n">
        <v>6243.66950799048</v>
      </c>
    </row>
    <row r="445" customFormat="false" ht="14.5" hidden="false" customHeight="false" outlineLevel="0" collapsed="false">
      <c r="A445" s="124" t="n">
        <v>7245.34616230486</v>
      </c>
    </row>
    <row r="446" customFormat="false" ht="14.5" hidden="false" customHeight="false" outlineLevel="0" collapsed="false">
      <c r="A446" s="124" t="n">
        <v>5241.34211245737</v>
      </c>
    </row>
    <row r="447" customFormat="false" ht="14.5" hidden="false" customHeight="false" outlineLevel="0" collapsed="false">
      <c r="A447" s="124" t="n">
        <v>12966.1791169816</v>
      </c>
    </row>
    <row r="448" customFormat="false" ht="14.5" hidden="false" customHeight="false" outlineLevel="0" collapsed="false">
      <c r="A448" s="124" t="n">
        <v>-1164.7834906391</v>
      </c>
    </row>
    <row r="449" customFormat="false" ht="14.5" hidden="false" customHeight="false" outlineLevel="0" collapsed="false">
      <c r="A449" s="124" t="n">
        <v>4924.06792896998</v>
      </c>
    </row>
    <row r="450" customFormat="false" ht="14.5" hidden="false" customHeight="false" outlineLevel="0" collapsed="false">
      <c r="A450" s="124" t="n">
        <v>-3420.37644563824</v>
      </c>
    </row>
    <row r="451" customFormat="false" ht="14.5" hidden="false" customHeight="false" outlineLevel="0" collapsed="false">
      <c r="A451" s="124" t="n">
        <v>1201.1570314053</v>
      </c>
    </row>
    <row r="452" customFormat="false" ht="14.5" hidden="false" customHeight="false" outlineLevel="0" collapsed="false">
      <c r="A452" s="124" t="n">
        <v>-3159.42006389792</v>
      </c>
    </row>
    <row r="453" customFormat="false" ht="14.5" hidden="false" customHeight="false" outlineLevel="0" collapsed="false">
      <c r="A453" s="124" t="n">
        <v>10847.1659421733</v>
      </c>
    </row>
    <row r="454" customFormat="false" ht="14.5" hidden="false" customHeight="false" outlineLevel="0" collapsed="false">
      <c r="A454" s="124" t="n">
        <v>4290.36895094897</v>
      </c>
    </row>
    <row r="455" customFormat="false" ht="14.5" hidden="false" customHeight="false" outlineLevel="0" collapsed="false">
      <c r="A455" s="124" t="n">
        <v>1634.80394694035</v>
      </c>
    </row>
    <row r="456" customFormat="false" ht="14.5" hidden="false" customHeight="false" outlineLevel="0" collapsed="false">
      <c r="A456" s="124" t="n">
        <v>7299.64973596988</v>
      </c>
    </row>
    <row r="457" customFormat="false" ht="14.5" hidden="false" customHeight="false" outlineLevel="0" collapsed="false">
      <c r="A457" s="124" t="n">
        <v>-9956.44916351341</v>
      </c>
    </row>
    <row r="458" customFormat="false" ht="14.5" hidden="false" customHeight="false" outlineLevel="0" collapsed="false">
      <c r="A458" s="124" t="n">
        <v>-3948.93827785415</v>
      </c>
    </row>
    <row r="459" customFormat="false" ht="14.5" hidden="false" customHeight="false" outlineLevel="0" collapsed="false">
      <c r="A459" s="124" t="n">
        <v>2997.78771605875</v>
      </c>
    </row>
    <row r="460" customFormat="false" ht="14.5" hidden="false" customHeight="false" outlineLevel="0" collapsed="false">
      <c r="A460" s="124" t="n">
        <v>3997.82924442607</v>
      </c>
    </row>
    <row r="461" customFormat="false" ht="14.5" hidden="false" customHeight="false" outlineLevel="0" collapsed="false">
      <c r="A461" s="124" t="n">
        <v>13029.9626897017</v>
      </c>
    </row>
    <row r="462" customFormat="false" ht="14.5" hidden="false" customHeight="false" outlineLevel="0" collapsed="false">
      <c r="A462" s="124" t="n">
        <v>1535.77306003604</v>
      </c>
    </row>
    <row r="463" customFormat="false" ht="14.5" hidden="false" customHeight="false" outlineLevel="0" collapsed="false">
      <c r="A463" s="124" t="n">
        <v>1111.27943611476</v>
      </c>
    </row>
    <row r="464" customFormat="false" ht="14.5" hidden="false" customHeight="false" outlineLevel="0" collapsed="false">
      <c r="A464" s="124" t="n">
        <v>2015.27197381453</v>
      </c>
    </row>
    <row r="465" customFormat="false" ht="14.5" hidden="false" customHeight="false" outlineLevel="0" collapsed="false">
      <c r="A465" s="124" t="n">
        <v>7517.03718067831</v>
      </c>
    </row>
    <row r="466" customFormat="false" ht="14.5" hidden="false" customHeight="false" outlineLevel="0" collapsed="false">
      <c r="A466" s="124" t="n">
        <v>2746.24698589552</v>
      </c>
    </row>
    <row r="467" customFormat="false" ht="14.5" hidden="false" customHeight="false" outlineLevel="0" collapsed="false">
      <c r="A467" s="124" t="n">
        <v>5933.85147736293</v>
      </c>
    </row>
    <row r="468" customFormat="false" ht="14.5" hidden="false" customHeight="false" outlineLevel="0" collapsed="false">
      <c r="A468" s="124" t="n">
        <v>13477.9571194587</v>
      </c>
    </row>
    <row r="469" customFormat="false" ht="14.5" hidden="false" customHeight="false" outlineLevel="0" collapsed="false">
      <c r="A469" s="124" t="n">
        <v>3966.34355310124</v>
      </c>
    </row>
    <row r="470" customFormat="false" ht="14.5" hidden="false" customHeight="false" outlineLevel="0" collapsed="false">
      <c r="A470" s="124" t="n">
        <v>-3133.03741758661</v>
      </c>
    </row>
    <row r="471" customFormat="false" ht="14.5" hidden="false" customHeight="false" outlineLevel="0" collapsed="false">
      <c r="A471" s="124" t="n">
        <v>2478.70662555838</v>
      </c>
    </row>
    <row r="472" customFormat="false" ht="14.5" hidden="false" customHeight="false" outlineLevel="0" collapsed="false">
      <c r="A472" s="124" t="n">
        <v>690.384750578578</v>
      </c>
    </row>
    <row r="473" customFormat="false" ht="14.5" hidden="false" customHeight="false" outlineLevel="0" collapsed="false">
      <c r="A473" s="124" t="n">
        <v>4149.22719694755</v>
      </c>
    </row>
    <row r="474" customFormat="false" ht="14.5" hidden="false" customHeight="false" outlineLevel="0" collapsed="false">
      <c r="A474" s="124" t="n">
        <v>5133.08176021258</v>
      </c>
    </row>
    <row r="475" customFormat="false" ht="14.5" hidden="false" customHeight="false" outlineLevel="0" collapsed="false">
      <c r="A475" s="124" t="n">
        <v>8307.70995489296</v>
      </c>
    </row>
    <row r="476" customFormat="false" ht="14.5" hidden="false" customHeight="false" outlineLevel="0" collapsed="false">
      <c r="A476" s="124" t="n">
        <v>8833.85694270497</v>
      </c>
    </row>
    <row r="477" customFormat="false" ht="14.5" hidden="false" customHeight="false" outlineLevel="0" collapsed="false">
      <c r="A477" s="124" t="n">
        <v>1145.11469503353</v>
      </c>
    </row>
    <row r="478" customFormat="false" ht="14.5" hidden="false" customHeight="false" outlineLevel="0" collapsed="false">
      <c r="A478" s="124" t="n">
        <v>880.658565593089</v>
      </c>
    </row>
    <row r="479" customFormat="false" ht="14.5" hidden="false" customHeight="false" outlineLevel="0" collapsed="false">
      <c r="A479" s="124" t="n">
        <v>-6976.64385818146</v>
      </c>
    </row>
    <row r="480" customFormat="false" ht="14.5" hidden="false" customHeight="false" outlineLevel="0" collapsed="false">
      <c r="A480" s="124" t="n">
        <v>-3332.19696238751</v>
      </c>
    </row>
    <row r="481" customFormat="false" ht="14.5" hidden="false" customHeight="false" outlineLevel="0" collapsed="false">
      <c r="A481" s="124" t="n">
        <v>2028.63613248526</v>
      </c>
    </row>
    <row r="482" customFormat="false" ht="14.5" hidden="false" customHeight="false" outlineLevel="0" collapsed="false">
      <c r="A482" s="124" t="n">
        <v>355.788188362824</v>
      </c>
    </row>
    <row r="483" customFormat="false" ht="14.5" hidden="false" customHeight="false" outlineLevel="0" collapsed="false">
      <c r="A483" s="124" t="n">
        <v>-8381.8715893397</v>
      </c>
    </row>
    <row r="484" customFormat="false" ht="14.5" hidden="false" customHeight="false" outlineLevel="0" collapsed="false">
      <c r="A484" s="124" t="n">
        <v>5905.74639494314</v>
      </c>
    </row>
    <row r="485" customFormat="false" ht="14.5" hidden="false" customHeight="false" outlineLevel="0" collapsed="false">
      <c r="A485" s="124" t="n">
        <v>3338.78817521302</v>
      </c>
    </row>
    <row r="486" customFormat="false" ht="14.5" hidden="false" customHeight="false" outlineLevel="0" collapsed="false">
      <c r="A486" s="124" t="n">
        <v>8804.36172446217</v>
      </c>
    </row>
    <row r="487" customFormat="false" ht="14.5" hidden="false" customHeight="false" outlineLevel="0" collapsed="false">
      <c r="A487" s="124" t="n">
        <v>3755.56868917329</v>
      </c>
    </row>
    <row r="488" customFormat="false" ht="14.5" hidden="false" customHeight="false" outlineLevel="0" collapsed="false">
      <c r="A488" s="124" t="n">
        <v>7874.72272693126</v>
      </c>
    </row>
    <row r="489" customFormat="false" ht="14.5" hidden="false" customHeight="false" outlineLevel="0" collapsed="false">
      <c r="A489" s="124" t="n">
        <v>11915.9963130087</v>
      </c>
    </row>
    <row r="490" customFormat="false" ht="14.5" hidden="false" customHeight="false" outlineLevel="0" collapsed="false">
      <c r="A490" s="124" t="n">
        <v>-15477.4566562437</v>
      </c>
    </row>
    <row r="491" customFormat="false" ht="14.5" hidden="false" customHeight="false" outlineLevel="0" collapsed="false">
      <c r="A491" s="124" t="n">
        <v>7150.69622512114</v>
      </c>
    </row>
    <row r="492" customFormat="false" ht="14.5" hidden="false" customHeight="false" outlineLevel="0" collapsed="false">
      <c r="A492" s="124" t="n">
        <v>-2897.12392477994</v>
      </c>
    </row>
    <row r="493" customFormat="false" ht="14.5" hidden="false" customHeight="false" outlineLevel="0" collapsed="false">
      <c r="A493" s="124" t="n">
        <v>-3403.31974188763</v>
      </c>
    </row>
    <row r="494" customFormat="false" ht="14.5" hidden="false" customHeight="false" outlineLevel="0" collapsed="false">
      <c r="A494" s="124" t="n">
        <v>7463.03269115705</v>
      </c>
    </row>
    <row r="495" customFormat="false" ht="14.5" hidden="false" customHeight="false" outlineLevel="0" collapsed="false">
      <c r="A495" s="124" t="n">
        <v>-8900.96691403281</v>
      </c>
    </row>
    <row r="496" customFormat="false" ht="14.5" hidden="false" customHeight="false" outlineLevel="0" collapsed="false">
      <c r="A496" s="124" t="n">
        <v>8336.03512764085</v>
      </c>
    </row>
    <row r="497" customFormat="false" ht="14.5" hidden="false" customHeight="false" outlineLevel="0" collapsed="false">
      <c r="A497" s="124" t="n">
        <v>-2234.98803441246</v>
      </c>
    </row>
    <row r="498" customFormat="false" ht="14.5" hidden="false" customHeight="false" outlineLevel="0" collapsed="false">
      <c r="A498" s="124" t="n">
        <v>5920.02524574058</v>
      </c>
    </row>
    <row r="499" customFormat="false" ht="14.5" hidden="false" customHeight="false" outlineLevel="0" collapsed="false">
      <c r="A499" s="124" t="n">
        <v>3874.33490886434</v>
      </c>
    </row>
    <row r="500" customFormat="false" ht="14.5" hidden="false" customHeight="false" outlineLevel="0" collapsed="false">
      <c r="A500" s="124" t="n">
        <v>5963.56354654103</v>
      </c>
    </row>
    <row r="501" customFormat="false" ht="14.5" hidden="false" customHeight="false" outlineLevel="0" collapsed="false">
      <c r="A501" s="124" t="n">
        <v>4521.12097114977</v>
      </c>
    </row>
    <row r="502" customFormat="false" ht="14.5" hidden="false" customHeight="false" outlineLevel="0" collapsed="false">
      <c r="A502" s="124" t="n">
        <v>110.471755009878</v>
      </c>
    </row>
    <row r="503" customFormat="false" ht="14.5" hidden="false" customHeight="false" outlineLevel="0" collapsed="false">
      <c r="A503" s="124" t="n">
        <v>2207.27086672448</v>
      </c>
    </row>
    <row r="504" customFormat="false" ht="14.5" hidden="false" customHeight="false" outlineLevel="0" collapsed="false">
      <c r="A504" s="124" t="n">
        <v>4832.77810283466</v>
      </c>
    </row>
    <row r="505" customFormat="false" ht="14.5" hidden="false" customHeight="false" outlineLevel="0" collapsed="false">
      <c r="A505" s="124" t="n">
        <v>8523.23442335345</v>
      </c>
    </row>
    <row r="506" customFormat="false" ht="14.5" hidden="false" customHeight="false" outlineLevel="0" collapsed="false">
      <c r="A506" s="124" t="n">
        <v>3403.20639223235</v>
      </c>
    </row>
    <row r="507" customFormat="false" ht="14.5" hidden="false" customHeight="false" outlineLevel="0" collapsed="false">
      <c r="A507" s="124" t="n">
        <v>10755.3868045244</v>
      </c>
    </row>
    <row r="508" customFormat="false" ht="14.5" hidden="false" customHeight="false" outlineLevel="0" collapsed="false">
      <c r="A508" s="124" t="n">
        <v>9694.46500392774</v>
      </c>
    </row>
    <row r="509" customFormat="false" ht="14.5" hidden="false" customHeight="false" outlineLevel="0" collapsed="false">
      <c r="A509" s="124" t="n">
        <v>10477.7107636379</v>
      </c>
    </row>
    <row r="510" customFormat="false" ht="14.5" hidden="false" customHeight="false" outlineLevel="0" collapsed="false">
      <c r="A510" s="124" t="n">
        <v>-6967.6310112127</v>
      </c>
    </row>
    <row r="511" customFormat="false" ht="14.5" hidden="false" customHeight="false" outlineLevel="0" collapsed="false">
      <c r="A511" s="124" t="n">
        <v>2920.87984630444</v>
      </c>
    </row>
    <row r="512" customFormat="false" ht="14.5" hidden="false" customHeight="false" outlineLevel="0" collapsed="false">
      <c r="A512" s="124" t="n">
        <v>-157.667704558097</v>
      </c>
    </row>
    <row r="513" customFormat="false" ht="14.5" hidden="false" customHeight="false" outlineLevel="0" collapsed="false">
      <c r="A513" s="124" t="n">
        <v>-3479.8541777356</v>
      </c>
    </row>
    <row r="514" customFormat="false" ht="14.5" hidden="false" customHeight="false" outlineLevel="0" collapsed="false">
      <c r="A514" s="124" t="n">
        <v>1779.84575116364</v>
      </c>
    </row>
    <row r="515" customFormat="false" ht="14.5" hidden="false" customHeight="false" outlineLevel="0" collapsed="false">
      <c r="A515" s="124" t="n">
        <v>6800.93370112104</v>
      </c>
    </row>
    <row r="516" customFormat="false" ht="14.5" hidden="false" customHeight="false" outlineLevel="0" collapsed="false">
      <c r="A516" s="124" t="n">
        <v>9435.43950828281</v>
      </c>
    </row>
    <row r="517" customFormat="false" ht="14.5" hidden="false" customHeight="false" outlineLevel="0" collapsed="false">
      <c r="A517" s="124" t="n">
        <v>-7764.29897593471</v>
      </c>
    </row>
    <row r="518" customFormat="false" ht="14.5" hidden="false" customHeight="false" outlineLevel="0" collapsed="false">
      <c r="A518" s="124" t="n">
        <v>2737.31006528038</v>
      </c>
    </row>
    <row r="519" customFormat="false" ht="14.5" hidden="false" customHeight="false" outlineLevel="0" collapsed="false">
      <c r="A519" s="124" t="n">
        <v>10446.5785891374</v>
      </c>
    </row>
    <row r="520" customFormat="false" ht="14.5" hidden="false" customHeight="false" outlineLevel="0" collapsed="false">
      <c r="A520" s="124" t="n">
        <v>6524.31913559747</v>
      </c>
    </row>
    <row r="521" customFormat="false" ht="14.5" hidden="false" customHeight="false" outlineLevel="0" collapsed="false">
      <c r="A521" s="124" t="n">
        <v>-7035.73490508054</v>
      </c>
    </row>
    <row r="522" customFormat="false" ht="14.5" hidden="false" customHeight="false" outlineLevel="0" collapsed="false">
      <c r="A522" s="124" t="n">
        <v>-6647.88303873454</v>
      </c>
    </row>
    <row r="523" customFormat="false" ht="14.5" hidden="false" customHeight="false" outlineLevel="0" collapsed="false">
      <c r="A523" s="124" t="n">
        <v>-1670.73848469306</v>
      </c>
    </row>
    <row r="524" customFormat="false" ht="14.5" hidden="false" customHeight="false" outlineLevel="0" collapsed="false">
      <c r="A524" s="124" t="n">
        <v>-6145.10103241595</v>
      </c>
    </row>
    <row r="525" customFormat="false" ht="14.5" hidden="false" customHeight="false" outlineLevel="0" collapsed="false">
      <c r="A525" s="124" t="n">
        <v>7854.62197926531</v>
      </c>
    </row>
    <row r="526" customFormat="false" ht="14.5" hidden="false" customHeight="false" outlineLevel="0" collapsed="false">
      <c r="A526" s="124" t="n">
        <v>216.571394747865</v>
      </c>
    </row>
    <row r="527" customFormat="false" ht="14.5" hidden="false" customHeight="false" outlineLevel="0" collapsed="false">
      <c r="A527" s="124" t="n">
        <v>501.817452480729</v>
      </c>
    </row>
    <row r="528" customFormat="false" ht="14.5" hidden="false" customHeight="false" outlineLevel="0" collapsed="false">
      <c r="A528" s="124" t="n">
        <v>2502.03994108304</v>
      </c>
    </row>
    <row r="529" customFormat="false" ht="14.5" hidden="false" customHeight="false" outlineLevel="0" collapsed="false">
      <c r="A529" s="124" t="n">
        <v>4188.72097559236</v>
      </c>
    </row>
    <row r="530" customFormat="false" ht="14.5" hidden="false" customHeight="false" outlineLevel="0" collapsed="false">
      <c r="A530" s="124" t="n">
        <v>5207.37328197722</v>
      </c>
    </row>
    <row r="531" customFormat="false" ht="14.5" hidden="false" customHeight="false" outlineLevel="0" collapsed="false">
      <c r="A531" s="124" t="n">
        <v>1114.8575496198</v>
      </c>
    </row>
    <row r="532" customFormat="false" ht="14.5" hidden="false" customHeight="false" outlineLevel="0" collapsed="false">
      <c r="A532" s="124" t="n">
        <v>6686.23461621189</v>
      </c>
    </row>
    <row r="533" customFormat="false" ht="14.5" hidden="false" customHeight="false" outlineLevel="0" collapsed="false">
      <c r="A533" s="124" t="n">
        <v>8400.28166997371</v>
      </c>
    </row>
    <row r="534" customFormat="false" ht="14.5" hidden="false" customHeight="false" outlineLevel="0" collapsed="false">
      <c r="A534" s="124" t="n">
        <v>9340.89182465718</v>
      </c>
    </row>
    <row r="535" customFormat="false" ht="14.5" hidden="false" customHeight="false" outlineLevel="0" collapsed="false">
      <c r="A535" s="124" t="n">
        <v>10274.2737318902</v>
      </c>
    </row>
    <row r="536" customFormat="false" ht="14.5" hidden="false" customHeight="false" outlineLevel="0" collapsed="false">
      <c r="A536" s="124" t="n">
        <v>789.157711705782</v>
      </c>
    </row>
    <row r="537" customFormat="false" ht="14.5" hidden="false" customHeight="false" outlineLevel="0" collapsed="false">
      <c r="A537" s="124" t="n">
        <v>5433.43323074966</v>
      </c>
    </row>
    <row r="538" customFormat="false" ht="14.5" hidden="false" customHeight="false" outlineLevel="0" collapsed="false">
      <c r="A538" s="124" t="n">
        <v>2446.88058971089</v>
      </c>
    </row>
    <row r="539" customFormat="false" ht="14.5" hidden="false" customHeight="false" outlineLevel="0" collapsed="false">
      <c r="A539" s="124" t="n">
        <v>-2382.47039117335</v>
      </c>
    </row>
    <row r="540" customFormat="false" ht="14.5" hidden="false" customHeight="false" outlineLevel="0" collapsed="false">
      <c r="A540" s="124" t="n">
        <v>-7893.95122507615</v>
      </c>
    </row>
    <row r="541" customFormat="false" ht="14.5" hidden="false" customHeight="false" outlineLevel="0" collapsed="false">
      <c r="A541" s="124" t="n">
        <v>8718.33464391765</v>
      </c>
    </row>
    <row r="542" customFormat="false" ht="14.5" hidden="false" customHeight="false" outlineLevel="0" collapsed="false">
      <c r="A542" s="124" t="n">
        <v>5173.88170122156</v>
      </c>
    </row>
    <row r="543" customFormat="false" ht="14.5" hidden="false" customHeight="false" outlineLevel="0" collapsed="false">
      <c r="A543" s="124" t="n">
        <v>7660.7295584959</v>
      </c>
    </row>
    <row r="544" customFormat="false" ht="14.5" hidden="false" customHeight="false" outlineLevel="0" collapsed="false">
      <c r="A544" s="124" t="n">
        <v>10666.5258073304</v>
      </c>
    </row>
    <row r="545" customFormat="false" ht="14.5" hidden="false" customHeight="false" outlineLevel="0" collapsed="false">
      <c r="A545" s="124" t="n">
        <v>7337.67116870168</v>
      </c>
    </row>
    <row r="546" customFormat="false" ht="14.5" hidden="false" customHeight="false" outlineLevel="0" collapsed="false">
      <c r="A546" s="124" t="n">
        <v>3083.93054104257</v>
      </c>
    </row>
    <row r="547" customFormat="false" ht="14.5" hidden="false" customHeight="false" outlineLevel="0" collapsed="false">
      <c r="A547" s="124" t="n">
        <v>2154.43583142019</v>
      </c>
    </row>
    <row r="548" customFormat="false" ht="14.5" hidden="false" customHeight="false" outlineLevel="0" collapsed="false">
      <c r="A548" s="124" t="n">
        <v>3258.93916287891</v>
      </c>
    </row>
    <row r="549" customFormat="false" ht="14.5" hidden="false" customHeight="false" outlineLevel="0" collapsed="false">
      <c r="A549" s="124" t="n">
        <v>7121.13309023757</v>
      </c>
    </row>
    <row r="550" customFormat="false" ht="14.5" hidden="false" customHeight="false" outlineLevel="0" collapsed="false">
      <c r="A550" s="124" t="n">
        <v>3573.44516854968</v>
      </c>
    </row>
    <row r="551" customFormat="false" ht="14.5" hidden="false" customHeight="false" outlineLevel="0" collapsed="false">
      <c r="A551" s="124" t="n">
        <v>3778.01595448419</v>
      </c>
    </row>
    <row r="552" customFormat="false" ht="14.5" hidden="false" customHeight="false" outlineLevel="0" collapsed="false">
      <c r="A552" s="124" t="n">
        <v>-1011.03026596317</v>
      </c>
    </row>
    <row r="553" customFormat="false" ht="14.5" hidden="false" customHeight="false" outlineLevel="0" collapsed="false">
      <c r="A553" s="124" t="n">
        <v>6273.65093829128</v>
      </c>
    </row>
    <row r="554" customFormat="false" ht="14.5" hidden="false" customHeight="false" outlineLevel="0" collapsed="false">
      <c r="A554" s="124" t="n">
        <v>10764.9601998723</v>
      </c>
    </row>
    <row r="555" customFormat="false" ht="14.5" hidden="false" customHeight="false" outlineLevel="0" collapsed="false">
      <c r="A555" s="124" t="n">
        <v>12940.7932261994</v>
      </c>
    </row>
    <row r="556" customFormat="false" ht="14.5" hidden="false" customHeight="false" outlineLevel="0" collapsed="false">
      <c r="A556" s="124" t="n">
        <v>-1443.87140105521</v>
      </c>
    </row>
    <row r="557" customFormat="false" ht="14.5" hidden="false" customHeight="false" outlineLevel="0" collapsed="false">
      <c r="A557" s="124" t="n">
        <v>-229.74910298439</v>
      </c>
    </row>
    <row r="558" customFormat="false" ht="14.5" hidden="false" customHeight="false" outlineLevel="0" collapsed="false">
      <c r="A558" s="124" t="n">
        <v>2754.42871103065</v>
      </c>
    </row>
    <row r="559" customFormat="false" ht="14.5" hidden="false" customHeight="false" outlineLevel="0" collapsed="false">
      <c r="A559" s="124" t="n">
        <v>1457.19894271862</v>
      </c>
    </row>
    <row r="560" customFormat="false" ht="14.5" hidden="false" customHeight="false" outlineLevel="0" collapsed="false">
      <c r="A560" s="124" t="n">
        <v>-3429.67737928755</v>
      </c>
    </row>
    <row r="561" customFormat="false" ht="14.5" hidden="false" customHeight="false" outlineLevel="0" collapsed="false">
      <c r="A561" s="124" t="n">
        <v>5244.70625421885</v>
      </c>
    </row>
    <row r="562" customFormat="false" ht="14.5" hidden="false" customHeight="false" outlineLevel="0" collapsed="false">
      <c r="A562" s="124" t="n">
        <v>8233.42807367442</v>
      </c>
    </row>
    <row r="563" customFormat="false" ht="14.5" hidden="false" customHeight="false" outlineLevel="0" collapsed="false">
      <c r="A563" s="124" t="n">
        <v>11915.5756155188</v>
      </c>
    </row>
    <row r="564" customFormat="false" ht="14.5" hidden="false" customHeight="false" outlineLevel="0" collapsed="false">
      <c r="A564" s="124" t="n">
        <v>-3358.40435482482</v>
      </c>
    </row>
    <row r="565" customFormat="false" ht="14.5" hidden="false" customHeight="false" outlineLevel="0" collapsed="false">
      <c r="A565" s="124" t="n">
        <v>-1147.0844850133</v>
      </c>
    </row>
    <row r="566" customFormat="false" ht="14.5" hidden="false" customHeight="false" outlineLevel="0" collapsed="false">
      <c r="A566" s="124" t="n">
        <v>-6083.33688621894</v>
      </c>
    </row>
    <row r="567" customFormat="false" ht="14.5" hidden="false" customHeight="false" outlineLevel="0" collapsed="false">
      <c r="A567" s="124" t="n">
        <v>543.35481288734</v>
      </c>
    </row>
    <row r="568" customFormat="false" ht="14.5" hidden="false" customHeight="false" outlineLevel="0" collapsed="false">
      <c r="A568" s="124" t="n">
        <v>1288.80108187383</v>
      </c>
    </row>
    <row r="569" customFormat="false" ht="14.5" hidden="false" customHeight="false" outlineLevel="0" collapsed="false">
      <c r="A569" s="124" t="n">
        <v>9425.29598707938</v>
      </c>
    </row>
    <row r="570" customFormat="false" ht="14.5" hidden="false" customHeight="false" outlineLevel="0" collapsed="false">
      <c r="A570" s="124" t="n">
        <v>-372.000074857569</v>
      </c>
    </row>
    <row r="571" customFormat="false" ht="14.5" hidden="false" customHeight="false" outlineLevel="0" collapsed="false">
      <c r="A571" s="124" t="n">
        <v>6059.39874332663</v>
      </c>
    </row>
    <row r="572" customFormat="false" ht="14.5" hidden="false" customHeight="false" outlineLevel="0" collapsed="false">
      <c r="A572" s="124" t="n">
        <v>-1695.45173401286</v>
      </c>
    </row>
    <row r="573" customFormat="false" ht="14.5" hidden="false" customHeight="false" outlineLevel="0" collapsed="false">
      <c r="A573" s="124" t="n">
        <v>3757.7844442523</v>
      </c>
    </row>
    <row r="574" customFormat="false" ht="14.5" hidden="false" customHeight="false" outlineLevel="0" collapsed="false">
      <c r="A574" s="124" t="n">
        <v>-13558.0314523616</v>
      </c>
    </row>
    <row r="575" customFormat="false" ht="14.5" hidden="false" customHeight="false" outlineLevel="0" collapsed="false">
      <c r="A575" s="124" t="n">
        <v>6304.1275352017</v>
      </c>
    </row>
    <row r="576" customFormat="false" ht="14.5" hidden="false" customHeight="false" outlineLevel="0" collapsed="false">
      <c r="A576" s="124" t="n">
        <v>-2945.0602191895</v>
      </c>
    </row>
    <row r="577" customFormat="false" ht="14.5" hidden="false" customHeight="false" outlineLevel="0" collapsed="false">
      <c r="A577" s="124" t="n">
        <v>-3872.9241870054</v>
      </c>
    </row>
    <row r="578" customFormat="false" ht="14.5" hidden="false" customHeight="false" outlineLevel="0" collapsed="false">
      <c r="A578" s="124" t="n">
        <v>5282.41606884088</v>
      </c>
    </row>
    <row r="579" customFormat="false" ht="14.5" hidden="false" customHeight="false" outlineLevel="0" collapsed="false">
      <c r="A579" s="124" t="n">
        <v>-1745.7966004617</v>
      </c>
    </row>
    <row r="580" customFormat="false" ht="14.5" hidden="false" customHeight="false" outlineLevel="0" collapsed="false">
      <c r="A580" s="124" t="n">
        <v>5058.49862022609</v>
      </c>
    </row>
    <row r="581" customFormat="false" ht="14.5" hidden="false" customHeight="false" outlineLevel="0" collapsed="false">
      <c r="A581" s="124" t="n">
        <v>-8563.01434729216</v>
      </c>
    </row>
    <row r="582" customFormat="false" ht="14.5" hidden="false" customHeight="false" outlineLevel="0" collapsed="false">
      <c r="A582" s="124" t="n">
        <v>-2166.00860064879</v>
      </c>
    </row>
    <row r="583" customFormat="false" ht="14.5" hidden="false" customHeight="false" outlineLevel="0" collapsed="false">
      <c r="A583" s="124" t="n">
        <v>612.281735268597</v>
      </c>
    </row>
    <row r="584" customFormat="false" ht="14.5" hidden="false" customHeight="false" outlineLevel="0" collapsed="false">
      <c r="A584" s="124" t="n">
        <v>4190.95646821583</v>
      </c>
    </row>
    <row r="585" customFormat="false" ht="14.5" hidden="false" customHeight="false" outlineLevel="0" collapsed="false">
      <c r="A585" s="124" t="n">
        <v>-2299.91436907344</v>
      </c>
    </row>
    <row r="586" customFormat="false" ht="14.5" hidden="false" customHeight="false" outlineLevel="0" collapsed="false">
      <c r="A586" s="124" t="n">
        <v>5155.55022791131</v>
      </c>
    </row>
    <row r="587" customFormat="false" ht="14.5" hidden="false" customHeight="false" outlineLevel="0" collapsed="false">
      <c r="A587" s="124" t="n">
        <v>-307.386747246729</v>
      </c>
    </row>
    <row r="588" customFormat="false" ht="14.5" hidden="false" customHeight="false" outlineLevel="0" collapsed="false">
      <c r="A588" s="124" t="n">
        <v>4042.790181568</v>
      </c>
    </row>
    <row r="589" customFormat="false" ht="14.5" hidden="false" customHeight="false" outlineLevel="0" collapsed="false">
      <c r="A589" s="124" t="n">
        <v>-4034.29821131033</v>
      </c>
    </row>
    <row r="590" customFormat="false" ht="14.5" hidden="false" customHeight="false" outlineLevel="0" collapsed="false">
      <c r="A590" s="124" t="n">
        <v>795.623157120668</v>
      </c>
    </row>
    <row r="591" customFormat="false" ht="14.5" hidden="false" customHeight="false" outlineLevel="0" collapsed="false">
      <c r="A591" s="124" t="n">
        <v>13363.7872962572</v>
      </c>
    </row>
    <row r="592" customFormat="false" ht="14.5" hidden="false" customHeight="false" outlineLevel="0" collapsed="false">
      <c r="A592" s="124" t="n">
        <v>2807.63867847652</v>
      </c>
    </row>
    <row r="593" customFormat="false" ht="14.5" hidden="false" customHeight="false" outlineLevel="0" collapsed="false">
      <c r="A593" s="124" t="n">
        <v>15176.0610128422</v>
      </c>
    </row>
    <row r="594" customFormat="false" ht="14.5" hidden="false" customHeight="false" outlineLevel="0" collapsed="false">
      <c r="A594" s="124" t="n">
        <v>3231.07295328554</v>
      </c>
    </row>
    <row r="595" customFormat="false" ht="14.5" hidden="false" customHeight="false" outlineLevel="0" collapsed="false">
      <c r="A595" s="124" t="n">
        <v>2581.72386812363</v>
      </c>
    </row>
    <row r="596" customFormat="false" ht="14.5" hidden="false" customHeight="false" outlineLevel="0" collapsed="false">
      <c r="A596" s="124" t="n">
        <v>-2162.41866795191</v>
      </c>
    </row>
    <row r="597" customFormat="false" ht="14.5" hidden="false" customHeight="false" outlineLevel="0" collapsed="false">
      <c r="A597" s="124" t="n">
        <v>4630.90607370174</v>
      </c>
    </row>
    <row r="598" customFormat="false" ht="14.5" hidden="false" customHeight="false" outlineLevel="0" collapsed="false">
      <c r="A598" s="124" t="n">
        <v>5070.61377235835</v>
      </c>
    </row>
    <row r="599" customFormat="false" ht="14.5" hidden="false" customHeight="false" outlineLevel="0" collapsed="false">
      <c r="A599" s="124" t="n">
        <v>4777.95020450101</v>
      </c>
    </row>
    <row r="600" customFormat="false" ht="14.5" hidden="false" customHeight="false" outlineLevel="0" collapsed="false">
      <c r="A600" s="124" t="n">
        <v>-1219.18420310676</v>
      </c>
    </row>
    <row r="601" customFormat="false" ht="14.5" hidden="false" customHeight="false" outlineLevel="0" collapsed="false">
      <c r="A601" s="124" t="n">
        <v>2718.96517186681</v>
      </c>
    </row>
    <row r="602" customFormat="false" ht="14.5" hidden="false" customHeight="false" outlineLevel="0" collapsed="false">
      <c r="A602" s="124" t="n">
        <v>1410.34407397458</v>
      </c>
    </row>
    <row r="603" customFormat="false" ht="14.5" hidden="false" customHeight="false" outlineLevel="0" collapsed="false">
      <c r="A603" s="124" t="n">
        <v>1000.6073353171</v>
      </c>
    </row>
    <row r="604" customFormat="false" ht="14.5" hidden="false" customHeight="false" outlineLevel="0" collapsed="false">
      <c r="A604" s="124" t="n">
        <v>-1085.32524066964</v>
      </c>
    </row>
    <row r="605" customFormat="false" ht="14.5" hidden="false" customHeight="false" outlineLevel="0" collapsed="false">
      <c r="A605" s="124" t="n">
        <v>3945.09568776649</v>
      </c>
    </row>
    <row r="606" customFormat="false" ht="14.5" hidden="false" customHeight="false" outlineLevel="0" collapsed="false">
      <c r="A606" s="124" t="n">
        <v>6858.59461998222</v>
      </c>
    </row>
    <row r="607" customFormat="false" ht="14.5" hidden="false" customHeight="false" outlineLevel="0" collapsed="false">
      <c r="A607" s="124" t="n">
        <v>132.694391206625</v>
      </c>
    </row>
    <row r="608" customFormat="false" ht="14.5" hidden="false" customHeight="false" outlineLevel="0" collapsed="false">
      <c r="A608" s="124" t="n">
        <v>1714.9747266116</v>
      </c>
    </row>
    <row r="609" customFormat="false" ht="14.5" hidden="false" customHeight="false" outlineLevel="0" collapsed="false">
      <c r="A609" s="124" t="n">
        <v>5044.81182597167</v>
      </c>
    </row>
    <row r="610" customFormat="false" ht="14.5" hidden="false" customHeight="false" outlineLevel="0" collapsed="false">
      <c r="A610" s="124" t="n">
        <v>5484.6461076522</v>
      </c>
    </row>
    <row r="611" customFormat="false" ht="14.5" hidden="false" customHeight="false" outlineLevel="0" collapsed="false">
      <c r="A611" s="124" t="n">
        <v>-3005.75275732084</v>
      </c>
    </row>
    <row r="612" customFormat="false" ht="14.5" hidden="false" customHeight="false" outlineLevel="0" collapsed="false">
      <c r="A612" s="124" t="n">
        <v>14127.6714082811</v>
      </c>
    </row>
    <row r="613" customFormat="false" ht="14.5" hidden="false" customHeight="false" outlineLevel="0" collapsed="false">
      <c r="A613" s="124" t="n">
        <v>1073.40161643594</v>
      </c>
    </row>
    <row r="614" customFormat="false" ht="14.5" hidden="false" customHeight="false" outlineLevel="0" collapsed="false">
      <c r="A614" s="124" t="n">
        <v>3162.12122577881</v>
      </c>
    </row>
    <row r="615" customFormat="false" ht="14.5" hidden="false" customHeight="false" outlineLevel="0" collapsed="false">
      <c r="A615" s="124" t="n">
        <v>5611.00106272872</v>
      </c>
    </row>
    <row r="616" customFormat="false" ht="14.5" hidden="false" customHeight="false" outlineLevel="0" collapsed="false">
      <c r="A616" s="124" t="n">
        <v>6446.3572473285</v>
      </c>
    </row>
    <row r="617" customFormat="false" ht="14.5" hidden="false" customHeight="false" outlineLevel="0" collapsed="false">
      <c r="A617" s="124" t="n">
        <v>1991.5292284278</v>
      </c>
    </row>
    <row r="618" customFormat="false" ht="14.5" hidden="false" customHeight="false" outlineLevel="0" collapsed="false">
      <c r="A618" s="124" t="n">
        <v>13615.9195257434</v>
      </c>
    </row>
    <row r="619" customFormat="false" ht="14.5" hidden="false" customHeight="false" outlineLevel="0" collapsed="false">
      <c r="A619" s="124" t="n">
        <v>-1069.02522183568</v>
      </c>
    </row>
    <row r="620" customFormat="false" ht="14.5" hidden="false" customHeight="false" outlineLevel="0" collapsed="false">
      <c r="A620" s="124" t="n">
        <v>-5617.33126645579</v>
      </c>
    </row>
    <row r="621" customFormat="false" ht="14.5" hidden="false" customHeight="false" outlineLevel="0" collapsed="false">
      <c r="A621" s="124" t="n">
        <v>5330.45887144221</v>
      </c>
    </row>
    <row r="622" customFormat="false" ht="14.5" hidden="false" customHeight="false" outlineLevel="0" collapsed="false">
      <c r="A622" s="124" t="n">
        <v>12031.5739262596</v>
      </c>
    </row>
    <row r="623" customFormat="false" ht="14.5" hidden="false" customHeight="false" outlineLevel="0" collapsed="false">
      <c r="A623" s="124" t="n">
        <v>8463.84248724016</v>
      </c>
    </row>
    <row r="624" customFormat="false" ht="14.5" hidden="false" customHeight="false" outlineLevel="0" collapsed="false">
      <c r="A624" s="124" t="n">
        <v>2952.4880373528</v>
      </c>
    </row>
    <row r="625" customFormat="false" ht="14.5" hidden="false" customHeight="false" outlineLevel="0" collapsed="false">
      <c r="A625" s="124" t="n">
        <v>-2634.50699968396</v>
      </c>
    </row>
    <row r="626" customFormat="false" ht="14.5" hidden="false" customHeight="false" outlineLevel="0" collapsed="false">
      <c r="A626" s="124" t="n">
        <v>-8257.2616852714</v>
      </c>
    </row>
    <row r="627" customFormat="false" ht="14.5" hidden="false" customHeight="false" outlineLevel="0" collapsed="false">
      <c r="A627" s="124" t="n">
        <v>438.167657261989</v>
      </c>
    </row>
    <row r="628" customFormat="false" ht="14.5" hidden="false" customHeight="false" outlineLevel="0" collapsed="false">
      <c r="A628" s="124" t="n">
        <v>4148.65631794778</v>
      </c>
    </row>
    <row r="629" customFormat="false" ht="14.5" hidden="false" customHeight="false" outlineLevel="0" collapsed="false">
      <c r="A629" s="124" t="n">
        <v>-908.326614645306</v>
      </c>
    </row>
    <row r="630" customFormat="false" ht="14.5" hidden="false" customHeight="false" outlineLevel="0" collapsed="false">
      <c r="A630" s="124" t="n">
        <v>7006.73458282356</v>
      </c>
    </row>
    <row r="631" customFormat="false" ht="14.5" hidden="false" customHeight="false" outlineLevel="0" collapsed="false">
      <c r="A631" s="124" t="n">
        <v>4274.5298855698</v>
      </c>
    </row>
    <row r="632" customFormat="false" ht="14.5" hidden="false" customHeight="false" outlineLevel="0" collapsed="false">
      <c r="A632" s="124" t="n">
        <v>3923.78818378657</v>
      </c>
    </row>
    <row r="633" customFormat="false" ht="14.5" hidden="false" customHeight="false" outlineLevel="0" collapsed="false">
      <c r="A633" s="124" t="n">
        <v>-2104.67364208856</v>
      </c>
    </row>
    <row r="634" customFormat="false" ht="14.5" hidden="false" customHeight="false" outlineLevel="0" collapsed="false">
      <c r="A634" s="124" t="n">
        <v>8071.51069832269</v>
      </c>
    </row>
    <row r="635" customFormat="false" ht="14.5" hidden="false" customHeight="false" outlineLevel="0" collapsed="false">
      <c r="A635" s="124" t="n">
        <v>4937.26822087339</v>
      </c>
    </row>
    <row r="636" customFormat="false" ht="14.5" hidden="false" customHeight="false" outlineLevel="0" collapsed="false">
      <c r="A636" s="124" t="n">
        <v>6874.27263767269</v>
      </c>
    </row>
    <row r="637" customFormat="false" ht="14.5" hidden="false" customHeight="false" outlineLevel="0" collapsed="false">
      <c r="A637" s="124" t="n">
        <v>-1795.3612605959</v>
      </c>
    </row>
    <row r="638" customFormat="false" ht="14.5" hidden="false" customHeight="false" outlineLevel="0" collapsed="false">
      <c r="A638" s="124" t="n">
        <v>-477.462222871729</v>
      </c>
    </row>
    <row r="639" customFormat="false" ht="14.5" hidden="false" customHeight="false" outlineLevel="0" collapsed="false">
      <c r="A639" s="124" t="n">
        <v>-3472.87200195956</v>
      </c>
    </row>
    <row r="640" customFormat="false" ht="14.5" hidden="false" customHeight="false" outlineLevel="0" collapsed="false">
      <c r="A640" s="124" t="n">
        <v>-3313.31792580963</v>
      </c>
    </row>
    <row r="641" customFormat="false" ht="14.5" hidden="false" customHeight="false" outlineLevel="0" collapsed="false">
      <c r="A641" s="124" t="n">
        <v>6579.41840429575</v>
      </c>
    </row>
    <row r="642" customFormat="false" ht="14.5" hidden="false" customHeight="false" outlineLevel="0" collapsed="false">
      <c r="A642" s="124" t="n">
        <v>8504.68431085189</v>
      </c>
    </row>
    <row r="643" customFormat="false" ht="14.5" hidden="false" customHeight="false" outlineLevel="0" collapsed="false">
      <c r="A643" s="124" t="n">
        <v>4377.08095182867</v>
      </c>
    </row>
    <row r="644" customFormat="false" ht="14.5" hidden="false" customHeight="false" outlineLevel="0" collapsed="false">
      <c r="A644" s="124" t="n">
        <v>5267.80071966907</v>
      </c>
    </row>
    <row r="645" customFormat="false" ht="14.5" hidden="false" customHeight="false" outlineLevel="0" collapsed="false">
      <c r="A645" s="124" t="n">
        <v>9767.56498518284</v>
      </c>
    </row>
    <row r="646" customFormat="false" ht="14.5" hidden="false" customHeight="false" outlineLevel="0" collapsed="false">
      <c r="A646" s="124" t="n">
        <v>10679.4565804007</v>
      </c>
    </row>
    <row r="647" customFormat="false" ht="14.5" hidden="false" customHeight="false" outlineLevel="0" collapsed="false">
      <c r="A647" s="124" t="n">
        <v>-5954.47598719855</v>
      </c>
    </row>
    <row r="648" customFormat="false" ht="14.5" hidden="false" customHeight="false" outlineLevel="0" collapsed="false">
      <c r="A648" s="124" t="n">
        <v>9300.84415285776</v>
      </c>
    </row>
    <row r="649" customFormat="false" ht="14.5" hidden="false" customHeight="false" outlineLevel="0" collapsed="false">
      <c r="A649" s="124" t="n">
        <v>-11066.9406912149</v>
      </c>
    </row>
    <row r="650" customFormat="false" ht="14.5" hidden="false" customHeight="false" outlineLevel="0" collapsed="false">
      <c r="A650" s="124" t="n">
        <v>-1809.45834211305</v>
      </c>
    </row>
    <row r="651" customFormat="false" ht="14.5" hidden="false" customHeight="false" outlineLevel="0" collapsed="false">
      <c r="A651" s="124" t="n">
        <v>3121.55907952782</v>
      </c>
    </row>
    <row r="652" customFormat="false" ht="14.5" hidden="false" customHeight="false" outlineLevel="0" collapsed="false">
      <c r="A652" s="124" t="n">
        <v>13961.9015850609</v>
      </c>
    </row>
    <row r="653" customFormat="false" ht="14.5" hidden="false" customHeight="false" outlineLevel="0" collapsed="false">
      <c r="A653" s="124" t="n">
        <v>9942.96649165008</v>
      </c>
    </row>
    <row r="654" customFormat="false" ht="14.5" hidden="false" customHeight="false" outlineLevel="0" collapsed="false">
      <c r="A654" s="124" t="n">
        <v>7508.91491594085</v>
      </c>
    </row>
    <row r="655" customFormat="false" ht="14.5" hidden="false" customHeight="false" outlineLevel="0" collapsed="false">
      <c r="A655" s="124" t="n">
        <v>-3387.46212706896</v>
      </c>
    </row>
    <row r="656" customFormat="false" ht="14.5" hidden="false" customHeight="false" outlineLevel="0" collapsed="false">
      <c r="A656" s="124" t="n">
        <v>6594.63282446047</v>
      </c>
    </row>
    <row r="657" customFormat="false" ht="14.5" hidden="false" customHeight="false" outlineLevel="0" collapsed="false">
      <c r="A657" s="124" t="n">
        <v>1377.57496449133</v>
      </c>
    </row>
    <row r="658" customFormat="false" ht="14.5" hidden="false" customHeight="false" outlineLevel="0" collapsed="false">
      <c r="A658" s="124" t="n">
        <v>6186.22342297559</v>
      </c>
    </row>
    <row r="659" customFormat="false" ht="14.5" hidden="false" customHeight="false" outlineLevel="0" collapsed="false">
      <c r="A659" s="124" t="n">
        <v>11420.8036737959</v>
      </c>
    </row>
    <row r="660" customFormat="false" ht="14.5" hidden="false" customHeight="false" outlineLevel="0" collapsed="false">
      <c r="A660" s="124" t="n">
        <v>293.009922664652</v>
      </c>
    </row>
    <row r="661" customFormat="false" ht="14.5" hidden="false" customHeight="false" outlineLevel="0" collapsed="false">
      <c r="A661" s="124" t="n">
        <v>-5251.84543405853</v>
      </c>
    </row>
    <row r="662" customFormat="false" ht="14.5" hidden="false" customHeight="false" outlineLevel="0" collapsed="false">
      <c r="A662" s="124" t="n">
        <v>11048.4246414841</v>
      </c>
    </row>
    <row r="663" customFormat="false" ht="14.5" hidden="false" customHeight="false" outlineLevel="0" collapsed="false">
      <c r="A663" s="124" t="n">
        <v>-4148.83797613724</v>
      </c>
    </row>
    <row r="664" customFormat="false" ht="14.5" hidden="false" customHeight="false" outlineLevel="0" collapsed="false">
      <c r="A664" s="124" t="n">
        <v>12733.8038698323</v>
      </c>
    </row>
    <row r="665" customFormat="false" ht="14.5" hidden="false" customHeight="false" outlineLevel="0" collapsed="false">
      <c r="A665" s="124" t="n">
        <v>7363.24644946798</v>
      </c>
    </row>
    <row r="666" customFormat="false" ht="14.5" hidden="false" customHeight="false" outlineLevel="0" collapsed="false">
      <c r="A666" s="124" t="n">
        <v>4894.78299095681</v>
      </c>
    </row>
    <row r="667" customFormat="false" ht="14.5" hidden="false" customHeight="false" outlineLevel="0" collapsed="false">
      <c r="A667" s="124" t="n">
        <v>5096.98376510113</v>
      </c>
    </row>
    <row r="668" customFormat="false" ht="14.5" hidden="false" customHeight="false" outlineLevel="0" collapsed="false">
      <c r="A668" s="124" t="n">
        <v>3974.5769031272</v>
      </c>
    </row>
    <row r="669" customFormat="false" ht="14.5" hidden="false" customHeight="false" outlineLevel="0" collapsed="false">
      <c r="A669" s="124" t="n">
        <v>-9900.36410976814</v>
      </c>
    </row>
    <row r="670" customFormat="false" ht="14.5" hidden="false" customHeight="false" outlineLevel="0" collapsed="false">
      <c r="A670" s="124" t="n">
        <v>4029.59107380712</v>
      </c>
    </row>
    <row r="671" customFormat="false" ht="14.5" hidden="false" customHeight="false" outlineLevel="0" collapsed="false">
      <c r="A671" s="124" t="n">
        <v>2118.07545063569</v>
      </c>
    </row>
    <row r="672" customFormat="false" ht="14.5" hidden="false" customHeight="false" outlineLevel="0" collapsed="false">
      <c r="A672" s="124" t="n">
        <v>3832.55763226657</v>
      </c>
    </row>
    <row r="673" customFormat="false" ht="14.5" hidden="false" customHeight="false" outlineLevel="0" collapsed="false">
      <c r="A673" s="124" t="n">
        <v>921.170753599272</v>
      </c>
    </row>
    <row r="674" customFormat="false" ht="14.5" hidden="false" customHeight="false" outlineLevel="0" collapsed="false">
      <c r="A674" s="124" t="n">
        <v>-3818.44111802471</v>
      </c>
    </row>
    <row r="675" customFormat="false" ht="14.5" hidden="false" customHeight="false" outlineLevel="0" collapsed="false">
      <c r="A675" s="124" t="n">
        <v>10597.5188743431</v>
      </c>
    </row>
    <row r="676" customFormat="false" ht="14.5" hidden="false" customHeight="false" outlineLevel="0" collapsed="false">
      <c r="A676" s="124" t="n">
        <v>-596.823696589964</v>
      </c>
    </row>
    <row r="677" customFormat="false" ht="14.5" hidden="false" customHeight="false" outlineLevel="0" collapsed="false">
      <c r="A677" s="124" t="n">
        <v>7679.86873103688</v>
      </c>
    </row>
    <row r="678" customFormat="false" ht="14.5" hidden="false" customHeight="false" outlineLevel="0" collapsed="false">
      <c r="A678" s="124" t="n">
        <v>-479.486216938124</v>
      </c>
    </row>
    <row r="679" customFormat="false" ht="14.5" hidden="false" customHeight="false" outlineLevel="0" collapsed="false">
      <c r="A679" s="124" t="n">
        <v>-11993.612242088</v>
      </c>
    </row>
    <row r="680" customFormat="false" ht="14.5" hidden="false" customHeight="false" outlineLevel="0" collapsed="false">
      <c r="A680" s="124" t="n">
        <v>-1559.87789776196</v>
      </c>
    </row>
    <row r="681" customFormat="false" ht="14.5" hidden="false" customHeight="false" outlineLevel="0" collapsed="false">
      <c r="A681" s="124" t="n">
        <v>3679.39659906274</v>
      </c>
    </row>
    <row r="682" customFormat="false" ht="14.5" hidden="false" customHeight="false" outlineLevel="0" collapsed="false">
      <c r="A682" s="124" t="n">
        <v>8249.38770315467</v>
      </c>
    </row>
    <row r="683" customFormat="false" ht="14.5" hidden="false" customHeight="false" outlineLevel="0" collapsed="false">
      <c r="A683" s="124" t="n">
        <v>2544.63975114398</v>
      </c>
    </row>
    <row r="684" customFormat="false" ht="14.5" hidden="false" customHeight="false" outlineLevel="0" collapsed="false">
      <c r="A684" s="124" t="n">
        <v>-279.689697464686</v>
      </c>
    </row>
    <row r="685" customFormat="false" ht="14.5" hidden="false" customHeight="false" outlineLevel="0" collapsed="false">
      <c r="A685" s="124" t="n">
        <v>3423.17423399492</v>
      </c>
    </row>
    <row r="686" customFormat="false" ht="14.5" hidden="false" customHeight="false" outlineLevel="0" collapsed="false">
      <c r="A686" s="124" t="n">
        <v>6881.80348599191</v>
      </c>
    </row>
    <row r="687" customFormat="false" ht="14.5" hidden="false" customHeight="false" outlineLevel="0" collapsed="false">
      <c r="A687" s="124" t="n">
        <v>2201.49494583732</v>
      </c>
    </row>
    <row r="688" customFormat="false" ht="14.5" hidden="false" customHeight="false" outlineLevel="0" collapsed="false">
      <c r="A688" s="124" t="n">
        <v>9746.71185842933</v>
      </c>
    </row>
    <row r="689" customFormat="false" ht="14.5" hidden="false" customHeight="false" outlineLevel="0" collapsed="false">
      <c r="A689" s="124" t="n">
        <v>12947.3786445337</v>
      </c>
    </row>
    <row r="690" customFormat="false" ht="14.5" hidden="false" customHeight="false" outlineLevel="0" collapsed="false">
      <c r="A690" s="124" t="n">
        <v>-3291.35191672594</v>
      </c>
    </row>
    <row r="691" customFormat="false" ht="14.5" hidden="false" customHeight="false" outlineLevel="0" collapsed="false">
      <c r="A691" s="124" t="n">
        <v>7390.79837822866</v>
      </c>
    </row>
    <row r="692" customFormat="false" ht="14.5" hidden="false" customHeight="false" outlineLevel="0" collapsed="false">
      <c r="A692" s="124" t="n">
        <v>-1939.27490252118</v>
      </c>
    </row>
    <row r="693" customFormat="false" ht="14.5" hidden="false" customHeight="false" outlineLevel="0" collapsed="false">
      <c r="A693" s="124" t="n">
        <v>-443.268445933396</v>
      </c>
    </row>
    <row r="694" customFormat="false" ht="14.5" hidden="false" customHeight="false" outlineLevel="0" collapsed="false">
      <c r="A694" s="124" t="n">
        <v>3725.71568594382</v>
      </c>
    </row>
    <row r="695" customFormat="false" ht="14.5" hidden="false" customHeight="false" outlineLevel="0" collapsed="false">
      <c r="A695" s="124" t="n">
        <v>-5787.37902668201</v>
      </c>
    </row>
    <row r="696" customFormat="false" ht="14.5" hidden="false" customHeight="false" outlineLevel="0" collapsed="false">
      <c r="A696" s="124" t="n">
        <v>6160.45873914865</v>
      </c>
    </row>
    <row r="697" customFormat="false" ht="14.5" hidden="false" customHeight="false" outlineLevel="0" collapsed="false">
      <c r="A697" s="124" t="n">
        <v>-527.979935524232</v>
      </c>
    </row>
    <row r="698" customFormat="false" ht="14.5" hidden="false" customHeight="false" outlineLevel="0" collapsed="false">
      <c r="A698" s="124" t="n">
        <v>5346.7236391454</v>
      </c>
    </row>
    <row r="699" customFormat="false" ht="14.5" hidden="false" customHeight="false" outlineLevel="0" collapsed="false">
      <c r="A699" s="124" t="n">
        <v>3045.0525127686</v>
      </c>
    </row>
    <row r="700" customFormat="false" ht="14.5" hidden="false" customHeight="false" outlineLevel="0" collapsed="false">
      <c r="A700" s="124" t="n">
        <v>6748.97018402072</v>
      </c>
    </row>
    <row r="701" customFormat="false" ht="14.5" hidden="false" customHeight="false" outlineLevel="0" collapsed="false">
      <c r="A701" s="124" t="n">
        <v>1044.92518128627</v>
      </c>
    </row>
    <row r="702" customFormat="false" ht="14.5" hidden="false" customHeight="false" outlineLevel="0" collapsed="false">
      <c r="A702" s="124" t="n">
        <v>8141.30937714284</v>
      </c>
    </row>
    <row r="703" customFormat="false" ht="14.5" hidden="false" customHeight="false" outlineLevel="0" collapsed="false">
      <c r="A703" s="124" t="n">
        <v>-4615.18632249925</v>
      </c>
    </row>
    <row r="704" customFormat="false" ht="14.5" hidden="false" customHeight="false" outlineLevel="0" collapsed="false">
      <c r="A704" s="124" t="n">
        <v>7036.34445901787</v>
      </c>
    </row>
    <row r="705" customFormat="false" ht="14.5" hidden="false" customHeight="false" outlineLevel="0" collapsed="false">
      <c r="A705" s="124" t="n">
        <v>-168.620921391514</v>
      </c>
    </row>
    <row r="706" customFormat="false" ht="14.5" hidden="false" customHeight="false" outlineLevel="0" collapsed="false">
      <c r="A706" s="124" t="n">
        <v>388.13679780257</v>
      </c>
    </row>
    <row r="707" customFormat="false" ht="14.5" hidden="false" customHeight="false" outlineLevel="0" collapsed="false">
      <c r="A707" s="124" t="n">
        <v>-1350.62642206756</v>
      </c>
    </row>
    <row r="708" customFormat="false" ht="14.5" hidden="false" customHeight="false" outlineLevel="0" collapsed="false">
      <c r="A708" s="124" t="n">
        <v>2317.79147036965</v>
      </c>
    </row>
    <row r="709" customFormat="false" ht="14.5" hidden="false" customHeight="false" outlineLevel="0" collapsed="false">
      <c r="A709" s="124" t="n">
        <v>14983.1644738469</v>
      </c>
    </row>
    <row r="710" customFormat="false" ht="14.5" hidden="false" customHeight="false" outlineLevel="0" collapsed="false">
      <c r="A710" s="124" t="n">
        <v>2989.34992551379</v>
      </c>
    </row>
    <row r="711" customFormat="false" ht="14.5" hidden="false" customHeight="false" outlineLevel="0" collapsed="false">
      <c r="A711" s="124" t="n">
        <v>-682.905056408498</v>
      </c>
    </row>
    <row r="712" customFormat="false" ht="14.5" hidden="false" customHeight="false" outlineLevel="0" collapsed="false">
      <c r="A712" s="124" t="n">
        <v>13660.9688169308</v>
      </c>
    </row>
    <row r="713" customFormat="false" ht="14.5" hidden="false" customHeight="false" outlineLevel="0" collapsed="false">
      <c r="A713" s="124" t="n">
        <v>1652.00085331724</v>
      </c>
    </row>
    <row r="714" customFormat="false" ht="14.5" hidden="false" customHeight="false" outlineLevel="0" collapsed="false">
      <c r="A714" s="124" t="n">
        <v>14648.6231536043</v>
      </c>
    </row>
    <row r="715" customFormat="false" ht="14.5" hidden="false" customHeight="false" outlineLevel="0" collapsed="false">
      <c r="A715" s="124" t="n">
        <v>10867.9229334396</v>
      </c>
    </row>
    <row r="716" customFormat="false" ht="14.5" hidden="false" customHeight="false" outlineLevel="0" collapsed="false">
      <c r="A716" s="124" t="n">
        <v>2166.70142207319</v>
      </c>
    </row>
    <row r="717" customFormat="false" ht="14.5" hidden="false" customHeight="false" outlineLevel="0" collapsed="false">
      <c r="A717" s="124" t="n">
        <v>6353.41444383797</v>
      </c>
    </row>
    <row r="718" customFormat="false" ht="14.5" hidden="false" customHeight="false" outlineLevel="0" collapsed="false">
      <c r="A718" s="124" t="n">
        <v>358.86088464674</v>
      </c>
    </row>
    <row r="719" customFormat="false" ht="14.5" hidden="false" customHeight="false" outlineLevel="0" collapsed="false">
      <c r="A719" s="124" t="n">
        <v>10873.2581971217</v>
      </c>
    </row>
    <row r="720" customFormat="false" ht="14.5" hidden="false" customHeight="false" outlineLevel="0" collapsed="false">
      <c r="A720" s="124" t="n">
        <v>4774.76397766651</v>
      </c>
    </row>
    <row r="721" customFormat="false" ht="14.5" hidden="false" customHeight="false" outlineLevel="0" collapsed="false">
      <c r="A721" s="124" t="n">
        <v>-1929.40044011904</v>
      </c>
    </row>
    <row r="722" customFormat="false" ht="14.5" hidden="false" customHeight="false" outlineLevel="0" collapsed="false">
      <c r="A722" s="124" t="n">
        <v>-663.823098109756</v>
      </c>
    </row>
    <row r="723" customFormat="false" ht="14.5" hidden="false" customHeight="false" outlineLevel="0" collapsed="false">
      <c r="A723" s="124" t="n">
        <v>2015.03008327442</v>
      </c>
    </row>
    <row r="724" customFormat="false" ht="14.5" hidden="false" customHeight="false" outlineLevel="0" collapsed="false">
      <c r="A724" s="124" t="n">
        <v>-396.365884034754</v>
      </c>
    </row>
    <row r="725" customFormat="false" ht="14.5" hidden="false" customHeight="false" outlineLevel="0" collapsed="false">
      <c r="A725" s="124" t="n">
        <v>4244.89468245072</v>
      </c>
    </row>
    <row r="726" customFormat="false" ht="14.5" hidden="false" customHeight="false" outlineLevel="0" collapsed="false">
      <c r="A726" s="124" t="n">
        <v>16765.3384448606</v>
      </c>
    </row>
    <row r="727" customFormat="false" ht="14.5" hidden="false" customHeight="false" outlineLevel="0" collapsed="false">
      <c r="A727" s="124" t="n">
        <v>3165.92985048149</v>
      </c>
    </row>
    <row r="728" customFormat="false" ht="14.5" hidden="false" customHeight="false" outlineLevel="0" collapsed="false">
      <c r="A728" s="124" t="n">
        <v>2790.15681987973</v>
      </c>
    </row>
    <row r="729" customFormat="false" ht="14.5" hidden="false" customHeight="false" outlineLevel="0" collapsed="false">
      <c r="A729" s="124" t="n">
        <v>2017.69981334689</v>
      </c>
    </row>
    <row r="730" customFormat="false" ht="14.5" hidden="false" customHeight="false" outlineLevel="0" collapsed="false">
      <c r="A730" s="124" t="n">
        <v>10011.310680769</v>
      </c>
    </row>
    <row r="731" customFormat="false" ht="14.5" hidden="false" customHeight="false" outlineLevel="0" collapsed="false">
      <c r="A731" s="124" t="n">
        <v>11472.1473001431</v>
      </c>
    </row>
    <row r="732" customFormat="false" ht="14.5" hidden="false" customHeight="false" outlineLevel="0" collapsed="false">
      <c r="A732" s="124" t="n">
        <v>5425.05784669355</v>
      </c>
    </row>
    <row r="733" customFormat="false" ht="14.5" hidden="false" customHeight="false" outlineLevel="0" collapsed="false">
      <c r="A733" s="124" t="n">
        <v>6610.26540463581</v>
      </c>
    </row>
    <row r="734" customFormat="false" ht="14.5" hidden="false" customHeight="false" outlineLevel="0" collapsed="false">
      <c r="A734" s="124" t="n">
        <v>4111.39927779785</v>
      </c>
    </row>
    <row r="735" customFormat="false" ht="14.5" hidden="false" customHeight="false" outlineLevel="0" collapsed="false">
      <c r="A735" s="124" t="n">
        <v>3596.72884949626</v>
      </c>
    </row>
    <row r="736" customFormat="false" ht="14.5" hidden="false" customHeight="false" outlineLevel="0" collapsed="false">
      <c r="A736" s="124" t="n">
        <v>3965.48269989866</v>
      </c>
    </row>
    <row r="737" customFormat="false" ht="14.5" hidden="false" customHeight="false" outlineLevel="0" collapsed="false">
      <c r="A737" s="124" t="n">
        <v>1725.7151759347</v>
      </c>
    </row>
    <row r="738" customFormat="false" ht="14.5" hidden="false" customHeight="false" outlineLevel="0" collapsed="false">
      <c r="A738" s="124" t="n">
        <v>5938.51713331033</v>
      </c>
    </row>
    <row r="739" customFormat="false" ht="14.5" hidden="false" customHeight="false" outlineLevel="0" collapsed="false">
      <c r="A739" s="124" t="n">
        <v>-1156.95574927431</v>
      </c>
    </row>
    <row r="740" customFormat="false" ht="14.5" hidden="false" customHeight="false" outlineLevel="0" collapsed="false">
      <c r="A740" s="124" t="n">
        <v>7659.73053661531</v>
      </c>
    </row>
    <row r="741" customFormat="false" ht="14.5" hidden="false" customHeight="false" outlineLevel="0" collapsed="false">
      <c r="A741" s="124" t="n">
        <v>-4498.81581217736</v>
      </c>
    </row>
    <row r="742" customFormat="false" ht="14.5" hidden="false" customHeight="false" outlineLevel="0" collapsed="false">
      <c r="A742" s="124" t="n">
        <v>-3334.61843372658</v>
      </c>
    </row>
    <row r="743" customFormat="false" ht="14.5" hidden="false" customHeight="false" outlineLevel="0" collapsed="false">
      <c r="A743" s="124" t="n">
        <v>1574.20446080876</v>
      </c>
    </row>
    <row r="744" customFormat="false" ht="14.5" hidden="false" customHeight="false" outlineLevel="0" collapsed="false">
      <c r="A744" s="124" t="n">
        <v>-89.3477767012</v>
      </c>
    </row>
    <row r="745" customFormat="false" ht="14.5" hidden="false" customHeight="false" outlineLevel="0" collapsed="false">
      <c r="A745" s="124" t="n">
        <v>6911.21540448186</v>
      </c>
    </row>
    <row r="746" customFormat="false" ht="14.5" hidden="false" customHeight="false" outlineLevel="0" collapsed="false">
      <c r="A746" s="124" t="n">
        <v>6897.68264819409</v>
      </c>
    </row>
    <row r="747" customFormat="false" ht="14.5" hidden="false" customHeight="false" outlineLevel="0" collapsed="false">
      <c r="A747" s="124" t="n">
        <v>-5775.4114780965</v>
      </c>
    </row>
    <row r="748" customFormat="false" ht="14.5" hidden="false" customHeight="false" outlineLevel="0" collapsed="false">
      <c r="A748" s="124" t="n">
        <v>8048.09656456338</v>
      </c>
    </row>
    <row r="749" customFormat="false" ht="14.5" hidden="false" customHeight="false" outlineLevel="0" collapsed="false">
      <c r="A749" s="124" t="n">
        <v>12708.405142677</v>
      </c>
    </row>
    <row r="750" customFormat="false" ht="14.5" hidden="false" customHeight="false" outlineLevel="0" collapsed="false">
      <c r="A750" s="124" t="n">
        <v>4229.80822296398</v>
      </c>
    </row>
    <row r="751" customFormat="false" ht="14.5" hidden="false" customHeight="false" outlineLevel="0" collapsed="false">
      <c r="A751" s="124" t="n">
        <v>7062.5969680128</v>
      </c>
    </row>
    <row r="752" customFormat="false" ht="14.5" hidden="false" customHeight="false" outlineLevel="0" collapsed="false">
      <c r="A752" s="124" t="n">
        <v>4878.51728556911</v>
      </c>
    </row>
    <row r="753" customFormat="false" ht="14.5" hidden="false" customHeight="false" outlineLevel="0" collapsed="false">
      <c r="A753" s="124" t="n">
        <v>6434.46570736334</v>
      </c>
    </row>
    <row r="754" customFormat="false" ht="14.5" hidden="false" customHeight="false" outlineLevel="0" collapsed="false">
      <c r="A754" s="124" t="n">
        <v>3893.39016046281</v>
      </c>
    </row>
    <row r="755" customFormat="false" ht="14.5" hidden="false" customHeight="false" outlineLevel="0" collapsed="false">
      <c r="A755" s="124" t="n">
        <v>3988.17187702162</v>
      </c>
    </row>
    <row r="756" customFormat="false" ht="14.5" hidden="false" customHeight="false" outlineLevel="0" collapsed="false">
      <c r="A756" s="124" t="n">
        <v>7595.71269356263</v>
      </c>
    </row>
    <row r="757" customFormat="false" ht="14.5" hidden="false" customHeight="false" outlineLevel="0" collapsed="false">
      <c r="A757" s="124" t="n">
        <v>7041.55440203274</v>
      </c>
    </row>
    <row r="758" customFormat="false" ht="14.5" hidden="false" customHeight="false" outlineLevel="0" collapsed="false">
      <c r="A758" s="124" t="n">
        <v>4179.45643110841</v>
      </c>
    </row>
    <row r="759" customFormat="false" ht="14.5" hidden="false" customHeight="false" outlineLevel="0" collapsed="false">
      <c r="A759" s="124" t="n">
        <v>5024.50387357848</v>
      </c>
    </row>
    <row r="760" customFormat="false" ht="14.5" hidden="false" customHeight="false" outlineLevel="0" collapsed="false">
      <c r="A760" s="124" t="n">
        <v>5275.46898835951</v>
      </c>
    </row>
    <row r="761" customFormat="false" ht="14.5" hidden="false" customHeight="false" outlineLevel="0" collapsed="false">
      <c r="A761" s="124" t="n">
        <v>-4426.18780451323</v>
      </c>
    </row>
    <row r="762" customFormat="false" ht="14.5" hidden="false" customHeight="false" outlineLevel="0" collapsed="false">
      <c r="A762" s="124" t="n">
        <v>6639.50002384203</v>
      </c>
    </row>
    <row r="763" customFormat="false" ht="14.5" hidden="false" customHeight="false" outlineLevel="0" collapsed="false">
      <c r="A763" s="124" t="n">
        <v>6603.04051708043</v>
      </c>
    </row>
    <row r="764" customFormat="false" ht="14.5" hidden="false" customHeight="false" outlineLevel="0" collapsed="false">
      <c r="A764" s="124" t="n">
        <v>10749.3415459872</v>
      </c>
    </row>
    <row r="765" customFormat="false" ht="14.5" hidden="false" customHeight="false" outlineLevel="0" collapsed="false">
      <c r="A765" s="124" t="n">
        <v>3704.27975112388</v>
      </c>
    </row>
    <row r="766" customFormat="false" ht="14.5" hidden="false" customHeight="false" outlineLevel="0" collapsed="false">
      <c r="A766" s="124" t="n">
        <v>3016.01294339487</v>
      </c>
    </row>
    <row r="767" customFormat="false" ht="14.5" hidden="false" customHeight="false" outlineLevel="0" collapsed="false">
      <c r="A767" s="124" t="n">
        <v>16537.8865982037</v>
      </c>
    </row>
    <row r="768" customFormat="false" ht="14.5" hidden="false" customHeight="false" outlineLevel="0" collapsed="false">
      <c r="A768" s="124" t="n">
        <v>8679.55005354458</v>
      </c>
    </row>
    <row r="769" customFormat="false" ht="14.5" hidden="false" customHeight="false" outlineLevel="0" collapsed="false">
      <c r="A769" s="124" t="n">
        <v>5517.21317753565</v>
      </c>
    </row>
    <row r="770" customFormat="false" ht="14.5" hidden="false" customHeight="false" outlineLevel="0" collapsed="false">
      <c r="A770" s="124" t="n">
        <v>8404.78139568577</v>
      </c>
    </row>
    <row r="771" customFormat="false" ht="14.5" hidden="false" customHeight="false" outlineLevel="0" collapsed="false">
      <c r="A771" s="124" t="n">
        <v>414.999657083047</v>
      </c>
    </row>
    <row r="772" customFormat="false" ht="14.5" hidden="false" customHeight="false" outlineLevel="0" collapsed="false">
      <c r="A772" s="124" t="n">
        <v>4709.25348149111</v>
      </c>
    </row>
    <row r="773" customFormat="false" ht="14.5" hidden="false" customHeight="false" outlineLevel="0" collapsed="false">
      <c r="A773" s="124" t="n">
        <v>-4117.38678657505</v>
      </c>
    </row>
    <row r="774" customFormat="false" ht="14.5" hidden="false" customHeight="false" outlineLevel="0" collapsed="false">
      <c r="A774" s="124" t="n">
        <v>8569.04859130921</v>
      </c>
    </row>
    <row r="775" customFormat="false" ht="14.5" hidden="false" customHeight="false" outlineLevel="0" collapsed="false">
      <c r="A775" s="124" t="n">
        <v>4261.6579540477</v>
      </c>
    </row>
    <row r="776" customFormat="false" ht="14.5" hidden="false" customHeight="false" outlineLevel="0" collapsed="false">
      <c r="A776" s="124" t="n">
        <v>2802.40957527806</v>
      </c>
    </row>
    <row r="777" customFormat="false" ht="14.5" hidden="false" customHeight="false" outlineLevel="0" collapsed="false">
      <c r="A777" s="124" t="n">
        <v>-1034.83550761041</v>
      </c>
    </row>
    <row r="778" customFormat="false" ht="14.5" hidden="false" customHeight="false" outlineLevel="0" collapsed="false">
      <c r="A778" s="124" t="n">
        <v>12478.8386935936</v>
      </c>
    </row>
    <row r="779" customFormat="false" ht="14.5" hidden="false" customHeight="false" outlineLevel="0" collapsed="false">
      <c r="A779" s="124" t="n">
        <v>17442.1698907782</v>
      </c>
    </row>
    <row r="780" customFormat="false" ht="14.5" hidden="false" customHeight="false" outlineLevel="0" collapsed="false">
      <c r="A780" s="124" t="n">
        <v>-3739.59753113287</v>
      </c>
    </row>
    <row r="781" customFormat="false" ht="14.5" hidden="false" customHeight="false" outlineLevel="0" collapsed="false">
      <c r="A781" s="124" t="n">
        <v>3469.79213169918</v>
      </c>
    </row>
    <row r="782" customFormat="false" ht="14.5" hidden="false" customHeight="false" outlineLevel="0" collapsed="false">
      <c r="A782" s="124" t="n">
        <v>1077.87557926064</v>
      </c>
    </row>
    <row r="783" customFormat="false" ht="14.5" hidden="false" customHeight="false" outlineLevel="0" collapsed="false">
      <c r="A783" s="124" t="n">
        <v>1479.13146508369</v>
      </c>
    </row>
    <row r="784" customFormat="false" ht="14.5" hidden="false" customHeight="false" outlineLevel="0" collapsed="false">
      <c r="A784" s="124" t="n">
        <v>8773.41552365867</v>
      </c>
    </row>
    <row r="785" customFormat="false" ht="14.5" hidden="false" customHeight="false" outlineLevel="0" collapsed="false">
      <c r="A785" s="124" t="n">
        <v>-2132.65203017804</v>
      </c>
    </row>
    <row r="786" customFormat="false" ht="14.5" hidden="false" customHeight="false" outlineLevel="0" collapsed="false">
      <c r="A786" s="124" t="n">
        <v>1090.56531727803</v>
      </c>
    </row>
    <row r="787" customFormat="false" ht="14.5" hidden="false" customHeight="false" outlineLevel="0" collapsed="false">
      <c r="A787" s="124" t="n">
        <v>10380.5828977363</v>
      </c>
    </row>
    <row r="788" customFormat="false" ht="14.5" hidden="false" customHeight="false" outlineLevel="0" collapsed="false">
      <c r="A788" s="124" t="n">
        <v>2892.34822870065</v>
      </c>
    </row>
    <row r="789" customFormat="false" ht="14.5" hidden="false" customHeight="false" outlineLevel="0" collapsed="false">
      <c r="A789" s="124" t="n">
        <v>-5033.40572459609</v>
      </c>
    </row>
    <row r="790" customFormat="false" ht="14.5" hidden="false" customHeight="false" outlineLevel="0" collapsed="false">
      <c r="A790" s="124" t="n">
        <v>1003.03698801626</v>
      </c>
    </row>
    <row r="791" customFormat="false" ht="14.5" hidden="false" customHeight="false" outlineLevel="0" collapsed="false">
      <c r="A791" s="124" t="n">
        <v>7705.68301917028</v>
      </c>
    </row>
    <row r="792" customFormat="false" ht="14.5" hidden="false" customHeight="false" outlineLevel="0" collapsed="false">
      <c r="A792" s="124" t="n">
        <v>-36.6634486851899</v>
      </c>
    </row>
    <row r="793" customFormat="false" ht="14.5" hidden="false" customHeight="false" outlineLevel="0" collapsed="false">
      <c r="A793" s="124" t="n">
        <v>5502.09098142517</v>
      </c>
    </row>
    <row r="794" customFormat="false" ht="14.5" hidden="false" customHeight="false" outlineLevel="0" collapsed="false">
      <c r="A794" s="124" t="n">
        <v>-877.058665336725</v>
      </c>
    </row>
    <row r="795" customFormat="false" ht="14.5" hidden="false" customHeight="false" outlineLevel="0" collapsed="false">
      <c r="A795" s="124" t="n">
        <v>10585.7770181055</v>
      </c>
    </row>
    <row r="796" customFormat="false" ht="14.5" hidden="false" customHeight="false" outlineLevel="0" collapsed="false">
      <c r="A796" s="124" t="n">
        <v>8595.42114685196</v>
      </c>
    </row>
    <row r="797" customFormat="false" ht="14.5" hidden="false" customHeight="false" outlineLevel="0" collapsed="false">
      <c r="A797" s="124" t="n">
        <v>1281.28840483356</v>
      </c>
    </row>
    <row r="798" customFormat="false" ht="14.5" hidden="false" customHeight="false" outlineLevel="0" collapsed="false">
      <c r="A798" s="124" t="n">
        <v>-1088.9729680775</v>
      </c>
    </row>
    <row r="799" customFormat="false" ht="14.5" hidden="false" customHeight="false" outlineLevel="0" collapsed="false">
      <c r="A799" s="124" t="n">
        <v>10910.4151302998</v>
      </c>
    </row>
    <row r="800" customFormat="false" ht="14.5" hidden="false" customHeight="false" outlineLevel="0" collapsed="false">
      <c r="A800" s="124" t="n">
        <v>9081.84501190521</v>
      </c>
    </row>
    <row r="801" customFormat="false" ht="14.5" hidden="false" customHeight="false" outlineLevel="0" collapsed="false">
      <c r="A801" s="124" t="n">
        <v>1850.46403721793</v>
      </c>
    </row>
    <row r="802" customFormat="false" ht="14.5" hidden="false" customHeight="false" outlineLevel="0" collapsed="false">
      <c r="A802" s="124" t="n">
        <v>1594.64032936874</v>
      </c>
    </row>
    <row r="803" customFormat="false" ht="14.5" hidden="false" customHeight="false" outlineLevel="0" collapsed="false">
      <c r="A803" s="124" t="n">
        <v>2485.31763461981</v>
      </c>
    </row>
    <row r="804" customFormat="false" ht="14.5" hidden="false" customHeight="false" outlineLevel="0" collapsed="false">
      <c r="A804" s="124" t="n">
        <v>8711.15556504098</v>
      </c>
    </row>
    <row r="805" customFormat="false" ht="14.5" hidden="false" customHeight="false" outlineLevel="0" collapsed="false">
      <c r="A805" s="124" t="n">
        <v>-418.976491531516</v>
      </c>
    </row>
    <row r="806" customFormat="false" ht="14.5" hidden="false" customHeight="false" outlineLevel="0" collapsed="false">
      <c r="A806" s="124" t="n">
        <v>13294.4777542263</v>
      </c>
    </row>
    <row r="807" customFormat="false" ht="14.5" hidden="false" customHeight="false" outlineLevel="0" collapsed="false">
      <c r="A807" s="124" t="n">
        <v>-8818.38928257373</v>
      </c>
    </row>
    <row r="808" customFormat="false" ht="14.5" hidden="false" customHeight="false" outlineLevel="0" collapsed="false">
      <c r="A808" s="124" t="n">
        <v>6956.23974437789</v>
      </c>
    </row>
    <row r="809" customFormat="false" ht="14.5" hidden="false" customHeight="false" outlineLevel="0" collapsed="false">
      <c r="A809" s="124" t="n">
        <v>-10072.9949628318</v>
      </c>
    </row>
    <row r="810" customFormat="false" ht="14.5" hidden="false" customHeight="false" outlineLevel="0" collapsed="false">
      <c r="A810" s="124" t="n">
        <v>1178.45014001036</v>
      </c>
    </row>
    <row r="811" customFormat="false" ht="14.5" hidden="false" customHeight="false" outlineLevel="0" collapsed="false">
      <c r="A811" s="124" t="n">
        <v>102.067749395003</v>
      </c>
    </row>
    <row r="812" customFormat="false" ht="14.5" hidden="false" customHeight="false" outlineLevel="0" collapsed="false">
      <c r="A812" s="124" t="n">
        <v>1653.19587501011</v>
      </c>
    </row>
    <row r="813" customFormat="false" ht="14.5" hidden="false" customHeight="false" outlineLevel="0" collapsed="false">
      <c r="A813" s="124" t="n">
        <v>5460.63436899762</v>
      </c>
    </row>
    <row r="814" customFormat="false" ht="14.5" hidden="false" customHeight="false" outlineLevel="0" collapsed="false">
      <c r="A814" s="124" t="n">
        <v>3640.82112184606</v>
      </c>
    </row>
    <row r="815" customFormat="false" ht="14.5" hidden="false" customHeight="false" outlineLevel="0" collapsed="false">
      <c r="A815" s="124" t="n">
        <v>7444.09445485486</v>
      </c>
    </row>
    <row r="816" customFormat="false" ht="14.5" hidden="false" customHeight="false" outlineLevel="0" collapsed="false">
      <c r="A816" s="124" t="n">
        <v>2209.00230467675</v>
      </c>
    </row>
    <row r="817" customFormat="false" ht="14.5" hidden="false" customHeight="false" outlineLevel="0" collapsed="false">
      <c r="A817" s="124" t="n">
        <v>14071.3303769577</v>
      </c>
    </row>
    <row r="818" customFormat="false" ht="14.5" hidden="false" customHeight="false" outlineLevel="0" collapsed="false">
      <c r="A818" s="124" t="n">
        <v>3155.05795130622</v>
      </c>
    </row>
    <row r="819" customFormat="false" ht="14.5" hidden="false" customHeight="false" outlineLevel="0" collapsed="false">
      <c r="A819" s="124" t="n">
        <v>1942.4356616933</v>
      </c>
    </row>
    <row r="820" customFormat="false" ht="14.5" hidden="false" customHeight="false" outlineLevel="0" collapsed="false">
      <c r="A820" s="124" t="n">
        <v>4099.14420062673</v>
      </c>
    </row>
    <row r="821" customFormat="false" ht="14.5" hidden="false" customHeight="false" outlineLevel="0" collapsed="false">
      <c r="A821" s="124" t="n">
        <v>11196.5213920194</v>
      </c>
    </row>
    <row r="822" customFormat="false" ht="14.5" hidden="false" customHeight="false" outlineLevel="0" collapsed="false">
      <c r="A822" s="124" t="n">
        <v>8651.8792515929</v>
      </c>
    </row>
    <row r="823" customFormat="false" ht="14.5" hidden="false" customHeight="false" outlineLevel="0" collapsed="false">
      <c r="A823" s="124" t="n">
        <v>4217.46404374586</v>
      </c>
    </row>
    <row r="824" customFormat="false" ht="14.5" hidden="false" customHeight="false" outlineLevel="0" collapsed="false">
      <c r="A824" s="124" t="n">
        <v>1364.62782300255</v>
      </c>
    </row>
    <row r="825" customFormat="false" ht="14.5" hidden="false" customHeight="false" outlineLevel="0" collapsed="false">
      <c r="A825" s="124" t="n">
        <v>9438.87778259043</v>
      </c>
    </row>
    <row r="826" customFormat="false" ht="14.5" hidden="false" customHeight="false" outlineLevel="0" collapsed="false">
      <c r="A826" s="124" t="n">
        <v>4032.89167388059</v>
      </c>
    </row>
    <row r="827" customFormat="false" ht="14.5" hidden="false" customHeight="false" outlineLevel="0" collapsed="false">
      <c r="A827" s="124" t="n">
        <v>2301.74932299213</v>
      </c>
    </row>
    <row r="828" customFormat="false" ht="14.5" hidden="false" customHeight="false" outlineLevel="0" collapsed="false">
      <c r="A828" s="124" t="n">
        <v>6635.33720211018</v>
      </c>
    </row>
    <row r="829" customFormat="false" ht="14.5" hidden="false" customHeight="false" outlineLevel="0" collapsed="false">
      <c r="A829" s="124" t="n">
        <v>2222.85083595983</v>
      </c>
    </row>
    <row r="830" customFormat="false" ht="14.5" hidden="false" customHeight="false" outlineLevel="0" collapsed="false">
      <c r="A830" s="124" t="n">
        <v>11296.5837612933</v>
      </c>
    </row>
    <row r="831" customFormat="false" ht="14.5" hidden="false" customHeight="false" outlineLevel="0" collapsed="false">
      <c r="A831" s="124" t="n">
        <v>10831.7853922763</v>
      </c>
    </row>
    <row r="832" customFormat="false" ht="14.5" hidden="false" customHeight="false" outlineLevel="0" collapsed="false">
      <c r="A832" s="124" t="n">
        <v>15039.0508595312</v>
      </c>
    </row>
    <row r="833" customFormat="false" ht="14.5" hidden="false" customHeight="false" outlineLevel="0" collapsed="false">
      <c r="A833" s="124" t="n">
        <v>4017.27506006755</v>
      </c>
    </row>
    <row r="834" customFormat="false" ht="14.5" hidden="false" customHeight="false" outlineLevel="0" collapsed="false">
      <c r="A834" s="124" t="n">
        <v>4919.70646022914</v>
      </c>
    </row>
    <row r="835" customFormat="false" ht="14.5" hidden="false" customHeight="false" outlineLevel="0" collapsed="false">
      <c r="A835" s="124" t="n">
        <v>872.734075503102</v>
      </c>
    </row>
    <row r="836" customFormat="false" ht="14.5" hidden="false" customHeight="false" outlineLevel="0" collapsed="false">
      <c r="A836" s="124" t="n">
        <v>-1115.59798617078</v>
      </c>
    </row>
    <row r="837" customFormat="false" ht="14.5" hidden="false" customHeight="false" outlineLevel="0" collapsed="false">
      <c r="A837" s="124" t="n">
        <v>-5265.24758355061</v>
      </c>
    </row>
    <row r="838" customFormat="false" ht="14.5" hidden="false" customHeight="false" outlineLevel="0" collapsed="false">
      <c r="A838" s="124" t="n">
        <v>9342.33161169618</v>
      </c>
    </row>
    <row r="839" customFormat="false" ht="14.5" hidden="false" customHeight="false" outlineLevel="0" collapsed="false">
      <c r="A839" s="124" t="n">
        <v>5702.41281788861</v>
      </c>
    </row>
    <row r="840" customFormat="false" ht="14.5" hidden="false" customHeight="false" outlineLevel="0" collapsed="false">
      <c r="A840" s="124" t="n">
        <v>5644.30113013126</v>
      </c>
    </row>
    <row r="841" customFormat="false" ht="14.5" hidden="false" customHeight="false" outlineLevel="0" collapsed="false">
      <c r="A841" s="124" t="n">
        <v>10936.2884469842</v>
      </c>
    </row>
    <row r="842" customFormat="false" ht="14.5" hidden="false" customHeight="false" outlineLevel="0" collapsed="false">
      <c r="A842" s="124" t="n">
        <v>-996.689708858747</v>
      </c>
    </row>
    <row r="843" customFormat="false" ht="14.5" hidden="false" customHeight="false" outlineLevel="0" collapsed="false">
      <c r="A843" s="124" t="n">
        <v>-4430.07650097413</v>
      </c>
    </row>
    <row r="844" customFormat="false" ht="14.5" hidden="false" customHeight="false" outlineLevel="0" collapsed="false">
      <c r="A844" s="124" t="n">
        <v>5454.41544473509</v>
      </c>
    </row>
    <row r="845" customFormat="false" ht="14.5" hidden="false" customHeight="false" outlineLevel="0" collapsed="false">
      <c r="A845" s="124" t="n">
        <v>5360.35177715192</v>
      </c>
    </row>
    <row r="846" customFormat="false" ht="14.5" hidden="false" customHeight="false" outlineLevel="0" collapsed="false">
      <c r="A846" s="124" t="n">
        <v>562.444446960322</v>
      </c>
    </row>
    <row r="847" customFormat="false" ht="14.5" hidden="false" customHeight="false" outlineLevel="0" collapsed="false">
      <c r="A847" s="124" t="n">
        <v>3152.60601034398</v>
      </c>
    </row>
    <row r="848" customFormat="false" ht="14.5" hidden="false" customHeight="false" outlineLevel="0" collapsed="false">
      <c r="A848" s="124" t="n">
        <v>-2341.38601045168</v>
      </c>
    </row>
    <row r="849" customFormat="false" ht="14.5" hidden="false" customHeight="false" outlineLevel="0" collapsed="false">
      <c r="A849" s="124" t="n">
        <v>5032.60488777117</v>
      </c>
    </row>
    <row r="850" customFormat="false" ht="14.5" hidden="false" customHeight="false" outlineLevel="0" collapsed="false">
      <c r="A850" s="124" t="n">
        <v>1205.25046700081</v>
      </c>
    </row>
    <row r="851" customFormat="false" ht="14.5" hidden="false" customHeight="false" outlineLevel="0" collapsed="false">
      <c r="A851" s="124" t="n">
        <v>4637.37918477187</v>
      </c>
    </row>
    <row r="852" customFormat="false" ht="14.5" hidden="false" customHeight="false" outlineLevel="0" collapsed="false">
      <c r="A852" s="124" t="n">
        <v>10946.0541628988</v>
      </c>
    </row>
    <row r="853" customFormat="false" ht="14.5" hidden="false" customHeight="false" outlineLevel="0" collapsed="false">
      <c r="A853" s="124" t="n">
        <v>-2387.48004792666</v>
      </c>
    </row>
    <row r="854" customFormat="false" ht="14.5" hidden="false" customHeight="false" outlineLevel="0" collapsed="false">
      <c r="A854" s="124" t="n">
        <v>2564.5164361626</v>
      </c>
    </row>
    <row r="855" customFormat="false" ht="14.5" hidden="false" customHeight="false" outlineLevel="0" collapsed="false">
      <c r="A855" s="124" t="n">
        <v>8957.99158732661</v>
      </c>
    </row>
    <row r="856" customFormat="false" ht="14.5" hidden="false" customHeight="false" outlineLevel="0" collapsed="false">
      <c r="A856" s="124" t="n">
        <v>4189.76642875624</v>
      </c>
    </row>
    <row r="857" customFormat="false" ht="14.5" hidden="false" customHeight="false" outlineLevel="0" collapsed="false">
      <c r="A857" s="124" t="n">
        <v>1951.97324060674</v>
      </c>
    </row>
    <row r="858" customFormat="false" ht="14.5" hidden="false" customHeight="false" outlineLevel="0" collapsed="false">
      <c r="A858" s="124" t="n">
        <v>1869.2613095518</v>
      </c>
    </row>
    <row r="859" customFormat="false" ht="14.5" hidden="false" customHeight="false" outlineLevel="0" collapsed="false">
      <c r="A859" s="124" t="n">
        <v>3268.52486529284</v>
      </c>
    </row>
    <row r="860" customFormat="false" ht="14.5" hidden="false" customHeight="false" outlineLevel="0" collapsed="false">
      <c r="A860" s="124" t="n">
        <v>7064.29095687205</v>
      </c>
    </row>
    <row r="861" customFormat="false" ht="14.5" hidden="false" customHeight="false" outlineLevel="0" collapsed="false">
      <c r="A861" s="124" t="n">
        <v>5583.18877555545</v>
      </c>
    </row>
    <row r="862" customFormat="false" ht="14.5" hidden="false" customHeight="false" outlineLevel="0" collapsed="false">
      <c r="A862" s="124" t="n">
        <v>-3173.155554871</v>
      </c>
    </row>
    <row r="863" customFormat="false" ht="14.5" hidden="false" customHeight="false" outlineLevel="0" collapsed="false">
      <c r="A863" s="124" t="n">
        <v>11500.8910789407</v>
      </c>
    </row>
    <row r="864" customFormat="false" ht="14.5" hidden="false" customHeight="false" outlineLevel="0" collapsed="false">
      <c r="A864" s="124" t="n">
        <v>9795.97216515783</v>
      </c>
    </row>
    <row r="865" customFormat="false" ht="14.5" hidden="false" customHeight="false" outlineLevel="0" collapsed="false">
      <c r="A865" s="124" t="n">
        <v>9638.66024153232</v>
      </c>
    </row>
    <row r="866" customFormat="false" ht="14.5" hidden="false" customHeight="false" outlineLevel="0" collapsed="false">
      <c r="A866" s="124" t="n">
        <v>-1971.34559423768</v>
      </c>
    </row>
    <row r="867" customFormat="false" ht="14.5" hidden="false" customHeight="false" outlineLevel="0" collapsed="false">
      <c r="A867" s="124" t="n">
        <v>3345.64633924904</v>
      </c>
    </row>
    <row r="868" customFormat="false" ht="14.5" hidden="false" customHeight="false" outlineLevel="0" collapsed="false">
      <c r="A868" s="124" t="n">
        <v>4766.14032967407</v>
      </c>
    </row>
    <row r="869" customFormat="false" ht="14.5" hidden="false" customHeight="false" outlineLevel="0" collapsed="false">
      <c r="A869" s="124" t="n">
        <v>-5167.46750585672</v>
      </c>
    </row>
    <row r="870" customFormat="false" ht="14.5" hidden="false" customHeight="false" outlineLevel="0" collapsed="false">
      <c r="A870" s="124" t="n">
        <v>4428.39682836445</v>
      </c>
    </row>
    <row r="871" customFormat="false" ht="14.5" hidden="false" customHeight="false" outlineLevel="0" collapsed="false">
      <c r="A871" s="124" t="n">
        <v>5173.53628726082</v>
      </c>
    </row>
    <row r="872" customFormat="false" ht="14.5" hidden="false" customHeight="false" outlineLevel="0" collapsed="false">
      <c r="A872" s="124" t="n">
        <v>-2144.06907855195</v>
      </c>
    </row>
    <row r="873" customFormat="false" ht="14.5" hidden="false" customHeight="false" outlineLevel="0" collapsed="false">
      <c r="A873" s="124" t="n">
        <v>7254.68964398378</v>
      </c>
    </row>
    <row r="874" customFormat="false" ht="14.5" hidden="false" customHeight="false" outlineLevel="0" collapsed="false">
      <c r="A874" s="124" t="n">
        <v>10770.6524666132</v>
      </c>
    </row>
    <row r="875" customFormat="false" ht="14.5" hidden="false" customHeight="false" outlineLevel="0" collapsed="false">
      <c r="A875" s="124" t="n">
        <v>-3735.41478516253</v>
      </c>
    </row>
    <row r="876" customFormat="false" ht="14.5" hidden="false" customHeight="false" outlineLevel="0" collapsed="false">
      <c r="A876" s="124" t="n">
        <v>2104.0584104515</v>
      </c>
    </row>
    <row r="877" customFormat="false" ht="14.5" hidden="false" customHeight="false" outlineLevel="0" collapsed="false">
      <c r="A877" s="124" t="n">
        <v>2559.1823453772</v>
      </c>
    </row>
    <row r="878" customFormat="false" ht="14.5" hidden="false" customHeight="false" outlineLevel="0" collapsed="false">
      <c r="A878" s="124" t="n">
        <v>-234.623907537552</v>
      </c>
    </row>
    <row r="879" customFormat="false" ht="14.5" hidden="false" customHeight="false" outlineLevel="0" collapsed="false">
      <c r="A879" s="124" t="n">
        <v>4608.12005249167</v>
      </c>
    </row>
    <row r="880" customFormat="false" ht="14.5" hidden="false" customHeight="false" outlineLevel="0" collapsed="false">
      <c r="A880" s="124" t="n">
        <v>6610.36762453481</v>
      </c>
    </row>
    <row r="881" customFormat="false" ht="14.5" hidden="false" customHeight="false" outlineLevel="0" collapsed="false">
      <c r="A881" s="124" t="n">
        <v>9618.38585038628</v>
      </c>
    </row>
    <row r="882" customFormat="false" ht="14.5" hidden="false" customHeight="false" outlineLevel="0" collapsed="false">
      <c r="A882" s="124" t="n">
        <v>-2473.61975754485</v>
      </c>
    </row>
    <row r="883" customFormat="false" ht="14.5" hidden="false" customHeight="false" outlineLevel="0" collapsed="false">
      <c r="A883" s="124" t="n">
        <v>1325.9752025203</v>
      </c>
    </row>
    <row r="884" customFormat="false" ht="14.5" hidden="false" customHeight="false" outlineLevel="0" collapsed="false">
      <c r="A884" s="124" t="n">
        <v>9991.59522274761</v>
      </c>
    </row>
    <row r="885" customFormat="false" ht="14.5" hidden="false" customHeight="false" outlineLevel="0" collapsed="false">
      <c r="A885" s="124" t="n">
        <v>641.445432829457</v>
      </c>
    </row>
    <row r="886" customFormat="false" ht="14.5" hidden="false" customHeight="false" outlineLevel="0" collapsed="false">
      <c r="A886" s="124" t="n">
        <v>11225.2487503908</v>
      </c>
    </row>
    <row r="887" customFormat="false" ht="14.5" hidden="false" customHeight="false" outlineLevel="0" collapsed="false">
      <c r="A887" s="124" t="n">
        <v>2969.84446405466</v>
      </c>
    </row>
    <row r="888" customFormat="false" ht="14.5" hidden="false" customHeight="false" outlineLevel="0" collapsed="false">
      <c r="A888" s="124" t="n">
        <v>-247.563203240644</v>
      </c>
    </row>
    <row r="889" customFormat="false" ht="14.5" hidden="false" customHeight="false" outlineLevel="0" collapsed="false">
      <c r="A889" s="124" t="n">
        <v>2126.96891025477</v>
      </c>
    </row>
    <row r="890" customFormat="false" ht="14.5" hidden="false" customHeight="false" outlineLevel="0" collapsed="false">
      <c r="A890" s="124" t="n">
        <v>683.011164690888</v>
      </c>
    </row>
    <row r="891" customFormat="false" ht="14.5" hidden="false" customHeight="false" outlineLevel="0" collapsed="false">
      <c r="A891" s="124" t="n">
        <v>2032.95480540298</v>
      </c>
    </row>
    <row r="892" customFormat="false" ht="14.5" hidden="false" customHeight="false" outlineLevel="0" collapsed="false">
      <c r="A892" s="124" t="n">
        <v>4592.4128313814</v>
      </c>
    </row>
    <row r="893" customFormat="false" ht="14.5" hidden="false" customHeight="false" outlineLevel="0" collapsed="false">
      <c r="A893" s="124" t="n">
        <v>2178.99695737041</v>
      </c>
    </row>
    <row r="894" customFormat="false" ht="14.5" hidden="false" customHeight="false" outlineLevel="0" collapsed="false">
      <c r="A894" s="124" t="n">
        <v>1812.88570527659</v>
      </c>
    </row>
    <row r="895" customFormat="false" ht="14.5" hidden="false" customHeight="false" outlineLevel="0" collapsed="false">
      <c r="A895" s="124" t="n">
        <v>-861.803550143138</v>
      </c>
    </row>
    <row r="896" customFormat="false" ht="14.5" hidden="false" customHeight="false" outlineLevel="0" collapsed="false">
      <c r="A896" s="124" t="n">
        <v>8558.85108873054</v>
      </c>
    </row>
    <row r="897" customFormat="false" ht="14.5" hidden="false" customHeight="false" outlineLevel="0" collapsed="false">
      <c r="A897" s="124" t="n">
        <v>7411.43209182307</v>
      </c>
    </row>
    <row r="898" customFormat="false" ht="14.5" hidden="false" customHeight="false" outlineLevel="0" collapsed="false">
      <c r="A898" s="124" t="n">
        <v>11174.6467318689</v>
      </c>
    </row>
    <row r="899" customFormat="false" ht="14.5" hidden="false" customHeight="false" outlineLevel="0" collapsed="false">
      <c r="A899" s="124" t="n">
        <v>7658.16977462602</v>
      </c>
    </row>
    <row r="900" customFormat="false" ht="14.5" hidden="false" customHeight="false" outlineLevel="0" collapsed="false">
      <c r="A900" s="124" t="n">
        <v>4974.99709558132</v>
      </c>
    </row>
    <row r="901" customFormat="false" ht="14.5" hidden="false" customHeight="false" outlineLevel="0" collapsed="false">
      <c r="A901" s="124" t="n">
        <v>9188.48993611743</v>
      </c>
    </row>
    <row r="902" customFormat="false" ht="14.5" hidden="false" customHeight="false" outlineLevel="0" collapsed="false">
      <c r="A902" s="124" t="n">
        <v>6156.49681837868</v>
      </c>
    </row>
    <row r="903" customFormat="false" ht="14.5" hidden="false" customHeight="false" outlineLevel="0" collapsed="false">
      <c r="A903" s="124" t="n">
        <v>-1392.11785962865</v>
      </c>
    </row>
    <row r="904" customFormat="false" ht="14.5" hidden="false" customHeight="false" outlineLevel="0" collapsed="false">
      <c r="A904" s="124" t="n">
        <v>5320.12058907387</v>
      </c>
    </row>
    <row r="905" customFormat="false" ht="14.5" hidden="false" customHeight="false" outlineLevel="0" collapsed="false">
      <c r="A905" s="124" t="n">
        <v>8195.107157275</v>
      </c>
    </row>
    <row r="906" customFormat="false" ht="14.5" hidden="false" customHeight="false" outlineLevel="0" collapsed="false">
      <c r="A906" s="124" t="n">
        <v>11031.6797377018</v>
      </c>
    </row>
    <row r="907" customFormat="false" ht="14.5" hidden="false" customHeight="false" outlineLevel="0" collapsed="false">
      <c r="A907" s="124" t="n">
        <v>3877.34169557852</v>
      </c>
    </row>
    <row r="908" customFormat="false" ht="14.5" hidden="false" customHeight="false" outlineLevel="0" collapsed="false">
      <c r="A908" s="124" t="n">
        <v>2378.50627995238</v>
      </c>
    </row>
    <row r="909" customFormat="false" ht="14.5" hidden="false" customHeight="false" outlineLevel="0" collapsed="false">
      <c r="A909" s="124" t="n">
        <v>4152.93617708021</v>
      </c>
    </row>
    <row r="910" customFormat="false" ht="14.5" hidden="false" customHeight="false" outlineLevel="0" collapsed="false">
      <c r="A910" s="124" t="n">
        <v>6001.38521205294</v>
      </c>
    </row>
    <row r="911" customFormat="false" ht="14.5" hidden="false" customHeight="false" outlineLevel="0" collapsed="false">
      <c r="A911" s="124" t="n">
        <v>2883.59263587478</v>
      </c>
    </row>
    <row r="912" customFormat="false" ht="14.5" hidden="false" customHeight="false" outlineLevel="0" collapsed="false">
      <c r="A912" s="124" t="n">
        <v>9995.10660724057</v>
      </c>
    </row>
    <row r="913" customFormat="false" ht="14.5" hidden="false" customHeight="false" outlineLevel="0" collapsed="false">
      <c r="A913" s="124" t="n">
        <v>503.371652559638</v>
      </c>
    </row>
    <row r="914" customFormat="false" ht="14.5" hidden="false" customHeight="false" outlineLevel="0" collapsed="false">
      <c r="A914" s="124" t="n">
        <v>-2906.83488504648</v>
      </c>
    </row>
    <row r="915" customFormat="false" ht="14.5" hidden="false" customHeight="false" outlineLevel="0" collapsed="false">
      <c r="A915" s="124" t="n">
        <v>6570.343294405</v>
      </c>
    </row>
    <row r="916" customFormat="false" ht="14.5" hidden="false" customHeight="false" outlineLevel="0" collapsed="false">
      <c r="A916" s="124" t="n">
        <v>2613.02608256127</v>
      </c>
    </row>
    <row r="917" customFormat="false" ht="14.5" hidden="false" customHeight="false" outlineLevel="0" collapsed="false">
      <c r="A917" s="124" t="n">
        <v>-2350.91140144795</v>
      </c>
    </row>
    <row r="918" customFormat="false" ht="14.5" hidden="false" customHeight="false" outlineLevel="0" collapsed="false">
      <c r="A918" s="124" t="n">
        <v>450.474893998936</v>
      </c>
    </row>
    <row r="919" customFormat="false" ht="14.5" hidden="false" customHeight="false" outlineLevel="0" collapsed="false">
      <c r="A919" s="124" t="n">
        <v>7688.15873881544</v>
      </c>
    </row>
    <row r="920" customFormat="false" ht="14.5" hidden="false" customHeight="false" outlineLevel="0" collapsed="false">
      <c r="A920" s="124" t="n">
        <v>8290.00656360685</v>
      </c>
    </row>
    <row r="921" customFormat="false" ht="14.5" hidden="false" customHeight="false" outlineLevel="0" collapsed="false">
      <c r="A921" s="124" t="n">
        <v>3730.35189958764</v>
      </c>
    </row>
    <row r="922" customFormat="false" ht="14.5" hidden="false" customHeight="false" outlineLevel="0" collapsed="false">
      <c r="A922" s="124" t="n">
        <v>-174.65046383392</v>
      </c>
    </row>
    <row r="923" customFormat="false" ht="14.5" hidden="false" customHeight="false" outlineLevel="0" collapsed="false">
      <c r="A923" s="124" t="n">
        <v>10974.3408859247</v>
      </c>
    </row>
    <row r="924" customFormat="false" ht="14.5" hidden="false" customHeight="false" outlineLevel="0" collapsed="false">
      <c r="A924" s="124" t="n">
        <v>9669.69958122969</v>
      </c>
    </row>
    <row r="925" customFormat="false" ht="14.5" hidden="false" customHeight="false" outlineLevel="0" collapsed="false">
      <c r="A925" s="124" t="n">
        <v>4264.68799624963</v>
      </c>
    </row>
    <row r="926" customFormat="false" ht="14.5" hidden="false" customHeight="false" outlineLevel="0" collapsed="false">
      <c r="A926" s="124" t="n">
        <v>1776.88806652986</v>
      </c>
    </row>
    <row r="927" customFormat="false" ht="14.5" hidden="false" customHeight="false" outlineLevel="0" collapsed="false">
      <c r="A927" s="124" t="n">
        <v>329.266627655621</v>
      </c>
    </row>
    <row r="928" customFormat="false" ht="14.5" hidden="false" customHeight="false" outlineLevel="0" collapsed="false">
      <c r="A928" s="124" t="n">
        <v>6533.07269262461</v>
      </c>
    </row>
    <row r="929" customFormat="false" ht="14.5" hidden="false" customHeight="false" outlineLevel="0" collapsed="false">
      <c r="A929" s="124" t="n">
        <v>10578.0253672556</v>
      </c>
    </row>
    <row r="930" customFormat="false" ht="14.5" hidden="false" customHeight="false" outlineLevel="0" collapsed="false">
      <c r="A930" s="124" t="n">
        <v>1253.42415245764</v>
      </c>
    </row>
    <row r="931" customFormat="false" ht="14.5" hidden="false" customHeight="false" outlineLevel="0" collapsed="false">
      <c r="A931" s="124" t="n">
        <v>3678.11917932673</v>
      </c>
    </row>
    <row r="932" customFormat="false" ht="14.5" hidden="false" customHeight="false" outlineLevel="0" collapsed="false">
      <c r="A932" s="124" t="n">
        <v>1064.39988481495</v>
      </c>
    </row>
    <row r="933" customFormat="false" ht="14.5" hidden="false" customHeight="false" outlineLevel="0" collapsed="false">
      <c r="A933" s="124" t="n">
        <v>5596.84669694236</v>
      </c>
    </row>
    <row r="934" customFormat="false" ht="14.5" hidden="false" customHeight="false" outlineLevel="0" collapsed="false">
      <c r="A934" s="124" t="n">
        <v>5464.00355246082</v>
      </c>
    </row>
    <row r="935" customFormat="false" ht="14.5" hidden="false" customHeight="false" outlineLevel="0" collapsed="false">
      <c r="A935" s="124" t="n">
        <v>-249.707829685766</v>
      </c>
    </row>
    <row r="936" customFormat="false" ht="14.5" hidden="false" customHeight="false" outlineLevel="0" collapsed="false">
      <c r="A936" s="124" t="n">
        <v>1118.56747847049</v>
      </c>
    </row>
    <row r="937" customFormat="false" ht="14.5" hidden="false" customHeight="false" outlineLevel="0" collapsed="false">
      <c r="A937" s="124" t="n">
        <v>9146.54153805304</v>
      </c>
    </row>
    <row r="938" customFormat="false" ht="14.5" hidden="false" customHeight="false" outlineLevel="0" collapsed="false">
      <c r="A938" s="124" t="n">
        <v>-12260.7373460999</v>
      </c>
    </row>
    <row r="939" customFormat="false" ht="14.5" hidden="false" customHeight="false" outlineLevel="0" collapsed="false">
      <c r="A939" s="124" t="n">
        <v>5835.81459072951</v>
      </c>
    </row>
    <row r="940" customFormat="false" ht="14.5" hidden="false" customHeight="false" outlineLevel="0" collapsed="false">
      <c r="A940" s="124" t="n">
        <v>8240.04038996605</v>
      </c>
    </row>
    <row r="941" customFormat="false" ht="14.5" hidden="false" customHeight="false" outlineLevel="0" collapsed="false">
      <c r="A941" s="124" t="n">
        <v>-321.397120477025</v>
      </c>
    </row>
    <row r="942" customFormat="false" ht="14.5" hidden="false" customHeight="false" outlineLevel="0" collapsed="false">
      <c r="A942" s="124" t="n">
        <v>165.811041969092</v>
      </c>
    </row>
    <row r="943" customFormat="false" ht="14.5" hidden="false" customHeight="false" outlineLevel="0" collapsed="false">
      <c r="A943" s="124" t="n">
        <v>12425.2664857211</v>
      </c>
    </row>
    <row r="944" customFormat="false" ht="14.5" hidden="false" customHeight="false" outlineLevel="0" collapsed="false">
      <c r="A944" s="124" t="n">
        <v>4180.32236575158</v>
      </c>
    </row>
    <row r="945" customFormat="false" ht="14.5" hidden="false" customHeight="false" outlineLevel="0" collapsed="false">
      <c r="A945" s="124" t="n">
        <v>1368.5939733996</v>
      </c>
    </row>
    <row r="946" customFormat="false" ht="14.5" hidden="false" customHeight="false" outlineLevel="0" collapsed="false">
      <c r="A946" s="124" t="n">
        <v>-11681.3420300761</v>
      </c>
    </row>
    <row r="947" customFormat="false" ht="14.5" hidden="false" customHeight="false" outlineLevel="0" collapsed="false">
      <c r="A947" s="124" t="n">
        <v>14464.5672670157</v>
      </c>
    </row>
    <row r="948" customFormat="false" ht="14.5" hidden="false" customHeight="false" outlineLevel="0" collapsed="false">
      <c r="A948" s="124" t="n">
        <v>-1872.82366488162</v>
      </c>
    </row>
    <row r="949" customFormat="false" ht="14.5" hidden="false" customHeight="false" outlineLevel="0" collapsed="false">
      <c r="A949" s="124" t="n">
        <v>6693.04537175983</v>
      </c>
    </row>
    <row r="950" customFormat="false" ht="14.5" hidden="false" customHeight="false" outlineLevel="0" collapsed="false">
      <c r="A950" s="124" t="n">
        <v>16943.0928690438</v>
      </c>
    </row>
    <row r="951" customFormat="false" ht="14.5" hidden="false" customHeight="false" outlineLevel="0" collapsed="false">
      <c r="A951" s="124" t="n">
        <v>72.6171142145959</v>
      </c>
    </row>
    <row r="952" customFormat="false" ht="14.5" hidden="false" customHeight="false" outlineLevel="0" collapsed="false">
      <c r="A952" s="124" t="n">
        <v>-1018.84436962631</v>
      </c>
    </row>
    <row r="953" customFormat="false" ht="14.5" hidden="false" customHeight="false" outlineLevel="0" collapsed="false">
      <c r="A953" s="124" t="n">
        <v>9228.91799014926</v>
      </c>
    </row>
    <row r="954" customFormat="false" ht="14.5" hidden="false" customHeight="false" outlineLevel="0" collapsed="false">
      <c r="A954" s="124" t="n">
        <v>-5182.8801348025</v>
      </c>
    </row>
    <row r="955" customFormat="false" ht="14.5" hidden="false" customHeight="false" outlineLevel="0" collapsed="false">
      <c r="A955" s="124" t="n">
        <v>2151.31189977916</v>
      </c>
    </row>
    <row r="956" customFormat="false" ht="14.5" hidden="false" customHeight="false" outlineLevel="0" collapsed="false">
      <c r="A956" s="124" t="n">
        <v>-250.132724084237</v>
      </c>
    </row>
    <row r="957" customFormat="false" ht="14.5" hidden="false" customHeight="false" outlineLevel="0" collapsed="false">
      <c r="A957" s="124" t="n">
        <v>9756.28841059526</v>
      </c>
    </row>
    <row r="958" customFormat="false" ht="14.5" hidden="false" customHeight="false" outlineLevel="0" collapsed="false">
      <c r="A958" s="124" t="n">
        <v>-3048.26422321475</v>
      </c>
    </row>
    <row r="959" customFormat="false" ht="14.5" hidden="false" customHeight="false" outlineLevel="0" collapsed="false">
      <c r="A959" s="124" t="n">
        <v>3954.12391689045</v>
      </c>
    </row>
    <row r="960" customFormat="false" ht="14.5" hidden="false" customHeight="false" outlineLevel="0" collapsed="false">
      <c r="A960" s="124" t="n">
        <v>2023.70098285234</v>
      </c>
    </row>
    <row r="961" customFormat="false" ht="14.5" hidden="false" customHeight="false" outlineLevel="0" collapsed="false">
      <c r="A961" s="124" t="n">
        <v>10576.0083306556</v>
      </c>
    </row>
    <row r="962" customFormat="false" ht="14.5" hidden="false" customHeight="false" outlineLevel="0" collapsed="false">
      <c r="A962" s="124" t="n">
        <v>2334.24926964546</v>
      </c>
    </row>
    <row r="963" customFormat="false" ht="14.5" hidden="false" customHeight="false" outlineLevel="0" collapsed="false">
      <c r="A963" s="124" t="n">
        <v>-2840.82590807551</v>
      </c>
    </row>
    <row r="964" customFormat="false" ht="14.5" hidden="false" customHeight="false" outlineLevel="0" collapsed="false">
      <c r="A964" s="124" t="n">
        <v>6892.31510066692</v>
      </c>
    </row>
    <row r="965" customFormat="false" ht="14.5" hidden="false" customHeight="false" outlineLevel="0" collapsed="false">
      <c r="A965" s="124" t="n">
        <v>5247.44535794811</v>
      </c>
    </row>
    <row r="966" customFormat="false" ht="14.5" hidden="false" customHeight="false" outlineLevel="0" collapsed="false">
      <c r="A966" s="124" t="n">
        <v>8530.4211807369</v>
      </c>
    </row>
    <row r="967" customFormat="false" ht="14.5" hidden="false" customHeight="false" outlineLevel="0" collapsed="false">
      <c r="A967" s="124" t="n">
        <v>-2425.55233775893</v>
      </c>
    </row>
    <row r="968" customFormat="false" ht="14.5" hidden="false" customHeight="false" outlineLevel="0" collapsed="false">
      <c r="A968" s="124" t="n">
        <v>10153.8744173409</v>
      </c>
    </row>
    <row r="969" customFormat="false" ht="14.5" hidden="false" customHeight="false" outlineLevel="0" collapsed="false">
      <c r="A969" s="124" t="n">
        <v>740.409381512362</v>
      </c>
    </row>
    <row r="970" customFormat="false" ht="14.5" hidden="false" customHeight="false" outlineLevel="0" collapsed="false">
      <c r="A970" s="124" t="n">
        <v>14913.7537366043</v>
      </c>
    </row>
    <row r="971" customFormat="false" ht="14.5" hidden="false" customHeight="false" outlineLevel="0" collapsed="false">
      <c r="A971" s="124" t="n">
        <v>8547.51518767469</v>
      </c>
    </row>
    <row r="972" customFormat="false" ht="14.5" hidden="false" customHeight="false" outlineLevel="0" collapsed="false">
      <c r="A972" s="124" t="n">
        <v>7771.72399037735</v>
      </c>
    </row>
    <row r="973" customFormat="false" ht="14.5" hidden="false" customHeight="false" outlineLevel="0" collapsed="false">
      <c r="A973" s="124" t="n">
        <v>5132.18111784905</v>
      </c>
    </row>
    <row r="974" customFormat="false" ht="14.5" hidden="false" customHeight="false" outlineLevel="0" collapsed="false">
      <c r="A974" s="124" t="n">
        <v>-4180.73153316196</v>
      </c>
    </row>
    <row r="975" customFormat="false" ht="14.5" hidden="false" customHeight="false" outlineLevel="0" collapsed="false">
      <c r="A975" s="124" t="n">
        <v>7322.23090987348</v>
      </c>
    </row>
    <row r="976" customFormat="false" ht="14.5" hidden="false" customHeight="false" outlineLevel="0" collapsed="false">
      <c r="A976" s="124" t="n">
        <v>9222.62505639983</v>
      </c>
    </row>
    <row r="977" customFormat="false" ht="14.5" hidden="false" customHeight="false" outlineLevel="0" collapsed="false">
      <c r="A977" s="124" t="n">
        <v>14385.9144949989</v>
      </c>
    </row>
    <row r="978" customFormat="false" ht="14.5" hidden="false" customHeight="false" outlineLevel="0" collapsed="false">
      <c r="A978" s="124" t="n">
        <v>3545.45596090763</v>
      </c>
    </row>
    <row r="979" customFormat="false" ht="14.5" hidden="false" customHeight="false" outlineLevel="0" collapsed="false">
      <c r="A979" s="124" t="n">
        <v>5200.17321573654</v>
      </c>
    </row>
    <row r="980" customFormat="false" ht="14.5" hidden="false" customHeight="false" outlineLevel="0" collapsed="false">
      <c r="A980" s="124" t="n">
        <v>-9436.12141957288</v>
      </c>
    </row>
    <row r="981" customFormat="false" ht="14.5" hidden="false" customHeight="false" outlineLevel="0" collapsed="false">
      <c r="A981" s="124" t="n">
        <v>-9606.50599491248</v>
      </c>
    </row>
    <row r="982" customFormat="false" ht="14.5" hidden="false" customHeight="false" outlineLevel="0" collapsed="false">
      <c r="A982" s="124" t="n">
        <v>-512.736759217475</v>
      </c>
    </row>
    <row r="983" customFormat="false" ht="14.5" hidden="false" customHeight="false" outlineLevel="0" collapsed="false">
      <c r="A983" s="124" t="n">
        <v>2732.34757335195</v>
      </c>
    </row>
    <row r="984" customFormat="false" ht="14.5" hidden="false" customHeight="false" outlineLevel="0" collapsed="false">
      <c r="A984" s="124" t="n">
        <v>6669.1735118112</v>
      </c>
    </row>
    <row r="985" customFormat="false" ht="14.5" hidden="false" customHeight="false" outlineLevel="0" collapsed="false">
      <c r="A985" s="124" t="n">
        <v>12138.9963565729</v>
      </c>
    </row>
    <row r="986" customFormat="false" ht="14.5" hidden="false" customHeight="false" outlineLevel="0" collapsed="false">
      <c r="A986" s="124" t="n">
        <v>5.42277203323738</v>
      </c>
    </row>
    <row r="987" customFormat="false" ht="14.5" hidden="false" customHeight="false" outlineLevel="0" collapsed="false">
      <c r="A987" s="124" t="n">
        <v>9748.92258731208</v>
      </c>
    </row>
    <row r="988" customFormat="false" ht="14.5" hidden="false" customHeight="false" outlineLevel="0" collapsed="false">
      <c r="A988" s="124" t="n">
        <v>582.65402753412</v>
      </c>
    </row>
    <row r="989" customFormat="false" ht="14.5" hidden="false" customHeight="false" outlineLevel="0" collapsed="false">
      <c r="A989" s="124" t="n">
        <v>5851.59276504651</v>
      </c>
    </row>
    <row r="990" customFormat="false" ht="14.5" hidden="false" customHeight="false" outlineLevel="0" collapsed="false">
      <c r="A990" s="124" t="n">
        <v>-4614.72513990702</v>
      </c>
    </row>
    <row r="991" customFormat="false" ht="14.5" hidden="false" customHeight="false" outlineLevel="0" collapsed="false">
      <c r="A991" s="124" t="n">
        <v>2704.47140086847</v>
      </c>
    </row>
    <row r="992" customFormat="false" ht="14.5" hidden="false" customHeight="false" outlineLevel="0" collapsed="false">
      <c r="A992" s="124" t="n">
        <v>10285.2340565205</v>
      </c>
    </row>
    <row r="993" customFormat="false" ht="14.5" hidden="false" customHeight="false" outlineLevel="0" collapsed="false">
      <c r="A993" s="124" t="n">
        <v>-10807.5115977836</v>
      </c>
    </row>
    <row r="994" customFormat="false" ht="14.5" hidden="false" customHeight="false" outlineLevel="0" collapsed="false">
      <c r="A994" s="124" t="n">
        <v>-314.14991678978</v>
      </c>
    </row>
    <row r="995" customFormat="false" ht="14.5" hidden="false" customHeight="false" outlineLevel="0" collapsed="false">
      <c r="A995" s="124" t="n">
        <v>-777.534759673109</v>
      </c>
    </row>
    <row r="996" customFormat="false" ht="14.5" hidden="false" customHeight="false" outlineLevel="0" collapsed="false">
      <c r="A996" s="124" t="n">
        <v>9299.80944210852</v>
      </c>
    </row>
    <row r="997" customFormat="false" ht="14.5" hidden="false" customHeight="false" outlineLevel="0" collapsed="false">
      <c r="A997" s="124" t="n">
        <v>-1029.16304561709</v>
      </c>
    </row>
    <row r="998" customFormat="false" ht="14.5" hidden="false" customHeight="false" outlineLevel="0" collapsed="false">
      <c r="A998" s="124" t="n">
        <v>17433.6550321887</v>
      </c>
    </row>
    <row r="999" customFormat="false" ht="14.5" hidden="false" customHeight="false" outlineLevel="0" collapsed="false">
      <c r="A999" s="124" t="n">
        <v>7771.13174499297</v>
      </c>
    </row>
    <row r="1000" customFormat="false" ht="14.5" hidden="false" customHeight="false" outlineLevel="0" collapsed="false">
      <c r="A1000" s="124" t="n">
        <v>7493.9916982373</v>
      </c>
    </row>
    <row r="1001" customFormat="false" ht="14.5" hidden="false" customHeight="false" outlineLevel="0" collapsed="false">
      <c r="A1001" s="124" t="n">
        <v>7976.46096290939</v>
      </c>
    </row>
    <row r="1002" customFormat="false" ht="14.5" hidden="false" customHeight="false" outlineLevel="0" collapsed="false">
      <c r="A1002" s="124" t="n">
        <v>3501.66281554888</v>
      </c>
    </row>
    <row r="1003" customFormat="false" ht="14.5" hidden="false" customHeight="false" outlineLevel="0" collapsed="false">
      <c r="A1003" s="124" t="n">
        <v>5120.05249241315</v>
      </c>
    </row>
    <row r="1004" customFormat="false" ht="14.5" hidden="false" customHeight="false" outlineLevel="0" collapsed="false">
      <c r="A1004" s="124" t="n">
        <v>11041.2386442094</v>
      </c>
    </row>
    <row r="1005" customFormat="false" ht="14.5" hidden="false" customHeight="false" outlineLevel="0" collapsed="false">
      <c r="A1005" s="124" t="n">
        <v>10456.950720836</v>
      </c>
    </row>
    <row r="1006" customFormat="false" ht="14.5" hidden="false" customHeight="false" outlineLevel="0" collapsed="false">
      <c r="A1006" s="124" t="n">
        <v>699.943976950995</v>
      </c>
    </row>
    <row r="1007" customFormat="false" ht="14.5" hidden="false" customHeight="false" outlineLevel="0" collapsed="false">
      <c r="A1007" s="124" t="n">
        <v>2784.25726847322</v>
      </c>
    </row>
    <row r="1008" customFormat="false" ht="14.5" hidden="false" customHeight="false" outlineLevel="0" collapsed="false">
      <c r="A1008" s="124" t="n">
        <v>7118.64926941127</v>
      </c>
    </row>
    <row r="1009" customFormat="false" ht="14.5" hidden="false" customHeight="false" outlineLevel="0" collapsed="false">
      <c r="A1009" s="124" t="n">
        <v>-6318.15643844569</v>
      </c>
    </row>
    <row r="1010" customFormat="false" ht="14.5" hidden="false" customHeight="false" outlineLevel="0" collapsed="false">
      <c r="A1010" s="124" t="n">
        <v>856.784411667662</v>
      </c>
    </row>
    <row r="1011" customFormat="false" ht="14.5" hidden="false" customHeight="false" outlineLevel="0" collapsed="false">
      <c r="A1011" s="124" t="n">
        <v>-4489.69637870638</v>
      </c>
    </row>
    <row r="1012" customFormat="false" ht="14.5" hidden="false" customHeight="false" outlineLevel="0" collapsed="false">
      <c r="A1012" s="124" t="n">
        <v>3479.49069030115</v>
      </c>
    </row>
    <row r="1013" customFormat="false" ht="14.5" hidden="false" customHeight="false" outlineLevel="0" collapsed="false">
      <c r="A1013" s="124" t="n">
        <v>7607.39056303309</v>
      </c>
    </row>
    <row r="1014" customFormat="false" ht="14.5" hidden="false" customHeight="false" outlineLevel="0" collapsed="false">
      <c r="A1014" s="124" t="n">
        <v>6767.05685624486</v>
      </c>
    </row>
    <row r="1015" customFormat="false" ht="14.5" hidden="false" customHeight="false" outlineLevel="0" collapsed="false">
      <c r="A1015" s="124" t="n">
        <v>935.620126522748</v>
      </c>
    </row>
    <row r="1016" customFormat="false" ht="14.5" hidden="false" customHeight="false" outlineLevel="0" collapsed="false">
      <c r="A1016" s="124" t="n">
        <v>-3234.51918217164</v>
      </c>
    </row>
    <row r="1017" customFormat="false" ht="14.5" hidden="false" customHeight="false" outlineLevel="0" collapsed="false">
      <c r="A1017" s="124" t="n">
        <v>979.138751837051</v>
      </c>
    </row>
    <row r="1018" customFormat="false" ht="14.5" hidden="false" customHeight="false" outlineLevel="0" collapsed="false">
      <c r="A1018" s="124" t="n">
        <v>-847.193405615699</v>
      </c>
    </row>
    <row r="1019" customFormat="false" ht="14.5" hidden="false" customHeight="false" outlineLevel="0" collapsed="false">
      <c r="A1019" s="124" t="n">
        <v>8075.03204210423</v>
      </c>
    </row>
    <row r="1020" customFormat="false" ht="14.5" hidden="false" customHeight="false" outlineLevel="0" collapsed="false">
      <c r="A1020" s="124" t="n">
        <v>12614.5139630144</v>
      </c>
    </row>
    <row r="1021" customFormat="false" ht="14.5" hidden="false" customHeight="false" outlineLevel="0" collapsed="false">
      <c r="A1021" s="124" t="n">
        <v>6634.02944778609</v>
      </c>
    </row>
    <row r="1022" customFormat="false" ht="14.5" hidden="false" customHeight="false" outlineLevel="0" collapsed="false">
      <c r="A1022" s="124" t="n">
        <v>6645.05214448534</v>
      </c>
    </row>
    <row r="1023" customFormat="false" ht="14.5" hidden="false" customHeight="false" outlineLevel="0" collapsed="false">
      <c r="A1023" s="124" t="n">
        <v>6597.89984343051</v>
      </c>
    </row>
    <row r="1024" customFormat="false" ht="14.5" hidden="false" customHeight="false" outlineLevel="0" collapsed="false">
      <c r="A1024" s="124" t="n">
        <v>12806.7724484895</v>
      </c>
    </row>
    <row r="1025" customFormat="false" ht="14.5" hidden="false" customHeight="false" outlineLevel="0" collapsed="false">
      <c r="A1025" s="124" t="n">
        <v>-554.398186765065</v>
      </c>
    </row>
    <row r="1026" customFormat="false" ht="14.5" hidden="false" customHeight="false" outlineLevel="0" collapsed="false">
      <c r="A1026" s="124" t="n">
        <v>8651.91301580025</v>
      </c>
    </row>
    <row r="1027" customFormat="false" ht="14.5" hidden="false" customHeight="false" outlineLevel="0" collapsed="false">
      <c r="A1027" s="124" t="n">
        <v>8287.97313699369</v>
      </c>
    </row>
    <row r="1028" customFormat="false" ht="14.5" hidden="false" customHeight="false" outlineLevel="0" collapsed="false">
      <c r="A1028" s="124" t="n">
        <v>12954.7790042694</v>
      </c>
    </row>
    <row r="1029" customFormat="false" ht="14.5" hidden="false" customHeight="false" outlineLevel="0" collapsed="false">
      <c r="A1029" s="124" t="n">
        <v>1900.82270770971</v>
      </c>
    </row>
    <row r="1030" customFormat="false" ht="14.5" hidden="false" customHeight="false" outlineLevel="0" collapsed="false">
      <c r="A1030" s="124" t="n">
        <v>12084.5499796528</v>
      </c>
    </row>
    <row r="1031" customFormat="false" ht="14.5" hidden="false" customHeight="false" outlineLevel="0" collapsed="false">
      <c r="A1031" s="124" t="n">
        <v>-10611.4904039693</v>
      </c>
    </row>
    <row r="1032" customFormat="false" ht="14.5" hidden="false" customHeight="false" outlineLevel="0" collapsed="false">
      <c r="A1032" s="124" t="n">
        <v>3867.93263121319</v>
      </c>
    </row>
    <row r="1033" customFormat="false" ht="14.5" hidden="false" customHeight="false" outlineLevel="0" collapsed="false">
      <c r="A1033" s="124" t="n">
        <v>2940.21799550028</v>
      </c>
    </row>
    <row r="1034" customFormat="false" ht="14.5" hidden="false" customHeight="false" outlineLevel="0" collapsed="false">
      <c r="A1034" s="124" t="n">
        <v>-4978.23959373629</v>
      </c>
    </row>
    <row r="1035" customFormat="false" ht="14.5" hidden="false" customHeight="false" outlineLevel="0" collapsed="false">
      <c r="A1035" s="124" t="n">
        <v>4211.53680293082</v>
      </c>
    </row>
    <row r="1036" customFormat="false" ht="14.5" hidden="false" customHeight="false" outlineLevel="0" collapsed="false">
      <c r="A1036" s="124" t="n">
        <v>3083.47919231354</v>
      </c>
    </row>
    <row r="1037" customFormat="false" ht="14.5" hidden="false" customHeight="false" outlineLevel="0" collapsed="false">
      <c r="A1037" s="124" t="n">
        <v>1114.44048102848</v>
      </c>
    </row>
    <row r="1038" customFormat="false" ht="14.5" hidden="false" customHeight="false" outlineLevel="0" collapsed="false">
      <c r="A1038" s="124" t="n">
        <v>-380.33763865426</v>
      </c>
    </row>
    <row r="1039" customFormat="false" ht="14.5" hidden="false" customHeight="false" outlineLevel="0" collapsed="false">
      <c r="A1039" s="124" t="n">
        <v>1592.38756080046</v>
      </c>
    </row>
    <row r="1040" customFormat="false" ht="14.5" hidden="false" customHeight="false" outlineLevel="0" collapsed="false">
      <c r="A1040" s="124" t="n">
        <v>11053.0161157851</v>
      </c>
    </row>
    <row r="1041" customFormat="false" ht="14.5" hidden="false" customHeight="false" outlineLevel="0" collapsed="false">
      <c r="A1041" s="124" t="n">
        <v>-7457.36474101792</v>
      </c>
    </row>
    <row r="1042" customFormat="false" ht="14.5" hidden="false" customHeight="false" outlineLevel="0" collapsed="false">
      <c r="A1042" s="124" t="n">
        <v>-2368.15027713789</v>
      </c>
    </row>
    <row r="1043" customFormat="false" ht="14.5" hidden="false" customHeight="false" outlineLevel="0" collapsed="false">
      <c r="A1043" s="124" t="n">
        <v>10550.4584927521</v>
      </c>
    </row>
    <row r="1044" customFormat="false" ht="14.5" hidden="false" customHeight="false" outlineLevel="0" collapsed="false">
      <c r="A1044" s="124" t="n">
        <v>8483.14590264987</v>
      </c>
    </row>
    <row r="1045" customFormat="false" ht="14.5" hidden="false" customHeight="false" outlineLevel="0" collapsed="false">
      <c r="A1045" s="124" t="n">
        <v>-2941.35842858029</v>
      </c>
    </row>
    <row r="1046" customFormat="false" ht="14.5" hidden="false" customHeight="false" outlineLevel="0" collapsed="false">
      <c r="A1046" s="124" t="n">
        <v>2878.88823713441</v>
      </c>
    </row>
    <row r="1047" customFormat="false" ht="14.5" hidden="false" customHeight="false" outlineLevel="0" collapsed="false">
      <c r="A1047" s="124" t="n">
        <v>3185.04605291075</v>
      </c>
    </row>
    <row r="1048" customFormat="false" ht="14.5" hidden="false" customHeight="false" outlineLevel="0" collapsed="false">
      <c r="A1048" s="124" t="n">
        <v>9708.4221598515</v>
      </c>
    </row>
    <row r="1049" customFormat="false" ht="14.5" hidden="false" customHeight="false" outlineLevel="0" collapsed="false">
      <c r="A1049" s="124" t="n">
        <v>7402.1149127432</v>
      </c>
    </row>
    <row r="1050" customFormat="false" ht="14.5" hidden="false" customHeight="false" outlineLevel="0" collapsed="false">
      <c r="A1050" s="124" t="n">
        <v>4533.07138732271</v>
      </c>
    </row>
    <row r="1051" customFormat="false" ht="14.5" hidden="false" customHeight="false" outlineLevel="0" collapsed="false">
      <c r="A1051" s="124" t="n">
        <v>14460.4706556345</v>
      </c>
    </row>
    <row r="1052" customFormat="false" ht="14.5" hidden="false" customHeight="false" outlineLevel="0" collapsed="false">
      <c r="A1052" s="124" t="n">
        <v>614.100946470448</v>
      </c>
    </row>
    <row r="1053" customFormat="false" ht="14.5" hidden="false" customHeight="false" outlineLevel="0" collapsed="false">
      <c r="A1053" s="124" t="n">
        <v>1172.07684876309</v>
      </c>
    </row>
    <row r="1054" customFormat="false" ht="14.5" hidden="false" customHeight="false" outlineLevel="0" collapsed="false">
      <c r="A1054" s="124" t="n">
        <v>8439.21991020877</v>
      </c>
    </row>
    <row r="1055" customFormat="false" ht="14.5" hidden="false" customHeight="false" outlineLevel="0" collapsed="false">
      <c r="A1055" s="124" t="n">
        <v>12512.7671122966</v>
      </c>
    </row>
    <row r="1056" customFormat="false" ht="14.5" hidden="false" customHeight="false" outlineLevel="0" collapsed="false">
      <c r="A1056" s="124" t="n">
        <v>-2366.87988073216</v>
      </c>
    </row>
    <row r="1057" customFormat="false" ht="14.5" hidden="false" customHeight="false" outlineLevel="0" collapsed="false">
      <c r="A1057" s="124" t="n">
        <v>-365.57156393199</v>
      </c>
    </row>
    <row r="1058" customFormat="false" ht="14.5" hidden="false" customHeight="false" outlineLevel="0" collapsed="false">
      <c r="A1058" s="124" t="n">
        <v>-1575.43491909324</v>
      </c>
    </row>
    <row r="1059" customFormat="false" ht="14.5" hidden="false" customHeight="false" outlineLevel="0" collapsed="false">
      <c r="A1059" s="124" t="n">
        <v>8816.62583131813</v>
      </c>
    </row>
    <row r="1060" customFormat="false" ht="14.5" hidden="false" customHeight="false" outlineLevel="0" collapsed="false">
      <c r="A1060" s="124" t="n">
        <v>-3055.56519036619</v>
      </c>
    </row>
    <row r="1061" customFormat="false" ht="14.5" hidden="false" customHeight="false" outlineLevel="0" collapsed="false">
      <c r="A1061" s="124" t="n">
        <v>-2919.08951971479</v>
      </c>
    </row>
    <row r="1062" customFormat="false" ht="14.5" hidden="false" customHeight="false" outlineLevel="0" collapsed="false">
      <c r="A1062" s="124" t="n">
        <v>4221.19055364172</v>
      </c>
    </row>
    <row r="1063" customFormat="false" ht="14.5" hidden="false" customHeight="false" outlineLevel="0" collapsed="false">
      <c r="A1063" s="124" t="n">
        <v>5385.8071148231</v>
      </c>
    </row>
    <row r="1064" customFormat="false" ht="14.5" hidden="false" customHeight="false" outlineLevel="0" collapsed="false">
      <c r="A1064" s="124" t="n">
        <v>2483.52740057026</v>
      </c>
    </row>
    <row r="1065" customFormat="false" ht="14.5" hidden="false" customHeight="false" outlineLevel="0" collapsed="false">
      <c r="A1065" s="124" t="n">
        <v>5402.31884426531</v>
      </c>
    </row>
    <row r="1066" customFormat="false" ht="14.5" hidden="false" customHeight="false" outlineLevel="0" collapsed="false">
      <c r="A1066" s="124" t="n">
        <v>3831.81828376899</v>
      </c>
    </row>
    <row r="1067" customFormat="false" ht="14.5" hidden="false" customHeight="false" outlineLevel="0" collapsed="false">
      <c r="A1067" s="124" t="n">
        <v>-241.65322480036</v>
      </c>
    </row>
    <row r="1068" customFormat="false" ht="14.5" hidden="false" customHeight="false" outlineLevel="0" collapsed="false">
      <c r="A1068" s="124" t="n">
        <v>8186.34539602065</v>
      </c>
    </row>
    <row r="1069" customFormat="false" ht="14.5" hidden="false" customHeight="false" outlineLevel="0" collapsed="false">
      <c r="A1069" s="124" t="n">
        <v>6736.19048456917</v>
      </c>
    </row>
    <row r="1070" customFormat="false" ht="14.5" hidden="false" customHeight="false" outlineLevel="0" collapsed="false">
      <c r="A1070" s="124" t="n">
        <v>4854.67345774363</v>
      </c>
    </row>
    <row r="1071" customFormat="false" ht="14.5" hidden="false" customHeight="false" outlineLevel="0" collapsed="false">
      <c r="A1071" s="124" t="n">
        <v>2084.58958967543</v>
      </c>
    </row>
    <row r="1072" customFormat="false" ht="14.5" hidden="false" customHeight="false" outlineLevel="0" collapsed="false">
      <c r="A1072" s="124" t="n">
        <v>6805.94808591476</v>
      </c>
    </row>
    <row r="1073" customFormat="false" ht="14.5" hidden="false" customHeight="false" outlineLevel="0" collapsed="false">
      <c r="A1073" s="124" t="n">
        <v>-65.7618591341898</v>
      </c>
    </row>
    <row r="1074" customFormat="false" ht="14.5" hidden="false" customHeight="false" outlineLevel="0" collapsed="false">
      <c r="A1074" s="124" t="n">
        <v>-11429.274641677</v>
      </c>
    </row>
    <row r="1075" customFormat="false" ht="14.5" hidden="false" customHeight="false" outlineLevel="0" collapsed="false">
      <c r="A1075" s="124" t="n">
        <v>-2447.74178775335</v>
      </c>
    </row>
    <row r="1076" customFormat="false" ht="14.5" hidden="false" customHeight="false" outlineLevel="0" collapsed="false">
      <c r="A1076" s="124" t="n">
        <v>10549.7485221541</v>
      </c>
    </row>
    <row r="1077" customFormat="false" ht="14.5" hidden="false" customHeight="false" outlineLevel="0" collapsed="false">
      <c r="A1077" s="124" t="n">
        <v>10837.2304391082</v>
      </c>
    </row>
    <row r="1078" customFormat="false" ht="14.5" hidden="false" customHeight="false" outlineLevel="0" collapsed="false">
      <c r="A1078" s="124" t="n">
        <v>7586.45028942109</v>
      </c>
    </row>
    <row r="1079" customFormat="false" ht="14.5" hidden="false" customHeight="false" outlineLevel="0" collapsed="false">
      <c r="A1079" s="124" t="n">
        <v>6851.58076889118</v>
      </c>
    </row>
    <row r="1080" customFormat="false" ht="14.5" hidden="false" customHeight="false" outlineLevel="0" collapsed="false">
      <c r="A1080" s="124" t="n">
        <v>-1573.08846245918</v>
      </c>
    </row>
    <row r="1081" customFormat="false" ht="14.5" hidden="false" customHeight="false" outlineLevel="0" collapsed="false">
      <c r="A1081" s="124" t="n">
        <v>-12131.2550775228</v>
      </c>
    </row>
    <row r="1082" customFormat="false" ht="14.5" hidden="false" customHeight="false" outlineLevel="0" collapsed="false">
      <c r="A1082" s="124" t="n">
        <v>-227.45350269018</v>
      </c>
    </row>
    <row r="1083" customFormat="false" ht="14.5" hidden="false" customHeight="false" outlineLevel="0" collapsed="false">
      <c r="A1083" s="124" t="n">
        <v>1603.87281052102</v>
      </c>
    </row>
    <row r="1084" customFormat="false" ht="14.5" hidden="false" customHeight="false" outlineLevel="0" collapsed="false">
      <c r="A1084" s="124" t="n">
        <v>532.616290778281</v>
      </c>
    </row>
    <row r="1085" customFormat="false" ht="14.5" hidden="false" customHeight="false" outlineLevel="0" collapsed="false">
      <c r="A1085" s="124" t="n">
        <v>-1403.16349673416</v>
      </c>
    </row>
    <row r="1086" customFormat="false" ht="14.5" hidden="false" customHeight="false" outlineLevel="0" collapsed="false">
      <c r="A1086" s="124" t="n">
        <v>7202.49827522442</v>
      </c>
    </row>
    <row r="1087" customFormat="false" ht="14.5" hidden="false" customHeight="false" outlineLevel="0" collapsed="false">
      <c r="A1087" s="124" t="n">
        <v>3662.65861915084</v>
      </c>
    </row>
    <row r="1088" customFormat="false" ht="14.5" hidden="false" customHeight="false" outlineLevel="0" collapsed="false">
      <c r="A1088" s="124" t="n">
        <v>8064.65701237019</v>
      </c>
    </row>
    <row r="1089" customFormat="false" ht="14.5" hidden="false" customHeight="false" outlineLevel="0" collapsed="false">
      <c r="A1089" s="124" t="n">
        <v>6359.17515817869</v>
      </c>
    </row>
    <row r="1090" customFormat="false" ht="14.5" hidden="false" customHeight="false" outlineLevel="0" collapsed="false">
      <c r="A1090" s="124" t="n">
        <v>-376.164039016128</v>
      </c>
    </row>
    <row r="1091" customFormat="false" ht="14.5" hidden="false" customHeight="false" outlineLevel="0" collapsed="false">
      <c r="A1091" s="124" t="n">
        <v>6858.94797829335</v>
      </c>
    </row>
    <row r="1092" customFormat="false" ht="14.5" hidden="false" customHeight="false" outlineLevel="0" collapsed="false">
      <c r="A1092" s="124" t="n">
        <v>9208.81405229063</v>
      </c>
    </row>
    <row r="1093" customFormat="false" ht="14.5" hidden="false" customHeight="false" outlineLevel="0" collapsed="false">
      <c r="A1093" s="124" t="n">
        <v>-1742.75842536774</v>
      </c>
    </row>
    <row r="1094" customFormat="false" ht="14.5" hidden="false" customHeight="false" outlineLevel="0" collapsed="false">
      <c r="A1094" s="124" t="n">
        <v>6383.31861361658</v>
      </c>
    </row>
    <row r="1095" customFormat="false" ht="14.5" hidden="false" customHeight="false" outlineLevel="0" collapsed="false">
      <c r="A1095" s="124" t="n">
        <v>442.419413511781</v>
      </c>
    </row>
    <row r="1096" customFormat="false" ht="14.5" hidden="false" customHeight="false" outlineLevel="0" collapsed="false">
      <c r="A1096" s="124" t="n">
        <v>-4127.04595102545</v>
      </c>
    </row>
    <row r="1097" customFormat="false" ht="14.5" hidden="false" customHeight="false" outlineLevel="0" collapsed="false">
      <c r="A1097" s="124" t="n">
        <v>2191.00130129073</v>
      </c>
    </row>
    <row r="1098" customFormat="false" ht="14.5" hidden="false" customHeight="false" outlineLevel="0" collapsed="false">
      <c r="A1098" s="124" t="n">
        <v>1262.92644972262</v>
      </c>
    </row>
    <row r="1099" customFormat="false" ht="14.5" hidden="false" customHeight="false" outlineLevel="0" collapsed="false">
      <c r="A1099" s="124" t="n">
        <v>919.58615071466</v>
      </c>
    </row>
    <row r="1100" customFormat="false" ht="14.5" hidden="false" customHeight="false" outlineLevel="0" collapsed="false">
      <c r="A1100" s="124" t="n">
        <v>2751.64201809527</v>
      </c>
    </row>
    <row r="1101" customFormat="false" ht="14.5" hidden="false" customHeight="false" outlineLevel="0" collapsed="false">
      <c r="A1101" s="124" t="n">
        <v>7593.68312994063</v>
      </c>
    </row>
    <row r="1102" customFormat="false" ht="14.5" hidden="false" customHeight="false" outlineLevel="0" collapsed="false">
      <c r="A1102" s="124" t="n">
        <v>4742.96808834344</v>
      </c>
    </row>
    <row r="1103" customFormat="false" ht="14.5" hidden="false" customHeight="false" outlineLevel="0" collapsed="false">
      <c r="A1103" s="124" t="n">
        <v>9993.08870296308</v>
      </c>
    </row>
    <row r="1104" customFormat="false" ht="14.5" hidden="false" customHeight="false" outlineLevel="0" collapsed="false">
      <c r="A1104" s="124" t="n">
        <v>4245.3011358698</v>
      </c>
    </row>
    <row r="1105" customFormat="false" ht="14.5" hidden="false" customHeight="false" outlineLevel="0" collapsed="false">
      <c r="A1105" s="124" t="n">
        <v>11418.0801820679</v>
      </c>
    </row>
    <row r="1106" customFormat="false" ht="14.5" hidden="false" customHeight="false" outlineLevel="0" collapsed="false">
      <c r="A1106" s="124" t="n">
        <v>5550.28873877896</v>
      </c>
    </row>
    <row r="1107" customFormat="false" ht="14.5" hidden="false" customHeight="false" outlineLevel="0" collapsed="false">
      <c r="A1107" s="124" t="n">
        <v>13429.6063592223</v>
      </c>
    </row>
    <row r="1108" customFormat="false" ht="14.5" hidden="false" customHeight="false" outlineLevel="0" collapsed="false">
      <c r="A1108" s="124" t="n">
        <v>424.492198687733</v>
      </c>
    </row>
    <row r="1109" customFormat="false" ht="14.5" hidden="false" customHeight="false" outlineLevel="0" collapsed="false">
      <c r="A1109" s="124" t="n">
        <v>9173.29189252115</v>
      </c>
    </row>
    <row r="1110" customFormat="false" ht="14.5" hidden="false" customHeight="false" outlineLevel="0" collapsed="false">
      <c r="A1110" s="124" t="n">
        <v>-2159.46446273838</v>
      </c>
    </row>
    <row r="1111" customFormat="false" ht="14.5" hidden="false" customHeight="false" outlineLevel="0" collapsed="false">
      <c r="A1111" s="124" t="n">
        <v>3493.75383374371</v>
      </c>
    </row>
    <row r="1112" customFormat="false" ht="14.5" hidden="false" customHeight="false" outlineLevel="0" collapsed="false">
      <c r="A1112" s="124" t="n">
        <v>672.186292165253</v>
      </c>
    </row>
    <row r="1113" customFormat="false" ht="14.5" hidden="false" customHeight="false" outlineLevel="0" collapsed="false">
      <c r="A1113" s="124" t="n">
        <v>4011.62346456491</v>
      </c>
    </row>
    <row r="1114" customFormat="false" ht="14.5" hidden="false" customHeight="false" outlineLevel="0" collapsed="false">
      <c r="A1114" s="124" t="n">
        <v>13377.0450315598</v>
      </c>
    </row>
    <row r="1115" customFormat="false" ht="14.5" hidden="false" customHeight="false" outlineLevel="0" collapsed="false">
      <c r="A1115" s="124" t="n">
        <v>11315.2971557483</v>
      </c>
    </row>
    <row r="1116" customFormat="false" ht="14.5" hidden="false" customHeight="false" outlineLevel="0" collapsed="false">
      <c r="A1116" s="124" t="n">
        <v>8407.45454622045</v>
      </c>
    </row>
    <row r="1117" customFormat="false" ht="14.5" hidden="false" customHeight="false" outlineLevel="0" collapsed="false">
      <c r="A1117" s="124" t="n">
        <v>-611.985107893843</v>
      </c>
    </row>
    <row r="1118" customFormat="false" ht="14.5" hidden="false" customHeight="false" outlineLevel="0" collapsed="false">
      <c r="A1118" s="124" t="n">
        <v>-1260.01695680275</v>
      </c>
    </row>
    <row r="1119" customFormat="false" ht="14.5" hidden="false" customHeight="false" outlineLevel="0" collapsed="false">
      <c r="A1119" s="124" t="n">
        <v>-4552.3333808059</v>
      </c>
    </row>
    <row r="1120" customFormat="false" ht="14.5" hidden="false" customHeight="false" outlineLevel="0" collapsed="false">
      <c r="A1120" s="124" t="n">
        <v>16291.841022395</v>
      </c>
    </row>
    <row r="1121" customFormat="false" ht="14.5" hidden="false" customHeight="false" outlineLevel="0" collapsed="false">
      <c r="A1121" s="124" t="n">
        <v>-99.7412557083562</v>
      </c>
    </row>
    <row r="1122" customFormat="false" ht="14.5" hidden="false" customHeight="false" outlineLevel="0" collapsed="false">
      <c r="A1122" s="124" t="n">
        <v>-1641.18904929256</v>
      </c>
    </row>
    <row r="1123" customFormat="false" ht="14.5" hidden="false" customHeight="false" outlineLevel="0" collapsed="false">
      <c r="A1123" s="124" t="n">
        <v>5433.1827977828</v>
      </c>
    </row>
    <row r="1124" customFormat="false" ht="14.5" hidden="false" customHeight="false" outlineLevel="0" collapsed="false">
      <c r="A1124" s="124" t="n">
        <v>7308.22499145067</v>
      </c>
    </row>
    <row r="1125" customFormat="false" ht="14.5" hidden="false" customHeight="false" outlineLevel="0" collapsed="false">
      <c r="A1125" s="124" t="n">
        <v>2211.82729523443</v>
      </c>
    </row>
    <row r="1126" customFormat="false" ht="14.5" hidden="false" customHeight="false" outlineLevel="0" collapsed="false">
      <c r="A1126" s="124" t="n">
        <v>-2072.77762362384</v>
      </c>
    </row>
    <row r="1127" customFormat="false" ht="14.5" hidden="false" customHeight="false" outlineLevel="0" collapsed="false">
      <c r="A1127" s="124" t="n">
        <v>-196.964415770399</v>
      </c>
    </row>
    <row r="1128" customFormat="false" ht="14.5" hidden="false" customHeight="false" outlineLevel="0" collapsed="false">
      <c r="A1128" s="124" t="n">
        <v>6103.98511604035</v>
      </c>
    </row>
    <row r="1129" customFormat="false" ht="14.5" hidden="false" customHeight="false" outlineLevel="0" collapsed="false">
      <c r="A1129" s="124" t="n">
        <v>10416.4741142307</v>
      </c>
    </row>
    <row r="1130" customFormat="false" ht="14.5" hidden="false" customHeight="false" outlineLevel="0" collapsed="false">
      <c r="A1130" s="124" t="n">
        <v>7846.16097776781</v>
      </c>
    </row>
    <row r="1131" customFormat="false" ht="14.5" hidden="false" customHeight="false" outlineLevel="0" collapsed="false">
      <c r="A1131" s="124" t="n">
        <v>-3146.52864755843</v>
      </c>
    </row>
    <row r="1132" customFormat="false" ht="14.5" hidden="false" customHeight="false" outlineLevel="0" collapsed="false">
      <c r="A1132" s="124" t="n">
        <v>1355.3536457281</v>
      </c>
    </row>
    <row r="1133" customFormat="false" ht="14.5" hidden="false" customHeight="false" outlineLevel="0" collapsed="false">
      <c r="A1133" s="124" t="n">
        <v>5395.57913044949</v>
      </c>
    </row>
    <row r="1134" customFormat="false" ht="14.5" hidden="false" customHeight="false" outlineLevel="0" collapsed="false">
      <c r="A1134" s="124" t="n">
        <v>-4932.53949498967</v>
      </c>
    </row>
    <row r="1135" customFormat="false" ht="14.5" hidden="false" customHeight="false" outlineLevel="0" collapsed="false">
      <c r="A1135" s="124" t="n">
        <v>4790.03982767242</v>
      </c>
    </row>
    <row r="1136" customFormat="false" ht="14.5" hidden="false" customHeight="false" outlineLevel="0" collapsed="false">
      <c r="A1136" s="124" t="n">
        <v>15300.1694323048</v>
      </c>
    </row>
    <row r="1137" customFormat="false" ht="14.5" hidden="false" customHeight="false" outlineLevel="0" collapsed="false">
      <c r="A1137" s="124" t="n">
        <v>-2877.37519827016</v>
      </c>
    </row>
    <row r="1138" customFormat="false" ht="14.5" hidden="false" customHeight="false" outlineLevel="0" collapsed="false">
      <c r="A1138" s="124" t="n">
        <v>11649.294067827</v>
      </c>
    </row>
    <row r="1139" customFormat="false" ht="14.5" hidden="false" customHeight="false" outlineLevel="0" collapsed="false">
      <c r="A1139" s="124" t="n">
        <v>8100.04894652632</v>
      </c>
    </row>
    <row r="1140" customFormat="false" ht="14.5" hidden="false" customHeight="false" outlineLevel="0" collapsed="false">
      <c r="A1140" s="124" t="n">
        <v>1993.53241173094</v>
      </c>
    </row>
    <row r="1141" customFormat="false" ht="14.5" hidden="false" customHeight="false" outlineLevel="0" collapsed="false">
      <c r="A1141" s="124" t="n">
        <v>924.992999866757</v>
      </c>
    </row>
    <row r="1142" customFormat="false" ht="14.5" hidden="false" customHeight="false" outlineLevel="0" collapsed="false">
      <c r="A1142" s="124" t="n">
        <v>7075.81116867899</v>
      </c>
    </row>
    <row r="1143" customFormat="false" ht="14.5" hidden="false" customHeight="false" outlineLevel="0" collapsed="false">
      <c r="A1143" s="124" t="n">
        <v>-4519.47753546987</v>
      </c>
    </row>
    <row r="1144" customFormat="false" ht="14.5" hidden="false" customHeight="false" outlineLevel="0" collapsed="false">
      <c r="A1144" s="124" t="n">
        <v>6211.21276311681</v>
      </c>
    </row>
    <row r="1145" customFormat="false" ht="14.5" hidden="false" customHeight="false" outlineLevel="0" collapsed="false">
      <c r="A1145" s="124" t="n">
        <v>-1563.70379564067</v>
      </c>
    </row>
    <row r="1146" customFormat="false" ht="14.5" hidden="false" customHeight="false" outlineLevel="0" collapsed="false">
      <c r="A1146" s="124" t="n">
        <v>6741.91845201178</v>
      </c>
    </row>
    <row r="1147" customFormat="false" ht="14.5" hidden="false" customHeight="false" outlineLevel="0" collapsed="false">
      <c r="A1147" s="124" t="n">
        <v>10398.5749275126</v>
      </c>
    </row>
    <row r="1148" customFormat="false" ht="14.5" hidden="false" customHeight="false" outlineLevel="0" collapsed="false">
      <c r="A1148" s="124" t="n">
        <v>12571.3692595145</v>
      </c>
    </row>
    <row r="1149" customFormat="false" ht="14.5" hidden="false" customHeight="false" outlineLevel="0" collapsed="false">
      <c r="A1149" s="124" t="n">
        <v>1316.346450004</v>
      </c>
    </row>
    <row r="1150" customFormat="false" ht="14.5" hidden="false" customHeight="false" outlineLevel="0" collapsed="false">
      <c r="A1150" s="124"/>
    </row>
    <row r="1151" customFormat="false" ht="14.5" hidden="false" customHeight="false" outlineLevel="0" collapsed="false">
      <c r="A1151" s="124"/>
    </row>
    <row r="1152" customFormat="false" ht="14.5" hidden="false" customHeight="false" outlineLevel="0" collapsed="false">
      <c r="A1152" s="124"/>
    </row>
    <row r="1153" customFormat="false" ht="14.5" hidden="false" customHeight="false" outlineLevel="0" collapsed="false">
      <c r="A1153" s="124"/>
    </row>
    <row r="1154" customFormat="false" ht="14.5" hidden="false" customHeight="false" outlineLevel="0" collapsed="false">
      <c r="A1154" s="124"/>
    </row>
    <row r="1155" customFormat="false" ht="14.5" hidden="false" customHeight="false" outlineLevel="0" collapsed="false">
      <c r="A1155" s="124"/>
    </row>
    <row r="1156" customFormat="false" ht="14.5" hidden="false" customHeight="false" outlineLevel="0" collapsed="false">
      <c r="A1156" s="124"/>
    </row>
    <row r="1157" customFormat="false" ht="14.5" hidden="false" customHeight="false" outlineLevel="0" collapsed="false">
      <c r="A1157" s="124"/>
    </row>
    <row r="1158" customFormat="false" ht="14.5" hidden="false" customHeight="false" outlineLevel="0" collapsed="false">
      <c r="A1158" s="124"/>
    </row>
    <row r="1159" customFormat="false" ht="14.5" hidden="false" customHeight="false" outlineLevel="0" collapsed="false">
      <c r="A1159" s="124"/>
    </row>
    <row r="1160" customFormat="false" ht="14.5" hidden="false" customHeight="false" outlineLevel="0" collapsed="false">
      <c r="A1160" s="124"/>
    </row>
    <row r="1161" customFormat="false" ht="14.5" hidden="false" customHeight="false" outlineLevel="0" collapsed="false">
      <c r="A1161" s="124"/>
    </row>
    <row r="1162" customFormat="false" ht="14.5" hidden="false" customHeight="false" outlineLevel="0" collapsed="false">
      <c r="A1162" s="124"/>
    </row>
    <row r="1163" customFormat="false" ht="14.5" hidden="false" customHeight="false" outlineLevel="0" collapsed="false">
      <c r="A1163" s="124"/>
    </row>
    <row r="1164" customFormat="false" ht="14.5" hidden="false" customHeight="false" outlineLevel="0" collapsed="false">
      <c r="A1164" s="124"/>
    </row>
    <row r="1165" customFormat="false" ht="14.5" hidden="false" customHeight="false" outlineLevel="0" collapsed="false">
      <c r="A1165" s="124"/>
    </row>
    <row r="1166" customFormat="false" ht="14.5" hidden="false" customHeight="false" outlineLevel="0" collapsed="false">
      <c r="A1166" s="124"/>
    </row>
    <row r="1167" customFormat="false" ht="14.5" hidden="false" customHeight="false" outlineLevel="0" collapsed="false">
      <c r="A1167" s="124"/>
    </row>
    <row r="1168" customFormat="false" ht="14.5" hidden="false" customHeight="false" outlineLevel="0" collapsed="false">
      <c r="A1168" s="124"/>
    </row>
    <row r="1169" customFormat="false" ht="14.5" hidden="false" customHeight="false" outlineLevel="0" collapsed="false">
      <c r="A1169" s="124"/>
    </row>
    <row r="1170" customFormat="false" ht="14.5" hidden="false" customHeight="false" outlineLevel="0" collapsed="false">
      <c r="A1170" s="124"/>
    </row>
    <row r="1171" customFormat="false" ht="14.5" hidden="false" customHeight="false" outlineLevel="0" collapsed="false">
      <c r="A1171" s="124"/>
    </row>
    <row r="1172" customFormat="false" ht="14.5" hidden="false" customHeight="false" outlineLevel="0" collapsed="false">
      <c r="A1172" s="124"/>
    </row>
    <row r="1173" customFormat="false" ht="14.5" hidden="false" customHeight="false" outlineLevel="0" collapsed="false">
      <c r="A1173" s="124"/>
    </row>
    <row r="1174" customFormat="false" ht="14.5" hidden="false" customHeight="false" outlineLevel="0" collapsed="false">
      <c r="A1174" s="124"/>
    </row>
    <row r="1175" customFormat="false" ht="14.5" hidden="false" customHeight="false" outlineLevel="0" collapsed="false">
      <c r="A1175" s="124"/>
    </row>
    <row r="1176" customFormat="false" ht="14.5" hidden="false" customHeight="false" outlineLevel="0" collapsed="false">
      <c r="A1176" s="124"/>
    </row>
    <row r="1177" customFormat="false" ht="14.5" hidden="false" customHeight="false" outlineLevel="0" collapsed="false">
      <c r="A1177" s="124"/>
    </row>
    <row r="1178" customFormat="false" ht="14.5" hidden="false" customHeight="false" outlineLevel="0" collapsed="false">
      <c r="A1178" s="124"/>
    </row>
    <row r="1179" customFormat="false" ht="14.5" hidden="false" customHeight="false" outlineLevel="0" collapsed="false">
      <c r="A1179" s="124"/>
    </row>
    <row r="1180" customFormat="false" ht="14.5" hidden="false" customHeight="false" outlineLevel="0" collapsed="false">
      <c r="A1180" s="124"/>
    </row>
    <row r="1181" customFormat="false" ht="14.5" hidden="false" customHeight="false" outlineLevel="0" collapsed="false">
      <c r="A1181" s="124"/>
    </row>
    <row r="1182" customFormat="false" ht="14.5" hidden="false" customHeight="false" outlineLevel="0" collapsed="false">
      <c r="A1182" s="124"/>
    </row>
    <row r="1183" customFormat="false" ht="14.5" hidden="false" customHeight="false" outlineLevel="0" collapsed="false">
      <c r="A1183" s="124"/>
    </row>
    <row r="1184" customFormat="false" ht="14.5" hidden="false" customHeight="false" outlineLevel="0" collapsed="false">
      <c r="A1184" s="124"/>
    </row>
    <row r="1185" customFormat="false" ht="14.5" hidden="false" customHeight="false" outlineLevel="0" collapsed="false">
      <c r="A1185" s="124"/>
    </row>
    <row r="1186" customFormat="false" ht="14.5" hidden="false" customHeight="false" outlineLevel="0" collapsed="false">
      <c r="A1186" s="124"/>
    </row>
    <row r="1187" customFormat="false" ht="14.5" hidden="false" customHeight="false" outlineLevel="0" collapsed="false">
      <c r="A1187" s="124"/>
    </row>
    <row r="1188" customFormat="false" ht="14.5" hidden="false" customHeight="false" outlineLevel="0" collapsed="false">
      <c r="A1188" s="124"/>
    </row>
    <row r="1189" customFormat="false" ht="14.5" hidden="false" customHeight="false" outlineLevel="0" collapsed="false">
      <c r="A1189" s="124"/>
    </row>
    <row r="1190" customFormat="false" ht="14.5" hidden="false" customHeight="false" outlineLevel="0" collapsed="false">
      <c r="A1190" s="124"/>
    </row>
    <row r="1191" customFormat="false" ht="14.5" hidden="false" customHeight="false" outlineLevel="0" collapsed="false">
      <c r="A1191" s="124"/>
    </row>
    <row r="1192" customFormat="false" ht="14.5" hidden="false" customHeight="false" outlineLevel="0" collapsed="false">
      <c r="A1192" s="124"/>
    </row>
    <row r="1193" customFormat="false" ht="14.5" hidden="false" customHeight="false" outlineLevel="0" collapsed="false">
      <c r="A1193" s="124"/>
    </row>
    <row r="1194" customFormat="false" ht="14.5" hidden="false" customHeight="false" outlineLevel="0" collapsed="false">
      <c r="A1194" s="124"/>
    </row>
    <row r="1195" customFormat="false" ht="14.5" hidden="false" customHeight="false" outlineLevel="0" collapsed="false">
      <c r="A1195" s="124"/>
    </row>
    <row r="1196" customFormat="false" ht="14.5" hidden="false" customHeight="false" outlineLevel="0" collapsed="false">
      <c r="A1196" s="124"/>
    </row>
    <row r="1197" customFormat="false" ht="14.5" hidden="false" customHeight="false" outlineLevel="0" collapsed="false">
      <c r="A1197" s="124"/>
    </row>
    <row r="1198" customFormat="false" ht="14.5" hidden="false" customHeight="false" outlineLevel="0" collapsed="false">
      <c r="A1198" s="124"/>
    </row>
    <row r="1199" customFormat="false" ht="14.5" hidden="false" customHeight="false" outlineLevel="0" collapsed="false">
      <c r="A1199" s="124"/>
    </row>
    <row r="1200" customFormat="false" ht="14.5" hidden="false" customHeight="false" outlineLevel="0" collapsed="false">
      <c r="A1200" s="124"/>
    </row>
    <row r="1201" customFormat="false" ht="14.5" hidden="false" customHeight="false" outlineLevel="0" collapsed="false">
      <c r="A1201" s="124"/>
    </row>
    <row r="1202" customFormat="false" ht="14.5" hidden="false" customHeight="false" outlineLevel="0" collapsed="false">
      <c r="A1202" s="124"/>
    </row>
    <row r="1203" customFormat="false" ht="14.5" hidden="false" customHeight="false" outlineLevel="0" collapsed="false">
      <c r="A1203" s="124"/>
    </row>
    <row r="1204" customFormat="false" ht="14.5" hidden="false" customHeight="false" outlineLevel="0" collapsed="false">
      <c r="A1204" s="124"/>
    </row>
    <row r="1205" customFormat="false" ht="14.5" hidden="false" customHeight="false" outlineLevel="0" collapsed="false">
      <c r="A1205" s="124"/>
    </row>
    <row r="1206" customFormat="false" ht="14.5" hidden="false" customHeight="false" outlineLevel="0" collapsed="false">
      <c r="A1206" s="124"/>
    </row>
    <row r="1207" customFormat="false" ht="14.5" hidden="false" customHeight="false" outlineLevel="0" collapsed="false">
      <c r="A1207" s="124"/>
    </row>
    <row r="1208" customFormat="false" ht="14.5" hidden="false" customHeight="false" outlineLevel="0" collapsed="false">
      <c r="A1208" s="124"/>
    </row>
    <row r="1209" customFormat="false" ht="14.5" hidden="false" customHeight="false" outlineLevel="0" collapsed="false">
      <c r="A1209" s="124"/>
    </row>
    <row r="1210" customFormat="false" ht="14.5" hidden="false" customHeight="false" outlineLevel="0" collapsed="false">
      <c r="A1210" s="124"/>
    </row>
    <row r="1211" customFormat="false" ht="14.5" hidden="false" customHeight="false" outlineLevel="0" collapsed="false">
      <c r="A1211" s="124"/>
    </row>
    <row r="1212" customFormat="false" ht="14.5" hidden="false" customHeight="false" outlineLevel="0" collapsed="false">
      <c r="A1212" s="124"/>
    </row>
    <row r="1213" customFormat="false" ht="14.5" hidden="false" customHeight="false" outlineLevel="0" collapsed="false">
      <c r="A1213" s="124"/>
    </row>
    <row r="1214" customFormat="false" ht="14.5" hidden="false" customHeight="false" outlineLevel="0" collapsed="false">
      <c r="A1214" s="124"/>
    </row>
    <row r="1215" customFormat="false" ht="14.5" hidden="false" customHeight="false" outlineLevel="0" collapsed="false">
      <c r="A1215" s="124"/>
    </row>
    <row r="1216" customFormat="false" ht="14.5" hidden="false" customHeight="false" outlineLevel="0" collapsed="false">
      <c r="A1216" s="124"/>
    </row>
    <row r="1217" customFormat="false" ht="14.5" hidden="false" customHeight="false" outlineLevel="0" collapsed="false">
      <c r="A1217" s="124"/>
    </row>
    <row r="1218" customFormat="false" ht="14.5" hidden="false" customHeight="false" outlineLevel="0" collapsed="false">
      <c r="A1218" s="124"/>
    </row>
    <row r="1219" customFormat="false" ht="14.5" hidden="false" customHeight="false" outlineLevel="0" collapsed="false">
      <c r="A1219" s="124"/>
    </row>
    <row r="1220" customFormat="false" ht="14.5" hidden="false" customHeight="false" outlineLevel="0" collapsed="false">
      <c r="A1220" s="124"/>
    </row>
    <row r="1221" customFormat="false" ht="14.5" hidden="false" customHeight="false" outlineLevel="0" collapsed="false">
      <c r="A1221" s="124"/>
    </row>
    <row r="1222" customFormat="false" ht="14.5" hidden="false" customHeight="false" outlineLevel="0" collapsed="false">
      <c r="A1222" s="124"/>
    </row>
    <row r="1223" customFormat="false" ht="14.5" hidden="false" customHeight="false" outlineLevel="0" collapsed="false">
      <c r="A1223" s="124"/>
    </row>
    <row r="1224" customFormat="false" ht="14.5" hidden="false" customHeight="false" outlineLevel="0" collapsed="false">
      <c r="A1224" s="124"/>
    </row>
    <row r="1225" customFormat="false" ht="14.5" hidden="false" customHeight="false" outlineLevel="0" collapsed="false">
      <c r="A1225" s="124"/>
    </row>
    <row r="1226" customFormat="false" ht="14.5" hidden="false" customHeight="false" outlineLevel="0" collapsed="false">
      <c r="A1226" s="124"/>
    </row>
    <row r="1227" customFormat="false" ht="14.5" hidden="false" customHeight="false" outlineLevel="0" collapsed="false">
      <c r="A1227" s="124"/>
    </row>
    <row r="1228" customFormat="false" ht="14.5" hidden="false" customHeight="false" outlineLevel="0" collapsed="false">
      <c r="A1228" s="124"/>
    </row>
    <row r="1229" customFormat="false" ht="14.5" hidden="false" customHeight="false" outlineLevel="0" collapsed="false">
      <c r="A1229" s="124"/>
    </row>
    <row r="1230" customFormat="false" ht="14.5" hidden="false" customHeight="false" outlineLevel="0" collapsed="false">
      <c r="A1230" s="124"/>
    </row>
    <row r="1231" customFormat="false" ht="14.5" hidden="false" customHeight="false" outlineLevel="0" collapsed="false">
      <c r="A1231" s="124"/>
    </row>
    <row r="1232" customFormat="false" ht="14.5" hidden="false" customHeight="false" outlineLevel="0" collapsed="false">
      <c r="A1232" s="124"/>
    </row>
    <row r="1233" customFormat="false" ht="14.5" hidden="false" customHeight="false" outlineLevel="0" collapsed="false">
      <c r="A1233" s="124"/>
    </row>
    <row r="1234" customFormat="false" ht="14.5" hidden="false" customHeight="false" outlineLevel="0" collapsed="false">
      <c r="A1234" s="124"/>
    </row>
    <row r="1235" customFormat="false" ht="14.5" hidden="false" customHeight="false" outlineLevel="0" collapsed="false">
      <c r="A1235" s="124"/>
    </row>
    <row r="1236" customFormat="false" ht="14.5" hidden="false" customHeight="false" outlineLevel="0" collapsed="false">
      <c r="A1236" s="124"/>
    </row>
    <row r="1237" customFormat="false" ht="14.5" hidden="false" customHeight="false" outlineLevel="0" collapsed="false">
      <c r="A1237" s="124"/>
    </row>
    <row r="1238" customFormat="false" ht="14.5" hidden="false" customHeight="false" outlineLevel="0" collapsed="false">
      <c r="A1238" s="124"/>
    </row>
    <row r="1239" customFormat="false" ht="14.5" hidden="false" customHeight="false" outlineLevel="0" collapsed="false">
      <c r="A1239" s="124"/>
    </row>
    <row r="1240" customFormat="false" ht="14.5" hidden="false" customHeight="false" outlineLevel="0" collapsed="false">
      <c r="A1240" s="124"/>
    </row>
    <row r="1241" customFormat="false" ht="14.5" hidden="false" customHeight="false" outlineLevel="0" collapsed="false">
      <c r="A1241" s="124"/>
    </row>
    <row r="1242" customFormat="false" ht="14.5" hidden="false" customHeight="false" outlineLevel="0" collapsed="false">
      <c r="A1242" s="124"/>
    </row>
    <row r="1243" customFormat="false" ht="14.5" hidden="false" customHeight="false" outlineLevel="0" collapsed="false">
      <c r="A1243" s="124"/>
    </row>
    <row r="1244" customFormat="false" ht="14.5" hidden="false" customHeight="false" outlineLevel="0" collapsed="false">
      <c r="A1244" s="124"/>
    </row>
    <row r="1245" customFormat="false" ht="14.5" hidden="false" customHeight="false" outlineLevel="0" collapsed="false">
      <c r="A1245" s="124"/>
    </row>
    <row r="1246" customFormat="false" ht="14.5" hidden="false" customHeight="false" outlineLevel="0" collapsed="false">
      <c r="A1246" s="124"/>
    </row>
    <row r="1247" customFormat="false" ht="14.5" hidden="false" customHeight="false" outlineLevel="0" collapsed="false">
      <c r="A1247" s="124"/>
    </row>
    <row r="1248" customFormat="false" ht="14.5" hidden="false" customHeight="false" outlineLevel="0" collapsed="false">
      <c r="A1248" s="124"/>
    </row>
    <row r="1249" customFormat="false" ht="14.5" hidden="false" customHeight="false" outlineLevel="0" collapsed="false">
      <c r="A1249" s="124"/>
    </row>
    <row r="1250" customFormat="false" ht="14.5" hidden="false" customHeight="false" outlineLevel="0" collapsed="false">
      <c r="A1250" s="124"/>
    </row>
    <row r="1251" customFormat="false" ht="14.5" hidden="false" customHeight="false" outlineLevel="0" collapsed="false">
      <c r="A1251" s="124"/>
    </row>
    <row r="1252" customFormat="false" ht="14.5" hidden="false" customHeight="false" outlineLevel="0" collapsed="false">
      <c r="A1252" s="124"/>
    </row>
    <row r="1253" customFormat="false" ht="14.5" hidden="false" customHeight="false" outlineLevel="0" collapsed="false">
      <c r="A1253" s="124"/>
    </row>
    <row r="1254" customFormat="false" ht="14.5" hidden="false" customHeight="false" outlineLevel="0" collapsed="false">
      <c r="A1254" s="124"/>
    </row>
    <row r="1255" customFormat="false" ht="14.5" hidden="false" customHeight="false" outlineLevel="0" collapsed="false">
      <c r="A1255" s="124"/>
    </row>
    <row r="1256" customFormat="false" ht="14.5" hidden="false" customHeight="false" outlineLevel="0" collapsed="false">
      <c r="A1256" s="124"/>
    </row>
    <row r="1257" customFormat="false" ht="14.5" hidden="false" customHeight="false" outlineLevel="0" collapsed="false">
      <c r="A1257" s="124"/>
    </row>
    <row r="1258" customFormat="false" ht="14.5" hidden="false" customHeight="false" outlineLevel="0" collapsed="false">
      <c r="A1258" s="124"/>
    </row>
    <row r="1259" customFormat="false" ht="14.5" hidden="false" customHeight="false" outlineLevel="0" collapsed="false">
      <c r="A1259" s="124"/>
    </row>
    <row r="1260" customFormat="false" ht="14.5" hidden="false" customHeight="false" outlineLevel="0" collapsed="false">
      <c r="A1260" s="124"/>
    </row>
    <row r="1261" customFormat="false" ht="14.5" hidden="false" customHeight="false" outlineLevel="0" collapsed="false">
      <c r="A1261" s="124"/>
    </row>
    <row r="1262" customFormat="false" ht="14.5" hidden="false" customHeight="false" outlineLevel="0" collapsed="false">
      <c r="A1262" s="124"/>
    </row>
    <row r="1263" customFormat="false" ht="14.5" hidden="false" customHeight="false" outlineLevel="0" collapsed="false">
      <c r="A1263" s="124"/>
    </row>
    <row r="1264" customFormat="false" ht="14.5" hidden="false" customHeight="false" outlineLevel="0" collapsed="false">
      <c r="A1264" s="124"/>
    </row>
    <row r="1265" customFormat="false" ht="14.5" hidden="false" customHeight="false" outlineLevel="0" collapsed="false">
      <c r="A1265" s="124"/>
    </row>
    <row r="1266" customFormat="false" ht="14.5" hidden="false" customHeight="false" outlineLevel="0" collapsed="false">
      <c r="A1266" s="124"/>
    </row>
    <row r="1267" customFormat="false" ht="14.5" hidden="false" customHeight="false" outlineLevel="0" collapsed="false">
      <c r="A1267" s="124"/>
    </row>
    <row r="1268" customFormat="false" ht="14.5" hidden="false" customHeight="false" outlineLevel="0" collapsed="false">
      <c r="A1268" s="124"/>
    </row>
    <row r="1269" customFormat="false" ht="14.5" hidden="false" customHeight="false" outlineLevel="0" collapsed="false">
      <c r="A1269" s="124"/>
    </row>
    <row r="1270" customFormat="false" ht="14.5" hidden="false" customHeight="false" outlineLevel="0" collapsed="false">
      <c r="A1270" s="124"/>
    </row>
    <row r="1271" customFormat="false" ht="14.5" hidden="false" customHeight="false" outlineLevel="0" collapsed="false">
      <c r="A1271" s="124"/>
    </row>
    <row r="1272" customFormat="false" ht="14.5" hidden="false" customHeight="false" outlineLevel="0" collapsed="false">
      <c r="A1272" s="124"/>
    </row>
    <row r="1273" customFormat="false" ht="14.5" hidden="false" customHeight="false" outlineLevel="0" collapsed="false">
      <c r="A1273" s="124"/>
    </row>
    <row r="1274" customFormat="false" ht="14.5" hidden="false" customHeight="false" outlineLevel="0" collapsed="false">
      <c r="A1274" s="124"/>
    </row>
    <row r="1275" customFormat="false" ht="14.5" hidden="false" customHeight="false" outlineLevel="0" collapsed="false">
      <c r="A1275" s="124"/>
    </row>
    <row r="1276" customFormat="false" ht="14.5" hidden="false" customHeight="false" outlineLevel="0" collapsed="false">
      <c r="A1276" s="124"/>
    </row>
    <row r="1277" customFormat="false" ht="14.5" hidden="false" customHeight="false" outlineLevel="0" collapsed="false">
      <c r="A1277" s="124"/>
    </row>
    <row r="1278" customFormat="false" ht="14.5" hidden="false" customHeight="false" outlineLevel="0" collapsed="false">
      <c r="A1278" s="124"/>
    </row>
    <row r="1279" customFormat="false" ht="14.5" hidden="false" customHeight="false" outlineLevel="0" collapsed="false">
      <c r="A1279" s="124"/>
    </row>
    <row r="1280" customFormat="false" ht="14.5" hidden="false" customHeight="false" outlineLevel="0" collapsed="false">
      <c r="A1280" s="124"/>
    </row>
    <row r="1281" customFormat="false" ht="14.5" hidden="false" customHeight="false" outlineLevel="0" collapsed="false">
      <c r="A1281" s="124"/>
    </row>
    <row r="1282" customFormat="false" ht="14.5" hidden="false" customHeight="false" outlineLevel="0" collapsed="false">
      <c r="A1282" s="124"/>
    </row>
    <row r="1283" customFormat="false" ht="14.5" hidden="false" customHeight="false" outlineLevel="0" collapsed="false">
      <c r="A1283" s="124"/>
    </row>
    <row r="1284" customFormat="false" ht="14.5" hidden="false" customHeight="false" outlineLevel="0" collapsed="false">
      <c r="A1284" s="124"/>
    </row>
    <row r="1285" customFormat="false" ht="14.5" hidden="false" customHeight="false" outlineLevel="0" collapsed="false">
      <c r="A1285" s="124"/>
    </row>
    <row r="1286" customFormat="false" ht="14.5" hidden="false" customHeight="false" outlineLevel="0" collapsed="false">
      <c r="A1286" s="124"/>
    </row>
    <row r="1287" customFormat="false" ht="14.5" hidden="false" customHeight="false" outlineLevel="0" collapsed="false">
      <c r="A1287" s="124"/>
    </row>
    <row r="1288" customFormat="false" ht="14.5" hidden="false" customHeight="false" outlineLevel="0" collapsed="false">
      <c r="A1288" s="124"/>
    </row>
    <row r="1289" customFormat="false" ht="14.5" hidden="false" customHeight="false" outlineLevel="0" collapsed="false">
      <c r="A1289" s="124"/>
    </row>
    <row r="1290" customFormat="false" ht="14.5" hidden="false" customHeight="false" outlineLevel="0" collapsed="false">
      <c r="A1290" s="124"/>
    </row>
    <row r="1291" customFormat="false" ht="14.5" hidden="false" customHeight="false" outlineLevel="0" collapsed="false">
      <c r="A1291" s="124"/>
    </row>
    <row r="1292" customFormat="false" ht="14.5" hidden="false" customHeight="false" outlineLevel="0" collapsed="false">
      <c r="A1292" s="124"/>
    </row>
    <row r="1293" customFormat="false" ht="14.5" hidden="false" customHeight="false" outlineLevel="0" collapsed="false">
      <c r="A1293" s="124"/>
    </row>
    <row r="1294" customFormat="false" ht="14.5" hidden="false" customHeight="false" outlineLevel="0" collapsed="false">
      <c r="A1294" s="124"/>
    </row>
    <row r="1295" customFormat="false" ht="14.5" hidden="false" customHeight="false" outlineLevel="0" collapsed="false">
      <c r="A1295" s="124"/>
    </row>
    <row r="1296" customFormat="false" ht="14.5" hidden="false" customHeight="false" outlineLevel="0" collapsed="false">
      <c r="A1296" s="124"/>
    </row>
    <row r="1297" customFormat="false" ht="14.5" hidden="false" customHeight="false" outlineLevel="0" collapsed="false">
      <c r="A1297" s="124"/>
    </row>
    <row r="1298" customFormat="false" ht="14.5" hidden="false" customHeight="false" outlineLevel="0" collapsed="false">
      <c r="A1298" s="124"/>
    </row>
    <row r="1299" customFormat="false" ht="14.5" hidden="false" customHeight="false" outlineLevel="0" collapsed="false">
      <c r="A1299" s="124"/>
    </row>
    <row r="1300" customFormat="false" ht="14.5" hidden="false" customHeight="false" outlineLevel="0" collapsed="false">
      <c r="A1300" s="124"/>
    </row>
    <row r="1301" customFormat="false" ht="14.5" hidden="false" customHeight="false" outlineLevel="0" collapsed="false">
      <c r="A1301" s="124"/>
    </row>
    <row r="1302" customFormat="false" ht="14.5" hidden="false" customHeight="false" outlineLevel="0" collapsed="false">
      <c r="A1302" s="124"/>
    </row>
    <row r="1303" customFormat="false" ht="14.5" hidden="false" customHeight="false" outlineLevel="0" collapsed="false">
      <c r="A1303" s="124"/>
    </row>
    <row r="1304" customFormat="false" ht="14.5" hidden="false" customHeight="false" outlineLevel="0" collapsed="false">
      <c r="A1304" s="124"/>
    </row>
    <row r="1305" customFormat="false" ht="14.5" hidden="false" customHeight="false" outlineLevel="0" collapsed="false">
      <c r="A1305" s="124"/>
    </row>
    <row r="1306" customFormat="false" ht="14.5" hidden="false" customHeight="false" outlineLevel="0" collapsed="false">
      <c r="A1306" s="124"/>
    </row>
    <row r="1307" customFormat="false" ht="14.5" hidden="false" customHeight="false" outlineLevel="0" collapsed="false">
      <c r="A1307" s="124"/>
    </row>
    <row r="1308" customFormat="false" ht="14.5" hidden="false" customHeight="false" outlineLevel="0" collapsed="false">
      <c r="A1308" s="124"/>
    </row>
    <row r="1309" customFormat="false" ht="14.5" hidden="false" customHeight="false" outlineLevel="0" collapsed="false">
      <c r="A1309" s="124"/>
    </row>
    <row r="1310" customFormat="false" ht="14.5" hidden="false" customHeight="false" outlineLevel="0" collapsed="false">
      <c r="A1310" s="124"/>
    </row>
    <row r="1311" customFormat="false" ht="14.5" hidden="false" customHeight="false" outlineLevel="0" collapsed="false">
      <c r="A1311" s="124"/>
    </row>
    <row r="1312" customFormat="false" ht="14.5" hidden="false" customHeight="false" outlineLevel="0" collapsed="false">
      <c r="A1312" s="124"/>
    </row>
    <row r="1313" customFormat="false" ht="14.5" hidden="false" customHeight="false" outlineLevel="0" collapsed="false">
      <c r="A1313" s="124"/>
    </row>
    <row r="1314" customFormat="false" ht="14.5" hidden="false" customHeight="false" outlineLevel="0" collapsed="false">
      <c r="A1314" s="124"/>
    </row>
    <row r="1315" customFormat="false" ht="14.5" hidden="false" customHeight="false" outlineLevel="0" collapsed="false">
      <c r="A1315" s="124"/>
    </row>
    <row r="1316" customFormat="false" ht="14.5" hidden="false" customHeight="false" outlineLevel="0" collapsed="false">
      <c r="A1316" s="124"/>
    </row>
    <row r="1317" customFormat="false" ht="14.5" hidden="false" customHeight="false" outlineLevel="0" collapsed="false">
      <c r="A1317" s="124"/>
    </row>
    <row r="1318" customFormat="false" ht="14.5" hidden="false" customHeight="false" outlineLevel="0" collapsed="false">
      <c r="A1318" s="124"/>
    </row>
    <row r="1319" customFormat="false" ht="14.5" hidden="false" customHeight="false" outlineLevel="0" collapsed="false">
      <c r="A1319" s="124"/>
    </row>
    <row r="1320" customFormat="false" ht="14.5" hidden="false" customHeight="false" outlineLevel="0" collapsed="false">
      <c r="A1320" s="124"/>
    </row>
    <row r="1321" customFormat="false" ht="14.5" hidden="false" customHeight="false" outlineLevel="0" collapsed="false">
      <c r="A1321" s="124"/>
    </row>
    <row r="1322" customFormat="false" ht="14.5" hidden="false" customHeight="false" outlineLevel="0" collapsed="false">
      <c r="A1322" s="124"/>
    </row>
    <row r="1323" customFormat="false" ht="14.5" hidden="false" customHeight="false" outlineLevel="0" collapsed="false">
      <c r="A1323" s="124"/>
    </row>
    <row r="1324" customFormat="false" ht="14.5" hidden="false" customHeight="false" outlineLevel="0" collapsed="false">
      <c r="A1324" s="124"/>
    </row>
    <row r="1325" customFormat="false" ht="14.5" hidden="false" customHeight="false" outlineLevel="0" collapsed="false">
      <c r="A1325" s="124"/>
    </row>
    <row r="1326" customFormat="false" ht="14.5" hidden="false" customHeight="false" outlineLevel="0" collapsed="false">
      <c r="A1326" s="124"/>
    </row>
    <row r="1327" customFormat="false" ht="14.5" hidden="false" customHeight="false" outlineLevel="0" collapsed="false">
      <c r="A1327" s="124"/>
    </row>
    <row r="1328" customFormat="false" ht="14.5" hidden="false" customHeight="false" outlineLevel="0" collapsed="false">
      <c r="A1328" s="124"/>
    </row>
    <row r="1329" customFormat="false" ht="14.5" hidden="false" customHeight="false" outlineLevel="0" collapsed="false">
      <c r="A1329" s="124"/>
    </row>
    <row r="1330" customFormat="false" ht="14.5" hidden="false" customHeight="false" outlineLevel="0" collapsed="false">
      <c r="A1330" s="124"/>
    </row>
    <row r="1331" customFormat="false" ht="14.5" hidden="false" customHeight="false" outlineLevel="0" collapsed="false">
      <c r="A1331" s="124"/>
    </row>
    <row r="1332" customFormat="false" ht="14.5" hidden="false" customHeight="false" outlineLevel="0" collapsed="false">
      <c r="A1332" s="124"/>
    </row>
    <row r="1333" customFormat="false" ht="14.5" hidden="false" customHeight="false" outlineLevel="0" collapsed="false">
      <c r="A1333" s="124"/>
    </row>
    <row r="1334" customFormat="false" ht="14.5" hidden="false" customHeight="false" outlineLevel="0" collapsed="false">
      <c r="A1334" s="124"/>
    </row>
    <row r="1335" customFormat="false" ht="14.5" hidden="false" customHeight="false" outlineLevel="0" collapsed="false">
      <c r="A1335" s="124"/>
    </row>
    <row r="1336" customFormat="false" ht="14.5" hidden="false" customHeight="false" outlineLevel="0" collapsed="false">
      <c r="A1336" s="124"/>
    </row>
    <row r="1337" customFormat="false" ht="14.5" hidden="false" customHeight="false" outlineLevel="0" collapsed="false">
      <c r="A1337" s="124"/>
    </row>
    <row r="1338" customFormat="false" ht="14.5" hidden="false" customHeight="false" outlineLevel="0" collapsed="false">
      <c r="A1338" s="124"/>
    </row>
    <row r="1339" customFormat="false" ht="14.5" hidden="false" customHeight="false" outlineLevel="0" collapsed="false">
      <c r="A1339" s="124"/>
    </row>
    <row r="1340" customFormat="false" ht="14.5" hidden="false" customHeight="false" outlineLevel="0" collapsed="false">
      <c r="A1340" s="124"/>
    </row>
    <row r="1341" customFormat="false" ht="14.5" hidden="false" customHeight="false" outlineLevel="0" collapsed="false">
      <c r="A1341" s="124"/>
    </row>
    <row r="1342" customFormat="false" ht="14.5" hidden="false" customHeight="false" outlineLevel="0" collapsed="false">
      <c r="A1342" s="124"/>
    </row>
    <row r="1343" customFormat="false" ht="14.5" hidden="false" customHeight="false" outlineLevel="0" collapsed="false">
      <c r="A1343" s="124"/>
    </row>
    <row r="1344" customFormat="false" ht="14.5" hidden="false" customHeight="false" outlineLevel="0" collapsed="false">
      <c r="A1344" s="124"/>
    </row>
    <row r="1345" customFormat="false" ht="14.5" hidden="false" customHeight="false" outlineLevel="0" collapsed="false">
      <c r="A1345" s="124"/>
    </row>
    <row r="1346" customFormat="false" ht="14.5" hidden="false" customHeight="false" outlineLevel="0" collapsed="false">
      <c r="A1346" s="124"/>
    </row>
    <row r="1347" customFormat="false" ht="14.5" hidden="false" customHeight="false" outlineLevel="0" collapsed="false">
      <c r="A1347" s="124"/>
    </row>
    <row r="1348" customFormat="false" ht="14.5" hidden="false" customHeight="false" outlineLevel="0" collapsed="false">
      <c r="A1348" s="124"/>
    </row>
    <row r="1349" customFormat="false" ht="14.5" hidden="false" customHeight="false" outlineLevel="0" collapsed="false">
      <c r="A1349" s="124"/>
    </row>
    <row r="1350" customFormat="false" ht="14.5" hidden="false" customHeight="false" outlineLevel="0" collapsed="false">
      <c r="A1350" s="124"/>
    </row>
    <row r="1351" customFormat="false" ht="14.5" hidden="false" customHeight="false" outlineLevel="0" collapsed="false">
      <c r="A1351" s="124"/>
    </row>
    <row r="1352" customFormat="false" ht="14.5" hidden="false" customHeight="false" outlineLevel="0" collapsed="false">
      <c r="A1352" s="124"/>
    </row>
    <row r="1353" customFormat="false" ht="14.5" hidden="false" customHeight="false" outlineLevel="0" collapsed="false">
      <c r="A1353" s="124"/>
    </row>
    <row r="1354" customFormat="false" ht="14.5" hidden="false" customHeight="false" outlineLevel="0" collapsed="false">
      <c r="A1354" s="124"/>
    </row>
    <row r="1355" customFormat="false" ht="14.5" hidden="false" customHeight="false" outlineLevel="0" collapsed="false">
      <c r="A1355" s="124"/>
    </row>
    <row r="1356" customFormat="false" ht="14.5" hidden="false" customHeight="false" outlineLevel="0" collapsed="false">
      <c r="A1356" s="124"/>
    </row>
    <row r="1357" customFormat="false" ht="14.5" hidden="false" customHeight="false" outlineLevel="0" collapsed="false">
      <c r="A1357" s="124"/>
    </row>
    <row r="1358" customFormat="false" ht="14.5" hidden="false" customHeight="false" outlineLevel="0" collapsed="false">
      <c r="A1358" s="124"/>
    </row>
    <row r="1359" customFormat="false" ht="14.5" hidden="false" customHeight="false" outlineLevel="0" collapsed="false">
      <c r="A1359" s="124"/>
    </row>
    <row r="1360" customFormat="false" ht="14.5" hidden="false" customHeight="false" outlineLevel="0" collapsed="false">
      <c r="A1360" s="124"/>
    </row>
    <row r="1361" customFormat="false" ht="14.5" hidden="false" customHeight="false" outlineLevel="0" collapsed="false">
      <c r="A1361" s="124"/>
    </row>
    <row r="1362" customFormat="false" ht="14.5" hidden="false" customHeight="false" outlineLevel="0" collapsed="false">
      <c r="A1362" s="124"/>
    </row>
    <row r="1363" customFormat="false" ht="14.5" hidden="false" customHeight="false" outlineLevel="0" collapsed="false">
      <c r="A1363" s="124"/>
    </row>
    <row r="1364" customFormat="false" ht="14.5" hidden="false" customHeight="false" outlineLevel="0" collapsed="false">
      <c r="A1364" s="124"/>
    </row>
    <row r="1365" customFormat="false" ht="14.5" hidden="false" customHeight="false" outlineLevel="0" collapsed="false">
      <c r="A1365" s="124"/>
    </row>
    <row r="1366" customFormat="false" ht="14.5" hidden="false" customHeight="false" outlineLevel="0" collapsed="false">
      <c r="A1366" s="124"/>
    </row>
    <row r="1367" customFormat="false" ht="14.5" hidden="false" customHeight="false" outlineLevel="0" collapsed="false">
      <c r="A1367" s="124"/>
    </row>
    <row r="1368" customFormat="false" ht="14.5" hidden="false" customHeight="false" outlineLevel="0" collapsed="false">
      <c r="A1368" s="124"/>
    </row>
    <row r="1369" customFormat="false" ht="14.5" hidden="false" customHeight="false" outlineLevel="0" collapsed="false">
      <c r="A1369" s="124"/>
    </row>
    <row r="1370" customFormat="false" ht="14.5" hidden="false" customHeight="false" outlineLevel="0" collapsed="false">
      <c r="A1370" s="124"/>
    </row>
    <row r="1371" customFormat="false" ht="14.5" hidden="false" customHeight="false" outlineLevel="0" collapsed="false">
      <c r="A1371" s="124"/>
    </row>
    <row r="1372" customFormat="false" ht="14.5" hidden="false" customHeight="false" outlineLevel="0" collapsed="false">
      <c r="A1372" s="124"/>
    </row>
    <row r="1373" customFormat="false" ht="14.5" hidden="false" customHeight="false" outlineLevel="0" collapsed="false">
      <c r="A1373" s="124"/>
    </row>
    <row r="1374" customFormat="false" ht="14.5" hidden="false" customHeight="false" outlineLevel="0" collapsed="false">
      <c r="A1374" s="124"/>
    </row>
    <row r="1375" customFormat="false" ht="14.5" hidden="false" customHeight="false" outlineLevel="0" collapsed="false">
      <c r="A1375" s="124"/>
    </row>
    <row r="1376" customFormat="false" ht="14.5" hidden="false" customHeight="false" outlineLevel="0" collapsed="false">
      <c r="A1376" s="124"/>
    </row>
    <row r="1377" customFormat="false" ht="14.5" hidden="false" customHeight="false" outlineLevel="0" collapsed="false">
      <c r="A1377" s="124"/>
    </row>
    <row r="1378" customFormat="false" ht="14.5" hidden="false" customHeight="false" outlineLevel="0" collapsed="false">
      <c r="A1378" s="124"/>
    </row>
    <row r="1379" customFormat="false" ht="14.5" hidden="false" customHeight="false" outlineLevel="0" collapsed="false">
      <c r="A1379" s="124"/>
    </row>
    <row r="1380" customFormat="false" ht="14.5" hidden="false" customHeight="false" outlineLevel="0" collapsed="false">
      <c r="A1380" s="124"/>
    </row>
    <row r="1381" customFormat="false" ht="14.5" hidden="false" customHeight="false" outlineLevel="0" collapsed="false">
      <c r="A1381" s="124"/>
    </row>
    <row r="1382" customFormat="false" ht="14.5" hidden="false" customHeight="false" outlineLevel="0" collapsed="false">
      <c r="A1382" s="124"/>
    </row>
    <row r="1383" customFormat="false" ht="14.5" hidden="false" customHeight="false" outlineLevel="0" collapsed="false">
      <c r="A1383" s="124"/>
    </row>
    <row r="1384" customFormat="false" ht="14.5" hidden="false" customHeight="false" outlineLevel="0" collapsed="false">
      <c r="A1384" s="124"/>
    </row>
    <row r="1385" customFormat="false" ht="14.5" hidden="false" customHeight="false" outlineLevel="0" collapsed="false">
      <c r="A1385" s="124"/>
    </row>
    <row r="1386" customFormat="false" ht="14.5" hidden="false" customHeight="false" outlineLevel="0" collapsed="false">
      <c r="A1386" s="124"/>
    </row>
    <row r="1387" customFormat="false" ht="14.5" hidden="false" customHeight="false" outlineLevel="0" collapsed="false">
      <c r="A1387" s="124"/>
    </row>
    <row r="1388" customFormat="false" ht="14.5" hidden="false" customHeight="false" outlineLevel="0" collapsed="false">
      <c r="A1388" s="124"/>
    </row>
    <row r="1389" customFormat="false" ht="14.5" hidden="false" customHeight="false" outlineLevel="0" collapsed="false">
      <c r="A1389" s="124"/>
    </row>
    <row r="1390" customFormat="false" ht="14.5" hidden="false" customHeight="false" outlineLevel="0" collapsed="false">
      <c r="A1390" s="124"/>
    </row>
    <row r="1391" customFormat="false" ht="14.5" hidden="false" customHeight="false" outlineLevel="0" collapsed="false">
      <c r="A1391" s="124"/>
    </row>
    <row r="1392" customFormat="false" ht="14.5" hidden="false" customHeight="false" outlineLevel="0" collapsed="false">
      <c r="A1392" s="124"/>
    </row>
    <row r="1393" customFormat="false" ht="14.5" hidden="false" customHeight="false" outlineLevel="0" collapsed="false">
      <c r="A1393" s="124"/>
    </row>
    <row r="1394" customFormat="false" ht="14.5" hidden="false" customHeight="false" outlineLevel="0" collapsed="false">
      <c r="A1394" s="124"/>
    </row>
    <row r="1395" customFormat="false" ht="14.5" hidden="false" customHeight="false" outlineLevel="0" collapsed="false">
      <c r="A1395" s="124"/>
    </row>
    <row r="1396" customFormat="false" ht="14.5" hidden="false" customHeight="false" outlineLevel="0" collapsed="false">
      <c r="A1396" s="124"/>
    </row>
    <row r="1397" customFormat="false" ht="14.5" hidden="false" customHeight="false" outlineLevel="0" collapsed="false">
      <c r="A1397" s="124"/>
    </row>
    <row r="1398" customFormat="false" ht="14.5" hidden="false" customHeight="false" outlineLevel="0" collapsed="false">
      <c r="A1398" s="124"/>
    </row>
    <row r="1399" customFormat="false" ht="14.5" hidden="false" customHeight="false" outlineLevel="0" collapsed="false">
      <c r="A1399" s="124"/>
    </row>
    <row r="1400" customFormat="false" ht="14.5" hidden="false" customHeight="false" outlineLevel="0" collapsed="false">
      <c r="A1400" s="124"/>
    </row>
    <row r="1401" customFormat="false" ht="14.5" hidden="false" customHeight="false" outlineLevel="0" collapsed="false">
      <c r="A1401" s="124"/>
    </row>
    <row r="1402" customFormat="false" ht="14.5" hidden="false" customHeight="false" outlineLevel="0" collapsed="false">
      <c r="A1402" s="124"/>
    </row>
    <row r="1403" customFormat="false" ht="14.5" hidden="false" customHeight="false" outlineLevel="0" collapsed="false">
      <c r="A1403" s="124"/>
    </row>
    <row r="1404" customFormat="false" ht="14.5" hidden="false" customHeight="false" outlineLevel="0" collapsed="false">
      <c r="A1404" s="124"/>
    </row>
    <row r="1405" customFormat="false" ht="14.5" hidden="false" customHeight="false" outlineLevel="0" collapsed="false">
      <c r="A1405" s="124"/>
    </row>
    <row r="1406" customFormat="false" ht="14.5" hidden="false" customHeight="false" outlineLevel="0" collapsed="false">
      <c r="A1406" s="124"/>
    </row>
    <row r="1407" customFormat="false" ht="14.5" hidden="false" customHeight="false" outlineLevel="0" collapsed="false">
      <c r="A1407" s="124"/>
    </row>
    <row r="1408" customFormat="false" ht="14.5" hidden="false" customHeight="false" outlineLevel="0" collapsed="false">
      <c r="A1408" s="124"/>
    </row>
    <row r="1409" customFormat="false" ht="14.5" hidden="false" customHeight="false" outlineLevel="0" collapsed="false">
      <c r="A1409" s="124"/>
    </row>
    <row r="1410" customFormat="false" ht="14.5" hidden="false" customHeight="false" outlineLevel="0" collapsed="false">
      <c r="A1410" s="124"/>
    </row>
    <row r="1411" customFormat="false" ht="14.5" hidden="false" customHeight="false" outlineLevel="0" collapsed="false">
      <c r="A1411" s="124"/>
    </row>
    <row r="1412" customFormat="false" ht="14.5" hidden="false" customHeight="false" outlineLevel="0" collapsed="false">
      <c r="A1412" s="124"/>
    </row>
    <row r="1413" customFormat="false" ht="14.5" hidden="false" customHeight="false" outlineLevel="0" collapsed="false">
      <c r="A1413" s="124"/>
    </row>
    <row r="1414" customFormat="false" ht="14.5" hidden="false" customHeight="false" outlineLevel="0" collapsed="false">
      <c r="A1414" s="124"/>
    </row>
    <row r="1415" customFormat="false" ht="14.5" hidden="false" customHeight="false" outlineLevel="0" collapsed="false">
      <c r="A1415" s="124"/>
    </row>
    <row r="1416" customFormat="false" ht="14.5" hidden="false" customHeight="false" outlineLevel="0" collapsed="false">
      <c r="A1416" s="124"/>
    </row>
    <row r="1417" customFormat="false" ht="14.5" hidden="false" customHeight="false" outlineLevel="0" collapsed="false">
      <c r="A1417" s="124"/>
    </row>
    <row r="1418" customFormat="false" ht="14.5" hidden="false" customHeight="false" outlineLevel="0" collapsed="false">
      <c r="A1418" s="124"/>
    </row>
    <row r="1419" customFormat="false" ht="14.5" hidden="false" customHeight="false" outlineLevel="0" collapsed="false">
      <c r="A1419" s="124"/>
    </row>
    <row r="1420" customFormat="false" ht="14.5" hidden="false" customHeight="false" outlineLevel="0" collapsed="false">
      <c r="A1420" s="124"/>
    </row>
    <row r="1421" customFormat="false" ht="14.5" hidden="false" customHeight="false" outlineLevel="0" collapsed="false">
      <c r="A1421" s="124"/>
    </row>
    <row r="1422" customFormat="false" ht="14.5" hidden="false" customHeight="false" outlineLevel="0" collapsed="false">
      <c r="A1422" s="124"/>
    </row>
    <row r="1423" customFormat="false" ht="14.5" hidden="false" customHeight="false" outlineLevel="0" collapsed="false">
      <c r="A1423" s="124"/>
    </row>
    <row r="1424" customFormat="false" ht="14.5" hidden="false" customHeight="false" outlineLevel="0" collapsed="false">
      <c r="A1424" s="124"/>
    </row>
    <row r="1425" customFormat="false" ht="14.5" hidden="false" customHeight="false" outlineLevel="0" collapsed="false">
      <c r="A1425" s="124"/>
    </row>
    <row r="1426" customFormat="false" ht="14.5" hidden="false" customHeight="false" outlineLevel="0" collapsed="false">
      <c r="A1426" s="124"/>
    </row>
    <row r="1427" customFormat="false" ht="14.5" hidden="false" customHeight="false" outlineLevel="0" collapsed="false">
      <c r="A1427" s="124"/>
    </row>
    <row r="1428" customFormat="false" ht="14.5" hidden="false" customHeight="false" outlineLevel="0" collapsed="false">
      <c r="A1428" s="124"/>
    </row>
    <row r="1429" customFormat="false" ht="14.5" hidden="false" customHeight="false" outlineLevel="0" collapsed="false">
      <c r="A1429" s="124"/>
    </row>
    <row r="1430" customFormat="false" ht="14.5" hidden="false" customHeight="false" outlineLevel="0" collapsed="false">
      <c r="A1430" s="124"/>
    </row>
    <row r="1431" customFormat="false" ht="14.5" hidden="false" customHeight="false" outlineLevel="0" collapsed="false">
      <c r="A1431" s="124"/>
    </row>
    <row r="1432" customFormat="false" ht="14.5" hidden="false" customHeight="false" outlineLevel="0" collapsed="false">
      <c r="A1432" s="124"/>
    </row>
    <row r="1433" customFormat="false" ht="14.5" hidden="false" customHeight="false" outlineLevel="0" collapsed="false">
      <c r="A1433" s="124"/>
    </row>
    <row r="1434" customFormat="false" ht="14.5" hidden="false" customHeight="false" outlineLevel="0" collapsed="false">
      <c r="A1434" s="124"/>
    </row>
    <row r="1435" customFormat="false" ht="14.5" hidden="false" customHeight="false" outlineLevel="0" collapsed="false">
      <c r="A1435" s="124"/>
    </row>
    <row r="1436" customFormat="false" ht="14.5" hidden="false" customHeight="false" outlineLevel="0" collapsed="false">
      <c r="A1436" s="124"/>
    </row>
    <row r="1437" customFormat="false" ht="14.5" hidden="false" customHeight="false" outlineLevel="0" collapsed="false">
      <c r="A1437" s="124"/>
    </row>
    <row r="1438" customFormat="false" ht="14.5" hidden="false" customHeight="false" outlineLevel="0" collapsed="false">
      <c r="A1438" s="124"/>
    </row>
    <row r="1439" customFormat="false" ht="14.5" hidden="false" customHeight="false" outlineLevel="0" collapsed="false">
      <c r="A1439" s="124"/>
    </row>
    <row r="1440" customFormat="false" ht="14.5" hidden="false" customHeight="false" outlineLevel="0" collapsed="false">
      <c r="A1440" s="124"/>
    </row>
    <row r="1441" customFormat="false" ht="14.5" hidden="false" customHeight="false" outlineLevel="0" collapsed="false">
      <c r="A1441" s="124"/>
    </row>
    <row r="1442" customFormat="false" ht="14.5" hidden="false" customHeight="false" outlineLevel="0" collapsed="false">
      <c r="A1442" s="124"/>
    </row>
    <row r="1443" customFormat="false" ht="14.5" hidden="false" customHeight="false" outlineLevel="0" collapsed="false">
      <c r="A1443" s="124"/>
    </row>
    <row r="1444" customFormat="false" ht="14.5" hidden="false" customHeight="false" outlineLevel="0" collapsed="false">
      <c r="A1444" s="124"/>
    </row>
    <row r="1445" customFormat="false" ht="14.5" hidden="false" customHeight="false" outlineLevel="0" collapsed="false">
      <c r="A1445" s="124"/>
    </row>
    <row r="1446" customFormat="false" ht="14.5" hidden="false" customHeight="false" outlineLevel="0" collapsed="false">
      <c r="A1446" s="124"/>
    </row>
    <row r="1447" customFormat="false" ht="14.5" hidden="false" customHeight="false" outlineLevel="0" collapsed="false">
      <c r="A1447" s="124"/>
    </row>
    <row r="1448" customFormat="false" ht="14.5" hidden="false" customHeight="false" outlineLevel="0" collapsed="false">
      <c r="A1448" s="124"/>
    </row>
    <row r="1449" customFormat="false" ht="14.5" hidden="false" customHeight="false" outlineLevel="0" collapsed="false">
      <c r="A1449" s="124"/>
    </row>
    <row r="1450" customFormat="false" ht="14.5" hidden="false" customHeight="false" outlineLevel="0" collapsed="false">
      <c r="A1450" s="124"/>
    </row>
    <row r="1451" customFormat="false" ht="14.5" hidden="false" customHeight="false" outlineLevel="0" collapsed="false">
      <c r="A1451" s="124"/>
    </row>
    <row r="1452" customFormat="false" ht="14.5" hidden="false" customHeight="false" outlineLevel="0" collapsed="false">
      <c r="A1452" s="124"/>
    </row>
    <row r="1453" customFormat="false" ht="14.5" hidden="false" customHeight="false" outlineLevel="0" collapsed="false">
      <c r="A1453" s="124"/>
    </row>
    <row r="1454" customFormat="false" ht="14.5" hidden="false" customHeight="false" outlineLevel="0" collapsed="false">
      <c r="A1454" s="124"/>
    </row>
    <row r="1455" customFormat="false" ht="14.5" hidden="false" customHeight="false" outlineLevel="0" collapsed="false">
      <c r="A1455" s="124"/>
    </row>
    <row r="1456" customFormat="false" ht="14.5" hidden="false" customHeight="false" outlineLevel="0" collapsed="false">
      <c r="A1456" s="124"/>
    </row>
    <row r="1457" customFormat="false" ht="14.5" hidden="false" customHeight="false" outlineLevel="0" collapsed="false">
      <c r="A1457" s="124"/>
    </row>
    <row r="1458" customFormat="false" ht="14.5" hidden="false" customHeight="false" outlineLevel="0" collapsed="false">
      <c r="A1458" s="124"/>
    </row>
    <row r="1459" customFormat="false" ht="14.5" hidden="false" customHeight="false" outlineLevel="0" collapsed="false">
      <c r="A1459" s="124"/>
    </row>
    <row r="1460" customFormat="false" ht="14.5" hidden="false" customHeight="false" outlineLevel="0" collapsed="false">
      <c r="A1460" s="124"/>
    </row>
    <row r="1461" customFormat="false" ht="14.5" hidden="false" customHeight="false" outlineLevel="0" collapsed="false">
      <c r="A1461" s="124"/>
    </row>
    <row r="1462" customFormat="false" ht="14.5" hidden="false" customHeight="false" outlineLevel="0" collapsed="false">
      <c r="A1462" s="124"/>
    </row>
    <row r="1463" customFormat="false" ht="14.5" hidden="false" customHeight="false" outlineLevel="0" collapsed="false">
      <c r="A1463" s="124"/>
    </row>
    <row r="1464" customFormat="false" ht="14.5" hidden="false" customHeight="false" outlineLevel="0" collapsed="false">
      <c r="A1464" s="124"/>
    </row>
    <row r="1465" customFormat="false" ht="14.5" hidden="false" customHeight="false" outlineLevel="0" collapsed="false">
      <c r="A1465" s="124"/>
    </row>
    <row r="1466" customFormat="false" ht="14.5" hidden="false" customHeight="false" outlineLevel="0" collapsed="false">
      <c r="A1466" s="124"/>
    </row>
    <row r="1467" customFormat="false" ht="14.5" hidden="false" customHeight="false" outlineLevel="0" collapsed="false">
      <c r="A1467" s="124"/>
    </row>
    <row r="1468" customFormat="false" ht="14.5" hidden="false" customHeight="false" outlineLevel="0" collapsed="false">
      <c r="A1468" s="124"/>
    </row>
    <row r="1469" customFormat="false" ht="14.5" hidden="false" customHeight="false" outlineLevel="0" collapsed="false">
      <c r="A1469" s="124"/>
    </row>
    <row r="1470" customFormat="false" ht="14.5" hidden="false" customHeight="false" outlineLevel="0" collapsed="false">
      <c r="A1470" s="124"/>
    </row>
    <row r="1471" customFormat="false" ht="14.5" hidden="false" customHeight="false" outlineLevel="0" collapsed="false">
      <c r="A1471" s="124"/>
    </row>
    <row r="1472" customFormat="false" ht="14.5" hidden="false" customHeight="false" outlineLevel="0" collapsed="false">
      <c r="A1472" s="124"/>
    </row>
    <row r="1473" customFormat="false" ht="14.5" hidden="false" customHeight="false" outlineLevel="0" collapsed="false">
      <c r="A1473" s="124"/>
    </row>
    <row r="1474" customFormat="false" ht="14.5" hidden="false" customHeight="false" outlineLevel="0" collapsed="false">
      <c r="A1474" s="124"/>
    </row>
    <row r="1475" customFormat="false" ht="14.5" hidden="false" customHeight="false" outlineLevel="0" collapsed="false">
      <c r="A1475" s="124"/>
    </row>
    <row r="1476" customFormat="false" ht="14.5" hidden="false" customHeight="false" outlineLevel="0" collapsed="false">
      <c r="A1476" s="124"/>
    </row>
    <row r="1477" customFormat="false" ht="14.5" hidden="false" customHeight="false" outlineLevel="0" collapsed="false">
      <c r="A1477" s="124"/>
    </row>
    <row r="1478" customFormat="false" ht="14.5" hidden="false" customHeight="false" outlineLevel="0" collapsed="false">
      <c r="A1478" s="124"/>
    </row>
    <row r="1479" customFormat="false" ht="14.5" hidden="false" customHeight="false" outlineLevel="0" collapsed="false">
      <c r="A1479" s="124"/>
    </row>
    <row r="1480" customFormat="false" ht="14.5" hidden="false" customHeight="false" outlineLevel="0" collapsed="false">
      <c r="A1480" s="124"/>
    </row>
    <row r="1481" customFormat="false" ht="14.5" hidden="false" customHeight="false" outlineLevel="0" collapsed="false">
      <c r="A1481" s="124"/>
    </row>
    <row r="1482" customFormat="false" ht="14.5" hidden="false" customHeight="false" outlineLevel="0" collapsed="false">
      <c r="A1482" s="124"/>
    </row>
    <row r="1483" customFormat="false" ht="14.5" hidden="false" customHeight="false" outlineLevel="0" collapsed="false">
      <c r="A1483" s="124"/>
    </row>
    <row r="1484" customFormat="false" ht="14.5" hidden="false" customHeight="false" outlineLevel="0" collapsed="false">
      <c r="A1484" s="124"/>
    </row>
    <row r="1485" customFormat="false" ht="14.5" hidden="false" customHeight="false" outlineLevel="0" collapsed="false">
      <c r="A1485" s="124"/>
    </row>
    <row r="1486" customFormat="false" ht="14.5" hidden="false" customHeight="false" outlineLevel="0" collapsed="false">
      <c r="A1486" s="124"/>
    </row>
    <row r="1487" customFormat="false" ht="14.5" hidden="false" customHeight="false" outlineLevel="0" collapsed="false">
      <c r="A1487" s="124"/>
    </row>
    <row r="1488" customFormat="false" ht="14.5" hidden="false" customHeight="false" outlineLevel="0" collapsed="false">
      <c r="A1488" s="124"/>
    </row>
    <row r="1489" customFormat="false" ht="14.5" hidden="false" customHeight="false" outlineLevel="0" collapsed="false">
      <c r="A1489" s="124"/>
    </row>
    <row r="1490" customFormat="false" ht="14.5" hidden="false" customHeight="false" outlineLevel="0" collapsed="false">
      <c r="A1490" s="124"/>
    </row>
    <row r="1491" customFormat="false" ht="14.5" hidden="false" customHeight="false" outlineLevel="0" collapsed="false">
      <c r="A1491" s="124"/>
    </row>
    <row r="1492" customFormat="false" ht="14.5" hidden="false" customHeight="false" outlineLevel="0" collapsed="false">
      <c r="A1492" s="124"/>
    </row>
    <row r="1493" customFormat="false" ht="14.5" hidden="false" customHeight="false" outlineLevel="0" collapsed="false">
      <c r="A1493" s="124"/>
    </row>
    <row r="1494" customFormat="false" ht="14.5" hidden="false" customHeight="false" outlineLevel="0" collapsed="false">
      <c r="A1494" s="124"/>
    </row>
    <row r="1495" customFormat="false" ht="14.5" hidden="false" customHeight="false" outlineLevel="0" collapsed="false">
      <c r="A1495" s="124"/>
    </row>
    <row r="1496" customFormat="false" ht="14.5" hidden="false" customHeight="false" outlineLevel="0" collapsed="false">
      <c r="A1496" s="124"/>
    </row>
    <row r="1497" customFormat="false" ht="14.5" hidden="false" customHeight="false" outlineLevel="0" collapsed="false">
      <c r="A1497" s="124"/>
    </row>
    <row r="1498" customFormat="false" ht="14.5" hidden="false" customHeight="false" outlineLevel="0" collapsed="false">
      <c r="A1498" s="124"/>
    </row>
    <row r="1499" customFormat="false" ht="14.5" hidden="false" customHeight="false" outlineLevel="0" collapsed="false">
      <c r="A1499" s="124"/>
    </row>
    <row r="1500" customFormat="false" ht="14.5" hidden="false" customHeight="false" outlineLevel="0" collapsed="false">
      <c r="A1500" s="124"/>
    </row>
    <row r="1501" customFormat="false" ht="14.5" hidden="false" customHeight="false" outlineLevel="0" collapsed="false">
      <c r="A1501" s="124"/>
    </row>
    <row r="1502" customFormat="false" ht="14.5" hidden="false" customHeight="false" outlineLevel="0" collapsed="false">
      <c r="A1502" s="124"/>
    </row>
    <row r="1503" customFormat="false" ht="14.5" hidden="false" customHeight="false" outlineLevel="0" collapsed="false">
      <c r="A1503" s="124"/>
    </row>
    <row r="1504" customFormat="false" ht="14.5" hidden="false" customHeight="false" outlineLevel="0" collapsed="false">
      <c r="A1504" s="124"/>
    </row>
    <row r="1505" customFormat="false" ht="14.5" hidden="false" customHeight="false" outlineLevel="0" collapsed="false">
      <c r="A1505" s="124"/>
    </row>
    <row r="1506" customFormat="false" ht="14.5" hidden="false" customHeight="false" outlineLevel="0" collapsed="false">
      <c r="A1506" s="124"/>
    </row>
    <row r="1507" customFormat="false" ht="14.5" hidden="false" customHeight="false" outlineLevel="0" collapsed="false">
      <c r="A1507" s="124"/>
    </row>
    <row r="1508" customFormat="false" ht="14.5" hidden="false" customHeight="false" outlineLevel="0" collapsed="false">
      <c r="A1508" s="124"/>
    </row>
    <row r="1509" customFormat="false" ht="14.5" hidden="false" customHeight="false" outlineLevel="0" collapsed="false">
      <c r="A1509" s="124"/>
    </row>
    <row r="1510" customFormat="false" ht="14.5" hidden="false" customHeight="false" outlineLevel="0" collapsed="false">
      <c r="A1510" s="124"/>
    </row>
    <row r="1511" customFormat="false" ht="14.5" hidden="false" customHeight="false" outlineLevel="0" collapsed="false">
      <c r="A1511" s="124"/>
    </row>
    <row r="1512" customFormat="false" ht="14.5" hidden="false" customHeight="false" outlineLevel="0" collapsed="false">
      <c r="A1512" s="124"/>
    </row>
    <row r="1513" customFormat="false" ht="14.5" hidden="false" customHeight="false" outlineLevel="0" collapsed="false">
      <c r="A1513" s="124"/>
    </row>
    <row r="1514" customFormat="false" ht="14.5" hidden="false" customHeight="false" outlineLevel="0" collapsed="false">
      <c r="A1514" s="124"/>
    </row>
    <row r="1515" customFormat="false" ht="14.5" hidden="false" customHeight="false" outlineLevel="0" collapsed="false">
      <c r="A1515" s="124"/>
    </row>
    <row r="1516" customFormat="false" ht="14.5" hidden="false" customHeight="false" outlineLevel="0" collapsed="false">
      <c r="A1516" s="124"/>
    </row>
    <row r="1517" customFormat="false" ht="14.5" hidden="false" customHeight="false" outlineLevel="0" collapsed="false">
      <c r="A1517" s="124"/>
    </row>
    <row r="1518" customFormat="false" ht="14.5" hidden="false" customHeight="false" outlineLevel="0" collapsed="false">
      <c r="A1518" s="124"/>
    </row>
    <row r="1519" customFormat="false" ht="14.5" hidden="false" customHeight="false" outlineLevel="0" collapsed="false">
      <c r="A1519" s="124"/>
    </row>
    <row r="1520" customFormat="false" ht="14.5" hidden="false" customHeight="false" outlineLevel="0" collapsed="false">
      <c r="A1520" s="124"/>
    </row>
    <row r="1521" customFormat="false" ht="14.5" hidden="false" customHeight="false" outlineLevel="0" collapsed="false">
      <c r="A1521" s="124"/>
    </row>
    <row r="1522" customFormat="false" ht="14.5" hidden="false" customHeight="false" outlineLevel="0" collapsed="false">
      <c r="A1522" s="124"/>
    </row>
    <row r="1523" customFormat="false" ht="14.5" hidden="false" customHeight="false" outlineLevel="0" collapsed="false">
      <c r="A1523" s="124"/>
    </row>
    <row r="1524" customFormat="false" ht="14.5" hidden="false" customHeight="false" outlineLevel="0" collapsed="false">
      <c r="A1524" s="124"/>
    </row>
    <row r="1525" customFormat="false" ht="14.5" hidden="false" customHeight="false" outlineLevel="0" collapsed="false">
      <c r="A1525" s="124"/>
    </row>
    <row r="1526" customFormat="false" ht="14.5" hidden="false" customHeight="false" outlineLevel="0" collapsed="false">
      <c r="A1526" s="124"/>
    </row>
    <row r="1527" customFormat="false" ht="14.5" hidden="false" customHeight="false" outlineLevel="0" collapsed="false">
      <c r="A1527" s="124"/>
    </row>
    <row r="1528" customFormat="false" ht="14.5" hidden="false" customHeight="false" outlineLevel="0" collapsed="false">
      <c r="A1528" s="124"/>
    </row>
    <row r="1529" customFormat="false" ht="14.5" hidden="false" customHeight="false" outlineLevel="0" collapsed="false">
      <c r="A1529" s="124"/>
    </row>
    <row r="1530" customFormat="false" ht="14.5" hidden="false" customHeight="false" outlineLevel="0" collapsed="false">
      <c r="A1530" s="124"/>
    </row>
    <row r="1531" customFormat="false" ht="14.5" hidden="false" customHeight="false" outlineLevel="0" collapsed="false">
      <c r="A1531" s="124"/>
    </row>
    <row r="1532" customFormat="false" ht="14.5" hidden="false" customHeight="false" outlineLevel="0" collapsed="false">
      <c r="A1532" s="124"/>
    </row>
    <row r="1533" customFormat="false" ht="14.5" hidden="false" customHeight="false" outlineLevel="0" collapsed="false">
      <c r="A1533" s="124"/>
    </row>
    <row r="1534" customFormat="false" ht="14.5" hidden="false" customHeight="false" outlineLevel="0" collapsed="false">
      <c r="A1534" s="124"/>
    </row>
    <row r="1535" customFormat="false" ht="14.5" hidden="false" customHeight="false" outlineLevel="0" collapsed="false">
      <c r="A1535" s="124"/>
    </row>
    <row r="1536" customFormat="false" ht="14.5" hidden="false" customHeight="false" outlineLevel="0" collapsed="false">
      <c r="A1536" s="124"/>
    </row>
    <row r="1537" customFormat="false" ht="14.5" hidden="false" customHeight="false" outlineLevel="0" collapsed="false">
      <c r="A1537" s="124"/>
    </row>
    <row r="1538" customFormat="false" ht="14.5" hidden="false" customHeight="false" outlineLevel="0" collapsed="false">
      <c r="A1538" s="124"/>
    </row>
    <row r="1539" customFormat="false" ht="14.5" hidden="false" customHeight="false" outlineLevel="0" collapsed="false">
      <c r="A1539" s="124"/>
    </row>
    <row r="1540" customFormat="false" ht="14.5" hidden="false" customHeight="false" outlineLevel="0" collapsed="false">
      <c r="A1540" s="124"/>
    </row>
    <row r="1541" customFormat="false" ht="14.5" hidden="false" customHeight="false" outlineLevel="0" collapsed="false">
      <c r="A1541" s="124"/>
    </row>
    <row r="1542" customFormat="false" ht="14.5" hidden="false" customHeight="false" outlineLevel="0" collapsed="false">
      <c r="A1542" s="124"/>
    </row>
    <row r="1543" customFormat="false" ht="14.5" hidden="false" customHeight="false" outlineLevel="0" collapsed="false">
      <c r="A1543" s="124"/>
    </row>
    <row r="1544" customFormat="false" ht="14.5" hidden="false" customHeight="false" outlineLevel="0" collapsed="false">
      <c r="A1544" s="124"/>
    </row>
    <row r="1545" customFormat="false" ht="14.5" hidden="false" customHeight="false" outlineLevel="0" collapsed="false">
      <c r="A1545" s="124"/>
    </row>
    <row r="1546" customFormat="false" ht="14.5" hidden="false" customHeight="false" outlineLevel="0" collapsed="false">
      <c r="A1546" s="124"/>
    </row>
    <row r="1547" customFormat="false" ht="14.5" hidden="false" customHeight="false" outlineLevel="0" collapsed="false">
      <c r="A1547" s="124"/>
    </row>
    <row r="1548" customFormat="false" ht="14.5" hidden="false" customHeight="false" outlineLevel="0" collapsed="false">
      <c r="A1548" s="124"/>
    </row>
    <row r="1549" customFormat="false" ht="14.5" hidden="false" customHeight="false" outlineLevel="0" collapsed="false">
      <c r="A1549" s="124"/>
    </row>
    <row r="1550" customFormat="false" ht="14.5" hidden="false" customHeight="false" outlineLevel="0" collapsed="false">
      <c r="A1550" s="124"/>
    </row>
    <row r="1551" customFormat="false" ht="14.5" hidden="false" customHeight="false" outlineLevel="0" collapsed="false">
      <c r="A1551" s="124"/>
    </row>
    <row r="1552" customFormat="false" ht="14.5" hidden="false" customHeight="false" outlineLevel="0" collapsed="false">
      <c r="A1552" s="124"/>
    </row>
    <row r="1553" customFormat="false" ht="14.5" hidden="false" customHeight="false" outlineLevel="0" collapsed="false">
      <c r="A1553" s="124"/>
    </row>
    <row r="1554" customFormat="false" ht="14.5" hidden="false" customHeight="false" outlineLevel="0" collapsed="false">
      <c r="A1554" s="124"/>
    </row>
    <row r="1555" customFormat="false" ht="14.5" hidden="false" customHeight="false" outlineLevel="0" collapsed="false">
      <c r="A1555" s="124"/>
    </row>
    <row r="1556" customFormat="false" ht="14.5" hidden="false" customHeight="false" outlineLevel="0" collapsed="false">
      <c r="A1556" s="124"/>
    </row>
    <row r="1557" customFormat="false" ht="14.5" hidden="false" customHeight="false" outlineLevel="0" collapsed="false">
      <c r="A1557" s="124"/>
    </row>
    <row r="1558" customFormat="false" ht="14.5" hidden="false" customHeight="false" outlineLevel="0" collapsed="false">
      <c r="A1558" s="124"/>
    </row>
    <row r="1559" customFormat="false" ht="14.5" hidden="false" customHeight="false" outlineLevel="0" collapsed="false">
      <c r="A1559" s="124"/>
    </row>
    <row r="1560" customFormat="false" ht="14.5" hidden="false" customHeight="false" outlineLevel="0" collapsed="false">
      <c r="A1560" s="124"/>
    </row>
    <row r="1561" customFormat="false" ht="14.5" hidden="false" customHeight="false" outlineLevel="0" collapsed="false">
      <c r="A1561" s="124"/>
    </row>
    <row r="1562" customFormat="false" ht="14.5" hidden="false" customHeight="false" outlineLevel="0" collapsed="false">
      <c r="A1562" s="124"/>
    </row>
    <row r="1563" customFormat="false" ht="14.5" hidden="false" customHeight="false" outlineLevel="0" collapsed="false">
      <c r="A1563" s="124"/>
    </row>
    <row r="1564" customFormat="false" ht="14.5" hidden="false" customHeight="false" outlineLevel="0" collapsed="false">
      <c r="A1564" s="124"/>
    </row>
    <row r="1565" customFormat="false" ht="14.5" hidden="false" customHeight="false" outlineLevel="0" collapsed="false">
      <c r="A1565" s="124"/>
    </row>
    <row r="1566" customFormat="false" ht="14.5" hidden="false" customHeight="false" outlineLevel="0" collapsed="false">
      <c r="A1566" s="124"/>
    </row>
    <row r="1567" customFormat="false" ht="14.5" hidden="false" customHeight="false" outlineLevel="0" collapsed="false">
      <c r="A1567" s="124"/>
    </row>
    <row r="1568" customFormat="false" ht="14.5" hidden="false" customHeight="false" outlineLevel="0" collapsed="false">
      <c r="A1568" s="124"/>
    </row>
    <row r="1569" customFormat="false" ht="14.5" hidden="false" customHeight="false" outlineLevel="0" collapsed="false">
      <c r="A1569" s="124"/>
    </row>
    <row r="1570" customFormat="false" ht="14.5" hidden="false" customHeight="false" outlineLevel="0" collapsed="false">
      <c r="A1570" s="124"/>
    </row>
    <row r="1571" customFormat="false" ht="14.5" hidden="false" customHeight="false" outlineLevel="0" collapsed="false">
      <c r="A1571" s="124"/>
    </row>
    <row r="1572" customFormat="false" ht="14.5" hidden="false" customHeight="false" outlineLevel="0" collapsed="false">
      <c r="A1572" s="124"/>
    </row>
    <row r="1573" customFormat="false" ht="14.5" hidden="false" customHeight="false" outlineLevel="0" collapsed="false">
      <c r="A1573" s="124"/>
    </row>
    <row r="1574" customFormat="false" ht="14.5" hidden="false" customHeight="false" outlineLevel="0" collapsed="false">
      <c r="A1574" s="124"/>
    </row>
    <row r="1575" customFormat="false" ht="14.5" hidden="false" customHeight="false" outlineLevel="0" collapsed="false">
      <c r="A1575" s="124"/>
    </row>
    <row r="1576" customFormat="false" ht="14.5" hidden="false" customHeight="false" outlineLevel="0" collapsed="false">
      <c r="A1576" s="124"/>
    </row>
    <row r="1577" customFormat="false" ht="14.5" hidden="false" customHeight="false" outlineLevel="0" collapsed="false">
      <c r="A1577" s="124"/>
    </row>
    <row r="1578" customFormat="false" ht="14.5" hidden="false" customHeight="false" outlineLevel="0" collapsed="false">
      <c r="A1578" s="124"/>
    </row>
    <row r="1579" customFormat="false" ht="14.5" hidden="false" customHeight="false" outlineLevel="0" collapsed="false">
      <c r="A1579" s="124"/>
    </row>
    <row r="1580" customFormat="false" ht="14.5" hidden="false" customHeight="false" outlineLevel="0" collapsed="false">
      <c r="A1580" s="124"/>
    </row>
    <row r="1581" customFormat="false" ht="14.5" hidden="false" customHeight="false" outlineLevel="0" collapsed="false">
      <c r="A1581" s="124"/>
    </row>
    <row r="1582" customFormat="false" ht="14.5" hidden="false" customHeight="false" outlineLevel="0" collapsed="false">
      <c r="A1582" s="124"/>
    </row>
    <row r="1583" customFormat="false" ht="14.5" hidden="false" customHeight="false" outlineLevel="0" collapsed="false">
      <c r="A1583" s="124"/>
    </row>
    <row r="1584" customFormat="false" ht="14.5" hidden="false" customHeight="false" outlineLevel="0" collapsed="false">
      <c r="A1584" s="124"/>
    </row>
    <row r="1585" customFormat="false" ht="14.5" hidden="false" customHeight="false" outlineLevel="0" collapsed="false">
      <c r="A1585" s="124"/>
    </row>
    <row r="1586" customFormat="false" ht="14.5" hidden="false" customHeight="false" outlineLevel="0" collapsed="false">
      <c r="A1586" s="124"/>
    </row>
    <row r="1587" customFormat="false" ht="14.5" hidden="false" customHeight="false" outlineLevel="0" collapsed="false">
      <c r="A1587" s="124"/>
    </row>
    <row r="1588" customFormat="false" ht="14.5" hidden="false" customHeight="false" outlineLevel="0" collapsed="false">
      <c r="A1588" s="124"/>
    </row>
    <row r="1589" customFormat="false" ht="14.5" hidden="false" customHeight="false" outlineLevel="0" collapsed="false">
      <c r="A1589" s="124"/>
    </row>
    <row r="1590" customFormat="false" ht="14.5" hidden="false" customHeight="false" outlineLevel="0" collapsed="false">
      <c r="A1590" s="124"/>
    </row>
    <row r="1591" customFormat="false" ht="14.5" hidden="false" customHeight="false" outlineLevel="0" collapsed="false">
      <c r="A1591" s="124"/>
    </row>
    <row r="1592" customFormat="false" ht="14.5" hidden="false" customHeight="false" outlineLevel="0" collapsed="false">
      <c r="A1592" s="124"/>
    </row>
    <row r="1593" customFormat="false" ht="14.5" hidden="false" customHeight="false" outlineLevel="0" collapsed="false">
      <c r="A1593" s="124"/>
    </row>
    <row r="1594" customFormat="false" ht="14.5" hidden="false" customHeight="false" outlineLevel="0" collapsed="false">
      <c r="A1594" s="124"/>
    </row>
    <row r="1595" customFormat="false" ht="14.5" hidden="false" customHeight="false" outlineLevel="0" collapsed="false">
      <c r="A1595" s="124"/>
    </row>
    <row r="1596" customFormat="false" ht="14.5" hidden="false" customHeight="false" outlineLevel="0" collapsed="false">
      <c r="A1596" s="124"/>
    </row>
    <row r="1597" customFormat="false" ht="14.5" hidden="false" customHeight="false" outlineLevel="0" collapsed="false">
      <c r="A1597" s="124"/>
    </row>
    <row r="1598" customFormat="false" ht="14.5" hidden="false" customHeight="false" outlineLevel="0" collapsed="false">
      <c r="A1598" s="124"/>
    </row>
    <row r="1599" customFormat="false" ht="14.5" hidden="false" customHeight="false" outlineLevel="0" collapsed="false">
      <c r="A1599" s="124"/>
    </row>
    <row r="1600" customFormat="false" ht="14.5" hidden="false" customHeight="false" outlineLevel="0" collapsed="false">
      <c r="A1600" s="124"/>
    </row>
    <row r="1601" customFormat="false" ht="14.5" hidden="false" customHeight="false" outlineLevel="0" collapsed="false">
      <c r="A1601" s="124"/>
    </row>
    <row r="1602" customFormat="false" ht="14.5" hidden="false" customHeight="false" outlineLevel="0" collapsed="false">
      <c r="A1602" s="124"/>
    </row>
    <row r="1603" customFormat="false" ht="14.5" hidden="false" customHeight="false" outlineLevel="0" collapsed="false">
      <c r="A1603" s="124"/>
    </row>
    <row r="1604" customFormat="false" ht="14.5" hidden="false" customHeight="false" outlineLevel="0" collapsed="false">
      <c r="A1604" s="124"/>
    </row>
    <row r="1605" customFormat="false" ht="14.5" hidden="false" customHeight="false" outlineLevel="0" collapsed="false">
      <c r="A1605" s="124"/>
    </row>
    <row r="1606" customFormat="false" ht="14.5" hidden="false" customHeight="false" outlineLevel="0" collapsed="false">
      <c r="A1606" s="124"/>
    </row>
    <row r="1607" customFormat="false" ht="14.5" hidden="false" customHeight="false" outlineLevel="0" collapsed="false">
      <c r="A1607" s="124"/>
    </row>
    <row r="1608" customFormat="false" ht="14.5" hidden="false" customHeight="false" outlineLevel="0" collapsed="false">
      <c r="A1608" s="124"/>
    </row>
    <row r="1609" customFormat="false" ht="14.5" hidden="false" customHeight="false" outlineLevel="0" collapsed="false">
      <c r="A1609" s="124"/>
    </row>
    <row r="1610" customFormat="false" ht="14.5" hidden="false" customHeight="false" outlineLevel="0" collapsed="false">
      <c r="A1610" s="124"/>
    </row>
    <row r="1611" customFormat="false" ht="14.5" hidden="false" customHeight="false" outlineLevel="0" collapsed="false">
      <c r="A1611" s="124"/>
    </row>
    <row r="1612" customFormat="false" ht="14.5" hidden="false" customHeight="false" outlineLevel="0" collapsed="false">
      <c r="A1612" s="124"/>
    </row>
    <row r="1613" customFormat="false" ht="14.5" hidden="false" customHeight="false" outlineLevel="0" collapsed="false">
      <c r="A1613" s="124"/>
    </row>
    <row r="1614" customFormat="false" ht="14.5" hidden="false" customHeight="false" outlineLevel="0" collapsed="false">
      <c r="A1614" s="124"/>
    </row>
    <row r="1615" customFormat="false" ht="14.5" hidden="false" customHeight="false" outlineLevel="0" collapsed="false">
      <c r="A1615" s="124"/>
    </row>
    <row r="1616" customFormat="false" ht="14.5" hidden="false" customHeight="false" outlineLevel="0" collapsed="false">
      <c r="A1616" s="124"/>
    </row>
    <row r="1617" customFormat="false" ht="14.5" hidden="false" customHeight="false" outlineLevel="0" collapsed="false">
      <c r="A1617" s="124"/>
    </row>
    <row r="1618" customFormat="false" ht="14.5" hidden="false" customHeight="false" outlineLevel="0" collapsed="false">
      <c r="A1618" s="124"/>
    </row>
    <row r="1619" customFormat="false" ht="14.5" hidden="false" customHeight="false" outlineLevel="0" collapsed="false">
      <c r="A1619" s="124"/>
    </row>
    <row r="1620" customFormat="false" ht="14.5" hidden="false" customHeight="false" outlineLevel="0" collapsed="false">
      <c r="A1620" s="124"/>
    </row>
    <row r="1621" customFormat="false" ht="14.5" hidden="false" customHeight="false" outlineLevel="0" collapsed="false">
      <c r="A1621" s="124"/>
    </row>
    <row r="1622" customFormat="false" ht="14.5" hidden="false" customHeight="false" outlineLevel="0" collapsed="false">
      <c r="A1622" s="124"/>
    </row>
    <row r="1623" customFormat="false" ht="14.5" hidden="false" customHeight="false" outlineLevel="0" collapsed="false">
      <c r="A1623" s="124"/>
    </row>
    <row r="1624" customFormat="false" ht="14.5" hidden="false" customHeight="false" outlineLevel="0" collapsed="false">
      <c r="A1624" s="124"/>
    </row>
    <row r="1625" customFormat="false" ht="14.5" hidden="false" customHeight="false" outlineLevel="0" collapsed="false">
      <c r="A1625" s="124"/>
    </row>
    <row r="1626" customFormat="false" ht="14.5" hidden="false" customHeight="false" outlineLevel="0" collapsed="false">
      <c r="A1626" s="124"/>
    </row>
    <row r="1627" customFormat="false" ht="14.5" hidden="false" customHeight="false" outlineLevel="0" collapsed="false">
      <c r="A1627" s="124"/>
    </row>
    <row r="1628" customFormat="false" ht="14.5" hidden="false" customHeight="false" outlineLevel="0" collapsed="false">
      <c r="A1628" s="124"/>
    </row>
    <row r="1629" customFormat="false" ht="14.5" hidden="false" customHeight="false" outlineLevel="0" collapsed="false">
      <c r="A1629" s="124"/>
    </row>
    <row r="1630" customFormat="false" ht="14.5" hidden="false" customHeight="false" outlineLevel="0" collapsed="false">
      <c r="A1630" s="124"/>
    </row>
    <row r="1631" customFormat="false" ht="14.5" hidden="false" customHeight="false" outlineLevel="0" collapsed="false">
      <c r="A1631" s="124"/>
    </row>
    <row r="1632" customFormat="false" ht="14.5" hidden="false" customHeight="false" outlineLevel="0" collapsed="false">
      <c r="A1632" s="124"/>
    </row>
    <row r="1633" customFormat="false" ht="14.5" hidden="false" customHeight="false" outlineLevel="0" collapsed="false">
      <c r="A1633" s="124"/>
    </row>
    <row r="1634" customFormat="false" ht="14.5" hidden="false" customHeight="false" outlineLevel="0" collapsed="false">
      <c r="A1634" s="124"/>
    </row>
    <row r="1635" customFormat="false" ht="14.5" hidden="false" customHeight="false" outlineLevel="0" collapsed="false">
      <c r="A1635" s="124"/>
    </row>
    <row r="1636" customFormat="false" ht="14.5" hidden="false" customHeight="false" outlineLevel="0" collapsed="false">
      <c r="A1636" s="124"/>
    </row>
    <row r="1637" customFormat="false" ht="14.5" hidden="false" customHeight="false" outlineLevel="0" collapsed="false">
      <c r="A1637" s="124"/>
    </row>
    <row r="1638" customFormat="false" ht="14.5" hidden="false" customHeight="false" outlineLevel="0" collapsed="false">
      <c r="A1638" s="124"/>
    </row>
    <row r="1639" customFormat="false" ht="14.5" hidden="false" customHeight="false" outlineLevel="0" collapsed="false">
      <c r="A1639" s="124"/>
    </row>
    <row r="1640" customFormat="false" ht="14.5" hidden="false" customHeight="false" outlineLevel="0" collapsed="false">
      <c r="A1640" s="124"/>
    </row>
    <row r="1641" customFormat="false" ht="14.5" hidden="false" customHeight="false" outlineLevel="0" collapsed="false">
      <c r="A1641" s="124"/>
    </row>
    <row r="1642" customFormat="false" ht="14.5" hidden="false" customHeight="false" outlineLevel="0" collapsed="false">
      <c r="A1642" s="124"/>
    </row>
    <row r="1643" customFormat="false" ht="14.5" hidden="false" customHeight="false" outlineLevel="0" collapsed="false">
      <c r="A1643" s="124"/>
    </row>
    <row r="1644" customFormat="false" ht="14.5" hidden="false" customHeight="false" outlineLevel="0" collapsed="false">
      <c r="A1644" s="124"/>
    </row>
    <row r="1645" customFormat="false" ht="14.5" hidden="false" customHeight="false" outlineLevel="0" collapsed="false">
      <c r="A1645" s="124"/>
    </row>
    <row r="1646" customFormat="false" ht="14.5" hidden="false" customHeight="false" outlineLevel="0" collapsed="false">
      <c r="A1646" s="124"/>
    </row>
    <row r="1647" customFormat="false" ht="14.5" hidden="false" customHeight="false" outlineLevel="0" collapsed="false">
      <c r="A1647" s="124"/>
    </row>
    <row r="1648" customFormat="false" ht="14.5" hidden="false" customHeight="false" outlineLevel="0" collapsed="false">
      <c r="A1648" s="124"/>
    </row>
    <row r="1649" customFormat="false" ht="14.5" hidden="false" customHeight="false" outlineLevel="0" collapsed="false">
      <c r="A1649" s="124"/>
    </row>
    <row r="1650" customFormat="false" ht="14.5" hidden="false" customHeight="false" outlineLevel="0" collapsed="false">
      <c r="A1650" s="124"/>
    </row>
    <row r="1651" customFormat="false" ht="14.5" hidden="false" customHeight="false" outlineLevel="0" collapsed="false">
      <c r="A1651" s="124"/>
    </row>
    <row r="1652" customFormat="false" ht="14.5" hidden="false" customHeight="false" outlineLevel="0" collapsed="false">
      <c r="A1652" s="124"/>
    </row>
    <row r="1653" customFormat="false" ht="14.5" hidden="false" customHeight="false" outlineLevel="0" collapsed="false">
      <c r="A1653" s="124"/>
    </row>
    <row r="1654" customFormat="false" ht="14.5" hidden="false" customHeight="false" outlineLevel="0" collapsed="false">
      <c r="A1654" s="124"/>
    </row>
    <row r="1655" customFormat="false" ht="14.5" hidden="false" customHeight="false" outlineLevel="0" collapsed="false">
      <c r="A1655" s="124"/>
    </row>
    <row r="1656" customFormat="false" ht="14.5" hidden="false" customHeight="false" outlineLevel="0" collapsed="false">
      <c r="A1656" s="124"/>
    </row>
    <row r="1657" customFormat="false" ht="14.5" hidden="false" customHeight="false" outlineLevel="0" collapsed="false">
      <c r="A1657" s="124"/>
    </row>
    <row r="1658" customFormat="false" ht="14.5" hidden="false" customHeight="false" outlineLevel="0" collapsed="false">
      <c r="A1658" s="124"/>
    </row>
    <row r="1659" customFormat="false" ht="14.5" hidden="false" customHeight="false" outlineLevel="0" collapsed="false">
      <c r="A1659" s="124"/>
    </row>
    <row r="1660" customFormat="false" ht="14.5" hidden="false" customHeight="false" outlineLevel="0" collapsed="false">
      <c r="A1660" s="124"/>
    </row>
    <row r="1661" customFormat="false" ht="14.5" hidden="false" customHeight="false" outlineLevel="0" collapsed="false">
      <c r="A1661" s="124"/>
    </row>
    <row r="1662" customFormat="false" ht="14.5" hidden="false" customHeight="false" outlineLevel="0" collapsed="false">
      <c r="A1662" s="124"/>
    </row>
    <row r="1663" customFormat="false" ht="14.5" hidden="false" customHeight="false" outlineLevel="0" collapsed="false">
      <c r="A1663" s="124"/>
    </row>
    <row r="1664" customFormat="false" ht="14.5" hidden="false" customHeight="false" outlineLevel="0" collapsed="false">
      <c r="A1664" s="124"/>
    </row>
    <row r="1665" customFormat="false" ht="14.5" hidden="false" customHeight="false" outlineLevel="0" collapsed="false">
      <c r="A1665" s="124"/>
    </row>
    <row r="1666" customFormat="false" ht="14.5" hidden="false" customHeight="false" outlineLevel="0" collapsed="false">
      <c r="A1666" s="124"/>
    </row>
    <row r="1667" customFormat="false" ht="14.5" hidden="false" customHeight="false" outlineLevel="0" collapsed="false">
      <c r="A1667" s="124"/>
    </row>
    <row r="1668" customFormat="false" ht="14.5" hidden="false" customHeight="false" outlineLevel="0" collapsed="false">
      <c r="A1668" s="124"/>
    </row>
    <row r="1669" customFormat="false" ht="14.5" hidden="false" customHeight="false" outlineLevel="0" collapsed="false">
      <c r="A1669" s="124"/>
    </row>
    <row r="1670" customFormat="false" ht="14.5" hidden="false" customHeight="false" outlineLevel="0" collapsed="false">
      <c r="A1670" s="124"/>
    </row>
    <row r="1671" customFormat="false" ht="14.5" hidden="false" customHeight="false" outlineLevel="0" collapsed="false">
      <c r="A1671" s="124"/>
    </row>
    <row r="1672" customFormat="false" ht="14.5" hidden="false" customHeight="false" outlineLevel="0" collapsed="false">
      <c r="A1672" s="124"/>
    </row>
    <row r="1673" customFormat="false" ht="14.5" hidden="false" customHeight="false" outlineLevel="0" collapsed="false">
      <c r="A1673" s="124"/>
    </row>
    <row r="1674" customFormat="false" ht="14.5" hidden="false" customHeight="false" outlineLevel="0" collapsed="false">
      <c r="A1674" s="124"/>
    </row>
    <row r="1675" customFormat="false" ht="14.5" hidden="false" customHeight="false" outlineLevel="0" collapsed="false">
      <c r="A1675" s="124"/>
    </row>
    <row r="1676" customFormat="false" ht="14.5" hidden="false" customHeight="false" outlineLevel="0" collapsed="false">
      <c r="A1676" s="124"/>
    </row>
    <row r="1677" customFormat="false" ht="14.5" hidden="false" customHeight="false" outlineLevel="0" collapsed="false">
      <c r="A1677" s="124"/>
    </row>
    <row r="1678" customFormat="false" ht="14.5" hidden="false" customHeight="false" outlineLevel="0" collapsed="false">
      <c r="A1678" s="124"/>
    </row>
    <row r="1679" customFormat="false" ht="14.5" hidden="false" customHeight="false" outlineLevel="0" collapsed="false">
      <c r="A1679" s="124"/>
    </row>
    <row r="1680" customFormat="false" ht="14.5" hidden="false" customHeight="false" outlineLevel="0" collapsed="false">
      <c r="A1680" s="124"/>
    </row>
    <row r="1681" customFormat="false" ht="14.5" hidden="false" customHeight="false" outlineLevel="0" collapsed="false">
      <c r="A1681" s="124"/>
    </row>
    <row r="1682" customFormat="false" ht="14.5" hidden="false" customHeight="false" outlineLevel="0" collapsed="false">
      <c r="A1682" s="124"/>
    </row>
    <row r="1683" customFormat="false" ht="14.5" hidden="false" customHeight="false" outlineLevel="0" collapsed="false">
      <c r="A1683" s="124"/>
    </row>
    <row r="1684" customFormat="false" ht="14.5" hidden="false" customHeight="false" outlineLevel="0" collapsed="false">
      <c r="A1684" s="124"/>
    </row>
    <row r="1685" customFormat="false" ht="14.5" hidden="false" customHeight="false" outlineLevel="0" collapsed="false">
      <c r="A1685" s="124"/>
    </row>
    <row r="1686" customFormat="false" ht="14.5" hidden="false" customHeight="false" outlineLevel="0" collapsed="false">
      <c r="A1686" s="124"/>
    </row>
    <row r="1687" customFormat="false" ht="14.5" hidden="false" customHeight="false" outlineLevel="0" collapsed="false">
      <c r="A1687" s="124"/>
    </row>
    <row r="1688" customFormat="false" ht="14.5" hidden="false" customHeight="false" outlineLevel="0" collapsed="false">
      <c r="A1688" s="124"/>
    </row>
    <row r="1689" customFormat="false" ht="14.5" hidden="false" customHeight="false" outlineLevel="0" collapsed="false">
      <c r="A1689" s="124"/>
    </row>
    <row r="1690" customFormat="false" ht="14.5" hidden="false" customHeight="false" outlineLevel="0" collapsed="false">
      <c r="A1690" s="124"/>
    </row>
    <row r="1691" customFormat="false" ht="14.5" hidden="false" customHeight="false" outlineLevel="0" collapsed="false">
      <c r="A1691" s="124"/>
    </row>
    <row r="1692" customFormat="false" ht="14.5" hidden="false" customHeight="false" outlineLevel="0" collapsed="false">
      <c r="A1692" s="124"/>
    </row>
    <row r="1693" customFormat="false" ht="14.5" hidden="false" customHeight="false" outlineLevel="0" collapsed="false">
      <c r="A1693" s="124"/>
    </row>
    <row r="1694" customFormat="false" ht="14.5" hidden="false" customHeight="false" outlineLevel="0" collapsed="false">
      <c r="A1694" s="124"/>
    </row>
    <row r="1695" customFormat="false" ht="14.5" hidden="false" customHeight="false" outlineLevel="0" collapsed="false">
      <c r="A1695" s="124"/>
    </row>
    <row r="1696" customFormat="false" ht="14.5" hidden="false" customHeight="false" outlineLevel="0" collapsed="false">
      <c r="A1696" s="124"/>
    </row>
    <row r="1697" customFormat="false" ht="14.5" hidden="false" customHeight="false" outlineLevel="0" collapsed="false">
      <c r="A1697" s="124"/>
    </row>
    <row r="1698" customFormat="false" ht="14.5" hidden="false" customHeight="false" outlineLevel="0" collapsed="false">
      <c r="A1698" s="124"/>
    </row>
    <row r="1699" customFormat="false" ht="14.5" hidden="false" customHeight="false" outlineLevel="0" collapsed="false">
      <c r="A1699" s="124"/>
    </row>
    <row r="1700" customFormat="false" ht="14.5" hidden="false" customHeight="false" outlineLevel="0" collapsed="false">
      <c r="A1700" s="124"/>
    </row>
    <row r="1701" customFormat="false" ht="14.5" hidden="false" customHeight="false" outlineLevel="0" collapsed="false">
      <c r="A1701" s="124"/>
    </row>
    <row r="1702" customFormat="false" ht="14.5" hidden="false" customHeight="false" outlineLevel="0" collapsed="false">
      <c r="A1702" s="124"/>
    </row>
    <row r="1703" customFormat="false" ht="14.5" hidden="false" customHeight="false" outlineLevel="0" collapsed="false">
      <c r="A1703" s="124"/>
    </row>
    <row r="1704" customFormat="false" ht="14.5" hidden="false" customHeight="false" outlineLevel="0" collapsed="false">
      <c r="A1704" s="124"/>
    </row>
    <row r="1705" customFormat="false" ht="14.5" hidden="false" customHeight="false" outlineLevel="0" collapsed="false">
      <c r="A1705" s="124"/>
    </row>
    <row r="1706" customFormat="false" ht="14.5" hidden="false" customHeight="false" outlineLevel="0" collapsed="false">
      <c r="A1706" s="124"/>
    </row>
    <row r="1707" customFormat="false" ht="14.5" hidden="false" customHeight="false" outlineLevel="0" collapsed="false">
      <c r="A1707" s="124"/>
    </row>
    <row r="1708" customFormat="false" ht="14.5" hidden="false" customHeight="false" outlineLevel="0" collapsed="false">
      <c r="A1708" s="124"/>
    </row>
    <row r="1709" customFormat="false" ht="14.5" hidden="false" customHeight="false" outlineLevel="0" collapsed="false">
      <c r="A1709" s="124"/>
    </row>
    <row r="1710" customFormat="false" ht="14.5" hidden="false" customHeight="false" outlineLevel="0" collapsed="false">
      <c r="A1710" s="124"/>
    </row>
    <row r="1711" customFormat="false" ht="14.5" hidden="false" customHeight="false" outlineLevel="0" collapsed="false">
      <c r="A1711" s="124"/>
    </row>
    <row r="1712" customFormat="false" ht="14.5" hidden="false" customHeight="false" outlineLevel="0" collapsed="false">
      <c r="A1712" s="124"/>
    </row>
    <row r="1713" customFormat="false" ht="14.5" hidden="false" customHeight="false" outlineLevel="0" collapsed="false">
      <c r="A1713" s="124"/>
    </row>
    <row r="1714" customFormat="false" ht="14.5" hidden="false" customHeight="false" outlineLevel="0" collapsed="false">
      <c r="A1714" s="124"/>
    </row>
    <row r="1715" customFormat="false" ht="14.5" hidden="false" customHeight="false" outlineLevel="0" collapsed="false">
      <c r="A1715" s="124"/>
    </row>
    <row r="1716" customFormat="false" ht="14.5" hidden="false" customHeight="false" outlineLevel="0" collapsed="false">
      <c r="A1716" s="124"/>
    </row>
    <row r="1717" customFormat="false" ht="14.5" hidden="false" customHeight="false" outlineLevel="0" collapsed="false">
      <c r="A1717" s="124"/>
    </row>
    <row r="1718" customFormat="false" ht="14.5" hidden="false" customHeight="false" outlineLevel="0" collapsed="false">
      <c r="A1718" s="124"/>
    </row>
    <row r="1719" customFormat="false" ht="14.5" hidden="false" customHeight="false" outlineLevel="0" collapsed="false">
      <c r="A1719" s="124"/>
    </row>
    <row r="1720" customFormat="false" ht="14.5" hidden="false" customHeight="false" outlineLevel="0" collapsed="false">
      <c r="A1720" s="124"/>
    </row>
    <row r="1721" customFormat="false" ht="14.5" hidden="false" customHeight="false" outlineLevel="0" collapsed="false">
      <c r="A1721" s="124"/>
    </row>
    <row r="1722" customFormat="false" ht="14.5" hidden="false" customHeight="false" outlineLevel="0" collapsed="false">
      <c r="A1722" s="124"/>
    </row>
    <row r="1723" customFormat="false" ht="14.5" hidden="false" customHeight="false" outlineLevel="0" collapsed="false">
      <c r="A1723" s="124"/>
    </row>
    <row r="1724" customFormat="false" ht="14.5" hidden="false" customHeight="false" outlineLevel="0" collapsed="false">
      <c r="A1724" s="124"/>
    </row>
    <row r="1725" customFormat="false" ht="14.5" hidden="false" customHeight="false" outlineLevel="0" collapsed="false">
      <c r="A1725" s="124"/>
    </row>
    <row r="1726" customFormat="false" ht="14.5" hidden="false" customHeight="false" outlineLevel="0" collapsed="false">
      <c r="A1726" s="124"/>
    </row>
    <row r="1727" customFormat="false" ht="14.5" hidden="false" customHeight="false" outlineLevel="0" collapsed="false">
      <c r="A1727" s="124"/>
    </row>
    <row r="1728" customFormat="false" ht="14.5" hidden="false" customHeight="false" outlineLevel="0" collapsed="false">
      <c r="A1728" s="124"/>
    </row>
    <row r="1729" customFormat="false" ht="14.5" hidden="false" customHeight="false" outlineLevel="0" collapsed="false">
      <c r="A1729" s="124"/>
    </row>
    <row r="1730" customFormat="false" ht="14.5" hidden="false" customHeight="false" outlineLevel="0" collapsed="false">
      <c r="A1730" s="124"/>
    </row>
    <row r="1731" customFormat="false" ht="14.5" hidden="false" customHeight="false" outlineLevel="0" collapsed="false">
      <c r="A1731" s="124"/>
    </row>
    <row r="1732" customFormat="false" ht="14.5" hidden="false" customHeight="false" outlineLevel="0" collapsed="false">
      <c r="A1732" s="124"/>
    </row>
    <row r="1733" customFormat="false" ht="14.5" hidden="false" customHeight="false" outlineLevel="0" collapsed="false">
      <c r="A1733" s="124"/>
    </row>
    <row r="1734" customFormat="false" ht="14.5" hidden="false" customHeight="false" outlineLevel="0" collapsed="false">
      <c r="A1734" s="124"/>
    </row>
    <row r="1735" customFormat="false" ht="14.5" hidden="false" customHeight="false" outlineLevel="0" collapsed="false">
      <c r="A1735" s="124"/>
    </row>
    <row r="1736" customFormat="false" ht="14.5" hidden="false" customHeight="false" outlineLevel="0" collapsed="false">
      <c r="A1736" s="124"/>
    </row>
    <row r="1737" customFormat="false" ht="14.5" hidden="false" customHeight="false" outlineLevel="0" collapsed="false">
      <c r="A1737" s="124"/>
    </row>
    <row r="1738" customFormat="false" ht="14.5" hidden="false" customHeight="false" outlineLevel="0" collapsed="false">
      <c r="A1738" s="124"/>
    </row>
    <row r="1739" customFormat="false" ht="14.5" hidden="false" customHeight="false" outlineLevel="0" collapsed="false">
      <c r="A1739" s="124"/>
    </row>
    <row r="1740" customFormat="false" ht="14.5" hidden="false" customHeight="false" outlineLevel="0" collapsed="false">
      <c r="A1740" s="124"/>
    </row>
    <row r="1741" customFormat="false" ht="14.5" hidden="false" customHeight="false" outlineLevel="0" collapsed="false">
      <c r="A1741" s="124"/>
    </row>
    <row r="1742" customFormat="false" ht="14.5" hidden="false" customHeight="false" outlineLevel="0" collapsed="false">
      <c r="A1742" s="124"/>
    </row>
    <row r="1743" customFormat="false" ht="14.5" hidden="false" customHeight="false" outlineLevel="0" collapsed="false">
      <c r="A1743" s="124"/>
    </row>
    <row r="1744" customFormat="false" ht="14.5" hidden="false" customHeight="false" outlineLevel="0" collapsed="false">
      <c r="A1744" s="124"/>
    </row>
    <row r="1745" customFormat="false" ht="14.5" hidden="false" customHeight="false" outlineLevel="0" collapsed="false">
      <c r="A1745" s="124"/>
    </row>
    <row r="1746" customFormat="false" ht="14.5" hidden="false" customHeight="false" outlineLevel="0" collapsed="false">
      <c r="A1746" s="124"/>
    </row>
    <row r="1747" customFormat="false" ht="14.5" hidden="false" customHeight="false" outlineLevel="0" collapsed="false">
      <c r="A1747" s="124"/>
    </row>
    <row r="1748" customFormat="false" ht="14.5" hidden="false" customHeight="false" outlineLevel="0" collapsed="false">
      <c r="A1748" s="124"/>
    </row>
    <row r="1749" customFormat="false" ht="14.5" hidden="false" customHeight="false" outlineLevel="0" collapsed="false">
      <c r="A1749" s="124"/>
    </row>
    <row r="1750" customFormat="false" ht="14.5" hidden="false" customHeight="false" outlineLevel="0" collapsed="false">
      <c r="A1750" s="124"/>
    </row>
    <row r="1751" customFormat="false" ht="14.5" hidden="false" customHeight="false" outlineLevel="0" collapsed="false">
      <c r="A1751" s="124"/>
    </row>
    <row r="1752" customFormat="false" ht="14.5" hidden="false" customHeight="false" outlineLevel="0" collapsed="false">
      <c r="A1752" s="124"/>
    </row>
    <row r="1753" customFormat="false" ht="14.5" hidden="false" customHeight="false" outlineLevel="0" collapsed="false">
      <c r="A1753" s="124"/>
    </row>
    <row r="1754" customFormat="false" ht="14.5" hidden="false" customHeight="false" outlineLevel="0" collapsed="false">
      <c r="A1754" s="124"/>
    </row>
    <row r="1755" customFormat="false" ht="14.5" hidden="false" customHeight="false" outlineLevel="0" collapsed="false">
      <c r="A1755" s="124"/>
    </row>
    <row r="1756" customFormat="false" ht="14.5" hidden="false" customHeight="false" outlineLevel="0" collapsed="false">
      <c r="A1756" s="124"/>
    </row>
    <row r="1757" customFormat="false" ht="14.5" hidden="false" customHeight="false" outlineLevel="0" collapsed="false">
      <c r="A1757" s="124"/>
    </row>
    <row r="1758" customFormat="false" ht="14.5" hidden="false" customHeight="false" outlineLevel="0" collapsed="false">
      <c r="A1758" s="124"/>
    </row>
    <row r="1759" customFormat="false" ht="14.5" hidden="false" customHeight="false" outlineLevel="0" collapsed="false">
      <c r="A1759" s="124"/>
    </row>
    <row r="1760" customFormat="false" ht="14.5" hidden="false" customHeight="false" outlineLevel="0" collapsed="false">
      <c r="A1760" s="124"/>
    </row>
    <row r="1761" customFormat="false" ht="14.5" hidden="false" customHeight="false" outlineLevel="0" collapsed="false">
      <c r="A1761" s="124"/>
    </row>
    <row r="1762" customFormat="false" ht="14.5" hidden="false" customHeight="false" outlineLevel="0" collapsed="false">
      <c r="A1762" s="124"/>
    </row>
    <row r="1763" customFormat="false" ht="14.5" hidden="false" customHeight="false" outlineLevel="0" collapsed="false">
      <c r="A1763" s="124"/>
    </row>
    <row r="1764" customFormat="false" ht="14.5" hidden="false" customHeight="false" outlineLevel="0" collapsed="false">
      <c r="A1764" s="124"/>
    </row>
    <row r="1765" customFormat="false" ht="14.5" hidden="false" customHeight="false" outlineLevel="0" collapsed="false">
      <c r="A1765" s="124"/>
    </row>
    <row r="1766" customFormat="false" ht="14.5" hidden="false" customHeight="false" outlineLevel="0" collapsed="false">
      <c r="A1766" s="124"/>
    </row>
    <row r="1767" customFormat="false" ht="14.5" hidden="false" customHeight="false" outlineLevel="0" collapsed="false">
      <c r="A1767" s="124"/>
    </row>
    <row r="1768" customFormat="false" ht="14.5" hidden="false" customHeight="false" outlineLevel="0" collapsed="false">
      <c r="A1768" s="124"/>
    </row>
    <row r="1769" customFormat="false" ht="14.5" hidden="false" customHeight="false" outlineLevel="0" collapsed="false">
      <c r="A1769" s="124"/>
    </row>
    <row r="1770" customFormat="false" ht="14.5" hidden="false" customHeight="false" outlineLevel="0" collapsed="false">
      <c r="A1770" s="124"/>
    </row>
    <row r="1771" customFormat="false" ht="14.5" hidden="false" customHeight="false" outlineLevel="0" collapsed="false">
      <c r="A1771" s="124"/>
    </row>
    <row r="1772" customFormat="false" ht="14.5" hidden="false" customHeight="false" outlineLevel="0" collapsed="false">
      <c r="A1772" s="124"/>
    </row>
    <row r="1773" customFormat="false" ht="14.5" hidden="false" customHeight="false" outlineLevel="0" collapsed="false">
      <c r="A1773" s="124"/>
    </row>
    <row r="1774" customFormat="false" ht="14.5" hidden="false" customHeight="false" outlineLevel="0" collapsed="false">
      <c r="A1774" s="124"/>
    </row>
    <row r="1775" customFormat="false" ht="14.5" hidden="false" customHeight="false" outlineLevel="0" collapsed="false">
      <c r="A1775" s="124"/>
    </row>
    <row r="1776" customFormat="false" ht="14.5" hidden="false" customHeight="false" outlineLevel="0" collapsed="false">
      <c r="A1776" s="124"/>
    </row>
    <row r="1777" customFormat="false" ht="14.5" hidden="false" customHeight="false" outlineLevel="0" collapsed="false">
      <c r="A1777" s="124"/>
    </row>
    <row r="1778" customFormat="false" ht="14.5" hidden="false" customHeight="false" outlineLevel="0" collapsed="false">
      <c r="A1778" s="124"/>
    </row>
    <row r="1779" customFormat="false" ht="14.5" hidden="false" customHeight="false" outlineLevel="0" collapsed="false">
      <c r="A1779" s="124"/>
    </row>
    <row r="1780" customFormat="false" ht="14.5" hidden="false" customHeight="false" outlineLevel="0" collapsed="false">
      <c r="A1780" s="124"/>
    </row>
    <row r="1781" customFormat="false" ht="14.5" hidden="false" customHeight="false" outlineLevel="0" collapsed="false">
      <c r="A1781" s="124"/>
    </row>
    <row r="1782" customFormat="false" ht="14.5" hidden="false" customHeight="false" outlineLevel="0" collapsed="false">
      <c r="A1782" s="124"/>
    </row>
    <row r="1783" customFormat="false" ht="14.5" hidden="false" customHeight="false" outlineLevel="0" collapsed="false">
      <c r="A1783" s="124"/>
    </row>
    <row r="1784" customFormat="false" ht="14.5" hidden="false" customHeight="false" outlineLevel="0" collapsed="false">
      <c r="A1784" s="124"/>
    </row>
    <row r="1785" customFormat="false" ht="14.5" hidden="false" customHeight="false" outlineLevel="0" collapsed="false">
      <c r="A1785" s="124"/>
    </row>
    <row r="1786" customFormat="false" ht="14.5" hidden="false" customHeight="false" outlineLevel="0" collapsed="false">
      <c r="A1786" s="124"/>
    </row>
    <row r="1787" customFormat="false" ht="14.5" hidden="false" customHeight="false" outlineLevel="0" collapsed="false">
      <c r="A1787" s="124"/>
    </row>
    <row r="1788" customFormat="false" ht="14.5" hidden="false" customHeight="false" outlineLevel="0" collapsed="false">
      <c r="A1788" s="124"/>
    </row>
    <row r="1789" customFormat="false" ht="14.5" hidden="false" customHeight="false" outlineLevel="0" collapsed="false">
      <c r="A1789" s="124"/>
    </row>
    <row r="1790" customFormat="false" ht="14.5" hidden="false" customHeight="false" outlineLevel="0" collapsed="false">
      <c r="A1790" s="124"/>
    </row>
    <row r="1791" customFormat="false" ht="14.5" hidden="false" customHeight="false" outlineLevel="0" collapsed="false">
      <c r="A1791" s="124"/>
    </row>
    <row r="1792" customFormat="false" ht="14.5" hidden="false" customHeight="false" outlineLevel="0" collapsed="false">
      <c r="A1792" s="124"/>
    </row>
    <row r="1793" customFormat="false" ht="14.5" hidden="false" customHeight="false" outlineLevel="0" collapsed="false">
      <c r="A1793" s="124"/>
    </row>
    <row r="1794" customFormat="false" ht="14.5" hidden="false" customHeight="false" outlineLevel="0" collapsed="false">
      <c r="A1794" s="124"/>
    </row>
    <row r="1795" customFormat="false" ht="14.5" hidden="false" customHeight="false" outlineLevel="0" collapsed="false">
      <c r="A1795" s="124"/>
    </row>
    <row r="1796" customFormat="false" ht="14.5" hidden="false" customHeight="false" outlineLevel="0" collapsed="false">
      <c r="A1796" s="124"/>
    </row>
    <row r="1797" customFormat="false" ht="14.5" hidden="false" customHeight="false" outlineLevel="0" collapsed="false">
      <c r="A1797" s="124"/>
    </row>
    <row r="1798" customFormat="false" ht="14.5" hidden="false" customHeight="false" outlineLevel="0" collapsed="false">
      <c r="A1798" s="124"/>
    </row>
    <row r="1799" customFormat="false" ht="14.5" hidden="false" customHeight="false" outlineLevel="0" collapsed="false">
      <c r="A1799" s="124"/>
    </row>
    <row r="1800" customFormat="false" ht="14.5" hidden="false" customHeight="false" outlineLevel="0" collapsed="false">
      <c r="A1800" s="124"/>
    </row>
    <row r="1801" customFormat="false" ht="14.5" hidden="false" customHeight="false" outlineLevel="0" collapsed="false">
      <c r="A1801" s="124"/>
    </row>
    <row r="1802" customFormat="false" ht="14.5" hidden="false" customHeight="false" outlineLevel="0" collapsed="false">
      <c r="A1802" s="124"/>
    </row>
    <row r="1803" customFormat="false" ht="14.5" hidden="false" customHeight="false" outlineLevel="0" collapsed="false">
      <c r="A1803" s="124"/>
    </row>
    <row r="1804" customFormat="false" ht="14.5" hidden="false" customHeight="false" outlineLevel="0" collapsed="false">
      <c r="A1804" s="124"/>
    </row>
    <row r="1805" customFormat="false" ht="14.5" hidden="false" customHeight="false" outlineLevel="0" collapsed="false">
      <c r="A1805" s="124"/>
    </row>
    <row r="1806" customFormat="false" ht="14.5" hidden="false" customHeight="false" outlineLevel="0" collapsed="false">
      <c r="A1806" s="124"/>
    </row>
    <row r="1807" customFormat="false" ht="14.5" hidden="false" customHeight="false" outlineLevel="0" collapsed="false">
      <c r="A1807" s="124"/>
    </row>
    <row r="1808" customFormat="false" ht="14.5" hidden="false" customHeight="false" outlineLevel="0" collapsed="false">
      <c r="A1808" s="124"/>
    </row>
    <row r="1809" customFormat="false" ht="14.5" hidden="false" customHeight="false" outlineLevel="0" collapsed="false">
      <c r="A1809" s="124"/>
    </row>
    <row r="1810" customFormat="false" ht="14.5" hidden="false" customHeight="false" outlineLevel="0" collapsed="false">
      <c r="A1810" s="124"/>
    </row>
    <row r="1811" customFormat="false" ht="14.5" hidden="false" customHeight="false" outlineLevel="0" collapsed="false">
      <c r="A1811" s="124"/>
    </row>
    <row r="1812" customFormat="false" ht="14.5" hidden="false" customHeight="false" outlineLevel="0" collapsed="false">
      <c r="A1812" s="124"/>
    </row>
    <row r="1813" customFormat="false" ht="14.5" hidden="false" customHeight="false" outlineLevel="0" collapsed="false">
      <c r="A1813" s="124"/>
    </row>
    <row r="1814" customFormat="false" ht="14.5" hidden="false" customHeight="false" outlineLevel="0" collapsed="false">
      <c r="A1814" s="124"/>
    </row>
    <row r="1815" customFormat="false" ht="14.5" hidden="false" customHeight="false" outlineLevel="0" collapsed="false">
      <c r="A1815" s="124"/>
    </row>
    <row r="1816" customFormat="false" ht="14.5" hidden="false" customHeight="false" outlineLevel="0" collapsed="false">
      <c r="A1816" s="124"/>
    </row>
    <row r="1817" customFormat="false" ht="14.5" hidden="false" customHeight="false" outlineLevel="0" collapsed="false">
      <c r="A1817" s="124"/>
    </row>
    <row r="1818" customFormat="false" ht="14.5" hidden="false" customHeight="false" outlineLevel="0" collapsed="false">
      <c r="A1818" s="124"/>
    </row>
    <row r="1819" customFormat="false" ht="14.5" hidden="false" customHeight="false" outlineLevel="0" collapsed="false">
      <c r="A1819" s="124"/>
    </row>
    <row r="1820" customFormat="false" ht="14.5" hidden="false" customHeight="false" outlineLevel="0" collapsed="false">
      <c r="A1820" s="124"/>
    </row>
    <row r="1821" customFormat="false" ht="14.5" hidden="false" customHeight="false" outlineLevel="0" collapsed="false">
      <c r="A1821" s="124"/>
    </row>
    <row r="1822" customFormat="false" ht="14.5" hidden="false" customHeight="false" outlineLevel="0" collapsed="false">
      <c r="A1822" s="124"/>
    </row>
    <row r="1823" customFormat="false" ht="14.5" hidden="false" customHeight="false" outlineLevel="0" collapsed="false">
      <c r="A1823" s="124"/>
    </row>
    <row r="1824" customFormat="false" ht="14.5" hidden="false" customHeight="false" outlineLevel="0" collapsed="false">
      <c r="A1824" s="124"/>
    </row>
    <row r="1825" customFormat="false" ht="14.5" hidden="false" customHeight="false" outlineLevel="0" collapsed="false">
      <c r="A1825" s="124"/>
    </row>
    <row r="1826" customFormat="false" ht="14.5" hidden="false" customHeight="false" outlineLevel="0" collapsed="false">
      <c r="A1826" s="124"/>
    </row>
    <row r="1827" customFormat="false" ht="14.5" hidden="false" customHeight="false" outlineLevel="0" collapsed="false">
      <c r="A1827" s="124"/>
    </row>
    <row r="1828" customFormat="false" ht="14.5" hidden="false" customHeight="false" outlineLevel="0" collapsed="false">
      <c r="A1828" s="124"/>
    </row>
    <row r="1829" customFormat="false" ht="14.5" hidden="false" customHeight="false" outlineLevel="0" collapsed="false">
      <c r="A1829" s="124"/>
    </row>
    <row r="1830" customFormat="false" ht="14.5" hidden="false" customHeight="false" outlineLevel="0" collapsed="false">
      <c r="A1830" s="124"/>
    </row>
    <row r="1831" customFormat="false" ht="14.5" hidden="false" customHeight="false" outlineLevel="0" collapsed="false">
      <c r="A1831" s="124"/>
    </row>
    <row r="1832" customFormat="false" ht="14.5" hidden="false" customHeight="false" outlineLevel="0" collapsed="false">
      <c r="A1832" s="124"/>
    </row>
    <row r="1833" customFormat="false" ht="14.5" hidden="false" customHeight="false" outlineLevel="0" collapsed="false">
      <c r="A1833" s="124"/>
    </row>
    <row r="1834" customFormat="false" ht="14.5" hidden="false" customHeight="false" outlineLevel="0" collapsed="false">
      <c r="A1834" s="124"/>
    </row>
    <row r="1835" customFormat="false" ht="14.5" hidden="false" customHeight="false" outlineLevel="0" collapsed="false">
      <c r="A1835" s="124"/>
    </row>
    <row r="1836" customFormat="false" ht="14.5" hidden="false" customHeight="false" outlineLevel="0" collapsed="false">
      <c r="A1836" s="124"/>
    </row>
    <row r="1837" customFormat="false" ht="14.5" hidden="false" customHeight="false" outlineLevel="0" collapsed="false">
      <c r="A1837" s="124"/>
    </row>
    <row r="1838" customFormat="false" ht="14.5" hidden="false" customHeight="false" outlineLevel="0" collapsed="false">
      <c r="A1838" s="124"/>
    </row>
    <row r="1839" customFormat="false" ht="14.5" hidden="false" customHeight="false" outlineLevel="0" collapsed="false">
      <c r="A1839" s="124"/>
    </row>
    <row r="1840" customFormat="false" ht="14.5" hidden="false" customHeight="false" outlineLevel="0" collapsed="false">
      <c r="A1840" s="124"/>
    </row>
    <row r="1841" customFormat="false" ht="14.5" hidden="false" customHeight="false" outlineLevel="0" collapsed="false">
      <c r="A1841" s="124"/>
    </row>
    <row r="1842" customFormat="false" ht="14.5" hidden="false" customHeight="false" outlineLevel="0" collapsed="false">
      <c r="A1842" s="124"/>
    </row>
    <row r="1843" customFormat="false" ht="14.5" hidden="false" customHeight="false" outlineLevel="0" collapsed="false">
      <c r="A1843" s="124"/>
    </row>
    <row r="1844" customFormat="false" ht="14.5" hidden="false" customHeight="false" outlineLevel="0" collapsed="false">
      <c r="A1844" s="124"/>
    </row>
    <row r="1845" customFormat="false" ht="14.5" hidden="false" customHeight="false" outlineLevel="0" collapsed="false">
      <c r="A1845" s="124"/>
    </row>
    <row r="1846" customFormat="false" ht="14.5" hidden="false" customHeight="false" outlineLevel="0" collapsed="false">
      <c r="A1846" s="124"/>
    </row>
    <row r="1847" customFormat="false" ht="14.5" hidden="false" customHeight="false" outlineLevel="0" collapsed="false">
      <c r="A1847" s="124"/>
    </row>
    <row r="1848" customFormat="false" ht="14.5" hidden="false" customHeight="false" outlineLevel="0" collapsed="false">
      <c r="A1848" s="124"/>
    </row>
    <row r="1849" customFormat="false" ht="14.5" hidden="false" customHeight="false" outlineLevel="0" collapsed="false">
      <c r="A1849" s="124"/>
    </row>
    <row r="1850" customFormat="false" ht="14.5" hidden="false" customHeight="false" outlineLevel="0" collapsed="false">
      <c r="A1850" s="124"/>
    </row>
    <row r="1851" customFormat="false" ht="14.5" hidden="false" customHeight="false" outlineLevel="0" collapsed="false">
      <c r="A1851" s="124"/>
    </row>
    <row r="1852" customFormat="false" ht="14.5" hidden="false" customHeight="false" outlineLevel="0" collapsed="false">
      <c r="A1852" s="124"/>
    </row>
    <row r="1853" customFormat="false" ht="14.5" hidden="false" customHeight="false" outlineLevel="0" collapsed="false">
      <c r="A1853" s="124"/>
    </row>
    <row r="1854" customFormat="false" ht="14.5" hidden="false" customHeight="false" outlineLevel="0" collapsed="false">
      <c r="A1854" s="124"/>
    </row>
    <row r="1855" customFormat="false" ht="14.5" hidden="false" customHeight="false" outlineLevel="0" collapsed="false">
      <c r="A1855" s="124"/>
    </row>
    <row r="1856" customFormat="false" ht="14.5" hidden="false" customHeight="false" outlineLevel="0" collapsed="false">
      <c r="A1856" s="124"/>
    </row>
    <row r="1857" customFormat="false" ht="14.5" hidden="false" customHeight="false" outlineLevel="0" collapsed="false">
      <c r="A1857" s="124"/>
    </row>
    <row r="1858" customFormat="false" ht="14.5" hidden="false" customHeight="false" outlineLevel="0" collapsed="false">
      <c r="A1858" s="124"/>
    </row>
    <row r="1859" customFormat="false" ht="14.5" hidden="false" customHeight="false" outlineLevel="0" collapsed="false">
      <c r="A1859" s="124"/>
    </row>
    <row r="1860" customFormat="false" ht="14.5" hidden="false" customHeight="false" outlineLevel="0" collapsed="false">
      <c r="A1860" s="124"/>
    </row>
    <row r="1861" customFormat="false" ht="14.5" hidden="false" customHeight="false" outlineLevel="0" collapsed="false">
      <c r="A1861" s="124"/>
    </row>
    <row r="1862" customFormat="false" ht="14.5" hidden="false" customHeight="false" outlineLevel="0" collapsed="false">
      <c r="A1862" s="124"/>
    </row>
    <row r="1863" customFormat="false" ht="14.5" hidden="false" customHeight="false" outlineLevel="0" collapsed="false">
      <c r="A1863" s="124"/>
    </row>
    <row r="1864" customFormat="false" ht="14.5" hidden="false" customHeight="false" outlineLevel="0" collapsed="false">
      <c r="A1864" s="124"/>
    </row>
    <row r="1865" customFormat="false" ht="14.5" hidden="false" customHeight="false" outlineLevel="0" collapsed="false">
      <c r="A1865" s="124"/>
    </row>
    <row r="1866" customFormat="false" ht="14.5" hidden="false" customHeight="false" outlineLevel="0" collapsed="false">
      <c r="A1866" s="124"/>
    </row>
    <row r="1867" customFormat="false" ht="14.5" hidden="false" customHeight="false" outlineLevel="0" collapsed="false">
      <c r="A1867" s="124"/>
    </row>
    <row r="1868" customFormat="false" ht="14.5" hidden="false" customHeight="false" outlineLevel="0" collapsed="false">
      <c r="A1868" s="124"/>
    </row>
    <row r="1869" customFormat="false" ht="14.5" hidden="false" customHeight="false" outlineLevel="0" collapsed="false">
      <c r="A1869" s="124"/>
    </row>
    <row r="1870" customFormat="false" ht="14.5" hidden="false" customHeight="false" outlineLevel="0" collapsed="false">
      <c r="A1870" s="124"/>
    </row>
    <row r="1871" customFormat="false" ht="14.5" hidden="false" customHeight="false" outlineLevel="0" collapsed="false">
      <c r="A1871" s="124"/>
    </row>
    <row r="1872" customFormat="false" ht="14.5" hidden="false" customHeight="false" outlineLevel="0" collapsed="false">
      <c r="A1872" s="124"/>
    </row>
    <row r="1873" customFormat="false" ht="14.5" hidden="false" customHeight="false" outlineLevel="0" collapsed="false">
      <c r="A1873" s="124"/>
    </row>
    <row r="1874" customFormat="false" ht="14.5" hidden="false" customHeight="false" outlineLevel="0" collapsed="false">
      <c r="A1874" s="124"/>
    </row>
    <row r="1875" customFormat="false" ht="14.5" hidden="false" customHeight="false" outlineLevel="0" collapsed="false">
      <c r="A1875" s="124"/>
    </row>
    <row r="1876" customFormat="false" ht="14.5" hidden="false" customHeight="false" outlineLevel="0" collapsed="false">
      <c r="A1876" s="124"/>
    </row>
    <row r="1877" customFormat="false" ht="14.5" hidden="false" customHeight="false" outlineLevel="0" collapsed="false">
      <c r="A1877" s="124"/>
    </row>
    <row r="1878" customFormat="false" ht="14.5" hidden="false" customHeight="false" outlineLevel="0" collapsed="false">
      <c r="A1878" s="124"/>
    </row>
    <row r="1879" customFormat="false" ht="14.5" hidden="false" customHeight="false" outlineLevel="0" collapsed="false">
      <c r="A1879" s="124"/>
    </row>
    <row r="1880" customFormat="false" ht="14.5" hidden="false" customHeight="false" outlineLevel="0" collapsed="false">
      <c r="A1880" s="124"/>
    </row>
    <row r="1881" customFormat="false" ht="14.5" hidden="false" customHeight="false" outlineLevel="0" collapsed="false">
      <c r="A1881" s="124"/>
    </row>
    <row r="1882" customFormat="false" ht="14.5" hidden="false" customHeight="false" outlineLevel="0" collapsed="false">
      <c r="A1882" s="124"/>
    </row>
    <row r="1883" customFormat="false" ht="14.5" hidden="false" customHeight="false" outlineLevel="0" collapsed="false">
      <c r="A1883" s="124"/>
    </row>
    <row r="1884" customFormat="false" ht="14.5" hidden="false" customHeight="false" outlineLevel="0" collapsed="false">
      <c r="A1884" s="124"/>
    </row>
    <row r="1885" customFormat="false" ht="14.5" hidden="false" customHeight="false" outlineLevel="0" collapsed="false">
      <c r="A1885" s="124"/>
    </row>
    <row r="1886" customFormat="false" ht="14.5" hidden="false" customHeight="false" outlineLevel="0" collapsed="false">
      <c r="A1886" s="124"/>
    </row>
    <row r="1887" customFormat="false" ht="14.5" hidden="false" customHeight="false" outlineLevel="0" collapsed="false">
      <c r="A1887" s="124"/>
    </row>
    <row r="1888" customFormat="false" ht="14.5" hidden="false" customHeight="false" outlineLevel="0" collapsed="false">
      <c r="A1888" s="124"/>
    </row>
    <row r="1889" customFormat="false" ht="14.5" hidden="false" customHeight="false" outlineLevel="0" collapsed="false">
      <c r="A1889" s="124"/>
    </row>
    <row r="1890" customFormat="false" ht="14.5" hidden="false" customHeight="false" outlineLevel="0" collapsed="false">
      <c r="A1890" s="124"/>
    </row>
    <row r="1891" customFormat="false" ht="14.5" hidden="false" customHeight="false" outlineLevel="0" collapsed="false">
      <c r="A1891" s="124"/>
    </row>
    <row r="1892" customFormat="false" ht="14.5" hidden="false" customHeight="false" outlineLevel="0" collapsed="false">
      <c r="A1892" s="124"/>
    </row>
    <row r="1893" customFormat="false" ht="14.5" hidden="false" customHeight="false" outlineLevel="0" collapsed="false">
      <c r="A1893" s="124"/>
    </row>
    <row r="1894" customFormat="false" ht="14.5" hidden="false" customHeight="false" outlineLevel="0" collapsed="false">
      <c r="A1894" s="124"/>
    </row>
    <row r="1895" customFormat="false" ht="14.5" hidden="false" customHeight="false" outlineLevel="0" collapsed="false">
      <c r="A1895" s="124"/>
    </row>
    <row r="1896" customFormat="false" ht="14.5" hidden="false" customHeight="false" outlineLevel="0" collapsed="false">
      <c r="A1896" s="124"/>
    </row>
    <row r="1897" customFormat="false" ht="14.5" hidden="false" customHeight="false" outlineLevel="0" collapsed="false">
      <c r="A1897" s="124"/>
    </row>
    <row r="1898" customFormat="false" ht="14.5" hidden="false" customHeight="false" outlineLevel="0" collapsed="false">
      <c r="A1898" s="124"/>
    </row>
    <row r="1899" customFormat="false" ht="14.5" hidden="false" customHeight="false" outlineLevel="0" collapsed="false">
      <c r="A1899" s="124"/>
    </row>
    <row r="1900" customFormat="false" ht="14.5" hidden="false" customHeight="false" outlineLevel="0" collapsed="false">
      <c r="A1900" s="124"/>
    </row>
    <row r="1901" customFormat="false" ht="14.5" hidden="false" customHeight="false" outlineLevel="0" collapsed="false">
      <c r="A1901" s="124"/>
    </row>
    <row r="1902" customFormat="false" ht="14.5" hidden="false" customHeight="false" outlineLevel="0" collapsed="false">
      <c r="A1902" s="124"/>
    </row>
    <row r="1903" customFormat="false" ht="14.5" hidden="false" customHeight="false" outlineLevel="0" collapsed="false">
      <c r="A1903" s="124"/>
    </row>
    <row r="1904" customFormat="false" ht="14.5" hidden="false" customHeight="false" outlineLevel="0" collapsed="false">
      <c r="A1904" s="124"/>
    </row>
    <row r="1905" customFormat="false" ht="14.5" hidden="false" customHeight="false" outlineLevel="0" collapsed="false">
      <c r="A1905" s="124"/>
    </row>
    <row r="1906" customFormat="false" ht="14.5" hidden="false" customHeight="false" outlineLevel="0" collapsed="false">
      <c r="A1906" s="124"/>
    </row>
    <row r="1907" customFormat="false" ht="14.5" hidden="false" customHeight="false" outlineLevel="0" collapsed="false">
      <c r="A1907" s="124"/>
    </row>
    <row r="1908" customFormat="false" ht="14.5" hidden="false" customHeight="false" outlineLevel="0" collapsed="false">
      <c r="A1908" s="124"/>
    </row>
    <row r="1909" customFormat="false" ht="14.5" hidden="false" customHeight="false" outlineLevel="0" collapsed="false">
      <c r="A1909" s="124"/>
    </row>
    <row r="1910" customFormat="false" ht="14.5" hidden="false" customHeight="false" outlineLevel="0" collapsed="false">
      <c r="A1910" s="124"/>
    </row>
    <row r="1911" customFormat="false" ht="14.5" hidden="false" customHeight="false" outlineLevel="0" collapsed="false">
      <c r="A1911" s="124"/>
    </row>
    <row r="1912" customFormat="false" ht="14.5" hidden="false" customHeight="false" outlineLevel="0" collapsed="false">
      <c r="A1912" s="124"/>
    </row>
    <row r="1913" customFormat="false" ht="14.5" hidden="false" customHeight="false" outlineLevel="0" collapsed="false">
      <c r="A1913" s="124"/>
    </row>
    <row r="1914" customFormat="false" ht="14.5" hidden="false" customHeight="false" outlineLevel="0" collapsed="false">
      <c r="A1914" s="124"/>
    </row>
    <row r="1915" customFormat="false" ht="14.5" hidden="false" customHeight="false" outlineLevel="0" collapsed="false">
      <c r="A1915" s="124"/>
    </row>
    <row r="1916" customFormat="false" ht="14.5" hidden="false" customHeight="false" outlineLevel="0" collapsed="false">
      <c r="A1916" s="124"/>
    </row>
    <row r="1917" customFormat="false" ht="14.5" hidden="false" customHeight="false" outlineLevel="0" collapsed="false">
      <c r="A1917" s="124"/>
    </row>
    <row r="1918" customFormat="false" ht="14.5" hidden="false" customHeight="false" outlineLevel="0" collapsed="false">
      <c r="A1918" s="124"/>
    </row>
    <row r="1919" customFormat="false" ht="14.5" hidden="false" customHeight="false" outlineLevel="0" collapsed="false">
      <c r="A1919" s="124"/>
    </row>
    <row r="1920" customFormat="false" ht="14.5" hidden="false" customHeight="false" outlineLevel="0" collapsed="false">
      <c r="A1920" s="124"/>
    </row>
    <row r="1921" customFormat="false" ht="14.5" hidden="false" customHeight="false" outlineLevel="0" collapsed="false">
      <c r="A1921" s="124"/>
    </row>
    <row r="1922" customFormat="false" ht="14.5" hidden="false" customHeight="false" outlineLevel="0" collapsed="false">
      <c r="A1922" s="124"/>
    </row>
    <row r="1923" customFormat="false" ht="14.5" hidden="false" customHeight="false" outlineLevel="0" collapsed="false">
      <c r="A1923" s="124"/>
    </row>
    <row r="1924" customFormat="false" ht="14.5" hidden="false" customHeight="false" outlineLevel="0" collapsed="false">
      <c r="A1924" s="124"/>
    </row>
    <row r="1925" customFormat="false" ht="14.5" hidden="false" customHeight="false" outlineLevel="0" collapsed="false">
      <c r="A1925" s="124"/>
    </row>
    <row r="1926" customFormat="false" ht="14.5" hidden="false" customHeight="false" outlineLevel="0" collapsed="false">
      <c r="A1926" s="124"/>
    </row>
    <row r="1927" customFormat="false" ht="14.5" hidden="false" customHeight="false" outlineLevel="0" collapsed="false">
      <c r="A1927" s="124"/>
    </row>
    <row r="1928" customFormat="false" ht="14.5" hidden="false" customHeight="false" outlineLevel="0" collapsed="false">
      <c r="A1928" s="124"/>
    </row>
    <row r="1929" customFormat="false" ht="14.5" hidden="false" customHeight="false" outlineLevel="0" collapsed="false">
      <c r="A1929" s="124"/>
    </row>
    <row r="1930" customFormat="false" ht="14.5" hidden="false" customHeight="false" outlineLevel="0" collapsed="false">
      <c r="A1930" s="124"/>
    </row>
    <row r="1931" customFormat="false" ht="14.5" hidden="false" customHeight="false" outlineLevel="0" collapsed="false">
      <c r="A1931" s="124"/>
    </row>
    <row r="1932" customFormat="false" ht="14.5" hidden="false" customHeight="false" outlineLevel="0" collapsed="false">
      <c r="A1932" s="124"/>
    </row>
    <row r="1933" customFormat="false" ht="14.5" hidden="false" customHeight="false" outlineLevel="0" collapsed="false">
      <c r="A1933" s="124"/>
    </row>
    <row r="1934" customFormat="false" ht="14.5" hidden="false" customHeight="false" outlineLevel="0" collapsed="false">
      <c r="A1934" s="124"/>
    </row>
    <row r="1935" customFormat="false" ht="14.5" hidden="false" customHeight="false" outlineLevel="0" collapsed="false">
      <c r="A1935" s="124"/>
    </row>
    <row r="1936" customFormat="false" ht="14.5" hidden="false" customHeight="false" outlineLevel="0" collapsed="false">
      <c r="A1936" s="124"/>
    </row>
    <row r="1937" customFormat="false" ht="14.5" hidden="false" customHeight="false" outlineLevel="0" collapsed="false">
      <c r="A1937" s="124"/>
    </row>
    <row r="1938" customFormat="false" ht="14.5" hidden="false" customHeight="false" outlineLevel="0" collapsed="false">
      <c r="A1938" s="124"/>
    </row>
    <row r="1939" customFormat="false" ht="14.5" hidden="false" customHeight="false" outlineLevel="0" collapsed="false">
      <c r="A1939" s="124"/>
    </row>
    <row r="1940" customFormat="false" ht="14.5" hidden="false" customHeight="false" outlineLevel="0" collapsed="false">
      <c r="A1940" s="124"/>
    </row>
    <row r="1941" customFormat="false" ht="14.5" hidden="false" customHeight="false" outlineLevel="0" collapsed="false">
      <c r="A1941" s="124"/>
    </row>
    <row r="1942" customFormat="false" ht="14.5" hidden="false" customHeight="false" outlineLevel="0" collapsed="false">
      <c r="A1942" s="124"/>
    </row>
    <row r="1943" customFormat="false" ht="14.5" hidden="false" customHeight="false" outlineLevel="0" collapsed="false">
      <c r="A1943" s="124"/>
    </row>
    <row r="1944" customFormat="false" ht="14.5" hidden="false" customHeight="false" outlineLevel="0" collapsed="false">
      <c r="A1944" s="124"/>
    </row>
    <row r="1945" customFormat="false" ht="14.5" hidden="false" customHeight="false" outlineLevel="0" collapsed="false">
      <c r="A1945" s="124"/>
    </row>
    <row r="1946" customFormat="false" ht="14.5" hidden="false" customHeight="false" outlineLevel="0" collapsed="false">
      <c r="A1946" s="124"/>
    </row>
    <row r="1947" customFormat="false" ht="14.5" hidden="false" customHeight="false" outlineLevel="0" collapsed="false">
      <c r="A1947" s="124"/>
    </row>
    <row r="1948" customFormat="false" ht="14.5" hidden="false" customHeight="false" outlineLevel="0" collapsed="false">
      <c r="A1948" s="124"/>
    </row>
    <row r="1949" customFormat="false" ht="14.5" hidden="false" customHeight="false" outlineLevel="0" collapsed="false">
      <c r="A1949" s="124"/>
    </row>
    <row r="1950" customFormat="false" ht="14.5" hidden="false" customHeight="false" outlineLevel="0" collapsed="false">
      <c r="A1950" s="124"/>
    </row>
    <row r="1951" customFormat="false" ht="14.5" hidden="false" customHeight="false" outlineLevel="0" collapsed="false">
      <c r="A1951" s="124"/>
    </row>
    <row r="1952" customFormat="false" ht="14.5" hidden="false" customHeight="false" outlineLevel="0" collapsed="false">
      <c r="A1952" s="124"/>
    </row>
    <row r="1953" customFormat="false" ht="14.5" hidden="false" customHeight="false" outlineLevel="0" collapsed="false">
      <c r="A1953" s="124"/>
    </row>
    <row r="1954" customFormat="false" ht="14.5" hidden="false" customHeight="false" outlineLevel="0" collapsed="false">
      <c r="A1954" s="124"/>
    </row>
    <row r="1955" customFormat="false" ht="14.5" hidden="false" customHeight="false" outlineLevel="0" collapsed="false">
      <c r="A1955" s="124"/>
    </row>
    <row r="1956" customFormat="false" ht="14.5" hidden="false" customHeight="false" outlineLevel="0" collapsed="false">
      <c r="A1956" s="124"/>
    </row>
    <row r="1957" customFormat="false" ht="14.5" hidden="false" customHeight="false" outlineLevel="0" collapsed="false">
      <c r="A1957" s="124"/>
    </row>
    <row r="1958" customFormat="false" ht="14.5" hidden="false" customHeight="false" outlineLevel="0" collapsed="false">
      <c r="A1958" s="124"/>
    </row>
    <row r="1959" customFormat="false" ht="14.5" hidden="false" customHeight="false" outlineLevel="0" collapsed="false">
      <c r="A1959" s="124"/>
    </row>
    <row r="1960" customFormat="false" ht="14.5" hidden="false" customHeight="false" outlineLevel="0" collapsed="false">
      <c r="A1960" s="124"/>
    </row>
    <row r="1961" customFormat="false" ht="14.5" hidden="false" customHeight="false" outlineLevel="0" collapsed="false">
      <c r="A1961" s="124"/>
    </row>
    <row r="1962" customFormat="false" ht="14.5" hidden="false" customHeight="false" outlineLevel="0" collapsed="false">
      <c r="A1962" s="124"/>
    </row>
    <row r="1963" customFormat="false" ht="14.5" hidden="false" customHeight="false" outlineLevel="0" collapsed="false">
      <c r="A1963" s="124"/>
    </row>
    <row r="1964" customFormat="false" ht="14.5" hidden="false" customHeight="false" outlineLevel="0" collapsed="false">
      <c r="A1964" s="124"/>
    </row>
    <row r="1965" customFormat="false" ht="14.5" hidden="false" customHeight="false" outlineLevel="0" collapsed="false">
      <c r="A1965" s="124"/>
    </row>
    <row r="1966" customFormat="false" ht="14.5" hidden="false" customHeight="false" outlineLevel="0" collapsed="false">
      <c r="A1966" s="124"/>
    </row>
    <row r="1967" customFormat="false" ht="14.5" hidden="false" customHeight="false" outlineLevel="0" collapsed="false">
      <c r="A1967" s="124"/>
    </row>
    <row r="1968" customFormat="false" ht="14.5" hidden="false" customHeight="false" outlineLevel="0" collapsed="false">
      <c r="A1968" s="124"/>
    </row>
    <row r="1969" customFormat="false" ht="14.5" hidden="false" customHeight="false" outlineLevel="0" collapsed="false">
      <c r="A1969" s="124"/>
    </row>
    <row r="1970" customFormat="false" ht="14.5" hidden="false" customHeight="false" outlineLevel="0" collapsed="false">
      <c r="A1970" s="124"/>
    </row>
    <row r="1971" customFormat="false" ht="14.5" hidden="false" customHeight="false" outlineLevel="0" collapsed="false">
      <c r="A1971" s="124"/>
    </row>
    <row r="1972" customFormat="false" ht="14.5" hidden="false" customHeight="false" outlineLevel="0" collapsed="false">
      <c r="A1972" s="124"/>
    </row>
    <row r="1973" customFormat="false" ht="14.5" hidden="false" customHeight="false" outlineLevel="0" collapsed="false">
      <c r="A1973" s="124"/>
    </row>
    <row r="1974" customFormat="false" ht="14.5" hidden="false" customHeight="false" outlineLevel="0" collapsed="false">
      <c r="A1974" s="124"/>
    </row>
    <row r="1975" customFormat="false" ht="14.5" hidden="false" customHeight="false" outlineLevel="0" collapsed="false">
      <c r="A1975" s="124"/>
    </row>
    <row r="1976" customFormat="false" ht="14.5" hidden="false" customHeight="false" outlineLevel="0" collapsed="false">
      <c r="A1976" s="124"/>
    </row>
    <row r="1977" customFormat="false" ht="14.5" hidden="false" customHeight="false" outlineLevel="0" collapsed="false">
      <c r="A1977" s="124"/>
    </row>
    <row r="1978" customFormat="false" ht="14.5" hidden="false" customHeight="false" outlineLevel="0" collapsed="false">
      <c r="A1978" s="124"/>
    </row>
    <row r="1979" customFormat="false" ht="14.5" hidden="false" customHeight="false" outlineLevel="0" collapsed="false">
      <c r="A1979" s="124"/>
    </row>
    <row r="1980" customFormat="false" ht="14.5" hidden="false" customHeight="false" outlineLevel="0" collapsed="false">
      <c r="A1980" s="124"/>
    </row>
    <row r="1981" customFormat="false" ht="14.5" hidden="false" customHeight="false" outlineLevel="0" collapsed="false">
      <c r="A1981" s="124"/>
    </row>
    <row r="1982" customFormat="false" ht="14.5" hidden="false" customHeight="false" outlineLevel="0" collapsed="false">
      <c r="A1982" s="124"/>
    </row>
    <row r="1983" customFormat="false" ht="14.5" hidden="false" customHeight="false" outlineLevel="0" collapsed="false">
      <c r="A1983" s="124"/>
    </row>
    <row r="1984" customFormat="false" ht="14.5" hidden="false" customHeight="false" outlineLevel="0" collapsed="false">
      <c r="A1984" s="124"/>
    </row>
    <row r="1985" customFormat="false" ht="14.5" hidden="false" customHeight="false" outlineLevel="0" collapsed="false">
      <c r="A1985" s="124"/>
    </row>
    <row r="1986" customFormat="false" ht="14.5" hidden="false" customHeight="false" outlineLevel="0" collapsed="false">
      <c r="A1986" s="124"/>
    </row>
    <row r="1987" customFormat="false" ht="14.5" hidden="false" customHeight="false" outlineLevel="0" collapsed="false">
      <c r="A1987" s="124"/>
    </row>
    <row r="1988" customFormat="false" ht="14.5" hidden="false" customHeight="false" outlineLevel="0" collapsed="false">
      <c r="A1988" s="124"/>
    </row>
    <row r="1989" customFormat="false" ht="14.5" hidden="false" customHeight="false" outlineLevel="0" collapsed="false">
      <c r="A1989" s="124"/>
    </row>
    <row r="1990" customFormat="false" ht="14.5" hidden="false" customHeight="false" outlineLevel="0" collapsed="false">
      <c r="A1990" s="124"/>
    </row>
    <row r="1991" customFormat="false" ht="14.5" hidden="false" customHeight="false" outlineLevel="0" collapsed="false">
      <c r="A1991" s="124"/>
    </row>
    <row r="1992" customFormat="false" ht="14.5" hidden="false" customHeight="false" outlineLevel="0" collapsed="false">
      <c r="A1992" s="124"/>
    </row>
    <row r="1993" customFormat="false" ht="14.5" hidden="false" customHeight="false" outlineLevel="0" collapsed="false">
      <c r="A1993" s="124"/>
    </row>
    <row r="1994" customFormat="false" ht="14.5" hidden="false" customHeight="false" outlineLevel="0" collapsed="false">
      <c r="A1994" s="124"/>
    </row>
    <row r="1995" customFormat="false" ht="14.5" hidden="false" customHeight="false" outlineLevel="0" collapsed="false">
      <c r="A1995" s="124"/>
    </row>
    <row r="1996" customFormat="false" ht="14.5" hidden="false" customHeight="false" outlineLevel="0" collapsed="false">
      <c r="A1996" s="124"/>
    </row>
    <row r="1997" customFormat="false" ht="14.5" hidden="false" customHeight="false" outlineLevel="0" collapsed="false">
      <c r="A1997" s="124"/>
    </row>
    <row r="1998" customFormat="false" ht="14.5" hidden="false" customHeight="false" outlineLevel="0" collapsed="false">
      <c r="A1998" s="124"/>
    </row>
    <row r="1999" customFormat="false" ht="14.5" hidden="false" customHeight="false" outlineLevel="0" collapsed="false">
      <c r="A1999" s="124"/>
    </row>
    <row r="2000" customFormat="false" ht="14.5" hidden="false" customHeight="false" outlineLevel="0" collapsed="false">
      <c r="A2000" s="124"/>
    </row>
    <row r="2001" customFormat="false" ht="14.5" hidden="false" customHeight="false" outlineLevel="0" collapsed="false">
      <c r="A2001" s="124"/>
    </row>
    <row r="2002" customFormat="false" ht="14.5" hidden="false" customHeight="false" outlineLevel="0" collapsed="false">
      <c r="A2002" s="124"/>
    </row>
    <row r="2003" customFormat="false" ht="14.5" hidden="false" customHeight="false" outlineLevel="0" collapsed="false">
      <c r="A2003" s="124"/>
    </row>
    <row r="2004" customFormat="false" ht="14.5" hidden="false" customHeight="false" outlineLevel="0" collapsed="false">
      <c r="A2004" s="124"/>
    </row>
    <row r="2005" customFormat="false" ht="14.5" hidden="false" customHeight="false" outlineLevel="0" collapsed="false">
      <c r="A2005" s="124"/>
    </row>
    <row r="2006" customFormat="false" ht="14.5" hidden="false" customHeight="false" outlineLevel="0" collapsed="false">
      <c r="A2006" s="124"/>
    </row>
    <row r="2007" customFormat="false" ht="14.5" hidden="false" customHeight="false" outlineLevel="0" collapsed="false">
      <c r="A2007" s="124"/>
    </row>
    <row r="2008" customFormat="false" ht="14.5" hidden="false" customHeight="false" outlineLevel="0" collapsed="false">
      <c r="A2008" s="124"/>
    </row>
    <row r="2009" customFormat="false" ht="14.5" hidden="false" customHeight="false" outlineLevel="0" collapsed="false">
      <c r="A2009" s="124"/>
    </row>
    <row r="2010" customFormat="false" ht="14.5" hidden="false" customHeight="false" outlineLevel="0" collapsed="false">
      <c r="A2010" s="124"/>
    </row>
    <row r="2011" customFormat="false" ht="14.5" hidden="false" customHeight="false" outlineLevel="0" collapsed="false">
      <c r="A2011" s="124"/>
    </row>
    <row r="2012" customFormat="false" ht="14.5" hidden="false" customHeight="false" outlineLevel="0" collapsed="false">
      <c r="A2012" s="124"/>
    </row>
    <row r="2013" customFormat="false" ht="14.5" hidden="false" customHeight="false" outlineLevel="0" collapsed="false">
      <c r="A2013" s="124"/>
    </row>
    <row r="2014" customFormat="false" ht="14.5" hidden="false" customHeight="false" outlineLevel="0" collapsed="false">
      <c r="A2014" s="124"/>
    </row>
    <row r="2015" customFormat="false" ht="14.5" hidden="false" customHeight="false" outlineLevel="0" collapsed="false">
      <c r="A2015" s="124"/>
    </row>
    <row r="2016" customFormat="false" ht="14.5" hidden="false" customHeight="false" outlineLevel="0" collapsed="false">
      <c r="A2016" s="124"/>
    </row>
    <row r="2017" customFormat="false" ht="14.5" hidden="false" customHeight="false" outlineLevel="0" collapsed="false">
      <c r="A2017" s="124"/>
    </row>
    <row r="2018" customFormat="false" ht="14.5" hidden="false" customHeight="false" outlineLevel="0" collapsed="false">
      <c r="A2018" s="124"/>
    </row>
    <row r="2019" customFormat="false" ht="14.5" hidden="false" customHeight="false" outlineLevel="0" collapsed="false">
      <c r="A2019" s="124"/>
    </row>
    <row r="2020" customFormat="false" ht="14.5" hidden="false" customHeight="false" outlineLevel="0" collapsed="false">
      <c r="A2020" s="124"/>
    </row>
    <row r="2021" customFormat="false" ht="14.5" hidden="false" customHeight="false" outlineLevel="0" collapsed="false">
      <c r="A2021" s="124"/>
    </row>
    <row r="2022" customFormat="false" ht="14.5" hidden="false" customHeight="false" outlineLevel="0" collapsed="false">
      <c r="A2022" s="124"/>
    </row>
    <row r="2023" customFormat="false" ht="14.5" hidden="false" customHeight="false" outlineLevel="0" collapsed="false">
      <c r="A2023" s="124"/>
    </row>
    <row r="2024" customFormat="false" ht="14.5" hidden="false" customHeight="false" outlineLevel="0" collapsed="false">
      <c r="A2024" s="124"/>
    </row>
    <row r="2025" customFormat="false" ht="14.5" hidden="false" customHeight="false" outlineLevel="0" collapsed="false">
      <c r="A2025" s="124"/>
    </row>
    <row r="2026" customFormat="false" ht="14.5" hidden="false" customHeight="false" outlineLevel="0" collapsed="false">
      <c r="A2026" s="124"/>
    </row>
    <row r="2027" customFormat="false" ht="14.5" hidden="false" customHeight="false" outlineLevel="0" collapsed="false">
      <c r="A2027" s="124"/>
    </row>
    <row r="2028" customFormat="false" ht="14.5" hidden="false" customHeight="false" outlineLevel="0" collapsed="false">
      <c r="A2028" s="124"/>
    </row>
    <row r="2029" customFormat="false" ht="14.5" hidden="false" customHeight="false" outlineLevel="0" collapsed="false">
      <c r="A2029" s="124"/>
    </row>
    <row r="2030" customFormat="false" ht="14.5" hidden="false" customHeight="false" outlineLevel="0" collapsed="false">
      <c r="A2030" s="124"/>
    </row>
    <row r="2031" customFormat="false" ht="14.5" hidden="false" customHeight="false" outlineLevel="0" collapsed="false">
      <c r="A2031" s="124"/>
    </row>
    <row r="2032" customFormat="false" ht="14.5" hidden="false" customHeight="false" outlineLevel="0" collapsed="false">
      <c r="A2032" s="124"/>
    </row>
    <row r="2033" customFormat="false" ht="14.5" hidden="false" customHeight="false" outlineLevel="0" collapsed="false">
      <c r="A2033" s="124"/>
    </row>
    <row r="2034" customFormat="false" ht="14.5" hidden="false" customHeight="false" outlineLevel="0" collapsed="false">
      <c r="A2034" s="124"/>
    </row>
    <row r="2035" customFormat="false" ht="14.5" hidden="false" customHeight="false" outlineLevel="0" collapsed="false">
      <c r="A2035" s="124"/>
    </row>
    <row r="2036" customFormat="false" ht="14.5" hidden="false" customHeight="false" outlineLevel="0" collapsed="false">
      <c r="A2036" s="124"/>
    </row>
    <row r="2037" customFormat="false" ht="14.5" hidden="false" customHeight="false" outlineLevel="0" collapsed="false">
      <c r="A2037" s="124"/>
    </row>
    <row r="2038" customFormat="false" ht="14.5" hidden="false" customHeight="false" outlineLevel="0" collapsed="false">
      <c r="A2038" s="124"/>
    </row>
    <row r="2039" customFormat="false" ht="14.5" hidden="false" customHeight="false" outlineLevel="0" collapsed="false">
      <c r="A2039" s="124"/>
    </row>
    <row r="2040" customFormat="false" ht="14.5" hidden="false" customHeight="false" outlineLevel="0" collapsed="false">
      <c r="A2040" s="124"/>
    </row>
    <row r="2041" customFormat="false" ht="14.5" hidden="false" customHeight="false" outlineLevel="0" collapsed="false">
      <c r="A2041" s="124"/>
    </row>
    <row r="2042" customFormat="false" ht="14.5" hidden="false" customHeight="false" outlineLevel="0" collapsed="false">
      <c r="A2042" s="124"/>
    </row>
    <row r="2043" customFormat="false" ht="14.5" hidden="false" customHeight="false" outlineLevel="0" collapsed="false">
      <c r="A2043" s="124"/>
    </row>
    <row r="2044" customFormat="false" ht="14.5" hidden="false" customHeight="false" outlineLevel="0" collapsed="false">
      <c r="A2044" s="124"/>
    </row>
    <row r="2045" customFormat="false" ht="14.5" hidden="false" customHeight="false" outlineLevel="0" collapsed="false">
      <c r="A2045" s="124"/>
    </row>
    <row r="2046" customFormat="false" ht="14.5" hidden="false" customHeight="false" outlineLevel="0" collapsed="false">
      <c r="A2046" s="124"/>
    </row>
    <row r="2047" customFormat="false" ht="14.5" hidden="false" customHeight="false" outlineLevel="0" collapsed="false">
      <c r="A2047" s="124"/>
    </row>
    <row r="2048" customFormat="false" ht="14.5" hidden="false" customHeight="false" outlineLevel="0" collapsed="false">
      <c r="A2048" s="124"/>
    </row>
    <row r="2049" customFormat="false" ht="14.5" hidden="false" customHeight="false" outlineLevel="0" collapsed="false">
      <c r="A2049" s="124"/>
    </row>
    <row r="2050" customFormat="false" ht="14.5" hidden="false" customHeight="false" outlineLevel="0" collapsed="false">
      <c r="A2050" s="124"/>
    </row>
    <row r="2051" customFormat="false" ht="14.5" hidden="false" customHeight="false" outlineLevel="0" collapsed="false">
      <c r="A2051" s="124"/>
    </row>
    <row r="2052" customFormat="false" ht="14.5" hidden="false" customHeight="false" outlineLevel="0" collapsed="false">
      <c r="A2052" s="124"/>
    </row>
    <row r="2053" customFormat="false" ht="14.5" hidden="false" customHeight="false" outlineLevel="0" collapsed="false">
      <c r="A2053" s="124"/>
    </row>
    <row r="2054" customFormat="false" ht="14.5" hidden="false" customHeight="false" outlineLevel="0" collapsed="false">
      <c r="A2054" s="124"/>
    </row>
    <row r="2055" customFormat="false" ht="14.5" hidden="false" customHeight="false" outlineLevel="0" collapsed="false">
      <c r="A2055" s="124"/>
    </row>
    <row r="2056" customFormat="false" ht="14.5" hidden="false" customHeight="false" outlineLevel="0" collapsed="false">
      <c r="A2056" s="124"/>
    </row>
    <row r="2057" customFormat="false" ht="14.5" hidden="false" customHeight="false" outlineLevel="0" collapsed="false">
      <c r="A2057" s="124"/>
    </row>
    <row r="2058" customFormat="false" ht="14.5" hidden="false" customHeight="false" outlineLevel="0" collapsed="false">
      <c r="A2058" s="124"/>
    </row>
    <row r="2059" customFormat="false" ht="14.5" hidden="false" customHeight="false" outlineLevel="0" collapsed="false">
      <c r="A2059" s="124"/>
    </row>
    <row r="2060" customFormat="false" ht="14.5" hidden="false" customHeight="false" outlineLevel="0" collapsed="false">
      <c r="A2060" s="124"/>
    </row>
    <row r="2061" customFormat="false" ht="14.5" hidden="false" customHeight="false" outlineLevel="0" collapsed="false">
      <c r="A2061" s="124"/>
    </row>
    <row r="2062" customFormat="false" ht="14.5" hidden="false" customHeight="false" outlineLevel="0" collapsed="false">
      <c r="A2062" s="124"/>
    </row>
    <row r="2063" customFormat="false" ht="14.5" hidden="false" customHeight="false" outlineLevel="0" collapsed="false">
      <c r="A2063" s="124"/>
    </row>
    <row r="2064" customFormat="false" ht="14.5" hidden="false" customHeight="false" outlineLevel="0" collapsed="false">
      <c r="A2064" s="124"/>
    </row>
    <row r="2065" customFormat="false" ht="14.5" hidden="false" customHeight="false" outlineLevel="0" collapsed="false">
      <c r="A2065" s="124"/>
    </row>
    <row r="2066" customFormat="false" ht="14.5" hidden="false" customHeight="false" outlineLevel="0" collapsed="false">
      <c r="A2066" s="124"/>
    </row>
    <row r="2067" customFormat="false" ht="14.5" hidden="false" customHeight="false" outlineLevel="0" collapsed="false">
      <c r="A2067" s="124"/>
    </row>
    <row r="2068" customFormat="false" ht="14.5" hidden="false" customHeight="false" outlineLevel="0" collapsed="false">
      <c r="A2068" s="124"/>
    </row>
    <row r="2069" customFormat="false" ht="14.5" hidden="false" customHeight="false" outlineLevel="0" collapsed="false">
      <c r="A2069" s="124"/>
    </row>
    <row r="2070" customFormat="false" ht="14.5" hidden="false" customHeight="false" outlineLevel="0" collapsed="false">
      <c r="A2070" s="124"/>
    </row>
    <row r="2071" customFormat="false" ht="14.5" hidden="false" customHeight="false" outlineLevel="0" collapsed="false">
      <c r="A2071" s="124"/>
    </row>
    <row r="2072" customFormat="false" ht="14.5" hidden="false" customHeight="false" outlineLevel="0" collapsed="false">
      <c r="A2072" s="124"/>
    </row>
    <row r="2073" customFormat="false" ht="14.5" hidden="false" customHeight="false" outlineLevel="0" collapsed="false">
      <c r="A2073" s="124"/>
    </row>
    <row r="2074" customFormat="false" ht="14.5" hidden="false" customHeight="false" outlineLevel="0" collapsed="false">
      <c r="A2074" s="124"/>
    </row>
    <row r="2075" customFormat="false" ht="14.5" hidden="false" customHeight="false" outlineLevel="0" collapsed="false">
      <c r="A2075" s="124"/>
    </row>
    <row r="2076" customFormat="false" ht="14.5" hidden="false" customHeight="false" outlineLevel="0" collapsed="false">
      <c r="A2076" s="124"/>
    </row>
    <row r="2077" customFormat="false" ht="14.5" hidden="false" customHeight="false" outlineLevel="0" collapsed="false">
      <c r="A2077" s="124"/>
    </row>
    <row r="2078" customFormat="false" ht="14.5" hidden="false" customHeight="false" outlineLevel="0" collapsed="false">
      <c r="A2078" s="124"/>
    </row>
    <row r="2079" customFormat="false" ht="14.5" hidden="false" customHeight="false" outlineLevel="0" collapsed="false">
      <c r="A2079" s="124"/>
    </row>
    <row r="2080" customFormat="false" ht="14.5" hidden="false" customHeight="false" outlineLevel="0" collapsed="false">
      <c r="A2080" s="124"/>
    </row>
    <row r="2081" customFormat="false" ht="14.5" hidden="false" customHeight="false" outlineLevel="0" collapsed="false">
      <c r="A2081" s="124"/>
    </row>
    <row r="2082" customFormat="false" ht="14.5" hidden="false" customHeight="false" outlineLevel="0" collapsed="false">
      <c r="A2082" s="124"/>
    </row>
    <row r="2083" customFormat="false" ht="14.5" hidden="false" customHeight="false" outlineLevel="0" collapsed="false">
      <c r="A2083" s="124"/>
    </row>
    <row r="2084" customFormat="false" ht="14.5" hidden="false" customHeight="false" outlineLevel="0" collapsed="false">
      <c r="A2084" s="124"/>
    </row>
    <row r="2085" customFormat="false" ht="14.5" hidden="false" customHeight="false" outlineLevel="0" collapsed="false">
      <c r="A2085" s="124"/>
    </row>
    <row r="2086" customFormat="false" ht="14.5" hidden="false" customHeight="false" outlineLevel="0" collapsed="false">
      <c r="A2086" s="124"/>
    </row>
    <row r="2087" customFormat="false" ht="14.5" hidden="false" customHeight="false" outlineLevel="0" collapsed="false">
      <c r="A2087" s="124"/>
    </row>
    <row r="2088" customFormat="false" ht="14.5" hidden="false" customHeight="false" outlineLevel="0" collapsed="false">
      <c r="A2088" s="124"/>
    </row>
    <row r="2089" customFormat="false" ht="14.5" hidden="false" customHeight="false" outlineLevel="0" collapsed="false">
      <c r="A2089" s="124"/>
    </row>
    <row r="2090" customFormat="false" ht="14.5" hidden="false" customHeight="false" outlineLevel="0" collapsed="false">
      <c r="A2090" s="124"/>
    </row>
    <row r="2091" customFormat="false" ht="14.5" hidden="false" customHeight="false" outlineLevel="0" collapsed="false">
      <c r="A2091" s="124"/>
    </row>
    <row r="2092" customFormat="false" ht="14.5" hidden="false" customHeight="false" outlineLevel="0" collapsed="false">
      <c r="A2092" s="124"/>
    </row>
    <row r="2093" customFormat="false" ht="14.5" hidden="false" customHeight="false" outlineLevel="0" collapsed="false">
      <c r="A2093" s="124"/>
    </row>
    <row r="2094" customFormat="false" ht="14.5" hidden="false" customHeight="false" outlineLevel="0" collapsed="false">
      <c r="A2094" s="124"/>
    </row>
    <row r="2095" customFormat="false" ht="14.5" hidden="false" customHeight="false" outlineLevel="0" collapsed="false">
      <c r="A2095" s="124"/>
    </row>
    <row r="2096" customFormat="false" ht="14.5" hidden="false" customHeight="false" outlineLevel="0" collapsed="false">
      <c r="A2096" s="124"/>
    </row>
    <row r="2097" customFormat="false" ht="14.5" hidden="false" customHeight="false" outlineLevel="0" collapsed="false">
      <c r="A2097" s="124"/>
    </row>
    <row r="2098" customFormat="false" ht="14.5" hidden="false" customHeight="false" outlineLevel="0" collapsed="false">
      <c r="A2098" s="124"/>
    </row>
    <row r="2099" customFormat="false" ht="14.5" hidden="false" customHeight="false" outlineLevel="0" collapsed="false">
      <c r="A2099" s="124"/>
    </row>
    <row r="2100" customFormat="false" ht="14.5" hidden="false" customHeight="false" outlineLevel="0" collapsed="false">
      <c r="A2100" s="124"/>
    </row>
    <row r="2101" customFormat="false" ht="14.5" hidden="false" customHeight="false" outlineLevel="0" collapsed="false">
      <c r="A2101" s="124"/>
    </row>
    <row r="2102" customFormat="false" ht="14.5" hidden="false" customHeight="false" outlineLevel="0" collapsed="false">
      <c r="A2102" s="124"/>
    </row>
    <row r="2103" customFormat="false" ht="14.5" hidden="false" customHeight="false" outlineLevel="0" collapsed="false">
      <c r="A2103" s="124"/>
    </row>
    <row r="2104" customFormat="false" ht="14.5" hidden="false" customHeight="false" outlineLevel="0" collapsed="false">
      <c r="A2104" s="124"/>
    </row>
    <row r="2105" customFormat="false" ht="14.5" hidden="false" customHeight="false" outlineLevel="0" collapsed="false">
      <c r="A2105" s="124"/>
    </row>
    <row r="2106" customFormat="false" ht="14.5" hidden="false" customHeight="false" outlineLevel="0" collapsed="false">
      <c r="A2106" s="124"/>
    </row>
    <row r="2107" customFormat="false" ht="14.5" hidden="false" customHeight="false" outlineLevel="0" collapsed="false">
      <c r="A2107" s="124"/>
    </row>
    <row r="2108" customFormat="false" ht="14.5" hidden="false" customHeight="false" outlineLevel="0" collapsed="false">
      <c r="A2108" s="124"/>
    </row>
    <row r="2109" customFormat="false" ht="14.5" hidden="false" customHeight="false" outlineLevel="0" collapsed="false">
      <c r="A2109" s="124"/>
    </row>
    <row r="2110" customFormat="false" ht="14.5" hidden="false" customHeight="false" outlineLevel="0" collapsed="false">
      <c r="A2110" s="124"/>
    </row>
    <row r="2111" customFormat="false" ht="14.5" hidden="false" customHeight="false" outlineLevel="0" collapsed="false">
      <c r="A2111" s="124"/>
    </row>
    <row r="2112" customFormat="false" ht="14.5" hidden="false" customHeight="false" outlineLevel="0" collapsed="false">
      <c r="A2112" s="124"/>
    </row>
    <row r="2113" customFormat="false" ht="14.5" hidden="false" customHeight="false" outlineLevel="0" collapsed="false">
      <c r="A2113" s="124"/>
    </row>
    <row r="2114" customFormat="false" ht="14.5" hidden="false" customHeight="false" outlineLevel="0" collapsed="false">
      <c r="A2114" s="124"/>
    </row>
    <row r="2115" customFormat="false" ht="14.5" hidden="false" customHeight="false" outlineLevel="0" collapsed="false">
      <c r="A2115" s="124"/>
    </row>
    <row r="2116" customFormat="false" ht="14.5" hidden="false" customHeight="false" outlineLevel="0" collapsed="false">
      <c r="A2116" s="124"/>
    </row>
    <row r="2117" customFormat="false" ht="14.5" hidden="false" customHeight="false" outlineLevel="0" collapsed="false">
      <c r="A2117" s="124"/>
    </row>
    <row r="2118" customFormat="false" ht="14.5" hidden="false" customHeight="false" outlineLevel="0" collapsed="false">
      <c r="A2118" s="124"/>
    </row>
    <row r="2119" customFormat="false" ht="14.5" hidden="false" customHeight="false" outlineLevel="0" collapsed="false">
      <c r="A2119" s="124"/>
    </row>
    <row r="2120" customFormat="false" ht="14.5" hidden="false" customHeight="false" outlineLevel="0" collapsed="false">
      <c r="A2120" s="124"/>
    </row>
    <row r="2121" customFormat="false" ht="14.5" hidden="false" customHeight="false" outlineLevel="0" collapsed="false">
      <c r="A2121" s="124"/>
    </row>
    <row r="2122" customFormat="false" ht="14.5" hidden="false" customHeight="false" outlineLevel="0" collapsed="false">
      <c r="A2122" s="124"/>
    </row>
    <row r="2123" customFormat="false" ht="14.5" hidden="false" customHeight="false" outlineLevel="0" collapsed="false">
      <c r="A2123" s="124"/>
    </row>
    <row r="2124" customFormat="false" ht="14.5" hidden="false" customHeight="false" outlineLevel="0" collapsed="false">
      <c r="A2124" s="124"/>
    </row>
    <row r="2125" customFormat="false" ht="14.5" hidden="false" customHeight="false" outlineLevel="0" collapsed="false">
      <c r="A2125" s="124"/>
    </row>
    <row r="2126" customFormat="false" ht="14.5" hidden="false" customHeight="false" outlineLevel="0" collapsed="false">
      <c r="A2126" s="124"/>
    </row>
    <row r="2127" customFormat="false" ht="14.5" hidden="false" customHeight="false" outlineLevel="0" collapsed="false">
      <c r="A2127" s="124"/>
    </row>
    <row r="2128" customFormat="false" ht="14.5" hidden="false" customHeight="false" outlineLevel="0" collapsed="false">
      <c r="A2128" s="124"/>
    </row>
    <row r="2129" customFormat="false" ht="14.5" hidden="false" customHeight="false" outlineLevel="0" collapsed="false">
      <c r="A2129" s="124"/>
    </row>
    <row r="2130" customFormat="false" ht="14.5" hidden="false" customHeight="false" outlineLevel="0" collapsed="false">
      <c r="A2130" s="124"/>
    </row>
    <row r="2131" customFormat="false" ht="14.5" hidden="false" customHeight="false" outlineLevel="0" collapsed="false">
      <c r="A2131" s="124"/>
    </row>
    <row r="2132" customFormat="false" ht="14.5" hidden="false" customHeight="false" outlineLevel="0" collapsed="false">
      <c r="A2132" s="124"/>
    </row>
    <row r="2133" customFormat="false" ht="14.5" hidden="false" customHeight="false" outlineLevel="0" collapsed="false">
      <c r="A2133" s="124"/>
    </row>
    <row r="2134" customFormat="false" ht="14.5" hidden="false" customHeight="false" outlineLevel="0" collapsed="false">
      <c r="A2134" s="124"/>
    </row>
    <row r="2135" customFormat="false" ht="14.5" hidden="false" customHeight="false" outlineLevel="0" collapsed="false">
      <c r="A2135" s="124"/>
    </row>
    <row r="2136" customFormat="false" ht="14.5" hidden="false" customHeight="false" outlineLevel="0" collapsed="false">
      <c r="A2136" s="124"/>
    </row>
    <row r="2137" customFormat="false" ht="14.5" hidden="false" customHeight="false" outlineLevel="0" collapsed="false">
      <c r="A2137" s="124"/>
    </row>
    <row r="2138" customFormat="false" ht="14.5" hidden="false" customHeight="false" outlineLevel="0" collapsed="false">
      <c r="A2138" s="124"/>
    </row>
    <row r="2139" customFormat="false" ht="14.5" hidden="false" customHeight="false" outlineLevel="0" collapsed="false">
      <c r="A2139" s="124"/>
    </row>
    <row r="2140" customFormat="false" ht="14.5" hidden="false" customHeight="false" outlineLevel="0" collapsed="false">
      <c r="A2140" s="124"/>
    </row>
    <row r="2141" customFormat="false" ht="14.5" hidden="false" customHeight="false" outlineLevel="0" collapsed="false">
      <c r="A2141" s="124"/>
    </row>
    <row r="2142" customFormat="false" ht="14.5" hidden="false" customHeight="false" outlineLevel="0" collapsed="false">
      <c r="A2142" s="124"/>
    </row>
    <row r="2143" customFormat="false" ht="14.5" hidden="false" customHeight="false" outlineLevel="0" collapsed="false">
      <c r="A2143" s="124"/>
    </row>
    <row r="2144" customFormat="false" ht="14.5" hidden="false" customHeight="false" outlineLevel="0" collapsed="false">
      <c r="A2144" s="124"/>
    </row>
    <row r="2145" customFormat="false" ht="14.5" hidden="false" customHeight="false" outlineLevel="0" collapsed="false">
      <c r="A2145" s="124"/>
    </row>
    <row r="2146" customFormat="false" ht="14.5" hidden="false" customHeight="false" outlineLevel="0" collapsed="false">
      <c r="A2146" s="124"/>
    </row>
    <row r="2147" customFormat="false" ht="14.5" hidden="false" customHeight="false" outlineLevel="0" collapsed="false">
      <c r="A2147" s="124"/>
    </row>
    <row r="2148" customFormat="false" ht="14.5" hidden="false" customHeight="false" outlineLevel="0" collapsed="false">
      <c r="A2148" s="124"/>
    </row>
    <row r="2149" customFormat="false" ht="14.5" hidden="false" customHeight="false" outlineLevel="0" collapsed="false">
      <c r="A2149" s="124"/>
    </row>
  </sheetData>
  <scenarios current="0" show="0">
    <scenario name="units -10%" locked="true" count="1" user="Calc" comment="Created by Author on 18/02/2018&#10;Modified by Author on 18/02/2018">
      <inputCells r="E8" val="-0.1"/>
    </scenario>
    <scenario name="units -5" locked="true" count="1" user="Calc" comment="Created by Author on 18/02/2018">
      <inputCells r="E8" val="-0.05"/>
    </scenario>
    <scenario name="units 0" locked="true" count="1" user="Calc" comment="Created by Author on 18/02/2018">
      <inputCells r="E8" val="0"/>
    </scenario>
    <scenario name="units 5%" locked="true" count="1" user="Calc" comment="Created by Author on 18/02/2018">
      <inputCells r="E8" val="0.05"/>
    </scenario>
    <scenario name="units 10%" locked="true" count="1" user="Calc" comment="Created by Author on 18/02/2018">
      <inputCells r="E8" val="0.1"/>
    </scenario>
    <scenario name="price -10" locked="true" count="1" user="Calc" comment="Created by Author on 19/02/2018">
      <inputCells r="E9" val="-0.1"/>
    </scenario>
    <scenario name="price -5" locked="true" count="1" user="Calc" comment="Created by Author on 19/02/2018">
      <inputCells r="E9" val="-0.05"/>
    </scenario>
    <scenario name="price 0" locked="true" count="1" user="Calc" comment="Created by Author on 19/02/2018">
      <inputCells r="E9" val="0"/>
    </scenario>
    <scenario name="price 5" locked="true" count="1" user="Calc" comment="Created by Author on 19/02/2018">
      <inputCells r="E9" val="0.05"/>
    </scenario>
    <scenario name="price 10%" locked="true" count="1" user="Calc" comment="Created by Author on 19/02/2018">
      <inputCells r="E9" val="0.1"/>
    </scenario>
  </scenarios>
  <conditionalFormatting sqref="E3:E13">
    <cfRule type="cellIs" priority="2" operator="notEqual" aboveAverage="0" equalAverage="0" bottom="0" percent="0" rank="0" text="" dxfId="8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F92 A1"/>
    </sheetView>
  </sheetViews>
  <sheetFormatPr defaultColWidth="8.73046875" defaultRowHeight="14.5" zeroHeight="false" outlineLevelRow="0" outlineLevelCol="0"/>
  <cols>
    <col collapsed="false" customWidth="false" hidden="false" outlineLevel="0" max="1024" min="1" style="7" width="8.72"/>
  </cols>
  <sheetData>
    <row r="1" customFormat="false" ht="14.5" hidden="false" customHeight="false" outlineLevel="0" collapsed="false">
      <c r="A1" s="7" t="n">
        <f aca="false">'Monte Carlo Cholesky'!B87</f>
        <v>0.04</v>
      </c>
      <c r="B1" s="7" t="n">
        <f aca="false">'Monte Carlo Cholesky'!C87</f>
        <v>-640</v>
      </c>
      <c r="C1" s="7" t="n">
        <f aca="false">'Monte Carlo Cholesky'!D87</f>
        <v>16</v>
      </c>
    </row>
    <row r="2" customFormat="false" ht="14.5" hidden="false" customHeight="false" outlineLevel="0" collapsed="false">
      <c r="A2" s="7" t="n">
        <f aca="false">'Monte Carlo Cholesky'!B88</f>
        <v>-640</v>
      </c>
      <c r="B2" s="7" t="n">
        <f aca="false">'Monte Carlo Cholesky'!C88</f>
        <v>16000000</v>
      </c>
      <c r="C2" s="7" t="n">
        <f aca="false">'Monte Carlo Cholesky'!D88</f>
        <v>480000</v>
      </c>
    </row>
    <row r="3" customFormat="false" ht="14.5" hidden="false" customHeight="false" outlineLevel="0" collapsed="false">
      <c r="A3" s="7" t="n">
        <f aca="false">'Monte Carlo Cholesky'!B89</f>
        <v>16</v>
      </c>
      <c r="B3" s="7" t="n">
        <f aca="false">'Monte Carlo Cholesky'!C89</f>
        <v>480000</v>
      </c>
      <c r="C3" s="7" t="n">
        <f aca="false">'Monte Carlo Cholesky'!D89</f>
        <v>40000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>AAAAABgDAABQSwMEFAACAAgAWQ84UHW/NVeoAAAA+AAAABIAHABDb25maWcvUGFja2FnZS54bWwgohgAKKAUAAAAAAAAAAAAAAAAAAAAAAAAAAAAhY9NCsIwGESvUrJv/tSi5WsKunBjQRDEbYmxDbapNKnp3Vx4JK9gQavuXM7wBt48bndI+7oKrqq1ujEJYpiiQBnZHLUpEtS5UzhHqYBtLs95oYIBNjburU5Q6dwlJsR7j/0EN21BOKWMHLLNTpaqzkNtrMuNVOizOv5fIQH7l4zgOGJ4xhYcTyMGZKwh0+aL8MEYUyA/Jay6ynWtEsqE6yWQMQJ5vxBPUEsDBBQAAgAIAFkPOFA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ZDzhQKIpHuA4AAAARAAAAEwAcAEZvcm11bGFzL1NlY3Rpb24xLm0gohgAKKAUAAAAAAAAAAAAAAAAAAAAAAAAAAAAK05NLsnMz1MIhtCG1gBQSwECLQAUAAIACABZDzhQdb81V6gAAAD4AAAAEgAAAAAAAAAAAAAAAAAAAAAAQ29uZmlnL1BhY2thZ2UueG1sUEsBAi0AFAACAAgAWQ84UA/K6aukAAAA6QAAABMAAAAAAAAAAAAAAAAA9AAAAFtDb250ZW50X1R5cGVzXS54bWxQSwECLQAUAAIACABZDzhQKIpHuA4AAAARAAAAEwAAAAAAAAAAAAAAAADlAQAARm9ybXVsYXMvU2VjdGlvbjEubVBLBQYAAAAAAwADAMIAAABAAgAAAAAQAQAA77u/PD94bWwgdmVyc2lvbj0iMS4wIiBlbmNvZGluZz0idXRmLTgiPz48UGVybWlzc2lvbkxpc3QgeG1sbnM6eHNpPSJodHRwOi8vd3d3LnczLm9yZy8yMDAxL1hNTFNjaGVtYS1pbnN0YW5jZSIgeG1sbnM6eHNkPSJodHRwOi8vd3d3LnczLm9yZy8yMDAxL1hNTFNjaGVtYSI+PENhbkV2YWx1YXRlRnV0dXJlUGFja2FnZXM+ZmFsc2U8L0NhbkV2YWx1YXRlRnV0dXJlUGFja2FnZXM+PEZpcmV3YWxsRW5hYmxlZD50cnVlPC9GaXJld2FsbEVuYWJsZWQ+PC9QZXJtaXNzaW9uTGlzdD6XAQAAAAAAAHUBAADvu788P3htbCB2ZXJzaW9uPSIxLjAiIGVuY29kaW5nPSJ1dGYtOCI/PjxMb2NhbFBhY2thZ2VNZXRhZGF0YUZpbGUgeG1sbnM6eHNpPSJodHRwOi8vd3d3LnczLm9yZy8yMDAxL1hNTFNjaGVtYS1pbnN0YW5jZSIgeG1sbnM6eHNkPSJodHRwOi8vd3d3LnczLm9yZy8yMDAxL1hNTFNjaGVtYSI+PEl0ZW1zPjxJdGVtPjxJdGVtTG9jYXRpb24+PEl0ZW1UeXBlPkFsbEZvcm11bGFzPC9JdGVtVHlwZT48SXRlbVBhdGggLz48L0l0ZW1Mb2NhdGlvbj48U3RhYmxlRW50cmllcz48RW50cnkgVHlwZT0iUmVsYXRpb25zaGlwcyIgVmFsdWU9InNBQUFBQUE9PSIgLz48L1N0YWJsZUVudHJpZXM+PC9JdGVtPjwvSXRlbXM+PC9Mb2NhbFBhY2thZ2VNZXRhZGF0YUZpbGU+FgAAAFBLBQYAAAAAAAAAAAAAAAAAAAAAAADaAAAAAQAAANCMnd8BFdERjHoAwE/Cl+sBAAAAHfPe2JcpREuT0ENBbqdhmQAAAAACAAAAAAADZgAAwAAAABAAAADRB2nqXAYTOxbr9vz9IXbbAAAAAASAAACgAAAAEAAAAI8WmZEE7E4I2+/MyDcQ3NtQAAAAji/3i+w9MOa9c2XEDGzMUKK4SG3Or2qaIIhICCys8t7nuGE82G/a75A+MNJdCArgpMLIpZ4lDB8NtF8BIdQtP1ykn77qX99tVoBKre0zCOkUAAAAbMyCYCUmwbuFWPUegWrN1p0dYdM=</DataMashup>
</file>

<file path=customXml/itemProps1.xml><?xml version="1.0" encoding="utf-8"?>
<ds:datastoreItem xmlns:ds="http://schemas.openxmlformats.org/officeDocument/2006/customXml" ds:itemID="{237C4D86-EDD2-443A-9E5F-33AAA8C43A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LibreOffice/6.4.5.2$Linux_X86_64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Panos Tziogkidis</dc:creator>
  <dc:description/>
  <dc:language>en-US</dc:language>
  <cp:lastModifiedBy/>
  <dcterms:modified xsi:type="dcterms:W3CDTF">2020-09-16T16:03:10Z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